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1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dposchp\Desktop\mesagi\Proyectos\GBI\"/>
    </mc:Choice>
  </mc:AlternateContent>
  <bookViews>
    <workbookView xWindow="0" yWindow="0" windowWidth="21540" windowHeight="7965" activeTab="1" xr2:uid="{00000000-000D-0000-FFFF-FFFF00000000}"/>
  </bookViews>
  <sheets>
    <sheet name="display_IR (3)" sheetId="25" r:id="rId1"/>
    <sheet name="display_IR (2)" sheetId="24" r:id="rId2"/>
    <sheet name="display_IR" sheetId="15" r:id="rId3"/>
    <sheet name="display_portfolios_forwards" sheetId="23" r:id="rId4"/>
    <sheet name="display_grouped_forwards" sheetId="22" r:id="rId5"/>
    <sheet name="Simulacion trades" sheetId="2" r:id="rId6"/>
    <sheet name="Allocation" sheetId="8" r:id="rId7"/>
    <sheet name="Caja" sheetId="19" r:id="rId8"/>
    <sheet name="Transacciones" sheetId="9" r:id="rId9"/>
    <sheet name="BD_Instrumentos" sheetId="18" r:id="rId10"/>
    <sheet name="forwards_portfolios" sheetId="20" r:id="rId11"/>
    <sheet name="grouped_forwards" sheetId="21" r:id="rId12"/>
    <sheet name="Dataset" sheetId="1" r:id="rId13"/>
  </sheets>
  <externalReferences>
    <externalReference r:id="rId14"/>
  </externalReferences>
  <definedNames>
    <definedName name="_xlnm.Print_Area" localSheetId="2">display_IR!$A$1:$W$117</definedName>
    <definedName name="_xlnm.Print_Area" localSheetId="1">'display_IR (2)'!$A$1:$Y$87</definedName>
    <definedName name="_xlnm.Print_Area" localSheetId="0">'display_IR (3)'!$A$1:$Z$100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7" i="2" l="1"/>
  <c r="O11" i="25" l="1"/>
  <c r="P11" i="25"/>
  <c r="Q11" i="25"/>
  <c r="R11" i="25"/>
  <c r="S11" i="25"/>
  <c r="T11" i="25"/>
  <c r="U11" i="25"/>
  <c r="O12" i="25"/>
  <c r="P12" i="25"/>
  <c r="Q12" i="25"/>
  <c r="R12" i="25"/>
  <c r="S12" i="25"/>
  <c r="T12" i="25"/>
  <c r="U12" i="25"/>
  <c r="O13" i="25"/>
  <c r="P13" i="25"/>
  <c r="Q13" i="25"/>
  <c r="R13" i="25"/>
  <c r="S13" i="25"/>
  <c r="T13" i="25"/>
  <c r="U13" i="25"/>
  <c r="O14" i="25"/>
  <c r="P14" i="25"/>
  <c r="Q14" i="25"/>
  <c r="R14" i="25"/>
  <c r="S14" i="25"/>
  <c r="T14" i="25"/>
  <c r="U14" i="25"/>
  <c r="O15" i="25"/>
  <c r="P15" i="25"/>
  <c r="Q15" i="25"/>
  <c r="R15" i="25"/>
  <c r="S15" i="25"/>
  <c r="T15" i="25"/>
  <c r="U15" i="25"/>
  <c r="O16" i="25"/>
  <c r="P16" i="25"/>
  <c r="Q16" i="25"/>
  <c r="R16" i="25"/>
  <c r="S16" i="25"/>
  <c r="T16" i="25"/>
  <c r="U16" i="25"/>
  <c r="O17" i="25"/>
  <c r="P17" i="25"/>
  <c r="Q17" i="25"/>
  <c r="R17" i="25"/>
  <c r="S17" i="25"/>
  <c r="T17" i="25"/>
  <c r="U17" i="25"/>
  <c r="O18" i="25"/>
  <c r="P18" i="25"/>
  <c r="Q18" i="25"/>
  <c r="R18" i="25"/>
  <c r="S18" i="25"/>
  <c r="T18" i="25"/>
  <c r="U18" i="25"/>
  <c r="O19" i="25"/>
  <c r="P19" i="25"/>
  <c r="Q19" i="25"/>
  <c r="R19" i="25"/>
  <c r="S19" i="25"/>
  <c r="T19" i="25"/>
  <c r="U19" i="25"/>
  <c r="O20" i="25"/>
  <c r="P20" i="25"/>
  <c r="Q20" i="25"/>
  <c r="R20" i="25"/>
  <c r="S20" i="25"/>
  <c r="T20" i="25"/>
  <c r="U20" i="25"/>
  <c r="O21" i="25"/>
  <c r="P21" i="25"/>
  <c r="Q21" i="25"/>
  <c r="R21" i="25"/>
  <c r="S21" i="25"/>
  <c r="T21" i="25"/>
  <c r="U21" i="25"/>
  <c r="P10" i="25"/>
  <c r="Q10" i="25"/>
  <c r="R10" i="25"/>
  <c r="S10" i="25"/>
  <c r="T10" i="25"/>
  <c r="U10" i="25"/>
  <c r="O10" i="25"/>
  <c r="G11" i="25"/>
  <c r="H11" i="25"/>
  <c r="I11" i="25"/>
  <c r="J11" i="25"/>
  <c r="K11" i="25"/>
  <c r="L11" i="25"/>
  <c r="M11" i="25"/>
  <c r="G12" i="25"/>
  <c r="H12" i="25"/>
  <c r="I12" i="25"/>
  <c r="J12" i="25"/>
  <c r="K12" i="25"/>
  <c r="L12" i="25"/>
  <c r="M12" i="25"/>
  <c r="G13" i="25"/>
  <c r="H13" i="25"/>
  <c r="I13" i="25"/>
  <c r="J13" i="25"/>
  <c r="K13" i="25"/>
  <c r="L13" i="25"/>
  <c r="M13" i="25"/>
  <c r="G14" i="25"/>
  <c r="H14" i="25"/>
  <c r="I14" i="25"/>
  <c r="J14" i="25"/>
  <c r="K14" i="25"/>
  <c r="L14" i="25"/>
  <c r="M14" i="25"/>
  <c r="G15" i="25"/>
  <c r="H15" i="25"/>
  <c r="I15" i="25"/>
  <c r="J15" i="25"/>
  <c r="K15" i="25"/>
  <c r="L15" i="25"/>
  <c r="M15" i="25"/>
  <c r="G16" i="25"/>
  <c r="H16" i="25"/>
  <c r="I16" i="25"/>
  <c r="J16" i="25"/>
  <c r="K16" i="25"/>
  <c r="L16" i="25"/>
  <c r="M16" i="25"/>
  <c r="G17" i="25"/>
  <c r="H17" i="25"/>
  <c r="I17" i="25"/>
  <c r="J17" i="25"/>
  <c r="K17" i="25"/>
  <c r="L17" i="25"/>
  <c r="M17" i="25"/>
  <c r="G18" i="25"/>
  <c r="H18" i="25"/>
  <c r="I18" i="25"/>
  <c r="J18" i="25"/>
  <c r="K18" i="25"/>
  <c r="L18" i="25"/>
  <c r="M18" i="25"/>
  <c r="G19" i="25"/>
  <c r="H19" i="25"/>
  <c r="I19" i="25"/>
  <c r="J19" i="25"/>
  <c r="K19" i="25"/>
  <c r="L19" i="25"/>
  <c r="M19" i="25"/>
  <c r="G20" i="25"/>
  <c r="H20" i="25"/>
  <c r="I20" i="25"/>
  <c r="J20" i="25"/>
  <c r="K20" i="25"/>
  <c r="L20" i="25"/>
  <c r="M20" i="25"/>
  <c r="G21" i="25"/>
  <c r="H21" i="25"/>
  <c r="I21" i="25"/>
  <c r="J21" i="25"/>
  <c r="K21" i="25"/>
  <c r="L21" i="25"/>
  <c r="M21" i="25"/>
  <c r="H10" i="25"/>
  <c r="I10" i="25"/>
  <c r="J10" i="25"/>
  <c r="K10" i="25"/>
  <c r="L10" i="25"/>
  <c r="M10" i="25"/>
  <c r="G10" i="25"/>
  <c r="N32" i="25" l="1"/>
  <c r="M32" i="25"/>
  <c r="L32" i="25"/>
  <c r="K32" i="25"/>
  <c r="J32" i="25"/>
  <c r="I32" i="25"/>
  <c r="H32" i="25"/>
  <c r="N31" i="25"/>
  <c r="M31" i="25"/>
  <c r="L31" i="25"/>
  <c r="K31" i="25"/>
  <c r="J31" i="25"/>
  <c r="I31" i="25"/>
  <c r="H31" i="25"/>
  <c r="N30" i="25"/>
  <c r="M30" i="25"/>
  <c r="L30" i="25"/>
  <c r="K30" i="25"/>
  <c r="J30" i="25"/>
  <c r="I30" i="25"/>
  <c r="H30" i="25"/>
  <c r="N29" i="25"/>
  <c r="M29" i="25"/>
  <c r="L29" i="25"/>
  <c r="K29" i="25"/>
  <c r="J29" i="25"/>
  <c r="I29" i="25"/>
  <c r="H29" i="25"/>
  <c r="N28" i="25"/>
  <c r="M28" i="25"/>
  <c r="L28" i="25"/>
  <c r="K28" i="25"/>
  <c r="J28" i="25"/>
  <c r="I28" i="25"/>
  <c r="H28" i="25"/>
  <c r="N27" i="25"/>
  <c r="M27" i="25"/>
  <c r="L27" i="25"/>
  <c r="K27" i="25"/>
  <c r="J27" i="25"/>
  <c r="I27" i="25"/>
  <c r="H27" i="25"/>
  <c r="N26" i="25"/>
  <c r="M26" i="25"/>
  <c r="L26" i="25"/>
  <c r="K26" i="25"/>
  <c r="J26" i="25"/>
  <c r="I26" i="25"/>
  <c r="H26" i="25"/>
  <c r="V21" i="25"/>
  <c r="V20" i="25"/>
  <c r="N15" i="25"/>
  <c r="V14" i="25"/>
  <c r="N14" i="25"/>
  <c r="V13" i="25"/>
  <c r="U22" i="25"/>
  <c r="T22" i="25"/>
  <c r="S22" i="25"/>
  <c r="M22" i="25"/>
  <c r="L22" i="25"/>
  <c r="K22" i="25"/>
  <c r="J22" i="25"/>
  <c r="G22" i="25"/>
  <c r="G24" i="24"/>
  <c r="G25" i="24"/>
  <c r="G26" i="24"/>
  <c r="G27" i="24"/>
  <c r="G28" i="24"/>
  <c r="G29" i="24"/>
  <c r="G23" i="24"/>
  <c r="V12" i="25" l="1"/>
  <c r="V18" i="25"/>
  <c r="N12" i="25"/>
  <c r="V15" i="25"/>
  <c r="N17" i="25"/>
  <c r="N21" i="25"/>
  <c r="V10" i="25"/>
  <c r="V11" i="25"/>
  <c r="V17" i="25"/>
  <c r="N20" i="25"/>
  <c r="O22" i="25"/>
  <c r="N11" i="25"/>
  <c r="N16" i="25"/>
  <c r="V19" i="25"/>
  <c r="V16" i="25"/>
  <c r="N19" i="25"/>
  <c r="R22" i="25"/>
  <c r="N13" i="25"/>
  <c r="N18" i="25"/>
  <c r="P22" i="25"/>
  <c r="H22" i="25"/>
  <c r="N10" i="25"/>
  <c r="I22" i="25"/>
  <c r="Q22" i="25"/>
  <c r="O72" i="24"/>
  <c r="C73" i="24"/>
  <c r="O73" i="24" s="1"/>
  <c r="D73" i="24"/>
  <c r="R73" i="24" s="1"/>
  <c r="C74" i="24"/>
  <c r="D74" i="24" s="1"/>
  <c r="P72" i="24"/>
  <c r="V72" i="24" s="1"/>
  <c r="Q72" i="24"/>
  <c r="Q73" i="24"/>
  <c r="R72" i="24"/>
  <c r="S72" i="24"/>
  <c r="S73" i="24"/>
  <c r="T72" i="24"/>
  <c r="T73" i="24"/>
  <c r="U72" i="24"/>
  <c r="U73" i="24"/>
  <c r="G72" i="24"/>
  <c r="G73" i="24"/>
  <c r="N73" i="24" s="1"/>
  <c r="H72" i="24"/>
  <c r="H73" i="24"/>
  <c r="I72" i="24"/>
  <c r="I73" i="24"/>
  <c r="J72" i="24"/>
  <c r="J73" i="24"/>
  <c r="K72" i="24"/>
  <c r="K73" i="24"/>
  <c r="L72" i="24"/>
  <c r="L73" i="24"/>
  <c r="M72" i="24"/>
  <c r="M73" i="24"/>
  <c r="F73" i="24"/>
  <c r="F72" i="24"/>
  <c r="O62" i="24"/>
  <c r="N62" i="24"/>
  <c r="M62" i="24"/>
  <c r="L62" i="24"/>
  <c r="K62" i="24"/>
  <c r="J62" i="24"/>
  <c r="I62" i="24"/>
  <c r="H62" i="24"/>
  <c r="F62" i="24"/>
  <c r="O61" i="24"/>
  <c r="N61" i="24"/>
  <c r="M61" i="24"/>
  <c r="L61" i="24"/>
  <c r="K61" i="24"/>
  <c r="J61" i="24"/>
  <c r="I61" i="24"/>
  <c r="H61" i="24"/>
  <c r="F61" i="24"/>
  <c r="O60" i="24"/>
  <c r="N60" i="24"/>
  <c r="M60" i="24"/>
  <c r="L60" i="24"/>
  <c r="K60" i="24"/>
  <c r="J60" i="24"/>
  <c r="I60" i="24"/>
  <c r="H60" i="24"/>
  <c r="F60" i="24"/>
  <c r="O59" i="24"/>
  <c r="N59" i="24"/>
  <c r="M59" i="24"/>
  <c r="L59" i="24"/>
  <c r="K59" i="24"/>
  <c r="J59" i="24"/>
  <c r="I59" i="24"/>
  <c r="H59" i="24"/>
  <c r="F59" i="24"/>
  <c r="O58" i="24"/>
  <c r="N58" i="24"/>
  <c r="M58" i="24"/>
  <c r="L58" i="24"/>
  <c r="K58" i="24"/>
  <c r="J58" i="24"/>
  <c r="I58" i="24"/>
  <c r="H58" i="24"/>
  <c r="F58" i="24"/>
  <c r="O57" i="24"/>
  <c r="N57" i="24"/>
  <c r="M57" i="24"/>
  <c r="L57" i="24"/>
  <c r="K57" i="24"/>
  <c r="J57" i="24"/>
  <c r="I57" i="24"/>
  <c r="H57" i="24"/>
  <c r="F57" i="24"/>
  <c r="O56" i="24"/>
  <c r="N56" i="24"/>
  <c r="M56" i="24"/>
  <c r="L56" i="24"/>
  <c r="K56" i="24"/>
  <c r="J56" i="24"/>
  <c r="I56" i="24"/>
  <c r="H56" i="24"/>
  <c r="F56" i="24"/>
  <c r="O55" i="24"/>
  <c r="N55" i="24"/>
  <c r="M55" i="24"/>
  <c r="L55" i="24"/>
  <c r="K55" i="24"/>
  <c r="J55" i="24"/>
  <c r="I55" i="24"/>
  <c r="H55" i="24"/>
  <c r="F55" i="24"/>
  <c r="O54" i="24"/>
  <c r="N54" i="24"/>
  <c r="M54" i="24"/>
  <c r="L54" i="24"/>
  <c r="K54" i="24"/>
  <c r="J54" i="24"/>
  <c r="I54" i="24"/>
  <c r="H54" i="24"/>
  <c r="F54" i="24"/>
  <c r="O53" i="24"/>
  <c r="N53" i="24"/>
  <c r="M53" i="24"/>
  <c r="L53" i="24"/>
  <c r="K53" i="24"/>
  <c r="J53" i="24"/>
  <c r="I53" i="24"/>
  <c r="H53" i="24"/>
  <c r="F53" i="24"/>
  <c r="O46" i="24"/>
  <c r="N46" i="24"/>
  <c r="M46" i="24"/>
  <c r="L46" i="24"/>
  <c r="K46" i="24"/>
  <c r="J46" i="24"/>
  <c r="H46" i="24"/>
  <c r="F46" i="24"/>
  <c r="O45" i="24"/>
  <c r="N45" i="24"/>
  <c r="M45" i="24"/>
  <c r="L45" i="24"/>
  <c r="K45" i="24"/>
  <c r="J45" i="24"/>
  <c r="H45" i="24"/>
  <c r="F45" i="24"/>
  <c r="O44" i="24"/>
  <c r="N44" i="24"/>
  <c r="M44" i="24"/>
  <c r="L44" i="24"/>
  <c r="K44" i="24"/>
  <c r="J44" i="24"/>
  <c r="H44" i="24"/>
  <c r="F44" i="24"/>
  <c r="J23" i="24"/>
  <c r="J24" i="24"/>
  <c r="J25" i="24"/>
  <c r="J26" i="24"/>
  <c r="J27" i="24"/>
  <c r="J28" i="24"/>
  <c r="J29" i="24"/>
  <c r="I23" i="24"/>
  <c r="I24" i="24"/>
  <c r="I25" i="24"/>
  <c r="I26" i="24"/>
  <c r="I27" i="24"/>
  <c r="I28" i="24"/>
  <c r="I29" i="24"/>
  <c r="H23" i="24"/>
  <c r="H24" i="24"/>
  <c r="H25" i="24"/>
  <c r="H26" i="24"/>
  <c r="H27" i="24"/>
  <c r="H28" i="24"/>
  <c r="H29" i="24"/>
  <c r="G30" i="24"/>
  <c r="F23" i="24"/>
  <c r="F24" i="24"/>
  <c r="F25" i="24"/>
  <c r="F26" i="24"/>
  <c r="F27" i="24"/>
  <c r="F28" i="24"/>
  <c r="F29" i="24"/>
  <c r="O43" i="24"/>
  <c r="N43" i="24"/>
  <c r="M43" i="24"/>
  <c r="L43" i="24"/>
  <c r="K43" i="24"/>
  <c r="J43" i="24"/>
  <c r="H43" i="24"/>
  <c r="F43" i="24"/>
  <c r="O42" i="24"/>
  <c r="N42" i="24"/>
  <c r="M42" i="24"/>
  <c r="L42" i="24"/>
  <c r="K42" i="24"/>
  <c r="J42" i="24"/>
  <c r="H42" i="24"/>
  <c r="F42" i="24"/>
  <c r="O41" i="24"/>
  <c r="N41" i="24"/>
  <c r="M41" i="24"/>
  <c r="L41" i="24"/>
  <c r="K41" i="24"/>
  <c r="J41" i="24"/>
  <c r="H41" i="24"/>
  <c r="F41" i="24"/>
  <c r="O40" i="24"/>
  <c r="N40" i="24"/>
  <c r="M40" i="24"/>
  <c r="L40" i="24"/>
  <c r="K40" i="24"/>
  <c r="J40" i="24"/>
  <c r="H40" i="24"/>
  <c r="F40" i="24"/>
  <c r="O39" i="24"/>
  <c r="N39" i="24"/>
  <c r="M39" i="24"/>
  <c r="L39" i="24"/>
  <c r="K39" i="24"/>
  <c r="J39" i="24"/>
  <c r="H39" i="24"/>
  <c r="F39" i="24"/>
  <c r="O38" i="24"/>
  <c r="N38" i="24"/>
  <c r="M38" i="24"/>
  <c r="L38" i="24"/>
  <c r="K38" i="24"/>
  <c r="J38" i="24"/>
  <c r="H38" i="24"/>
  <c r="F38" i="24"/>
  <c r="O37" i="24"/>
  <c r="N37" i="24"/>
  <c r="M37" i="24"/>
  <c r="L37" i="24"/>
  <c r="K37" i="24"/>
  <c r="J37" i="24"/>
  <c r="H37" i="24"/>
  <c r="F37" i="24"/>
  <c r="L9" i="24"/>
  <c r="L10" i="24"/>
  <c r="L11" i="24"/>
  <c r="L12" i="24"/>
  <c r="L16" i="24" s="1"/>
  <c r="L13" i="24"/>
  <c r="L14" i="24"/>
  <c r="L15" i="24"/>
  <c r="K9" i="24"/>
  <c r="K10" i="24"/>
  <c r="K16" i="24" s="1"/>
  <c r="K11" i="24"/>
  <c r="K12" i="24"/>
  <c r="K13" i="24"/>
  <c r="K14" i="24"/>
  <c r="K15" i="24"/>
  <c r="J9" i="24"/>
  <c r="J10" i="24"/>
  <c r="J16" i="24" s="1"/>
  <c r="I16" i="24" s="1"/>
  <c r="J11" i="24"/>
  <c r="J12" i="24"/>
  <c r="I12" i="24" s="1"/>
  <c r="J13" i="24"/>
  <c r="J14" i="24"/>
  <c r="I14" i="24" s="1"/>
  <c r="J15" i="24"/>
  <c r="H9" i="24"/>
  <c r="H16" i="24" s="1"/>
  <c r="H10" i="24"/>
  <c r="H11" i="24"/>
  <c r="H12" i="24"/>
  <c r="H13" i="24"/>
  <c r="H14" i="24"/>
  <c r="H15" i="24"/>
  <c r="G9" i="24"/>
  <c r="G16" i="24" s="1"/>
  <c r="G10" i="24"/>
  <c r="G11" i="24"/>
  <c r="G12" i="24"/>
  <c r="G13" i="24"/>
  <c r="G14" i="24"/>
  <c r="G15" i="24"/>
  <c r="F9" i="24"/>
  <c r="I9" i="24" s="1"/>
  <c r="F10" i="24"/>
  <c r="I10" i="24" s="1"/>
  <c r="F11" i="24"/>
  <c r="F12" i="24"/>
  <c r="F13" i="24"/>
  <c r="I13" i="24" s="1"/>
  <c r="F14" i="24"/>
  <c r="F15" i="24"/>
  <c r="I15" i="24" s="1"/>
  <c r="I11" i="24"/>
  <c r="I91" i="15"/>
  <c r="H91" i="15"/>
  <c r="J91" i="15"/>
  <c r="K91" i="15"/>
  <c r="L91" i="15"/>
  <c r="M91" i="15"/>
  <c r="H92" i="15"/>
  <c r="I92" i="15"/>
  <c r="J92" i="15"/>
  <c r="K92" i="15"/>
  <c r="L92" i="15"/>
  <c r="M92" i="15"/>
  <c r="H93" i="15"/>
  <c r="I93" i="15"/>
  <c r="J93" i="15"/>
  <c r="K93" i="15"/>
  <c r="L93" i="15"/>
  <c r="M93" i="15"/>
  <c r="H94" i="15"/>
  <c r="I94" i="15"/>
  <c r="J94" i="15"/>
  <c r="K94" i="15"/>
  <c r="L94" i="15"/>
  <c r="M94" i="15"/>
  <c r="H95" i="15"/>
  <c r="I95" i="15"/>
  <c r="J95" i="15"/>
  <c r="K95" i="15"/>
  <c r="L95" i="15"/>
  <c r="M95" i="15"/>
  <c r="H96" i="15"/>
  <c r="I96" i="15"/>
  <c r="J96" i="15"/>
  <c r="K96" i="15"/>
  <c r="L96" i="15"/>
  <c r="M96" i="15"/>
  <c r="H97" i="15"/>
  <c r="I97" i="15"/>
  <c r="J97" i="15"/>
  <c r="K97" i="15"/>
  <c r="L97" i="15"/>
  <c r="M97" i="15"/>
  <c r="G92" i="15"/>
  <c r="G93" i="15"/>
  <c r="G94" i="15"/>
  <c r="G95" i="15"/>
  <c r="G96" i="15"/>
  <c r="G97" i="15"/>
  <c r="G91" i="15"/>
  <c r="O73" i="15"/>
  <c r="P73" i="15"/>
  <c r="Q73" i="15"/>
  <c r="R73" i="15"/>
  <c r="S73" i="15"/>
  <c r="T73" i="15"/>
  <c r="N73" i="15"/>
  <c r="G73" i="15"/>
  <c r="H73" i="15"/>
  <c r="I73" i="15"/>
  <c r="J73" i="15"/>
  <c r="K73" i="15"/>
  <c r="L73" i="15"/>
  <c r="F73" i="15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2" i="1"/>
  <c r="C74" i="15"/>
  <c r="E73" i="15"/>
  <c r="D74" i="15"/>
  <c r="N74" i="15"/>
  <c r="J74" i="15"/>
  <c r="P74" i="15"/>
  <c r="U73" i="15"/>
  <c r="M73" i="15"/>
  <c r="O54" i="15"/>
  <c r="P54" i="15"/>
  <c r="Q54" i="15"/>
  <c r="R54" i="15"/>
  <c r="S54" i="15"/>
  <c r="T54" i="15"/>
  <c r="N54" i="15"/>
  <c r="G54" i="15"/>
  <c r="H54" i="15"/>
  <c r="I54" i="15"/>
  <c r="J54" i="15"/>
  <c r="K54" i="15"/>
  <c r="L54" i="15"/>
  <c r="F54" i="15"/>
  <c r="Q74" i="15"/>
  <c r="C75" i="15"/>
  <c r="D75" i="15"/>
  <c r="C76" i="15"/>
  <c r="H74" i="15"/>
  <c r="F74" i="15"/>
  <c r="E74" i="15"/>
  <c r="L74" i="15"/>
  <c r="T74" i="15"/>
  <c r="K74" i="15"/>
  <c r="G74" i="15"/>
  <c r="O74" i="15"/>
  <c r="S74" i="15"/>
  <c r="I74" i="15"/>
  <c r="R74" i="15"/>
  <c r="F7" i="22"/>
  <c r="G7" i="22"/>
  <c r="H7" i="22"/>
  <c r="I7" i="22"/>
  <c r="F75" i="15"/>
  <c r="O75" i="15"/>
  <c r="U74" i="15"/>
  <c r="M74" i="15"/>
  <c r="S75" i="15"/>
  <c r="R75" i="15"/>
  <c r="I75" i="15"/>
  <c r="Q75" i="15"/>
  <c r="H75" i="15"/>
  <c r="L75" i="15"/>
  <c r="T75" i="15"/>
  <c r="P75" i="15"/>
  <c r="N75" i="15"/>
  <c r="J75" i="15"/>
  <c r="G75" i="15"/>
  <c r="K75" i="15"/>
  <c r="D76" i="15"/>
  <c r="C77" i="15"/>
  <c r="E75" i="15"/>
  <c r="C10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P14" i="23"/>
  <c r="Q14" i="23"/>
  <c r="C15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C16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O17" i="23"/>
  <c r="P17" i="23"/>
  <c r="Q17" i="23"/>
  <c r="C18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C19" i="23"/>
  <c r="D19" i="23"/>
  <c r="E19" i="23"/>
  <c r="F19" i="23"/>
  <c r="G19" i="23"/>
  <c r="H19" i="23"/>
  <c r="I19" i="23"/>
  <c r="J19" i="23"/>
  <c r="K19" i="23"/>
  <c r="L19" i="23"/>
  <c r="M19" i="23"/>
  <c r="N19" i="23"/>
  <c r="O19" i="23"/>
  <c r="P19" i="23"/>
  <c r="Q19" i="23"/>
  <c r="C20" i="23"/>
  <c r="D20" i="23"/>
  <c r="E20" i="23"/>
  <c r="F20" i="23"/>
  <c r="G20" i="23"/>
  <c r="H20" i="23"/>
  <c r="I20" i="23"/>
  <c r="J20" i="23"/>
  <c r="K20" i="23"/>
  <c r="L20" i="23"/>
  <c r="M20" i="23"/>
  <c r="N20" i="23"/>
  <c r="O20" i="23"/>
  <c r="P20" i="23"/>
  <c r="Q20" i="23"/>
  <c r="C21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C22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C23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C24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C25" i="23"/>
  <c r="D25" i="23"/>
  <c r="E25" i="23"/>
  <c r="F25" i="23"/>
  <c r="G25" i="23"/>
  <c r="H25" i="23"/>
  <c r="I25" i="23"/>
  <c r="J25" i="23"/>
  <c r="K25" i="23"/>
  <c r="L25" i="23"/>
  <c r="M25" i="23"/>
  <c r="N25" i="23"/>
  <c r="O25" i="23"/>
  <c r="P25" i="23"/>
  <c r="Q25" i="23"/>
  <c r="C26" i="23"/>
  <c r="D26" i="23"/>
  <c r="E26" i="23"/>
  <c r="F26" i="23"/>
  <c r="G26" i="23"/>
  <c r="H26" i="23"/>
  <c r="I26" i="23"/>
  <c r="J26" i="23"/>
  <c r="K26" i="23"/>
  <c r="L26" i="23"/>
  <c r="M26" i="23"/>
  <c r="N26" i="23"/>
  <c r="O26" i="23"/>
  <c r="P26" i="23"/>
  <c r="Q26" i="23"/>
  <c r="C27" i="23"/>
  <c r="D27" i="23"/>
  <c r="E27" i="23"/>
  <c r="F27" i="23"/>
  <c r="G27" i="23"/>
  <c r="H27" i="23"/>
  <c r="I27" i="23"/>
  <c r="J27" i="23"/>
  <c r="K27" i="23"/>
  <c r="L27" i="23"/>
  <c r="M27" i="23"/>
  <c r="N27" i="23"/>
  <c r="O27" i="23"/>
  <c r="P27" i="23"/>
  <c r="Q27" i="23"/>
  <c r="C28" i="23"/>
  <c r="D28" i="23"/>
  <c r="E28" i="23"/>
  <c r="F28" i="23"/>
  <c r="G28" i="23"/>
  <c r="H28" i="23"/>
  <c r="I28" i="23"/>
  <c r="J28" i="23"/>
  <c r="K28" i="23"/>
  <c r="L28" i="23"/>
  <c r="M28" i="23"/>
  <c r="N28" i="23"/>
  <c r="O28" i="23"/>
  <c r="P28" i="23"/>
  <c r="Q28" i="23"/>
  <c r="C29" i="23"/>
  <c r="D29" i="23"/>
  <c r="E29" i="23"/>
  <c r="F29" i="23"/>
  <c r="G29" i="23"/>
  <c r="H29" i="23"/>
  <c r="I29" i="23"/>
  <c r="J29" i="23"/>
  <c r="K29" i="23"/>
  <c r="L29" i="23"/>
  <c r="M29" i="23"/>
  <c r="N29" i="23"/>
  <c r="O29" i="23"/>
  <c r="P29" i="23"/>
  <c r="Q29" i="23"/>
  <c r="C30" i="23"/>
  <c r="D30" i="23"/>
  <c r="E30" i="23"/>
  <c r="F30" i="23"/>
  <c r="G30" i="23"/>
  <c r="H30" i="23"/>
  <c r="I30" i="23"/>
  <c r="J30" i="23"/>
  <c r="K30" i="23"/>
  <c r="L30" i="23"/>
  <c r="M30" i="23"/>
  <c r="N30" i="23"/>
  <c r="O30" i="23"/>
  <c r="P30" i="23"/>
  <c r="Q30" i="23"/>
  <c r="C31" i="23"/>
  <c r="D31" i="23"/>
  <c r="E31" i="23"/>
  <c r="F31" i="23"/>
  <c r="G31" i="23"/>
  <c r="H31" i="23"/>
  <c r="I31" i="23"/>
  <c r="J31" i="23"/>
  <c r="K31" i="23"/>
  <c r="L31" i="23"/>
  <c r="M31" i="23"/>
  <c r="N31" i="23"/>
  <c r="O31" i="23"/>
  <c r="P31" i="23"/>
  <c r="Q31" i="23"/>
  <c r="C32" i="23"/>
  <c r="D32" i="23"/>
  <c r="E32" i="23"/>
  <c r="F32" i="23"/>
  <c r="G32" i="23"/>
  <c r="H32" i="23"/>
  <c r="I32" i="23"/>
  <c r="J32" i="23"/>
  <c r="K32" i="23"/>
  <c r="L32" i="23"/>
  <c r="M32" i="23"/>
  <c r="N32" i="23"/>
  <c r="O32" i="23"/>
  <c r="P32" i="23"/>
  <c r="Q32" i="23"/>
  <c r="C33" i="23"/>
  <c r="D33" i="23"/>
  <c r="E33" i="23"/>
  <c r="F33" i="23"/>
  <c r="G33" i="23"/>
  <c r="H33" i="23"/>
  <c r="I33" i="23"/>
  <c r="J33" i="23"/>
  <c r="K33" i="23"/>
  <c r="L33" i="23"/>
  <c r="M33" i="23"/>
  <c r="N33" i="23"/>
  <c r="O33" i="23"/>
  <c r="P33" i="23"/>
  <c r="Q33" i="23"/>
  <c r="C34" i="23"/>
  <c r="D34" i="23"/>
  <c r="E34" i="23"/>
  <c r="F34" i="23"/>
  <c r="G34" i="23"/>
  <c r="H34" i="23"/>
  <c r="I34" i="23"/>
  <c r="J34" i="23"/>
  <c r="K34" i="23"/>
  <c r="L34" i="23"/>
  <c r="M34" i="23"/>
  <c r="N34" i="23"/>
  <c r="O34" i="23"/>
  <c r="P34" i="23"/>
  <c r="Q34" i="23"/>
  <c r="D9" i="23"/>
  <c r="E9" i="23"/>
  <c r="F9" i="23"/>
  <c r="G9" i="23"/>
  <c r="H9" i="23"/>
  <c r="I9" i="23"/>
  <c r="J9" i="23"/>
  <c r="K9" i="23"/>
  <c r="L9" i="23"/>
  <c r="M9" i="23"/>
  <c r="N9" i="23"/>
  <c r="O9" i="23"/>
  <c r="P9" i="23"/>
  <c r="Q9" i="23"/>
  <c r="C9" i="23"/>
  <c r="I10" i="22"/>
  <c r="I11" i="22"/>
  <c r="I12" i="22"/>
  <c r="I13" i="22"/>
  <c r="I9" i="22"/>
  <c r="I8" i="22"/>
  <c r="H10" i="22"/>
  <c r="H11" i="22"/>
  <c r="H12" i="22"/>
  <c r="H13" i="22"/>
  <c r="H9" i="22"/>
  <c r="H8" i="22"/>
  <c r="G9" i="22"/>
  <c r="G10" i="22"/>
  <c r="G11" i="22"/>
  <c r="G12" i="22"/>
  <c r="G13" i="22"/>
  <c r="G8" i="22"/>
  <c r="F10" i="22"/>
  <c r="F11" i="22"/>
  <c r="F12" i="22"/>
  <c r="J12" i="22"/>
  <c r="F13" i="22"/>
  <c r="F9" i="22"/>
  <c r="F8" i="22"/>
  <c r="E8" i="22"/>
  <c r="E9" i="22"/>
  <c r="E10" i="22"/>
  <c r="E11" i="22"/>
  <c r="E12" i="22"/>
  <c r="E13" i="22"/>
  <c r="D8" i="22"/>
  <c r="D9" i="22"/>
  <c r="D10" i="22"/>
  <c r="D11" i="22"/>
  <c r="D12" i="22"/>
  <c r="D13" i="22"/>
  <c r="C11" i="22"/>
  <c r="C12" i="22"/>
  <c r="C13" i="22"/>
  <c r="C10" i="22"/>
  <c r="C9" i="22"/>
  <c r="C8" i="22"/>
  <c r="J13" i="22"/>
  <c r="F76" i="15"/>
  <c r="J76" i="15"/>
  <c r="R76" i="15"/>
  <c r="O76" i="15"/>
  <c r="Q76" i="15"/>
  <c r="T76" i="15"/>
  <c r="S76" i="15"/>
  <c r="N76" i="15"/>
  <c r="I76" i="15"/>
  <c r="K76" i="15"/>
  <c r="P76" i="15"/>
  <c r="H76" i="15"/>
  <c r="L76" i="15"/>
  <c r="G76" i="15"/>
  <c r="M75" i="15"/>
  <c r="D77" i="15"/>
  <c r="C78" i="15"/>
  <c r="U75" i="15"/>
  <c r="E76" i="15"/>
  <c r="J10" i="22"/>
  <c r="J9" i="22"/>
  <c r="J11" i="22"/>
  <c r="J8" i="22"/>
  <c r="O77" i="15"/>
  <c r="N77" i="15"/>
  <c r="S77" i="15"/>
  <c r="R77" i="15"/>
  <c r="E77" i="15"/>
  <c r="P77" i="15"/>
  <c r="L77" i="15"/>
  <c r="I77" i="15"/>
  <c r="Q77" i="15"/>
  <c r="H77" i="15"/>
  <c r="T77" i="15"/>
  <c r="K77" i="15"/>
  <c r="G77" i="15"/>
  <c r="J77" i="15"/>
  <c r="F77" i="15"/>
  <c r="U76" i="15"/>
  <c r="D78" i="15"/>
  <c r="C79" i="15"/>
  <c r="M76" i="15"/>
  <c r="K29" i="2"/>
  <c r="N24" i="8"/>
  <c r="D15" i="8"/>
  <c r="M77" i="15"/>
  <c r="R78" i="15"/>
  <c r="J78" i="15"/>
  <c r="I78" i="15"/>
  <c r="N78" i="15"/>
  <c r="L78" i="15"/>
  <c r="H78" i="15"/>
  <c r="P78" i="15"/>
  <c r="T78" i="15"/>
  <c r="K78" i="15"/>
  <c r="G78" i="15"/>
  <c r="O78" i="15"/>
  <c r="S78" i="15"/>
  <c r="Q78" i="15"/>
  <c r="F78" i="15"/>
  <c r="D79" i="15"/>
  <c r="C80" i="15"/>
  <c r="U77" i="15"/>
  <c r="E78" i="15"/>
  <c r="F10" i="8"/>
  <c r="E18" i="8"/>
  <c r="E19" i="8"/>
  <c r="E20" i="8"/>
  <c r="E21" i="8"/>
  <c r="E22" i="8"/>
  <c r="E23" i="8"/>
  <c r="E24" i="8"/>
  <c r="E17" i="8"/>
  <c r="E79" i="15"/>
  <c r="N79" i="15"/>
  <c r="Q79" i="15"/>
  <c r="H79" i="15"/>
  <c r="K79" i="15"/>
  <c r="R79" i="15"/>
  <c r="F79" i="15"/>
  <c r="O79" i="15"/>
  <c r="G79" i="15"/>
  <c r="P79" i="15"/>
  <c r="T79" i="15"/>
  <c r="L79" i="15"/>
  <c r="J79" i="15"/>
  <c r="S79" i="15"/>
  <c r="I79" i="15"/>
  <c r="M78" i="15"/>
  <c r="D80" i="15"/>
  <c r="C81" i="15"/>
  <c r="U78" i="15"/>
  <c r="L9" i="19"/>
  <c r="M79" i="15"/>
  <c r="I80" i="15"/>
  <c r="F80" i="15"/>
  <c r="G80" i="15"/>
  <c r="R80" i="15"/>
  <c r="Q80" i="15"/>
  <c r="S80" i="15"/>
  <c r="O80" i="15"/>
  <c r="J80" i="15"/>
  <c r="N80" i="15"/>
  <c r="L80" i="15"/>
  <c r="H80" i="15"/>
  <c r="E80" i="15"/>
  <c r="P80" i="15"/>
  <c r="T80" i="15"/>
  <c r="K80" i="15"/>
  <c r="D81" i="15"/>
  <c r="C82" i="15"/>
  <c r="U79" i="15"/>
  <c r="P8" i="2"/>
  <c r="P9" i="2"/>
  <c r="P10" i="2"/>
  <c r="Q10" i="2" s="1"/>
  <c r="R10" i="2" s="1"/>
  <c r="P11" i="2"/>
  <c r="P12" i="2"/>
  <c r="P13" i="2"/>
  <c r="P14" i="2"/>
  <c r="P15" i="2"/>
  <c r="P16" i="2"/>
  <c r="K23" i="2"/>
  <c r="K24" i="2"/>
  <c r="K25" i="2"/>
  <c r="K26" i="2"/>
  <c r="K27" i="2"/>
  <c r="K28" i="2"/>
  <c r="K22" i="2"/>
  <c r="U80" i="15"/>
  <c r="P81" i="15"/>
  <c r="G81" i="15"/>
  <c r="K81" i="15"/>
  <c r="E81" i="15"/>
  <c r="S81" i="15"/>
  <c r="O81" i="15"/>
  <c r="F81" i="15"/>
  <c r="R81" i="15"/>
  <c r="N81" i="15"/>
  <c r="T81" i="15"/>
  <c r="H81" i="15"/>
  <c r="J81" i="15"/>
  <c r="Q81" i="15"/>
  <c r="I81" i="15"/>
  <c r="L81" i="15"/>
  <c r="M80" i="15"/>
  <c r="D82" i="15"/>
  <c r="C83" i="15"/>
  <c r="E2" i="2"/>
  <c r="Q82" i="15"/>
  <c r="L82" i="15"/>
  <c r="E82" i="15"/>
  <c r="O82" i="15"/>
  <c r="I82" i="15"/>
  <c r="S82" i="15"/>
  <c r="T82" i="15"/>
  <c r="G82" i="15"/>
  <c r="K82" i="15"/>
  <c r="F82" i="15"/>
  <c r="J82" i="15"/>
  <c r="R82" i="15"/>
  <c r="N82" i="15"/>
  <c r="H82" i="15"/>
  <c r="P82" i="15"/>
  <c r="M81" i="15"/>
  <c r="D83" i="15"/>
  <c r="C84" i="15"/>
  <c r="U81" i="15"/>
  <c r="E3" i="2"/>
  <c r="G24" i="15"/>
  <c r="G25" i="15"/>
  <c r="G26" i="15"/>
  <c r="G27" i="15"/>
  <c r="G28" i="15"/>
  <c r="G29" i="15"/>
  <c r="G30" i="15" s="1"/>
  <c r="G23" i="15"/>
  <c r="F24" i="15"/>
  <c r="F25" i="15"/>
  <c r="F26" i="15"/>
  <c r="F27" i="15"/>
  <c r="F28" i="15"/>
  <c r="F29" i="15"/>
  <c r="F23" i="15"/>
  <c r="F83" i="15"/>
  <c r="M82" i="15"/>
  <c r="P84" i="15"/>
  <c r="L84" i="15"/>
  <c r="O84" i="15"/>
  <c r="K84" i="15"/>
  <c r="Q84" i="15"/>
  <c r="R84" i="15"/>
  <c r="F84" i="15"/>
  <c r="S84" i="15"/>
  <c r="G84" i="15"/>
  <c r="T84" i="15"/>
  <c r="H84" i="15"/>
  <c r="I84" i="15"/>
  <c r="J84" i="15"/>
  <c r="N84" i="15"/>
  <c r="R83" i="15"/>
  <c r="R85" i="15"/>
  <c r="I83" i="15"/>
  <c r="I85" i="15"/>
  <c r="Q83" i="15"/>
  <c r="Q85" i="15"/>
  <c r="H83" i="15"/>
  <c r="L83" i="15"/>
  <c r="T83" i="15"/>
  <c r="T85" i="15"/>
  <c r="P83" i="15"/>
  <c r="P85" i="15"/>
  <c r="N83" i="15"/>
  <c r="J83" i="15"/>
  <c r="G83" i="15"/>
  <c r="G85" i="15"/>
  <c r="K83" i="15"/>
  <c r="K85" i="15"/>
  <c r="S83" i="15"/>
  <c r="S85" i="15"/>
  <c r="O83" i="15"/>
  <c r="O85" i="15"/>
  <c r="U82" i="15"/>
  <c r="E83" i="15"/>
  <c r="Q16" i="2"/>
  <c r="R16" i="2" s="1"/>
  <c r="Q8" i="2"/>
  <c r="R8" i="2" s="1"/>
  <c r="Q11" i="2"/>
  <c r="R11" i="2" s="1"/>
  <c r="Q13" i="2"/>
  <c r="R13" i="2" s="1"/>
  <c r="Q9" i="2"/>
  <c r="R9" i="2" s="1"/>
  <c r="Q15" i="2"/>
  <c r="R15" i="2" s="1"/>
  <c r="Q14" i="2"/>
  <c r="R14" i="2" s="1"/>
  <c r="Q12" i="2"/>
  <c r="R12" i="2" s="1"/>
  <c r="U83" i="15"/>
  <c r="J85" i="15"/>
  <c r="H85" i="15"/>
  <c r="L85" i="15"/>
  <c r="U84" i="15"/>
  <c r="N85" i="15"/>
  <c r="U85" i="15"/>
  <c r="M84" i="15"/>
  <c r="F85" i="15"/>
  <c r="M83" i="15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2" i="1"/>
  <c r="M85" i="15"/>
  <c r="E54" i="15"/>
  <c r="C55" i="15"/>
  <c r="S39" i="15"/>
  <c r="T39" i="15"/>
  <c r="U39" i="15"/>
  <c r="V39" i="15"/>
  <c r="S40" i="15"/>
  <c r="T40" i="15"/>
  <c r="U40" i="15"/>
  <c r="V40" i="15"/>
  <c r="S41" i="15"/>
  <c r="T41" i="15"/>
  <c r="U41" i="15"/>
  <c r="V41" i="15"/>
  <c r="S42" i="15"/>
  <c r="T42" i="15"/>
  <c r="U42" i="15"/>
  <c r="V42" i="15"/>
  <c r="S43" i="15"/>
  <c r="T43" i="15"/>
  <c r="U43" i="15"/>
  <c r="V43" i="15"/>
  <c r="S44" i="15"/>
  <c r="T44" i="15"/>
  <c r="U44" i="15"/>
  <c r="V44" i="15"/>
  <c r="S45" i="15"/>
  <c r="T45" i="15"/>
  <c r="U45" i="15"/>
  <c r="V45" i="15"/>
  <c r="S46" i="15"/>
  <c r="T46" i="15"/>
  <c r="U46" i="15"/>
  <c r="V46" i="15"/>
  <c r="S47" i="15"/>
  <c r="T47" i="15"/>
  <c r="U47" i="15"/>
  <c r="V47" i="15"/>
  <c r="V38" i="15"/>
  <c r="U38" i="15"/>
  <c r="T38" i="15"/>
  <c r="S38" i="15"/>
  <c r="Q39" i="15"/>
  <c r="Q40" i="15"/>
  <c r="Q41" i="15"/>
  <c r="Q42" i="15"/>
  <c r="Q43" i="15"/>
  <c r="Q44" i="15"/>
  <c r="Q45" i="15"/>
  <c r="Q46" i="15"/>
  <c r="Q47" i="15"/>
  <c r="Q38" i="15"/>
  <c r="P39" i="15"/>
  <c r="P40" i="15"/>
  <c r="P41" i="15"/>
  <c r="P42" i="15"/>
  <c r="P43" i="15"/>
  <c r="P44" i="15"/>
  <c r="P45" i="15"/>
  <c r="P46" i="15"/>
  <c r="P47" i="15"/>
  <c r="P38" i="15"/>
  <c r="O38" i="15"/>
  <c r="M39" i="15"/>
  <c r="M40" i="15"/>
  <c r="M41" i="15"/>
  <c r="M42" i="15"/>
  <c r="M43" i="15"/>
  <c r="M44" i="15"/>
  <c r="M45" i="15"/>
  <c r="M46" i="15"/>
  <c r="M47" i="15"/>
  <c r="S31" i="15"/>
  <c r="O47" i="15"/>
  <c r="O46" i="15"/>
  <c r="O45" i="15"/>
  <c r="O44" i="15"/>
  <c r="O43" i="15"/>
  <c r="O42" i="15"/>
  <c r="O41" i="15"/>
  <c r="O40" i="15"/>
  <c r="O39" i="15"/>
  <c r="V24" i="15"/>
  <c r="V25" i="15"/>
  <c r="V26" i="15"/>
  <c r="V27" i="15"/>
  <c r="V28" i="15"/>
  <c r="V29" i="15"/>
  <c r="V30" i="15"/>
  <c r="V31" i="15"/>
  <c r="V32" i="15"/>
  <c r="V23" i="15"/>
  <c r="U24" i="15"/>
  <c r="U25" i="15"/>
  <c r="U26" i="15"/>
  <c r="U27" i="15"/>
  <c r="U28" i="15"/>
  <c r="U29" i="15"/>
  <c r="U30" i="15"/>
  <c r="U31" i="15"/>
  <c r="U32" i="15"/>
  <c r="U23" i="15"/>
  <c r="T24" i="15"/>
  <c r="T25" i="15"/>
  <c r="T26" i="15"/>
  <c r="T27" i="15"/>
  <c r="T28" i="15"/>
  <c r="T29" i="15"/>
  <c r="T30" i="15"/>
  <c r="T31" i="15"/>
  <c r="T32" i="15"/>
  <c r="T23" i="15"/>
  <c r="S24" i="15"/>
  <c r="S25" i="15"/>
  <c r="S26" i="15"/>
  <c r="S27" i="15"/>
  <c r="S28" i="15"/>
  <c r="S29" i="15"/>
  <c r="S30" i="15"/>
  <c r="S32" i="15"/>
  <c r="Q24" i="15"/>
  <c r="Q25" i="15"/>
  <c r="Q26" i="15"/>
  <c r="Q27" i="15"/>
  <c r="Q28" i="15"/>
  <c r="Q29" i="15"/>
  <c r="Q30" i="15"/>
  <c r="Q31" i="15"/>
  <c r="Q32" i="15"/>
  <c r="Q23" i="15"/>
  <c r="O24" i="15"/>
  <c r="O25" i="15"/>
  <c r="O26" i="15"/>
  <c r="O27" i="15"/>
  <c r="O28" i="15"/>
  <c r="O29" i="15"/>
  <c r="O30" i="15"/>
  <c r="O31" i="15"/>
  <c r="O32" i="15"/>
  <c r="M24" i="15"/>
  <c r="M25" i="15"/>
  <c r="M26" i="15"/>
  <c r="M27" i="15"/>
  <c r="M28" i="15"/>
  <c r="M29" i="15"/>
  <c r="M30" i="15"/>
  <c r="M31" i="15"/>
  <c r="M32" i="15"/>
  <c r="O23" i="15"/>
  <c r="M23" i="15"/>
  <c r="D55" i="15"/>
  <c r="C56" i="15"/>
  <c r="S23" i="15"/>
  <c r="M38" i="15"/>
  <c r="K55" i="15"/>
  <c r="T55" i="15"/>
  <c r="F55" i="15"/>
  <c r="R55" i="15"/>
  <c r="G55" i="15"/>
  <c r="O55" i="15"/>
  <c r="Q55" i="15"/>
  <c r="S55" i="15"/>
  <c r="I55" i="15"/>
  <c r="J55" i="15"/>
  <c r="N55" i="15"/>
  <c r="L55" i="15"/>
  <c r="H55" i="15"/>
  <c r="P55" i="15"/>
  <c r="D56" i="15"/>
  <c r="C57" i="15"/>
  <c r="E55" i="15"/>
  <c r="P56" i="15"/>
  <c r="G56" i="15"/>
  <c r="J56" i="15"/>
  <c r="S56" i="15"/>
  <c r="N56" i="15"/>
  <c r="F56" i="15"/>
  <c r="D57" i="15"/>
  <c r="C58" i="15"/>
  <c r="K56" i="15"/>
  <c r="R56" i="15"/>
  <c r="O56" i="15"/>
  <c r="Q56" i="15"/>
  <c r="I56" i="15"/>
  <c r="H56" i="15"/>
  <c r="L56" i="15"/>
  <c r="T56" i="15"/>
  <c r="M55" i="15"/>
  <c r="E56" i="15"/>
  <c r="N57" i="15"/>
  <c r="D58" i="15"/>
  <c r="C59" i="15"/>
  <c r="D59" i="15"/>
  <c r="C60" i="15"/>
  <c r="E57" i="15"/>
  <c r="J57" i="15"/>
  <c r="R57" i="15"/>
  <c r="I57" i="15"/>
  <c r="Q57" i="15"/>
  <c r="H57" i="15"/>
  <c r="K57" i="15"/>
  <c r="T57" i="15"/>
  <c r="O57" i="15"/>
  <c r="G57" i="15"/>
  <c r="L57" i="15"/>
  <c r="S57" i="15"/>
  <c r="P57" i="15"/>
  <c r="F57" i="15"/>
  <c r="M56" i="15"/>
  <c r="E58" i="15"/>
  <c r="U54" i="15"/>
  <c r="M54" i="15"/>
  <c r="M57" i="15"/>
  <c r="O58" i="15"/>
  <c r="T59" i="15"/>
  <c r="H59" i="15"/>
  <c r="I59" i="15"/>
  <c r="N59" i="15"/>
  <c r="J59" i="15"/>
  <c r="O59" i="15"/>
  <c r="K59" i="15"/>
  <c r="P59" i="15"/>
  <c r="L59" i="15"/>
  <c r="R59" i="15"/>
  <c r="F59" i="15"/>
  <c r="Q59" i="15"/>
  <c r="S59" i="15"/>
  <c r="G59" i="15"/>
  <c r="J58" i="15"/>
  <c r="F58" i="15"/>
  <c r="N58" i="15"/>
  <c r="R58" i="15"/>
  <c r="I58" i="15"/>
  <c r="L58" i="15"/>
  <c r="H58" i="15"/>
  <c r="P58" i="15"/>
  <c r="T58" i="15"/>
  <c r="Q58" i="15"/>
  <c r="G58" i="15"/>
  <c r="K58" i="15"/>
  <c r="S58" i="15"/>
  <c r="E59" i="15"/>
  <c r="D60" i="15"/>
  <c r="C61" i="15"/>
  <c r="M58" i="15"/>
  <c r="Q60" i="15"/>
  <c r="L60" i="15"/>
  <c r="E60" i="15"/>
  <c r="H60" i="15"/>
  <c r="P60" i="15"/>
  <c r="T60" i="15"/>
  <c r="K60" i="15"/>
  <c r="F60" i="15"/>
  <c r="O60" i="15"/>
  <c r="R60" i="15"/>
  <c r="J60" i="15"/>
  <c r="G60" i="15"/>
  <c r="N60" i="15"/>
  <c r="S60" i="15"/>
  <c r="I60" i="15"/>
  <c r="M59" i="15"/>
  <c r="D61" i="15"/>
  <c r="C62" i="15"/>
  <c r="L61" i="15"/>
  <c r="Q61" i="15"/>
  <c r="I61" i="15"/>
  <c r="P61" i="15"/>
  <c r="K61" i="15"/>
  <c r="S61" i="15"/>
  <c r="O61" i="15"/>
  <c r="T61" i="15"/>
  <c r="H61" i="15"/>
  <c r="G61" i="15"/>
  <c r="F61" i="15"/>
  <c r="J61" i="15"/>
  <c r="R61" i="15"/>
  <c r="N61" i="15"/>
  <c r="M60" i="15"/>
  <c r="D62" i="15"/>
  <c r="C63" i="15"/>
  <c r="E61" i="15"/>
  <c r="F62" i="15"/>
  <c r="S62" i="15"/>
  <c r="J62" i="15"/>
  <c r="R62" i="15"/>
  <c r="N62" i="15"/>
  <c r="Q62" i="15"/>
  <c r="H62" i="15"/>
  <c r="L62" i="15"/>
  <c r="T62" i="15"/>
  <c r="P62" i="15"/>
  <c r="I62" i="15"/>
  <c r="K62" i="15"/>
  <c r="G62" i="15"/>
  <c r="O62" i="15"/>
  <c r="M61" i="15"/>
  <c r="D63" i="15"/>
  <c r="C64" i="15"/>
  <c r="E62" i="15"/>
  <c r="O63" i="15"/>
  <c r="F63" i="15"/>
  <c r="J63" i="15"/>
  <c r="Q63" i="15"/>
  <c r="R63" i="15"/>
  <c r="N63" i="15"/>
  <c r="L63" i="15"/>
  <c r="I63" i="15"/>
  <c r="H63" i="15"/>
  <c r="P63" i="15"/>
  <c r="T63" i="15"/>
  <c r="G63" i="15"/>
  <c r="K63" i="15"/>
  <c r="S63" i="15"/>
  <c r="M62" i="15"/>
  <c r="D64" i="15"/>
  <c r="C65" i="15"/>
  <c r="E63" i="15"/>
  <c r="N64" i="15"/>
  <c r="I64" i="15"/>
  <c r="H64" i="15"/>
  <c r="F64" i="15"/>
  <c r="J64" i="15"/>
  <c r="S64" i="15"/>
  <c r="K64" i="15"/>
  <c r="R64" i="15"/>
  <c r="R65" i="15"/>
  <c r="F65" i="15"/>
  <c r="S65" i="15"/>
  <c r="G65" i="15"/>
  <c r="T65" i="15"/>
  <c r="H65" i="15"/>
  <c r="K65" i="15"/>
  <c r="I65" i="15"/>
  <c r="N65" i="15"/>
  <c r="J65" i="15"/>
  <c r="P65" i="15"/>
  <c r="L65" i="15"/>
  <c r="O65" i="15"/>
  <c r="Q65" i="15"/>
  <c r="O64" i="15"/>
  <c r="Q64" i="15"/>
  <c r="L64" i="15"/>
  <c r="T64" i="15"/>
  <c r="P64" i="15"/>
  <c r="G64" i="15"/>
  <c r="E64" i="15"/>
  <c r="M63" i="15"/>
  <c r="M64" i="15"/>
  <c r="U65" i="15"/>
  <c r="M65" i="15"/>
  <c r="N66" i="15"/>
  <c r="G66" i="15"/>
  <c r="H66" i="15"/>
  <c r="Q66" i="15"/>
  <c r="R66" i="15"/>
  <c r="J66" i="15"/>
  <c r="P66" i="15"/>
  <c r="S66" i="15"/>
  <c r="O66" i="15"/>
  <c r="T66" i="15"/>
  <c r="L66" i="15"/>
  <c r="K66" i="15"/>
  <c r="F66" i="15"/>
  <c r="I66" i="15"/>
  <c r="M66" i="15"/>
  <c r="U66" i="15"/>
  <c r="H24" i="15"/>
  <c r="I24" i="15"/>
  <c r="J24" i="15"/>
  <c r="H25" i="15"/>
  <c r="I25" i="15"/>
  <c r="J25" i="15"/>
  <c r="H26" i="15"/>
  <c r="I26" i="15"/>
  <c r="J26" i="15"/>
  <c r="H27" i="15"/>
  <c r="I27" i="15"/>
  <c r="J27" i="15"/>
  <c r="H28" i="15"/>
  <c r="I28" i="15"/>
  <c r="J28" i="15"/>
  <c r="H29" i="15"/>
  <c r="H30" i="15" s="1"/>
  <c r="I29" i="15"/>
  <c r="J29" i="15"/>
  <c r="I23" i="15"/>
  <c r="H23" i="15"/>
  <c r="J23" i="15"/>
  <c r="J30" i="15"/>
  <c r="I30" i="15"/>
  <c r="F30" i="15"/>
  <c r="K10" i="15"/>
  <c r="L10" i="15"/>
  <c r="K11" i="15"/>
  <c r="L11" i="15"/>
  <c r="K12" i="15"/>
  <c r="L12" i="15"/>
  <c r="K13" i="15"/>
  <c r="L13" i="15"/>
  <c r="K14" i="15"/>
  <c r="L14" i="15"/>
  <c r="K15" i="15"/>
  <c r="L15" i="15"/>
  <c r="L9" i="15"/>
  <c r="K9" i="15"/>
  <c r="J10" i="15"/>
  <c r="J11" i="15"/>
  <c r="J12" i="15"/>
  <c r="J13" i="15"/>
  <c r="J14" i="15"/>
  <c r="J15" i="15"/>
  <c r="J9" i="15"/>
  <c r="F11" i="15"/>
  <c r="I24" i="2"/>
  <c r="J24" i="2"/>
  <c r="L24" i="2" s="1"/>
  <c r="F12" i="15"/>
  <c r="I25" i="2"/>
  <c r="J25" i="2"/>
  <c r="L25" i="2" s="1"/>
  <c r="F13" i="15"/>
  <c r="I26" i="2"/>
  <c r="J26" i="2"/>
  <c r="L26" i="2" s="1"/>
  <c r="F14" i="15"/>
  <c r="I27" i="2"/>
  <c r="J27" i="2"/>
  <c r="L27" i="2" s="1"/>
  <c r="F15" i="15"/>
  <c r="I28" i="2"/>
  <c r="J28" i="2"/>
  <c r="L28" i="2" s="1"/>
  <c r="H10" i="15"/>
  <c r="H11" i="15"/>
  <c r="H12" i="15"/>
  <c r="H13" i="15"/>
  <c r="H14" i="15"/>
  <c r="H15" i="15"/>
  <c r="H9" i="15"/>
  <c r="I14" i="15"/>
  <c r="M27" i="2"/>
  <c r="N27" i="2"/>
  <c r="I13" i="15"/>
  <c r="M26" i="2"/>
  <c r="N26" i="2"/>
  <c r="I12" i="15"/>
  <c r="M25" i="2"/>
  <c r="N25" i="2"/>
  <c r="I11" i="15"/>
  <c r="M24" i="2"/>
  <c r="N24" i="2"/>
  <c r="I15" i="15"/>
  <c r="M28" i="2"/>
  <c r="N28" i="2"/>
  <c r="K16" i="15"/>
  <c r="L16" i="15"/>
  <c r="J16" i="15"/>
  <c r="I16" i="15"/>
  <c r="M29" i="2"/>
  <c r="H16" i="15"/>
  <c r="R3" i="1"/>
  <c r="R4" i="1"/>
  <c r="R5" i="1"/>
  <c r="R6" i="1"/>
  <c r="R7" i="1"/>
  <c r="R8" i="1"/>
  <c r="R9" i="1"/>
  <c r="R10" i="1"/>
  <c r="R11" i="1"/>
  <c r="R12" i="1"/>
  <c r="R13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29" i="15"/>
  <c r="R44" i="15"/>
  <c r="R38" i="15"/>
  <c r="U60" i="15"/>
  <c r="U57" i="15"/>
  <c r="R23" i="15"/>
  <c r="R46" i="15"/>
  <c r="R31" i="15"/>
  <c r="U59" i="15"/>
  <c r="R43" i="15"/>
  <c r="R28" i="15"/>
  <c r="R47" i="15"/>
  <c r="R32" i="15"/>
  <c r="U58" i="15"/>
  <c r="R45" i="15"/>
  <c r="R30" i="15"/>
  <c r="U55" i="15"/>
  <c r="R26" i="15"/>
  <c r="R41" i="15"/>
  <c r="R42" i="15"/>
  <c r="R27" i="15"/>
  <c r="G11" i="15"/>
  <c r="U56" i="15"/>
  <c r="R39" i="15"/>
  <c r="R24" i="15"/>
  <c r="U64" i="15"/>
  <c r="G14" i="15"/>
  <c r="G15" i="15"/>
  <c r="G13" i="15"/>
  <c r="G12" i="15"/>
  <c r="U62" i="15"/>
  <c r="L10" i="8"/>
  <c r="G23" i="8"/>
  <c r="H23" i="8"/>
  <c r="G20" i="8"/>
  <c r="H20" i="8"/>
  <c r="G21" i="8"/>
  <c r="H21" i="8"/>
  <c r="G22" i="8"/>
  <c r="H22" i="8"/>
  <c r="G19" i="8"/>
  <c r="H19" i="8"/>
  <c r="G18" i="8"/>
  <c r="H18" i="8"/>
  <c r="G24" i="8"/>
  <c r="G17" i="8"/>
  <c r="H17" i="8"/>
  <c r="O17" i="8"/>
  <c r="F10" i="15"/>
  <c r="R14" i="1"/>
  <c r="O18" i="8"/>
  <c r="F9" i="15"/>
  <c r="R2" i="1"/>
  <c r="U63" i="15"/>
  <c r="O22" i="8"/>
  <c r="O21" i="8"/>
  <c r="O23" i="8"/>
  <c r="O20" i="8"/>
  <c r="O19" i="8"/>
  <c r="I9" i="15"/>
  <c r="M22" i="2"/>
  <c r="I22" i="2"/>
  <c r="I10" i="15"/>
  <c r="M23" i="2"/>
  <c r="I23" i="2"/>
  <c r="J23" i="2"/>
  <c r="L23" i="2" s="1"/>
  <c r="R40" i="15"/>
  <c r="R25" i="15"/>
  <c r="U61" i="15"/>
  <c r="F16" i="15"/>
  <c r="O24" i="8"/>
  <c r="G10" i="15"/>
  <c r="G9" i="15"/>
  <c r="N23" i="2"/>
  <c r="J22" i="2"/>
  <c r="I29" i="2"/>
  <c r="N22" i="2"/>
  <c r="H24" i="8"/>
  <c r="G16" i="15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J29" i="2"/>
  <c r="L22" i="2"/>
  <c r="N29" i="2"/>
  <c r="N16" i="2"/>
  <c r="O9" i="2"/>
  <c r="C62" i="18"/>
  <c r="D24" i="18"/>
  <c r="E44" i="18"/>
  <c r="E18" i="18"/>
  <c r="F54" i="18"/>
  <c r="F35" i="18"/>
  <c r="D40" i="18"/>
  <c r="C37" i="18"/>
  <c r="C64" i="18"/>
  <c r="E31" i="18"/>
  <c r="E19" i="18"/>
  <c r="C63" i="18"/>
  <c r="D52" i="18"/>
  <c r="F14" i="18"/>
  <c r="G44" i="18"/>
  <c r="D19" i="18"/>
  <c r="E32" i="18"/>
  <c r="D32" i="18"/>
  <c r="E54" i="18"/>
  <c r="G6" i="18"/>
  <c r="D56" i="18"/>
  <c r="E38" i="18"/>
  <c r="G24" i="18"/>
  <c r="F51" i="18"/>
  <c r="F32" i="18"/>
  <c r="E57" i="18"/>
  <c r="G61" i="18"/>
  <c r="G56" i="18"/>
  <c r="D16" i="18"/>
  <c r="F45" i="18"/>
  <c r="G41" i="18"/>
  <c r="F50" i="18"/>
  <c r="G37" i="18"/>
  <c r="G45" i="18"/>
  <c r="G7" i="18"/>
  <c r="F11" i="18"/>
  <c r="C3" i="18"/>
  <c r="G60" i="18"/>
  <c r="G2" i="18"/>
  <c r="G28" i="18"/>
  <c r="D22" i="18"/>
  <c r="F12" i="18"/>
  <c r="F40" i="18"/>
  <c r="F8" i="18"/>
  <c r="C57" i="18"/>
  <c r="N10" i="2"/>
  <c r="N11" i="2"/>
  <c r="G17" i="18"/>
  <c r="D8" i="18"/>
  <c r="G26" i="18"/>
  <c r="F64" i="18"/>
  <c r="F43" i="18"/>
  <c r="G8" i="18"/>
  <c r="G50" i="18"/>
  <c r="E33" i="18"/>
  <c r="C6" i="18"/>
  <c r="E21" i="18"/>
  <c r="G63" i="18"/>
  <c r="D31" i="18"/>
  <c r="D48" i="18"/>
  <c r="F9" i="18"/>
  <c r="C29" i="18"/>
  <c r="F3" i="18"/>
  <c r="D43" i="18"/>
  <c r="C39" i="18"/>
  <c r="C19" i="18"/>
  <c r="G15" i="18"/>
  <c r="G3" i="18"/>
  <c r="C40" i="18"/>
  <c r="F60" i="18"/>
  <c r="F41" i="18"/>
  <c r="C47" i="18"/>
  <c r="E9" i="18"/>
  <c r="E8" i="18"/>
  <c r="F34" i="18"/>
  <c r="E48" i="18"/>
  <c r="G10" i="18"/>
  <c r="E51" i="18"/>
  <c r="F26" i="18"/>
  <c r="E5" i="18"/>
  <c r="D10" i="18"/>
  <c r="E3" i="18"/>
  <c r="D44" i="18"/>
  <c r="E13" i="18"/>
  <c r="D17" i="18"/>
  <c r="E29" i="18"/>
  <c r="E2" i="18"/>
  <c r="G23" i="18"/>
  <c r="D6" i="18"/>
  <c r="O11" i="2"/>
  <c r="O14" i="2"/>
  <c r="D57" i="18"/>
  <c r="F16" i="18"/>
  <c r="D7" i="18"/>
  <c r="G55" i="18"/>
  <c r="D37" i="18"/>
  <c r="G38" i="18"/>
  <c r="E36" i="18"/>
  <c r="F7" i="18"/>
  <c r="C27" i="18"/>
  <c r="E7" i="18"/>
  <c r="C22" i="18"/>
  <c r="G43" i="18"/>
  <c r="D51" i="18"/>
  <c r="D59" i="18"/>
  <c r="G64" i="18"/>
  <c r="G54" i="18"/>
  <c r="D11" i="18"/>
  <c r="C51" i="18"/>
  <c r="E61" i="18"/>
  <c r="C14" i="18"/>
  <c r="D33" i="18"/>
  <c r="D39" i="18"/>
  <c r="C4" i="18"/>
  <c r="F52" i="18"/>
  <c r="E37" i="18"/>
  <c r="D28" i="18"/>
  <c r="E59" i="18"/>
  <c r="E53" i="18"/>
  <c r="F37" i="18"/>
  <c r="F63" i="18"/>
  <c r="F59" i="18"/>
  <c r="E4" i="18"/>
  <c r="C16" i="18"/>
  <c r="D2" i="18"/>
  <c r="C56" i="18"/>
  <c r="D36" i="18"/>
  <c r="F42" i="18"/>
  <c r="C59" i="18"/>
  <c r="D49" i="18"/>
  <c r="E63" i="18"/>
  <c r="F44" i="18"/>
  <c r="E56" i="18"/>
  <c r="G58" i="18"/>
  <c r="C55" i="18"/>
  <c r="F56" i="18"/>
  <c r="F49" i="18"/>
  <c r="F53" i="18"/>
  <c r="G34" i="18"/>
  <c r="L8" i="2"/>
  <c r="O12" i="2"/>
  <c r="N12" i="2"/>
  <c r="C24" i="18"/>
  <c r="F38" i="18"/>
  <c r="F21" i="18"/>
  <c r="D53" i="18"/>
  <c r="C23" i="18"/>
  <c r="D50" i="18"/>
  <c r="C48" i="18"/>
  <c r="E42" i="18"/>
  <c r="C49" i="18"/>
  <c r="G39" i="18"/>
  <c r="D21" i="18"/>
  <c r="F18" i="18"/>
  <c r="G9" i="18"/>
  <c r="G5" i="18"/>
  <c r="C43" i="18"/>
  <c r="G11" i="18"/>
  <c r="C18" i="18"/>
  <c r="C32" i="18"/>
  <c r="E41" i="18"/>
  <c r="F48" i="18"/>
  <c r="D18" i="18"/>
  <c r="C13" i="18"/>
  <c r="C65" i="18"/>
  <c r="E47" i="18"/>
  <c r="C60" i="18"/>
  <c r="F58" i="18"/>
  <c r="F55" i="18"/>
  <c r="E62" i="18"/>
  <c r="D54" i="18"/>
  <c r="D23" i="18"/>
  <c r="C33" i="18"/>
  <c r="C45" i="18"/>
  <c r="G65" i="18"/>
  <c r="D3" i="18"/>
  <c r="F5" i="18"/>
  <c r="C17" i="18"/>
  <c r="E64" i="18"/>
  <c r="F31" i="18"/>
  <c r="D46" i="18"/>
  <c r="G4" i="18"/>
  <c r="C21" i="18"/>
  <c r="E49" i="18"/>
  <c r="D9" i="18"/>
  <c r="E17" i="18"/>
  <c r="G19" i="18"/>
  <c r="C34" i="18"/>
  <c r="D45" i="18"/>
  <c r="C5" i="18"/>
  <c r="G49" i="18"/>
  <c r="C7" i="18"/>
  <c r="O16" i="2"/>
  <c r="N9" i="2"/>
  <c r="C58" i="18"/>
  <c r="C26" i="18"/>
  <c r="D63" i="18"/>
  <c r="G18" i="18"/>
  <c r="E60" i="18"/>
  <c r="E35" i="18"/>
  <c r="G32" i="18"/>
  <c r="F62" i="18"/>
  <c r="G14" i="18"/>
  <c r="E25" i="18"/>
  <c r="G35" i="18"/>
  <c r="E30" i="18"/>
  <c r="F19" i="18"/>
  <c r="D26" i="18"/>
  <c r="F57" i="18"/>
  <c r="D25" i="18"/>
  <c r="F10" i="18"/>
  <c r="C53" i="18"/>
  <c r="D42" i="18"/>
  <c r="D38" i="18"/>
  <c r="C12" i="18"/>
  <c r="F6" i="18"/>
  <c r="F17" i="18"/>
  <c r="E23" i="18"/>
  <c r="E46" i="18"/>
  <c r="C54" i="18"/>
  <c r="D13" i="18"/>
  <c r="D4" i="18"/>
  <c r="E34" i="18"/>
  <c r="E45" i="18"/>
  <c r="E65" i="18"/>
  <c r="G29" i="18"/>
  <c r="D15" i="18"/>
  <c r="E58" i="18"/>
  <c r="E12" i="18"/>
  <c r="E11" i="18"/>
  <c r="E55" i="18"/>
  <c r="G42" i="18"/>
  <c r="E43" i="18"/>
  <c r="O13" i="2"/>
  <c r="N14" i="2"/>
  <c r="O15" i="2"/>
  <c r="O10" i="2"/>
  <c r="G20" i="18"/>
  <c r="E50" i="18"/>
  <c r="E27" i="18"/>
  <c r="G51" i="18"/>
  <c r="D58" i="18"/>
  <c r="D47" i="18"/>
  <c r="C42" i="18"/>
  <c r="F61" i="18"/>
  <c r="G47" i="18"/>
  <c r="D60" i="18"/>
  <c r="C30" i="18"/>
  <c r="C61" i="18"/>
  <c r="G16" i="18"/>
  <c r="D27" i="18"/>
  <c r="C46" i="18"/>
  <c r="D41" i="18"/>
  <c r="C20" i="18"/>
  <c r="C15" i="18"/>
  <c r="F27" i="18"/>
  <c r="D61" i="18"/>
  <c r="C31" i="18"/>
  <c r="G21" i="18"/>
  <c r="G57" i="18"/>
  <c r="E22" i="18"/>
  <c r="D35" i="18"/>
  <c r="G53" i="18"/>
  <c r="E39" i="18"/>
  <c r="F65" i="18"/>
  <c r="D34" i="18"/>
  <c r="F4" i="18"/>
  <c r="G48" i="18"/>
  <c r="C28" i="18"/>
  <c r="C8" i="18"/>
  <c r="D55" i="18"/>
  <c r="G25" i="18"/>
  <c r="D65" i="18"/>
  <c r="G52" i="18"/>
  <c r="F13" i="18"/>
  <c r="C38" i="18"/>
  <c r="C41" i="18"/>
  <c r="E28" i="18"/>
  <c r="F30" i="18"/>
  <c r="C35" i="18"/>
  <c r="C9" i="18"/>
  <c r="F20" i="18"/>
  <c r="F39" i="18"/>
  <c r="F23" i="18"/>
  <c r="N13" i="2"/>
  <c r="N15" i="2"/>
  <c r="D5" i="18"/>
  <c r="C44" i="18"/>
  <c r="D12" i="18"/>
  <c r="C25" i="18"/>
  <c r="F33" i="18"/>
  <c r="F15" i="18"/>
  <c r="D29" i="18"/>
  <c r="G40" i="18"/>
  <c r="C10" i="18"/>
  <c r="F22" i="18"/>
  <c r="F2" i="18"/>
  <c r="C52" i="18"/>
  <c r="C2" i="18"/>
  <c r="D30" i="18"/>
  <c r="G46" i="18"/>
  <c r="F24" i="18"/>
  <c r="G12" i="18"/>
  <c r="C36" i="18"/>
  <c r="C11" i="18"/>
  <c r="E15" i="18"/>
  <c r="G33" i="18"/>
  <c r="G22" i="18"/>
  <c r="F47" i="18"/>
  <c r="E24" i="18"/>
  <c r="G62" i="18"/>
  <c r="F29" i="18"/>
  <c r="G31" i="18"/>
  <c r="F25" i="18"/>
  <c r="F46" i="18"/>
  <c r="F36" i="18"/>
  <c r="F28" i="18"/>
  <c r="D64" i="18"/>
  <c r="C50" i="18"/>
  <c r="E6" i="18"/>
  <c r="E52" i="18"/>
  <c r="D62" i="18"/>
  <c r="E10" i="18"/>
  <c r="D20" i="18"/>
  <c r="G30" i="18"/>
  <c r="E40" i="18"/>
  <c r="G59" i="18"/>
  <c r="D14" i="18"/>
  <c r="E20" i="18"/>
  <c r="G13" i="18"/>
  <c r="E14" i="18"/>
  <c r="G36" i="18"/>
  <c r="E16" i="18"/>
  <c r="G27" i="18"/>
  <c r="E26" i="18"/>
  <c r="V22" i="25" l="1"/>
  <c r="N22" i="25"/>
  <c r="C75" i="24"/>
  <c r="L74" i="24"/>
  <c r="P74" i="24"/>
  <c r="G74" i="24"/>
  <c r="S74" i="24"/>
  <c r="P73" i="24"/>
  <c r="J74" i="24"/>
  <c r="F74" i="24"/>
  <c r="M74" i="24"/>
  <c r="Q74" i="24"/>
  <c r="H74" i="24"/>
  <c r="T74" i="24"/>
  <c r="F16" i="24"/>
  <c r="K74" i="24"/>
  <c r="N72" i="24"/>
  <c r="R74" i="24"/>
  <c r="O74" i="24"/>
  <c r="I74" i="24"/>
  <c r="U74" i="24"/>
  <c r="F30" i="24"/>
  <c r="H30" i="24"/>
  <c r="L29" i="2"/>
  <c r="J30" i="24"/>
  <c r="I30" i="24"/>
  <c r="N8" i="2"/>
  <c r="O8" i="2"/>
  <c r="N7" i="2"/>
  <c r="O7" i="2"/>
  <c r="N74" i="24" l="1"/>
  <c r="V73" i="24"/>
  <c r="V74" i="24"/>
  <c r="P75" i="24"/>
  <c r="L75" i="24"/>
  <c r="S75" i="24"/>
  <c r="U75" i="24"/>
  <c r="I75" i="24"/>
  <c r="F75" i="24"/>
  <c r="R75" i="24"/>
  <c r="D75" i="24"/>
  <c r="C76" i="24" s="1"/>
  <c r="K75" i="24"/>
  <c r="O75" i="24"/>
  <c r="T75" i="24"/>
  <c r="H75" i="24"/>
  <c r="Q75" i="24"/>
  <c r="M75" i="24"/>
  <c r="J75" i="24"/>
  <c r="G75" i="24"/>
  <c r="P7" i="2"/>
  <c r="N75" i="24" l="1"/>
  <c r="G76" i="24"/>
  <c r="J76" i="24"/>
  <c r="R76" i="24"/>
  <c r="T76" i="24"/>
  <c r="H76" i="24"/>
  <c r="D76" i="24"/>
  <c r="C77" i="24" s="1"/>
  <c r="O76" i="24"/>
  <c r="V75" i="24"/>
  <c r="P17" i="2"/>
  <c r="R18" i="2"/>
  <c r="Q18" i="2"/>
  <c r="P18" i="2"/>
  <c r="Q7" i="2"/>
  <c r="R7" i="2" s="1"/>
  <c r="R17" i="2"/>
  <c r="Q17" i="2"/>
  <c r="K76" i="24" l="1"/>
  <c r="S76" i="24"/>
  <c r="F76" i="24"/>
  <c r="I76" i="24"/>
  <c r="N76" i="24" s="1"/>
  <c r="M76" i="24"/>
  <c r="U76" i="24"/>
  <c r="Q76" i="24"/>
  <c r="L76" i="24"/>
  <c r="D77" i="24"/>
  <c r="C78" i="24" s="1"/>
  <c r="L77" i="24"/>
  <c r="I77" i="24"/>
  <c r="Q77" i="24"/>
  <c r="P76" i="24"/>
  <c r="V76" i="24" s="1"/>
  <c r="M78" i="24" l="1"/>
  <c r="G78" i="24"/>
  <c r="P78" i="24"/>
  <c r="D78" i="24"/>
  <c r="C79" i="24" s="1"/>
  <c r="U78" i="24"/>
  <c r="K78" i="24"/>
  <c r="T78" i="24"/>
  <c r="U77" i="24"/>
  <c r="J77" i="24"/>
  <c r="H77" i="24"/>
  <c r="T77" i="24"/>
  <c r="O77" i="24"/>
  <c r="P77" i="24"/>
  <c r="K77" i="24"/>
  <c r="M77" i="24"/>
  <c r="R77" i="24"/>
  <c r="G77" i="24"/>
  <c r="F77" i="24"/>
  <c r="S77" i="24"/>
  <c r="H78" i="24" l="1"/>
  <c r="N78" i="24" s="1"/>
  <c r="L78" i="24"/>
  <c r="R78" i="24"/>
  <c r="S78" i="24"/>
  <c r="V77" i="24"/>
  <c r="O78" i="24"/>
  <c r="J78" i="24"/>
  <c r="N77" i="24"/>
  <c r="I78" i="24"/>
  <c r="F78" i="24"/>
  <c r="O79" i="24"/>
  <c r="T79" i="24"/>
  <c r="H79" i="24"/>
  <c r="Q79" i="24"/>
  <c r="M79" i="24"/>
  <c r="J79" i="24"/>
  <c r="S79" i="24"/>
  <c r="P79" i="24"/>
  <c r="L79" i="24"/>
  <c r="U79" i="24"/>
  <c r="I79" i="24"/>
  <c r="F79" i="24"/>
  <c r="K79" i="24"/>
  <c r="R79" i="24"/>
  <c r="D79" i="24"/>
  <c r="C80" i="24" s="1"/>
  <c r="Q78" i="24"/>
  <c r="V78" i="24" l="1"/>
  <c r="V79" i="24"/>
  <c r="D80" i="24"/>
  <c r="C81" i="24" s="1"/>
  <c r="Q80" i="24"/>
  <c r="F80" i="24"/>
  <c r="L80" i="24"/>
  <c r="I80" i="24"/>
  <c r="G79" i="24"/>
  <c r="N79" i="24" s="1"/>
  <c r="D81" i="24" l="1"/>
  <c r="C82" i="24" s="1"/>
  <c r="G80" i="24"/>
  <c r="R80" i="24"/>
  <c r="S80" i="24"/>
  <c r="H80" i="24"/>
  <c r="P80" i="24"/>
  <c r="J80" i="24"/>
  <c r="T80" i="24"/>
  <c r="O80" i="24"/>
  <c r="K80" i="24"/>
  <c r="U80" i="24"/>
  <c r="M80" i="24"/>
  <c r="V80" i="24" l="1"/>
  <c r="L81" i="24"/>
  <c r="J81" i="24"/>
  <c r="P81" i="24"/>
  <c r="M81" i="24"/>
  <c r="O81" i="24"/>
  <c r="Q81" i="24"/>
  <c r="I81" i="24"/>
  <c r="F81" i="24"/>
  <c r="U81" i="24"/>
  <c r="H81" i="24"/>
  <c r="G81" i="24"/>
  <c r="T81" i="24"/>
  <c r="S81" i="24"/>
  <c r="K81" i="24"/>
  <c r="N80" i="24"/>
  <c r="D82" i="24"/>
  <c r="C83" i="24" s="1"/>
  <c r="U82" i="24"/>
  <c r="I82" i="24"/>
  <c r="L82" i="24"/>
  <c r="O82" i="24"/>
  <c r="R82" i="24"/>
  <c r="K82" i="24"/>
  <c r="T82" i="24"/>
  <c r="H82" i="24"/>
  <c r="Q82" i="24"/>
  <c r="M82" i="24"/>
  <c r="F82" i="24"/>
  <c r="J82" i="24"/>
  <c r="S82" i="24"/>
  <c r="G82" i="24"/>
  <c r="P82" i="24"/>
  <c r="R81" i="24"/>
  <c r="N82" i="24" l="1"/>
  <c r="V81" i="24"/>
  <c r="V82" i="24"/>
  <c r="N81" i="24"/>
  <c r="P83" i="24"/>
  <c r="P84" i="24" s="1"/>
  <c r="L83" i="24"/>
  <c r="L84" i="24" s="1"/>
  <c r="U83" i="24"/>
  <c r="U84" i="24" s="1"/>
  <c r="I83" i="24"/>
  <c r="I84" i="24" s="1"/>
  <c r="R83" i="24"/>
  <c r="R84" i="24" s="1"/>
  <c r="S83" i="24"/>
  <c r="S84" i="24" s="1"/>
  <c r="O83" i="24"/>
  <c r="K83" i="24"/>
  <c r="K84" i="24" s="1"/>
  <c r="T83" i="24"/>
  <c r="T84" i="24" s="1"/>
  <c r="H83" i="24"/>
  <c r="H84" i="24" s="1"/>
  <c r="Q83" i="24"/>
  <c r="Q84" i="24" s="1"/>
  <c r="M83" i="24"/>
  <c r="M84" i="24" s="1"/>
  <c r="J83" i="24"/>
  <c r="J84" i="24" s="1"/>
  <c r="G83" i="24"/>
  <c r="N83" i="24" l="1"/>
  <c r="G84" i="24"/>
  <c r="N84" i="24" s="1"/>
  <c r="V83" i="24"/>
  <c r="O84" i="24"/>
  <c r="V84" i="24" s="1"/>
</calcChain>
</file>

<file path=xl/sharedStrings.xml><?xml version="1.0" encoding="utf-8"?>
<sst xmlns="http://schemas.openxmlformats.org/spreadsheetml/2006/main" count="988" uniqueCount="368">
  <si>
    <t>codigo_ins</t>
  </si>
  <si>
    <t>codigo_emi</t>
  </si>
  <si>
    <t>weight_f</t>
  </si>
  <si>
    <t>weight_b</t>
  </si>
  <si>
    <t>ctr</t>
  </si>
  <si>
    <t>mcr</t>
  </si>
  <si>
    <t>pcr</t>
  </si>
  <si>
    <t>duration</t>
  </si>
  <si>
    <t>nominal_f</t>
  </si>
  <si>
    <t>monto_f</t>
  </si>
  <si>
    <t>pais_emisor</t>
  </si>
  <si>
    <t>nombre_emisor</t>
  </si>
  <si>
    <t>nombre_instrumento</t>
  </si>
  <si>
    <t>rating_nacional</t>
  </si>
  <si>
    <t>rating_internacional</t>
  </si>
  <si>
    <t>moneda</t>
  </si>
  <si>
    <t>index_id</t>
  </si>
  <si>
    <t>ctd</t>
  </si>
  <si>
    <t>active_weight</t>
  </si>
  <si>
    <t>maturity_date</t>
  </si>
  <si>
    <t>days_to _maturity</t>
  </si>
  <si>
    <t>tipo_instrumento</t>
  </si>
  <si>
    <t>estrategia</t>
  </si>
  <si>
    <t>fecha</t>
  </si>
  <si>
    <t>QZ7003432</t>
  </si>
  <si>
    <t>QZ8845377</t>
  </si>
  <si>
    <t>QZ8845385</t>
  </si>
  <si>
    <t>EK6900568</t>
  </si>
  <si>
    <t>EJ5013655</t>
  </si>
  <si>
    <t>AL9338982</t>
  </si>
  <si>
    <t>AF1807128</t>
  </si>
  <si>
    <t>AO2615059</t>
  </si>
  <si>
    <t>JV5290624</t>
  </si>
  <si>
    <t>LW8106244</t>
  </si>
  <si>
    <t>EI1383294</t>
  </si>
  <si>
    <t>AO2615067</t>
  </si>
  <si>
    <t>EJ0602940</t>
  </si>
  <si>
    <t>EK0169285</t>
  </si>
  <si>
    <t>JV5341526</t>
  </si>
  <si>
    <t>105756BL3</t>
  </si>
  <si>
    <t>105756BT6</t>
  </si>
  <si>
    <t>105756BN9</t>
  </si>
  <si>
    <t>168863AU2</t>
  </si>
  <si>
    <t>EK0291089</t>
  </si>
  <si>
    <t>EF0376436</t>
  </si>
  <si>
    <t>EJ1922511</t>
  </si>
  <si>
    <t>EH7652033</t>
  </si>
  <si>
    <t>EI8220614</t>
  </si>
  <si>
    <t>EJ5096460</t>
  </si>
  <si>
    <t>EK6999263</t>
  </si>
  <si>
    <t>AM1281642</t>
  </si>
  <si>
    <t>EI2021109</t>
  </si>
  <si>
    <t>EJ3668765</t>
  </si>
  <si>
    <t>EG5593306</t>
  </si>
  <si>
    <t>EH7175118</t>
  </si>
  <si>
    <t>EI7361336</t>
  </si>
  <si>
    <t>EI1588082</t>
  </si>
  <si>
    <t>EJ0234298</t>
  </si>
  <si>
    <t>ED2028832</t>
  </si>
  <si>
    <t>QJ1649335</t>
  </si>
  <si>
    <t>EG1116375</t>
  </si>
  <si>
    <t>EK1693424</t>
  </si>
  <si>
    <t>EH6944449</t>
  </si>
  <si>
    <t>AM7523740</t>
  </si>
  <si>
    <t>EF0252694</t>
  </si>
  <si>
    <t>EK5799607</t>
  </si>
  <si>
    <t>QZ7445096</t>
  </si>
  <si>
    <t>EH3330816</t>
  </si>
  <si>
    <t>AO4008642</t>
  </si>
  <si>
    <t>AN9574152</t>
  </si>
  <si>
    <t>AP0760557</t>
  </si>
  <si>
    <t>ARGTES 18.2 10/03/21</t>
  </si>
  <si>
    <t>ARGTES 16 10/17/23</t>
  </si>
  <si>
    <t>ARGTES 15 1/2 10/17/26</t>
  </si>
  <si>
    <t>BLTN 0 01/01/19</t>
  </si>
  <si>
    <t>BNTNF 10 01/01/19</t>
  </si>
  <si>
    <t>BLTN 0 04/01/19</t>
  </si>
  <si>
    <t>BLTN 0 07/01/19</t>
  </si>
  <si>
    <t>BLTN 0 10/01/19</t>
  </si>
  <si>
    <t>BLTN 0 01/01/20</t>
  </si>
  <si>
    <t>BLTN 0 07/01/20</t>
  </si>
  <si>
    <t>BNTNF 10 01/01/21</t>
  </si>
  <si>
    <t>BLTN 0 07/01/21</t>
  </si>
  <si>
    <t>BNTNF 10 01/01/23</t>
  </si>
  <si>
    <t>BNTNF 10 01/01/25</t>
  </si>
  <si>
    <t>BNTNF 10 01/01/27</t>
  </si>
  <si>
    <t>BRAZIL 12 1/2 01/05/22</t>
  </si>
  <si>
    <t>BRAZIL 8 1/2 01/05/24</t>
  </si>
  <si>
    <t>BRAZIL 10 1/4 01/10/28</t>
  </si>
  <si>
    <t>CHILE 5 1/2 08/05/20</t>
  </si>
  <si>
    <t>COLTES 7 09/11/19</t>
  </si>
  <si>
    <t>COLTES 11 07/24/20</t>
  </si>
  <si>
    <t>COLTES 7 05/04/22</t>
  </si>
  <si>
    <t>COLTES 10 07/24/24</t>
  </si>
  <si>
    <t>COLTES 7 1/2 08/26/26</t>
  </si>
  <si>
    <t>COLTES 6 04/28/28</t>
  </si>
  <si>
    <t>COLTES 7 3/4 09/18/30</t>
  </si>
  <si>
    <t>COLTES 7 06/30/32</t>
  </si>
  <si>
    <t>COLOM 7 3/4 04/14/21</t>
  </si>
  <si>
    <t>COLOM 4 3/8 03/21/23</t>
  </si>
  <si>
    <t>COLOM 9.85 06/28/27</t>
  </si>
  <si>
    <t>MBONO 8 1/2 12/13/18</t>
  </si>
  <si>
    <t>MBONO 5 12/11/19</t>
  </si>
  <si>
    <t>MBONO 8 06/11/20</t>
  </si>
  <si>
    <t>MBONO 6 1/2 06/09/22</t>
  </si>
  <si>
    <t>MBONO 8 12/07/23</t>
  </si>
  <si>
    <t>MBONO 5 3/4 03/05/26</t>
  </si>
  <si>
    <t>MBONO 7 1/2 06/03/27</t>
  </si>
  <si>
    <t>MBONO 7 3/4 11/23/34</t>
  </si>
  <si>
    <t>MBONO 8 1/2 11/18/38</t>
  </si>
  <si>
    <t>MBONO 8 11/07/47</t>
  </si>
  <si>
    <t>PERUGB 7.84 08/12/20</t>
  </si>
  <si>
    <t>PERUGB 5.7 08/12/24</t>
  </si>
  <si>
    <t>PERUGB 6.35 08/12/28</t>
  </si>
  <si>
    <t>PERUGB 6.95 08/12/31</t>
  </si>
  <si>
    <t>PERUGB 6.15 08/12/32</t>
  </si>
  <si>
    <t>URUGUA 9 7/8 06/20/22</t>
  </si>
  <si>
    <t>URUGUA 8 1/2 03/15/28</t>
  </si>
  <si>
    <t>Bono de Gobierno</t>
  </si>
  <si>
    <t>BB+</t>
  </si>
  <si>
    <t>A-</t>
  </si>
  <si>
    <t>AAA</t>
  </si>
  <si>
    <t>AA</t>
  </si>
  <si>
    <t>AA+</t>
  </si>
  <si>
    <t>AA-</t>
  </si>
  <si>
    <t>AR</t>
  </si>
  <si>
    <t>BR</t>
  </si>
  <si>
    <t>CL</t>
  </si>
  <si>
    <t>CO</t>
  </si>
  <si>
    <t>MX</t>
  </si>
  <si>
    <t>PE</t>
  </si>
  <si>
    <t>UR</t>
  </si>
  <si>
    <t>ARS</t>
  </si>
  <si>
    <t>BRL</t>
  </si>
  <si>
    <t>CLP</t>
  </si>
  <si>
    <t>COP</t>
  </si>
  <si>
    <t>MXN</t>
  </si>
  <si>
    <t>PEN</t>
  </si>
  <si>
    <t>UGU</t>
  </si>
  <si>
    <t>Country</t>
  </si>
  <si>
    <t>Weight</t>
  </si>
  <si>
    <t>Saldo Inicial</t>
  </si>
  <si>
    <t>Ingresos</t>
  </si>
  <si>
    <t>Egresos</t>
  </si>
  <si>
    <t>Saldo</t>
  </si>
  <si>
    <t>Aportes</t>
  </si>
  <si>
    <t>Mval USD</t>
  </si>
  <si>
    <t>Total</t>
  </si>
  <si>
    <t>corte_minimo</t>
  </si>
  <si>
    <t>Suma</t>
  </si>
  <si>
    <t>Weight final</t>
  </si>
  <si>
    <t>Compras</t>
  </si>
  <si>
    <t>Ventas</t>
  </si>
  <si>
    <t>Flujo Día</t>
  </si>
  <si>
    <t>weight</t>
  </si>
  <si>
    <t>Δ</t>
  </si>
  <si>
    <t>exposure</t>
  </si>
  <si>
    <t>Chile</t>
  </si>
  <si>
    <t>Mexico</t>
  </si>
  <si>
    <t>Colombia</t>
  </si>
  <si>
    <t>Peru</t>
  </si>
  <si>
    <t>Brazil</t>
  </si>
  <si>
    <t>Argentina</t>
  </si>
  <si>
    <t>Uruguay</t>
  </si>
  <si>
    <t>Currency</t>
  </si>
  <si>
    <t>SUMMARY VIEW</t>
  </si>
  <si>
    <t>CURRENCY VIEW</t>
  </si>
  <si>
    <t>dur</t>
  </si>
  <si>
    <t>TOP 10 INSTRUMENTS</t>
  </si>
  <si>
    <t>Ranking</t>
  </si>
  <si>
    <t>Instrument</t>
  </si>
  <si>
    <t>Rating</t>
  </si>
  <si>
    <t>TOP 10 RISK INSTRUMENTS</t>
  </si>
  <si>
    <t>Duration</t>
  </si>
  <si>
    <t>WEIHGT BY COUNTRY</t>
  </si>
  <si>
    <t>ACTIVE WEIHGT BY COUNTRY</t>
  </si>
  <si>
    <t>Trade 1</t>
  </si>
  <si>
    <t>Rate 1</t>
  </si>
  <si>
    <t>FX 1</t>
  </si>
  <si>
    <t>Nominal</t>
  </si>
  <si>
    <t>VP</t>
  </si>
  <si>
    <t>Trade 2</t>
  </si>
  <si>
    <t>Papel</t>
  </si>
  <si>
    <t>FX</t>
  </si>
  <si>
    <t>N°</t>
  </si>
  <si>
    <t xml:space="preserve">weight </t>
  </si>
  <si>
    <r>
      <t xml:space="preserve">weight </t>
    </r>
    <r>
      <rPr>
        <b/>
        <i/>
        <sz val="11"/>
        <color theme="1"/>
        <rFont val="Arial Narrow"/>
        <family val="2"/>
      </rPr>
      <t>trades</t>
    </r>
  </si>
  <si>
    <t>Valor Presente [USD]</t>
  </si>
  <si>
    <t>Patrimonio Fondo Inicio dia</t>
  </si>
  <si>
    <t>Isin</t>
  </si>
  <si>
    <t>MX0MGO0000U2</t>
  </si>
  <si>
    <t>YAS_BOND_YLD</t>
  </si>
  <si>
    <t>PX_DIRTY_ASK</t>
  </si>
  <si>
    <t>ARARGE3202H4 Corp</t>
  </si>
  <si>
    <t>ARARGE3202H4</t>
  </si>
  <si>
    <t>PX_CLEAN_ASK</t>
  </si>
  <si>
    <t>Nominal BBG</t>
  </si>
  <si>
    <t>CRNCY</t>
  </si>
  <si>
    <t>ARARGE4502J2 Corp</t>
  </si>
  <si>
    <t>ARARGE4502K0 Corp</t>
  </si>
  <si>
    <t>BRSTNCLTN764 Corp</t>
  </si>
  <si>
    <t>BRSTNCNTF162 Corp</t>
  </si>
  <si>
    <t>BRSTNCLTN7G6 Corp</t>
  </si>
  <si>
    <t>BRSTNCLTN798 Corp</t>
  </si>
  <si>
    <t>BRSTNCLTN7H4 Corp</t>
  </si>
  <si>
    <t>BRSTNCLTN7B7 Corp</t>
  </si>
  <si>
    <t>BRSTNCLTN7F8 Corp</t>
  </si>
  <si>
    <t>EI1383294 Corp</t>
  </si>
  <si>
    <t>BRSTNCLTN7I2 Corp</t>
  </si>
  <si>
    <t>BRSTNCNTF147 Corp</t>
  </si>
  <si>
    <t>BRSTNCNTF170 Corp</t>
  </si>
  <si>
    <t>BRSTNCNTF1P8 Corp</t>
  </si>
  <si>
    <t>US105756BL31 Corp</t>
  </si>
  <si>
    <t>US105756BT66 Corp</t>
  </si>
  <si>
    <t>US105756BN96 Corp</t>
  </si>
  <si>
    <t>CL0002329671 Corp</t>
  </si>
  <si>
    <t>CL0002269331 Corp</t>
  </si>
  <si>
    <t>CL0002172501 Corp</t>
  </si>
  <si>
    <t>CL0002187822 Corp</t>
  </si>
  <si>
    <t>CL0001974774 Corp</t>
  </si>
  <si>
    <t>US168863AU21 Corp</t>
  </si>
  <si>
    <t>COL17CT03011 Corp</t>
  </si>
  <si>
    <t>TFIT15240720 Corp</t>
  </si>
  <si>
    <t>COL17CT02864 Corp</t>
  </si>
  <si>
    <t>TFIT16240724 Corp</t>
  </si>
  <si>
    <t>EI8220614 Corp</t>
  </si>
  <si>
    <t>COL17CT02914 Corp</t>
  </si>
  <si>
    <t>COL17CT03342 Corp</t>
  </si>
  <si>
    <t>COL17CT03490 Corp</t>
  </si>
  <si>
    <t>XS0502258444 Corp</t>
  </si>
  <si>
    <t>XS0833886095 Corp</t>
  </si>
  <si>
    <t>XS0306322065 Corp</t>
  </si>
  <si>
    <t>MX0MGO0000V0 Corp</t>
  </si>
  <si>
    <t>MX0MGO0000L1 Corp</t>
  </si>
  <si>
    <t>MX0MGO0000N7 Corp</t>
  </si>
  <si>
    <t>EJ0234298 Corp</t>
  </si>
  <si>
    <t>MX0MGO000003 Corp</t>
  </si>
  <si>
    <t>MX0MGO000078 Corp</t>
  </si>
  <si>
    <t>MX0MGO0000Y4 Corp</t>
  </si>
  <si>
    <t>MX0MGO0000D8 Corp</t>
  </si>
  <si>
    <t>MX0MGO0000H9 Corp</t>
  </si>
  <si>
    <t>MX0MGO0000P2 Corp</t>
  </si>
  <si>
    <t>MX0MGO0000U2 Corp</t>
  </si>
  <si>
    <t>MX0MGO0000B2 Corp</t>
  </si>
  <si>
    <t>MX0MGO0000J5 Corp</t>
  </si>
  <si>
    <t>MX0MGO0000R8 Corp</t>
  </si>
  <si>
    <t>MX0MGO000102 Corp</t>
  </si>
  <si>
    <t>PEP01000CY33 Corp</t>
  </si>
  <si>
    <t>PEP01000C4W4 Corp</t>
  </si>
  <si>
    <t>PEP01000C0J9 Corp</t>
  </si>
  <si>
    <t>PEP01000C5D1 Corp</t>
  </si>
  <si>
    <t>PEP01000C4G7 Corp</t>
  </si>
  <si>
    <t>PEP01000C5E9 Corp</t>
  </si>
  <si>
    <t>PEP01000C2Z1 Corp</t>
  </si>
  <si>
    <t>USP96006AE41 Corp</t>
  </si>
  <si>
    <t>USP80557BV53 Corp</t>
  </si>
  <si>
    <t>AN2609906 Corp</t>
  </si>
  <si>
    <t>CL0002179951 Corp</t>
  </si>
  <si>
    <t>MXBIGO000LW5 Corp</t>
  </si>
  <si>
    <t>COL17CT03359 Corp</t>
  </si>
  <si>
    <t>MX0SGO000015 Corp</t>
  </si>
  <si>
    <t>BQ_FACE_AMT</t>
  </si>
  <si>
    <t>COUNTRY</t>
  </si>
  <si>
    <t>MIN_PIECE</t>
  </si>
  <si>
    <t>MIN_INCREMENT</t>
  </si>
  <si>
    <t>Tipo trade</t>
  </si>
  <si>
    <t>NOMINALES</t>
  </si>
  <si>
    <t>Cantidad</t>
  </si>
  <si>
    <t>TRADES</t>
  </si>
  <si>
    <t>ISIN</t>
  </si>
  <si>
    <t>Compra/Venta</t>
  </si>
  <si>
    <t>Nombre</t>
  </si>
  <si>
    <t>Instrumento</t>
  </si>
  <si>
    <t>COMPRA</t>
  </si>
  <si>
    <t>VENTA</t>
  </si>
  <si>
    <t>VPTE</t>
  </si>
  <si>
    <t>weight benchmark</t>
  </si>
  <si>
    <t>Precio Limpio</t>
  </si>
  <si>
    <t>Precio Sucio</t>
  </si>
  <si>
    <t>dur_old</t>
  </si>
  <si>
    <t>dur_new</t>
  </si>
  <si>
    <t>Code</t>
  </si>
  <si>
    <t>Fecha trades</t>
  </si>
  <si>
    <t>Yield</t>
  </si>
  <si>
    <t>Weight_p</t>
  </si>
  <si>
    <t>Caja</t>
  </si>
  <si>
    <t>codigo_fdo</t>
  </si>
  <si>
    <t>fecha_op</t>
  </si>
  <si>
    <t>fec_fix</t>
  </si>
  <si>
    <t>fec_vcto</t>
  </si>
  <si>
    <t>moneda_compra</t>
  </si>
  <si>
    <t>moneda_venta</t>
  </si>
  <si>
    <t>nominal_compra</t>
  </si>
  <si>
    <t>nominal_venta</t>
  </si>
  <si>
    <t>precio</t>
  </si>
  <si>
    <t>tipo</t>
  </si>
  <si>
    <t>instrumento_sintetico</t>
  </si>
  <si>
    <t>days_to_maturity</t>
  </si>
  <si>
    <t>MACRO 1.5</t>
  </si>
  <si>
    <t>BBVA</t>
  </si>
  <si>
    <t>FWDUSCL51618</t>
  </si>
  <si>
    <t>US$</t>
  </si>
  <si>
    <t>$</t>
  </si>
  <si>
    <t>Compensacion</t>
  </si>
  <si>
    <t>Unwind 1st Short USD 9m</t>
  </si>
  <si>
    <t>SANTANDER</t>
  </si>
  <si>
    <t>FWDCLUS51518</t>
  </si>
  <si>
    <t>1st Short USD 9m</t>
  </si>
  <si>
    <t>MACRO CLP3</t>
  </si>
  <si>
    <t>FWDCLUS51618</t>
  </si>
  <si>
    <t>FWDUSCL51718</t>
  </si>
  <si>
    <t>Unwind 2nd Short USD 9m</t>
  </si>
  <si>
    <t>FWDCLUS51718</t>
  </si>
  <si>
    <t>2nd Short USD 9m</t>
  </si>
  <si>
    <t>IMT E-PLUS</t>
  </si>
  <si>
    <t>JPMORGAN</t>
  </si>
  <si>
    <t>FWDCLUS121218</t>
  </si>
  <si>
    <t>Short USDCLP</t>
  </si>
  <si>
    <t>JP MORGAN</t>
  </si>
  <si>
    <t>FWDUSCL121218</t>
  </si>
  <si>
    <t>Long USDCLP</t>
  </si>
  <si>
    <t>nominal</t>
  </si>
  <si>
    <t>currency_pair</t>
  </si>
  <si>
    <t>US$-$</t>
  </si>
  <si>
    <t>RENTA</t>
  </si>
  <si>
    <t>FX Forwards Maturities</t>
  </si>
  <si>
    <t>Maturity</t>
  </si>
  <si>
    <t>Days</t>
  </si>
  <si>
    <t>FX Forwards Portfolio</t>
  </si>
  <si>
    <t>Fund</t>
  </si>
  <si>
    <t>Operation Date</t>
  </si>
  <si>
    <t>Issuer</t>
  </si>
  <si>
    <t>Fixing Date</t>
  </si>
  <si>
    <t>Maturity Date</t>
  </si>
  <si>
    <t>Long</t>
  </si>
  <si>
    <t>Short</t>
  </si>
  <si>
    <t>Long Amount</t>
  </si>
  <si>
    <t>Short Amount</t>
  </si>
  <si>
    <t>Price</t>
  </si>
  <si>
    <t>Type</t>
  </si>
  <si>
    <t>Synthetic</t>
  </si>
  <si>
    <t>Strategy</t>
  </si>
  <si>
    <t>Days to Maturity</t>
  </si>
  <si>
    <t>Poner Fecha</t>
  </si>
  <si>
    <t>GBI PORTFOLIOS DASHBOARD</t>
  </si>
  <si>
    <t>GBI INVESTMENT REPORT</t>
  </si>
  <si>
    <t>10.5+</t>
  </si>
  <si>
    <t>DV10</t>
  </si>
  <si>
    <t>ACTIVE DV10</t>
  </si>
  <si>
    <t>ctd_b</t>
  </si>
  <si>
    <t>FX Forward ARS</t>
  </si>
  <si>
    <t>FX Forward BRL</t>
  </si>
  <si>
    <t>FX Forward CLP</t>
  </si>
  <si>
    <t>FX Forward COP</t>
  </si>
  <si>
    <t>FX Forward MNX</t>
  </si>
  <si>
    <t>FX Forward PEN</t>
  </si>
  <si>
    <t>FX Forward URU</t>
  </si>
  <si>
    <t>Forward</t>
  </si>
  <si>
    <t>0.5 - 1.5</t>
  </si>
  <si>
    <t>1.5 - 2.5</t>
  </si>
  <si>
    <t>2.5 - 3.5</t>
  </si>
  <si>
    <t>3.5 - 4.5</t>
  </si>
  <si>
    <t>4.5 - 5.5</t>
  </si>
  <si>
    <t>5.5 - 6.5</t>
  </si>
  <si>
    <t>6.5 - 7.5</t>
  </si>
  <si>
    <t>7.5 - 8.5</t>
  </si>
  <si>
    <t>8.5 - 9.5</t>
  </si>
  <si>
    <t>9.5 - 10.5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</si>
</sst>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$&quot;* #,##0.00_-;\-&quot;$&quot;* #,##0.00_-;_-&quot;$&quot;* &quot;-&quot;??_-;_-@_-"/>
    <numFmt numFmtId="164" formatCode="0.0%"/>
    <numFmt numFmtId="165" formatCode="_-&quot;$&quot;* #,##0_-;\-&quot;$&quot;* #,##0_-;_-&quot;$&quot;* &quot;-&quot;??_-;_-@_-"/>
    <numFmt numFmtId="166" formatCode="#,##0.00%;[Red]\(#,##0.00%\)"/>
    <numFmt numFmtId="167" formatCode="0.00000"/>
    <numFmt numFmtId="168" formatCode="0.000"/>
    <numFmt numFmtId="169" formatCode="_(* #,##0.00_);_(* \(#,##0.00\);_(* &quot;-&quot;??_);_(@_)"/>
    <numFmt numFmtId="170" formatCode="0.0"/>
    <numFmt numFmtId="171" formatCode="0.0%;\-0.0%;;@\,"/>
    <numFmt numFmtId="172" formatCode="0.0;\-0.0;;@\,"/>
  </numFmts>
  <fonts count="21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Arial"/>
      <family val="2"/>
    </font>
    <font>
      <b/>
      <sz val="11"/>
      <color theme="1"/>
      <name val="Arial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b/>
      <i/>
      <sz val="11"/>
      <color theme="1"/>
      <name val="Arial Narrow"/>
      <family val="2"/>
    </font>
    <font>
      <b/>
      <sz val="11"/>
      <color theme="5" tint="-0.249977111117893"/>
      <name val="Arial"/>
      <family val="2"/>
      <scheme val="minor"/>
    </font>
    <font>
      <sz val="10"/>
      <name val="Arial"/>
      <family val="2"/>
    </font>
    <font>
      <sz val="11"/>
      <color rgb="FF59594F"/>
      <name val="Arial"/>
      <family val="2"/>
    </font>
    <font>
      <sz val="18"/>
      <color theme="3"/>
      <name val="Arial"/>
      <family val="2"/>
      <scheme val="major"/>
    </font>
    <font>
      <b/>
      <sz val="13"/>
      <color theme="3"/>
      <name val="Arial"/>
      <family val="2"/>
      <scheme val="minor"/>
    </font>
    <font>
      <b/>
      <sz val="18"/>
      <color theme="3"/>
      <name val="Arial Narrow"/>
      <family val="2"/>
    </font>
    <font>
      <sz val="14"/>
      <color theme="1"/>
      <name val="Arial Narrow"/>
      <family val="2"/>
    </font>
    <font>
      <b/>
      <sz val="16"/>
      <color theme="3"/>
      <name val="Arial Narrow"/>
      <family val="2"/>
    </font>
    <font>
      <b/>
      <sz val="14"/>
      <color theme="1"/>
      <name val="Arial Narrow"/>
      <family val="2"/>
    </font>
    <font>
      <sz val="12"/>
      <color theme="1"/>
      <name val="Arial Narrow"/>
      <family val="2"/>
    </font>
    <font>
      <b/>
      <sz val="16"/>
      <color theme="4"/>
      <name val="Arial"/>
      <family val="2"/>
      <scheme val="minor"/>
    </font>
    <font>
      <b/>
      <sz val="20"/>
      <color theme="4"/>
      <name val="Arial"/>
      <family val="2"/>
      <scheme val="major"/>
    </font>
    <font>
      <sz val="10"/>
      <color theme="1"/>
      <name val="Arial"/>
      <family val="2"/>
      <scheme val="minor"/>
    </font>
    <font>
      <b/>
      <sz val="10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/>
      <bottom style="thin">
        <color theme="9"/>
      </bottom>
      <diagonal/>
    </border>
    <border>
      <left/>
      <right/>
      <top/>
      <bottom style="thin">
        <color theme="9" tint="-0.249977111117893"/>
      </bottom>
      <diagonal/>
    </border>
    <border>
      <left/>
      <right/>
      <top style="thin">
        <color theme="9" tint="-0.249977111117893"/>
      </top>
      <bottom/>
      <diagonal/>
    </border>
    <border>
      <left/>
      <right/>
      <top/>
      <bottom style="thin">
        <color theme="0" tint="-0.34998626667073579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2" fillId="0" borderId="0"/>
    <xf numFmtId="44" fontId="1" fillId="0" borderId="0" applyFont="0" applyFill="0" applyBorder="0" applyAlignment="0" applyProtection="0"/>
    <xf numFmtId="169" fontId="8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5" applyNumberFormat="0" applyFill="0" applyAlignment="0" applyProtection="0"/>
    <xf numFmtId="169" fontId="1" fillId="0" borderId="0" applyFont="0" applyFill="0" applyBorder="0" applyAlignment="0" applyProtection="0"/>
  </cellStyleXfs>
  <cellXfs count="148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0" fontId="0" fillId="0" borderId="0" xfId="1" applyNumberFormat="1" applyFont="1" applyAlignment="1">
      <alignment horizontal="center"/>
    </xf>
    <xf numFmtId="10" fontId="0" fillId="0" borderId="0" xfId="1" applyNumberFormat="1" applyFont="1"/>
    <xf numFmtId="10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165" fontId="0" fillId="0" borderId="0" xfId="3" applyNumberFormat="1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164" fontId="0" fillId="0" borderId="0" xfId="0" applyNumberFormat="1" applyFont="1" applyAlignment="1">
      <alignment horizontal="center"/>
    </xf>
    <xf numFmtId="44" fontId="1" fillId="0" borderId="0" xfId="3" applyFont="1" applyAlignment="1">
      <alignment horizontal="center"/>
    </xf>
    <xf numFmtId="165" fontId="1" fillId="0" borderId="0" xfId="3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166" fontId="4" fillId="0" borderId="0" xfId="1" applyNumberFormat="1" applyFont="1" applyBorder="1" applyAlignment="1">
      <alignment horizontal="center" vertical="center"/>
    </xf>
    <xf numFmtId="164" fontId="4" fillId="0" borderId="0" xfId="1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6" fontId="4" fillId="0" borderId="1" xfId="1" applyNumberFormat="1" applyFont="1" applyBorder="1" applyAlignment="1">
      <alignment horizontal="center" vertical="center"/>
    </xf>
    <xf numFmtId="0" fontId="4" fillId="2" borderId="0" xfId="0" applyFont="1" applyFill="1" applyBorder="1" applyAlignment="1">
      <alignment vertical="center"/>
    </xf>
    <xf numFmtId="166" fontId="4" fillId="2" borderId="0" xfId="1" applyNumberFormat="1" applyFont="1" applyFill="1" applyBorder="1" applyAlignment="1">
      <alignment horizontal="center" vertical="center"/>
    </xf>
    <xf numFmtId="164" fontId="4" fillId="2" borderId="0" xfId="1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5" fillId="2" borderId="1" xfId="0" applyFont="1" applyFill="1" applyBorder="1"/>
    <xf numFmtId="0" fontId="5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0" borderId="0" xfId="0" applyAlignment="1"/>
    <xf numFmtId="0" fontId="4" fillId="0" borderId="1" xfId="0" applyFont="1" applyFill="1" applyBorder="1" applyAlignment="1">
      <alignment horizontal="center"/>
    </xf>
    <xf numFmtId="164" fontId="4" fillId="0" borderId="1" xfId="1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5" fillId="2" borderId="1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NumberFormat="1" applyFont="1" applyFill="1" applyBorder="1" applyAlignment="1">
      <alignment horizontal="center"/>
    </xf>
    <xf numFmtId="168" fontId="4" fillId="0" borderId="0" xfId="0" applyNumberFormat="1" applyFont="1" applyFill="1" applyBorder="1" applyAlignment="1">
      <alignment horizontal="center"/>
    </xf>
    <xf numFmtId="167" fontId="4" fillId="0" borderId="0" xfId="0" applyNumberFormat="1" applyFont="1" applyFill="1" applyBorder="1" applyAlignment="1">
      <alignment horizontal="center"/>
    </xf>
    <xf numFmtId="10" fontId="4" fillId="0" borderId="0" xfId="1" applyNumberFormat="1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NumberFormat="1" applyFont="1" applyBorder="1" applyAlignment="1">
      <alignment horizontal="center" vertical="center"/>
    </xf>
    <xf numFmtId="0" fontId="4" fillId="0" borderId="1" xfId="1" applyNumberFormat="1" applyFont="1" applyBorder="1" applyAlignment="1">
      <alignment horizontal="center" vertical="center"/>
    </xf>
    <xf numFmtId="0" fontId="4" fillId="2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left"/>
    </xf>
    <xf numFmtId="14" fontId="0" fillId="0" borderId="3" xfId="0" applyNumberFormat="1" applyBorder="1" applyAlignment="1"/>
    <xf numFmtId="0" fontId="3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4" xfId="1" applyNumberFormat="1" applyFont="1" applyBorder="1" applyAlignment="1">
      <alignment horizontal="center"/>
    </xf>
    <xf numFmtId="165" fontId="0" fillId="0" borderId="4" xfId="3" applyNumberFormat="1" applyFont="1" applyBorder="1" applyAlignment="1">
      <alignment horizontal="center"/>
    </xf>
    <xf numFmtId="10" fontId="0" fillId="0" borderId="4" xfId="1" applyNumberFormat="1" applyFont="1" applyBorder="1" applyAlignment="1">
      <alignment horizontal="center"/>
    </xf>
    <xf numFmtId="10" fontId="0" fillId="0" borderId="4" xfId="0" applyNumberFormat="1" applyBorder="1" applyAlignment="1">
      <alignment horizontal="center"/>
    </xf>
    <xf numFmtId="0" fontId="4" fillId="0" borderId="0" xfId="0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2" fontId="4" fillId="0" borderId="0" xfId="7" applyNumberFormat="1" applyFont="1" applyAlignment="1">
      <alignment horizontal="center" vertical="center"/>
    </xf>
    <xf numFmtId="2" fontId="15" fillId="0" borderId="1" xfId="0" applyNumberFormat="1" applyFont="1" applyBorder="1" applyAlignment="1">
      <alignment horizontal="center" vertical="center"/>
    </xf>
    <xf numFmtId="2" fontId="15" fillId="0" borderId="1" xfId="7" applyNumberFormat="1" applyFont="1" applyBorder="1" applyAlignment="1">
      <alignment horizontal="center" vertical="center"/>
    </xf>
    <xf numFmtId="2" fontId="15" fillId="0" borderId="0" xfId="7" applyNumberFormat="1" applyFont="1" applyBorder="1" applyAlignment="1">
      <alignment horizontal="center" vertical="center"/>
    </xf>
    <xf numFmtId="38" fontId="13" fillId="0" borderId="6" xfId="7" applyNumberFormat="1" applyFont="1" applyBorder="1" applyAlignment="1">
      <alignment horizontal="center" vertical="center"/>
    </xf>
    <xf numFmtId="38" fontId="13" fillId="0" borderId="2" xfId="7" applyNumberFormat="1" applyFont="1" applyBorder="1" applyAlignment="1">
      <alignment horizontal="center" vertical="center"/>
    </xf>
    <xf numFmtId="14" fontId="15" fillId="0" borderId="0" xfId="1" applyNumberFormat="1" applyFont="1" applyBorder="1" applyAlignment="1">
      <alignment horizontal="center" vertical="center"/>
    </xf>
    <xf numFmtId="38" fontId="13" fillId="0" borderId="7" xfId="7" applyNumberFormat="1" applyFont="1" applyBorder="1" applyAlignment="1">
      <alignment horizontal="center" vertical="center"/>
    </xf>
    <xf numFmtId="38" fontId="13" fillId="0" borderId="0" xfId="7" applyNumberFormat="1" applyFont="1" applyBorder="1" applyAlignment="1">
      <alignment horizontal="center" vertical="center"/>
    </xf>
    <xf numFmtId="14" fontId="15" fillId="0" borderId="1" xfId="1" applyNumberFormat="1" applyFont="1" applyBorder="1" applyAlignment="1">
      <alignment horizontal="center" vertical="center"/>
    </xf>
    <xf numFmtId="38" fontId="13" fillId="0" borderId="8" xfId="7" applyNumberFormat="1" applyFont="1" applyBorder="1" applyAlignment="1">
      <alignment horizontal="center" vertical="center"/>
    </xf>
    <xf numFmtId="38" fontId="13" fillId="0" borderId="1" xfId="7" applyNumberFormat="1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2" fontId="16" fillId="0" borderId="2" xfId="0" applyNumberFormat="1" applyFont="1" applyBorder="1" applyAlignment="1">
      <alignment vertical="center"/>
    </xf>
    <xf numFmtId="2" fontId="16" fillId="0" borderId="2" xfId="7" applyNumberFormat="1" applyFont="1" applyBorder="1" applyAlignment="1">
      <alignment vertical="center"/>
    </xf>
    <xf numFmtId="0" fontId="15" fillId="0" borderId="0" xfId="1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2" fontId="4" fillId="0" borderId="0" xfId="1" applyNumberFormat="1" applyFont="1" applyAlignment="1">
      <alignment horizontal="center" vertical="center"/>
    </xf>
    <xf numFmtId="2" fontId="13" fillId="0" borderId="0" xfId="1" applyNumberFormat="1" applyFont="1" applyAlignment="1">
      <alignment horizontal="center" vertical="center"/>
    </xf>
    <xf numFmtId="1" fontId="13" fillId="0" borderId="0" xfId="0" applyNumberFormat="1" applyFont="1" applyAlignment="1">
      <alignment horizontal="center" vertical="center"/>
    </xf>
    <xf numFmtId="0" fontId="16" fillId="0" borderId="2" xfId="0" applyFont="1" applyBorder="1" applyAlignment="1">
      <alignment vertical="center"/>
    </xf>
    <xf numFmtId="0" fontId="5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2" borderId="1" xfId="0" applyFont="1" applyFill="1" applyBorder="1" applyAlignment="1">
      <alignment horizontal="center"/>
    </xf>
    <xf numFmtId="0" fontId="17" fillId="0" borderId="0" xfId="0" applyFont="1"/>
    <xf numFmtId="170" fontId="4" fillId="0" borderId="0" xfId="0" applyNumberFormat="1" applyFont="1" applyBorder="1" applyAlignment="1">
      <alignment horizontal="center" vertical="center"/>
    </xf>
    <xf numFmtId="170" fontId="4" fillId="0" borderId="1" xfId="0" applyNumberFormat="1" applyFont="1" applyBorder="1" applyAlignment="1">
      <alignment horizontal="center" vertical="center"/>
    </xf>
    <xf numFmtId="0" fontId="17" fillId="0" borderId="0" xfId="0" applyFont="1" applyAlignment="1"/>
    <xf numFmtId="0" fontId="18" fillId="0" borderId="0" xfId="0" applyFont="1" applyBorder="1" applyAlignment="1"/>
    <xf numFmtId="170" fontId="4" fillId="2" borderId="0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0" xfId="0" applyFont="1"/>
    <xf numFmtId="164" fontId="19" fillId="0" borderId="0" xfId="1" applyNumberFormat="1" applyFont="1" applyAlignment="1">
      <alignment horizontal="center"/>
    </xf>
    <xf numFmtId="9" fontId="19" fillId="0" borderId="0" xfId="1" applyNumberFormat="1" applyFont="1" applyAlignment="1">
      <alignment horizontal="center"/>
    </xf>
    <xf numFmtId="0" fontId="20" fillId="2" borderId="1" xfId="0" applyFont="1" applyFill="1" applyBorder="1"/>
    <xf numFmtId="0" fontId="20" fillId="2" borderId="1" xfId="0" applyFont="1" applyFill="1" applyBorder="1" applyAlignment="1">
      <alignment horizontal="center" vertical="center"/>
    </xf>
    <xf numFmtId="10" fontId="19" fillId="0" borderId="0" xfId="1" applyNumberFormat="1" applyFont="1" applyAlignment="1">
      <alignment horizontal="center"/>
    </xf>
    <xf numFmtId="2" fontId="19" fillId="0" borderId="0" xfId="1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171" fontId="0" fillId="0" borderId="0" xfId="1" applyNumberFormat="1" applyFont="1" applyAlignment="1">
      <alignment horizontal="center"/>
    </xf>
    <xf numFmtId="171" fontId="0" fillId="2" borderId="0" xfId="1" applyNumberFormat="1" applyFont="1" applyFill="1" applyAlignment="1">
      <alignment horizontal="center"/>
    </xf>
    <xf numFmtId="171" fontId="5" fillId="2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0" fontId="20" fillId="2" borderId="9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2" borderId="1" xfId="0" applyFont="1" applyFill="1" applyBorder="1" applyAlignment="1">
      <alignment horizontal="center"/>
    </xf>
    <xf numFmtId="172" fontId="0" fillId="0" borderId="0" xfId="1" applyNumberFormat="1" applyFont="1" applyAlignment="1">
      <alignment horizontal="center"/>
    </xf>
    <xf numFmtId="172" fontId="0" fillId="2" borderId="0" xfId="1" applyNumberFormat="1" applyFont="1" applyFill="1" applyAlignment="1">
      <alignment horizontal="center"/>
    </xf>
    <xf numFmtId="172" fontId="5" fillId="2" borderId="2" xfId="1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19" fillId="0" borderId="10" xfId="0" applyFont="1" applyBorder="1" applyAlignment="1">
      <alignment horizontal="center"/>
    </xf>
    <xf numFmtId="0" fontId="0" fillId="0" borderId="0" xfId="0" applyBorder="1"/>
    <xf numFmtId="2" fontId="0" fillId="0" borderId="0" xfId="0" applyNumberFormat="1" applyAlignment="1">
      <alignment horizontal="center"/>
    </xf>
    <xf numFmtId="2" fontId="4" fillId="0" borderId="0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4" fillId="2" borderId="0" xfId="0" applyNumberFormat="1" applyFont="1" applyFill="1" applyBorder="1" applyAlignment="1">
      <alignment horizontal="center" vertical="center"/>
    </xf>
    <xf numFmtId="0" fontId="18" fillId="0" borderId="11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2" borderId="9" xfId="0" applyFont="1" applyFill="1" applyBorder="1" applyAlignment="1">
      <alignment horizontal="center" vertical="center"/>
    </xf>
    <xf numFmtId="0" fontId="18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12" fillId="0" borderId="1" xfId="6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4" fillId="0" borderId="0" xfId="5" applyFont="1" applyBorder="1" applyAlignment="1">
      <alignment horizontal="center" vertical="center"/>
    </xf>
    <xf numFmtId="2" fontId="12" fillId="0" borderId="1" xfId="6" applyNumberFormat="1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2" fontId="14" fillId="0" borderId="0" xfId="5" applyNumberFormat="1" applyFont="1" applyBorder="1" applyAlignment="1">
      <alignment horizontal="center" vertical="center"/>
    </xf>
    <xf numFmtId="0" fontId="5" fillId="2" borderId="0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10" fontId="4" fillId="0" borderId="1" xfId="1" applyNumberFormat="1" applyFont="1" applyBorder="1" applyAlignment="1">
      <alignment horizontal="center" vertical="center"/>
    </xf>
  </cellXfs>
  <cellStyles count="8">
    <cellStyle name="Millares 11" xfId="4" xr:uid="{D90F6478-A002-499F-8253-6E7C1B4F7720}"/>
    <cellStyle name="Millares 2" xfId="7" xr:uid="{68D2F2F6-F078-4F35-AC80-669C525BB9E6}"/>
    <cellStyle name="Moneda" xfId="3" builtinId="4"/>
    <cellStyle name="Normal" xfId="0" builtinId="0"/>
    <cellStyle name="Normal 3" xfId="2" xr:uid="{00000000-0005-0000-0000-000002000000}"/>
    <cellStyle name="Porcentaje" xfId="1" builtinId="5"/>
    <cellStyle name="Título" xfId="5" builtinId="15"/>
    <cellStyle name="Título 2" xfId="6" builtinId="17"/>
  </cellStyles>
  <dxfs count="8">
    <dxf>
      <font>
        <color rgb="FF008E40"/>
      </font>
    </dxf>
    <dxf>
      <font>
        <color rgb="FF9C0006"/>
      </font>
    </dxf>
    <dxf>
      <font>
        <color rgb="FF008E40"/>
      </font>
    </dxf>
    <dxf>
      <font>
        <color rgb="FF9C0006"/>
      </font>
    </dxf>
    <dxf>
      <font>
        <color rgb="FF008E40"/>
      </font>
    </dxf>
    <dxf>
      <font>
        <color rgb="FF9C0006"/>
      </font>
    </dxf>
    <dxf>
      <font>
        <color rgb="FF008E40"/>
      </font>
    </dxf>
    <dxf>
      <font>
        <color rgb="FF9C0006"/>
      </font>
    </dxf>
  </dxfs>
  <tableStyles count="0" defaultTableStyle="TableStyleMedium2" defaultPivotStyle="PivotStyleLight16"/>
  <colors>
    <mruColors>
      <color rgb="FF008E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742260466243827"/>
          <c:y val="0.10151331327752698"/>
          <c:w val="0.49291622246840583"/>
          <c:h val="0.7812971365328810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CDA-438E-B9E0-6CDC7039D7B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CDA-438E-B9E0-6CDC7039D7B1}"/>
              </c:ext>
            </c:extLst>
          </c:dPt>
          <c:dPt>
            <c:idx val="2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CDA-438E-B9E0-6CDC7039D7B1}"/>
              </c:ext>
            </c:extLst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CDA-438E-B9E0-6CDC7039D7B1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CDA-438E-B9E0-6CDC7039D7B1}"/>
              </c:ext>
            </c:extLst>
          </c:dPt>
          <c:dPt>
            <c:idx val="5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CDA-438E-B9E0-6CDC7039D7B1}"/>
              </c:ext>
            </c:extLst>
          </c:dPt>
          <c:dPt>
            <c:idx val="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CDA-438E-B9E0-6CDC7039D7B1}"/>
              </c:ext>
            </c:extLst>
          </c:dPt>
          <c:dLbls>
            <c:dLbl>
              <c:idx val="0"/>
              <c:layout>
                <c:manualLayout>
                  <c:x val="9.4964729278406129E-2"/>
                  <c:y val="-9.4751134319389349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CDA-438E-B9E0-6CDC7039D7B1}"/>
                </c:ext>
              </c:extLst>
            </c:dLbl>
            <c:dLbl>
              <c:idx val="1"/>
              <c:layout>
                <c:manualLayout>
                  <c:x val="0.10762041395376809"/>
                  <c:y val="-2.309535733008900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419883315688021"/>
                      <c:h val="0.1729992824235199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CDA-438E-B9E0-6CDC7039D7B1}"/>
                </c:ext>
              </c:extLst>
            </c:dLbl>
            <c:dLbl>
              <c:idx val="2"/>
              <c:layout>
                <c:manualLayout>
                  <c:x val="0.11210095767990286"/>
                  <c:y val="8.10711405562500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371569488736499"/>
                      <c:h val="0.1868878337517536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CCDA-438E-B9E0-6CDC7039D7B1}"/>
                </c:ext>
              </c:extLst>
            </c:dLbl>
            <c:dLbl>
              <c:idx val="3"/>
              <c:layout>
                <c:manualLayout>
                  <c:x val="-6.0312906606425958E-2"/>
                  <c:y val="0.12059627776624519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CDA-438E-B9E0-6CDC7039D7B1}"/>
                </c:ext>
              </c:extLst>
            </c:dLbl>
            <c:dLbl>
              <c:idx val="4"/>
              <c:layout>
                <c:manualLayout>
                  <c:x val="-0.15336837541315379"/>
                  <c:y val="9.7994406263195583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284700925386616"/>
                      <c:h val="0.1886098579310130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CCDA-438E-B9E0-6CDC7039D7B1}"/>
                </c:ext>
              </c:extLst>
            </c:dLbl>
            <c:dLbl>
              <c:idx val="5"/>
              <c:layout>
                <c:manualLayout>
                  <c:x val="-0.12840584000798061"/>
                  <c:y val="-1.47499618501121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843775174066435"/>
                      <c:h val="0.177198359893491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CCDA-438E-B9E0-6CDC7039D7B1}"/>
                </c:ext>
              </c:extLst>
            </c:dLbl>
            <c:dLbl>
              <c:idx val="6"/>
              <c:layout>
                <c:manualLayout>
                  <c:x val="-0.10932316019475274"/>
                  <c:y val="-6.524527290019231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CDA-438E-B9E0-6CDC7039D7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'display_IR (2)'!$E$9:$E$15</c:f>
              <c:strCache>
                <c:ptCount val="7"/>
                <c:pt idx="0">
                  <c:v>Argentina</c:v>
                </c:pt>
                <c:pt idx="1">
                  <c:v>Brazil</c:v>
                </c:pt>
                <c:pt idx="2">
                  <c:v>Chile</c:v>
                </c:pt>
                <c:pt idx="3">
                  <c:v>Colombia</c:v>
                </c:pt>
                <c:pt idx="4">
                  <c:v>Mexico</c:v>
                </c:pt>
                <c:pt idx="5">
                  <c:v>Peru</c:v>
                </c:pt>
                <c:pt idx="6">
                  <c:v>Uruguay</c:v>
                </c:pt>
              </c:strCache>
            </c:strRef>
          </c:cat>
          <c:val>
            <c:numRef>
              <c:f>'display_IR (2)'!$F$9:$F$15</c:f>
              <c:numCache>
                <c:formatCode>#,##0.00%;[Red]\(#,##0.00%\)</c:formatCode>
                <c:ptCount val="7"/>
                <c:pt idx="0">
                  <c:v>3.1E-2</c:v>
                </c:pt>
                <c:pt idx="1">
                  <c:v>0.29969999999999997</c:v>
                </c:pt>
                <c:pt idx="2">
                  <c:v>1.5699999999999999E-2</c:v>
                </c:pt>
                <c:pt idx="3">
                  <c:v>0.23499999999999999</c:v>
                </c:pt>
                <c:pt idx="4">
                  <c:v>0.17469999999999999</c:v>
                </c:pt>
                <c:pt idx="5">
                  <c:v>7.8100000000000003E-2</c:v>
                </c:pt>
                <c:pt idx="6">
                  <c:v>0.16579999999999995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CDA-438E-B9E0-6CDC7039D7B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0397355905176"/>
          <c:y val="0.15833333333333333"/>
          <c:w val="0.59383564238339426"/>
          <c:h val="0.745263157894736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'display_IR (2)'!$G$8</c:f>
              <c:strCache>
                <c:ptCount val="1"/>
                <c:pt idx="0">
                  <c:v>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E0D-460F-BBF9-F0B9A4C4825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E0D-460F-BBF9-F0B9A4C48257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E0D-460F-BBF9-F0B9A4C4825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E0D-460F-BBF9-F0B9A4C4825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E0D-460F-BBF9-F0B9A4C48257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E0D-460F-BBF9-F0B9A4C4825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ctr" rtl="0">
                    <a:defRPr lang="es-MX" sz="1000" b="0" i="0" u="none" strike="noStrike" kern="1200" baseline="0">
                      <a:solidFill>
                        <a:srgbClr val="59594F">
                          <a:lumMod val="75000"/>
                          <a:lumOff val="25000"/>
                        </a:srgbClr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68945589108012"/>
                      <c:h val="8.71674525646958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E0D-460F-BBF9-F0B9A4C4825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s-MX" sz="1000" b="0" i="0" u="none" strike="noStrike" kern="1200" baseline="0">
                      <a:solidFill>
                        <a:srgbClr val="59594F">
                          <a:lumMod val="75000"/>
                          <a:lumOff val="25000"/>
                        </a:srgbClr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6E0D-460F-BBF9-F0B9A4C48257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ctr" rtl="0">
                    <a:defRPr lang="es-MX" sz="1000" b="0" i="0" u="none" strike="noStrike" kern="1200" baseline="0">
                      <a:solidFill>
                        <a:srgbClr val="59594F">
                          <a:lumMod val="75000"/>
                          <a:lumOff val="25000"/>
                        </a:srgbClr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349737616623394"/>
                      <c:h val="5.696676714487623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E0D-460F-BBF9-F0B9A4C48257}"/>
                </c:ext>
              </c:extLst>
            </c:dLbl>
            <c:dLbl>
              <c:idx val="3"/>
              <c:layout>
                <c:manualLayout>
                  <c:x val="5.6330365265450759E-2"/>
                  <c:y val="1.9856572786795981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Arial Narrow" panose="020B0606020202030204" pitchFamily="34" charset="0"/>
                        <a:ea typeface="+mn-ea"/>
                        <a:cs typeface="+mn-cs"/>
                      </a:defRPr>
                    </a:pPr>
                    <a:fld id="{CF8AE5E9-5AA4-472E-8D6F-D9CCE1BEBC95}" type="CATEGORYNAME">
                      <a:rPr lang="en-US" sz="1000">
                        <a:latin typeface="Arial Narrow" panose="020B0606020202030204" pitchFamily="34" charset="0"/>
                      </a:rPr>
                      <a:pPr>
                        <a:defRPr sz="1000">
                          <a:latin typeface="Arial Narrow" panose="020B0606020202030204" pitchFamily="34" charset="0"/>
                        </a:defRPr>
                      </a:pPr>
                      <a:t>[NOMBRE DE CATEGORÍA]</a:t>
                    </a:fld>
                    <a:r>
                      <a:rPr lang="en-US" sz="1000" baseline="0">
                        <a:latin typeface="Arial Narrow" panose="020B0606020202030204" pitchFamily="34" charset="0"/>
                      </a:rPr>
                      <a:t>, </a:t>
                    </a:r>
                    <a:fld id="{9281D681-930B-423C-B598-285372440234}" type="VALUE">
                      <a:rPr lang="en-US" sz="1000" baseline="0">
                        <a:latin typeface="Arial Narrow" panose="020B0606020202030204" pitchFamily="34" charset="0"/>
                      </a:rPr>
                      <a:pPr>
                        <a:defRPr sz="1000">
                          <a:latin typeface="Arial Narrow" panose="020B0606020202030204" pitchFamily="34" charset="0"/>
                        </a:defRPr>
                      </a:pPr>
                      <a:t>[VALOR]</a:t>
                    </a:fld>
                    <a:endParaRPr lang="en-US" sz="1000" baseline="0">
                      <a:latin typeface="Arial Narrow" panose="020B0606020202030204" pitchFamily="34" charset="0"/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451102667938716"/>
                      <c:h val="0.10787482332928919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6E0D-460F-BBF9-F0B9A4C48257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ctr" rtl="0">
                    <a:defRPr lang="es-MX" sz="1000" b="0" i="0" u="none" strike="noStrike" kern="1200" baseline="0">
                      <a:solidFill>
                        <a:srgbClr val="59594F">
                          <a:lumMod val="75000"/>
                          <a:lumOff val="25000"/>
                        </a:srgbClr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957447932616436"/>
                      <c:h val="9.804849220147340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6E0D-460F-BBF9-F0B9A4C48257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ctr" rtl="0">
                    <a:defRPr lang="es-MX" sz="1000" b="0" i="0" u="none" strike="noStrike" kern="1200" baseline="0">
                      <a:solidFill>
                        <a:srgbClr val="59594F">
                          <a:lumMod val="75000"/>
                          <a:lumOff val="25000"/>
                        </a:srgbClr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024783229901375"/>
                      <c:h val="0.1020196745506622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6E0D-460F-BBF9-F0B9A4C48257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ctr" rtl="0">
                    <a:defRPr lang="es-MX" sz="1000" b="0" i="0" u="none" strike="noStrike" kern="1200" baseline="0">
                      <a:solidFill>
                        <a:srgbClr val="59594F">
                          <a:lumMod val="75000"/>
                          <a:lumOff val="25000"/>
                        </a:srgbClr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73257215579562"/>
                      <c:h val="9.010612750309564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6E0D-460F-BBF9-F0B9A4C482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'display_IR (2)'!$E$9:$E$15</c:f>
              <c:strCache>
                <c:ptCount val="7"/>
                <c:pt idx="0">
                  <c:v>Argentina</c:v>
                </c:pt>
                <c:pt idx="1">
                  <c:v>Brazil</c:v>
                </c:pt>
                <c:pt idx="2">
                  <c:v>Chile</c:v>
                </c:pt>
                <c:pt idx="3">
                  <c:v>Colombia</c:v>
                </c:pt>
                <c:pt idx="4">
                  <c:v>Mexico</c:v>
                </c:pt>
                <c:pt idx="5">
                  <c:v>Peru</c:v>
                </c:pt>
                <c:pt idx="6">
                  <c:v>Uruguay</c:v>
                </c:pt>
              </c:strCache>
            </c:strRef>
          </c:cat>
          <c:val>
            <c:numRef>
              <c:f>'display_IR (2)'!$G$9:$G$15</c:f>
              <c:numCache>
                <c:formatCode>0.0%</c:formatCode>
                <c:ptCount val="7"/>
                <c:pt idx="0">
                  <c:v>-0.01</c:v>
                </c:pt>
                <c:pt idx="1">
                  <c:v>-5.0000000000000001E-3</c:v>
                </c:pt>
                <c:pt idx="2">
                  <c:v>9.9999999999999985E-3</c:v>
                </c:pt>
                <c:pt idx="3">
                  <c:v>4.9999999999999992E-3</c:v>
                </c:pt>
                <c:pt idx="4">
                  <c:v>-1.9999999999999997E-2</c:v>
                </c:pt>
                <c:pt idx="5">
                  <c:v>-0.03</c:v>
                </c:pt>
                <c:pt idx="6" formatCode="#,##0.00%;[Red]\(#,##0.00%\)">
                  <c:v>9.9999999999999534E-3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E0D-460F-BBF9-F0B9A4C48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6049024"/>
        <c:axId val="347276416"/>
      </c:barChart>
      <c:catAx>
        <c:axId val="18604902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47276416"/>
        <c:crosses val="autoZero"/>
        <c:auto val="1"/>
        <c:lblAlgn val="ctr"/>
        <c:lblOffset val="100"/>
        <c:noMultiLvlLbl val="0"/>
      </c:catAx>
      <c:valAx>
        <c:axId val="347276416"/>
        <c:scaling>
          <c:orientation val="minMax"/>
        </c:scaling>
        <c:delete val="1"/>
        <c:axPos val="b"/>
        <c:numFmt formatCode="0.0%" sourceLinked="1"/>
        <c:majorTickMark val="out"/>
        <c:minorTickMark val="none"/>
        <c:tickLblPos val="nextTo"/>
        <c:crossAx val="18604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601012566700161"/>
          <c:y val="8.6145444266921417E-2"/>
          <c:w val="0.4508953746314458"/>
          <c:h val="0.793445696846757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9D8-48E0-9902-0EE12612E4D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9D8-48E0-9902-0EE12612E4DA}"/>
              </c:ext>
            </c:extLst>
          </c:dPt>
          <c:dPt>
            <c:idx val="2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9D8-48E0-9902-0EE12612E4DA}"/>
              </c:ext>
            </c:extLst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9D8-48E0-9902-0EE12612E4DA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9D8-48E0-9902-0EE12612E4DA}"/>
              </c:ext>
            </c:extLst>
          </c:dPt>
          <c:dPt>
            <c:idx val="5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9D8-48E0-9902-0EE12612E4DA}"/>
              </c:ext>
            </c:extLst>
          </c:dPt>
          <c:dPt>
            <c:idx val="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9D8-48E0-9902-0EE12612E4DA}"/>
              </c:ext>
            </c:extLst>
          </c:dPt>
          <c:dLbls>
            <c:dLbl>
              <c:idx val="0"/>
              <c:layout>
                <c:manualLayout>
                  <c:x val="3.8275515055902334E-2"/>
                  <c:y val="-9.18447544417108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768519835134214"/>
                      <c:h val="0.1557935498659052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9D8-48E0-9902-0EE12612E4DA}"/>
                </c:ext>
              </c:extLst>
            </c:dLbl>
            <c:dLbl>
              <c:idx val="1"/>
              <c:layout>
                <c:manualLayout>
                  <c:x val="0.10762041395376809"/>
                  <c:y val="-2.309535733008900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419883315688021"/>
                      <c:h val="0.1729992824235199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99D8-48E0-9902-0EE12612E4DA}"/>
                </c:ext>
              </c:extLst>
            </c:dLbl>
            <c:dLbl>
              <c:idx val="2"/>
              <c:layout>
                <c:manualLayout>
                  <c:x val="0.11210095767990286"/>
                  <c:y val="8.10711405562500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371569488736499"/>
                      <c:h val="0.1868878337517536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99D8-48E0-9902-0EE12612E4DA}"/>
                </c:ext>
              </c:extLst>
            </c:dLbl>
            <c:dLbl>
              <c:idx val="3"/>
              <c:layout>
                <c:manualLayout>
                  <c:x val="-6.0312906606425958E-2"/>
                  <c:y val="0.12059627776624519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9D8-48E0-9902-0EE12612E4DA}"/>
                </c:ext>
              </c:extLst>
            </c:dLbl>
            <c:dLbl>
              <c:idx val="4"/>
              <c:layout>
                <c:manualLayout>
                  <c:x val="-0.15336837541315379"/>
                  <c:y val="9.7994406263195583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284700925386616"/>
                      <c:h val="0.1886098579310130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99D8-48E0-9902-0EE12612E4DA}"/>
                </c:ext>
              </c:extLst>
            </c:dLbl>
            <c:dLbl>
              <c:idx val="5"/>
              <c:layout>
                <c:manualLayout>
                  <c:x val="-0.12840584000798061"/>
                  <c:y val="-1.47499618501121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843775174066435"/>
                      <c:h val="0.177198359893491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99D8-48E0-9902-0EE12612E4DA}"/>
                </c:ext>
              </c:extLst>
            </c:dLbl>
            <c:dLbl>
              <c:idx val="6"/>
              <c:layout>
                <c:manualLayout>
                  <c:x val="-0.10932316019475274"/>
                  <c:y val="-6.524527290019231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9D8-48E0-9902-0EE12612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'display_IR (2)'!$E$9:$E$15</c:f>
              <c:strCache>
                <c:ptCount val="7"/>
                <c:pt idx="0">
                  <c:v>Argentina</c:v>
                </c:pt>
                <c:pt idx="1">
                  <c:v>Brazil</c:v>
                </c:pt>
                <c:pt idx="2">
                  <c:v>Chile</c:v>
                </c:pt>
                <c:pt idx="3">
                  <c:v>Colombia</c:v>
                </c:pt>
                <c:pt idx="4">
                  <c:v>Mexico</c:v>
                </c:pt>
                <c:pt idx="5">
                  <c:v>Peru</c:v>
                </c:pt>
                <c:pt idx="6">
                  <c:v>Uruguay</c:v>
                </c:pt>
              </c:strCache>
            </c:strRef>
          </c:cat>
          <c:val>
            <c:numRef>
              <c:f>'display_IR (2)'!$F$9:$F$15</c:f>
              <c:numCache>
                <c:formatCode>#,##0.00%;[Red]\(#,##0.00%\)</c:formatCode>
                <c:ptCount val="7"/>
                <c:pt idx="0">
                  <c:v>3.1E-2</c:v>
                </c:pt>
                <c:pt idx="1">
                  <c:v>0.29969999999999997</c:v>
                </c:pt>
                <c:pt idx="2">
                  <c:v>1.5699999999999999E-2</c:v>
                </c:pt>
                <c:pt idx="3">
                  <c:v>0.23499999999999999</c:v>
                </c:pt>
                <c:pt idx="4">
                  <c:v>0.17469999999999999</c:v>
                </c:pt>
                <c:pt idx="5">
                  <c:v>7.8100000000000003E-2</c:v>
                </c:pt>
                <c:pt idx="6">
                  <c:v>0.16579999999999995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9D8-48E0-9902-0EE12612E4D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206829601343736"/>
          <c:y val="5.859335196912055E-2"/>
          <c:w val="0.72407281162236981"/>
          <c:h val="0.8389657105376677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'display_IR (2)'!$F$37:$F$46</c:f>
              <c:strCache>
                <c:ptCount val="10"/>
                <c:pt idx="0">
                  <c:v>URUGUA 8 1/2 03/15/28</c:v>
                </c:pt>
                <c:pt idx="1">
                  <c:v>BLTN 0 07/01/20</c:v>
                </c:pt>
                <c:pt idx="2">
                  <c:v>BNTNF 10 01/01/23</c:v>
                </c:pt>
                <c:pt idx="3">
                  <c:v>COLOM 7 3/4 04/14/21</c:v>
                </c:pt>
                <c:pt idx="4">
                  <c:v>COLTES 7 06/30/32</c:v>
                </c:pt>
                <c:pt idx="5">
                  <c:v>COLOM 4 3/8 03/21/23</c:v>
                </c:pt>
                <c:pt idx="6">
                  <c:v>PERUGB 5.7 08/12/24</c:v>
                </c:pt>
                <c:pt idx="7">
                  <c:v>MBONO 7 3/4 11/23/34</c:v>
                </c:pt>
                <c:pt idx="8">
                  <c:v>MBONO 8 1/2 11/18/38</c:v>
                </c:pt>
                <c:pt idx="9">
                  <c:v>BNTNF 10 01/01/21</c:v>
                </c:pt>
              </c:strCache>
            </c:strRef>
          </c:cat>
          <c:val>
            <c:numRef>
              <c:f>'display_IR (2)'!$G$37:$G$46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4473-4996-9B4A-8244731849B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4473-4996-9B4A-8244731849B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473-4996-9B4A-8244731849B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4473-4996-9B4A-8244731849B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473-4996-9B4A-8244731849B4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473-4996-9B4A-8244731849B4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473-4996-9B4A-8244731849B4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473-4996-9B4A-8244731849B4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4473-4996-9B4A-8244731849B4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473-4996-9B4A-8244731849B4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473-4996-9B4A-8244731849B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'display_IR (2)'!$F$37:$F$46</c:f>
              <c:strCache>
                <c:ptCount val="10"/>
                <c:pt idx="0">
                  <c:v>URUGUA 8 1/2 03/15/28</c:v>
                </c:pt>
                <c:pt idx="1">
                  <c:v>BLTN 0 07/01/20</c:v>
                </c:pt>
                <c:pt idx="2">
                  <c:v>BNTNF 10 01/01/23</c:v>
                </c:pt>
                <c:pt idx="3">
                  <c:v>COLOM 7 3/4 04/14/21</c:v>
                </c:pt>
                <c:pt idx="4">
                  <c:v>COLTES 7 06/30/32</c:v>
                </c:pt>
                <c:pt idx="5">
                  <c:v>COLOM 4 3/8 03/21/23</c:v>
                </c:pt>
                <c:pt idx="6">
                  <c:v>PERUGB 5.7 08/12/24</c:v>
                </c:pt>
                <c:pt idx="7">
                  <c:v>MBONO 7 3/4 11/23/34</c:v>
                </c:pt>
                <c:pt idx="8">
                  <c:v>MBONO 8 1/2 11/18/38</c:v>
                </c:pt>
                <c:pt idx="9">
                  <c:v>BNTNF 10 01/01/21</c:v>
                </c:pt>
              </c:strCache>
            </c:strRef>
          </c:cat>
          <c:val>
            <c:numRef>
              <c:f>'display_IR (2)'!$J$37:$J$46</c:f>
              <c:numCache>
                <c:formatCode>0.0%</c:formatCode>
                <c:ptCount val="10"/>
                <c:pt idx="0">
                  <c:v>0.15059999999999996</c:v>
                </c:pt>
                <c:pt idx="1">
                  <c:v>4.6199999999999998E-2</c:v>
                </c:pt>
                <c:pt idx="2">
                  <c:v>4.0899999999999999E-2</c:v>
                </c:pt>
                <c:pt idx="3">
                  <c:v>3.7900000000000003E-2</c:v>
                </c:pt>
                <c:pt idx="4">
                  <c:v>3.5099999999999999E-2</c:v>
                </c:pt>
                <c:pt idx="5">
                  <c:v>3.5000000000000003E-2</c:v>
                </c:pt>
                <c:pt idx="6">
                  <c:v>3.4500000000000003E-2</c:v>
                </c:pt>
                <c:pt idx="7">
                  <c:v>3.3300000000000003E-2</c:v>
                </c:pt>
                <c:pt idx="8">
                  <c:v>3.32E-2</c:v>
                </c:pt>
                <c:pt idx="9">
                  <c:v>3.3099999999999997E-2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73-4996-9B4A-824473184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97527775"/>
        <c:axId val="586728959"/>
      </c:barChart>
      <c:catAx>
        <c:axId val="5975277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86728959"/>
        <c:crosses val="autoZero"/>
        <c:auto val="1"/>
        <c:lblAlgn val="ctr"/>
        <c:lblOffset val="100"/>
        <c:noMultiLvlLbl val="0"/>
      </c:catAx>
      <c:valAx>
        <c:axId val="586728959"/>
        <c:scaling>
          <c:orientation val="minMax"/>
        </c:scaling>
        <c:delete val="0"/>
        <c:axPos val="b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75277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7254774184611749"/>
          <c:y val="0.15833333333333333"/>
          <c:w val="0.60616354804139083"/>
          <c:h val="0.745263157894736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'display_IR (2)'!$G$22</c:f>
              <c:strCache>
                <c:ptCount val="1"/>
                <c:pt idx="0">
                  <c:v>Δ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597B7C">
                  <a:lumMod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0CF-4371-AC91-77BC30AA5E20}"/>
              </c:ext>
            </c:extLst>
          </c:dPt>
          <c:dPt>
            <c:idx val="1"/>
            <c:invertIfNegative val="0"/>
            <c:bubble3D val="0"/>
            <c:spPr>
              <a:solidFill>
                <a:srgbClr val="CE6116">
                  <a:lumMod val="7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F0CF-4371-AC91-77BC30AA5E20}"/>
              </c:ext>
            </c:extLst>
          </c:dPt>
          <c:dPt>
            <c:idx val="2"/>
            <c:invertIfNegative val="0"/>
            <c:bubble3D val="0"/>
            <c:spPr>
              <a:solidFill>
                <a:srgbClr val="8D5615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0CF-4371-AC91-77BC30AA5E20}"/>
              </c:ext>
            </c:extLst>
          </c:dPt>
          <c:dPt>
            <c:idx val="3"/>
            <c:invertIfNegative val="0"/>
            <c:bubble3D val="0"/>
            <c:spPr>
              <a:solidFill>
                <a:srgbClr val="CE6116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0CF-4371-AC91-77BC30AA5E20}"/>
              </c:ext>
            </c:extLst>
          </c:dPt>
          <c:dPt>
            <c:idx val="4"/>
            <c:invertIfNegative val="0"/>
            <c:bubble3D val="0"/>
            <c:spPr>
              <a:solidFill>
                <a:srgbClr val="59594F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0CF-4371-AC91-77BC30AA5E20}"/>
              </c:ext>
            </c:extLst>
          </c:dPt>
          <c:dPt>
            <c:idx val="5"/>
            <c:invertIfNegative val="0"/>
            <c:bubble3D val="0"/>
            <c:spPr>
              <a:solidFill>
                <a:srgbClr val="597B7C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0CF-4371-AC91-77BC30AA5E20}"/>
              </c:ext>
            </c:extLst>
          </c:dPt>
          <c:dPt>
            <c:idx val="6"/>
            <c:invertIfNegative val="0"/>
            <c:bubble3D val="0"/>
            <c:spPr>
              <a:solidFill>
                <a:srgbClr val="597B7C">
                  <a:lumMod val="7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0CF-4371-AC91-77BC30AA5E20}"/>
              </c:ext>
            </c:extLst>
          </c:dPt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43036262401373"/>
                      <c:h val="8.61349451539067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0CF-4371-AC91-77BC30AA5E20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721433890636711"/>
                      <c:h val="7.42213981063401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0CF-4371-AC91-77BC30AA5E20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625230441434929"/>
                      <c:h val="0.113933221598228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0CF-4371-AC91-77BC30AA5E20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005235130025149"/>
                      <c:h val="8.61349451539067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F0CF-4371-AC91-77BC30AA5E20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178572112860642"/>
                      <c:h val="6.627903340796237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F0CF-4371-AC91-77BC30AA5E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'display_IR (2)'!$E$23:$E$29</c:f>
              <c:strCache>
                <c:ptCount val="7"/>
                <c:pt idx="0">
                  <c:v>ARS</c:v>
                </c:pt>
                <c:pt idx="1">
                  <c:v>BRL</c:v>
                </c:pt>
                <c:pt idx="2">
                  <c:v>CLP</c:v>
                </c:pt>
                <c:pt idx="3">
                  <c:v>COP</c:v>
                </c:pt>
                <c:pt idx="4">
                  <c:v>MXN</c:v>
                </c:pt>
                <c:pt idx="5">
                  <c:v>PEN</c:v>
                </c:pt>
                <c:pt idx="6">
                  <c:v>UGU</c:v>
                </c:pt>
              </c:strCache>
            </c:strRef>
          </c:cat>
          <c:val>
            <c:numRef>
              <c:f>'display_IR (2)'!$G$23:$G$29</c:f>
              <c:numCache>
                <c:formatCode>0.0%</c:formatCode>
                <c:ptCount val="7"/>
                <c:pt idx="0">
                  <c:v>-0.01</c:v>
                </c:pt>
                <c:pt idx="1">
                  <c:v>-5.0000000000000001E-3</c:v>
                </c:pt>
                <c:pt idx="2">
                  <c:v>9.9999999999999985E-3</c:v>
                </c:pt>
                <c:pt idx="3">
                  <c:v>4.9999999999999992E-3</c:v>
                </c:pt>
                <c:pt idx="4">
                  <c:v>-1.9999999999999997E-2</c:v>
                </c:pt>
                <c:pt idx="5">
                  <c:v>-0.03</c:v>
                </c:pt>
                <c:pt idx="6" formatCode="0.00%">
                  <c:v>9.9999999999999534E-3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CF-4371-AC91-77BC30AA5E2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86049024"/>
        <c:axId val="347276416"/>
      </c:barChart>
      <c:catAx>
        <c:axId val="18604902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47276416"/>
        <c:crosses val="autoZero"/>
        <c:auto val="1"/>
        <c:lblAlgn val="ctr"/>
        <c:lblOffset val="100"/>
        <c:noMultiLvlLbl val="0"/>
      </c:catAx>
      <c:valAx>
        <c:axId val="347276416"/>
        <c:scaling>
          <c:orientation val="minMax"/>
        </c:scaling>
        <c:delete val="1"/>
        <c:axPos val="b"/>
        <c:numFmt formatCode="0.0%" sourceLinked="1"/>
        <c:majorTickMark val="out"/>
        <c:minorTickMark val="none"/>
        <c:tickLblPos val="nextTo"/>
        <c:crossAx val="18604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25634473794285251"/>
          <c:y val="5.8593434613341003E-2"/>
          <c:w val="0.69208525796426146"/>
          <c:h val="0.8389657105376677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'display_IR (2)'!$F$37:$F$46</c:f>
              <c:strCache>
                <c:ptCount val="10"/>
                <c:pt idx="0">
                  <c:v>URUGUA 8 1/2 03/15/28</c:v>
                </c:pt>
                <c:pt idx="1">
                  <c:v>BLTN 0 07/01/20</c:v>
                </c:pt>
                <c:pt idx="2">
                  <c:v>BNTNF 10 01/01/23</c:v>
                </c:pt>
                <c:pt idx="3">
                  <c:v>COLOM 7 3/4 04/14/21</c:v>
                </c:pt>
                <c:pt idx="4">
                  <c:v>COLTES 7 06/30/32</c:v>
                </c:pt>
                <c:pt idx="5">
                  <c:v>COLOM 4 3/8 03/21/23</c:v>
                </c:pt>
                <c:pt idx="6">
                  <c:v>PERUGB 5.7 08/12/24</c:v>
                </c:pt>
                <c:pt idx="7">
                  <c:v>MBONO 7 3/4 11/23/34</c:v>
                </c:pt>
                <c:pt idx="8">
                  <c:v>MBONO 8 1/2 11/18/38</c:v>
                </c:pt>
                <c:pt idx="9">
                  <c:v>BNTNF 10 01/01/21</c:v>
                </c:pt>
              </c:strCache>
            </c:strRef>
          </c:cat>
          <c:val>
            <c:numRef>
              <c:f>'display_IR (2)'!$G$37:$G$46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09B3-4820-8132-0FC0C5F24E4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9B3-4820-8132-0FC0C5F24E4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09B3-4820-8132-0FC0C5F24E4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09B3-4820-8132-0FC0C5F24E4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09B3-4820-8132-0FC0C5F24E4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09B3-4820-8132-0FC0C5F24E4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09B3-4820-8132-0FC0C5F24E4E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09B3-4820-8132-0FC0C5F24E4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09B3-4820-8132-0FC0C5F24E4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09B3-4820-8132-0FC0C5F24E4E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09B3-4820-8132-0FC0C5F24E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'display_IR (2)'!$F$37:$F$46</c:f>
              <c:strCache>
                <c:ptCount val="10"/>
                <c:pt idx="0">
                  <c:v>URUGUA 8 1/2 03/15/28</c:v>
                </c:pt>
                <c:pt idx="1">
                  <c:v>BLTN 0 07/01/20</c:v>
                </c:pt>
                <c:pt idx="2">
                  <c:v>BNTNF 10 01/01/23</c:v>
                </c:pt>
                <c:pt idx="3">
                  <c:v>COLOM 7 3/4 04/14/21</c:v>
                </c:pt>
                <c:pt idx="4">
                  <c:v>COLTES 7 06/30/32</c:v>
                </c:pt>
                <c:pt idx="5">
                  <c:v>COLOM 4 3/8 03/21/23</c:v>
                </c:pt>
                <c:pt idx="6">
                  <c:v>PERUGB 5.7 08/12/24</c:v>
                </c:pt>
                <c:pt idx="7">
                  <c:v>MBONO 7 3/4 11/23/34</c:v>
                </c:pt>
                <c:pt idx="8">
                  <c:v>MBONO 8 1/2 11/18/38</c:v>
                </c:pt>
                <c:pt idx="9">
                  <c:v>BNTNF 10 01/01/21</c:v>
                </c:pt>
              </c:strCache>
            </c:strRef>
          </c:cat>
          <c:val>
            <c:numRef>
              <c:f>'display_IR (2)'!$J$37:$J$46</c:f>
              <c:numCache>
                <c:formatCode>0.0%</c:formatCode>
                <c:ptCount val="10"/>
                <c:pt idx="0">
                  <c:v>0.15059999999999996</c:v>
                </c:pt>
                <c:pt idx="1">
                  <c:v>4.6199999999999998E-2</c:v>
                </c:pt>
                <c:pt idx="2">
                  <c:v>4.0899999999999999E-2</c:v>
                </c:pt>
                <c:pt idx="3">
                  <c:v>3.7900000000000003E-2</c:v>
                </c:pt>
                <c:pt idx="4">
                  <c:v>3.5099999999999999E-2</c:v>
                </c:pt>
                <c:pt idx="5">
                  <c:v>3.5000000000000003E-2</c:v>
                </c:pt>
                <c:pt idx="6">
                  <c:v>3.4500000000000003E-2</c:v>
                </c:pt>
                <c:pt idx="7">
                  <c:v>3.3300000000000003E-2</c:v>
                </c:pt>
                <c:pt idx="8">
                  <c:v>3.32E-2</c:v>
                </c:pt>
                <c:pt idx="9">
                  <c:v>3.3099999999999997E-2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9B3-4820-8132-0FC0C5F24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97527775"/>
        <c:axId val="586728959"/>
      </c:barChart>
      <c:catAx>
        <c:axId val="5975277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86728959"/>
        <c:crosses val="autoZero"/>
        <c:auto val="1"/>
        <c:lblAlgn val="ctr"/>
        <c:lblOffset val="100"/>
        <c:noMultiLvlLbl val="0"/>
      </c:catAx>
      <c:valAx>
        <c:axId val="586728959"/>
        <c:scaling>
          <c:orientation val="minMax"/>
        </c:scaling>
        <c:delete val="0"/>
        <c:axPos val="b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75277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742260466243827"/>
          <c:y val="0.10151331327752698"/>
          <c:w val="0.49291622246840583"/>
          <c:h val="0.7812971365328810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5F1-41D9-8987-0373AC23EF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C5F1-41D9-8987-0373AC23EFA8}"/>
              </c:ext>
            </c:extLst>
          </c:dPt>
          <c:dPt>
            <c:idx val="2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5F1-41D9-8987-0373AC23EFA8}"/>
              </c:ext>
            </c:extLst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5F1-41D9-8987-0373AC23EFA8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5F1-41D9-8987-0373AC23EFA8}"/>
              </c:ext>
            </c:extLst>
          </c:dPt>
          <c:dPt>
            <c:idx val="5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5F1-41D9-8987-0373AC23EFA8}"/>
              </c:ext>
            </c:extLst>
          </c:dPt>
          <c:dPt>
            <c:idx val="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5F1-41D9-8987-0373AC23EFA8}"/>
              </c:ext>
            </c:extLst>
          </c:dPt>
          <c:dLbls>
            <c:dLbl>
              <c:idx val="0"/>
              <c:layout>
                <c:manualLayout>
                  <c:x val="9.4964729278406129E-2"/>
                  <c:y val="-9.4751134319389349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5F1-41D9-8987-0373AC23EFA8}"/>
                </c:ext>
              </c:extLst>
            </c:dLbl>
            <c:dLbl>
              <c:idx val="1"/>
              <c:layout>
                <c:manualLayout>
                  <c:x val="0.10762041395376809"/>
                  <c:y val="-2.309535733008900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419883315688021"/>
                      <c:h val="0.1729992824235199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5F1-41D9-8987-0373AC23EFA8}"/>
                </c:ext>
              </c:extLst>
            </c:dLbl>
            <c:dLbl>
              <c:idx val="2"/>
              <c:layout>
                <c:manualLayout>
                  <c:x val="0.11210095767990286"/>
                  <c:y val="8.10711405562500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371569488736499"/>
                      <c:h val="0.1868878337517536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C5F1-41D9-8987-0373AC23EFA8}"/>
                </c:ext>
              </c:extLst>
            </c:dLbl>
            <c:dLbl>
              <c:idx val="3"/>
              <c:layout>
                <c:manualLayout>
                  <c:x val="-6.0312906606425958E-2"/>
                  <c:y val="0.12059627776624519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5F1-41D9-8987-0373AC23EFA8}"/>
                </c:ext>
              </c:extLst>
            </c:dLbl>
            <c:dLbl>
              <c:idx val="4"/>
              <c:layout>
                <c:manualLayout>
                  <c:x val="-0.15336837541315379"/>
                  <c:y val="9.7994406263195583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284700925386616"/>
                      <c:h val="0.1886098579310130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5F1-41D9-8987-0373AC23EFA8}"/>
                </c:ext>
              </c:extLst>
            </c:dLbl>
            <c:dLbl>
              <c:idx val="5"/>
              <c:layout>
                <c:manualLayout>
                  <c:x val="-0.12840584000798061"/>
                  <c:y val="-1.47499618501121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843775174066435"/>
                      <c:h val="0.177198359893491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5F1-41D9-8987-0373AC23EFA8}"/>
                </c:ext>
              </c:extLst>
            </c:dLbl>
            <c:dLbl>
              <c:idx val="6"/>
              <c:layout>
                <c:manualLayout>
                  <c:x val="-0.10932316019475274"/>
                  <c:y val="-6.524527290019231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5F1-41D9-8987-0373AC23EF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display_IR!$E$9:$E$15</c:f>
              <c:strCache>
                <c:ptCount val="7"/>
                <c:pt idx="0">
                  <c:v>Argentina</c:v>
                </c:pt>
                <c:pt idx="1">
                  <c:v>Brazil</c:v>
                </c:pt>
                <c:pt idx="2">
                  <c:v>Chile</c:v>
                </c:pt>
                <c:pt idx="3">
                  <c:v>Colombia</c:v>
                </c:pt>
                <c:pt idx="4">
                  <c:v>Mexico</c:v>
                </c:pt>
                <c:pt idx="5">
                  <c:v>Peru</c:v>
                </c:pt>
                <c:pt idx="6">
                  <c:v>Uruguay</c:v>
                </c:pt>
              </c:strCache>
            </c:strRef>
          </c:cat>
          <c:val>
            <c:numRef>
              <c:f>display_IR!$F$9:$F$15</c:f>
              <c:numCache>
                <c:formatCode>#,##0.00%;[Red]\(#,##0.00%\)</c:formatCode>
                <c:ptCount val="7"/>
                <c:pt idx="0">
                  <c:v>3.1E-2</c:v>
                </c:pt>
                <c:pt idx="1">
                  <c:v>0.29969999999999997</c:v>
                </c:pt>
                <c:pt idx="2">
                  <c:v>1.5699999999999999E-2</c:v>
                </c:pt>
                <c:pt idx="3">
                  <c:v>0.23499999999999999</c:v>
                </c:pt>
                <c:pt idx="4">
                  <c:v>0.17469999999999999</c:v>
                </c:pt>
                <c:pt idx="5">
                  <c:v>7.8100000000000003E-2</c:v>
                </c:pt>
                <c:pt idx="6">
                  <c:v>0.16579999999999995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F1-41D9-8987-0373AC23EFA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254774184611749"/>
          <c:y val="0.15833333333333333"/>
          <c:w val="0.7562189100745984"/>
          <c:h val="0.745263157894736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display_IR!$G$8</c:f>
              <c:strCache>
                <c:ptCount val="1"/>
                <c:pt idx="0">
                  <c:v>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84B-42FD-9C00-4B062519A34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84B-42FD-9C00-4B062519A34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584B-42FD-9C00-4B062519A34B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84B-42FD-9C00-4B062519A34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584B-42FD-9C00-4B062519A34B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84B-42FD-9C00-4B062519A34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s-MX" sz="800" b="0" i="0" u="none" strike="noStrike" kern="1200" baseline="0">
                      <a:solidFill>
                        <a:srgbClr val="59594F">
                          <a:lumMod val="75000"/>
                          <a:lumOff val="25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4B-42FD-9C00-4B062519A34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s-MX" sz="800" b="0" i="0" u="none" strike="noStrike" kern="1200" baseline="0">
                      <a:solidFill>
                        <a:srgbClr val="59594F">
                          <a:lumMod val="75000"/>
                          <a:lumOff val="25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D9DD-4382-B4B8-CA49858F3CF3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s-MX" sz="800" b="0" i="0" u="none" strike="noStrike" kern="1200" baseline="0">
                      <a:solidFill>
                        <a:srgbClr val="59594F">
                          <a:lumMod val="75000"/>
                          <a:lumOff val="25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584B-42FD-9C00-4B062519A34B}"/>
                </c:ext>
              </c:extLst>
            </c:dLbl>
            <c:dLbl>
              <c:idx val="3"/>
              <c:layout>
                <c:manualLayout>
                  <c:x val="1.3443982692431765E-2"/>
                  <c:y val="-8.0408427840126275E-17"/>
                </c:manualLayout>
              </c:layout>
              <c:tx>
                <c:rich>
                  <a:bodyPr/>
                  <a:lstStyle/>
                  <a:p>
                    <a:fld id="{CF8AE5E9-5AA4-472E-8D6F-D9CCE1BEBC95}" type="CATEGORYNAME">
                      <a:rPr lang="en-US" sz="800"/>
                      <a:pPr/>
                      <a:t>[NOMBRE DE CATEGORÍA]</a:t>
                    </a:fld>
                    <a:r>
                      <a:rPr lang="en-US" baseline="0"/>
                      <a:t>, </a:t>
                    </a:r>
                    <a:fld id="{9281D681-930B-423C-B598-285372440234}" type="VALUE">
                      <a:rPr lang="en-US" baseline="0"/>
                      <a:pPr/>
                      <a:t>[VALOR]</a:t>
                    </a:fld>
                    <a:endParaRPr lang="en-US" baseline="0"/>
                  </a:p>
                </c:rich>
              </c:tx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873826153334917"/>
                      <c:h val="0.1039035087719298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584B-42FD-9C00-4B062519A34B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s-MX" sz="800" b="0" i="0" u="none" strike="noStrike" kern="1200" baseline="0">
                      <a:solidFill>
                        <a:srgbClr val="59594F">
                          <a:lumMod val="75000"/>
                          <a:lumOff val="25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4B-42FD-9C00-4B062519A34B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s-MX" sz="800" b="0" i="0" u="none" strike="noStrike" kern="1200" baseline="0">
                      <a:solidFill>
                        <a:srgbClr val="59594F">
                          <a:lumMod val="75000"/>
                          <a:lumOff val="25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584B-42FD-9C00-4B062519A34B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s-MX" sz="800" b="0" i="0" u="none" strike="noStrike" kern="1200" baseline="0">
                      <a:solidFill>
                        <a:srgbClr val="59594F">
                          <a:lumMod val="75000"/>
                          <a:lumOff val="25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584B-42FD-9C00-4B062519A3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display_IR!$E$9:$E$15</c:f>
              <c:strCache>
                <c:ptCount val="7"/>
                <c:pt idx="0">
                  <c:v>Argentina</c:v>
                </c:pt>
                <c:pt idx="1">
                  <c:v>Brazil</c:v>
                </c:pt>
                <c:pt idx="2">
                  <c:v>Chile</c:v>
                </c:pt>
                <c:pt idx="3">
                  <c:v>Colombia</c:v>
                </c:pt>
                <c:pt idx="4">
                  <c:v>Mexico</c:v>
                </c:pt>
                <c:pt idx="5">
                  <c:v>Peru</c:v>
                </c:pt>
                <c:pt idx="6">
                  <c:v>Uruguay</c:v>
                </c:pt>
              </c:strCache>
            </c:strRef>
          </c:cat>
          <c:val>
            <c:numRef>
              <c:f>display_IR!$G$9:$G$15</c:f>
              <c:numCache>
                <c:formatCode>0.0%</c:formatCode>
                <c:ptCount val="7"/>
                <c:pt idx="0">
                  <c:v>-0.01</c:v>
                </c:pt>
                <c:pt idx="1">
                  <c:v>-5.0000000000000001E-3</c:v>
                </c:pt>
                <c:pt idx="2">
                  <c:v>9.9999999999999985E-3</c:v>
                </c:pt>
                <c:pt idx="3">
                  <c:v>4.9999999999999992E-3</c:v>
                </c:pt>
                <c:pt idx="4">
                  <c:v>-1.9999999999999997E-2</c:v>
                </c:pt>
                <c:pt idx="5">
                  <c:v>-0.03</c:v>
                </c:pt>
                <c:pt idx="6" formatCode="#,##0.00%;[Red]\(#,##0.00%\)">
                  <c:v>9.9999999999999534E-3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4B-42FD-9C00-4B062519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6049024"/>
        <c:axId val="347276416"/>
      </c:barChart>
      <c:catAx>
        <c:axId val="18604902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47276416"/>
        <c:crosses val="autoZero"/>
        <c:auto val="1"/>
        <c:lblAlgn val="ctr"/>
        <c:lblOffset val="100"/>
        <c:noMultiLvlLbl val="0"/>
      </c:catAx>
      <c:valAx>
        <c:axId val="347276416"/>
        <c:scaling>
          <c:orientation val="minMax"/>
        </c:scaling>
        <c:delete val="1"/>
        <c:axPos val="b"/>
        <c:numFmt formatCode="0.0%" sourceLinked="1"/>
        <c:majorTickMark val="out"/>
        <c:minorTickMark val="none"/>
        <c:tickLblPos val="nextTo"/>
        <c:crossAx val="18604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601012566700161"/>
          <c:y val="8.6145444266921417E-2"/>
          <c:w val="0.4508953746314458"/>
          <c:h val="0.793445696846757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235-43C0-B949-207B41AAA7D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235-43C0-B949-207B41AAA7D4}"/>
              </c:ext>
            </c:extLst>
          </c:dPt>
          <c:dPt>
            <c:idx val="2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235-43C0-B949-207B41AAA7D4}"/>
              </c:ext>
            </c:extLst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235-43C0-B949-207B41AAA7D4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235-43C0-B949-207B41AAA7D4}"/>
              </c:ext>
            </c:extLst>
          </c:dPt>
          <c:dPt>
            <c:idx val="5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235-43C0-B949-207B41AAA7D4}"/>
              </c:ext>
            </c:extLst>
          </c:dPt>
          <c:dPt>
            <c:idx val="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235-43C0-B949-207B41AAA7D4}"/>
              </c:ext>
            </c:extLst>
          </c:dPt>
          <c:dLbls>
            <c:dLbl>
              <c:idx val="0"/>
              <c:layout>
                <c:manualLayout>
                  <c:x val="6.3620968793252825E-2"/>
                  <c:y val="-8.94347726807597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235-43C0-B949-207B41AAA7D4}"/>
                </c:ext>
              </c:extLst>
            </c:dLbl>
            <c:dLbl>
              <c:idx val="1"/>
              <c:layout>
                <c:manualLayout>
                  <c:x val="0.10762041395376809"/>
                  <c:y val="-2.309535733008900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419883315688021"/>
                      <c:h val="0.1729992824235199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235-43C0-B949-207B41AAA7D4}"/>
                </c:ext>
              </c:extLst>
            </c:dLbl>
            <c:dLbl>
              <c:idx val="2"/>
              <c:layout>
                <c:manualLayout>
                  <c:x val="0.11210095767990286"/>
                  <c:y val="8.10711405562500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371569488736499"/>
                      <c:h val="0.1868878337517536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235-43C0-B949-207B41AAA7D4}"/>
                </c:ext>
              </c:extLst>
            </c:dLbl>
            <c:dLbl>
              <c:idx val="3"/>
              <c:layout>
                <c:manualLayout>
                  <c:x val="-6.0312906606425958E-2"/>
                  <c:y val="0.12059627776624519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235-43C0-B949-207B41AAA7D4}"/>
                </c:ext>
              </c:extLst>
            </c:dLbl>
            <c:dLbl>
              <c:idx val="4"/>
              <c:layout>
                <c:manualLayout>
                  <c:x val="-0.15336837541315379"/>
                  <c:y val="9.7994406263195583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284700925386616"/>
                      <c:h val="0.1886098579310130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0235-43C0-B949-207B41AAA7D4}"/>
                </c:ext>
              </c:extLst>
            </c:dLbl>
            <c:dLbl>
              <c:idx val="5"/>
              <c:layout>
                <c:manualLayout>
                  <c:x val="-0.12840584000798061"/>
                  <c:y val="-1.47499618501121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843775174066435"/>
                      <c:h val="0.177198359893491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0235-43C0-B949-207B41AAA7D4}"/>
                </c:ext>
              </c:extLst>
            </c:dLbl>
            <c:dLbl>
              <c:idx val="6"/>
              <c:layout>
                <c:manualLayout>
                  <c:x val="-0.10932316019475274"/>
                  <c:y val="-6.524527290019231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235-43C0-B949-207B41AAA7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display_IR!$E$9:$E$15</c:f>
              <c:strCache>
                <c:ptCount val="7"/>
                <c:pt idx="0">
                  <c:v>Argentina</c:v>
                </c:pt>
                <c:pt idx="1">
                  <c:v>Brazil</c:v>
                </c:pt>
                <c:pt idx="2">
                  <c:v>Chile</c:v>
                </c:pt>
                <c:pt idx="3">
                  <c:v>Colombia</c:v>
                </c:pt>
                <c:pt idx="4">
                  <c:v>Mexico</c:v>
                </c:pt>
                <c:pt idx="5">
                  <c:v>Peru</c:v>
                </c:pt>
                <c:pt idx="6">
                  <c:v>Uruguay</c:v>
                </c:pt>
              </c:strCache>
            </c:strRef>
          </c:cat>
          <c:val>
            <c:numRef>
              <c:f>display_IR!$F$9:$F$15</c:f>
              <c:numCache>
                <c:formatCode>#,##0.00%;[Red]\(#,##0.00%\)</c:formatCode>
                <c:ptCount val="7"/>
                <c:pt idx="0">
                  <c:v>3.1E-2</c:v>
                </c:pt>
                <c:pt idx="1">
                  <c:v>0.29969999999999997</c:v>
                </c:pt>
                <c:pt idx="2">
                  <c:v>1.5699999999999999E-2</c:v>
                </c:pt>
                <c:pt idx="3">
                  <c:v>0.23499999999999999</c:v>
                </c:pt>
                <c:pt idx="4">
                  <c:v>0.17469999999999999</c:v>
                </c:pt>
                <c:pt idx="5">
                  <c:v>7.8100000000000003E-2</c:v>
                </c:pt>
                <c:pt idx="6">
                  <c:v>0.16579999999999995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35-43C0-B949-207B41AAA7D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Weights / duration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7.4510228802512943E-2"/>
          <c:y val="0.10111627003861191"/>
          <c:w val="0.91986657922737591"/>
          <c:h val="0.689458536172772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display_IR!$E$54:$E$65</c:f>
              <c:strCache>
                <c:ptCount val="12"/>
                <c:pt idx="0">
                  <c:v>0.5</c:v>
                </c:pt>
                <c:pt idx="1">
                  <c:v>0.5 - 1.5</c:v>
                </c:pt>
                <c:pt idx="2">
                  <c:v>1.5 - 2.5</c:v>
                </c:pt>
                <c:pt idx="3">
                  <c:v>2.5 - 3.5</c:v>
                </c:pt>
                <c:pt idx="4">
                  <c:v>3.5 - 4.5</c:v>
                </c:pt>
                <c:pt idx="5">
                  <c:v>4.5 - 5.5</c:v>
                </c:pt>
                <c:pt idx="6">
                  <c:v>5.5 - 6.5</c:v>
                </c:pt>
                <c:pt idx="7">
                  <c:v>6.5 - 7.5</c:v>
                </c:pt>
                <c:pt idx="8">
                  <c:v>7.5 - 8.5</c:v>
                </c:pt>
                <c:pt idx="9">
                  <c:v>8.5 - 9.5</c:v>
                </c:pt>
                <c:pt idx="10">
                  <c:v>9.5 - 10.5</c:v>
                </c:pt>
                <c:pt idx="11">
                  <c:v>10.5+</c:v>
                </c:pt>
              </c:strCache>
            </c:strRef>
          </c:cat>
          <c:val>
            <c:numRef>
              <c:f>display_IR!$M$54:$M$65</c:f>
              <c:numCache>
                <c:formatCode>0.0%;\-0.0%;;@\,</c:formatCode>
                <c:ptCount val="12"/>
                <c:pt idx="0">
                  <c:v>8.0000000000000004E-4</c:v>
                </c:pt>
                <c:pt idx="1">
                  <c:v>0.23739999999999994</c:v>
                </c:pt>
                <c:pt idx="2">
                  <c:v>9.6700000000000008E-2</c:v>
                </c:pt>
                <c:pt idx="3">
                  <c:v>3.0599999999999999E-2</c:v>
                </c:pt>
                <c:pt idx="4">
                  <c:v>8.660000000000001E-2</c:v>
                </c:pt>
                <c:pt idx="5">
                  <c:v>0.1898</c:v>
                </c:pt>
                <c:pt idx="6">
                  <c:v>2.5399999999999999E-2</c:v>
                </c:pt>
                <c:pt idx="7">
                  <c:v>4.3499999999999997E-2</c:v>
                </c:pt>
                <c:pt idx="8">
                  <c:v>0.12540000000000001</c:v>
                </c:pt>
                <c:pt idx="9">
                  <c:v>4.5999999999999999E-2</c:v>
                </c:pt>
                <c:pt idx="10">
                  <c:v>0.1178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E2-44E2-9C43-E5BC2C5FA911}"/>
            </c:ext>
          </c:extLst>
        </c:ser>
        <c:ser>
          <c:idx val="1"/>
          <c:order val="1"/>
          <c:tx>
            <c:v>Active weight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display_IR!$U$54:$U$65</c:f>
              <c:numCache>
                <c:formatCode>0.0%;\-0.0%;;@\,</c:formatCode>
                <c:ptCount val="12"/>
                <c:pt idx="0">
                  <c:v>0</c:v>
                </c:pt>
                <c:pt idx="1">
                  <c:v>9.9999999999999534E-3</c:v>
                </c:pt>
                <c:pt idx="2">
                  <c:v>1.9999999999999997E-2</c:v>
                </c:pt>
                <c:pt idx="3">
                  <c:v>-0.01</c:v>
                </c:pt>
                <c:pt idx="4">
                  <c:v>-5.000000000000001E-3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-0.03</c:v>
                </c:pt>
                <c:pt idx="9">
                  <c:v>-0.01</c:v>
                </c:pt>
                <c:pt idx="10">
                  <c:v>-1.4999999999999999E-2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DE2-44E2-9C43-E5BC2C5FA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050048"/>
        <c:axId val="420131904"/>
      </c:barChart>
      <c:dateAx>
        <c:axId val="18605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20131904"/>
        <c:crosses val="autoZero"/>
        <c:auto val="0"/>
        <c:lblOffset val="100"/>
        <c:baseTimeUnit val="days"/>
      </c:dateAx>
      <c:valAx>
        <c:axId val="42013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;\-0.0%;;@\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6050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image" Target="../media/image1.png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7</xdr:col>
      <xdr:colOff>144990</xdr:colOff>
      <xdr:row>2</xdr:row>
      <xdr:rowOff>314325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8468AF2-A849-4548-8F03-5A999D6A6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" y="180975"/>
          <a:ext cx="2042944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905762</xdr:colOff>
      <xdr:row>5</xdr:row>
      <xdr:rowOff>5323</xdr:rowOff>
    </xdr:from>
    <xdr:to>
      <xdr:col>18</xdr:col>
      <xdr:colOff>622220</xdr:colOff>
      <xdr:row>17</xdr:row>
      <xdr:rowOff>137237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117432</xdr:colOff>
      <xdr:row>3</xdr:row>
      <xdr:rowOff>122326</xdr:rowOff>
    </xdr:from>
    <xdr:to>
      <xdr:col>24</xdr:col>
      <xdr:colOff>39144</xdr:colOff>
      <xdr:row>19</xdr:row>
      <xdr:rowOff>84476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386801</xdr:colOff>
      <xdr:row>6</xdr:row>
      <xdr:rowOff>134606</xdr:rowOff>
    </xdr:from>
    <xdr:to>
      <xdr:col>21</xdr:col>
      <xdr:colOff>386801</xdr:colOff>
      <xdr:row>17</xdr:row>
      <xdr:rowOff>31656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10759917" y="1465496"/>
          <a:ext cx="0" cy="214129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218939</xdr:colOff>
      <xdr:row>19</xdr:row>
      <xdr:rowOff>182222</xdr:rowOff>
    </xdr:from>
    <xdr:to>
      <xdr:col>25</xdr:col>
      <xdr:colOff>260958</xdr:colOff>
      <xdr:row>32</xdr:row>
      <xdr:rowOff>129422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428625</xdr:colOff>
          <xdr:row>0</xdr:row>
          <xdr:rowOff>57150</xdr:rowOff>
        </xdr:from>
        <xdr:to>
          <xdr:col>23</xdr:col>
          <xdr:colOff>0</xdr:colOff>
          <xdr:row>2</xdr:row>
          <xdr:rowOff>257175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59594F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</xdr:row>
      <xdr:rowOff>0</xdr:rowOff>
    </xdr:from>
    <xdr:to>
      <xdr:col>6</xdr:col>
      <xdr:colOff>27559</xdr:colOff>
      <xdr:row>2</xdr:row>
      <xdr:rowOff>314325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" y="180975"/>
          <a:ext cx="2032236" cy="495300"/>
        </a:xfrm>
        <a:prstGeom prst="rect">
          <a:avLst/>
        </a:prstGeom>
      </xdr:spPr>
    </xdr:pic>
    <xdr:clientData/>
  </xdr:twoCellAnchor>
  <xdr:twoCellAnchor>
    <xdr:from>
      <xdr:col>15</xdr:col>
      <xdr:colOff>480038</xdr:colOff>
      <xdr:row>34</xdr:row>
      <xdr:rowOff>11572</xdr:rowOff>
    </xdr:from>
    <xdr:to>
      <xdr:col>24</xdr:col>
      <xdr:colOff>247911</xdr:colOff>
      <xdr:row>49</xdr:row>
      <xdr:rowOff>78289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91334</xdr:colOff>
      <xdr:row>17</xdr:row>
      <xdr:rowOff>169621</xdr:rowOff>
    </xdr:from>
    <xdr:to>
      <xdr:col>18</xdr:col>
      <xdr:colOff>287054</xdr:colOff>
      <xdr:row>33</xdr:row>
      <xdr:rowOff>131771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39144</xdr:colOff>
      <xdr:row>20</xdr:row>
      <xdr:rowOff>169623</xdr:rowOff>
    </xdr:from>
    <xdr:to>
      <xdr:col>16</xdr:col>
      <xdr:colOff>39144</xdr:colOff>
      <xdr:row>31</xdr:row>
      <xdr:rowOff>66673</xdr:rowOff>
    </xdr:to>
    <xdr:cxnSp macro="">
      <xdr:nvCxnSpPr>
        <xdr:cNvPr id="14" name="Conector rec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7646096" y="4371061"/>
          <a:ext cx="0" cy="2141297"/>
        </a:xfrm>
        <a:prstGeom prst="line">
          <a:avLst/>
        </a:prstGeom>
        <a:noFill/>
        <a:ln w="9525" cap="flat" cmpd="sng" algn="ctr">
          <a:solidFill>
            <a:srgbClr val="59594F">
              <a:shade val="95000"/>
              <a:satMod val="105000"/>
            </a:srgbClr>
          </a:solidFill>
          <a:prstDash val="solid"/>
        </a:ln>
        <a:effectLst/>
      </xdr:spPr>
    </xdr:cxnSp>
    <xdr:clientData/>
  </xdr:twoCellAnchor>
  <xdr:twoCellAnchor>
    <xdr:from>
      <xdr:col>15</xdr:col>
      <xdr:colOff>339246</xdr:colOff>
      <xdr:row>50</xdr:row>
      <xdr:rowOff>1</xdr:rowOff>
    </xdr:from>
    <xdr:to>
      <xdr:col>24</xdr:col>
      <xdr:colOff>117431</xdr:colOff>
      <xdr:row>65</xdr:row>
      <xdr:rowOff>66719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905762</xdr:colOff>
      <xdr:row>5</xdr:row>
      <xdr:rowOff>5323</xdr:rowOff>
    </xdr:from>
    <xdr:to>
      <xdr:col>18</xdr:col>
      <xdr:colOff>622220</xdr:colOff>
      <xdr:row>17</xdr:row>
      <xdr:rowOff>137237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9672</xdr:colOff>
      <xdr:row>3</xdr:row>
      <xdr:rowOff>83183</xdr:rowOff>
    </xdr:from>
    <xdr:to>
      <xdr:col>22</xdr:col>
      <xdr:colOff>781</xdr:colOff>
      <xdr:row>19</xdr:row>
      <xdr:rowOff>45333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334611</xdr:colOff>
      <xdr:row>6</xdr:row>
      <xdr:rowOff>69366</xdr:rowOff>
    </xdr:from>
    <xdr:to>
      <xdr:col>20</xdr:col>
      <xdr:colOff>334611</xdr:colOff>
      <xdr:row>16</xdr:row>
      <xdr:rowOff>149087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10629440" y="1400256"/>
          <a:ext cx="0" cy="214129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311015</xdr:colOff>
      <xdr:row>32</xdr:row>
      <xdr:rowOff>69715</xdr:rowOff>
    </xdr:from>
    <xdr:to>
      <xdr:col>9</xdr:col>
      <xdr:colOff>559011</xdr:colOff>
      <xdr:row>46</xdr:row>
      <xdr:rowOff>163642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494553</xdr:colOff>
      <xdr:row>89</xdr:row>
      <xdr:rowOff>145354</xdr:rowOff>
    </xdr:from>
    <xdr:to>
      <xdr:col>21</xdr:col>
      <xdr:colOff>666227</xdr:colOff>
      <xdr:row>106</xdr:row>
      <xdr:rowOff>42667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428625</xdr:colOff>
          <xdr:row>0</xdr:row>
          <xdr:rowOff>57150</xdr:rowOff>
        </xdr:from>
        <xdr:to>
          <xdr:col>23</xdr:col>
          <xdr:colOff>0</xdr:colOff>
          <xdr:row>2</xdr:row>
          <xdr:rowOff>257175</xdr:rowOff>
        </xdr:to>
        <xdr:sp macro="" textlink="">
          <xdr:nvSpPr>
            <xdr:cNvPr id="1025" name="Botó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59594F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</xdr:row>
      <xdr:rowOff>0</xdr:rowOff>
    </xdr:from>
    <xdr:to>
      <xdr:col>6</xdr:col>
      <xdr:colOff>584436</xdr:colOff>
      <xdr:row>2</xdr:row>
      <xdr:rowOff>314325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" y="180975"/>
          <a:ext cx="2009775" cy="4953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136072</xdr:colOff>
      <xdr:row>1</xdr:row>
      <xdr:rowOff>0</xdr:rowOff>
    </xdr:from>
    <xdr:to>
      <xdr:col>2</xdr:col>
      <xdr:colOff>1251209</xdr:colOff>
      <xdr:row>2</xdr:row>
      <xdr:rowOff>207818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2822" y="209550"/>
          <a:ext cx="2000962" cy="41736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136072</xdr:colOff>
      <xdr:row>1</xdr:row>
      <xdr:rowOff>-1</xdr:rowOff>
    </xdr:from>
    <xdr:to>
      <xdr:col>3</xdr:col>
      <xdr:colOff>38936</xdr:colOff>
      <xdr:row>2</xdr:row>
      <xdr:rowOff>253278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2822" y="209549"/>
          <a:ext cx="2007889" cy="46282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647700</xdr:colOff>
          <xdr:row>12</xdr:row>
          <xdr:rowOff>152400</xdr:rowOff>
        </xdr:from>
        <xdr:to>
          <xdr:col>12</xdr:col>
          <xdr:colOff>571500</xdr:colOff>
          <xdr:row>14</xdr:row>
          <xdr:rowOff>9525</xdr:rowOff>
        </xdr:to>
        <xdr:sp macro="" textlink="">
          <xdr:nvSpPr>
            <xdr:cNvPr id="8195" name="Botó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59594F"/>
                  </a:solidFill>
                  <a:latin typeface="Arial"/>
                  <a:cs typeface="Arial"/>
                </a:rPr>
                <a:t>Mantain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12</xdr:row>
          <xdr:rowOff>142875</xdr:rowOff>
        </xdr:from>
        <xdr:to>
          <xdr:col>15</xdr:col>
          <xdr:colOff>123825</xdr:colOff>
          <xdr:row>14</xdr:row>
          <xdr:rowOff>0</xdr:rowOff>
        </xdr:to>
        <xdr:sp macro="" textlink="">
          <xdr:nvSpPr>
            <xdr:cNvPr id="8196" name="Botó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59594F"/>
                  </a:solidFill>
                  <a:latin typeface="Arial"/>
                  <a:cs typeface="Arial"/>
                </a:rPr>
                <a:t>Reallocate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714375</xdr:colOff>
          <xdr:row>12</xdr:row>
          <xdr:rowOff>142875</xdr:rowOff>
        </xdr:from>
        <xdr:to>
          <xdr:col>13</xdr:col>
          <xdr:colOff>723900</xdr:colOff>
          <xdr:row>14</xdr:row>
          <xdr:rowOff>0</xdr:rowOff>
        </xdr:to>
        <xdr:sp macro="" textlink="">
          <xdr:nvSpPr>
            <xdr:cNvPr id="8197" name="Botó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59594F"/>
                  </a:solidFill>
                  <a:latin typeface="Arial"/>
                  <a:cs typeface="Arial"/>
                </a:rPr>
                <a:t>Benchmark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poschp/Desktop/mesagi/Proyectos/portfolio_analytics/portfolio_dashboard/portfolio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_portfolios"/>
      <sheetName val="display_portfolios_forwards"/>
      <sheetName val="display_grouped_forwards"/>
      <sheetName val="display_spreads_portfolios"/>
      <sheetName val="display_dashboard_re"/>
      <sheetName val="re_benchmark_portfolio"/>
      <sheetName val="spreads_portfolio_re"/>
      <sheetName val="spreads_portfolio_ep"/>
      <sheetName val="portfolios"/>
      <sheetName val="forwards_portfolios"/>
      <sheetName val="parameters"/>
      <sheetName val="grouped_forward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D1" t="str">
            <v>RENTA</v>
          </cell>
          <cell r="F1" t="str">
            <v>MACRO 1.5</v>
          </cell>
          <cell r="G1" t="str">
            <v>MACRO CLP3</v>
          </cell>
        </row>
      </sheetData>
    </sheetDataSet>
  </externalBook>
</externalLink>
</file>

<file path=xl/theme/theme1.xml><?xml version="1.0" encoding="utf-8"?>
<a:theme xmlns:a="http://schemas.openxmlformats.org/drawingml/2006/main" name="TemaExcel">
  <a:themeElements>
    <a:clrScheme name="CC">
      <a:dk1>
        <a:srgbClr val="59594F"/>
      </a:dk1>
      <a:lt1>
        <a:sysClr val="window" lastClr="FFFFFF"/>
      </a:lt1>
      <a:dk2>
        <a:srgbClr val="CE6116"/>
      </a:dk2>
      <a:lt2>
        <a:srgbClr val="151929"/>
      </a:lt2>
      <a:accent1>
        <a:srgbClr val="E87D1E"/>
      </a:accent1>
      <a:accent2>
        <a:srgbClr val="8D5615"/>
      </a:accent2>
      <a:accent3>
        <a:srgbClr val="9BB0B0"/>
      </a:accent3>
      <a:accent4>
        <a:srgbClr val="EDBE86"/>
      </a:accent4>
      <a:accent5>
        <a:srgbClr val="C3D0D0"/>
      </a:accent5>
      <a:accent6>
        <a:srgbClr val="597B7C"/>
      </a:accent6>
      <a:hlink>
        <a:srgbClr val="0000FF"/>
      </a:hlink>
      <a:folHlink>
        <a:srgbClr val="800080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CC">
    <a:dk1>
      <a:srgbClr val="59594F"/>
    </a:dk1>
    <a:lt1>
      <a:sysClr val="window" lastClr="FFFFFF"/>
    </a:lt1>
    <a:dk2>
      <a:srgbClr val="CE6116"/>
    </a:dk2>
    <a:lt2>
      <a:srgbClr val="151929"/>
    </a:lt2>
    <a:accent1>
      <a:srgbClr val="E87D1E"/>
    </a:accent1>
    <a:accent2>
      <a:srgbClr val="8D5615"/>
    </a:accent2>
    <a:accent3>
      <a:srgbClr val="9BB0B0"/>
    </a:accent3>
    <a:accent4>
      <a:srgbClr val="EDBE86"/>
    </a:accent4>
    <a:accent5>
      <a:srgbClr val="C3D0D0"/>
    </a:accent5>
    <a:accent6>
      <a:srgbClr val="597B7C"/>
    </a:accent6>
    <a:hlink>
      <a:srgbClr val="0000FF"/>
    </a:hlink>
    <a:folHlink>
      <a:srgbClr val="800080"/>
    </a:folHlink>
  </a:clrScheme>
  <a:fontScheme name="Clásico de Office 2">
    <a:majorFont>
      <a:latin typeface="Arial"/>
      <a:ea typeface=""/>
      <a:cs typeface=""/>
      <a:font script="Jpan" typeface="ＭＳ Ｐゴシック"/>
      <a:font script="Hang" typeface="굴림"/>
      <a:font script="Hans" typeface="黑体"/>
      <a:font script="Hant" typeface="微軟正黑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ajorFont>
    <a:minorFont>
      <a:latin typeface="Arial"/>
      <a:ea typeface=""/>
      <a:cs typeface=""/>
      <a:font script="Jpan" typeface="ＭＳ Ｐゴシック"/>
      <a:font script="Hang" typeface="굴림"/>
      <a:font script="Hans" typeface="黑体"/>
      <a:font script="Hant" typeface="微軟正黑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CC">
    <a:dk1>
      <a:srgbClr val="59594F"/>
    </a:dk1>
    <a:lt1>
      <a:sysClr val="window" lastClr="FFFFFF"/>
    </a:lt1>
    <a:dk2>
      <a:srgbClr val="CE6116"/>
    </a:dk2>
    <a:lt2>
      <a:srgbClr val="151929"/>
    </a:lt2>
    <a:accent1>
      <a:srgbClr val="E87D1E"/>
    </a:accent1>
    <a:accent2>
      <a:srgbClr val="8D5615"/>
    </a:accent2>
    <a:accent3>
      <a:srgbClr val="9BB0B0"/>
    </a:accent3>
    <a:accent4>
      <a:srgbClr val="EDBE86"/>
    </a:accent4>
    <a:accent5>
      <a:srgbClr val="C3D0D0"/>
    </a:accent5>
    <a:accent6>
      <a:srgbClr val="597B7C"/>
    </a:accent6>
    <a:hlink>
      <a:srgbClr val="0000FF"/>
    </a:hlink>
    <a:folHlink>
      <a:srgbClr val="800080"/>
    </a:folHlink>
  </a:clrScheme>
  <a:fontScheme name="Clásico de Office 2">
    <a:majorFont>
      <a:latin typeface="Arial"/>
      <a:ea typeface=""/>
      <a:cs typeface=""/>
      <a:font script="Jpan" typeface="ＭＳ Ｐゴシック"/>
      <a:font script="Hang" typeface="굴림"/>
      <a:font script="Hans" typeface="黑体"/>
      <a:font script="Hant" typeface="微軟正黑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ajorFont>
    <a:minorFont>
      <a:latin typeface="Arial"/>
      <a:ea typeface=""/>
      <a:cs typeface=""/>
      <a:font script="Jpan" typeface="ＭＳ Ｐゴシック"/>
      <a:font script="Hang" typeface="굴림"/>
      <a:font script="Hans" typeface="黑体"/>
      <a:font script="Hant" typeface="微軟正黑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C426F-CFB5-4D1F-B389-1651AB1EAC15}">
  <sheetPr codeName="Hoja103">
    <tabColor theme="9" tint="0.39997558519241921"/>
    <pageSetUpPr fitToPage="1"/>
  </sheetPr>
  <dimension ref="A3:X32"/>
  <sheetViews>
    <sheetView showGridLines="0" view="pageBreakPreview" zoomScale="73" zoomScaleNormal="53" zoomScaleSheetLayoutView="73" workbookViewId="0">
      <selection activeCell="Q29" sqref="Q29"/>
    </sheetView>
  </sheetViews>
  <sheetFormatPr baseColWidth="10" defaultRowHeight="14.25" x14ac:dyDescent="0.2"/>
  <cols>
    <col min="1" max="1" width="8.25" customWidth="1"/>
    <col min="2" max="2" width="4.25" customWidth="1"/>
    <col min="3" max="4" width="7.75" hidden="1" customWidth="1"/>
    <col min="5" max="5" width="7.25" customWidth="1"/>
    <col min="6" max="6" width="8.5" bestFit="1" customWidth="1"/>
    <col min="7" max="7" width="9.125" bestFit="1" customWidth="1"/>
    <col min="8" max="9" width="8.875" bestFit="1" customWidth="1"/>
    <col min="10" max="10" width="9.125" bestFit="1" customWidth="1"/>
    <col min="11" max="11" width="6.5" customWidth="1"/>
    <col min="12" max="12" width="7.625" customWidth="1"/>
    <col min="13" max="13" width="8.875" bestFit="1" customWidth="1"/>
    <col min="14" max="14" width="6.5" bestFit="1" customWidth="1"/>
    <col min="15" max="15" width="9.375" bestFit="1" customWidth="1"/>
    <col min="16" max="16" width="8.375" bestFit="1" customWidth="1"/>
    <col min="17" max="17" width="5.375" bestFit="1" customWidth="1"/>
    <col min="18" max="18" width="8.875" bestFit="1" customWidth="1"/>
    <col min="19" max="19" width="6.625" bestFit="1" customWidth="1"/>
    <col min="20" max="20" width="7.5" bestFit="1" customWidth="1"/>
    <col min="21" max="21" width="7.875" bestFit="1" customWidth="1"/>
    <col min="22" max="22" width="6.125" bestFit="1" customWidth="1"/>
    <col min="23" max="23" width="6.25" customWidth="1"/>
    <col min="24" max="24" width="11.125" bestFit="1" customWidth="1"/>
    <col min="25" max="25" width="6.375" customWidth="1"/>
  </cols>
  <sheetData>
    <row r="3" spans="3:24" ht="26.25" x14ac:dyDescent="0.4">
      <c r="E3" s="129" t="s">
        <v>345</v>
      </c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</row>
    <row r="4" spans="3:24" x14ac:dyDescent="0.2">
      <c r="L4" s="124"/>
      <c r="M4" s="124"/>
      <c r="N4" s="124"/>
      <c r="O4" s="124"/>
      <c r="P4" s="124"/>
      <c r="Q4" s="124"/>
      <c r="R4" s="124"/>
      <c r="S4" s="124"/>
      <c r="T4" s="124"/>
      <c r="U4" s="124"/>
      <c r="V4" s="124"/>
      <c r="W4" s="124"/>
    </row>
    <row r="5" spans="3:24" x14ac:dyDescent="0.2">
      <c r="G5" s="120"/>
      <c r="H5" s="120"/>
      <c r="I5" s="120"/>
      <c r="J5" s="120"/>
      <c r="K5" s="120"/>
      <c r="L5" s="120"/>
      <c r="M5" s="120"/>
      <c r="O5" s="120"/>
      <c r="P5" s="120"/>
      <c r="Q5" s="120"/>
      <c r="R5" s="120"/>
      <c r="S5" s="120"/>
      <c r="T5" s="120"/>
      <c r="U5" s="120"/>
    </row>
    <row r="6" spans="3:24" ht="20.25" x14ac:dyDescent="0.3">
      <c r="G6" s="130" t="s">
        <v>347</v>
      </c>
      <c r="H6" s="130"/>
      <c r="I6" s="130"/>
      <c r="J6" s="130"/>
      <c r="K6" s="130"/>
      <c r="L6" s="130"/>
      <c r="M6" s="130"/>
      <c r="N6" s="96"/>
      <c r="O6" s="130" t="s">
        <v>348</v>
      </c>
      <c r="P6" s="130"/>
      <c r="Q6" s="130"/>
      <c r="R6" s="130"/>
      <c r="S6" s="130"/>
      <c r="T6" s="130"/>
      <c r="U6" s="130"/>
    </row>
    <row r="8" spans="3:24" x14ac:dyDescent="0.2">
      <c r="G8" s="120" t="s">
        <v>125</v>
      </c>
      <c r="H8" s="120" t="s">
        <v>126</v>
      </c>
      <c r="I8" s="120" t="s">
        <v>127</v>
      </c>
      <c r="J8" s="120" t="s">
        <v>128</v>
      </c>
      <c r="K8" s="120" t="s">
        <v>129</v>
      </c>
      <c r="L8" s="120" t="s">
        <v>130</v>
      </c>
      <c r="M8" s="120" t="s">
        <v>131</v>
      </c>
      <c r="O8" s="120" t="s">
        <v>125</v>
      </c>
      <c r="P8" s="120" t="s">
        <v>126</v>
      </c>
      <c r="Q8" s="120" t="s">
        <v>127</v>
      </c>
      <c r="R8" s="120" t="s">
        <v>128</v>
      </c>
      <c r="S8" s="120" t="s">
        <v>129</v>
      </c>
      <c r="T8" s="120" t="s">
        <v>130</v>
      </c>
      <c r="U8" s="120" t="s">
        <v>131</v>
      </c>
    </row>
    <row r="9" spans="3:24" ht="16.5" x14ac:dyDescent="0.3">
      <c r="F9" s="122" t="s">
        <v>173</v>
      </c>
      <c r="G9" s="121" t="s">
        <v>162</v>
      </c>
      <c r="H9" s="121" t="s">
        <v>161</v>
      </c>
      <c r="I9" s="121" t="s">
        <v>157</v>
      </c>
      <c r="J9" s="122" t="s">
        <v>159</v>
      </c>
      <c r="K9" s="121" t="s">
        <v>158</v>
      </c>
      <c r="L9" s="122" t="s">
        <v>160</v>
      </c>
      <c r="M9" s="121" t="s">
        <v>163</v>
      </c>
      <c r="N9" s="121" t="s">
        <v>147</v>
      </c>
      <c r="O9" s="121" t="s">
        <v>162</v>
      </c>
      <c r="P9" s="121" t="s">
        <v>161</v>
      </c>
      <c r="Q9" s="121" t="s">
        <v>157</v>
      </c>
      <c r="R9" s="122" t="s">
        <v>159</v>
      </c>
      <c r="S9" s="121" t="s">
        <v>158</v>
      </c>
      <c r="T9" s="122" t="s">
        <v>160</v>
      </c>
      <c r="U9" s="121" t="s">
        <v>163</v>
      </c>
      <c r="V9" s="121" t="s">
        <v>147</v>
      </c>
    </row>
    <row r="10" spans="3:24" ht="15" x14ac:dyDescent="0.25">
      <c r="C10">
        <v>0</v>
      </c>
      <c r="D10">
        <v>0.5</v>
      </c>
      <c r="F10" s="31">
        <v>0.5</v>
      </c>
      <c r="G10" s="116">
        <f>SUMIFS(Dataset!$W:$W,Dataset!$E:$E,G$8,Dataset!$V:$V,"&gt;="&amp;$C10,Dataset!$V:$V,"&lt;"&amp;$D10)*10</f>
        <v>0</v>
      </c>
      <c r="H10" s="116">
        <f>SUMIFS(Dataset!$W:$W,Dataset!$E:$E,H$8,Dataset!$V:$V,"&gt;="&amp;$C10,Dataset!$V:$V,"&lt;"&amp;$D10)*10</f>
        <v>3.7451847398864316E-3</v>
      </c>
      <c r="I10" s="116">
        <f>SUMIFS(Dataset!$W:$W,Dataset!$E:$E,I$8,Dataset!$V:$V,"&gt;="&amp;$C10,Dataset!$V:$V,"&lt;"&amp;$D10)*10</f>
        <v>0</v>
      </c>
      <c r="J10" s="116">
        <f>SUMIFS(Dataset!$W:$W,Dataset!$E:$E,J$8,Dataset!$V:$V,"&gt;="&amp;$C10,Dataset!$V:$V,"&lt;"&amp;$D10)*10</f>
        <v>0</v>
      </c>
      <c r="K10" s="116">
        <f>SUMIFS(Dataset!$W:$W,Dataset!$E:$E,K$8,Dataset!$V:$V,"&gt;="&amp;$C10,Dataset!$V:$V,"&lt;"&amp;$D10)*10</f>
        <v>0</v>
      </c>
      <c r="L10" s="116">
        <f>SUMIFS(Dataset!$W:$W,Dataset!$E:$E,L$8,Dataset!$V:$V,"&gt;="&amp;$C10,Dataset!$V:$V,"&lt;"&amp;$D10)*10</f>
        <v>0</v>
      </c>
      <c r="M10" s="116">
        <f>SUMIFS(Dataset!$W:$W,Dataset!$E:$E,M$8,Dataset!$V:$V,"&gt;="&amp;$C10,Dataset!$V:$V,"&lt;"&amp;$D10)*10</f>
        <v>0</v>
      </c>
      <c r="N10" s="117">
        <f t="shared" ref="N10:N22" si="0">+SUM(G10:M10)</f>
        <v>3.7451847398864316E-3</v>
      </c>
      <c r="O10" s="116">
        <f>(SUMIFS(Dataset!$W:$W,Dataset!$E:$E,O$8,Dataset!$V:$V,"&gt;="&amp;$C10,Dataset!$V:$V,"&lt;"&amp;$D10)-SUMIFS(Dataset!$Z:$Z,Dataset!$E:$E,O$8,Dataset!$V:$V,"&gt;="&amp;$C10,Dataset!$V:$V,"&lt;"&amp;$D10))*10</f>
        <v>0</v>
      </c>
      <c r="P10" s="116">
        <f>(SUMIFS(Dataset!$W:$W,Dataset!$E:$E,P$8,Dataset!$V:$V,"&gt;="&amp;$C10,Dataset!$V:$V,"&lt;"&amp;$D10)-SUMIFS(Dataset!$Z:$Z,Dataset!$E:$E,P$8,Dataset!$V:$V,"&gt;="&amp;$C10,Dataset!$V:$V,"&lt;"&amp;$D10))*10</f>
        <v>0</v>
      </c>
      <c r="Q10" s="116">
        <f>(SUMIFS(Dataset!$W:$W,Dataset!$E:$E,Q$8,Dataset!$V:$V,"&gt;="&amp;$C10,Dataset!$V:$V,"&lt;"&amp;$D10)-SUMIFS(Dataset!$Z:$Z,Dataset!$E:$E,Q$8,Dataset!$V:$V,"&gt;="&amp;$C10,Dataset!$V:$V,"&lt;"&amp;$D10))*10</f>
        <v>0</v>
      </c>
      <c r="R10" s="116">
        <f>(SUMIFS(Dataset!$W:$W,Dataset!$E:$E,R$8,Dataset!$V:$V,"&gt;="&amp;$C10,Dataset!$V:$V,"&lt;"&amp;$D10)-SUMIFS(Dataset!$Z:$Z,Dataset!$E:$E,R$8,Dataset!$V:$V,"&gt;="&amp;$C10,Dataset!$V:$V,"&lt;"&amp;$D10))*10</f>
        <v>0</v>
      </c>
      <c r="S10" s="116">
        <f>(SUMIFS(Dataset!$W:$W,Dataset!$E:$E,S$8,Dataset!$V:$V,"&gt;="&amp;$C10,Dataset!$V:$V,"&lt;"&amp;$D10)-SUMIFS(Dataset!$Z:$Z,Dataset!$E:$E,S$8,Dataset!$V:$V,"&gt;="&amp;$C10,Dataset!$V:$V,"&lt;"&amp;$D10))*10</f>
        <v>0</v>
      </c>
      <c r="T10" s="116">
        <f>(SUMIFS(Dataset!$W:$W,Dataset!$E:$E,T$8,Dataset!$V:$V,"&gt;="&amp;$C10,Dataset!$V:$V,"&lt;"&amp;$D10)-SUMIFS(Dataset!$Z:$Z,Dataset!$E:$E,T$8,Dataset!$V:$V,"&gt;="&amp;$C10,Dataset!$V:$V,"&lt;"&amp;$D10))*10</f>
        <v>0</v>
      </c>
      <c r="U10" s="116">
        <f>(SUMIFS(Dataset!$W:$W,Dataset!$E:$E,U$8,Dataset!$V:$V,"&gt;="&amp;$C10,Dataset!$V:$V,"&lt;"&amp;$D10)-SUMIFS(Dataset!$Z:$Z,Dataset!$E:$E,U$8,Dataset!$V:$V,"&gt;="&amp;$C10,Dataset!$V:$V,"&lt;"&amp;$D10))*10</f>
        <v>0</v>
      </c>
      <c r="V10" s="117">
        <f t="shared" ref="V10:V22" si="1">+SUM(O10:U10)</f>
        <v>0</v>
      </c>
    </row>
    <row r="11" spans="3:24" ht="15" x14ac:dyDescent="0.25">
      <c r="C11">
        <v>0.5</v>
      </c>
      <c r="D11">
        <v>1.5</v>
      </c>
      <c r="F11" s="31" t="s">
        <v>358</v>
      </c>
      <c r="G11" s="116">
        <f>SUMIFS(Dataset!$W:$W,Dataset!$E:$E,G$8,Dataset!$V:$V,"&gt;="&amp;$C11,Dataset!$V:$V,"&lt;"&amp;$D11)*10</f>
        <v>0</v>
      </c>
      <c r="H11" s="116">
        <f>SUMIFS(Dataset!$W:$W,Dataset!$E:$E,H$8,Dataset!$V:$V,"&gt;="&amp;$C11,Dataset!$V:$V,"&lt;"&amp;$D11)*10</f>
        <v>0</v>
      </c>
      <c r="I11" s="116">
        <f>SUMIFS(Dataset!$W:$W,Dataset!$E:$E,I$8,Dataset!$V:$V,"&gt;="&amp;$C11,Dataset!$V:$V,"&lt;"&amp;$D11)*10</f>
        <v>0</v>
      </c>
      <c r="J11" s="116">
        <f>SUMIFS(Dataset!$W:$W,Dataset!$E:$E,J$8,Dataset!$V:$V,"&gt;="&amp;$C11,Dataset!$V:$V,"&lt;"&amp;$D11)*10</f>
        <v>0.18242142759940208</v>
      </c>
      <c r="K11" s="116">
        <f>SUMIFS(Dataset!$W:$W,Dataset!$E:$E,K$8,Dataset!$V:$V,"&gt;="&amp;$C11,Dataset!$V:$V,"&lt;"&amp;$D11)*10</f>
        <v>0.46404985291300327</v>
      </c>
      <c r="L11" s="116">
        <f>SUMIFS(Dataset!$W:$W,Dataset!$E:$E,L$8,Dataset!$V:$V,"&gt;="&amp;$C11,Dataset!$V:$V,"&lt;"&amp;$D11)*10</f>
        <v>0.31954385291506521</v>
      </c>
      <c r="M11" s="116">
        <f>SUMIFS(Dataset!$W:$W,Dataset!$E:$E,M$8,Dataset!$V:$V,"&gt;="&amp;$C11,Dataset!$V:$V,"&lt;"&amp;$D11)*10</f>
        <v>1.8678446838763409</v>
      </c>
      <c r="N11" s="117">
        <f t="shared" si="0"/>
        <v>2.8338598173038116</v>
      </c>
      <c r="O11" s="116">
        <f>(SUMIFS(Dataset!$W:$W,Dataset!$E:$E,O$8,Dataset!$V:$V,"&gt;="&amp;$C11,Dataset!$V:$V,"&lt;"&amp;$D11)-SUMIFS(Dataset!$Z:$Z,Dataset!$E:$E,O$8,Dataset!$V:$V,"&gt;="&amp;$C11,Dataset!$V:$V,"&lt;"&amp;$D11))*10</f>
        <v>0</v>
      </c>
      <c r="P11" s="116">
        <f>(SUMIFS(Dataset!$W:$W,Dataset!$E:$E,P$8,Dataset!$V:$V,"&gt;="&amp;$C11,Dataset!$V:$V,"&lt;"&amp;$D11)-SUMIFS(Dataset!$Z:$Z,Dataset!$E:$E,P$8,Dataset!$V:$V,"&gt;="&amp;$C11,Dataset!$V:$V,"&lt;"&amp;$D11))*10</f>
        <v>0</v>
      </c>
      <c r="Q11" s="116">
        <f>(SUMIFS(Dataset!$W:$W,Dataset!$E:$E,Q$8,Dataset!$V:$V,"&gt;="&amp;$C11,Dataset!$V:$V,"&lt;"&amp;$D11)-SUMIFS(Dataset!$Z:$Z,Dataset!$E:$E,Q$8,Dataset!$V:$V,"&gt;="&amp;$C11,Dataset!$V:$V,"&lt;"&amp;$D11))*10</f>
        <v>0</v>
      </c>
      <c r="R11" s="116">
        <f>(SUMIFS(Dataset!$W:$W,Dataset!$E:$E,R$8,Dataset!$V:$V,"&gt;="&amp;$C11,Dataset!$V:$V,"&lt;"&amp;$D11)-SUMIFS(Dataset!$Z:$Z,Dataset!$E:$E,R$8,Dataset!$V:$V,"&gt;="&amp;$C11,Dataset!$V:$V,"&lt;"&amp;$D11))*10</f>
        <v>0</v>
      </c>
      <c r="S11" s="116">
        <f>(SUMIFS(Dataset!$W:$W,Dataset!$E:$E,S$8,Dataset!$V:$V,"&gt;="&amp;$C11,Dataset!$V:$V,"&lt;"&amp;$D11)-SUMIFS(Dataset!$Z:$Z,Dataset!$E:$E,S$8,Dataset!$V:$V,"&gt;="&amp;$C11,Dataset!$V:$V,"&lt;"&amp;$D11))*10</f>
        <v>0</v>
      </c>
      <c r="T11" s="116">
        <f>(SUMIFS(Dataset!$W:$W,Dataset!$E:$E,T$8,Dataset!$V:$V,"&gt;="&amp;$C11,Dataset!$V:$V,"&lt;"&amp;$D11)-SUMIFS(Dataset!$Z:$Z,Dataset!$E:$E,T$8,Dataset!$V:$V,"&gt;="&amp;$C11,Dataset!$V:$V,"&lt;"&amp;$D11))*10</f>
        <v>0</v>
      </c>
      <c r="U11" s="116">
        <f>(SUMIFS(Dataset!$W:$W,Dataset!$E:$E,U$8,Dataset!$V:$V,"&gt;="&amp;$C11,Dataset!$V:$V,"&lt;"&amp;$D11)-SUMIFS(Dataset!$Z:$Z,Dataset!$E:$E,U$8,Dataset!$V:$V,"&gt;="&amp;$C11,Dataset!$V:$V,"&lt;"&amp;$D11))*10</f>
        <v>0.12402687143933139</v>
      </c>
      <c r="V11" s="117">
        <f t="shared" si="1"/>
        <v>0.12402687143933139</v>
      </c>
    </row>
    <row r="12" spans="3:24" ht="15" x14ac:dyDescent="0.25">
      <c r="C12">
        <v>1.5</v>
      </c>
      <c r="D12">
        <v>2.5</v>
      </c>
      <c r="F12" s="31" t="s">
        <v>359</v>
      </c>
      <c r="G12" s="116">
        <f>SUMIFS(Dataset!$W:$W,Dataset!$E:$E,G$8,Dataset!$V:$V,"&gt;="&amp;$C12,Dataset!$V:$V,"&lt;"&amp;$D12)*10</f>
        <v>0</v>
      </c>
      <c r="H12" s="116">
        <f>SUMIFS(Dataset!$W:$W,Dataset!$E:$E,H$8,Dataset!$V:$V,"&gt;="&amp;$C12,Dataset!$V:$V,"&lt;"&amp;$D12)*10</f>
        <v>0</v>
      </c>
      <c r="I12" s="116">
        <f>SUMIFS(Dataset!$W:$W,Dataset!$E:$E,I$8,Dataset!$V:$V,"&gt;="&amp;$C12,Dataset!$V:$V,"&lt;"&amp;$D12)*10</f>
        <v>0.33791188159755159</v>
      </c>
      <c r="J12" s="116">
        <f>SUMIFS(Dataset!$W:$W,Dataset!$E:$E,J$8,Dataset!$V:$V,"&gt;="&amp;$C12,Dataset!$V:$V,"&lt;"&amp;$D12)*10</f>
        <v>0.99019307890012132</v>
      </c>
      <c r="K12" s="116">
        <f>SUMIFS(Dataset!$W:$W,Dataset!$E:$E,K$8,Dataset!$V:$V,"&gt;="&amp;$C12,Dataset!$V:$V,"&lt;"&amp;$D12)*10</f>
        <v>0.45518846476705233</v>
      </c>
      <c r="L12" s="116">
        <f>SUMIFS(Dataset!$W:$W,Dataset!$E:$E,L$8,Dataset!$V:$V,"&gt;="&amp;$C12,Dataset!$V:$V,"&lt;"&amp;$D12)*10</f>
        <v>0</v>
      </c>
      <c r="M12" s="116">
        <f>SUMIFS(Dataset!$W:$W,Dataset!$E:$E,M$8,Dataset!$V:$V,"&gt;="&amp;$C12,Dataset!$V:$V,"&lt;"&amp;$D12)*10</f>
        <v>0</v>
      </c>
      <c r="N12" s="117">
        <f t="shared" si="0"/>
        <v>1.7832934252647252</v>
      </c>
      <c r="O12" s="116">
        <f>(SUMIFS(Dataset!$W:$W,Dataset!$E:$E,O$8,Dataset!$V:$V,"&gt;="&amp;$C12,Dataset!$V:$V,"&lt;"&amp;$D12)-SUMIFS(Dataset!$Z:$Z,Dataset!$E:$E,O$8,Dataset!$V:$V,"&gt;="&amp;$C12,Dataset!$V:$V,"&lt;"&amp;$D12))*10</f>
        <v>0</v>
      </c>
      <c r="P12" s="116">
        <f>(SUMIFS(Dataset!$W:$W,Dataset!$E:$E,P$8,Dataset!$V:$V,"&gt;="&amp;$C12,Dataset!$V:$V,"&lt;"&amp;$D12)-SUMIFS(Dataset!$Z:$Z,Dataset!$E:$E,P$8,Dataset!$V:$V,"&gt;="&amp;$C12,Dataset!$V:$V,"&lt;"&amp;$D12))*10</f>
        <v>0</v>
      </c>
      <c r="Q12" s="116">
        <f>(SUMIFS(Dataset!$W:$W,Dataset!$E:$E,Q$8,Dataset!$V:$V,"&gt;="&amp;$C12,Dataset!$V:$V,"&lt;"&amp;$D12)-SUMIFS(Dataset!$Z:$Z,Dataset!$E:$E,Q$8,Dataset!$V:$V,"&gt;="&amp;$C12,Dataset!$V:$V,"&lt;"&amp;$D12))*10</f>
        <v>0.21523049783283538</v>
      </c>
      <c r="R12" s="116">
        <f>(SUMIFS(Dataset!$W:$W,Dataset!$E:$E,R$8,Dataset!$V:$V,"&gt;="&amp;$C12,Dataset!$V:$V,"&lt;"&amp;$D12)-SUMIFS(Dataset!$Z:$Z,Dataset!$E:$E,R$8,Dataset!$V:$V,"&gt;="&amp;$C12,Dataset!$V:$V,"&lt;"&amp;$D12))*10</f>
        <v>0.15032406792301431</v>
      </c>
      <c r="S12" s="116">
        <f>(SUMIFS(Dataset!$W:$W,Dataset!$E:$E,S$8,Dataset!$V:$V,"&gt;="&amp;$C12,Dataset!$V:$V,"&lt;"&amp;$D12)-SUMIFS(Dataset!$Z:$Z,Dataset!$E:$E,S$8,Dataset!$V:$V,"&gt;="&amp;$C12,Dataset!$V:$V,"&lt;"&amp;$D12))*10</f>
        <v>0</v>
      </c>
      <c r="T12" s="116">
        <f>(SUMIFS(Dataset!$W:$W,Dataset!$E:$E,T$8,Dataset!$V:$V,"&gt;="&amp;$C12,Dataset!$V:$V,"&lt;"&amp;$D12)-SUMIFS(Dataset!$Z:$Z,Dataset!$E:$E,T$8,Dataset!$V:$V,"&gt;="&amp;$C12,Dataset!$V:$V,"&lt;"&amp;$D12))*10</f>
        <v>0</v>
      </c>
      <c r="U12" s="116">
        <f>(SUMIFS(Dataset!$W:$W,Dataset!$E:$E,U$8,Dataset!$V:$V,"&gt;="&amp;$C12,Dataset!$V:$V,"&lt;"&amp;$D12)-SUMIFS(Dataset!$Z:$Z,Dataset!$E:$E,U$8,Dataset!$V:$V,"&gt;="&amp;$C12,Dataset!$V:$V,"&lt;"&amp;$D12))*10</f>
        <v>0</v>
      </c>
      <c r="V12" s="117">
        <f t="shared" si="1"/>
        <v>0.36555456575584966</v>
      </c>
    </row>
    <row r="13" spans="3:24" ht="15" x14ac:dyDescent="0.25">
      <c r="C13">
        <v>2.5</v>
      </c>
      <c r="D13">
        <v>3.5</v>
      </c>
      <c r="F13" s="31" t="s">
        <v>360</v>
      </c>
      <c r="G13" s="116">
        <f>SUMIFS(Dataset!$W:$W,Dataset!$E:$E,G$8,Dataset!$V:$V,"&gt;="&amp;$C13,Dataset!$V:$V,"&lt;"&amp;$D13)*10</f>
        <v>0</v>
      </c>
      <c r="H13" s="116">
        <f>SUMIFS(Dataset!$W:$W,Dataset!$E:$E,H$8,Dataset!$V:$V,"&gt;="&amp;$C13,Dataset!$V:$V,"&lt;"&amp;$D13)*10</f>
        <v>0.38643446639164014</v>
      </c>
      <c r="I13" s="116">
        <f>SUMIFS(Dataset!$W:$W,Dataset!$E:$E,I$8,Dataset!$V:$V,"&gt;="&amp;$C13,Dataset!$V:$V,"&lt;"&amp;$D13)*10</f>
        <v>0</v>
      </c>
      <c r="J13" s="116">
        <f>SUMIFS(Dataset!$W:$W,Dataset!$E:$E,J$8,Dataset!$V:$V,"&gt;="&amp;$C13,Dataset!$V:$V,"&lt;"&amp;$D13)*10</f>
        <v>0</v>
      </c>
      <c r="K13" s="116">
        <f>SUMIFS(Dataset!$W:$W,Dataset!$E:$E,K$8,Dataset!$V:$V,"&gt;="&amp;$C13,Dataset!$V:$V,"&lt;"&amp;$D13)*10</f>
        <v>3.424950408665426E-2</v>
      </c>
      <c r="L13" s="116">
        <f>SUMIFS(Dataset!$W:$W,Dataset!$E:$E,L$8,Dataset!$V:$V,"&gt;="&amp;$C13,Dataset!$V:$V,"&lt;"&amp;$D13)*10</f>
        <v>0.41065190292444104</v>
      </c>
      <c r="M13" s="116">
        <f>SUMIFS(Dataset!$W:$W,Dataset!$E:$E,M$8,Dataset!$V:$V,"&gt;="&amp;$C13,Dataset!$V:$V,"&lt;"&amp;$D13)*10</f>
        <v>0</v>
      </c>
      <c r="N13" s="117">
        <f t="shared" si="0"/>
        <v>0.8313358734027354</v>
      </c>
      <c r="O13" s="116">
        <f>(SUMIFS(Dataset!$W:$W,Dataset!$E:$E,O$8,Dataset!$V:$V,"&gt;="&amp;$C13,Dataset!$V:$V,"&lt;"&amp;$D13)-SUMIFS(Dataset!$Z:$Z,Dataset!$E:$E,O$8,Dataset!$V:$V,"&gt;="&amp;$C13,Dataset!$V:$V,"&lt;"&amp;$D13))*10</f>
        <v>0</v>
      </c>
      <c r="P13" s="116">
        <f>(SUMIFS(Dataset!$W:$W,Dataset!$E:$E,P$8,Dataset!$V:$V,"&gt;="&amp;$C13,Dataset!$V:$V,"&lt;"&amp;$D13)-SUMIFS(Dataset!$Z:$Z,Dataset!$E:$E,P$8,Dataset!$V:$V,"&gt;="&amp;$C13,Dataset!$V:$V,"&lt;"&amp;$D13))*10</f>
        <v>0</v>
      </c>
      <c r="Q13" s="116">
        <f>(SUMIFS(Dataset!$W:$W,Dataset!$E:$E,Q$8,Dataset!$V:$V,"&gt;="&amp;$C13,Dataset!$V:$V,"&lt;"&amp;$D13)-SUMIFS(Dataset!$Z:$Z,Dataset!$E:$E,Q$8,Dataset!$V:$V,"&gt;="&amp;$C13,Dataset!$V:$V,"&lt;"&amp;$D13))*10</f>
        <v>0</v>
      </c>
      <c r="R13" s="116">
        <f>(SUMIFS(Dataset!$W:$W,Dataset!$E:$E,R$8,Dataset!$V:$V,"&gt;="&amp;$C13,Dataset!$V:$V,"&lt;"&amp;$D13)-SUMIFS(Dataset!$Z:$Z,Dataset!$E:$E,R$8,Dataset!$V:$V,"&gt;="&amp;$C13,Dataset!$V:$V,"&lt;"&amp;$D13))*10</f>
        <v>0</v>
      </c>
      <c r="S13" s="116">
        <f>(SUMIFS(Dataset!$W:$W,Dataset!$E:$E,S$8,Dataset!$V:$V,"&gt;="&amp;$C13,Dataset!$V:$V,"&lt;"&amp;$D13)-SUMIFS(Dataset!$Z:$Z,Dataset!$E:$E,S$8,Dataset!$V:$V,"&gt;="&amp;$C13,Dataset!$V:$V,"&lt;"&amp;$D13))*10</f>
        <v>-0.31135912806049332</v>
      </c>
      <c r="T13" s="116">
        <f>(SUMIFS(Dataset!$W:$W,Dataset!$E:$E,T$8,Dataset!$V:$V,"&gt;="&amp;$C13,Dataset!$V:$V,"&lt;"&amp;$D13)-SUMIFS(Dataset!$Z:$Z,Dataset!$E:$E,T$8,Dataset!$V:$V,"&gt;="&amp;$C13,Dataset!$V:$V,"&lt;"&amp;$D13))*10</f>
        <v>0</v>
      </c>
      <c r="U13" s="116">
        <f>(SUMIFS(Dataset!$W:$W,Dataset!$E:$E,U$8,Dataset!$V:$V,"&gt;="&amp;$C13,Dataset!$V:$V,"&lt;"&amp;$D13)-SUMIFS(Dataset!$Z:$Z,Dataset!$E:$E,U$8,Dataset!$V:$V,"&gt;="&amp;$C13,Dataset!$V:$V,"&lt;"&amp;$D13))*10</f>
        <v>0</v>
      </c>
      <c r="V13" s="117">
        <f t="shared" si="1"/>
        <v>-0.31135912806049332</v>
      </c>
    </row>
    <row r="14" spans="3:24" ht="15" x14ac:dyDescent="0.25">
      <c r="C14">
        <v>3.5</v>
      </c>
      <c r="D14">
        <v>4.5</v>
      </c>
      <c r="F14" s="31" t="s">
        <v>361</v>
      </c>
      <c r="G14" s="116">
        <f>SUMIFS(Dataset!$W:$W,Dataset!$E:$E,G$8,Dataset!$V:$V,"&gt;="&amp;$C14,Dataset!$V:$V,"&lt;"&amp;$D14)*10</f>
        <v>0</v>
      </c>
      <c r="H14" s="116">
        <f>SUMIFS(Dataset!$W:$W,Dataset!$E:$E,H$8,Dataset!$V:$V,"&gt;="&amp;$C14,Dataset!$V:$V,"&lt;"&amp;$D14)*10</f>
        <v>1.4287422779948966</v>
      </c>
      <c r="I14" s="116">
        <f>SUMIFS(Dataset!$W:$W,Dataset!$E:$E,I$8,Dataset!$V:$V,"&gt;="&amp;$C14,Dataset!$V:$V,"&lt;"&amp;$D14)*10</f>
        <v>0</v>
      </c>
      <c r="J14" s="116">
        <f>SUMIFS(Dataset!$W:$W,Dataset!$E:$E,J$8,Dataset!$V:$V,"&gt;="&amp;$C14,Dataset!$V:$V,"&lt;"&amp;$D14)*10</f>
        <v>0.85952830421844184</v>
      </c>
      <c r="K14" s="116">
        <f>SUMIFS(Dataset!$W:$W,Dataset!$E:$E,K$8,Dataset!$V:$V,"&gt;="&amp;$C14,Dataset!$V:$V,"&lt;"&amp;$D14)*10</f>
        <v>0.83216684083239545</v>
      </c>
      <c r="L14" s="116">
        <f>SUMIFS(Dataset!$W:$W,Dataset!$E:$E,L$8,Dataset!$V:$V,"&gt;="&amp;$C14,Dataset!$V:$V,"&lt;"&amp;$D14)*10</f>
        <v>0.45918226078061264</v>
      </c>
      <c r="M14" s="116">
        <f>SUMIFS(Dataset!$W:$W,Dataset!$E:$E,M$8,Dataset!$V:$V,"&gt;="&amp;$C14,Dataset!$V:$V,"&lt;"&amp;$D14)*10</f>
        <v>0</v>
      </c>
      <c r="N14" s="117">
        <f t="shared" si="0"/>
        <v>3.5796196838263468</v>
      </c>
      <c r="O14" s="116">
        <f>(SUMIFS(Dataset!$W:$W,Dataset!$E:$E,O$8,Dataset!$V:$V,"&gt;="&amp;$C14,Dataset!$V:$V,"&lt;"&amp;$D14)-SUMIFS(Dataset!$Z:$Z,Dataset!$E:$E,O$8,Dataset!$V:$V,"&gt;="&amp;$C14,Dataset!$V:$V,"&lt;"&amp;$D14))*10</f>
        <v>0</v>
      </c>
      <c r="P14" s="116">
        <f>(SUMIFS(Dataset!$W:$W,Dataset!$E:$E,P$8,Dataset!$V:$V,"&gt;="&amp;$C14,Dataset!$V:$V,"&lt;"&amp;$D14)-SUMIFS(Dataset!$Z:$Z,Dataset!$E:$E,P$8,Dataset!$V:$V,"&gt;="&amp;$C14,Dataset!$V:$V,"&lt;"&amp;$D14))*10</f>
        <v>0</v>
      </c>
      <c r="Q14" s="116">
        <f>(SUMIFS(Dataset!$W:$W,Dataset!$E:$E,Q$8,Dataset!$V:$V,"&gt;="&amp;$C14,Dataset!$V:$V,"&lt;"&amp;$D14)-SUMIFS(Dataset!$Z:$Z,Dataset!$E:$E,Q$8,Dataset!$V:$V,"&gt;="&amp;$C14,Dataset!$V:$V,"&lt;"&amp;$D14))*10</f>
        <v>0</v>
      </c>
      <c r="R14" s="116">
        <f>(SUMIFS(Dataset!$W:$W,Dataset!$E:$E,R$8,Dataset!$V:$V,"&gt;="&amp;$C14,Dataset!$V:$V,"&lt;"&amp;$D14)-SUMIFS(Dataset!$Z:$Z,Dataset!$E:$E,R$8,Dataset!$V:$V,"&gt;="&amp;$C14,Dataset!$V:$V,"&lt;"&amp;$D14))*10</f>
        <v>-0.21275453074713901</v>
      </c>
      <c r="S14" s="116">
        <f>(SUMIFS(Dataset!$W:$W,Dataset!$E:$E,S$8,Dataset!$V:$V,"&gt;="&amp;$C14,Dataset!$V:$V,"&lt;"&amp;$D14)-SUMIFS(Dataset!$Z:$Z,Dataset!$E:$E,S$8,Dataset!$V:$V,"&gt;="&amp;$C14,Dataset!$V:$V,"&lt;"&amp;$D14))*10</f>
        <v>0</v>
      </c>
      <c r="T14" s="116">
        <f>(SUMIFS(Dataset!$W:$W,Dataset!$E:$E,T$8,Dataset!$V:$V,"&gt;="&amp;$C14,Dataset!$V:$V,"&lt;"&amp;$D14)-SUMIFS(Dataset!$Z:$Z,Dataset!$E:$E,T$8,Dataset!$V:$V,"&gt;="&amp;$C14,Dataset!$V:$V,"&lt;"&amp;$D14))*10</f>
        <v>0</v>
      </c>
      <c r="U14" s="116">
        <f>(SUMIFS(Dataset!$W:$W,Dataset!$E:$E,U$8,Dataset!$V:$V,"&gt;="&amp;$C14,Dataset!$V:$V,"&lt;"&amp;$D14)-SUMIFS(Dataset!$Z:$Z,Dataset!$E:$E,U$8,Dataset!$V:$V,"&gt;="&amp;$C14,Dataset!$V:$V,"&lt;"&amp;$D14))*10</f>
        <v>0</v>
      </c>
      <c r="V14" s="117">
        <f t="shared" si="1"/>
        <v>-0.21275453074713901</v>
      </c>
    </row>
    <row r="15" spans="3:24" ht="15" x14ac:dyDescent="0.25">
      <c r="C15">
        <v>4.5</v>
      </c>
      <c r="D15">
        <v>5.5</v>
      </c>
      <c r="F15" s="31" t="s">
        <v>362</v>
      </c>
      <c r="G15" s="116">
        <f>SUMIFS(Dataset!$W:$W,Dataset!$E:$E,G$8,Dataset!$V:$V,"&gt;="&amp;$C15,Dataset!$V:$V,"&lt;"&amp;$D15)*10</f>
        <v>0</v>
      </c>
      <c r="H15" s="116">
        <f>SUMIFS(Dataset!$W:$W,Dataset!$E:$E,H$8,Dataset!$V:$V,"&gt;="&amp;$C15,Dataset!$V:$V,"&lt;"&amp;$D15)*10</f>
        <v>4.1741132641245446</v>
      </c>
      <c r="I15" s="116">
        <f>SUMIFS(Dataset!$W:$W,Dataset!$E:$E,I$8,Dataset!$V:$V,"&gt;="&amp;$C15,Dataset!$V:$V,"&lt;"&amp;$D15)*10</f>
        <v>0</v>
      </c>
      <c r="J15" s="116">
        <f>SUMIFS(Dataset!$W:$W,Dataset!$E:$E,J$8,Dataset!$V:$V,"&gt;="&amp;$C15,Dataset!$V:$V,"&lt;"&amp;$D15)*10</f>
        <v>2.5884647910921501</v>
      </c>
      <c r="K15" s="116">
        <f>SUMIFS(Dataset!$W:$W,Dataset!$E:$E,K$8,Dataset!$V:$V,"&gt;="&amp;$C15,Dataset!$V:$V,"&lt;"&amp;$D15)*10</f>
        <v>2.5944982226784878</v>
      </c>
      <c r="L15" s="116">
        <f>SUMIFS(Dataset!$W:$W,Dataset!$E:$E,L$8,Dataset!$V:$V,"&gt;="&amp;$C15,Dataset!$V:$V,"&lt;"&amp;$D15)*10</f>
        <v>0</v>
      </c>
      <c r="M15" s="116">
        <f>SUMIFS(Dataset!$W:$W,Dataset!$E:$E,M$8,Dataset!$V:$V,"&gt;="&amp;$C15,Dataset!$V:$V,"&lt;"&amp;$D15)*10</f>
        <v>0</v>
      </c>
      <c r="N15" s="117">
        <f t="shared" si="0"/>
        <v>9.3570762778951817</v>
      </c>
      <c r="O15" s="116">
        <f>(SUMIFS(Dataset!$W:$W,Dataset!$E:$E,O$8,Dataset!$V:$V,"&gt;="&amp;$C15,Dataset!$V:$V,"&lt;"&amp;$D15)-SUMIFS(Dataset!$Z:$Z,Dataset!$E:$E,O$8,Dataset!$V:$V,"&gt;="&amp;$C15,Dataset!$V:$V,"&lt;"&amp;$D15))*10</f>
        <v>0</v>
      </c>
      <c r="P15" s="116">
        <f>(SUMIFS(Dataset!$W:$W,Dataset!$E:$E,P$8,Dataset!$V:$V,"&gt;="&amp;$C15,Dataset!$V:$V,"&lt;"&amp;$D15)-SUMIFS(Dataset!$Z:$Z,Dataset!$E:$E,P$8,Dataset!$V:$V,"&gt;="&amp;$C15,Dataset!$V:$V,"&lt;"&amp;$D15))*10</f>
        <v>0</v>
      </c>
      <c r="Q15" s="116">
        <f>(SUMIFS(Dataset!$W:$W,Dataset!$E:$E,Q$8,Dataset!$V:$V,"&gt;="&amp;$C15,Dataset!$V:$V,"&lt;"&amp;$D15)-SUMIFS(Dataset!$Z:$Z,Dataset!$E:$E,Q$8,Dataset!$V:$V,"&gt;="&amp;$C15,Dataset!$V:$V,"&lt;"&amp;$D15))*10</f>
        <v>0</v>
      </c>
      <c r="R15" s="116">
        <f>(SUMIFS(Dataset!$W:$W,Dataset!$E:$E,R$8,Dataset!$V:$V,"&gt;="&amp;$C15,Dataset!$V:$V,"&lt;"&amp;$D15)-SUMIFS(Dataset!$Z:$Z,Dataset!$E:$E,R$8,Dataset!$V:$V,"&gt;="&amp;$C15,Dataset!$V:$V,"&lt;"&amp;$D15))*10</f>
        <v>0</v>
      </c>
      <c r="S15" s="116">
        <f>(SUMIFS(Dataset!$W:$W,Dataset!$E:$E,S$8,Dataset!$V:$V,"&gt;="&amp;$C15,Dataset!$V:$V,"&lt;"&amp;$D15)-SUMIFS(Dataset!$Z:$Z,Dataset!$E:$E,S$8,Dataset!$V:$V,"&gt;="&amp;$C15,Dataset!$V:$V,"&lt;"&amp;$D15))*10</f>
        <v>0</v>
      </c>
      <c r="T15" s="116">
        <f>(SUMIFS(Dataset!$W:$W,Dataset!$E:$E,T$8,Dataset!$V:$V,"&gt;="&amp;$C15,Dataset!$V:$V,"&lt;"&amp;$D15)-SUMIFS(Dataset!$Z:$Z,Dataset!$E:$E,T$8,Dataset!$V:$V,"&gt;="&amp;$C15,Dataset!$V:$V,"&lt;"&amp;$D15))*10</f>
        <v>0</v>
      </c>
      <c r="U15" s="116">
        <f>(SUMIFS(Dataset!$W:$W,Dataset!$E:$E,U$8,Dataset!$V:$V,"&gt;="&amp;$C15,Dataset!$V:$V,"&lt;"&amp;$D15)-SUMIFS(Dataset!$Z:$Z,Dataset!$E:$E,U$8,Dataset!$V:$V,"&gt;="&amp;$C15,Dataset!$V:$V,"&lt;"&amp;$D15))*10</f>
        <v>0</v>
      </c>
      <c r="V15" s="117">
        <f t="shared" si="1"/>
        <v>0</v>
      </c>
    </row>
    <row r="16" spans="3:24" ht="15" x14ac:dyDescent="0.25">
      <c r="C16">
        <v>5.5</v>
      </c>
      <c r="D16">
        <v>6.5</v>
      </c>
      <c r="F16" s="31" t="s">
        <v>363</v>
      </c>
      <c r="G16" s="116">
        <f>SUMIFS(Dataset!$W:$W,Dataset!$E:$E,G$8,Dataset!$V:$V,"&gt;="&amp;$C16,Dataset!$V:$V,"&lt;"&amp;$D16)*10</f>
        <v>0</v>
      </c>
      <c r="H16" s="116">
        <f>SUMIFS(Dataset!$W:$W,Dataset!$E:$E,H$8,Dataset!$V:$V,"&gt;="&amp;$C16,Dataset!$V:$V,"&lt;"&amp;$D16)*10</f>
        <v>0</v>
      </c>
      <c r="I16" s="116">
        <f>SUMIFS(Dataset!$W:$W,Dataset!$E:$E,I$8,Dataset!$V:$V,"&gt;="&amp;$C16,Dataset!$V:$V,"&lt;"&amp;$D16)*10</f>
        <v>0</v>
      </c>
      <c r="J16" s="116">
        <f>SUMIFS(Dataset!$W:$W,Dataset!$E:$E,J$8,Dataset!$V:$V,"&gt;="&amp;$C16,Dataset!$V:$V,"&lt;"&amp;$D16)*10</f>
        <v>0</v>
      </c>
      <c r="K16" s="116">
        <f>SUMIFS(Dataset!$W:$W,Dataset!$E:$E,K$8,Dataset!$V:$V,"&gt;="&amp;$C16,Dataset!$V:$V,"&lt;"&amp;$D16)*10</f>
        <v>0.60302195879896769</v>
      </c>
      <c r="L16" s="116">
        <f>SUMIFS(Dataset!$W:$W,Dataset!$E:$E,L$8,Dataset!$V:$V,"&gt;="&amp;$C16,Dataset!$V:$V,"&lt;"&amp;$D16)*10</f>
        <v>0</v>
      </c>
      <c r="M16" s="116">
        <f>SUMIFS(Dataset!$W:$W,Dataset!$E:$E,M$8,Dataset!$V:$V,"&gt;="&amp;$C16,Dataset!$V:$V,"&lt;"&amp;$D16)*10</f>
        <v>0.90725316129544353</v>
      </c>
      <c r="N16" s="117">
        <f t="shared" si="0"/>
        <v>1.5102751200944113</v>
      </c>
      <c r="O16" s="116">
        <f>(SUMIFS(Dataset!$W:$W,Dataset!$E:$E,O$8,Dataset!$V:$V,"&gt;="&amp;$C16,Dataset!$V:$V,"&lt;"&amp;$D16)-SUMIFS(Dataset!$Z:$Z,Dataset!$E:$E,O$8,Dataset!$V:$V,"&gt;="&amp;$C16,Dataset!$V:$V,"&lt;"&amp;$D16))*10</f>
        <v>0</v>
      </c>
      <c r="P16" s="116">
        <f>(SUMIFS(Dataset!$W:$W,Dataset!$E:$E,P$8,Dataset!$V:$V,"&gt;="&amp;$C16,Dataset!$V:$V,"&lt;"&amp;$D16)-SUMIFS(Dataset!$Z:$Z,Dataset!$E:$E,P$8,Dataset!$V:$V,"&gt;="&amp;$C16,Dataset!$V:$V,"&lt;"&amp;$D16))*10</f>
        <v>0</v>
      </c>
      <c r="Q16" s="116">
        <f>(SUMIFS(Dataset!$W:$W,Dataset!$E:$E,Q$8,Dataset!$V:$V,"&gt;="&amp;$C16,Dataset!$V:$V,"&lt;"&amp;$D16)-SUMIFS(Dataset!$Z:$Z,Dataset!$E:$E,Q$8,Dataset!$V:$V,"&gt;="&amp;$C16,Dataset!$V:$V,"&lt;"&amp;$D16))*10</f>
        <v>0</v>
      </c>
      <c r="R16" s="116">
        <f>(SUMIFS(Dataset!$W:$W,Dataset!$E:$E,R$8,Dataset!$V:$V,"&gt;="&amp;$C16,Dataset!$V:$V,"&lt;"&amp;$D16)-SUMIFS(Dataset!$Z:$Z,Dataset!$E:$E,R$8,Dataset!$V:$V,"&gt;="&amp;$C16,Dataset!$V:$V,"&lt;"&amp;$D16))*10</f>
        <v>0</v>
      </c>
      <c r="S16" s="116">
        <f>(SUMIFS(Dataset!$W:$W,Dataset!$E:$E,S$8,Dataset!$V:$V,"&gt;="&amp;$C16,Dataset!$V:$V,"&lt;"&amp;$D16)-SUMIFS(Dataset!$Z:$Z,Dataset!$E:$E,S$8,Dataset!$V:$V,"&gt;="&amp;$C16,Dataset!$V:$V,"&lt;"&amp;$D16))*10</f>
        <v>0</v>
      </c>
      <c r="T16" s="116">
        <f>(SUMIFS(Dataset!$W:$W,Dataset!$E:$E,T$8,Dataset!$V:$V,"&gt;="&amp;$C16,Dataset!$V:$V,"&lt;"&amp;$D16)-SUMIFS(Dataset!$Z:$Z,Dataset!$E:$E,T$8,Dataset!$V:$V,"&gt;="&amp;$C16,Dataset!$V:$V,"&lt;"&amp;$D16))*10</f>
        <v>0</v>
      </c>
      <c r="U16" s="116">
        <f>(SUMIFS(Dataset!$W:$W,Dataset!$E:$E,U$8,Dataset!$V:$V,"&gt;="&amp;$C16,Dataset!$V:$V,"&lt;"&amp;$D16)-SUMIFS(Dataset!$Z:$Z,Dataset!$E:$E,U$8,Dataset!$V:$V,"&gt;="&amp;$C16,Dataset!$V:$V,"&lt;"&amp;$D16))*10</f>
        <v>0</v>
      </c>
      <c r="V16" s="117">
        <f t="shared" si="1"/>
        <v>0</v>
      </c>
    </row>
    <row r="17" spans="3:22" ht="15" x14ac:dyDescent="0.25">
      <c r="C17">
        <v>6.5</v>
      </c>
      <c r="D17">
        <v>7.5</v>
      </c>
      <c r="F17" s="31" t="s">
        <v>364</v>
      </c>
      <c r="G17" s="116">
        <f>SUMIFS(Dataset!$W:$W,Dataset!$E:$E,G$8,Dataset!$V:$V,"&gt;="&amp;$C17,Dataset!$V:$V,"&lt;"&amp;$D17)*10</f>
        <v>0</v>
      </c>
      <c r="H17" s="116">
        <f>SUMIFS(Dataset!$W:$W,Dataset!$E:$E,H$8,Dataset!$V:$V,"&gt;="&amp;$C17,Dataset!$V:$V,"&lt;"&amp;$D17)*10</f>
        <v>2.9787082959284961</v>
      </c>
      <c r="I17" s="116">
        <f>SUMIFS(Dataset!$W:$W,Dataset!$E:$E,I$8,Dataset!$V:$V,"&gt;="&amp;$C17,Dataset!$V:$V,"&lt;"&amp;$D17)*10</f>
        <v>0</v>
      </c>
      <c r="J17" s="116">
        <f>SUMIFS(Dataset!$W:$W,Dataset!$E:$E,J$8,Dataset!$V:$V,"&gt;="&amp;$C17,Dataset!$V:$V,"&lt;"&amp;$D17)*10</f>
        <v>0.17971773112276782</v>
      </c>
      <c r="K17" s="116">
        <f>SUMIFS(Dataset!$W:$W,Dataset!$E:$E,K$8,Dataset!$V:$V,"&gt;="&amp;$C17,Dataset!$V:$V,"&lt;"&amp;$D17)*10</f>
        <v>0</v>
      </c>
      <c r="L17" s="116">
        <f>SUMIFS(Dataset!$W:$W,Dataset!$E:$E,L$8,Dataset!$V:$V,"&gt;="&amp;$C17,Dataset!$V:$V,"&lt;"&amp;$D17)*10</f>
        <v>0</v>
      </c>
      <c r="M17" s="116">
        <f>SUMIFS(Dataset!$W:$W,Dataset!$E:$E,M$8,Dataset!$V:$V,"&gt;="&amp;$C17,Dataset!$V:$V,"&lt;"&amp;$D17)*10</f>
        <v>0</v>
      </c>
      <c r="N17" s="117">
        <f t="shared" si="0"/>
        <v>3.1584260270512639</v>
      </c>
      <c r="O17" s="116">
        <f>(SUMIFS(Dataset!$W:$W,Dataset!$E:$E,O$8,Dataset!$V:$V,"&gt;="&amp;$C17,Dataset!$V:$V,"&lt;"&amp;$D17)-SUMIFS(Dataset!$Z:$Z,Dataset!$E:$E,O$8,Dataset!$V:$V,"&gt;="&amp;$C17,Dataset!$V:$V,"&lt;"&amp;$D17))*10</f>
        <v>0</v>
      </c>
      <c r="P17" s="116">
        <f>(SUMIFS(Dataset!$W:$W,Dataset!$E:$E,P$8,Dataset!$V:$V,"&gt;="&amp;$C17,Dataset!$V:$V,"&lt;"&amp;$D17)-SUMIFS(Dataset!$Z:$Z,Dataset!$E:$E,P$8,Dataset!$V:$V,"&gt;="&amp;$C17,Dataset!$V:$V,"&lt;"&amp;$D17))*10</f>
        <v>0</v>
      </c>
      <c r="Q17" s="116">
        <f>(SUMIFS(Dataset!$W:$W,Dataset!$E:$E,Q$8,Dataset!$V:$V,"&gt;="&amp;$C17,Dataset!$V:$V,"&lt;"&amp;$D17)-SUMIFS(Dataset!$Z:$Z,Dataset!$E:$E,Q$8,Dataset!$V:$V,"&gt;="&amp;$C17,Dataset!$V:$V,"&lt;"&amp;$D17))*10</f>
        <v>0</v>
      </c>
      <c r="R17" s="116">
        <f>(SUMIFS(Dataset!$W:$W,Dataset!$E:$E,R$8,Dataset!$V:$V,"&gt;="&amp;$C17,Dataset!$V:$V,"&lt;"&amp;$D17)-SUMIFS(Dataset!$Z:$Z,Dataset!$E:$E,R$8,Dataset!$V:$V,"&gt;="&amp;$C17,Dataset!$V:$V,"&lt;"&amp;$D17))*10</f>
        <v>0</v>
      </c>
      <c r="S17" s="116">
        <f>(SUMIFS(Dataset!$W:$W,Dataset!$E:$E,S$8,Dataset!$V:$V,"&gt;="&amp;$C17,Dataset!$V:$V,"&lt;"&amp;$D17)-SUMIFS(Dataset!$Z:$Z,Dataset!$E:$E,S$8,Dataset!$V:$V,"&gt;="&amp;$C17,Dataset!$V:$V,"&lt;"&amp;$D17))*10</f>
        <v>0</v>
      </c>
      <c r="T17" s="116">
        <f>(SUMIFS(Dataset!$W:$W,Dataset!$E:$E,T$8,Dataset!$V:$V,"&gt;="&amp;$C17,Dataset!$V:$V,"&lt;"&amp;$D17)-SUMIFS(Dataset!$Z:$Z,Dataset!$E:$E,T$8,Dataset!$V:$V,"&gt;="&amp;$C17,Dataset!$V:$V,"&lt;"&amp;$D17))*10</f>
        <v>0</v>
      </c>
      <c r="U17" s="116">
        <f>(SUMIFS(Dataset!$W:$W,Dataset!$E:$E,U$8,Dataset!$V:$V,"&gt;="&amp;$C17,Dataset!$V:$V,"&lt;"&amp;$D17)-SUMIFS(Dataset!$Z:$Z,Dataset!$E:$E,U$8,Dataset!$V:$V,"&gt;="&amp;$C17,Dataset!$V:$V,"&lt;"&amp;$D17))*10</f>
        <v>0</v>
      </c>
      <c r="V17" s="117">
        <f t="shared" si="1"/>
        <v>0</v>
      </c>
    </row>
    <row r="18" spans="3:22" ht="15" x14ac:dyDescent="0.25">
      <c r="C18">
        <v>7.5</v>
      </c>
      <c r="D18">
        <v>8.5</v>
      </c>
      <c r="F18" s="31" t="s">
        <v>365</v>
      </c>
      <c r="G18" s="116">
        <f>SUMIFS(Dataset!$W:$W,Dataset!$E:$E,G$8,Dataset!$V:$V,"&gt;="&amp;$C18,Dataset!$V:$V,"&lt;"&amp;$D18)*10</f>
        <v>0</v>
      </c>
      <c r="H18" s="116">
        <f>SUMIFS(Dataset!$W:$W,Dataset!$E:$E,H$8,Dataset!$V:$V,"&gt;="&amp;$C18,Dataset!$V:$V,"&lt;"&amp;$D18)*10</f>
        <v>2.9844127845802939</v>
      </c>
      <c r="I18" s="116">
        <f>SUMIFS(Dataset!$W:$W,Dataset!$E:$E,I$8,Dataset!$V:$V,"&gt;="&amp;$C18,Dataset!$V:$V,"&lt;"&amp;$D18)*10</f>
        <v>0</v>
      </c>
      <c r="J18" s="116">
        <f>SUMIFS(Dataset!$W:$W,Dataset!$E:$E,J$8,Dataset!$V:$V,"&gt;="&amp;$C18,Dataset!$V:$V,"&lt;"&amp;$D18)*10</f>
        <v>5.7842974371733096</v>
      </c>
      <c r="K18" s="116">
        <f>SUMIFS(Dataset!$W:$W,Dataset!$E:$E,K$8,Dataset!$V:$V,"&gt;="&amp;$C18,Dataset!$V:$V,"&lt;"&amp;$D18)*10</f>
        <v>0</v>
      </c>
      <c r="L18" s="116">
        <f>SUMIFS(Dataset!$W:$W,Dataset!$E:$E,L$8,Dataset!$V:$V,"&gt;="&amp;$C18,Dataset!$V:$V,"&lt;"&amp;$D18)*10</f>
        <v>1.343516601122174</v>
      </c>
      <c r="M18" s="116">
        <f>SUMIFS(Dataset!$W:$W,Dataset!$E:$E,M$8,Dataset!$V:$V,"&gt;="&amp;$C18,Dataset!$V:$V,"&lt;"&amp;$D18)*10</f>
        <v>0</v>
      </c>
      <c r="N18" s="117">
        <f t="shared" si="0"/>
        <v>10.112226822875778</v>
      </c>
      <c r="O18" s="116">
        <f>(SUMIFS(Dataset!$W:$W,Dataset!$E:$E,O$8,Dataset!$V:$V,"&gt;="&amp;$C18,Dataset!$V:$V,"&lt;"&amp;$D18)-SUMIFS(Dataset!$Z:$Z,Dataset!$E:$E,O$8,Dataset!$V:$V,"&gt;="&amp;$C18,Dataset!$V:$V,"&lt;"&amp;$D18))*10</f>
        <v>0</v>
      </c>
      <c r="P18" s="116">
        <f>(SUMIFS(Dataset!$W:$W,Dataset!$E:$E,P$8,Dataset!$V:$V,"&gt;="&amp;$C18,Dataset!$V:$V,"&lt;"&amp;$D18)-SUMIFS(Dataset!$Z:$Z,Dataset!$E:$E,P$8,Dataset!$V:$V,"&gt;="&amp;$C18,Dataset!$V:$V,"&lt;"&amp;$D18))*10</f>
        <v>0</v>
      </c>
      <c r="Q18" s="116">
        <f>(SUMIFS(Dataset!$W:$W,Dataset!$E:$E,Q$8,Dataset!$V:$V,"&gt;="&amp;$C18,Dataset!$V:$V,"&lt;"&amp;$D18)-SUMIFS(Dataset!$Z:$Z,Dataset!$E:$E,Q$8,Dataset!$V:$V,"&gt;="&amp;$C18,Dataset!$V:$V,"&lt;"&amp;$D18))*10</f>
        <v>0</v>
      </c>
      <c r="R18" s="116">
        <f>(SUMIFS(Dataset!$W:$W,Dataset!$E:$E,R$8,Dataset!$V:$V,"&gt;="&amp;$C18,Dataset!$V:$V,"&lt;"&amp;$D18)-SUMIFS(Dataset!$Z:$Z,Dataset!$E:$E,R$8,Dataset!$V:$V,"&gt;="&amp;$C18,Dataset!$V:$V,"&lt;"&amp;$D18))*10</f>
        <v>0</v>
      </c>
      <c r="S18" s="116">
        <f>(SUMIFS(Dataset!$W:$W,Dataset!$E:$E,S$8,Dataset!$V:$V,"&gt;="&amp;$C18,Dataset!$V:$V,"&lt;"&amp;$D18)-SUMIFS(Dataset!$Z:$Z,Dataset!$E:$E,S$8,Dataset!$V:$V,"&gt;="&amp;$C18,Dataset!$V:$V,"&lt;"&amp;$D18))*10</f>
        <v>0</v>
      </c>
      <c r="T18" s="116">
        <f>(SUMIFS(Dataset!$W:$W,Dataset!$E:$E,T$8,Dataset!$V:$V,"&gt;="&amp;$C18,Dataset!$V:$V,"&lt;"&amp;$D18)-SUMIFS(Dataset!$Z:$Z,Dataset!$E:$E,T$8,Dataset!$V:$V,"&gt;="&amp;$C18,Dataset!$V:$V,"&lt;"&amp;$D18))*10</f>
        <v>-2.3107967960431868</v>
      </c>
      <c r="U18" s="116">
        <f>(SUMIFS(Dataset!$W:$W,Dataset!$E:$E,U$8,Dataset!$V:$V,"&gt;="&amp;$C18,Dataset!$V:$V,"&lt;"&amp;$D18)-SUMIFS(Dataset!$Z:$Z,Dataset!$E:$E,U$8,Dataset!$V:$V,"&gt;="&amp;$C18,Dataset!$V:$V,"&lt;"&amp;$D18))*10</f>
        <v>0</v>
      </c>
      <c r="V18" s="117">
        <f t="shared" si="1"/>
        <v>-2.3107967960431868</v>
      </c>
    </row>
    <row r="19" spans="3:22" ht="15" x14ac:dyDescent="0.25">
      <c r="C19">
        <v>8.5</v>
      </c>
      <c r="D19">
        <v>9.5</v>
      </c>
      <c r="F19" s="31" t="s">
        <v>366</v>
      </c>
      <c r="G19" s="116">
        <f>SUMIFS(Dataset!$W:$W,Dataset!$E:$E,G$8,Dataset!$V:$V,"&gt;="&amp;$C19,Dataset!$V:$V,"&lt;"&amp;$D19)*10</f>
        <v>1.6823685729548832</v>
      </c>
      <c r="H19" s="116">
        <f>SUMIFS(Dataset!$W:$W,Dataset!$E:$E,H$8,Dataset!$V:$V,"&gt;="&amp;$C19,Dataset!$V:$V,"&lt;"&amp;$D19)*10</f>
        <v>2.581057911279669</v>
      </c>
      <c r="I19" s="116">
        <f>SUMIFS(Dataset!$W:$W,Dataset!$E:$E,I$8,Dataset!$V:$V,"&gt;="&amp;$C19,Dataset!$V:$V,"&lt;"&amp;$D19)*10</f>
        <v>0</v>
      </c>
      <c r="J19" s="116">
        <f>SUMIFS(Dataset!$W:$W,Dataset!$E:$E,J$8,Dataset!$V:$V,"&gt;="&amp;$C19,Dataset!$V:$V,"&lt;"&amp;$D19)*10</f>
        <v>0</v>
      </c>
      <c r="K19" s="116">
        <f>SUMIFS(Dataset!$W:$W,Dataset!$E:$E,K$8,Dataset!$V:$V,"&gt;="&amp;$C19,Dataset!$V:$V,"&lt;"&amp;$D19)*10</f>
        <v>0</v>
      </c>
      <c r="L19" s="116">
        <f>SUMIFS(Dataset!$W:$W,Dataset!$E:$E,L$8,Dataset!$V:$V,"&gt;="&amp;$C19,Dataset!$V:$V,"&lt;"&amp;$D19)*10</f>
        <v>0</v>
      </c>
      <c r="M19" s="116">
        <f>SUMIFS(Dataset!$W:$W,Dataset!$E:$E,M$8,Dataset!$V:$V,"&gt;="&amp;$C19,Dataset!$V:$V,"&lt;"&amp;$D19)*10</f>
        <v>0</v>
      </c>
      <c r="N19" s="117">
        <f t="shared" si="0"/>
        <v>4.2634264842345519</v>
      </c>
      <c r="O19" s="116">
        <f>(SUMIFS(Dataset!$W:$W,Dataset!$E:$E,O$8,Dataset!$V:$V,"&gt;="&amp;$C19,Dataset!$V:$V,"&lt;"&amp;$D19)-SUMIFS(Dataset!$Z:$Z,Dataset!$E:$E,O$8,Dataset!$V:$V,"&gt;="&amp;$C19,Dataset!$V:$V,"&lt;"&amp;$D19))*10</f>
        <v>-0.92280703503549111</v>
      </c>
      <c r="P19" s="116">
        <f>(SUMIFS(Dataset!$W:$W,Dataset!$E:$E,P$8,Dataset!$V:$V,"&gt;="&amp;$C19,Dataset!$V:$V,"&lt;"&amp;$D19)-SUMIFS(Dataset!$Z:$Z,Dataset!$E:$E,P$8,Dataset!$V:$V,"&gt;="&amp;$C19,Dataset!$V:$V,"&lt;"&amp;$D19))*10</f>
        <v>0</v>
      </c>
      <c r="Q19" s="116">
        <f>(SUMIFS(Dataset!$W:$W,Dataset!$E:$E,Q$8,Dataset!$V:$V,"&gt;="&amp;$C19,Dataset!$V:$V,"&lt;"&amp;$D19)-SUMIFS(Dataset!$Z:$Z,Dataset!$E:$E,Q$8,Dataset!$V:$V,"&gt;="&amp;$C19,Dataset!$V:$V,"&lt;"&amp;$D19))*10</f>
        <v>0</v>
      </c>
      <c r="R19" s="116">
        <f>(SUMIFS(Dataset!$W:$W,Dataset!$E:$E,R$8,Dataset!$V:$V,"&gt;="&amp;$C19,Dataset!$V:$V,"&lt;"&amp;$D19)-SUMIFS(Dataset!$Z:$Z,Dataset!$E:$E,R$8,Dataset!$V:$V,"&gt;="&amp;$C19,Dataset!$V:$V,"&lt;"&amp;$D19))*10</f>
        <v>0</v>
      </c>
      <c r="S19" s="116">
        <f>(SUMIFS(Dataset!$W:$W,Dataset!$E:$E,S$8,Dataset!$V:$V,"&gt;="&amp;$C19,Dataset!$V:$V,"&lt;"&amp;$D19)-SUMIFS(Dataset!$Z:$Z,Dataset!$E:$E,S$8,Dataset!$V:$V,"&gt;="&amp;$C19,Dataset!$V:$V,"&lt;"&amp;$D19))*10</f>
        <v>0</v>
      </c>
      <c r="T19" s="116">
        <f>(SUMIFS(Dataset!$W:$W,Dataset!$E:$E,T$8,Dataset!$V:$V,"&gt;="&amp;$C19,Dataset!$V:$V,"&lt;"&amp;$D19)-SUMIFS(Dataset!$Z:$Z,Dataset!$E:$E,T$8,Dataset!$V:$V,"&gt;="&amp;$C19,Dataset!$V:$V,"&lt;"&amp;$D19))*10</f>
        <v>0</v>
      </c>
      <c r="U19" s="116">
        <f>(SUMIFS(Dataset!$W:$W,Dataset!$E:$E,U$8,Dataset!$V:$V,"&gt;="&amp;$C19,Dataset!$V:$V,"&lt;"&amp;$D19)-SUMIFS(Dataset!$Z:$Z,Dataset!$E:$E,U$8,Dataset!$V:$V,"&gt;="&amp;$C19,Dataset!$V:$V,"&lt;"&amp;$D19))*10</f>
        <v>0</v>
      </c>
      <c r="V19" s="117">
        <f t="shared" si="1"/>
        <v>-0.92280703503549111</v>
      </c>
    </row>
    <row r="20" spans="3:22" ht="15" x14ac:dyDescent="0.25">
      <c r="C20">
        <v>9.5</v>
      </c>
      <c r="D20">
        <v>10.5</v>
      </c>
      <c r="F20" s="31" t="s">
        <v>367</v>
      </c>
      <c r="G20" s="116">
        <f>SUMIFS(Dataset!$W:$W,Dataset!$E:$E,G$8,Dataset!$V:$V,"&gt;="&amp;$C20,Dataset!$V:$V,"&lt;"&amp;$D20)*10</f>
        <v>1.2267488161062174</v>
      </c>
      <c r="H20" s="116">
        <f>SUMIFS(Dataset!$W:$W,Dataset!$E:$E,H$8,Dataset!$V:$V,"&gt;="&amp;$C20,Dataset!$V:$V,"&lt;"&amp;$D20)*10</f>
        <v>6.3199808825075028</v>
      </c>
      <c r="I20" s="116">
        <f>SUMIFS(Dataset!$W:$W,Dataset!$E:$E,I$8,Dataset!$V:$V,"&gt;="&amp;$C20,Dataset!$V:$V,"&lt;"&amp;$D20)*10</f>
        <v>0</v>
      </c>
      <c r="J20" s="116">
        <f>SUMIFS(Dataset!$W:$W,Dataset!$E:$E,J$8,Dataset!$V:$V,"&gt;="&amp;$C20,Dataset!$V:$V,"&lt;"&amp;$D20)*10</f>
        <v>1.4958670814329702</v>
      </c>
      <c r="K20" s="116">
        <f>SUMIFS(Dataset!$W:$W,Dataset!$E:$E,K$8,Dataset!$V:$V,"&gt;="&amp;$C20,Dataset!$V:$V,"&lt;"&amp;$D20)*10</f>
        <v>2.546409061034296</v>
      </c>
      <c r="L20" s="116">
        <f>SUMIFS(Dataset!$W:$W,Dataset!$E:$E,L$8,Dataset!$V:$V,"&gt;="&amp;$C20,Dataset!$V:$V,"&lt;"&amp;$D20)*10</f>
        <v>0</v>
      </c>
      <c r="M20" s="116">
        <f>SUMIFS(Dataset!$W:$W,Dataset!$E:$E,M$8,Dataset!$V:$V,"&gt;="&amp;$C20,Dataset!$V:$V,"&lt;"&amp;$D20)*10</f>
        <v>0</v>
      </c>
      <c r="N20" s="117">
        <f t="shared" si="0"/>
        <v>11.589005841080986</v>
      </c>
      <c r="O20" s="116">
        <f>(SUMIFS(Dataset!$W:$W,Dataset!$E:$E,O$8,Dataset!$V:$V,"&gt;="&amp;$C20,Dataset!$V:$V,"&lt;"&amp;$D20)-SUMIFS(Dataset!$Z:$Z,Dataset!$E:$E,O$8,Dataset!$V:$V,"&gt;="&amp;$C20,Dataset!$V:$V,"&lt;"&amp;$D20))*10</f>
        <v>0</v>
      </c>
      <c r="P20" s="116">
        <f>(SUMIFS(Dataset!$W:$W,Dataset!$E:$E,P$8,Dataset!$V:$V,"&gt;="&amp;$C20,Dataset!$V:$V,"&lt;"&amp;$D20)-SUMIFS(Dataset!$Z:$Z,Dataset!$E:$E,P$8,Dataset!$V:$V,"&gt;="&amp;$C20,Dataset!$V:$V,"&lt;"&amp;$D20))*10</f>
        <v>-0.48820432047065765</v>
      </c>
      <c r="Q20" s="116">
        <f>(SUMIFS(Dataset!$W:$W,Dataset!$E:$E,Q$8,Dataset!$V:$V,"&gt;="&amp;$C20,Dataset!$V:$V,"&lt;"&amp;$D20)-SUMIFS(Dataset!$Z:$Z,Dataset!$E:$E,Q$8,Dataset!$V:$V,"&gt;="&amp;$C20,Dataset!$V:$V,"&lt;"&amp;$D20))*10</f>
        <v>0</v>
      </c>
      <c r="R20" s="116">
        <f>(SUMIFS(Dataset!$W:$W,Dataset!$E:$E,R$8,Dataset!$V:$V,"&gt;="&amp;$C20,Dataset!$V:$V,"&lt;"&amp;$D20)-SUMIFS(Dataset!$Z:$Z,Dataset!$E:$E,R$8,Dataset!$V:$V,"&gt;="&amp;$C20,Dataset!$V:$V,"&lt;"&amp;$D20))*10</f>
        <v>0</v>
      </c>
      <c r="S20" s="116">
        <f>(SUMIFS(Dataset!$W:$W,Dataset!$E:$E,S$8,Dataset!$V:$V,"&gt;="&amp;$C20,Dataset!$V:$V,"&lt;"&amp;$D20)-SUMIFS(Dataset!$Z:$Z,Dataset!$E:$E,S$8,Dataset!$V:$V,"&gt;="&amp;$C20,Dataset!$V:$V,"&lt;"&amp;$D20))*10</f>
        <v>-0.98739443117880465</v>
      </c>
      <c r="T20" s="116">
        <f>(SUMIFS(Dataset!$W:$W,Dataset!$E:$E,T$8,Dataset!$V:$V,"&gt;="&amp;$C20,Dataset!$V:$V,"&lt;"&amp;$D20)-SUMIFS(Dataset!$Z:$Z,Dataset!$E:$E,T$8,Dataset!$V:$V,"&gt;="&amp;$C20,Dataset!$V:$V,"&lt;"&amp;$D20))*10</f>
        <v>0</v>
      </c>
      <c r="U20" s="116">
        <f>(SUMIFS(Dataset!$W:$W,Dataset!$E:$E,U$8,Dataset!$V:$V,"&gt;="&amp;$C20,Dataset!$V:$V,"&lt;"&amp;$D20)-SUMIFS(Dataset!$Z:$Z,Dataset!$E:$E,U$8,Dataset!$V:$V,"&gt;="&amp;$C20,Dataset!$V:$V,"&lt;"&amp;$D20))*10</f>
        <v>0</v>
      </c>
      <c r="V20" s="117">
        <f t="shared" si="1"/>
        <v>-1.4755987516494624</v>
      </c>
    </row>
    <row r="21" spans="3:22" ht="15" x14ac:dyDescent="0.25">
      <c r="C21">
        <v>10.5</v>
      </c>
      <c r="D21">
        <v>100</v>
      </c>
      <c r="F21" s="31" t="s">
        <v>346</v>
      </c>
      <c r="G21" s="116">
        <f>SUMIFS(Dataset!$W:$W,Dataset!$E:$E,G$8,Dataset!$V:$V,"&gt;="&amp;$C21,Dataset!$V:$V,"&lt;"&amp;$D21)*10</f>
        <v>0</v>
      </c>
      <c r="H21" s="116">
        <f>SUMIFS(Dataset!$W:$W,Dataset!$E:$E,H$8,Dataset!$V:$V,"&gt;="&amp;$C21,Dataset!$V:$V,"&lt;"&amp;$D21)*10</f>
        <v>0</v>
      </c>
      <c r="I21" s="116">
        <f>SUMIFS(Dataset!$W:$W,Dataset!$E:$E,I$8,Dataset!$V:$V,"&gt;="&amp;$C21,Dataset!$V:$V,"&lt;"&amp;$D21)*10</f>
        <v>0</v>
      </c>
      <c r="J21" s="116">
        <f>SUMIFS(Dataset!$W:$W,Dataset!$E:$E,J$8,Dataset!$V:$V,"&gt;="&amp;$C21,Dataset!$V:$V,"&lt;"&amp;$D21)*10</f>
        <v>0</v>
      </c>
      <c r="K21" s="116">
        <f>SUMIFS(Dataset!$W:$W,Dataset!$E:$E,K$8,Dataset!$V:$V,"&gt;="&amp;$C21,Dataset!$V:$V,"&lt;"&amp;$D21)*10</f>
        <v>0</v>
      </c>
      <c r="L21" s="116">
        <f>SUMIFS(Dataset!$W:$W,Dataset!$E:$E,L$8,Dataset!$V:$V,"&gt;="&amp;$C21,Dataset!$V:$V,"&lt;"&amp;$D21)*10</f>
        <v>0</v>
      </c>
      <c r="M21" s="116">
        <f>SUMIFS(Dataset!$W:$W,Dataset!$E:$E,M$8,Dataset!$V:$V,"&gt;="&amp;$C21,Dataset!$V:$V,"&lt;"&amp;$D21)*10</f>
        <v>0</v>
      </c>
      <c r="N21" s="117">
        <f t="shared" si="0"/>
        <v>0</v>
      </c>
      <c r="O21" s="116">
        <f>(SUMIFS(Dataset!$W:$W,Dataset!$E:$E,O$8,Dataset!$V:$V,"&gt;="&amp;$C21,Dataset!$V:$V,"&lt;"&amp;$D21)-SUMIFS(Dataset!$Z:$Z,Dataset!$E:$E,O$8,Dataset!$V:$V,"&gt;="&amp;$C21,Dataset!$V:$V,"&lt;"&amp;$D21))*10</f>
        <v>0</v>
      </c>
      <c r="P21" s="116">
        <f>(SUMIFS(Dataset!$W:$W,Dataset!$E:$E,P$8,Dataset!$V:$V,"&gt;="&amp;$C21,Dataset!$V:$V,"&lt;"&amp;$D21)-SUMIFS(Dataset!$Z:$Z,Dataset!$E:$E,P$8,Dataset!$V:$V,"&gt;="&amp;$C21,Dataset!$V:$V,"&lt;"&amp;$D21))*10</f>
        <v>0</v>
      </c>
      <c r="Q21" s="116">
        <f>(SUMIFS(Dataset!$W:$W,Dataset!$E:$E,Q$8,Dataset!$V:$V,"&gt;="&amp;$C21,Dataset!$V:$V,"&lt;"&amp;$D21)-SUMIFS(Dataset!$Z:$Z,Dataset!$E:$E,Q$8,Dataset!$V:$V,"&gt;="&amp;$C21,Dataset!$V:$V,"&lt;"&amp;$D21))*10</f>
        <v>0</v>
      </c>
      <c r="R21" s="116">
        <f>(SUMIFS(Dataset!$W:$W,Dataset!$E:$E,R$8,Dataset!$V:$V,"&gt;="&amp;$C21,Dataset!$V:$V,"&lt;"&amp;$D21)-SUMIFS(Dataset!$Z:$Z,Dataset!$E:$E,R$8,Dataset!$V:$V,"&gt;="&amp;$C21,Dataset!$V:$V,"&lt;"&amp;$D21))*10</f>
        <v>0</v>
      </c>
      <c r="S21" s="116">
        <f>(SUMIFS(Dataset!$W:$W,Dataset!$E:$E,S$8,Dataset!$V:$V,"&gt;="&amp;$C21,Dataset!$V:$V,"&lt;"&amp;$D21)-SUMIFS(Dataset!$Z:$Z,Dataset!$E:$E,S$8,Dataset!$V:$V,"&gt;="&amp;$C21,Dataset!$V:$V,"&lt;"&amp;$D21))*10</f>
        <v>0</v>
      </c>
      <c r="T21" s="116">
        <f>(SUMIFS(Dataset!$W:$W,Dataset!$E:$E,T$8,Dataset!$V:$V,"&gt;="&amp;$C21,Dataset!$V:$V,"&lt;"&amp;$D21)-SUMIFS(Dataset!$Z:$Z,Dataset!$E:$E,T$8,Dataset!$V:$V,"&gt;="&amp;$C21,Dataset!$V:$V,"&lt;"&amp;$D21))*10</f>
        <v>0</v>
      </c>
      <c r="U21" s="116">
        <f>(SUMIFS(Dataset!$W:$W,Dataset!$E:$E,U$8,Dataset!$V:$V,"&gt;="&amp;$C21,Dataset!$V:$V,"&lt;"&amp;$D21)-SUMIFS(Dataset!$Z:$Z,Dataset!$E:$E,U$8,Dataset!$V:$V,"&gt;="&amp;$C21,Dataset!$V:$V,"&lt;"&amp;$D21))*10</f>
        <v>0</v>
      </c>
      <c r="V21" s="117">
        <f t="shared" si="1"/>
        <v>0</v>
      </c>
    </row>
    <row r="22" spans="3:22" ht="16.5" x14ac:dyDescent="0.2">
      <c r="F22" s="30" t="s">
        <v>147</v>
      </c>
      <c r="G22" s="118">
        <f t="shared" ref="G22:M22" si="2">+SUM(G10:G21)</f>
        <v>2.9091173890611008</v>
      </c>
      <c r="H22" s="118">
        <f t="shared" si="2"/>
        <v>20.857195067546925</v>
      </c>
      <c r="I22" s="118">
        <f t="shared" si="2"/>
        <v>0.33791188159755159</v>
      </c>
      <c r="J22" s="118">
        <f t="shared" si="2"/>
        <v>12.080489851539163</v>
      </c>
      <c r="K22" s="118">
        <f t="shared" si="2"/>
        <v>7.5295839051108562</v>
      </c>
      <c r="L22" s="118">
        <f t="shared" si="2"/>
        <v>2.5328946177422926</v>
      </c>
      <c r="M22" s="118">
        <f t="shared" si="2"/>
        <v>2.7750978451717847</v>
      </c>
      <c r="N22" s="118">
        <f t="shared" si="0"/>
        <v>49.022290557769672</v>
      </c>
      <c r="O22" s="118">
        <f t="shared" ref="O22:U22" si="3">+SUM(O10:O21)</f>
        <v>-0.92280703503549111</v>
      </c>
      <c r="P22" s="118">
        <f t="shared" si="3"/>
        <v>-0.48820432047065765</v>
      </c>
      <c r="Q22" s="118">
        <f t="shared" si="3"/>
        <v>0.21523049783283538</v>
      </c>
      <c r="R22" s="118">
        <f t="shared" si="3"/>
        <v>-6.2430462824124705E-2</v>
      </c>
      <c r="S22" s="118">
        <f t="shared" si="3"/>
        <v>-1.298753559239298</v>
      </c>
      <c r="T22" s="118">
        <f t="shared" si="3"/>
        <v>-2.3107967960431868</v>
      </c>
      <c r="U22" s="118">
        <f t="shared" si="3"/>
        <v>0.12402687143933139</v>
      </c>
      <c r="V22" s="118">
        <f t="shared" si="1"/>
        <v>-4.7437348043405914</v>
      </c>
    </row>
    <row r="23" spans="3:22" x14ac:dyDescent="0.2">
      <c r="L23" s="120"/>
      <c r="M23" s="120"/>
    </row>
    <row r="24" spans="3:22" x14ac:dyDescent="0.2">
      <c r="L24" s="120"/>
      <c r="M24" s="120"/>
    </row>
    <row r="25" spans="3:22" ht="16.5" x14ac:dyDescent="0.2">
      <c r="F25" s="121" t="s">
        <v>357</v>
      </c>
      <c r="G25" s="121"/>
      <c r="H25" s="121" t="s">
        <v>154</v>
      </c>
      <c r="I25" s="121" t="s">
        <v>155</v>
      </c>
      <c r="J25" s="121" t="s">
        <v>156</v>
      </c>
      <c r="K25" s="121" t="s">
        <v>167</v>
      </c>
      <c r="L25" s="121" t="s">
        <v>17</v>
      </c>
      <c r="M25" s="121" t="s">
        <v>4</v>
      </c>
      <c r="N25" s="121" t="s">
        <v>6</v>
      </c>
    </row>
    <row r="26" spans="3:22" x14ac:dyDescent="0.2">
      <c r="D26" t="s">
        <v>132</v>
      </c>
      <c r="F26" s="120" t="s">
        <v>350</v>
      </c>
      <c r="G26" s="120"/>
      <c r="H26" s="120">
        <f>+SUMIFS(Dataset!$P:$P,Dataset!$G:$G,$F$25,Dataset!$F:$F,$D26)</f>
        <v>0</v>
      </c>
      <c r="I26" s="120">
        <f>+SUMIFS(Dataset!$R:$R,Dataset!$G:$G,$F$25,Dataset!$F:$F,$D26)</f>
        <v>0</v>
      </c>
      <c r="J26" s="120">
        <f>+SUMIFS(Dataset!$Y:$Y,Dataset!$G:$G,$F$25,Dataset!$F:$F,$D26)</f>
        <v>0</v>
      </c>
      <c r="K26" s="120">
        <f>+SUMIFS(Dataset!$P:$P,Dataset!$G:$G,$F$25,Dataset!$F:$F,$D26)</f>
        <v>0</v>
      </c>
      <c r="L26" s="120">
        <f>+SUMIFS(Dataset!$P:$P,Dataset!$G:$G,$F$25,Dataset!$F:$F,$D26)</f>
        <v>0</v>
      </c>
      <c r="M26" s="120">
        <f>+SUMIFS(Dataset!$P:$P,Dataset!$G:$G,$F$25,Dataset!$F:$F,$D26)</f>
        <v>0</v>
      </c>
      <c r="N26" s="120">
        <f>+SUMIFS(Dataset!$P:$P,Dataset!$G:$G,$F$25,Dataset!$F:$F,$D26)</f>
        <v>0</v>
      </c>
    </row>
    <row r="27" spans="3:22" x14ac:dyDescent="0.2">
      <c r="D27" t="s">
        <v>133</v>
      </c>
      <c r="F27" s="120" t="s">
        <v>351</v>
      </c>
      <c r="G27" s="120"/>
      <c r="H27" s="120">
        <f>+SUMIFS(Dataset!$P:$P,Dataset!$G:$G,$F$25,Dataset!$F:$F,$D27)</f>
        <v>0</v>
      </c>
      <c r="I27" s="120">
        <f>+SUMIFS(Dataset!$P:$P,Dataset!$G:$G,$F$25,Dataset!$F:$F,$D27)</f>
        <v>0</v>
      </c>
      <c r="J27" s="120">
        <f>+SUMIFS(Dataset!$P:$P,Dataset!$G:$G,$F$25,Dataset!$F:$F,$D27)</f>
        <v>0</v>
      </c>
      <c r="K27" s="120">
        <f>+SUMIFS(Dataset!$P:$P,Dataset!$G:$G,$F$25,Dataset!$F:$F,$D27)</f>
        <v>0</v>
      </c>
      <c r="L27" s="120">
        <f>+SUMIFS(Dataset!$P:$P,Dataset!$G:$G,$F$25,Dataset!$F:$F,$D27)</f>
        <v>0</v>
      </c>
      <c r="M27" s="120">
        <f>+SUMIFS(Dataset!$P:$P,Dataset!$G:$G,$F$25,Dataset!$F:$F,$D27)</f>
        <v>0</v>
      </c>
      <c r="N27" s="120">
        <f>+SUMIFS(Dataset!$P:$P,Dataset!$G:$G,$F$25,Dataset!$F:$F,$D27)</f>
        <v>0</v>
      </c>
    </row>
    <row r="28" spans="3:22" x14ac:dyDescent="0.2">
      <c r="D28" t="s">
        <v>132</v>
      </c>
      <c r="F28" s="120" t="s">
        <v>352</v>
      </c>
      <c r="G28" s="120"/>
      <c r="H28" s="120">
        <f>+SUMIFS(Dataset!$P:$P,Dataset!$G:$G,$F$25,Dataset!$F:$F,$D28)</f>
        <v>0</v>
      </c>
      <c r="I28" s="120">
        <f>+SUMIFS(Dataset!$P:$P,Dataset!$G:$G,$F$25,Dataset!$F:$F,$D28)</f>
        <v>0</v>
      </c>
      <c r="J28" s="120">
        <f>+SUMIFS(Dataset!$P:$P,Dataset!$G:$G,$F$25,Dataset!$F:$F,$D28)</f>
        <v>0</v>
      </c>
      <c r="K28" s="120">
        <f>+SUMIFS(Dataset!$P:$P,Dataset!$G:$G,$F$25,Dataset!$F:$F,$D28)</f>
        <v>0</v>
      </c>
      <c r="L28" s="120">
        <f>+SUMIFS(Dataset!$P:$P,Dataset!$G:$G,$F$25,Dataset!$F:$F,$D28)</f>
        <v>0</v>
      </c>
      <c r="M28" s="120">
        <f>+SUMIFS(Dataset!$P:$P,Dataset!$G:$G,$F$25,Dataset!$F:$F,$D28)</f>
        <v>0</v>
      </c>
      <c r="N28" s="120">
        <f>+SUMIFS(Dataset!$P:$P,Dataset!$G:$G,$F$25,Dataset!$F:$F,$D28)</f>
        <v>0</v>
      </c>
    </row>
    <row r="29" spans="3:22" x14ac:dyDescent="0.2">
      <c r="D29" t="s">
        <v>133</v>
      </c>
      <c r="F29" s="120" t="s">
        <v>353</v>
      </c>
      <c r="G29" s="120"/>
      <c r="H29" s="120">
        <f>+SUMIFS(Dataset!$P:$P,Dataset!$G:$G,$F$25,Dataset!$F:$F,$D29)</f>
        <v>0</v>
      </c>
      <c r="I29" s="120">
        <f>+SUMIFS(Dataset!$P:$P,Dataset!$G:$G,$F$25,Dataset!$F:$F,$D29)</f>
        <v>0</v>
      </c>
      <c r="J29" s="120">
        <f>+SUMIFS(Dataset!$P:$P,Dataset!$G:$G,$F$25,Dataset!$F:$F,$D29)</f>
        <v>0</v>
      </c>
      <c r="K29" s="120">
        <f>+SUMIFS(Dataset!$P:$P,Dataset!$G:$G,$F$25,Dataset!$F:$F,$D29)</f>
        <v>0</v>
      </c>
      <c r="L29" s="120">
        <f>+SUMIFS(Dataset!$P:$P,Dataset!$G:$G,$F$25,Dataset!$F:$F,$D29)</f>
        <v>0</v>
      </c>
      <c r="M29" s="120">
        <f>+SUMIFS(Dataset!$P:$P,Dataset!$G:$G,$F$25,Dataset!$F:$F,$D29)</f>
        <v>0</v>
      </c>
      <c r="N29" s="120">
        <f>+SUMIFS(Dataset!$P:$P,Dataset!$G:$G,$F$25,Dataset!$F:$F,$D29)</f>
        <v>0</v>
      </c>
    </row>
    <row r="30" spans="3:22" x14ac:dyDescent="0.2">
      <c r="D30" t="s">
        <v>132</v>
      </c>
      <c r="F30" s="120" t="s">
        <v>354</v>
      </c>
      <c r="G30" s="120"/>
      <c r="H30" s="120">
        <f>+SUMIFS(Dataset!$P:$P,Dataset!$G:$G,$F$25,Dataset!$F:$F,$D30)</f>
        <v>0</v>
      </c>
      <c r="I30" s="120">
        <f>+SUMIFS(Dataset!$P:$P,Dataset!$G:$G,$F$25,Dataset!$F:$F,$D30)</f>
        <v>0</v>
      </c>
      <c r="J30" s="120">
        <f>+SUMIFS(Dataset!$P:$P,Dataset!$G:$G,$F$25,Dataset!$F:$F,$D30)</f>
        <v>0</v>
      </c>
      <c r="K30" s="120">
        <f>+SUMIFS(Dataset!$P:$P,Dataset!$G:$G,$F$25,Dataset!$F:$F,$D30)</f>
        <v>0</v>
      </c>
      <c r="L30" s="120">
        <f>+SUMIFS(Dataset!$P:$P,Dataset!$G:$G,$F$25,Dataset!$F:$F,$D30)</f>
        <v>0</v>
      </c>
      <c r="M30" s="120">
        <f>+SUMIFS(Dataset!$P:$P,Dataset!$G:$G,$F$25,Dataset!$F:$F,$D30)</f>
        <v>0</v>
      </c>
      <c r="N30" s="120">
        <f>+SUMIFS(Dataset!$P:$P,Dataset!$G:$G,$F$25,Dataset!$F:$F,$D30)</f>
        <v>0</v>
      </c>
    </row>
    <row r="31" spans="3:22" x14ac:dyDescent="0.2">
      <c r="D31" t="s">
        <v>133</v>
      </c>
      <c r="F31" s="120" t="s">
        <v>355</v>
      </c>
      <c r="G31" s="120"/>
      <c r="H31" s="120">
        <f>+SUMIFS(Dataset!$P:$P,Dataset!$G:$G,$F$25,Dataset!$F:$F,$D31)</f>
        <v>0</v>
      </c>
      <c r="I31" s="120">
        <f>+SUMIFS(Dataset!$P:$P,Dataset!$G:$G,$F$25,Dataset!$F:$F,$D31)</f>
        <v>0</v>
      </c>
      <c r="J31" s="120">
        <f>+SUMIFS(Dataset!$P:$P,Dataset!$G:$G,$F$25,Dataset!$F:$F,$D31)</f>
        <v>0</v>
      </c>
      <c r="K31" s="120">
        <f>+SUMIFS(Dataset!$P:$P,Dataset!$G:$G,$F$25,Dataset!$F:$F,$D31)</f>
        <v>0</v>
      </c>
      <c r="L31" s="120">
        <f>+SUMIFS(Dataset!$P:$P,Dataset!$G:$G,$F$25,Dataset!$F:$F,$D31)</f>
        <v>0</v>
      </c>
      <c r="M31" s="120">
        <f>+SUMIFS(Dataset!$P:$P,Dataset!$G:$G,$F$25,Dataset!$F:$F,$D31)</f>
        <v>0</v>
      </c>
      <c r="N31" s="120">
        <f>+SUMIFS(Dataset!$P:$P,Dataset!$G:$G,$F$25,Dataset!$F:$F,$D31)</f>
        <v>0</v>
      </c>
    </row>
    <row r="32" spans="3:22" x14ac:dyDescent="0.2">
      <c r="D32" t="s">
        <v>132</v>
      </c>
      <c r="F32" s="120" t="s">
        <v>356</v>
      </c>
      <c r="G32" s="120"/>
      <c r="H32" s="120">
        <f>+SUMIFS(Dataset!$P:$P,Dataset!$G:$G,$F$25,Dataset!$F:$F,$D32)</f>
        <v>0</v>
      </c>
      <c r="I32" s="120">
        <f>+SUMIFS(Dataset!$P:$P,Dataset!$G:$G,$F$25,Dataset!$F:$F,$D32)</f>
        <v>0</v>
      </c>
      <c r="J32" s="120">
        <f>+SUMIFS(Dataset!$P:$P,Dataset!$G:$G,$F$25,Dataset!$F:$F,$D32)</f>
        <v>0</v>
      </c>
      <c r="K32" s="120">
        <f>+SUMIFS(Dataset!$P:$P,Dataset!$G:$G,$F$25,Dataset!$F:$F,$D32)</f>
        <v>0</v>
      </c>
      <c r="L32" s="120">
        <f>+SUMIFS(Dataset!$P:$P,Dataset!$G:$G,$F$25,Dataset!$F:$F,$D32)</f>
        <v>0</v>
      </c>
      <c r="M32" s="120">
        <f>+SUMIFS(Dataset!$P:$P,Dataset!$G:$G,$F$25,Dataset!$F:$F,$D32)</f>
        <v>0</v>
      </c>
      <c r="N32" s="120">
        <f>+SUMIFS(Dataset!$P:$P,Dataset!$G:$G,$F$25,Dataset!$F:$F,$D32)</f>
        <v>0</v>
      </c>
    </row>
  </sheetData>
  <mergeCells count="3">
    <mergeCell ref="G6:M6"/>
    <mergeCell ref="O6:U6"/>
    <mergeCell ref="E3:X3"/>
  </mergeCells>
  <pageMargins left="0.70866141732283472" right="0.17354166666666668" top="0.74803149606299213" bottom="0.74803149606299213" header="0.31496062992125984" footer="0.31496062992125984"/>
  <pageSetup scale="47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FB316-8FDC-474A-9951-553E099C3BA8}">
  <sheetPr codeName="Hoja102">
    <tabColor theme="9" tint="0.39997558519241921"/>
    <pageSetUpPr fitToPage="1"/>
  </sheetPr>
  <dimension ref="A3:X84"/>
  <sheetViews>
    <sheetView showGridLines="0" tabSelected="1" view="pageBreakPreview" topLeftCell="B1" zoomScale="73" zoomScaleNormal="53" zoomScaleSheetLayoutView="73" workbookViewId="0">
      <selection activeCell="AF18" sqref="AF18"/>
    </sheetView>
  </sheetViews>
  <sheetFormatPr baseColWidth="10" defaultRowHeight="14.25" x14ac:dyDescent="0.2"/>
  <cols>
    <col min="1" max="1" width="8.25" hidden="1" customWidth="1"/>
    <col min="2" max="2" width="4.375" customWidth="1"/>
    <col min="3" max="4" width="5.25" bestFit="1" customWidth="1"/>
    <col min="5" max="5" width="7.25" customWidth="1"/>
    <col min="6" max="6" width="8.5" bestFit="1" customWidth="1"/>
    <col min="7" max="7" width="9.5" customWidth="1"/>
    <col min="8" max="8" width="8" bestFit="1" customWidth="1"/>
    <col min="9" max="9" width="8.375" bestFit="1" customWidth="1"/>
    <col min="10" max="10" width="8.625" customWidth="1"/>
    <col min="11" max="11" width="6.5" customWidth="1"/>
    <col min="12" max="12" width="7.625" customWidth="1"/>
    <col min="13" max="13" width="6.625" bestFit="1" customWidth="1"/>
    <col min="14" max="14" width="6.5" bestFit="1" customWidth="1"/>
    <col min="15" max="15" width="9.375" bestFit="1" customWidth="1"/>
    <col min="16" max="16" width="8.375" bestFit="1" customWidth="1"/>
    <col min="17" max="17" width="5.375" bestFit="1" customWidth="1"/>
    <col min="18" max="18" width="8.875" bestFit="1" customWidth="1"/>
    <col min="19" max="19" width="6.625" bestFit="1" customWidth="1"/>
    <col min="20" max="20" width="7.5" bestFit="1" customWidth="1"/>
    <col min="21" max="21" width="7.875" bestFit="1" customWidth="1"/>
    <col min="22" max="22" width="6.125" bestFit="1" customWidth="1"/>
    <col min="23" max="23" width="6.25" customWidth="1"/>
    <col min="24" max="24" width="11.125" bestFit="1" customWidth="1"/>
    <col min="25" max="25" width="6.375" customWidth="1"/>
  </cols>
  <sheetData>
    <row r="3" spans="1:24" ht="26.25" x14ac:dyDescent="0.4">
      <c r="E3" s="129" t="s">
        <v>345</v>
      </c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</row>
    <row r="4" spans="1:24" x14ac:dyDescent="0.2">
      <c r="L4" s="124"/>
      <c r="M4" s="124"/>
      <c r="N4" s="124"/>
      <c r="O4" s="124"/>
      <c r="P4" s="124"/>
      <c r="Q4" s="124"/>
      <c r="R4" s="124"/>
      <c r="S4" s="124"/>
      <c r="T4" s="124"/>
      <c r="U4" s="124"/>
      <c r="V4" s="124"/>
      <c r="W4" s="124"/>
    </row>
    <row r="6" spans="1:24" ht="20.25" x14ac:dyDescent="0.3">
      <c r="E6" s="93" t="s">
        <v>165</v>
      </c>
    </row>
    <row r="8" spans="1:24" ht="16.5" x14ac:dyDescent="0.3">
      <c r="E8" s="27" t="s">
        <v>139</v>
      </c>
      <c r="F8" s="119" t="s">
        <v>154</v>
      </c>
      <c r="G8" s="119" t="s">
        <v>155</v>
      </c>
      <c r="H8" s="119" t="s">
        <v>156</v>
      </c>
      <c r="I8" s="119" t="s">
        <v>167</v>
      </c>
      <c r="J8" s="119" t="s">
        <v>17</v>
      </c>
      <c r="K8" s="119" t="s">
        <v>4</v>
      </c>
      <c r="L8" s="119" t="s">
        <v>6</v>
      </c>
    </row>
    <row r="9" spans="1:24" ht="16.5" x14ac:dyDescent="0.2">
      <c r="E9" s="18" t="s">
        <v>162</v>
      </c>
      <c r="F9" s="19">
        <f>SUMIFS(Dataset!P:P,Dataset!$E:$E,$A11)</f>
        <v>3.1E-2</v>
      </c>
      <c r="G9" s="20">
        <f>SUMIFS(Dataset!R:R,Dataset!$E:$E,$A11)</f>
        <v>-0.01</v>
      </c>
      <c r="H9" s="17">
        <f>SUMIFS(Dataset!R:R,Dataset!$Y:$Y,$A11)</f>
        <v>0</v>
      </c>
      <c r="I9" s="125">
        <f>+J9/F9</f>
        <v>9.3842496421325823</v>
      </c>
      <c r="J9" s="126">
        <f>SUMIFS(Dataset!W:W,Dataset!$E:$E,$A11)</f>
        <v>0.29091173890611005</v>
      </c>
      <c r="K9" s="94">
        <f>SUMIFS(Dataset!S:S,Dataset!$E:$E,$A11)</f>
        <v>1.2511922587850801</v>
      </c>
      <c r="L9" s="17">
        <f>SUMIFS(Dataset!U:U,Dataset!$E:$E,$A11)</f>
        <v>0</v>
      </c>
    </row>
    <row r="10" spans="1:24" ht="16.5" x14ac:dyDescent="0.2">
      <c r="E10" s="18" t="s">
        <v>161</v>
      </c>
      <c r="F10" s="19">
        <f>SUMIFS(Dataset!P:P,Dataset!$E:$E,$A12)</f>
        <v>0.29969999999999997</v>
      </c>
      <c r="G10" s="20">
        <f>SUMIFS(Dataset!R:R,Dataset!$E:$E,$A12)</f>
        <v>-5.0000000000000001E-3</v>
      </c>
      <c r="H10" s="17">
        <f>SUMIFS(Dataset!R:R,Dataset!$Y:$Y,$A12)</f>
        <v>0</v>
      </c>
      <c r="I10" s="125">
        <f t="shared" ref="I10:I15" si="0">+J10/F10</f>
        <v>6.9593577135625395</v>
      </c>
      <c r="J10" s="126">
        <f>SUMIFS(Dataset!W:W,Dataset!$E:$E,$A12)</f>
        <v>2.085719506754693</v>
      </c>
      <c r="K10" s="94">
        <f>SUMIFS(Dataset!S:S,Dataset!$E:$E,$A12)</f>
        <v>6.6257263243854556</v>
      </c>
      <c r="L10" s="17">
        <f>SUMIFS(Dataset!U:U,Dataset!$E:$E,$A12)</f>
        <v>0</v>
      </c>
    </row>
    <row r="11" spans="1:24" ht="16.5" x14ac:dyDescent="0.2">
      <c r="A11" t="s">
        <v>125</v>
      </c>
      <c r="E11" s="18" t="s">
        <v>157</v>
      </c>
      <c r="F11" s="19">
        <f>SUMIFS(Dataset!P:P,Dataset!$E:$E,$A13)</f>
        <v>1.5699999999999999E-2</v>
      </c>
      <c r="G11" s="20">
        <f>SUMIFS(Dataset!R:R,Dataset!$E:$E,$A13)</f>
        <v>9.9999999999999985E-3</v>
      </c>
      <c r="H11" s="17">
        <f>SUMIFS(Dataset!R:R,Dataset!$Y:$Y,$A13)</f>
        <v>0</v>
      </c>
      <c r="I11" s="125">
        <f t="shared" si="0"/>
        <v>2.1523049783283543</v>
      </c>
      <c r="J11" s="126">
        <f>SUMIFS(Dataset!W:W,Dataset!$E:$E,$A13)</f>
        <v>3.379118815975516E-2</v>
      </c>
      <c r="K11" s="94">
        <f>SUMIFS(Dataset!S:S,Dataset!$E:$E,$A13)</f>
        <v>8.4271857236630443E-2</v>
      </c>
      <c r="L11" s="17">
        <f>SUMIFS(Dataset!U:U,Dataset!$E:$E,$A13)</f>
        <v>0</v>
      </c>
    </row>
    <row r="12" spans="1:24" ht="16.5" x14ac:dyDescent="0.2">
      <c r="A12" t="s">
        <v>126</v>
      </c>
      <c r="E12" s="18" t="s">
        <v>159</v>
      </c>
      <c r="F12" s="19">
        <f>SUMIFS(Dataset!P:P,Dataset!$E:$E,$A14)</f>
        <v>0.23499999999999999</v>
      </c>
      <c r="G12" s="20">
        <f>SUMIFS(Dataset!R:R,Dataset!$E:$E,$A14)</f>
        <v>4.9999999999999992E-3</v>
      </c>
      <c r="H12" s="17">
        <f>SUMIFS(Dataset!R:R,Dataset!$Y:$Y,$A14)</f>
        <v>0</v>
      </c>
      <c r="I12" s="125">
        <f t="shared" si="0"/>
        <v>5.1406339793783671</v>
      </c>
      <c r="J12" s="126">
        <f>SUMIFS(Dataset!W:W,Dataset!$E:$E,$A14)</f>
        <v>1.2080489851539162</v>
      </c>
      <c r="K12" s="94">
        <f>SUMIFS(Dataset!S:S,Dataset!$E:$E,$A14)</f>
        <v>4.7016069698362291</v>
      </c>
      <c r="L12" s="17">
        <f>SUMIFS(Dataset!U:U,Dataset!$E:$E,$A14)</f>
        <v>0</v>
      </c>
    </row>
    <row r="13" spans="1:24" ht="16.5" x14ac:dyDescent="0.2">
      <c r="A13" t="s">
        <v>127</v>
      </c>
      <c r="E13" s="18" t="s">
        <v>158</v>
      </c>
      <c r="F13" s="19">
        <f>SUMIFS(Dataset!P:P,Dataset!$E:$E,$A15)</f>
        <v>0.17469999999999999</v>
      </c>
      <c r="G13" s="20">
        <f>SUMIFS(Dataset!R:R,Dataset!$E:$E,$A15)</f>
        <v>-1.9999999999999997E-2</v>
      </c>
      <c r="H13" s="17">
        <f>SUMIFS(Dataset!R:R,Dataset!$Y:$Y,$A15)</f>
        <v>0</v>
      </c>
      <c r="I13" s="125">
        <f t="shared" si="0"/>
        <v>4.3100079594223564</v>
      </c>
      <c r="J13" s="126">
        <f>SUMIFS(Dataset!W:W,Dataset!$E:$E,$A15)</f>
        <v>0.75295839051108571</v>
      </c>
      <c r="K13" s="94">
        <f>SUMIFS(Dataset!S:S,Dataset!$E:$E,$A15)</f>
        <v>3.1822211738521839</v>
      </c>
      <c r="L13" s="17">
        <f>SUMIFS(Dataset!U:U,Dataset!$E:$E,$A15)</f>
        <v>0</v>
      </c>
    </row>
    <row r="14" spans="1:24" ht="16.5" x14ac:dyDescent="0.2">
      <c r="A14" t="s">
        <v>128</v>
      </c>
      <c r="E14" s="18" t="s">
        <v>160</v>
      </c>
      <c r="F14" s="19">
        <f>SUMIFS(Dataset!P:P,Dataset!$E:$E,$A16)</f>
        <v>7.8100000000000003E-2</v>
      </c>
      <c r="G14" s="20">
        <f>SUMIFS(Dataset!R:R,Dataset!$E:$E,$A16)</f>
        <v>-0.03</v>
      </c>
      <c r="H14" s="17">
        <f>SUMIFS(Dataset!R:R,Dataset!$Y:$Y,$A16)</f>
        <v>0</v>
      </c>
      <c r="I14" s="125">
        <f t="shared" si="0"/>
        <v>3.2431429164433965</v>
      </c>
      <c r="J14" s="126">
        <f>SUMIFS(Dataset!W:W,Dataset!$E:$E,$A16)</f>
        <v>0.25328946177422929</v>
      </c>
      <c r="K14" s="94">
        <f>SUMIFS(Dataset!S:S,Dataset!$E:$E,$A16)</f>
        <v>2.4417480078156704</v>
      </c>
      <c r="L14" s="17">
        <f>SUMIFS(Dataset!U:U,Dataset!$E:$E,$A16)</f>
        <v>0</v>
      </c>
    </row>
    <row r="15" spans="1:24" ht="16.5" x14ac:dyDescent="0.2">
      <c r="A15" t="s">
        <v>129</v>
      </c>
      <c r="E15" s="21" t="s">
        <v>163</v>
      </c>
      <c r="F15" s="22">
        <f>SUMIFS(Dataset!P:P,Dataset!$E:$E,$A17)</f>
        <v>0.16579999999999995</v>
      </c>
      <c r="G15" s="22">
        <f>SUMIFS(Dataset!R:R,Dataset!$E:$E,$A17)</f>
        <v>9.9999999999999534E-3</v>
      </c>
      <c r="H15" s="16">
        <f>SUMIFS(Dataset!R:R,Dataset!$Y:$Y,$A17)</f>
        <v>0</v>
      </c>
      <c r="I15" s="127">
        <f t="shared" si="0"/>
        <v>1.6737622709118127</v>
      </c>
      <c r="J15" s="127">
        <f>SUMIFS(Dataset!W:W,Dataset!$E:$E,$A17)</f>
        <v>0.27750978451717845</v>
      </c>
      <c r="K15" s="95">
        <f>SUMIFS(Dataset!S:S,Dataset!$E:$E,$A17)</f>
        <v>0.8638077513055149</v>
      </c>
      <c r="L15" s="16">
        <f>SUMIFS(Dataset!U:U,Dataset!$E:$E,$A17)</f>
        <v>0</v>
      </c>
    </row>
    <row r="16" spans="1:24" ht="16.5" x14ac:dyDescent="0.2">
      <c r="A16" t="s">
        <v>130</v>
      </c>
      <c r="E16" s="23" t="s">
        <v>147</v>
      </c>
      <c r="F16" s="24">
        <f>SUM(F9:F15)</f>
        <v>0.99999999999999978</v>
      </c>
      <c r="G16" s="25">
        <f>SUM(G9:G15)</f>
        <v>-4.0000000000000042E-2</v>
      </c>
      <c r="H16" s="26">
        <f>SUM(H9:H15)</f>
        <v>0</v>
      </c>
      <c r="I16" s="128">
        <f>+J16</f>
        <v>4.9022290557769681</v>
      </c>
      <c r="J16" s="128">
        <f>SUM(J9:J15)</f>
        <v>4.9022290557769681</v>
      </c>
      <c r="K16" s="98">
        <f>SUM(K9:K15)</f>
        <v>19.150574343216768</v>
      </c>
      <c r="L16" s="26">
        <f>SUM(L9:L15)</f>
        <v>0</v>
      </c>
    </row>
    <row r="17" spans="1:10" x14ac:dyDescent="0.2">
      <c r="A17" t="s">
        <v>131</v>
      </c>
    </row>
    <row r="20" spans="1:10" ht="20.25" x14ac:dyDescent="0.3">
      <c r="E20" s="93" t="s">
        <v>166</v>
      </c>
    </row>
    <row r="22" spans="1:10" ht="16.5" x14ac:dyDescent="0.3">
      <c r="E22" s="27" t="s">
        <v>164</v>
      </c>
      <c r="F22" s="119" t="s">
        <v>154</v>
      </c>
      <c r="G22" s="119" t="s">
        <v>155</v>
      </c>
      <c r="H22" s="119" t="s">
        <v>156</v>
      </c>
      <c r="I22" s="27" t="s">
        <v>4</v>
      </c>
      <c r="J22" s="119" t="s">
        <v>6</v>
      </c>
    </row>
    <row r="23" spans="1:10" ht="16.5" x14ac:dyDescent="0.2">
      <c r="E23" s="18" t="s">
        <v>132</v>
      </c>
      <c r="F23" s="19">
        <f>+SUMIFS(Dataset!$P:$P,Dataset!$F:$F,'display_IR (2)'!$E23)</f>
        <v>3.1E-2</v>
      </c>
      <c r="G23" s="20">
        <f>SUMIFS(Dataset!$R:$R,Dataset!$F:$F,$E23)</f>
        <v>-0.01</v>
      </c>
      <c r="H23" s="17">
        <f>SUMIFS(Dataset!Y:Y,Dataset!$E:$E,$E23)</f>
        <v>0</v>
      </c>
      <c r="I23" s="17">
        <f>SUMIFS(Dataset!S:S,Dataset!$E:$E,$E23)</f>
        <v>0</v>
      </c>
      <c r="J23" s="19">
        <f>SUMIFS(Dataset!U:U,Dataset!$E:$E,$E23)</f>
        <v>0</v>
      </c>
    </row>
    <row r="24" spans="1:10" ht="16.5" x14ac:dyDescent="0.2">
      <c r="E24" s="18" t="s">
        <v>133</v>
      </c>
      <c r="F24" s="19">
        <f>+SUMIFS(Dataset!$P:$P,Dataset!$F:$F,'display_IR (2)'!$E24)</f>
        <v>0.29969999999999997</v>
      </c>
      <c r="G24" s="20">
        <f>SUMIFS(Dataset!$R:$R,Dataset!$F:$F,$E24)</f>
        <v>-5.0000000000000001E-3</v>
      </c>
      <c r="H24" s="17">
        <f>SUMIFS(Dataset!Y:Y,Dataset!$E:$E,$E24)</f>
        <v>0</v>
      </c>
      <c r="I24" s="17">
        <f>SUMIFS(Dataset!S:S,Dataset!$E:$E,$E24)</f>
        <v>0</v>
      </c>
      <c r="J24" s="19">
        <f>SUMIFS(Dataset!U:U,Dataset!$E:$E,$E24)</f>
        <v>0</v>
      </c>
    </row>
    <row r="25" spans="1:10" ht="16.5" x14ac:dyDescent="0.2">
      <c r="E25" s="18" t="s">
        <v>134</v>
      </c>
      <c r="F25" s="19">
        <f>+SUMIFS(Dataset!$P:$P,Dataset!$F:$F,'display_IR (2)'!$E25)</f>
        <v>1.5699999999999999E-2</v>
      </c>
      <c r="G25" s="20">
        <f>SUMIFS(Dataset!$R:$R,Dataset!$F:$F,$E25)</f>
        <v>9.9999999999999985E-3</v>
      </c>
      <c r="H25" s="17">
        <f>SUMIFS(Dataset!Y:Y,Dataset!$E:$E,$E25)</f>
        <v>0</v>
      </c>
      <c r="I25" s="17">
        <f>SUMIFS(Dataset!S:S,Dataset!$E:$E,$E25)</f>
        <v>0</v>
      </c>
      <c r="J25" s="19">
        <f>SUMIFS(Dataset!U:U,Dataset!$E:$E,$E25)</f>
        <v>0</v>
      </c>
    </row>
    <row r="26" spans="1:10" ht="16.5" x14ac:dyDescent="0.2">
      <c r="E26" s="18" t="s">
        <v>135</v>
      </c>
      <c r="F26" s="19">
        <f>+SUMIFS(Dataset!$P:$P,Dataset!$F:$F,'display_IR (2)'!$E26)</f>
        <v>0.23499999999999999</v>
      </c>
      <c r="G26" s="20">
        <f>SUMIFS(Dataset!$R:$R,Dataset!$F:$F,$E26)</f>
        <v>4.9999999999999992E-3</v>
      </c>
      <c r="H26" s="17">
        <f>SUMIFS(Dataset!Y:Y,Dataset!$E:$E,$E26)</f>
        <v>0</v>
      </c>
      <c r="I26" s="17">
        <f>SUMIFS(Dataset!S:S,Dataset!$E:$E,$E26)</f>
        <v>0</v>
      </c>
      <c r="J26" s="19">
        <f>SUMIFS(Dataset!U:U,Dataset!$E:$E,$E26)</f>
        <v>0</v>
      </c>
    </row>
    <row r="27" spans="1:10" ht="16.5" x14ac:dyDescent="0.2">
      <c r="E27" s="18" t="s">
        <v>136</v>
      </c>
      <c r="F27" s="19">
        <f>+SUMIFS(Dataset!$P:$P,Dataset!$F:$F,'display_IR (2)'!$E27)</f>
        <v>0.17469999999999999</v>
      </c>
      <c r="G27" s="20">
        <f>SUMIFS(Dataset!$R:$R,Dataset!$F:$F,$E27)</f>
        <v>-1.9999999999999997E-2</v>
      </c>
      <c r="H27" s="17">
        <f>SUMIFS(Dataset!Y:Y,Dataset!$E:$E,$E27)</f>
        <v>0</v>
      </c>
      <c r="I27" s="17">
        <f>SUMIFS(Dataset!S:S,Dataset!$E:$E,$E27)</f>
        <v>0</v>
      </c>
      <c r="J27" s="19">
        <f>SUMIFS(Dataset!U:U,Dataset!$E:$E,$E27)</f>
        <v>0</v>
      </c>
    </row>
    <row r="28" spans="1:10" ht="16.5" x14ac:dyDescent="0.2">
      <c r="E28" s="18" t="s">
        <v>137</v>
      </c>
      <c r="F28" s="19">
        <f>+SUMIFS(Dataset!$P:$P,Dataset!$F:$F,'display_IR (2)'!$E28)</f>
        <v>7.8100000000000003E-2</v>
      </c>
      <c r="G28" s="20">
        <f>SUMIFS(Dataset!$R:$R,Dataset!$F:$F,$E28)</f>
        <v>-0.03</v>
      </c>
      <c r="H28" s="17">
        <f>SUMIFS(Dataset!Y:Y,Dataset!$E:$E,$E28)</f>
        <v>0</v>
      </c>
      <c r="I28" s="17">
        <f>SUMIFS(Dataset!S:S,Dataset!$E:$E,$E28)</f>
        <v>0</v>
      </c>
      <c r="J28" s="19">
        <f>SUMIFS(Dataset!U:U,Dataset!$E:$E,$E28)</f>
        <v>0</v>
      </c>
    </row>
    <row r="29" spans="1:10" ht="16.5" x14ac:dyDescent="0.2">
      <c r="E29" s="21" t="s">
        <v>138</v>
      </c>
      <c r="F29" s="35">
        <f>+SUMIFS(Dataset!$P:$P,Dataset!$F:$F,'display_IR (2)'!$E29)</f>
        <v>0.16579999999999995</v>
      </c>
      <c r="G29" s="147">
        <f>SUMIFS(Dataset!$R:$R,Dataset!$F:$F,$E29)</f>
        <v>9.9999999999999534E-3</v>
      </c>
      <c r="H29" s="16">
        <f>SUMIFS(Dataset!Y:Y,Dataset!$E:$E,$E29)</f>
        <v>0</v>
      </c>
      <c r="I29" s="16">
        <f>SUMIFS(Dataset!S:S,Dataset!$E:$E,$E29)</f>
        <v>0</v>
      </c>
      <c r="J29" s="22">
        <f>SUMIFS(Dataset!U:U,Dataset!$E:$E,$E29)</f>
        <v>0</v>
      </c>
    </row>
    <row r="30" spans="1:10" ht="16.5" x14ac:dyDescent="0.2">
      <c r="E30" s="23" t="s">
        <v>147</v>
      </c>
      <c r="F30" s="24">
        <f>SUM(F23:F29)</f>
        <v>0.99999999999999978</v>
      </c>
      <c r="G30" s="25">
        <f>SUM(G23:G29)</f>
        <v>-4.0000000000000042E-2</v>
      </c>
      <c r="H30" s="26">
        <f>SUM(H23:H29)</f>
        <v>0</v>
      </c>
      <c r="I30" s="23">
        <f>SUM(I23:I29)</f>
        <v>0</v>
      </c>
      <c r="J30" s="24">
        <f>SUM(J23:J29)</f>
        <v>0</v>
      </c>
    </row>
    <row r="34" spans="5:15" ht="20.25" x14ac:dyDescent="0.3">
      <c r="E34" s="93" t="s">
        <v>168</v>
      </c>
    </row>
    <row r="36" spans="5:15" x14ac:dyDescent="0.2">
      <c r="E36" s="103" t="s">
        <v>169</v>
      </c>
      <c r="F36" s="132" t="s">
        <v>170</v>
      </c>
      <c r="G36" s="132"/>
      <c r="H36" s="104" t="s">
        <v>139</v>
      </c>
      <c r="I36" s="104" t="s">
        <v>171</v>
      </c>
      <c r="J36" s="104" t="s">
        <v>154</v>
      </c>
      <c r="K36" s="104" t="s">
        <v>155</v>
      </c>
      <c r="L36" s="103" t="s">
        <v>4</v>
      </c>
      <c r="M36" s="104" t="s">
        <v>5</v>
      </c>
      <c r="N36" s="103" t="s">
        <v>6</v>
      </c>
      <c r="O36" s="104" t="s">
        <v>7</v>
      </c>
    </row>
    <row r="37" spans="5:15" x14ac:dyDescent="0.2">
      <c r="E37" s="112">
        <v>1</v>
      </c>
      <c r="F37" s="131" t="str">
        <f>+INDEX(Dataset!D:D,MATCH(LARGE(Dataset!$P:$P,$E37),Dataset!$P:$P,0),0)</f>
        <v>URUGUA 8 1/2 03/15/28</v>
      </c>
      <c r="G37" s="131"/>
      <c r="H37" s="112" t="str">
        <f>+INDEX(Dataset!E:E,MATCH(LARGE(Dataset!$P:$P,$E37),Dataset!$P:$P,0),0)</f>
        <v>UR</v>
      </c>
      <c r="I37" s="100"/>
      <c r="J37" s="101">
        <f>+INDEX(Dataset!P:P,MATCH(LARGE(Dataset!$P:$P,$E37),Dataset!$P:$P,0),0)</f>
        <v>0.15059999999999996</v>
      </c>
      <c r="K37" s="102">
        <f>+INDEX(Dataset!R:R,MATCH(LARGE(Dataset!$P:$P,$E37),Dataset!$P:$P,0),0)</f>
        <v>9.9999999999999534E-3</v>
      </c>
      <c r="L37" s="112">
        <f>+INDEX(Dataset!S:S,MATCH(LARGE(Dataset!$P:$P,$E37),Dataset!$P:$P,0),0)</f>
        <v>0.50030372795545008</v>
      </c>
      <c r="M37" s="112">
        <f>+INDEX(Dataset!T:T,MATCH(LARGE(Dataset!$P:$P,$E37),Dataset!$P:$P,0),0)</f>
        <v>0</v>
      </c>
      <c r="N37" s="112">
        <f>+INDEX(Dataset!U:U,MATCH(LARGE(Dataset!$P:$P,$E37),Dataset!$P:$P,0),0)</f>
        <v>0</v>
      </c>
      <c r="O37" s="107">
        <f>+INDEX(Dataset!V:V,MATCH(LARGE(Dataset!$P:$P,$E37),Dataset!$P:$P,0),0)</f>
        <v>1.2402687143933211</v>
      </c>
    </row>
    <row r="38" spans="5:15" x14ac:dyDescent="0.2">
      <c r="E38" s="112">
        <v>2</v>
      </c>
      <c r="F38" s="131" t="str">
        <f>+INDEX(Dataset!D:D,MATCH(LARGE(Dataset!$P:$P,$E38),Dataset!$P:$P,0),0)</f>
        <v>BLTN 0 07/01/20</v>
      </c>
      <c r="G38" s="131"/>
      <c r="H38" s="112" t="str">
        <f>+INDEX(Dataset!E:E,MATCH(LARGE(Dataset!$P:$P,$E38),Dataset!$P:$P,0),0)</f>
        <v>BR</v>
      </c>
      <c r="I38" s="100"/>
      <c r="J38" s="101">
        <f>+INDEX(Dataset!P:P,MATCH(LARGE(Dataset!$P:$P,$E38),Dataset!$P:$P,0),0)</f>
        <v>4.6199999999999998E-2</v>
      </c>
      <c r="K38" s="102">
        <f>+INDEX(Dataset!R:R,MATCH(LARGE(Dataset!$P:$P,$E38),Dataset!$P:$P,0),0)</f>
        <v>0</v>
      </c>
      <c r="L38" s="112">
        <f>+INDEX(Dataset!S:S,MATCH(LARGE(Dataset!$P:$P,$E38),Dataset!$P:$P,0),0)</f>
        <v>0.43191315744419645</v>
      </c>
      <c r="M38" s="112">
        <f>+INDEX(Dataset!T:T,MATCH(LARGE(Dataset!$P:$P,$E38),Dataset!$P:$P,0),0)</f>
        <v>0</v>
      </c>
      <c r="N38" s="112">
        <f>+INDEX(Dataset!U:U,MATCH(LARGE(Dataset!$P:$P,$E38),Dataset!$P:$P,0),0)</f>
        <v>0</v>
      </c>
      <c r="O38" s="107">
        <f>+INDEX(Dataset!V:V,MATCH(LARGE(Dataset!$P:$P,$E38),Dataset!$P:$P,0),0)</f>
        <v>9.8574380770588412</v>
      </c>
    </row>
    <row r="39" spans="5:15" x14ac:dyDescent="0.2">
      <c r="E39" s="112">
        <v>3</v>
      </c>
      <c r="F39" s="131" t="str">
        <f>+INDEX(Dataset!D:D,MATCH(LARGE(Dataset!$P:$P,$E39),Dataset!$P:$P,0),0)</f>
        <v>BNTNF 10 01/01/23</v>
      </c>
      <c r="G39" s="131"/>
      <c r="H39" s="112" t="str">
        <f>+INDEX(Dataset!E:E,MATCH(LARGE(Dataset!$P:$P,$E39),Dataset!$P:$P,0),0)</f>
        <v>BR</v>
      </c>
      <c r="I39" s="100"/>
      <c r="J39" s="101">
        <f>+INDEX(Dataset!P:P,MATCH(LARGE(Dataset!$P:$P,$E39),Dataset!$P:$P,0),0)</f>
        <v>4.0899999999999999E-2</v>
      </c>
      <c r="K39" s="102">
        <f>+INDEX(Dataset!R:R,MATCH(LARGE(Dataset!$P:$P,$E39),Dataset!$P:$P,0),0)</f>
        <v>0</v>
      </c>
      <c r="L39" s="112">
        <f>+INDEX(Dataset!S:S,MATCH(LARGE(Dataset!$P:$P,$E39),Dataset!$P:$P,0),0)</f>
        <v>0.72144539179509082</v>
      </c>
      <c r="M39" s="112">
        <f>+INDEX(Dataset!T:T,MATCH(LARGE(Dataset!$P:$P,$E39),Dataset!$P:$P,0),0)</f>
        <v>0</v>
      </c>
      <c r="N39" s="112">
        <f>+INDEX(Dataset!U:U,MATCH(LARGE(Dataset!$P:$P,$E39),Dataset!$P:$P,0),0)</f>
        <v>0</v>
      </c>
      <c r="O39" s="107">
        <f>+INDEX(Dataset!V:V,MATCH(LARGE(Dataset!$P:$P,$E39),Dataset!$P:$P,0),0)</f>
        <v>7.2829053690183283</v>
      </c>
    </row>
    <row r="40" spans="5:15" x14ac:dyDescent="0.2">
      <c r="E40" s="112">
        <v>4</v>
      </c>
      <c r="F40" s="131" t="str">
        <f>+INDEX(Dataset!D:D,MATCH(LARGE(Dataset!$P:$P,$E40),Dataset!$P:$P,0),0)</f>
        <v>COLOM 7 3/4 04/14/21</v>
      </c>
      <c r="G40" s="131"/>
      <c r="H40" s="112" t="str">
        <f>+INDEX(Dataset!E:E,MATCH(LARGE(Dataset!$P:$P,$E40),Dataset!$P:$P,0),0)</f>
        <v>CO</v>
      </c>
      <c r="I40" s="100"/>
      <c r="J40" s="101">
        <f>+INDEX(Dataset!P:P,MATCH(LARGE(Dataset!$P:$P,$E40),Dataset!$P:$P,0),0)</f>
        <v>3.7900000000000003E-2</v>
      </c>
      <c r="K40" s="102">
        <f>+INDEX(Dataset!R:R,MATCH(LARGE(Dataset!$P:$P,$E40),Dataset!$P:$P,0),0)</f>
        <v>0</v>
      </c>
      <c r="L40" s="112">
        <f>+INDEX(Dataset!S:S,MATCH(LARGE(Dataset!$P:$P,$E40),Dataset!$P:$P,0),0)</f>
        <v>0.45289341315725418</v>
      </c>
      <c r="M40" s="112">
        <f>+INDEX(Dataset!T:T,MATCH(LARGE(Dataset!$P:$P,$E40),Dataset!$P:$P,0),0)</f>
        <v>0</v>
      </c>
      <c r="N40" s="112">
        <f>+INDEX(Dataset!U:U,MATCH(LARGE(Dataset!$P:$P,$E40),Dataset!$P:$P,0),0)</f>
        <v>0</v>
      </c>
      <c r="O40" s="107">
        <f>+INDEX(Dataset!V:V,MATCH(LARGE(Dataset!$P:$P,$E40),Dataset!$P:$P,0),0)</f>
        <v>7.5647811379369969</v>
      </c>
    </row>
    <row r="41" spans="5:15" x14ac:dyDescent="0.2">
      <c r="E41" s="112">
        <v>5</v>
      </c>
      <c r="F41" s="131" t="str">
        <f>+INDEX(Dataset!D:D,MATCH(LARGE(Dataset!$P:$P,$E41),Dataset!$P:$P,0),0)</f>
        <v>COLTES 7 06/30/32</v>
      </c>
      <c r="G41" s="131"/>
      <c r="H41" s="112" t="str">
        <f>+INDEX(Dataset!E:E,MATCH(LARGE(Dataset!$P:$P,$E41),Dataset!$P:$P,0),0)</f>
        <v>CO</v>
      </c>
      <c r="I41" s="100"/>
      <c r="J41" s="101">
        <f>+INDEX(Dataset!P:P,MATCH(LARGE(Dataset!$P:$P,$E41),Dataset!$P:$P,0),0)</f>
        <v>3.5099999999999999E-2</v>
      </c>
      <c r="K41" s="102">
        <f>+INDEX(Dataset!R:R,MATCH(LARGE(Dataset!$P:$P,$E41),Dataset!$P:$P,0),0)</f>
        <v>0</v>
      </c>
      <c r="L41" s="112">
        <f>+INDEX(Dataset!S:S,MATCH(LARGE(Dataset!$P:$P,$E41),Dataset!$P:$P,0),0)</f>
        <v>0.13655795168115503</v>
      </c>
      <c r="M41" s="112">
        <f>+INDEX(Dataset!T:T,MATCH(LARGE(Dataset!$P:$P,$E41),Dataset!$P:$P,0),0)</f>
        <v>0</v>
      </c>
      <c r="N41" s="112">
        <f>+INDEX(Dataset!U:U,MATCH(LARGE(Dataset!$P:$P,$E41),Dataset!$P:$P,0),0)</f>
        <v>0</v>
      </c>
      <c r="O41" s="107">
        <f>+INDEX(Dataset!V:V,MATCH(LARGE(Dataset!$P:$P,$E41),Dataset!$P:$P,0),0)</f>
        <v>5.2862819802622587</v>
      </c>
    </row>
    <row r="42" spans="5:15" x14ac:dyDescent="0.2">
      <c r="E42" s="112">
        <v>6</v>
      </c>
      <c r="F42" s="131" t="str">
        <f>+INDEX(Dataset!D:D,MATCH(LARGE(Dataset!$P:$P,$E42),Dataset!$P:$P,0),0)</f>
        <v>COLOM 4 3/8 03/21/23</v>
      </c>
      <c r="G42" s="131"/>
      <c r="H42" s="112" t="str">
        <f>+INDEX(Dataset!E:E,MATCH(LARGE(Dataset!$P:$P,$E42),Dataset!$P:$P,0),0)</f>
        <v>CO</v>
      </c>
      <c r="I42" s="100"/>
      <c r="J42" s="101">
        <f>+INDEX(Dataset!P:P,MATCH(LARGE(Dataset!$P:$P,$E42),Dataset!$P:$P,0),0)</f>
        <v>3.5000000000000003E-2</v>
      </c>
      <c r="K42" s="102">
        <f>+INDEX(Dataset!R:R,MATCH(LARGE(Dataset!$P:$P,$E42),Dataset!$P:$P,0),0)</f>
        <v>0</v>
      </c>
      <c r="L42" s="112">
        <f>+INDEX(Dataset!S:S,MATCH(LARGE(Dataset!$P:$P,$E42),Dataset!$P:$P,0),0)</f>
        <v>0.15324827731158552</v>
      </c>
      <c r="M42" s="112">
        <f>+INDEX(Dataset!T:T,MATCH(LARGE(Dataset!$P:$P,$E42),Dataset!$P:$P,0),0)</f>
        <v>0</v>
      </c>
      <c r="N42" s="112">
        <f>+INDEX(Dataset!U:U,MATCH(LARGE(Dataset!$P:$P,$E42),Dataset!$P:$P,0),0)</f>
        <v>0</v>
      </c>
      <c r="O42" s="107">
        <f>+INDEX(Dataset!V:V,MATCH(LARGE(Dataset!$P:$P,$E42),Dataset!$P:$P,0),0)</f>
        <v>8.33498681684339</v>
      </c>
    </row>
    <row r="43" spans="5:15" x14ac:dyDescent="0.2">
      <c r="E43" s="112">
        <v>7</v>
      </c>
      <c r="F43" s="131" t="str">
        <f>+INDEX(Dataset!D:D,MATCH(LARGE(Dataset!$P:$P,$E43),Dataset!$P:$P,0),0)</f>
        <v>PERUGB 5.7 08/12/24</v>
      </c>
      <c r="G43" s="131"/>
      <c r="H43" s="112" t="str">
        <f>+INDEX(Dataset!E:E,MATCH(LARGE(Dataset!$P:$P,$E43),Dataset!$P:$P,0),0)</f>
        <v>PE</v>
      </c>
      <c r="I43" s="100"/>
      <c r="J43" s="101">
        <f>+INDEX(Dataset!P:P,MATCH(LARGE(Dataset!$P:$P,$E43),Dataset!$P:$P,0),0)</f>
        <v>3.4500000000000003E-2</v>
      </c>
      <c r="K43" s="102">
        <f>+INDEX(Dataset!R:R,MATCH(LARGE(Dataset!$P:$P,$E43),Dataset!$P:$P,0),0)</f>
        <v>0</v>
      </c>
      <c r="L43" s="112">
        <f>+INDEX(Dataset!S:S,MATCH(LARGE(Dataset!$P:$P,$E43),Dataset!$P:$P,0),0)</f>
        <v>0.8232087504695248</v>
      </c>
      <c r="M43" s="112">
        <f>+INDEX(Dataset!T:T,MATCH(LARGE(Dataset!$P:$P,$E43),Dataset!$P:$P,0),0)</f>
        <v>0</v>
      </c>
      <c r="N43" s="112">
        <f>+INDEX(Dataset!U:U,MATCH(LARGE(Dataset!$P:$P,$E43),Dataset!$P:$P,0),0)</f>
        <v>0</v>
      </c>
      <c r="O43" s="107">
        <f>+INDEX(Dataset!V:V,MATCH(LARGE(Dataset!$P:$P,$E43),Dataset!$P:$P,0),0)</f>
        <v>0.92621406642047877</v>
      </c>
    </row>
    <row r="44" spans="5:15" x14ac:dyDescent="0.2">
      <c r="E44" s="112">
        <v>8</v>
      </c>
      <c r="F44" s="131" t="str">
        <f>+INDEX(Dataset!D:D,MATCH(LARGE(Dataset!$P:$P,$E44),Dataset!$P:$P,0),0)</f>
        <v>MBONO 7 3/4 11/23/34</v>
      </c>
      <c r="G44" s="131"/>
      <c r="H44" s="112" t="str">
        <f>+INDEX(Dataset!E:E,MATCH(LARGE(Dataset!$P:$P,$E44),Dataset!$P:$P,0),0)</f>
        <v>MX</v>
      </c>
      <c r="I44" s="100"/>
      <c r="J44" s="101">
        <f>+INDEX(Dataset!P:P,MATCH(LARGE(Dataset!$P:$P,$E44),Dataset!$P:$P,0),0)</f>
        <v>3.3300000000000003E-2</v>
      </c>
      <c r="K44" s="102">
        <f>+INDEX(Dataset!R:R,MATCH(LARGE(Dataset!$P:$P,$E44),Dataset!$P:$P,0),0)</f>
        <v>0</v>
      </c>
      <c r="L44" s="112">
        <f>+INDEX(Dataset!S:S,MATCH(LARGE(Dataset!$P:$P,$E44),Dataset!$P:$P,0),0)</f>
        <v>0.26398157673471034</v>
      </c>
      <c r="M44" s="112">
        <f>+INDEX(Dataset!T:T,MATCH(LARGE(Dataset!$P:$P,$E44),Dataset!$P:$P,0),0)</f>
        <v>0</v>
      </c>
      <c r="N44" s="112">
        <f>+INDEX(Dataset!U:U,MATCH(LARGE(Dataset!$P:$P,$E44),Dataset!$P:$P,0),0)</f>
        <v>0</v>
      </c>
      <c r="O44" s="107">
        <f>+INDEX(Dataset!V:V,MATCH(LARGE(Dataset!$P:$P,$E44),Dataset!$P:$P,0),0)</f>
        <v>1.3935431018408506</v>
      </c>
    </row>
    <row r="45" spans="5:15" x14ac:dyDescent="0.2">
      <c r="E45" s="112">
        <v>9</v>
      </c>
      <c r="F45" s="131" t="str">
        <f>+INDEX(Dataset!D:D,MATCH(LARGE(Dataset!$P:$P,$E45),Dataset!$P:$P,0),0)</f>
        <v>MBONO 8 1/2 11/18/38</v>
      </c>
      <c r="G45" s="131"/>
      <c r="H45" s="112" t="str">
        <f>+INDEX(Dataset!E:E,MATCH(LARGE(Dataset!$P:$P,$E45),Dataset!$P:$P,0),0)</f>
        <v>MX</v>
      </c>
      <c r="I45" s="100"/>
      <c r="J45" s="101">
        <f>+INDEX(Dataset!P:P,MATCH(LARGE(Dataset!$P:$P,$E45),Dataset!$P:$P,0),0)</f>
        <v>3.32E-2</v>
      </c>
      <c r="K45" s="102">
        <f>+INDEX(Dataset!R:R,MATCH(LARGE(Dataset!$P:$P,$E45),Dataset!$P:$P,0),0)</f>
        <v>0</v>
      </c>
      <c r="L45" s="112">
        <f>+INDEX(Dataset!S:S,MATCH(LARGE(Dataset!$P:$P,$E45),Dataset!$P:$P,0),0)</f>
        <v>0.45726377089517645</v>
      </c>
      <c r="M45" s="112">
        <f>+INDEX(Dataset!T:T,MATCH(LARGE(Dataset!$P:$P,$E45),Dataset!$P:$P,0),0)</f>
        <v>0</v>
      </c>
      <c r="N45" s="112">
        <f>+INDEX(Dataset!U:U,MATCH(LARGE(Dataset!$P:$P,$E45),Dataset!$P:$P,0),0)</f>
        <v>0</v>
      </c>
      <c r="O45" s="107">
        <f>+INDEX(Dataset!V:V,MATCH(LARGE(Dataset!$P:$P,$E45),Dataset!$P:$P,0),0)</f>
        <v>4.5976162688953082</v>
      </c>
    </row>
    <row r="46" spans="5:15" x14ac:dyDescent="0.2">
      <c r="E46" s="112">
        <v>10</v>
      </c>
      <c r="F46" s="131" t="str">
        <f>+INDEX(Dataset!D:D,MATCH(LARGE(Dataset!$P:$P,$E46),Dataset!$P:$P,0),0)</f>
        <v>BNTNF 10 01/01/21</v>
      </c>
      <c r="G46" s="131"/>
      <c r="H46" s="112" t="str">
        <f>+INDEX(Dataset!E:E,MATCH(LARGE(Dataset!$P:$P,$E46),Dataset!$P:$P,0),0)</f>
        <v>BR</v>
      </c>
      <c r="I46" s="100"/>
      <c r="J46" s="101">
        <f>+INDEX(Dataset!P:P,MATCH(LARGE(Dataset!$P:$P,$E46),Dataset!$P:$P,0),0)</f>
        <v>3.3099999999999997E-2</v>
      </c>
      <c r="K46" s="102">
        <f>+INDEX(Dataset!R:R,MATCH(LARGE(Dataset!$P:$P,$E46),Dataset!$P:$P,0),0)</f>
        <v>0</v>
      </c>
      <c r="L46" s="112">
        <f>+INDEX(Dataset!S:S,MATCH(LARGE(Dataset!$P:$P,$E46),Dataset!$P:$P,0),0)</f>
        <v>0.32928718159426273</v>
      </c>
      <c r="M46" s="112">
        <f>+INDEX(Dataset!T:T,MATCH(LARGE(Dataset!$P:$P,$E46),Dataset!$P:$P,0),0)</f>
        <v>0</v>
      </c>
      <c r="N46" s="112">
        <f>+INDEX(Dataset!U:U,MATCH(LARGE(Dataset!$P:$P,$E46),Dataset!$P:$P,0),0)</f>
        <v>0</v>
      </c>
      <c r="O46" s="107">
        <f>+INDEX(Dataset!V:V,MATCH(LARGE(Dataset!$P:$P,$E46),Dataset!$P:$P,0),0)</f>
        <v>4.3164419274770296</v>
      </c>
    </row>
    <row r="50" spans="5:15" ht="20.25" x14ac:dyDescent="0.3">
      <c r="E50" s="93" t="s">
        <v>172</v>
      </c>
    </row>
    <row r="52" spans="5:15" x14ac:dyDescent="0.2">
      <c r="E52" s="103" t="s">
        <v>169</v>
      </c>
      <c r="F52" s="113" t="s">
        <v>170</v>
      </c>
      <c r="G52" s="113"/>
      <c r="H52" s="104" t="s">
        <v>139</v>
      </c>
      <c r="I52" s="104" t="s">
        <v>171</v>
      </c>
      <c r="J52" s="104" t="s">
        <v>154</v>
      </c>
      <c r="K52" s="104" t="s">
        <v>155</v>
      </c>
      <c r="L52" s="103" t="s">
        <v>4</v>
      </c>
      <c r="M52" s="104" t="s">
        <v>5</v>
      </c>
      <c r="N52" s="103" t="s">
        <v>6</v>
      </c>
      <c r="O52" s="104" t="s">
        <v>7</v>
      </c>
    </row>
    <row r="53" spans="5:15" x14ac:dyDescent="0.2">
      <c r="E53" s="112">
        <v>1</v>
      </c>
      <c r="F53" s="123" t="str">
        <f>+INDEX(Dataset!D:D,MATCH(LARGE(Dataset!$S:$S,$E53),Dataset!$S:$S,0),0)</f>
        <v>BLTN 0 10/01/19</v>
      </c>
      <c r="G53" s="123"/>
      <c r="H53" s="112" t="str">
        <f>+INDEX(Dataset!E:E,MATCH(LARGE(Dataset!$S:$S,$E53),Dataset!$S:$S,0),0)</f>
        <v>BR</v>
      </c>
      <c r="I53" s="112" t="str">
        <f>+INDEX(Dataset!H:H,MATCH(LARGE(Dataset!$S:$S,$E53),Dataset!$S:$S,0),0)</f>
        <v>A-</v>
      </c>
      <c r="J53" s="105">
        <f>+INDEX(Dataset!P:P,MATCH(LARGE(Dataset!$S:$S,$E53),Dataset!$S:$S,0),0)</f>
        <v>1.4200000000000001E-2</v>
      </c>
      <c r="K53" s="105">
        <f>+INDEX(Dataset!R:R,MATCH(LARGE(Dataset!$S:$S,$E53),Dataset!$S:$S,0),0)</f>
        <v>0</v>
      </c>
      <c r="L53" s="105">
        <f>+INDEX(Dataset!S:S,MATCH(LARGE(Dataset!$S:$S,$E53),Dataset!$S:$S,0),0)</f>
        <v>0.8811747976335973</v>
      </c>
      <c r="M53" s="105">
        <f>+INDEX(Dataset!T:T,MATCH(LARGE(Dataset!$S:$S,$E53),Dataset!$S:$S,0),0)</f>
        <v>0</v>
      </c>
      <c r="N53" s="105">
        <f>+INDEX(Dataset!U:U,MATCH(LARGE(Dataset!$S:$S,$E53),Dataset!$S:$S,0),0)</f>
        <v>0</v>
      </c>
      <c r="O53" s="106">
        <f>+INDEX(Dataset!V:V,MATCH(LARGE(Dataset!$S:$S,$E53),Dataset!$S:$S,0),0)</f>
        <v>7.9957846600904698</v>
      </c>
    </row>
    <row r="54" spans="5:15" x14ac:dyDescent="0.2">
      <c r="E54" s="112">
        <v>2</v>
      </c>
      <c r="F54" s="112" t="str">
        <f>+INDEX(Dataset!D:D,MATCH(LARGE(Dataset!$S:$S,$E54),Dataset!$S:$S,0),0)</f>
        <v>BLTN 0 07/01/21</v>
      </c>
      <c r="G54" s="112"/>
      <c r="H54" s="112" t="str">
        <f>+INDEX(Dataset!E:E,MATCH(LARGE(Dataset!$P:$P,$E54),Dataset!$P:$P,0),0)</f>
        <v>BR</v>
      </c>
      <c r="I54" s="112" t="str">
        <f>+INDEX(Dataset!H:H,MATCH(LARGE(Dataset!$S:$S,$E54),Dataset!$S:$S,0),0)</f>
        <v>A-</v>
      </c>
      <c r="J54" s="105">
        <f>+INDEX(Dataset!P:P,MATCH(LARGE(Dataset!$S:$S,$E54),Dataset!$S:$S,0),0)</f>
        <v>1.6E-2</v>
      </c>
      <c r="K54" s="102">
        <f>+INDEX(Dataset!R:R,MATCH(LARGE(Dataset!$P:$P,$E54),Dataset!$P:$P,0),0)</f>
        <v>0</v>
      </c>
      <c r="L54" s="105">
        <f>+INDEX(Dataset!S:S,MATCH(LARGE(Dataset!$S:$S,$E54),Dataset!$S:$S,0),0)</f>
        <v>0.8783020372490854</v>
      </c>
      <c r="M54" s="105">
        <f>+INDEX(Dataset!T:T,MATCH(LARGE(Dataset!$S:$S,$E54),Dataset!$S:$S,0),0)</f>
        <v>0</v>
      </c>
      <c r="N54" s="105">
        <f>+INDEX(Dataset!U:U,MATCH(LARGE(Dataset!$S:$S,$E54),Dataset!$S:$S,0),0)</f>
        <v>0</v>
      </c>
      <c r="O54" s="106">
        <f>+INDEX(Dataset!V:V,MATCH(LARGE(Dataset!$S:$S,$E54),Dataset!$S:$S,0),0)</f>
        <v>9.9990938871643404</v>
      </c>
    </row>
    <row r="55" spans="5:15" x14ac:dyDescent="0.2">
      <c r="E55" s="112">
        <v>3</v>
      </c>
      <c r="F55" s="112" t="str">
        <f>+INDEX(Dataset!D:D,MATCH(LARGE(Dataset!$S:$S,$E55),Dataset!$S:$S,0),0)</f>
        <v>COLTES 7 3/4 09/18/30</v>
      </c>
      <c r="G55" s="112"/>
      <c r="H55" s="112" t="str">
        <f>+INDEX(Dataset!E:E,MATCH(LARGE(Dataset!$P:$P,$E55),Dataset!$P:$P,0),0)</f>
        <v>BR</v>
      </c>
      <c r="I55" s="112" t="str">
        <f>+INDEX(Dataset!H:H,MATCH(LARGE(Dataset!$S:$S,$E55),Dataset!$S:$S,0),0)</f>
        <v>AA</v>
      </c>
      <c r="J55" s="105">
        <f>+INDEX(Dataset!P:P,MATCH(LARGE(Dataset!$S:$S,$E55),Dataset!$S:$S,0),0)</f>
        <v>2.6100000000000002E-2</v>
      </c>
      <c r="K55" s="102">
        <f>+INDEX(Dataset!R:R,MATCH(LARGE(Dataset!$P:$P,$E55),Dataset!$P:$P,0),0)</f>
        <v>0</v>
      </c>
      <c r="L55" s="105">
        <f>+INDEX(Dataset!S:S,MATCH(LARGE(Dataset!$S:$S,$E55),Dataset!$S:$S,0),0)</f>
        <v>0.86163739355833491</v>
      </c>
      <c r="M55" s="105">
        <f>+INDEX(Dataset!T:T,MATCH(LARGE(Dataset!$S:$S,$E55),Dataset!$S:$S,0),0)</f>
        <v>0</v>
      </c>
      <c r="N55" s="105">
        <f>+INDEX(Dataset!U:U,MATCH(LARGE(Dataset!$S:$S,$E55),Dataset!$S:$S,0),0)</f>
        <v>0</v>
      </c>
      <c r="O55" s="106">
        <f>+INDEX(Dataset!V:V,MATCH(LARGE(Dataset!$S:$S,$E55),Dataset!$S:$S,0),0)</f>
        <v>1.8632176030022096</v>
      </c>
    </row>
    <row r="56" spans="5:15" x14ac:dyDescent="0.2">
      <c r="E56" s="112">
        <v>4</v>
      </c>
      <c r="F56" s="112" t="str">
        <f>+INDEX(Dataset!D:D,MATCH(LARGE(Dataset!$S:$S,$E56),Dataset!$S:$S,0),0)</f>
        <v>PERUGB 5.7 08/12/24</v>
      </c>
      <c r="G56" s="112"/>
      <c r="H56" s="112" t="str">
        <f>+INDEX(Dataset!E:E,MATCH(LARGE(Dataset!$P:$P,$E56),Dataset!$P:$P,0),0)</f>
        <v>CO</v>
      </c>
      <c r="I56" s="112" t="str">
        <f>+INDEX(Dataset!H:H,MATCH(LARGE(Dataset!$S:$S,$E56),Dataset!$S:$S,0),0)</f>
        <v>AA+</v>
      </c>
      <c r="J56" s="105">
        <f>+INDEX(Dataset!P:P,MATCH(LARGE(Dataset!$S:$S,$E56),Dataset!$S:$S,0),0)</f>
        <v>3.4500000000000003E-2</v>
      </c>
      <c r="K56" s="102">
        <f>+INDEX(Dataset!R:R,MATCH(LARGE(Dataset!$P:$P,$E56),Dataset!$P:$P,0),0)</f>
        <v>0</v>
      </c>
      <c r="L56" s="105">
        <f>+INDEX(Dataset!S:S,MATCH(LARGE(Dataset!$S:$S,$E56),Dataset!$S:$S,0),0)</f>
        <v>0.8232087504695248</v>
      </c>
      <c r="M56" s="105">
        <f>+INDEX(Dataset!T:T,MATCH(LARGE(Dataset!$S:$S,$E56),Dataset!$S:$S,0),0)</f>
        <v>0</v>
      </c>
      <c r="N56" s="105">
        <f>+INDEX(Dataset!U:U,MATCH(LARGE(Dataset!$S:$S,$E56),Dataset!$S:$S,0),0)</f>
        <v>0</v>
      </c>
      <c r="O56" s="106">
        <f>+INDEX(Dataset!V:V,MATCH(LARGE(Dataset!$S:$S,$E56),Dataset!$S:$S,0),0)</f>
        <v>0.92621406642047877</v>
      </c>
    </row>
    <row r="57" spans="5:15" x14ac:dyDescent="0.2">
      <c r="E57" s="112">
        <v>5</v>
      </c>
      <c r="F57" s="112" t="str">
        <f>+INDEX(Dataset!D:D,MATCH(LARGE(Dataset!$S:$S,$E57),Dataset!$S:$S,0),0)</f>
        <v>BRAZIL 12 1/2 01/05/22</v>
      </c>
      <c r="G57" s="112"/>
      <c r="H57" s="112" t="str">
        <f>+INDEX(Dataset!E:E,MATCH(LARGE(Dataset!$P:$P,$E57),Dataset!$P:$P,0),0)</f>
        <v>CO</v>
      </c>
      <c r="I57" s="112" t="str">
        <f>+INDEX(Dataset!H:H,MATCH(LARGE(Dataset!$S:$S,$E57),Dataset!$S:$S,0),0)</f>
        <v>A-</v>
      </c>
      <c r="J57" s="105">
        <f>+INDEX(Dataset!P:P,MATCH(LARGE(Dataset!$S:$S,$E57),Dataset!$S:$S,0),0)</f>
        <v>8.0000000000000004E-4</v>
      </c>
      <c r="K57" s="102">
        <f>+INDEX(Dataset!R:R,MATCH(LARGE(Dataset!$P:$P,$E57),Dataset!$P:$P,0),0)</f>
        <v>0</v>
      </c>
      <c r="L57" s="105">
        <f>+INDEX(Dataset!S:S,MATCH(LARGE(Dataset!$S:$S,$E57),Dataset!$S:$S,0),0)</f>
        <v>0.76544648480349042</v>
      </c>
      <c r="M57" s="105">
        <f>+INDEX(Dataset!T:T,MATCH(LARGE(Dataset!$S:$S,$E57),Dataset!$S:$S,0),0)</f>
        <v>0</v>
      </c>
      <c r="N57" s="105">
        <f>+INDEX(Dataset!U:U,MATCH(LARGE(Dataset!$S:$S,$E57),Dataset!$S:$S,0),0)</f>
        <v>0</v>
      </c>
      <c r="O57" s="106">
        <f>+INDEX(Dataset!V:V,MATCH(LARGE(Dataset!$S:$S,$E57),Dataset!$S:$S,0),0)</f>
        <v>0.46814809248580391</v>
      </c>
    </row>
    <row r="58" spans="5:15" x14ac:dyDescent="0.2">
      <c r="E58" s="112">
        <v>6</v>
      </c>
      <c r="F58" s="112" t="str">
        <f>+INDEX(Dataset!D:D,MATCH(LARGE(Dataset!$S:$S,$E58),Dataset!$S:$S,0),0)</f>
        <v>BNTNF 10 01/01/23</v>
      </c>
      <c r="G58" s="112"/>
      <c r="H58" s="112" t="str">
        <f>+INDEX(Dataset!E:E,MATCH(LARGE(Dataset!$P:$P,$E58),Dataset!$P:$P,0),0)</f>
        <v>CO</v>
      </c>
      <c r="I58" s="112" t="str">
        <f>+INDEX(Dataset!H:H,MATCH(LARGE(Dataset!$S:$S,$E58),Dataset!$S:$S,0),0)</f>
        <v>A-</v>
      </c>
      <c r="J58" s="105">
        <f>+INDEX(Dataset!P:P,MATCH(LARGE(Dataset!$S:$S,$E58),Dataset!$S:$S,0),0)</f>
        <v>4.0899999999999999E-2</v>
      </c>
      <c r="K58" s="102">
        <f>+INDEX(Dataset!R:R,MATCH(LARGE(Dataset!$P:$P,$E58),Dataset!$P:$P,0),0)</f>
        <v>0</v>
      </c>
      <c r="L58" s="105">
        <f>+INDEX(Dataset!S:S,MATCH(LARGE(Dataset!$S:$S,$E58),Dataset!$S:$S,0),0)</f>
        <v>0.72144539179509082</v>
      </c>
      <c r="M58" s="105">
        <f>+INDEX(Dataset!T:T,MATCH(LARGE(Dataset!$S:$S,$E58),Dataset!$S:$S,0),0)</f>
        <v>0</v>
      </c>
      <c r="N58" s="105">
        <f>+INDEX(Dataset!U:U,MATCH(LARGE(Dataset!$S:$S,$E58),Dataset!$S:$S,0),0)</f>
        <v>0</v>
      </c>
      <c r="O58" s="106">
        <f>+INDEX(Dataset!V:V,MATCH(LARGE(Dataset!$S:$S,$E58),Dataset!$S:$S,0),0)</f>
        <v>7.2829053690183283</v>
      </c>
    </row>
    <row r="59" spans="5:15" x14ac:dyDescent="0.2">
      <c r="E59" s="112">
        <v>7</v>
      </c>
      <c r="F59" s="112" t="str">
        <f>+INDEX(Dataset!D:D,MATCH(LARGE(Dataset!$S:$S,$E59),Dataset!$S:$S,0),0)</f>
        <v>MBONO 5 3/4 03/05/26</v>
      </c>
      <c r="G59" s="112"/>
      <c r="H59" s="112" t="str">
        <f>+INDEX(Dataset!E:E,MATCH(LARGE(Dataset!$P:$P,$E59),Dataset!$P:$P,0),0)</f>
        <v>PE</v>
      </c>
      <c r="I59" s="112" t="str">
        <f>+INDEX(Dataset!H:H,MATCH(LARGE(Dataset!$S:$S,$E59),Dataset!$S:$S,0),0)</f>
        <v>AA+</v>
      </c>
      <c r="J59" s="105">
        <f>+INDEX(Dataset!P:P,MATCH(LARGE(Dataset!$S:$S,$E59),Dataset!$S:$S,0),0)</f>
        <v>2.2800000000000001E-2</v>
      </c>
      <c r="K59" s="102">
        <f>+INDEX(Dataset!R:R,MATCH(LARGE(Dataset!$P:$P,$E59),Dataset!$P:$P,0),0)</f>
        <v>0</v>
      </c>
      <c r="L59" s="105">
        <f>+INDEX(Dataset!S:S,MATCH(LARGE(Dataset!$S:$S,$E59),Dataset!$S:$S,0),0)</f>
        <v>0.71270475198698946</v>
      </c>
      <c r="M59" s="105">
        <f>+INDEX(Dataset!T:T,MATCH(LARGE(Dataset!$S:$S,$E59),Dataset!$S:$S,0),0)</f>
        <v>0</v>
      </c>
      <c r="N59" s="105">
        <f>+INDEX(Dataset!U:U,MATCH(LARGE(Dataset!$S:$S,$E59),Dataset!$S:$S,0),0)</f>
        <v>0</v>
      </c>
      <c r="O59" s="106">
        <f>+INDEX(Dataset!V:V,MATCH(LARGE(Dataset!$S:$S,$E59),Dataset!$S:$S,0),0)</f>
        <v>1.6593299015372942</v>
      </c>
    </row>
    <row r="60" spans="5:15" x14ac:dyDescent="0.2">
      <c r="E60" s="112">
        <v>8</v>
      </c>
      <c r="F60" s="112" t="str">
        <f>+INDEX(Dataset!D:D,MATCH(LARGE(Dataset!$S:$S,$E60),Dataset!$S:$S,0),0)</f>
        <v>COLTES 7 05/04/22</v>
      </c>
      <c r="G60" s="112"/>
      <c r="H60" s="112" t="str">
        <f>+INDEX(Dataset!E:E,MATCH(LARGE(Dataset!$P:$P,$E60),Dataset!$P:$P,0),0)</f>
        <v>MX</v>
      </c>
      <c r="I60" s="112" t="str">
        <f>+INDEX(Dataset!H:H,MATCH(LARGE(Dataset!$S:$S,$E60),Dataset!$S:$S,0),0)</f>
        <v>AA</v>
      </c>
      <c r="J60" s="105">
        <f>+INDEX(Dataset!P:P,MATCH(LARGE(Dataset!$S:$S,$E60),Dataset!$S:$S,0),0)</f>
        <v>1.9E-2</v>
      </c>
      <c r="K60" s="102">
        <f>+INDEX(Dataset!R:R,MATCH(LARGE(Dataset!$P:$P,$E60),Dataset!$P:$P,0),0)</f>
        <v>0</v>
      </c>
      <c r="L60" s="105">
        <f>+INDEX(Dataset!S:S,MATCH(LARGE(Dataset!$S:$S,$E60),Dataset!$S:$S,0),0)</f>
        <v>0.59282828791109599</v>
      </c>
      <c r="M60" s="105">
        <f>+INDEX(Dataset!T:T,MATCH(LARGE(Dataset!$S:$S,$E60),Dataset!$S:$S,0),0)</f>
        <v>0</v>
      </c>
      <c r="N60" s="105">
        <f>+INDEX(Dataset!U:U,MATCH(LARGE(Dataset!$S:$S,$E60),Dataset!$S:$S,0),0)</f>
        <v>0</v>
      </c>
      <c r="O60" s="106">
        <f>+INDEX(Dataset!V:V,MATCH(LARGE(Dataset!$S:$S,$E60),Dataset!$S:$S,0),0)</f>
        <v>0.96011277683895835</v>
      </c>
    </row>
    <row r="61" spans="5:15" x14ac:dyDescent="0.2">
      <c r="E61" s="112">
        <v>9</v>
      </c>
      <c r="F61" s="112" t="str">
        <f>+INDEX(Dataset!D:D,MATCH(LARGE(Dataset!$S:$S,$E61),Dataset!$S:$S,0),0)</f>
        <v>COLOM 9.85 06/28/27</v>
      </c>
      <c r="G61" s="112"/>
      <c r="H61" s="112" t="str">
        <f>+INDEX(Dataset!E:E,MATCH(LARGE(Dataset!$P:$P,$E61),Dataset!$P:$P,0),0)</f>
        <v>MX</v>
      </c>
      <c r="I61" s="112" t="str">
        <f>+INDEX(Dataset!H:H,MATCH(LARGE(Dataset!$S:$S,$E61),Dataset!$S:$S,0),0)</f>
        <v>AA</v>
      </c>
      <c r="J61" s="105">
        <f>+INDEX(Dataset!P:P,MATCH(LARGE(Dataset!$S:$S,$E61),Dataset!$S:$S,0),0)</f>
        <v>1.55E-2</v>
      </c>
      <c r="K61" s="102">
        <f>+INDEX(Dataset!R:R,MATCH(LARGE(Dataset!$P:$P,$E61),Dataset!$P:$P,0),0)</f>
        <v>0</v>
      </c>
      <c r="L61" s="105">
        <f>+INDEX(Dataset!S:S,MATCH(LARGE(Dataset!$S:$S,$E61),Dataset!$S:$S,0),0)</f>
        <v>0.59160882522117353</v>
      </c>
      <c r="M61" s="105">
        <f>+INDEX(Dataset!T:T,MATCH(LARGE(Dataset!$S:$S,$E61),Dataset!$S:$S,0),0)</f>
        <v>0</v>
      </c>
      <c r="N61" s="105">
        <f>+INDEX(Dataset!U:U,MATCH(LARGE(Dataset!$S:$S,$E61),Dataset!$S:$S,0),0)</f>
        <v>0</v>
      </c>
      <c r="O61" s="106">
        <f>+INDEX(Dataset!V:V,MATCH(LARGE(Dataset!$S:$S,$E61),Dataset!$S:$S,0),0)</f>
        <v>9.650755364083679</v>
      </c>
    </row>
    <row r="62" spans="5:15" x14ac:dyDescent="0.2">
      <c r="E62" s="112">
        <v>10</v>
      </c>
      <c r="F62" s="112" t="str">
        <f>+INDEX(Dataset!D:D,MATCH(LARGE(Dataset!$S:$S,$E62),Dataset!$S:$S,0),0)</f>
        <v>BLTN 0 01/01/19</v>
      </c>
      <c r="G62" s="112"/>
      <c r="H62" s="112" t="str">
        <f>+INDEX(Dataset!E:E,MATCH(LARGE(Dataset!$P:$P,$E62),Dataset!$P:$P,0),0)</f>
        <v>BR</v>
      </c>
      <c r="I62" s="112" t="str">
        <f>+INDEX(Dataset!H:H,MATCH(LARGE(Dataset!$S:$S,$E62),Dataset!$S:$S,0),0)</f>
        <v>A-</v>
      </c>
      <c r="J62" s="105">
        <f>+INDEX(Dataset!P:P,MATCH(LARGE(Dataset!$S:$S,$E62),Dataset!$S:$S,0),0)</f>
        <v>3.1600000000000003E-2</v>
      </c>
      <c r="K62" s="102">
        <f>+INDEX(Dataset!R:R,MATCH(LARGE(Dataset!$P:$P,$E62),Dataset!$P:$P,0),0)</f>
        <v>0</v>
      </c>
      <c r="L62" s="105">
        <f>+INDEX(Dataset!S:S,MATCH(LARGE(Dataset!$S:$S,$E62),Dataset!$S:$S,0),0)</f>
        <v>0.59157884772645208</v>
      </c>
      <c r="M62" s="105">
        <f>+INDEX(Dataset!T:T,MATCH(LARGE(Dataset!$S:$S,$E62),Dataset!$S:$S,0),0)</f>
        <v>0</v>
      </c>
      <c r="N62" s="105">
        <f>+INDEX(Dataset!U:U,MATCH(LARGE(Dataset!$S:$S,$E62),Dataset!$S:$S,0),0)</f>
        <v>0</v>
      </c>
      <c r="O62" s="106">
        <f>+INDEX(Dataset!V:V,MATCH(LARGE(Dataset!$S:$S,$E62),Dataset!$S:$S,0),0)</f>
        <v>4.7855150252809731</v>
      </c>
    </row>
    <row r="68" spans="3:22" ht="20.25" x14ac:dyDescent="0.3">
      <c r="G68" s="130" t="s">
        <v>174</v>
      </c>
      <c r="H68" s="130"/>
      <c r="I68" s="130"/>
      <c r="J68" s="130"/>
      <c r="K68" s="130"/>
      <c r="L68" s="130"/>
      <c r="M68" s="130"/>
      <c r="N68" s="96"/>
      <c r="O68" s="130" t="s">
        <v>175</v>
      </c>
      <c r="P68" s="130"/>
      <c r="Q68" s="130"/>
      <c r="R68" s="130"/>
      <c r="S68" s="130"/>
      <c r="T68" s="130"/>
      <c r="U68" s="130"/>
    </row>
    <row r="70" spans="3:22" x14ac:dyDescent="0.2">
      <c r="G70" s="114" t="s">
        <v>125</v>
      </c>
      <c r="H70" s="114" t="s">
        <v>126</v>
      </c>
      <c r="I70" s="114" t="s">
        <v>127</v>
      </c>
      <c r="J70" s="114" t="s">
        <v>128</v>
      </c>
      <c r="K70" s="114" t="s">
        <v>129</v>
      </c>
      <c r="L70" s="114" t="s">
        <v>130</v>
      </c>
      <c r="M70" s="114" t="s">
        <v>131</v>
      </c>
      <c r="O70" s="114" t="s">
        <v>125</v>
      </c>
      <c r="P70" s="114" t="s">
        <v>126</v>
      </c>
      <c r="Q70" s="114" t="s">
        <v>127</v>
      </c>
      <c r="R70" s="114" t="s">
        <v>128</v>
      </c>
      <c r="S70" s="114" t="s">
        <v>129</v>
      </c>
      <c r="T70" s="114" t="s">
        <v>130</v>
      </c>
      <c r="U70" s="114" t="s">
        <v>131</v>
      </c>
    </row>
    <row r="71" spans="3:22" ht="16.5" x14ac:dyDescent="0.3">
      <c r="F71" s="115" t="s">
        <v>173</v>
      </c>
      <c r="G71" s="119" t="s">
        <v>162</v>
      </c>
      <c r="H71" s="119" t="s">
        <v>161</v>
      </c>
      <c r="I71" s="119" t="s">
        <v>157</v>
      </c>
      <c r="J71" s="115" t="s">
        <v>159</v>
      </c>
      <c r="K71" s="119" t="s">
        <v>158</v>
      </c>
      <c r="L71" s="115" t="s">
        <v>160</v>
      </c>
      <c r="M71" s="119" t="s">
        <v>163</v>
      </c>
      <c r="N71" s="119" t="s">
        <v>147</v>
      </c>
      <c r="O71" s="119" t="s">
        <v>162</v>
      </c>
      <c r="P71" s="119" t="s">
        <v>161</v>
      </c>
      <c r="Q71" s="119" t="s">
        <v>157</v>
      </c>
      <c r="R71" s="115" t="s">
        <v>159</v>
      </c>
      <c r="S71" s="119" t="s">
        <v>158</v>
      </c>
      <c r="T71" s="115" t="s">
        <v>160</v>
      </c>
      <c r="U71" s="119" t="s">
        <v>163</v>
      </c>
      <c r="V71" s="119" t="s">
        <v>147</v>
      </c>
    </row>
    <row r="72" spans="3:22" ht="15" x14ac:dyDescent="0.25">
      <c r="C72">
        <v>0</v>
      </c>
      <c r="D72">
        <v>0.5</v>
      </c>
      <c r="F72" s="31">
        <f>D72</f>
        <v>0.5</v>
      </c>
      <c r="G72" s="108">
        <f>SUMIFS(Dataset!$P:$P,Dataset!$E:$E,G$70,Dataset!$V:$V,"&gt;="&amp;$C72,Dataset!$V:$V,"&lt;"&amp;$D72)</f>
        <v>0</v>
      </c>
      <c r="H72" s="108">
        <f>SUMIFS(Dataset!$P:$P,Dataset!$E:$E,H$70,Dataset!$V:$V,"&gt;="&amp;$C72,Dataset!$V:$V,"&lt;"&amp;$D72)</f>
        <v>8.0000000000000004E-4</v>
      </c>
      <c r="I72" s="108">
        <f>SUMIFS(Dataset!$P:$P,Dataset!$E:$E,I$70,Dataset!$V:$V,"&gt;="&amp;$C72,Dataset!$V:$V,"&lt;"&amp;$D72)</f>
        <v>0</v>
      </c>
      <c r="J72" s="108">
        <f>SUMIFS(Dataset!$P:$P,Dataset!$E:$E,J$70,Dataset!$V:$V,"&gt;="&amp;$C72,Dataset!$V:$V,"&lt;"&amp;$D72)</f>
        <v>0</v>
      </c>
      <c r="K72" s="108">
        <f>SUMIFS(Dataset!$P:$P,Dataset!$E:$E,K$70,Dataset!$V:$V,"&gt;="&amp;$C72,Dataset!$V:$V,"&lt;"&amp;$D72)</f>
        <v>0</v>
      </c>
      <c r="L72" s="108">
        <f>SUMIFS(Dataset!$P:$P,Dataset!$E:$E,L$70,Dataset!$V:$V,"&gt;="&amp;$C72,Dataset!$V:$V,"&lt;"&amp;$D72)</f>
        <v>0</v>
      </c>
      <c r="M72" s="108">
        <f>SUMIFS(Dataset!$P:$P,Dataset!$E:$E,M$70,Dataset!$V:$V,"&gt;="&amp;$C72,Dataset!$V:$V,"&lt;"&amp;$D72)</f>
        <v>0</v>
      </c>
      <c r="N72" s="109">
        <f t="shared" ref="N72:N84" si="1">+SUM(G72:M72)</f>
        <v>8.0000000000000004E-4</v>
      </c>
      <c r="O72" s="108">
        <f>SUMIFS(Dataset!$R:$R,Dataset!$E:$E,O$70,Dataset!$V:$V,"&gt;="&amp;$C72,Dataset!$V:$V,"&lt;"&amp;$D72)</f>
        <v>0</v>
      </c>
      <c r="P72" s="108">
        <f>SUMIFS(Dataset!$R:$R,Dataset!$E:$E,P$70,Dataset!$V:$V,"&gt;="&amp;$C72,Dataset!$V:$V,"&lt;"&amp;$D72)</f>
        <v>0</v>
      </c>
      <c r="Q72" s="108">
        <f>SUMIFS(Dataset!$R:$R,Dataset!$E:$E,Q$70,Dataset!$V:$V,"&gt;="&amp;$C72,Dataset!$V:$V,"&lt;"&amp;$D72)</f>
        <v>0</v>
      </c>
      <c r="R72" s="108">
        <f>SUMIFS(Dataset!$R:$R,Dataset!$E:$E,R$70,Dataset!$V:$V,"&gt;="&amp;$C72,Dataset!$V:$V,"&lt;"&amp;$D72)</f>
        <v>0</v>
      </c>
      <c r="S72" s="108">
        <f>SUMIFS(Dataset!$R:$R,Dataset!$E:$E,S$70,Dataset!$V:$V,"&gt;="&amp;$C72,Dataset!$V:$V,"&lt;"&amp;$D72)</f>
        <v>0</v>
      </c>
      <c r="T72" s="108">
        <f>SUMIFS(Dataset!$R:$R,Dataset!$E:$E,T$70,Dataset!$V:$V,"&gt;="&amp;$C72,Dataset!$V:$V,"&lt;"&amp;$D72)</f>
        <v>0</v>
      </c>
      <c r="U72" s="108">
        <f>SUMIFS(Dataset!$R:$R,Dataset!$E:$E,U$70,Dataset!$V:$V,"&gt;="&amp;$C72,Dataset!$V:$V,"&lt;"&amp;$D72)</f>
        <v>0</v>
      </c>
      <c r="V72" s="109">
        <f t="shared" ref="V72:V84" si="2">+SUM(O72:U72)</f>
        <v>0</v>
      </c>
    </row>
    <row r="73" spans="3:22" ht="15" x14ac:dyDescent="0.25">
      <c r="C73">
        <f>+D72</f>
        <v>0.5</v>
      </c>
      <c r="D73">
        <f>+C73+1</f>
        <v>1.5</v>
      </c>
      <c r="F73" s="31" t="str">
        <f t="shared" ref="F73:F82" si="3">C73&amp;" - "&amp;D73</f>
        <v>0.5 - 1.5</v>
      </c>
      <c r="G73" s="108">
        <f>SUMIFS(Dataset!$P:$P,Dataset!$E:$E,G$70,Dataset!$V:$V,"&gt;="&amp;$C73,Dataset!$V:$V,"&lt;"&amp;$D73)</f>
        <v>0</v>
      </c>
      <c r="H73" s="108">
        <f>SUMIFS(Dataset!$P:$P,Dataset!$E:$E,H$70,Dataset!$V:$V,"&gt;="&amp;$C73,Dataset!$V:$V,"&lt;"&amp;$D73)</f>
        <v>0</v>
      </c>
      <c r="I73" s="108">
        <f>SUMIFS(Dataset!$P:$P,Dataset!$E:$E,I$70,Dataset!$V:$V,"&gt;="&amp;$C73,Dataset!$V:$V,"&lt;"&amp;$D73)</f>
        <v>0</v>
      </c>
      <c r="J73" s="108">
        <f>SUMIFS(Dataset!$P:$P,Dataset!$E:$E,J$70,Dataset!$V:$V,"&gt;="&amp;$C73,Dataset!$V:$V,"&lt;"&amp;$D73)</f>
        <v>1.9E-2</v>
      </c>
      <c r="K73" s="108">
        <f>SUMIFS(Dataset!$P:$P,Dataset!$E:$E,K$70,Dataset!$V:$V,"&gt;="&amp;$C73,Dataset!$V:$V,"&lt;"&amp;$D73)</f>
        <v>3.3300000000000003E-2</v>
      </c>
      <c r="L73" s="108">
        <f>SUMIFS(Dataset!$P:$P,Dataset!$E:$E,L$70,Dataset!$V:$V,"&gt;="&amp;$C73,Dataset!$V:$V,"&lt;"&amp;$D73)</f>
        <v>3.4500000000000003E-2</v>
      </c>
      <c r="M73" s="108">
        <f>SUMIFS(Dataset!$P:$P,Dataset!$E:$E,M$70,Dataset!$V:$V,"&gt;="&amp;$C73,Dataset!$V:$V,"&lt;"&amp;$D73)</f>
        <v>0.15059999999999996</v>
      </c>
      <c r="N73" s="109">
        <f t="shared" si="1"/>
        <v>0.23739999999999994</v>
      </c>
      <c r="O73" s="108">
        <f>SUMIFS(Dataset!$R:$R,Dataset!$E:$E,O$70,Dataset!$V:$V,"&gt;="&amp;$C73,Dataset!$V:$V,"&lt;"&amp;$D73)</f>
        <v>0</v>
      </c>
      <c r="P73" s="108">
        <f>SUMIFS(Dataset!$R:$R,Dataset!$E:$E,P$70,Dataset!$V:$V,"&gt;="&amp;$C73,Dataset!$V:$V,"&lt;"&amp;$D73)</f>
        <v>0</v>
      </c>
      <c r="Q73" s="108">
        <f>SUMIFS(Dataset!$R:$R,Dataset!$E:$E,Q$70,Dataset!$V:$V,"&gt;="&amp;$C73,Dataset!$V:$V,"&lt;"&amp;$D73)</f>
        <v>0</v>
      </c>
      <c r="R73" s="108">
        <f>SUMIFS(Dataset!$R:$R,Dataset!$E:$E,R$70,Dataset!$V:$V,"&gt;="&amp;$C73,Dataset!$V:$V,"&lt;"&amp;$D73)</f>
        <v>0</v>
      </c>
      <c r="S73" s="108">
        <f>SUMIFS(Dataset!$R:$R,Dataset!$E:$E,S$70,Dataset!$V:$V,"&gt;="&amp;$C73,Dataset!$V:$V,"&lt;"&amp;$D73)</f>
        <v>0</v>
      </c>
      <c r="T73" s="108">
        <f>SUMIFS(Dataset!$R:$R,Dataset!$E:$E,T$70,Dataset!$V:$V,"&gt;="&amp;$C73,Dataset!$V:$V,"&lt;"&amp;$D73)</f>
        <v>0</v>
      </c>
      <c r="U73" s="108">
        <f>SUMIFS(Dataset!$R:$R,Dataset!$E:$E,U$70,Dataset!$V:$V,"&gt;="&amp;$C73,Dataset!$V:$V,"&lt;"&amp;$D73)</f>
        <v>9.9999999999999534E-3</v>
      </c>
      <c r="V73" s="109">
        <f t="shared" si="2"/>
        <v>9.9999999999999534E-3</v>
      </c>
    </row>
    <row r="74" spans="3:22" ht="15" x14ac:dyDescent="0.25">
      <c r="C74">
        <f t="shared" ref="C74:C83" si="4">+D73</f>
        <v>1.5</v>
      </c>
      <c r="D74">
        <f t="shared" ref="D74:D82" si="5">+C74+1</f>
        <v>2.5</v>
      </c>
      <c r="F74" s="31" t="str">
        <f t="shared" si="3"/>
        <v>1.5 - 2.5</v>
      </c>
      <c r="G74" s="108">
        <f>SUMIFS(Dataset!$P:$P,Dataset!$E:$E,G$70,Dataset!$V:$V,"&gt;="&amp;$C74,Dataset!$V:$V,"&lt;"&amp;$D74)</f>
        <v>0</v>
      </c>
      <c r="H74" s="108">
        <f>SUMIFS(Dataset!$P:$P,Dataset!$E:$E,H$70,Dataset!$V:$V,"&gt;="&amp;$C74,Dataset!$V:$V,"&lt;"&amp;$D74)</f>
        <v>0</v>
      </c>
      <c r="I74" s="108">
        <f>SUMIFS(Dataset!$P:$P,Dataset!$E:$E,I$70,Dataset!$V:$V,"&gt;="&amp;$C74,Dataset!$V:$V,"&lt;"&amp;$D74)</f>
        <v>1.5699999999999999E-2</v>
      </c>
      <c r="J74" s="108">
        <f>SUMIFS(Dataset!$P:$P,Dataset!$E:$E,J$70,Dataset!$V:$V,"&gt;="&amp;$C74,Dataset!$V:$V,"&lt;"&amp;$D74)</f>
        <v>5.5099999999999996E-2</v>
      </c>
      <c r="K74" s="108">
        <f>SUMIFS(Dataset!$P:$P,Dataset!$E:$E,K$70,Dataset!$V:$V,"&gt;="&amp;$C74,Dataset!$V:$V,"&lt;"&amp;$D74)</f>
        <v>2.5899999999999999E-2</v>
      </c>
      <c r="L74" s="108">
        <f>SUMIFS(Dataset!$P:$P,Dataset!$E:$E,L$70,Dataset!$V:$V,"&gt;="&amp;$C74,Dataset!$V:$V,"&lt;"&amp;$D74)</f>
        <v>0</v>
      </c>
      <c r="M74" s="108">
        <f>SUMIFS(Dataset!$P:$P,Dataset!$E:$E,M$70,Dataset!$V:$V,"&gt;="&amp;$C74,Dataset!$V:$V,"&lt;"&amp;$D74)</f>
        <v>0</v>
      </c>
      <c r="N74" s="109">
        <f t="shared" si="1"/>
        <v>9.6700000000000008E-2</v>
      </c>
      <c r="O74" s="108">
        <f>SUMIFS(Dataset!$R:$R,Dataset!$E:$E,O$70,Dataset!$V:$V,"&gt;="&amp;$C74,Dataset!$V:$V,"&lt;"&amp;$D74)</f>
        <v>0</v>
      </c>
      <c r="P74" s="108">
        <f>SUMIFS(Dataset!$R:$R,Dataset!$E:$E,P$70,Dataset!$V:$V,"&gt;="&amp;$C74,Dataset!$V:$V,"&lt;"&amp;$D74)</f>
        <v>0</v>
      </c>
      <c r="Q74" s="108">
        <f>SUMIFS(Dataset!$R:$R,Dataset!$E:$E,Q$70,Dataset!$V:$V,"&gt;="&amp;$C74,Dataset!$V:$V,"&lt;"&amp;$D74)</f>
        <v>9.9999999999999985E-3</v>
      </c>
      <c r="R74" s="108">
        <f>SUMIFS(Dataset!$R:$R,Dataset!$E:$E,R$70,Dataset!$V:$V,"&gt;="&amp;$C74,Dataset!$V:$V,"&lt;"&amp;$D74)</f>
        <v>0.01</v>
      </c>
      <c r="S74" s="108">
        <f>SUMIFS(Dataset!$R:$R,Dataset!$E:$E,S$70,Dataset!$V:$V,"&gt;="&amp;$C74,Dataset!$V:$V,"&lt;"&amp;$D74)</f>
        <v>0</v>
      </c>
      <c r="T74" s="108">
        <f>SUMIFS(Dataset!$R:$R,Dataset!$E:$E,T$70,Dataset!$V:$V,"&gt;="&amp;$C74,Dataset!$V:$V,"&lt;"&amp;$D74)</f>
        <v>0</v>
      </c>
      <c r="U74" s="108">
        <f>SUMIFS(Dataset!$R:$R,Dataset!$E:$E,U$70,Dataset!$V:$V,"&gt;="&amp;$C74,Dataset!$V:$V,"&lt;"&amp;$D74)</f>
        <v>0</v>
      </c>
      <c r="V74" s="109">
        <f t="shared" si="2"/>
        <v>1.9999999999999997E-2</v>
      </c>
    </row>
    <row r="75" spans="3:22" ht="15" x14ac:dyDescent="0.25">
      <c r="C75">
        <f t="shared" si="4"/>
        <v>2.5</v>
      </c>
      <c r="D75">
        <f t="shared" si="5"/>
        <v>3.5</v>
      </c>
      <c r="F75" s="31" t="str">
        <f t="shared" si="3"/>
        <v>2.5 - 3.5</v>
      </c>
      <c r="G75" s="108">
        <f>SUMIFS(Dataset!$P:$P,Dataset!$E:$E,G$70,Dataset!$V:$V,"&gt;="&amp;$C75,Dataset!$V:$V,"&lt;"&amp;$D75)</f>
        <v>0</v>
      </c>
      <c r="H75" s="108">
        <f>SUMIFS(Dataset!$P:$P,Dataset!$E:$E,H$70,Dataset!$V:$V,"&gt;="&amp;$C75,Dataset!$V:$V,"&lt;"&amp;$D75)</f>
        <v>1.3899999999999999E-2</v>
      </c>
      <c r="I75" s="108">
        <f>SUMIFS(Dataset!$P:$P,Dataset!$E:$E,I$70,Dataset!$V:$V,"&gt;="&amp;$C75,Dataset!$V:$V,"&lt;"&amp;$D75)</f>
        <v>0</v>
      </c>
      <c r="J75" s="108">
        <f>SUMIFS(Dataset!$P:$P,Dataset!$E:$E,J$70,Dataset!$V:$V,"&gt;="&amp;$C75,Dataset!$V:$V,"&lt;"&amp;$D75)</f>
        <v>0</v>
      </c>
      <c r="K75" s="108">
        <f>SUMIFS(Dataset!$P:$P,Dataset!$E:$E,K$70,Dataset!$V:$V,"&gt;="&amp;$C75,Dataset!$V:$V,"&lt;"&amp;$D75)</f>
        <v>1.1000000000000001E-3</v>
      </c>
      <c r="L75" s="108">
        <f>SUMIFS(Dataset!$P:$P,Dataset!$E:$E,L$70,Dataset!$V:$V,"&gt;="&amp;$C75,Dataset!$V:$V,"&lt;"&amp;$D75)</f>
        <v>1.5599999999999999E-2</v>
      </c>
      <c r="M75" s="108">
        <f>SUMIFS(Dataset!$P:$P,Dataset!$E:$E,M$70,Dataset!$V:$V,"&gt;="&amp;$C75,Dataset!$V:$V,"&lt;"&amp;$D75)</f>
        <v>0</v>
      </c>
      <c r="N75" s="109">
        <f t="shared" si="1"/>
        <v>3.0599999999999999E-2</v>
      </c>
      <c r="O75" s="108">
        <f>SUMIFS(Dataset!$R:$R,Dataset!$E:$E,O$70,Dataset!$V:$V,"&gt;="&amp;$C75,Dataset!$V:$V,"&lt;"&amp;$D75)</f>
        <v>0</v>
      </c>
      <c r="P75" s="108">
        <f>SUMIFS(Dataset!$R:$R,Dataset!$E:$E,P$70,Dataset!$V:$V,"&gt;="&amp;$C75,Dataset!$V:$V,"&lt;"&amp;$D75)</f>
        <v>0</v>
      </c>
      <c r="Q75" s="108">
        <f>SUMIFS(Dataset!$R:$R,Dataset!$E:$E,Q$70,Dataset!$V:$V,"&gt;="&amp;$C75,Dataset!$V:$V,"&lt;"&amp;$D75)</f>
        <v>0</v>
      </c>
      <c r="R75" s="108">
        <f>SUMIFS(Dataset!$R:$R,Dataset!$E:$E,R$70,Dataset!$V:$V,"&gt;="&amp;$C75,Dataset!$V:$V,"&lt;"&amp;$D75)</f>
        <v>0</v>
      </c>
      <c r="S75" s="108">
        <f>SUMIFS(Dataset!$R:$R,Dataset!$E:$E,S$70,Dataset!$V:$V,"&gt;="&amp;$C75,Dataset!$V:$V,"&lt;"&amp;$D75)</f>
        <v>-0.01</v>
      </c>
      <c r="T75" s="108">
        <f>SUMIFS(Dataset!$R:$R,Dataset!$E:$E,T$70,Dataset!$V:$V,"&gt;="&amp;$C75,Dataset!$V:$V,"&lt;"&amp;$D75)</f>
        <v>0</v>
      </c>
      <c r="U75" s="108">
        <f>SUMIFS(Dataset!$R:$R,Dataset!$E:$E,U$70,Dataset!$V:$V,"&gt;="&amp;$C75,Dataset!$V:$V,"&lt;"&amp;$D75)</f>
        <v>0</v>
      </c>
      <c r="V75" s="109">
        <f t="shared" si="2"/>
        <v>-0.01</v>
      </c>
    </row>
    <row r="76" spans="3:22" ht="15" x14ac:dyDescent="0.25">
      <c r="C76">
        <f t="shared" si="4"/>
        <v>3.5</v>
      </c>
      <c r="D76">
        <f t="shared" si="5"/>
        <v>4.5</v>
      </c>
      <c r="F76" s="31" t="str">
        <f t="shared" si="3"/>
        <v>3.5 - 4.5</v>
      </c>
      <c r="G76" s="108">
        <f>SUMIFS(Dataset!$P:$P,Dataset!$E:$E,G$70,Dataset!$V:$V,"&gt;="&amp;$C76,Dataset!$V:$V,"&lt;"&amp;$D76)</f>
        <v>0</v>
      </c>
      <c r="H76" s="108">
        <f>SUMIFS(Dataset!$P:$P,Dataset!$E:$E,H$70,Dataset!$V:$V,"&gt;="&amp;$C76,Dataset!$V:$V,"&lt;"&amp;$D76)</f>
        <v>3.3099999999999997E-2</v>
      </c>
      <c r="I76" s="108">
        <f>SUMIFS(Dataset!$P:$P,Dataset!$E:$E,I$70,Dataset!$V:$V,"&gt;="&amp;$C76,Dataset!$V:$V,"&lt;"&amp;$D76)</f>
        <v>0</v>
      </c>
      <c r="J76" s="108">
        <f>SUMIFS(Dataset!$P:$P,Dataset!$E:$E,J$70,Dataset!$V:$V,"&gt;="&amp;$C76,Dataset!$V:$V,"&lt;"&amp;$D76)</f>
        <v>2.0199999999999999E-2</v>
      </c>
      <c r="K76" s="108">
        <f>SUMIFS(Dataset!$P:$P,Dataset!$E:$E,K$70,Dataset!$V:$V,"&gt;="&amp;$C76,Dataset!$V:$V,"&lt;"&amp;$D76)</f>
        <v>2.1499999999999998E-2</v>
      </c>
      <c r="L76" s="108">
        <f>SUMIFS(Dataset!$P:$P,Dataset!$E:$E,L$70,Dataset!$V:$V,"&gt;="&amp;$C76,Dataset!$V:$V,"&lt;"&amp;$D76)</f>
        <v>1.18E-2</v>
      </c>
      <c r="M76" s="108">
        <f>SUMIFS(Dataset!$P:$P,Dataset!$E:$E,M$70,Dataset!$V:$V,"&gt;="&amp;$C76,Dataset!$V:$V,"&lt;"&amp;$D76)</f>
        <v>0</v>
      </c>
      <c r="N76" s="109">
        <f t="shared" si="1"/>
        <v>8.660000000000001E-2</v>
      </c>
      <c r="O76" s="108">
        <f>SUMIFS(Dataset!$R:$R,Dataset!$E:$E,O$70,Dataset!$V:$V,"&gt;="&amp;$C76,Dataset!$V:$V,"&lt;"&amp;$D76)</f>
        <v>0</v>
      </c>
      <c r="P76" s="108">
        <f>SUMIFS(Dataset!$R:$R,Dataset!$E:$E,P$70,Dataset!$V:$V,"&gt;="&amp;$C76,Dataset!$V:$V,"&lt;"&amp;$D76)</f>
        <v>0</v>
      </c>
      <c r="Q76" s="108">
        <f>SUMIFS(Dataset!$R:$R,Dataset!$E:$E,Q$70,Dataset!$V:$V,"&gt;="&amp;$C76,Dataset!$V:$V,"&lt;"&amp;$D76)</f>
        <v>0</v>
      </c>
      <c r="R76" s="108">
        <f>SUMIFS(Dataset!$R:$R,Dataset!$E:$E,R$70,Dataset!$V:$V,"&gt;="&amp;$C76,Dataset!$V:$V,"&lt;"&amp;$D76)</f>
        <v>-5.000000000000001E-3</v>
      </c>
      <c r="S76" s="108">
        <f>SUMIFS(Dataset!$R:$R,Dataset!$E:$E,S$70,Dataset!$V:$V,"&gt;="&amp;$C76,Dataset!$V:$V,"&lt;"&amp;$D76)</f>
        <v>0</v>
      </c>
      <c r="T76" s="108">
        <f>SUMIFS(Dataset!$R:$R,Dataset!$E:$E,T$70,Dataset!$V:$V,"&gt;="&amp;$C76,Dataset!$V:$V,"&lt;"&amp;$D76)</f>
        <v>0</v>
      </c>
      <c r="U76" s="108">
        <f>SUMIFS(Dataset!$R:$R,Dataset!$E:$E,U$70,Dataset!$V:$V,"&gt;="&amp;$C76,Dataset!$V:$V,"&lt;"&amp;$D76)</f>
        <v>0</v>
      </c>
      <c r="V76" s="109">
        <f t="shared" si="2"/>
        <v>-5.000000000000001E-3</v>
      </c>
    </row>
    <row r="77" spans="3:22" ht="15" x14ac:dyDescent="0.25">
      <c r="C77">
        <f t="shared" si="4"/>
        <v>4.5</v>
      </c>
      <c r="D77">
        <f t="shared" si="5"/>
        <v>5.5</v>
      </c>
      <c r="F77" s="31" t="str">
        <f t="shared" si="3"/>
        <v>4.5 - 5.5</v>
      </c>
      <c r="G77" s="108">
        <f>SUMIFS(Dataset!$P:$P,Dataset!$E:$E,G$70,Dataset!$V:$V,"&gt;="&amp;$C77,Dataset!$V:$V,"&lt;"&amp;$D77)</f>
        <v>0</v>
      </c>
      <c r="H77" s="108">
        <f>SUMIFS(Dataset!$P:$P,Dataset!$E:$E,H$70,Dataset!$V:$V,"&gt;="&amp;$C77,Dataset!$V:$V,"&lt;"&amp;$D77)</f>
        <v>8.3199999999999996E-2</v>
      </c>
      <c r="I77" s="108">
        <f>SUMIFS(Dataset!$P:$P,Dataset!$E:$E,I$70,Dataset!$V:$V,"&gt;="&amp;$C77,Dataset!$V:$V,"&lt;"&amp;$D77)</f>
        <v>0</v>
      </c>
      <c r="J77" s="108">
        <f>SUMIFS(Dataset!$P:$P,Dataset!$E:$E,J$70,Dataset!$V:$V,"&gt;="&amp;$C77,Dataset!$V:$V,"&lt;"&amp;$D77)</f>
        <v>4.9700000000000001E-2</v>
      </c>
      <c r="K77" s="108">
        <f>SUMIFS(Dataset!$P:$P,Dataset!$E:$E,K$70,Dataset!$V:$V,"&gt;="&amp;$C77,Dataset!$V:$V,"&lt;"&amp;$D77)</f>
        <v>5.6899999999999999E-2</v>
      </c>
      <c r="L77" s="108">
        <f>SUMIFS(Dataset!$P:$P,Dataset!$E:$E,L$70,Dataset!$V:$V,"&gt;="&amp;$C77,Dataset!$V:$V,"&lt;"&amp;$D77)</f>
        <v>0</v>
      </c>
      <c r="M77" s="108">
        <f>SUMIFS(Dataset!$P:$P,Dataset!$E:$E,M$70,Dataset!$V:$V,"&gt;="&amp;$C77,Dataset!$V:$V,"&lt;"&amp;$D77)</f>
        <v>0</v>
      </c>
      <c r="N77" s="109">
        <f t="shared" si="1"/>
        <v>0.1898</v>
      </c>
      <c r="O77" s="108">
        <f>SUMIFS(Dataset!$R:$R,Dataset!$E:$E,O$70,Dataset!$V:$V,"&gt;="&amp;$C77,Dataset!$V:$V,"&lt;"&amp;$D77)</f>
        <v>0</v>
      </c>
      <c r="P77" s="108">
        <f>SUMIFS(Dataset!$R:$R,Dataset!$E:$E,P$70,Dataset!$V:$V,"&gt;="&amp;$C77,Dataset!$V:$V,"&lt;"&amp;$D77)</f>
        <v>0</v>
      </c>
      <c r="Q77" s="108">
        <f>SUMIFS(Dataset!$R:$R,Dataset!$E:$E,Q$70,Dataset!$V:$V,"&gt;="&amp;$C77,Dataset!$V:$V,"&lt;"&amp;$D77)</f>
        <v>0</v>
      </c>
      <c r="R77" s="108">
        <f>SUMIFS(Dataset!$R:$R,Dataset!$E:$E,R$70,Dataset!$V:$V,"&gt;="&amp;$C77,Dataset!$V:$V,"&lt;"&amp;$D77)</f>
        <v>0</v>
      </c>
      <c r="S77" s="108">
        <f>SUMIFS(Dataset!$R:$R,Dataset!$E:$E,S$70,Dataset!$V:$V,"&gt;="&amp;$C77,Dataset!$V:$V,"&lt;"&amp;$D77)</f>
        <v>0</v>
      </c>
      <c r="T77" s="108">
        <f>SUMIFS(Dataset!$R:$R,Dataset!$E:$E,T$70,Dataset!$V:$V,"&gt;="&amp;$C77,Dataset!$V:$V,"&lt;"&amp;$D77)</f>
        <v>0</v>
      </c>
      <c r="U77" s="108">
        <f>SUMIFS(Dataset!$R:$R,Dataset!$E:$E,U$70,Dataset!$V:$V,"&gt;="&amp;$C77,Dataset!$V:$V,"&lt;"&amp;$D77)</f>
        <v>0</v>
      </c>
      <c r="V77" s="109">
        <f t="shared" si="2"/>
        <v>0</v>
      </c>
    </row>
    <row r="78" spans="3:22" ht="15" x14ac:dyDescent="0.25">
      <c r="C78">
        <f t="shared" si="4"/>
        <v>5.5</v>
      </c>
      <c r="D78">
        <f t="shared" si="5"/>
        <v>6.5</v>
      </c>
      <c r="F78" s="31" t="str">
        <f t="shared" si="3"/>
        <v>5.5 - 6.5</v>
      </c>
      <c r="G78" s="108">
        <f>SUMIFS(Dataset!$P:$P,Dataset!$E:$E,G$70,Dataset!$V:$V,"&gt;="&amp;$C78,Dataset!$V:$V,"&lt;"&amp;$D78)</f>
        <v>0</v>
      </c>
      <c r="H78" s="108">
        <f>SUMIFS(Dataset!$P:$P,Dataset!$E:$E,H$70,Dataset!$V:$V,"&gt;="&amp;$C78,Dataset!$V:$V,"&lt;"&amp;$D78)</f>
        <v>0</v>
      </c>
      <c r="I78" s="108">
        <f>SUMIFS(Dataset!$P:$P,Dataset!$E:$E,I$70,Dataset!$V:$V,"&gt;="&amp;$C78,Dataset!$V:$V,"&lt;"&amp;$D78)</f>
        <v>0</v>
      </c>
      <c r="J78" s="108">
        <f>SUMIFS(Dataset!$P:$P,Dataset!$E:$E,J$70,Dataset!$V:$V,"&gt;="&amp;$C78,Dataset!$V:$V,"&lt;"&amp;$D78)</f>
        <v>0</v>
      </c>
      <c r="K78" s="108">
        <f>SUMIFS(Dataset!$P:$P,Dataset!$E:$E,K$70,Dataset!$V:$V,"&gt;="&amp;$C78,Dataset!$V:$V,"&lt;"&amp;$D78)</f>
        <v>1.0200000000000001E-2</v>
      </c>
      <c r="L78" s="108">
        <f>SUMIFS(Dataset!$P:$P,Dataset!$E:$E,L$70,Dataset!$V:$V,"&gt;="&amp;$C78,Dataset!$V:$V,"&lt;"&amp;$D78)</f>
        <v>0</v>
      </c>
      <c r="M78" s="108">
        <f>SUMIFS(Dataset!$P:$P,Dataset!$E:$E,M$70,Dataset!$V:$V,"&gt;="&amp;$C78,Dataset!$V:$V,"&lt;"&amp;$D78)</f>
        <v>1.52E-2</v>
      </c>
      <c r="N78" s="109">
        <f t="shared" si="1"/>
        <v>2.5399999999999999E-2</v>
      </c>
      <c r="O78" s="108">
        <f>SUMIFS(Dataset!$R:$R,Dataset!$E:$E,O$70,Dataset!$V:$V,"&gt;="&amp;$C78,Dataset!$V:$V,"&lt;"&amp;$D78)</f>
        <v>0</v>
      </c>
      <c r="P78" s="108">
        <f>SUMIFS(Dataset!$R:$R,Dataset!$E:$E,P$70,Dataset!$V:$V,"&gt;="&amp;$C78,Dataset!$V:$V,"&lt;"&amp;$D78)</f>
        <v>0</v>
      </c>
      <c r="Q78" s="108">
        <f>SUMIFS(Dataset!$R:$R,Dataset!$E:$E,Q$70,Dataset!$V:$V,"&gt;="&amp;$C78,Dataset!$V:$V,"&lt;"&amp;$D78)</f>
        <v>0</v>
      </c>
      <c r="R78" s="108">
        <f>SUMIFS(Dataset!$R:$R,Dataset!$E:$E,R$70,Dataset!$V:$V,"&gt;="&amp;$C78,Dataset!$V:$V,"&lt;"&amp;$D78)</f>
        <v>0</v>
      </c>
      <c r="S78" s="108">
        <f>SUMIFS(Dataset!$R:$R,Dataset!$E:$E,S$70,Dataset!$V:$V,"&gt;="&amp;$C78,Dataset!$V:$V,"&lt;"&amp;$D78)</f>
        <v>0</v>
      </c>
      <c r="T78" s="108">
        <f>SUMIFS(Dataset!$R:$R,Dataset!$E:$E,T$70,Dataset!$V:$V,"&gt;="&amp;$C78,Dataset!$V:$V,"&lt;"&amp;$D78)</f>
        <v>0</v>
      </c>
      <c r="U78" s="108">
        <f>SUMIFS(Dataset!$R:$R,Dataset!$E:$E,U$70,Dataset!$V:$V,"&gt;="&amp;$C78,Dataset!$V:$V,"&lt;"&amp;$D78)</f>
        <v>0</v>
      </c>
      <c r="V78" s="109">
        <f t="shared" si="2"/>
        <v>0</v>
      </c>
    </row>
    <row r="79" spans="3:22" ht="15" x14ac:dyDescent="0.25">
      <c r="C79">
        <f t="shared" si="4"/>
        <v>6.5</v>
      </c>
      <c r="D79">
        <f t="shared" si="5"/>
        <v>7.5</v>
      </c>
      <c r="F79" s="31" t="str">
        <f t="shared" si="3"/>
        <v>6.5 - 7.5</v>
      </c>
      <c r="G79" s="108">
        <f>SUMIFS(Dataset!$P:$P,Dataset!$E:$E,G$70,Dataset!$V:$V,"&gt;="&amp;$C79,Dataset!$V:$V,"&lt;"&amp;$D79)</f>
        <v>0</v>
      </c>
      <c r="H79" s="108">
        <f>SUMIFS(Dataset!$P:$P,Dataset!$E:$E,H$70,Dataset!$V:$V,"&gt;="&amp;$C79,Dataset!$V:$V,"&lt;"&amp;$D79)</f>
        <v>4.0899999999999999E-2</v>
      </c>
      <c r="I79" s="108">
        <f>SUMIFS(Dataset!$P:$P,Dataset!$E:$E,I$70,Dataset!$V:$V,"&gt;="&amp;$C79,Dataset!$V:$V,"&lt;"&amp;$D79)</f>
        <v>0</v>
      </c>
      <c r="J79" s="108">
        <f>SUMIFS(Dataset!$P:$P,Dataset!$E:$E,J$70,Dataset!$V:$V,"&gt;="&amp;$C79,Dataset!$V:$V,"&lt;"&amp;$D79)</f>
        <v>2.5999999999999999E-3</v>
      </c>
      <c r="K79" s="108">
        <f>SUMIFS(Dataset!$P:$P,Dataset!$E:$E,K$70,Dataset!$V:$V,"&gt;="&amp;$C79,Dataset!$V:$V,"&lt;"&amp;$D79)</f>
        <v>0</v>
      </c>
      <c r="L79" s="108">
        <f>SUMIFS(Dataset!$P:$P,Dataset!$E:$E,L$70,Dataset!$V:$V,"&gt;="&amp;$C79,Dataset!$V:$V,"&lt;"&amp;$D79)</f>
        <v>0</v>
      </c>
      <c r="M79" s="108">
        <f>SUMIFS(Dataset!$P:$P,Dataset!$E:$E,M$70,Dataset!$V:$V,"&gt;="&amp;$C79,Dataset!$V:$V,"&lt;"&amp;$D79)</f>
        <v>0</v>
      </c>
      <c r="N79" s="109">
        <f t="shared" si="1"/>
        <v>4.3499999999999997E-2</v>
      </c>
      <c r="O79" s="108">
        <f>SUMIFS(Dataset!$R:$R,Dataset!$E:$E,O$70,Dataset!$V:$V,"&gt;="&amp;$C79,Dataset!$V:$V,"&lt;"&amp;$D79)</f>
        <v>0</v>
      </c>
      <c r="P79" s="108">
        <f>SUMIFS(Dataset!$R:$R,Dataset!$E:$E,P$70,Dataset!$V:$V,"&gt;="&amp;$C79,Dataset!$V:$V,"&lt;"&amp;$D79)</f>
        <v>0</v>
      </c>
      <c r="Q79" s="108">
        <f>SUMIFS(Dataset!$R:$R,Dataset!$E:$E,Q$70,Dataset!$V:$V,"&gt;="&amp;$C79,Dataset!$V:$V,"&lt;"&amp;$D79)</f>
        <v>0</v>
      </c>
      <c r="R79" s="108">
        <f>SUMIFS(Dataset!$R:$R,Dataset!$E:$E,R$70,Dataset!$V:$V,"&gt;="&amp;$C79,Dataset!$V:$V,"&lt;"&amp;$D79)</f>
        <v>0</v>
      </c>
      <c r="S79" s="108">
        <f>SUMIFS(Dataset!$R:$R,Dataset!$E:$E,S$70,Dataset!$V:$V,"&gt;="&amp;$C79,Dataset!$V:$V,"&lt;"&amp;$D79)</f>
        <v>0</v>
      </c>
      <c r="T79" s="108">
        <f>SUMIFS(Dataset!$R:$R,Dataset!$E:$E,T$70,Dataset!$V:$V,"&gt;="&amp;$C79,Dataset!$V:$V,"&lt;"&amp;$D79)</f>
        <v>0</v>
      </c>
      <c r="U79" s="108">
        <f>SUMIFS(Dataset!$R:$R,Dataset!$E:$E,U$70,Dataset!$V:$V,"&gt;="&amp;$C79,Dataset!$V:$V,"&lt;"&amp;$D79)</f>
        <v>0</v>
      </c>
      <c r="V79" s="109">
        <f t="shared" si="2"/>
        <v>0</v>
      </c>
    </row>
    <row r="80" spans="3:22" ht="15" x14ac:dyDescent="0.25">
      <c r="C80">
        <f t="shared" si="4"/>
        <v>7.5</v>
      </c>
      <c r="D80">
        <f t="shared" si="5"/>
        <v>8.5</v>
      </c>
      <c r="F80" s="31" t="str">
        <f t="shared" si="3"/>
        <v>7.5 - 8.5</v>
      </c>
      <c r="G80" s="108">
        <f>SUMIFS(Dataset!$P:$P,Dataset!$E:$E,G$70,Dataset!$V:$V,"&gt;="&amp;$C80,Dataset!$V:$V,"&lt;"&amp;$D80)</f>
        <v>0</v>
      </c>
      <c r="H80" s="108">
        <f>SUMIFS(Dataset!$P:$P,Dataset!$E:$E,H$70,Dataset!$V:$V,"&gt;="&amp;$C80,Dataset!$V:$V,"&lt;"&amp;$D80)</f>
        <v>3.6299999999999999E-2</v>
      </c>
      <c r="I80" s="108">
        <f>SUMIFS(Dataset!$P:$P,Dataset!$E:$E,I$70,Dataset!$V:$V,"&gt;="&amp;$C80,Dataset!$V:$V,"&lt;"&amp;$D80)</f>
        <v>0</v>
      </c>
      <c r="J80" s="108">
        <f>SUMIFS(Dataset!$P:$P,Dataset!$E:$E,J$70,Dataset!$V:$V,"&gt;="&amp;$C80,Dataset!$V:$V,"&lt;"&amp;$D80)</f>
        <v>7.2900000000000006E-2</v>
      </c>
      <c r="K80" s="108">
        <f>SUMIFS(Dataset!$P:$P,Dataset!$E:$E,K$70,Dataset!$V:$V,"&gt;="&amp;$C80,Dataset!$V:$V,"&lt;"&amp;$D80)</f>
        <v>0</v>
      </c>
      <c r="L80" s="108">
        <f>SUMIFS(Dataset!$P:$P,Dataset!$E:$E,L$70,Dataset!$V:$V,"&gt;="&amp;$C80,Dataset!$V:$V,"&lt;"&amp;$D80)</f>
        <v>1.6199999999999999E-2</v>
      </c>
      <c r="M80" s="108">
        <f>SUMIFS(Dataset!$P:$P,Dataset!$E:$E,M$70,Dataset!$V:$V,"&gt;="&amp;$C80,Dataset!$V:$V,"&lt;"&amp;$D80)</f>
        <v>0</v>
      </c>
      <c r="N80" s="109">
        <f t="shared" si="1"/>
        <v>0.12540000000000001</v>
      </c>
      <c r="O80" s="108">
        <f>SUMIFS(Dataset!$R:$R,Dataset!$E:$E,O$70,Dataset!$V:$V,"&gt;="&amp;$C80,Dataset!$V:$V,"&lt;"&amp;$D80)</f>
        <v>0</v>
      </c>
      <c r="P80" s="108">
        <f>SUMIFS(Dataset!$R:$R,Dataset!$E:$E,P$70,Dataset!$V:$V,"&gt;="&amp;$C80,Dataset!$V:$V,"&lt;"&amp;$D80)</f>
        <v>0</v>
      </c>
      <c r="Q80" s="108">
        <f>SUMIFS(Dataset!$R:$R,Dataset!$E:$E,Q$70,Dataset!$V:$V,"&gt;="&amp;$C80,Dataset!$V:$V,"&lt;"&amp;$D80)</f>
        <v>0</v>
      </c>
      <c r="R80" s="108">
        <f>SUMIFS(Dataset!$R:$R,Dataset!$E:$E,R$70,Dataset!$V:$V,"&gt;="&amp;$C80,Dataset!$V:$V,"&lt;"&amp;$D80)</f>
        <v>0</v>
      </c>
      <c r="S80" s="108">
        <f>SUMIFS(Dataset!$R:$R,Dataset!$E:$E,S$70,Dataset!$V:$V,"&gt;="&amp;$C80,Dataset!$V:$V,"&lt;"&amp;$D80)</f>
        <v>0</v>
      </c>
      <c r="T80" s="108">
        <f>SUMIFS(Dataset!$R:$R,Dataset!$E:$E,T$70,Dataset!$V:$V,"&gt;="&amp;$C80,Dataset!$V:$V,"&lt;"&amp;$D80)</f>
        <v>-0.03</v>
      </c>
      <c r="U80" s="108">
        <f>SUMIFS(Dataset!$R:$R,Dataset!$E:$E,U$70,Dataset!$V:$V,"&gt;="&amp;$C80,Dataset!$V:$V,"&lt;"&amp;$D80)</f>
        <v>0</v>
      </c>
      <c r="V80" s="109">
        <f t="shared" si="2"/>
        <v>-0.03</v>
      </c>
    </row>
    <row r="81" spans="3:22" ht="15" x14ac:dyDescent="0.25">
      <c r="C81">
        <f t="shared" si="4"/>
        <v>8.5</v>
      </c>
      <c r="D81">
        <f t="shared" si="5"/>
        <v>9.5</v>
      </c>
      <c r="F81" s="31" t="str">
        <f t="shared" si="3"/>
        <v>8.5 - 9.5</v>
      </c>
      <c r="G81" s="108">
        <f>SUMIFS(Dataset!$P:$P,Dataset!$E:$E,G$70,Dataset!$V:$V,"&gt;="&amp;$C81,Dataset!$V:$V,"&lt;"&amp;$D81)</f>
        <v>1.84E-2</v>
      </c>
      <c r="H81" s="108">
        <f>SUMIFS(Dataset!$P:$P,Dataset!$E:$E,H$70,Dataset!$V:$V,"&gt;="&amp;$C81,Dataset!$V:$V,"&lt;"&amp;$D81)</f>
        <v>2.76E-2</v>
      </c>
      <c r="I81" s="108">
        <f>SUMIFS(Dataset!$P:$P,Dataset!$E:$E,I$70,Dataset!$V:$V,"&gt;="&amp;$C81,Dataset!$V:$V,"&lt;"&amp;$D81)</f>
        <v>0</v>
      </c>
      <c r="J81" s="108">
        <f>SUMIFS(Dataset!$P:$P,Dataset!$E:$E,J$70,Dataset!$V:$V,"&gt;="&amp;$C81,Dataset!$V:$V,"&lt;"&amp;$D81)</f>
        <v>0</v>
      </c>
      <c r="K81" s="108">
        <f>SUMIFS(Dataset!$P:$P,Dataset!$E:$E,K$70,Dataset!$V:$V,"&gt;="&amp;$C81,Dataset!$V:$V,"&lt;"&amp;$D81)</f>
        <v>0</v>
      </c>
      <c r="L81" s="108">
        <f>SUMIFS(Dataset!$P:$P,Dataset!$E:$E,L$70,Dataset!$V:$V,"&gt;="&amp;$C81,Dataset!$V:$V,"&lt;"&amp;$D81)</f>
        <v>0</v>
      </c>
      <c r="M81" s="108">
        <f>SUMIFS(Dataset!$P:$P,Dataset!$E:$E,M$70,Dataset!$V:$V,"&gt;="&amp;$C81,Dataset!$V:$V,"&lt;"&amp;$D81)</f>
        <v>0</v>
      </c>
      <c r="N81" s="109">
        <f t="shared" si="1"/>
        <v>4.5999999999999999E-2</v>
      </c>
      <c r="O81" s="108">
        <f>SUMIFS(Dataset!$R:$R,Dataset!$E:$E,O$70,Dataset!$V:$V,"&gt;="&amp;$C81,Dataset!$V:$V,"&lt;"&amp;$D81)</f>
        <v>-0.01</v>
      </c>
      <c r="P81" s="108">
        <f>SUMIFS(Dataset!$R:$R,Dataset!$E:$E,P$70,Dataset!$V:$V,"&gt;="&amp;$C81,Dataset!$V:$V,"&lt;"&amp;$D81)</f>
        <v>0</v>
      </c>
      <c r="Q81" s="108">
        <f>SUMIFS(Dataset!$R:$R,Dataset!$E:$E,Q$70,Dataset!$V:$V,"&gt;="&amp;$C81,Dataset!$V:$V,"&lt;"&amp;$D81)</f>
        <v>0</v>
      </c>
      <c r="R81" s="108">
        <f>SUMIFS(Dataset!$R:$R,Dataset!$E:$E,R$70,Dataset!$V:$V,"&gt;="&amp;$C81,Dataset!$V:$V,"&lt;"&amp;$D81)</f>
        <v>0</v>
      </c>
      <c r="S81" s="108">
        <f>SUMIFS(Dataset!$R:$R,Dataset!$E:$E,S$70,Dataset!$V:$V,"&gt;="&amp;$C81,Dataset!$V:$V,"&lt;"&amp;$D81)</f>
        <v>0</v>
      </c>
      <c r="T81" s="108">
        <f>SUMIFS(Dataset!$R:$R,Dataset!$E:$E,T$70,Dataset!$V:$V,"&gt;="&amp;$C81,Dataset!$V:$V,"&lt;"&amp;$D81)</f>
        <v>0</v>
      </c>
      <c r="U81" s="108">
        <f>SUMIFS(Dataset!$R:$R,Dataset!$E:$E,U$70,Dataset!$V:$V,"&gt;="&amp;$C81,Dataset!$V:$V,"&lt;"&amp;$D81)</f>
        <v>0</v>
      </c>
      <c r="V81" s="109">
        <f t="shared" si="2"/>
        <v>-0.01</v>
      </c>
    </row>
    <row r="82" spans="3:22" ht="15" x14ac:dyDescent="0.25">
      <c r="C82">
        <f t="shared" si="4"/>
        <v>9.5</v>
      </c>
      <c r="D82">
        <f t="shared" si="5"/>
        <v>10.5</v>
      </c>
      <c r="F82" s="31" t="str">
        <f t="shared" si="3"/>
        <v>9.5 - 10.5</v>
      </c>
      <c r="G82" s="108">
        <f>SUMIFS(Dataset!$P:$P,Dataset!$E:$E,G$70,Dataset!$V:$V,"&gt;="&amp;$C82,Dataset!$V:$V,"&lt;"&amp;$D82)</f>
        <v>1.26E-2</v>
      </c>
      <c r="H82" s="108">
        <f>SUMIFS(Dataset!$P:$P,Dataset!$E:$E,H$70,Dataset!$V:$V,"&gt;="&amp;$C82,Dataset!$V:$V,"&lt;"&amp;$D82)</f>
        <v>6.3899999999999998E-2</v>
      </c>
      <c r="I82" s="108">
        <f>SUMIFS(Dataset!$P:$P,Dataset!$E:$E,I$70,Dataset!$V:$V,"&gt;="&amp;$C82,Dataset!$V:$V,"&lt;"&amp;$D82)</f>
        <v>0</v>
      </c>
      <c r="J82" s="108">
        <f>SUMIFS(Dataset!$P:$P,Dataset!$E:$E,J$70,Dataset!$V:$V,"&gt;="&amp;$C82,Dataset!$V:$V,"&lt;"&amp;$D82)</f>
        <v>1.55E-2</v>
      </c>
      <c r="K82" s="108">
        <f>SUMIFS(Dataset!$P:$P,Dataset!$E:$E,K$70,Dataset!$V:$V,"&gt;="&amp;$C82,Dataset!$V:$V,"&lt;"&amp;$D82)</f>
        <v>2.58E-2</v>
      </c>
      <c r="L82" s="108">
        <f>SUMIFS(Dataset!$P:$P,Dataset!$E:$E,L$70,Dataset!$V:$V,"&gt;="&amp;$C82,Dataset!$V:$V,"&lt;"&amp;$D82)</f>
        <v>0</v>
      </c>
      <c r="M82" s="108">
        <f>SUMIFS(Dataset!$P:$P,Dataset!$E:$E,M$70,Dataset!$V:$V,"&gt;="&amp;$C82,Dataset!$V:$V,"&lt;"&amp;$D82)</f>
        <v>0</v>
      </c>
      <c r="N82" s="109">
        <f t="shared" si="1"/>
        <v>0.1178</v>
      </c>
      <c r="O82" s="108">
        <f>SUMIFS(Dataset!$R:$R,Dataset!$E:$E,O$70,Dataset!$V:$V,"&gt;="&amp;$C82,Dataset!$V:$V,"&lt;"&amp;$D82)</f>
        <v>0</v>
      </c>
      <c r="P82" s="108">
        <f>SUMIFS(Dataset!$R:$R,Dataset!$E:$E,P$70,Dataset!$V:$V,"&gt;="&amp;$C82,Dataset!$V:$V,"&lt;"&amp;$D82)</f>
        <v>-5.0000000000000001E-3</v>
      </c>
      <c r="Q82" s="108">
        <f>SUMIFS(Dataset!$R:$R,Dataset!$E:$E,Q$70,Dataset!$V:$V,"&gt;="&amp;$C82,Dataset!$V:$V,"&lt;"&amp;$D82)</f>
        <v>0</v>
      </c>
      <c r="R82" s="108">
        <f>SUMIFS(Dataset!$R:$R,Dataset!$E:$E,R$70,Dataset!$V:$V,"&gt;="&amp;$C82,Dataset!$V:$V,"&lt;"&amp;$D82)</f>
        <v>0</v>
      </c>
      <c r="S82" s="108">
        <f>SUMIFS(Dataset!$R:$R,Dataset!$E:$E,S$70,Dataset!$V:$V,"&gt;="&amp;$C82,Dataset!$V:$V,"&lt;"&amp;$D82)</f>
        <v>-9.9999999999999985E-3</v>
      </c>
      <c r="T82" s="108">
        <f>SUMIFS(Dataset!$R:$R,Dataset!$E:$E,T$70,Dataset!$V:$V,"&gt;="&amp;$C82,Dataset!$V:$V,"&lt;"&amp;$D82)</f>
        <v>0</v>
      </c>
      <c r="U82" s="108">
        <f>SUMIFS(Dataset!$R:$R,Dataset!$E:$E,U$70,Dataset!$V:$V,"&gt;="&amp;$C82,Dataset!$V:$V,"&lt;"&amp;$D82)</f>
        <v>0</v>
      </c>
      <c r="V82" s="109">
        <f t="shared" si="2"/>
        <v>-1.4999999999999999E-2</v>
      </c>
    </row>
    <row r="83" spans="3:22" ht="15" x14ac:dyDescent="0.25">
      <c r="C83">
        <f t="shared" si="4"/>
        <v>10.5</v>
      </c>
      <c r="D83">
        <v>100</v>
      </c>
      <c r="F83" s="31" t="s">
        <v>346</v>
      </c>
      <c r="G83" s="108">
        <f>SUMIFS(Dataset!$P:$P,Dataset!$E:$E,G$70,Dataset!$V:$V,"&gt;="&amp;$C83,Dataset!$V:$V,"&lt;"&amp;$D83)</f>
        <v>0</v>
      </c>
      <c r="H83" s="108">
        <f>SUMIFS(Dataset!$P:$P,Dataset!$E:$E,H$70,Dataset!$V:$V,"&gt;="&amp;$C83,Dataset!$V:$V,"&lt;"&amp;$D83)</f>
        <v>0</v>
      </c>
      <c r="I83" s="108">
        <f>SUMIFS(Dataset!$P:$P,Dataset!$E:$E,I$70,Dataset!$V:$V,"&gt;="&amp;$C83,Dataset!$V:$V,"&lt;"&amp;$D83)</f>
        <v>0</v>
      </c>
      <c r="J83" s="108">
        <f>SUMIFS(Dataset!$P:$P,Dataset!$E:$E,J$70,Dataset!$V:$V,"&gt;="&amp;$C83,Dataset!$V:$V,"&lt;"&amp;$D83)</f>
        <v>0</v>
      </c>
      <c r="K83" s="108">
        <f>SUMIFS(Dataset!$P:$P,Dataset!$E:$E,K$70,Dataset!$V:$V,"&gt;="&amp;$C83,Dataset!$V:$V,"&lt;"&amp;$D83)</f>
        <v>0</v>
      </c>
      <c r="L83" s="108">
        <f>SUMIFS(Dataset!$P:$P,Dataset!$E:$E,L$70,Dataset!$V:$V,"&gt;="&amp;$C83,Dataset!$V:$V,"&lt;"&amp;$D83)</f>
        <v>0</v>
      </c>
      <c r="M83" s="108">
        <f>SUMIFS(Dataset!$P:$P,Dataset!$E:$E,M$70,Dataset!$V:$V,"&gt;="&amp;$C83,Dataset!$V:$V,"&lt;"&amp;$D83)</f>
        <v>0</v>
      </c>
      <c r="N83" s="109">
        <f t="shared" si="1"/>
        <v>0</v>
      </c>
      <c r="O83" s="108">
        <f>SUMIFS(Dataset!$R:$R,Dataset!$E:$E,O$70,Dataset!$V:$V,"&gt;="&amp;$C83,Dataset!$V:$V,"&lt;"&amp;$D83)</f>
        <v>0</v>
      </c>
      <c r="P83" s="108">
        <f>SUMIFS(Dataset!$R:$R,Dataset!$E:$E,P$70,Dataset!$V:$V,"&gt;="&amp;$C83,Dataset!$V:$V,"&lt;"&amp;$D83)</f>
        <v>0</v>
      </c>
      <c r="Q83" s="108">
        <f>SUMIFS(Dataset!$R:$R,Dataset!$E:$E,Q$70,Dataset!$V:$V,"&gt;="&amp;$C83,Dataset!$V:$V,"&lt;"&amp;$D83)</f>
        <v>0</v>
      </c>
      <c r="R83" s="108">
        <f>SUMIFS(Dataset!$R:$R,Dataset!$E:$E,R$70,Dataset!$V:$V,"&gt;="&amp;$C83,Dataset!$V:$V,"&lt;"&amp;$D83)</f>
        <v>0</v>
      </c>
      <c r="S83" s="108">
        <f>SUMIFS(Dataset!$R:$R,Dataset!$E:$E,S$70,Dataset!$V:$V,"&gt;="&amp;$C83,Dataset!$V:$V,"&lt;"&amp;$D83)</f>
        <v>0</v>
      </c>
      <c r="T83" s="108">
        <f>SUMIFS(Dataset!$R:$R,Dataset!$E:$E,T$70,Dataset!$V:$V,"&gt;="&amp;$C83,Dataset!$V:$V,"&lt;"&amp;$D83)</f>
        <v>0</v>
      </c>
      <c r="U83" s="108">
        <f>SUMIFS(Dataset!$R:$R,Dataset!$E:$E,U$70,Dataset!$V:$V,"&gt;="&amp;$C83,Dataset!$V:$V,"&lt;"&amp;$D83)</f>
        <v>0</v>
      </c>
      <c r="V83" s="109">
        <f t="shared" si="2"/>
        <v>0</v>
      </c>
    </row>
    <row r="84" spans="3:22" ht="16.5" x14ac:dyDescent="0.2">
      <c r="F84" s="30" t="s">
        <v>147</v>
      </c>
      <c r="G84" s="110">
        <f t="shared" ref="G84:M84" si="6">+SUM(G72:G83)</f>
        <v>3.1E-2</v>
      </c>
      <c r="H84" s="110">
        <f t="shared" si="6"/>
        <v>0.29970000000000002</v>
      </c>
      <c r="I84" s="110">
        <f t="shared" si="6"/>
        <v>1.5699999999999999E-2</v>
      </c>
      <c r="J84" s="110">
        <f t="shared" si="6"/>
        <v>0.23499999999999999</v>
      </c>
      <c r="K84" s="110">
        <f t="shared" si="6"/>
        <v>0.17469999999999997</v>
      </c>
      <c r="L84" s="110">
        <f t="shared" si="6"/>
        <v>7.8100000000000003E-2</v>
      </c>
      <c r="M84" s="110">
        <f t="shared" si="6"/>
        <v>0.16579999999999995</v>
      </c>
      <c r="N84" s="110">
        <f t="shared" si="1"/>
        <v>0.99999999999999978</v>
      </c>
      <c r="O84" s="110">
        <f t="shared" ref="O84:U84" si="7">+SUM(O72:O83)</f>
        <v>-0.01</v>
      </c>
      <c r="P84" s="110">
        <f t="shared" si="7"/>
        <v>-5.0000000000000001E-3</v>
      </c>
      <c r="Q84" s="110">
        <f t="shared" si="7"/>
        <v>9.9999999999999985E-3</v>
      </c>
      <c r="R84" s="110">
        <f t="shared" si="7"/>
        <v>4.9999999999999992E-3</v>
      </c>
      <c r="S84" s="110">
        <f t="shared" si="7"/>
        <v>-1.9999999999999997E-2</v>
      </c>
      <c r="T84" s="110">
        <f t="shared" si="7"/>
        <v>-0.03</v>
      </c>
      <c r="U84" s="110">
        <f t="shared" si="7"/>
        <v>9.9999999999999534E-3</v>
      </c>
      <c r="V84" s="110">
        <f t="shared" si="2"/>
        <v>-4.0000000000000042E-2</v>
      </c>
    </row>
  </sheetData>
  <mergeCells count="14">
    <mergeCell ref="E3:X3"/>
    <mergeCell ref="G68:M68"/>
    <mergeCell ref="O68:U68"/>
    <mergeCell ref="F41:G41"/>
    <mergeCell ref="F42:G42"/>
    <mergeCell ref="F43:G43"/>
    <mergeCell ref="F44:G44"/>
    <mergeCell ref="F45:G45"/>
    <mergeCell ref="F46:G46"/>
    <mergeCell ref="F36:G36"/>
    <mergeCell ref="F37:G37"/>
    <mergeCell ref="F38:G38"/>
    <mergeCell ref="F39:G39"/>
    <mergeCell ref="F40:G40"/>
  </mergeCells>
  <pageMargins left="0.70866141732283472" right="0.17354166666666668" top="0.74803149606299213" bottom="0.74803149606299213" header="0.31496062992125984" footer="0.31496062992125984"/>
  <pageSetup scale="5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myMacro">
                <anchor moveWithCells="1" sizeWithCells="1">
                  <from>
                    <xdr:col>20</xdr:col>
                    <xdr:colOff>428625</xdr:colOff>
                    <xdr:row>0</xdr:row>
                    <xdr:rowOff>57150</xdr:rowOff>
                  </from>
                  <to>
                    <xdr:col>23</xdr:col>
                    <xdr:colOff>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1">
    <tabColor theme="9" tint="0.39997558519241921"/>
    <pageSetUpPr fitToPage="1"/>
  </sheetPr>
  <dimension ref="A3:W97"/>
  <sheetViews>
    <sheetView showGridLines="0" view="pageBreakPreview" topLeftCell="B20" zoomScale="73" zoomScaleNormal="100" zoomScaleSheetLayoutView="73" workbookViewId="0">
      <selection activeCell="E90" sqref="E90:M97"/>
    </sheetView>
  </sheetViews>
  <sheetFormatPr baseColWidth="10" defaultRowHeight="14.25" x14ac:dyDescent="0.2"/>
  <cols>
    <col min="1" max="1" width="8.25" hidden="1" customWidth="1"/>
    <col min="2" max="2" width="4.375" customWidth="1"/>
    <col min="3" max="4" width="7.75" hidden="1" customWidth="1"/>
    <col min="5" max="5" width="10.625" customWidth="1"/>
    <col min="6" max="6" width="8.375" bestFit="1" customWidth="1"/>
    <col min="7" max="7" width="8.5" bestFit="1" customWidth="1"/>
    <col min="8" max="8" width="7.875" bestFit="1" customWidth="1"/>
    <col min="9" max="9" width="8.25" bestFit="1" customWidth="1"/>
    <col min="10" max="10" width="8.625" customWidth="1"/>
    <col min="11" max="11" width="6.5" customWidth="1"/>
    <col min="12" max="12" width="7.625" customWidth="1"/>
    <col min="13" max="13" width="6.5" bestFit="1" customWidth="1"/>
    <col min="14" max="14" width="12.125" customWidth="1"/>
    <col min="15" max="15" width="9.25" bestFit="1" customWidth="1"/>
    <col min="16" max="16" width="7.625" bestFit="1" customWidth="1"/>
    <col min="17" max="17" width="8.25" bestFit="1" customWidth="1"/>
    <col min="18" max="18" width="7.5" bestFit="1" customWidth="1"/>
    <col min="19" max="19" width="10.5" bestFit="1" customWidth="1"/>
    <col min="20" max="20" width="7.375" bestFit="1" customWidth="1"/>
    <col min="21" max="21" width="5.625" bestFit="1" customWidth="1"/>
    <col min="22" max="22" width="9.375" bestFit="1" customWidth="1"/>
    <col min="23" max="23" width="5.5" customWidth="1"/>
  </cols>
  <sheetData>
    <row r="3" spans="1:23" ht="26.25" x14ac:dyDescent="0.4">
      <c r="E3" s="133" t="s">
        <v>345</v>
      </c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3"/>
      <c r="V3" s="133"/>
      <c r="W3" s="97"/>
    </row>
    <row r="6" spans="1:23" ht="20.25" x14ac:dyDescent="0.3">
      <c r="E6" s="93" t="s">
        <v>165</v>
      </c>
    </row>
    <row r="8" spans="1:23" ht="16.5" x14ac:dyDescent="0.3">
      <c r="E8" s="27" t="s">
        <v>139</v>
      </c>
      <c r="F8" s="28" t="s">
        <v>154</v>
      </c>
      <c r="G8" s="28" t="s">
        <v>155</v>
      </c>
      <c r="H8" s="28" t="s">
        <v>156</v>
      </c>
      <c r="I8" s="28" t="s">
        <v>167</v>
      </c>
      <c r="J8" s="28" t="s">
        <v>17</v>
      </c>
      <c r="K8" s="28" t="s">
        <v>4</v>
      </c>
      <c r="L8" s="28" t="s">
        <v>6</v>
      </c>
    </row>
    <row r="9" spans="1:23" ht="16.5" x14ac:dyDescent="0.2">
      <c r="E9" s="18" t="s">
        <v>162</v>
      </c>
      <c r="F9" s="19">
        <f>SUMIFS(Dataset!P:P,Dataset!$E:$E,$A11)</f>
        <v>3.1E-2</v>
      </c>
      <c r="G9" s="20">
        <f>SUMIFS(Dataset!R:R,Dataset!$E:$E,$A11)</f>
        <v>-0.01</v>
      </c>
      <c r="H9" s="17">
        <f>SUMIFS(Dataset!R:R,Dataset!$Y:$Y,$A11)</f>
        <v>0</v>
      </c>
      <c r="I9" s="14">
        <f>+J9/F9</f>
        <v>9.3842496421325823</v>
      </c>
      <c r="J9" s="17">
        <f>SUMIFS(Dataset!W:W,Dataset!$E:$E,$A11)</f>
        <v>0.29091173890611005</v>
      </c>
      <c r="K9" s="94">
        <f>SUMIFS(Dataset!S:S,Dataset!$E:$E,$A11)</f>
        <v>1.2511922587850801</v>
      </c>
      <c r="L9" s="17">
        <f>SUMIFS(Dataset!U:U,Dataset!$E:$E,$A11)</f>
        <v>0</v>
      </c>
    </row>
    <row r="10" spans="1:23" ht="16.5" x14ac:dyDescent="0.2">
      <c r="E10" s="18" t="s">
        <v>161</v>
      </c>
      <c r="F10" s="19">
        <f>SUMIFS(Dataset!P:P,Dataset!$E:$E,$A12)</f>
        <v>0.29969999999999997</v>
      </c>
      <c r="G10" s="20">
        <f>SUMIFS(Dataset!R:R,Dataset!$E:$E,$A12)</f>
        <v>-5.0000000000000001E-3</v>
      </c>
      <c r="H10" s="17">
        <f>SUMIFS(Dataset!R:R,Dataset!$Y:$Y,$A12)</f>
        <v>0</v>
      </c>
      <c r="I10" s="14">
        <f t="shared" ref="I10:I15" si="0">+J10/F10</f>
        <v>6.9593577135625395</v>
      </c>
      <c r="J10" s="17">
        <f>SUMIFS(Dataset!W:W,Dataset!$E:$E,$A12)</f>
        <v>2.085719506754693</v>
      </c>
      <c r="K10" s="94">
        <f>SUMIFS(Dataset!S:S,Dataset!$E:$E,$A12)</f>
        <v>6.6257263243854556</v>
      </c>
      <c r="L10" s="17">
        <f>SUMIFS(Dataset!U:U,Dataset!$E:$E,$A12)</f>
        <v>0</v>
      </c>
    </row>
    <row r="11" spans="1:23" ht="16.5" x14ac:dyDescent="0.2">
      <c r="A11" t="s">
        <v>125</v>
      </c>
      <c r="E11" s="18" t="s">
        <v>157</v>
      </c>
      <c r="F11" s="19">
        <f>SUMIFS(Dataset!P:P,Dataset!$E:$E,$A13)</f>
        <v>1.5699999999999999E-2</v>
      </c>
      <c r="G11" s="20">
        <f>SUMIFS(Dataset!R:R,Dataset!$E:$E,$A13)</f>
        <v>9.9999999999999985E-3</v>
      </c>
      <c r="H11" s="17">
        <f>SUMIFS(Dataset!R:R,Dataset!$Y:$Y,$A13)</f>
        <v>0</v>
      </c>
      <c r="I11" s="14">
        <f t="shared" si="0"/>
        <v>2.1523049783283543</v>
      </c>
      <c r="J11" s="17">
        <f>SUMIFS(Dataset!W:W,Dataset!$E:$E,$A13)</f>
        <v>3.379118815975516E-2</v>
      </c>
      <c r="K11" s="94">
        <f>SUMIFS(Dataset!S:S,Dataset!$E:$E,$A13)</f>
        <v>8.4271857236630443E-2</v>
      </c>
      <c r="L11" s="17">
        <f>SUMIFS(Dataset!U:U,Dataset!$E:$E,$A13)</f>
        <v>0</v>
      </c>
    </row>
    <row r="12" spans="1:23" ht="16.5" x14ac:dyDescent="0.2">
      <c r="A12" t="s">
        <v>126</v>
      </c>
      <c r="E12" s="18" t="s">
        <v>159</v>
      </c>
      <c r="F12" s="19">
        <f>SUMIFS(Dataset!P:P,Dataset!$E:$E,$A14)</f>
        <v>0.23499999999999999</v>
      </c>
      <c r="G12" s="20">
        <f>SUMIFS(Dataset!R:R,Dataset!$E:$E,$A14)</f>
        <v>4.9999999999999992E-3</v>
      </c>
      <c r="H12" s="17">
        <f>SUMIFS(Dataset!R:R,Dataset!$Y:$Y,$A14)</f>
        <v>0</v>
      </c>
      <c r="I12" s="14">
        <f t="shared" si="0"/>
        <v>5.1406339793783671</v>
      </c>
      <c r="J12" s="17">
        <f>SUMIFS(Dataset!W:W,Dataset!$E:$E,$A14)</f>
        <v>1.2080489851539162</v>
      </c>
      <c r="K12" s="94">
        <f>SUMIFS(Dataset!S:S,Dataset!$E:$E,$A14)</f>
        <v>4.7016069698362291</v>
      </c>
      <c r="L12" s="17">
        <f>SUMIFS(Dataset!U:U,Dataset!$E:$E,$A14)</f>
        <v>0</v>
      </c>
    </row>
    <row r="13" spans="1:23" ht="16.5" x14ac:dyDescent="0.2">
      <c r="A13" t="s">
        <v>127</v>
      </c>
      <c r="E13" s="18" t="s">
        <v>158</v>
      </c>
      <c r="F13" s="19">
        <f>SUMIFS(Dataset!P:P,Dataset!$E:$E,$A15)</f>
        <v>0.17469999999999999</v>
      </c>
      <c r="G13" s="20">
        <f>SUMIFS(Dataset!R:R,Dataset!$E:$E,$A15)</f>
        <v>-1.9999999999999997E-2</v>
      </c>
      <c r="H13" s="17">
        <f>SUMIFS(Dataset!R:R,Dataset!$Y:$Y,$A15)</f>
        <v>0</v>
      </c>
      <c r="I13" s="14">
        <f t="shared" si="0"/>
        <v>4.3100079594223564</v>
      </c>
      <c r="J13" s="17">
        <f>SUMIFS(Dataset!W:W,Dataset!$E:$E,$A15)</f>
        <v>0.75295839051108571</v>
      </c>
      <c r="K13" s="94">
        <f>SUMIFS(Dataset!S:S,Dataset!$E:$E,$A15)</f>
        <v>3.1822211738521839</v>
      </c>
      <c r="L13" s="17">
        <f>SUMIFS(Dataset!U:U,Dataset!$E:$E,$A15)</f>
        <v>0</v>
      </c>
    </row>
    <row r="14" spans="1:23" ht="16.5" x14ac:dyDescent="0.2">
      <c r="A14" t="s">
        <v>128</v>
      </c>
      <c r="E14" s="18" t="s">
        <v>160</v>
      </c>
      <c r="F14" s="19">
        <f>SUMIFS(Dataset!P:P,Dataset!$E:$E,$A16)</f>
        <v>7.8100000000000003E-2</v>
      </c>
      <c r="G14" s="20">
        <f>SUMIFS(Dataset!R:R,Dataset!$E:$E,$A16)</f>
        <v>-0.03</v>
      </c>
      <c r="H14" s="17">
        <f>SUMIFS(Dataset!R:R,Dataset!$Y:$Y,$A16)</f>
        <v>0</v>
      </c>
      <c r="I14" s="14">
        <f t="shared" si="0"/>
        <v>3.2431429164433965</v>
      </c>
      <c r="J14" s="17">
        <f>SUMIFS(Dataset!W:W,Dataset!$E:$E,$A16)</f>
        <v>0.25328946177422929</v>
      </c>
      <c r="K14" s="94">
        <f>SUMIFS(Dataset!S:S,Dataset!$E:$E,$A16)</f>
        <v>2.4417480078156704</v>
      </c>
      <c r="L14" s="17">
        <f>SUMIFS(Dataset!U:U,Dataset!$E:$E,$A16)</f>
        <v>0</v>
      </c>
    </row>
    <row r="15" spans="1:23" ht="16.5" x14ac:dyDescent="0.2">
      <c r="A15" t="s">
        <v>129</v>
      </c>
      <c r="E15" s="21" t="s">
        <v>163</v>
      </c>
      <c r="F15" s="22">
        <f>SUMIFS(Dataset!P:P,Dataset!$E:$E,$A17)</f>
        <v>0.16579999999999995</v>
      </c>
      <c r="G15" s="22">
        <f>SUMIFS(Dataset!R:R,Dataset!$E:$E,$A17)</f>
        <v>9.9999999999999534E-3</v>
      </c>
      <c r="H15" s="16">
        <f>SUMIFS(Dataset!R:R,Dataset!$Y:$Y,$A17)</f>
        <v>0</v>
      </c>
      <c r="I15" s="16">
        <f t="shared" si="0"/>
        <v>1.6737622709118127</v>
      </c>
      <c r="J15" s="16">
        <f>SUMIFS(Dataset!W:W,Dataset!$E:$E,$A17)</f>
        <v>0.27750978451717845</v>
      </c>
      <c r="K15" s="95">
        <f>SUMIFS(Dataset!S:S,Dataset!$E:$E,$A17)</f>
        <v>0.8638077513055149</v>
      </c>
      <c r="L15" s="16">
        <f>SUMIFS(Dataset!U:U,Dataset!$E:$E,$A17)</f>
        <v>0</v>
      </c>
    </row>
    <row r="16" spans="1:23" ht="16.5" x14ac:dyDescent="0.2">
      <c r="A16" t="s">
        <v>130</v>
      </c>
      <c r="E16" s="23" t="s">
        <v>147</v>
      </c>
      <c r="F16" s="24">
        <f>SUM(F9:F15)</f>
        <v>0.99999999999999978</v>
      </c>
      <c r="G16" s="25">
        <f>SUM(G9:G15)</f>
        <v>-4.0000000000000042E-2</v>
      </c>
      <c r="H16" s="26">
        <f>SUM(H9:H15)</f>
        <v>0</v>
      </c>
      <c r="I16" s="26">
        <f>+J16</f>
        <v>4.9022290557769681</v>
      </c>
      <c r="J16" s="26">
        <f>SUM(J9:J15)</f>
        <v>4.9022290557769681</v>
      </c>
      <c r="K16" s="98">
        <f>SUM(K9:K15)</f>
        <v>19.150574343216768</v>
      </c>
      <c r="L16" s="26">
        <f>SUM(L9:L15)</f>
        <v>0</v>
      </c>
    </row>
    <row r="17" spans="1:22" x14ac:dyDescent="0.2">
      <c r="A17" t="s">
        <v>131</v>
      </c>
    </row>
    <row r="20" spans="1:22" ht="20.25" x14ac:dyDescent="0.3">
      <c r="E20" s="93" t="s">
        <v>166</v>
      </c>
      <c r="L20" s="93" t="s">
        <v>168</v>
      </c>
    </row>
    <row r="22" spans="1:22" ht="16.5" x14ac:dyDescent="0.3">
      <c r="E22" s="27" t="s">
        <v>164</v>
      </c>
      <c r="F22" s="28" t="s">
        <v>154</v>
      </c>
      <c r="G22" s="28" t="s">
        <v>155</v>
      </c>
      <c r="H22" s="28" t="s">
        <v>156</v>
      </c>
      <c r="I22" s="27" t="s">
        <v>4</v>
      </c>
      <c r="J22" s="28" t="s">
        <v>6</v>
      </c>
      <c r="L22" s="103" t="s">
        <v>169</v>
      </c>
      <c r="M22" s="132" t="s">
        <v>170</v>
      </c>
      <c r="N22" s="132"/>
      <c r="O22" s="104" t="s">
        <v>139</v>
      </c>
      <c r="P22" s="104" t="s">
        <v>171</v>
      </c>
      <c r="Q22" s="104" t="s">
        <v>154</v>
      </c>
      <c r="R22" s="104" t="s">
        <v>155</v>
      </c>
      <c r="S22" s="103" t="s">
        <v>4</v>
      </c>
      <c r="T22" s="104" t="s">
        <v>5</v>
      </c>
      <c r="U22" s="103" t="s">
        <v>6</v>
      </c>
      <c r="V22" s="104" t="s">
        <v>7</v>
      </c>
    </row>
    <row r="23" spans="1:22" ht="16.5" x14ac:dyDescent="0.2">
      <c r="E23" s="18" t="s">
        <v>132</v>
      </c>
      <c r="F23" s="19">
        <f>+SUMIFS(Dataset!$P:$P,Dataset!$F:$F,display_IR!$E23)</f>
        <v>3.1E-2</v>
      </c>
      <c r="G23" s="20">
        <f>SUMIFS(Dataset!$R:$R,Dataset!$E:$E,$E23)</f>
        <v>0</v>
      </c>
      <c r="H23" s="17">
        <f>SUMIFS(Dataset!Y:Y,Dataset!$E:$E,$E23)</f>
        <v>0</v>
      </c>
      <c r="I23" s="17">
        <f>SUMIFS(Dataset!S:S,Dataset!$E:$E,$E23)</f>
        <v>0</v>
      </c>
      <c r="J23" s="19">
        <f>SUMIFS(Dataset!U:U,Dataset!$E:$E,$E23)</f>
        <v>0</v>
      </c>
      <c r="L23" s="99">
        <v>1</v>
      </c>
      <c r="M23" s="131" t="str">
        <f>+INDEX(Dataset!D:D,MATCH(LARGE(Dataset!$P:$P,$L23),Dataset!$P:$P,0),0)</f>
        <v>URUGUA 8 1/2 03/15/28</v>
      </c>
      <c r="N23" s="131"/>
      <c r="O23" s="99" t="str">
        <f>+INDEX(Dataset!E:E,MATCH(LARGE(Dataset!$P:$P,$L23),Dataset!$P:$P,0),0)</f>
        <v>UR</v>
      </c>
      <c r="P23" s="100"/>
      <c r="Q23" s="101">
        <f>+INDEX(Dataset!P:P,MATCH(LARGE(Dataset!$P:$P,$L23),Dataset!$P:$P,0),0)</f>
        <v>0.15059999999999996</v>
      </c>
      <c r="R23" s="102">
        <f>+INDEX(Dataset!R:R,MATCH(LARGE(Dataset!$P:$P,$L23),Dataset!$P:$P,0),0)</f>
        <v>9.9999999999999534E-3</v>
      </c>
      <c r="S23" s="99">
        <f>+INDEX(Dataset!S:S,MATCH(LARGE(Dataset!$P:$P,$L23),Dataset!$P:$P,0),0)</f>
        <v>0.50030372795545008</v>
      </c>
      <c r="T23" s="99">
        <f>+INDEX(Dataset!T:T,MATCH(LARGE(Dataset!$P:$P,$L23),Dataset!$P:$P,0),0)</f>
        <v>0</v>
      </c>
      <c r="U23" s="99">
        <f>+INDEX(Dataset!U:U,MATCH(LARGE(Dataset!$P:$P,$L23),Dataset!$P:$P,0),0)</f>
        <v>0</v>
      </c>
      <c r="V23" s="107">
        <f>+INDEX(Dataset!V:V,MATCH(LARGE(Dataset!$P:$P,$L23),Dataset!$P:$P,0),0)</f>
        <v>1.2402687143933211</v>
      </c>
    </row>
    <row r="24" spans="1:22" ht="16.5" x14ac:dyDescent="0.2">
      <c r="E24" s="18" t="s">
        <v>133</v>
      </c>
      <c r="F24" s="19">
        <f>+SUMIFS(Dataset!$P:$P,Dataset!$F:$F,display_IR!$E24)</f>
        <v>0.29969999999999997</v>
      </c>
      <c r="G24" s="20">
        <f>SUMIFS(Dataset!$R:$R,Dataset!$E:$E,$E24)</f>
        <v>0</v>
      </c>
      <c r="H24" s="17">
        <f>SUMIFS(Dataset!Y:Y,Dataset!$E:$E,$E24)</f>
        <v>0</v>
      </c>
      <c r="I24" s="17">
        <f>SUMIFS(Dataset!S:S,Dataset!$E:$E,$E24)</f>
        <v>0</v>
      </c>
      <c r="J24" s="19">
        <f>SUMIFS(Dataset!U:U,Dataset!$E:$E,$E24)</f>
        <v>0</v>
      </c>
      <c r="L24" s="99">
        <v>2</v>
      </c>
      <c r="M24" s="131" t="str">
        <f>+INDEX(Dataset!D:D,MATCH(LARGE(Dataset!$P:$P,$L24),Dataset!$P:$P,0),0)</f>
        <v>BLTN 0 07/01/20</v>
      </c>
      <c r="N24" s="131"/>
      <c r="O24" s="99" t="str">
        <f>+INDEX(Dataset!E:E,MATCH(LARGE(Dataset!$P:$P,$L24),Dataset!$P:$P,0),0)</f>
        <v>BR</v>
      </c>
      <c r="P24" s="100"/>
      <c r="Q24" s="101">
        <f>+INDEX(Dataset!P:P,MATCH(LARGE(Dataset!$P:$P,$L24),Dataset!$P:$P,0),0)</f>
        <v>4.6199999999999998E-2</v>
      </c>
      <c r="R24" s="102">
        <f>+INDEX(Dataset!R:R,MATCH(LARGE(Dataset!$P:$P,$L24),Dataset!$P:$P,0),0)</f>
        <v>0</v>
      </c>
      <c r="S24" s="99">
        <f>+INDEX(Dataset!S:S,MATCH(LARGE(Dataset!$P:$P,$L24),Dataset!$P:$P,0),0)</f>
        <v>0.43191315744419645</v>
      </c>
      <c r="T24" s="99">
        <f>+INDEX(Dataset!T:T,MATCH(LARGE(Dataset!$P:$P,$L24),Dataset!$P:$P,0),0)</f>
        <v>0</v>
      </c>
      <c r="U24" s="99">
        <f>+INDEX(Dataset!U:U,MATCH(LARGE(Dataset!$P:$P,$L24),Dataset!$P:$P,0),0)</f>
        <v>0</v>
      </c>
      <c r="V24" s="107">
        <f>+INDEX(Dataset!V:V,MATCH(LARGE(Dataset!$P:$P,$L24),Dataset!$P:$P,0),0)</f>
        <v>9.8574380770588412</v>
      </c>
    </row>
    <row r="25" spans="1:22" ht="16.5" x14ac:dyDescent="0.2">
      <c r="E25" s="18" t="s">
        <v>134</v>
      </c>
      <c r="F25" s="19">
        <f>+SUMIFS(Dataset!$P:$P,Dataset!$F:$F,display_IR!$E25)</f>
        <v>1.5699999999999999E-2</v>
      </c>
      <c r="G25" s="20">
        <f>SUMIFS(Dataset!$R:$R,Dataset!$E:$E,$E25)</f>
        <v>0</v>
      </c>
      <c r="H25" s="17">
        <f>SUMIFS(Dataset!Y:Y,Dataset!$E:$E,$E25)</f>
        <v>0</v>
      </c>
      <c r="I25" s="17">
        <f>SUMIFS(Dataset!S:S,Dataset!$E:$E,$E25)</f>
        <v>0</v>
      </c>
      <c r="J25" s="19">
        <f>SUMIFS(Dataset!U:U,Dataset!$E:$E,$E25)</f>
        <v>0</v>
      </c>
      <c r="L25" s="99">
        <v>3</v>
      </c>
      <c r="M25" s="131" t="str">
        <f>+INDEX(Dataset!D:D,MATCH(LARGE(Dataset!$P:$P,$L25),Dataset!$P:$P,0),0)</f>
        <v>BNTNF 10 01/01/23</v>
      </c>
      <c r="N25" s="131"/>
      <c r="O25" s="99" t="str">
        <f>+INDEX(Dataset!E:E,MATCH(LARGE(Dataset!$P:$P,$L25),Dataset!$P:$P,0),0)</f>
        <v>BR</v>
      </c>
      <c r="P25" s="100"/>
      <c r="Q25" s="101">
        <f>+INDEX(Dataset!P:P,MATCH(LARGE(Dataset!$P:$P,$L25),Dataset!$P:$P,0),0)</f>
        <v>4.0899999999999999E-2</v>
      </c>
      <c r="R25" s="102">
        <f>+INDEX(Dataset!R:R,MATCH(LARGE(Dataset!$P:$P,$L25),Dataset!$P:$P,0),0)</f>
        <v>0</v>
      </c>
      <c r="S25" s="99">
        <f>+INDEX(Dataset!S:S,MATCH(LARGE(Dataset!$P:$P,$L25),Dataset!$P:$P,0),0)</f>
        <v>0.72144539179509082</v>
      </c>
      <c r="T25" s="99">
        <f>+INDEX(Dataset!T:T,MATCH(LARGE(Dataset!$P:$P,$L25),Dataset!$P:$P,0),0)</f>
        <v>0</v>
      </c>
      <c r="U25" s="99">
        <f>+INDEX(Dataset!U:U,MATCH(LARGE(Dataset!$P:$P,$L25),Dataset!$P:$P,0),0)</f>
        <v>0</v>
      </c>
      <c r="V25" s="107">
        <f>+INDEX(Dataset!V:V,MATCH(LARGE(Dataset!$P:$P,$L25),Dataset!$P:$P,0),0)</f>
        <v>7.2829053690183283</v>
      </c>
    </row>
    <row r="26" spans="1:22" ht="16.5" x14ac:dyDescent="0.2">
      <c r="E26" s="18" t="s">
        <v>135</v>
      </c>
      <c r="F26" s="19">
        <f>+SUMIFS(Dataset!$P:$P,Dataset!$F:$F,display_IR!$E26)</f>
        <v>0.23499999999999999</v>
      </c>
      <c r="G26" s="20">
        <f>SUMIFS(Dataset!$R:$R,Dataset!$E:$E,$E26)</f>
        <v>0</v>
      </c>
      <c r="H26" s="17">
        <f>SUMIFS(Dataset!Y:Y,Dataset!$E:$E,$E26)</f>
        <v>0</v>
      </c>
      <c r="I26" s="17">
        <f>SUMIFS(Dataset!S:S,Dataset!$E:$E,$E26)</f>
        <v>0</v>
      </c>
      <c r="J26" s="19">
        <f>SUMIFS(Dataset!U:U,Dataset!$E:$E,$E26)</f>
        <v>0</v>
      </c>
      <c r="L26" s="99">
        <v>4</v>
      </c>
      <c r="M26" s="131" t="str">
        <f>+INDEX(Dataset!D:D,MATCH(LARGE(Dataset!$P:$P,$L26),Dataset!$P:$P,0),0)</f>
        <v>COLOM 7 3/4 04/14/21</v>
      </c>
      <c r="N26" s="131"/>
      <c r="O26" s="99" t="str">
        <f>+INDEX(Dataset!E:E,MATCH(LARGE(Dataset!$P:$P,$L26),Dataset!$P:$P,0),0)</f>
        <v>CO</v>
      </c>
      <c r="P26" s="100"/>
      <c r="Q26" s="101">
        <f>+INDEX(Dataset!P:P,MATCH(LARGE(Dataset!$P:$P,$L26),Dataset!$P:$P,0),0)</f>
        <v>3.7900000000000003E-2</v>
      </c>
      <c r="R26" s="102">
        <f>+INDEX(Dataset!R:R,MATCH(LARGE(Dataset!$P:$P,$L26),Dataset!$P:$P,0),0)</f>
        <v>0</v>
      </c>
      <c r="S26" s="99">
        <f>+INDEX(Dataset!S:S,MATCH(LARGE(Dataset!$P:$P,$L26),Dataset!$P:$P,0),0)</f>
        <v>0.45289341315725418</v>
      </c>
      <c r="T26" s="99">
        <f>+INDEX(Dataset!T:T,MATCH(LARGE(Dataset!$P:$P,$L26),Dataset!$P:$P,0),0)</f>
        <v>0</v>
      </c>
      <c r="U26" s="99">
        <f>+INDEX(Dataset!U:U,MATCH(LARGE(Dataset!$P:$P,$L26),Dataset!$P:$P,0),0)</f>
        <v>0</v>
      </c>
      <c r="V26" s="107">
        <f>+INDEX(Dataset!V:V,MATCH(LARGE(Dataset!$P:$P,$L26),Dataset!$P:$P,0),0)</f>
        <v>7.5647811379369969</v>
      </c>
    </row>
    <row r="27" spans="1:22" ht="16.5" x14ac:dyDescent="0.2">
      <c r="E27" s="18" t="s">
        <v>136</v>
      </c>
      <c r="F27" s="19">
        <f>+SUMIFS(Dataset!$P:$P,Dataset!$F:$F,display_IR!$E27)</f>
        <v>0.17469999999999999</v>
      </c>
      <c r="G27" s="20">
        <f>SUMIFS(Dataset!$R:$R,Dataset!$E:$E,$E27)</f>
        <v>0</v>
      </c>
      <c r="H27" s="17">
        <f>SUMIFS(Dataset!Y:Y,Dataset!$E:$E,$E27)</f>
        <v>0</v>
      </c>
      <c r="I27" s="17">
        <f>SUMIFS(Dataset!S:S,Dataset!$E:$E,$E27)</f>
        <v>0</v>
      </c>
      <c r="J27" s="19">
        <f>SUMIFS(Dataset!U:U,Dataset!$E:$E,$E27)</f>
        <v>0</v>
      </c>
      <c r="L27" s="99">
        <v>5</v>
      </c>
      <c r="M27" s="131" t="str">
        <f>+INDEX(Dataset!D:D,MATCH(LARGE(Dataset!$P:$P,$L27),Dataset!$P:$P,0),0)</f>
        <v>COLTES 7 06/30/32</v>
      </c>
      <c r="N27" s="131"/>
      <c r="O27" s="99" t="str">
        <f>+INDEX(Dataset!E:E,MATCH(LARGE(Dataset!$P:$P,$L27),Dataset!$P:$P,0),0)</f>
        <v>CO</v>
      </c>
      <c r="P27" s="100"/>
      <c r="Q27" s="101">
        <f>+INDEX(Dataset!P:P,MATCH(LARGE(Dataset!$P:$P,$L27),Dataset!$P:$P,0),0)</f>
        <v>3.5099999999999999E-2</v>
      </c>
      <c r="R27" s="102">
        <f>+INDEX(Dataset!R:R,MATCH(LARGE(Dataset!$P:$P,$L27),Dataset!$P:$P,0),0)</f>
        <v>0</v>
      </c>
      <c r="S27" s="99">
        <f>+INDEX(Dataset!S:S,MATCH(LARGE(Dataset!$P:$P,$L27),Dataset!$P:$P,0),0)</f>
        <v>0.13655795168115503</v>
      </c>
      <c r="T27" s="99">
        <f>+INDEX(Dataset!T:T,MATCH(LARGE(Dataset!$P:$P,$L27),Dataset!$P:$P,0),0)</f>
        <v>0</v>
      </c>
      <c r="U27" s="99">
        <f>+INDEX(Dataset!U:U,MATCH(LARGE(Dataset!$P:$P,$L27),Dataset!$P:$P,0),0)</f>
        <v>0</v>
      </c>
      <c r="V27" s="107">
        <f>+INDEX(Dataset!V:V,MATCH(LARGE(Dataset!$P:$P,$L27),Dataset!$P:$P,0),0)</f>
        <v>5.2862819802622587</v>
      </c>
    </row>
    <row r="28" spans="1:22" ht="16.5" x14ac:dyDescent="0.2">
      <c r="E28" s="18" t="s">
        <v>137</v>
      </c>
      <c r="F28" s="19">
        <f>+SUMIFS(Dataset!$P:$P,Dataset!$F:$F,display_IR!$E28)</f>
        <v>7.8100000000000003E-2</v>
      </c>
      <c r="G28" s="20">
        <f>SUMIFS(Dataset!$R:$R,Dataset!$E:$E,$E28)</f>
        <v>0</v>
      </c>
      <c r="H28" s="17">
        <f>SUMIFS(Dataset!Y:Y,Dataset!$E:$E,$E28)</f>
        <v>0</v>
      </c>
      <c r="I28" s="17">
        <f>SUMIFS(Dataset!S:S,Dataset!$E:$E,$E28)</f>
        <v>0</v>
      </c>
      <c r="J28" s="19">
        <f>SUMIFS(Dataset!U:U,Dataset!$E:$E,$E28)</f>
        <v>0</v>
      </c>
      <c r="L28" s="99">
        <v>6</v>
      </c>
      <c r="M28" s="131" t="str">
        <f>+INDEX(Dataset!D:D,MATCH(LARGE(Dataset!$P:$P,$L28),Dataset!$P:$P,0),0)</f>
        <v>COLOM 4 3/8 03/21/23</v>
      </c>
      <c r="N28" s="131"/>
      <c r="O28" s="99" t="str">
        <f>+INDEX(Dataset!E:E,MATCH(LARGE(Dataset!$P:$P,$L28),Dataset!$P:$P,0),0)</f>
        <v>CO</v>
      </c>
      <c r="P28" s="100"/>
      <c r="Q28" s="101">
        <f>+INDEX(Dataset!P:P,MATCH(LARGE(Dataset!$P:$P,$L28),Dataset!$P:$P,0),0)</f>
        <v>3.5000000000000003E-2</v>
      </c>
      <c r="R28" s="102">
        <f>+INDEX(Dataset!R:R,MATCH(LARGE(Dataset!$P:$P,$L28),Dataset!$P:$P,0),0)</f>
        <v>0</v>
      </c>
      <c r="S28" s="99">
        <f>+INDEX(Dataset!S:S,MATCH(LARGE(Dataset!$P:$P,$L28),Dataset!$P:$P,0),0)</f>
        <v>0.15324827731158552</v>
      </c>
      <c r="T28" s="99">
        <f>+INDEX(Dataset!T:T,MATCH(LARGE(Dataset!$P:$P,$L28),Dataset!$P:$P,0),0)</f>
        <v>0</v>
      </c>
      <c r="U28" s="99">
        <f>+INDEX(Dataset!U:U,MATCH(LARGE(Dataset!$P:$P,$L28),Dataset!$P:$P,0),0)</f>
        <v>0</v>
      </c>
      <c r="V28" s="107">
        <f>+INDEX(Dataset!V:V,MATCH(LARGE(Dataset!$P:$P,$L28),Dataset!$P:$P,0),0)</f>
        <v>8.33498681684339</v>
      </c>
    </row>
    <row r="29" spans="1:22" ht="16.5" x14ac:dyDescent="0.2">
      <c r="E29" s="21" t="s">
        <v>138</v>
      </c>
      <c r="F29" s="35">
        <f>+SUMIFS(Dataset!$P:$P,Dataset!$F:$F,display_IR!$E29)</f>
        <v>0.16579999999999995</v>
      </c>
      <c r="G29" s="35">
        <f>SUMIFS(Dataset!$R:$R,Dataset!$E:$E,$E29)</f>
        <v>0</v>
      </c>
      <c r="H29" s="16">
        <f>SUMIFS(Dataset!Y:Y,Dataset!$E:$E,$E29)</f>
        <v>0</v>
      </c>
      <c r="I29" s="16">
        <f>SUMIFS(Dataset!S:S,Dataset!$E:$E,$E29)</f>
        <v>0</v>
      </c>
      <c r="J29" s="22">
        <f>SUMIFS(Dataset!U:U,Dataset!$E:$E,$E29)</f>
        <v>0</v>
      </c>
      <c r="L29" s="99">
        <v>7</v>
      </c>
      <c r="M29" s="131" t="str">
        <f>+INDEX(Dataset!D:D,MATCH(LARGE(Dataset!$P:$P,$L29),Dataset!$P:$P,0),0)</f>
        <v>PERUGB 5.7 08/12/24</v>
      </c>
      <c r="N29" s="131"/>
      <c r="O29" s="99" t="str">
        <f>+INDEX(Dataset!E:E,MATCH(LARGE(Dataset!$P:$P,$L29),Dataset!$P:$P,0),0)</f>
        <v>PE</v>
      </c>
      <c r="P29" s="100"/>
      <c r="Q29" s="101">
        <f>+INDEX(Dataset!P:P,MATCH(LARGE(Dataset!$P:$P,$L29),Dataset!$P:$P,0),0)</f>
        <v>3.4500000000000003E-2</v>
      </c>
      <c r="R29" s="102">
        <f>+INDEX(Dataset!R:R,MATCH(LARGE(Dataset!$P:$P,$L29),Dataset!$P:$P,0),0)</f>
        <v>0</v>
      </c>
      <c r="S29" s="99">
        <f>+INDEX(Dataset!S:S,MATCH(LARGE(Dataset!$P:$P,$L29),Dataset!$P:$P,0),0)</f>
        <v>0.8232087504695248</v>
      </c>
      <c r="T29" s="99">
        <f>+INDEX(Dataset!T:T,MATCH(LARGE(Dataset!$P:$P,$L29),Dataset!$P:$P,0),0)</f>
        <v>0</v>
      </c>
      <c r="U29" s="99">
        <f>+INDEX(Dataset!U:U,MATCH(LARGE(Dataset!$P:$P,$L29),Dataset!$P:$P,0),0)</f>
        <v>0</v>
      </c>
      <c r="V29" s="107">
        <f>+INDEX(Dataset!V:V,MATCH(LARGE(Dataset!$P:$P,$L29),Dataset!$P:$P,0),0)</f>
        <v>0.92621406642047877</v>
      </c>
    </row>
    <row r="30" spans="1:22" ht="16.5" x14ac:dyDescent="0.2">
      <c r="E30" s="23" t="s">
        <v>147</v>
      </c>
      <c r="F30" s="24">
        <f>SUM(F23:F29)</f>
        <v>0.99999999999999978</v>
      </c>
      <c r="G30" s="25">
        <f>SUM(G23:G29)</f>
        <v>0</v>
      </c>
      <c r="H30" s="26">
        <f>SUM(H23:H29)</f>
        <v>0</v>
      </c>
      <c r="I30" s="23">
        <f>SUM(I23:I29)</f>
        <v>0</v>
      </c>
      <c r="J30" s="24">
        <f>SUM(J23:J29)</f>
        <v>0</v>
      </c>
      <c r="L30" s="99">
        <v>8</v>
      </c>
      <c r="M30" s="131" t="str">
        <f>+INDEX(Dataset!D:D,MATCH(LARGE(Dataset!$P:$P,$L30),Dataset!$P:$P,0),0)</f>
        <v>MBONO 7 3/4 11/23/34</v>
      </c>
      <c r="N30" s="131"/>
      <c r="O30" s="99" t="str">
        <f>+INDEX(Dataset!E:E,MATCH(LARGE(Dataset!$P:$P,$L30),Dataset!$P:$P,0),0)</f>
        <v>MX</v>
      </c>
      <c r="P30" s="100"/>
      <c r="Q30" s="101">
        <f>+INDEX(Dataset!P:P,MATCH(LARGE(Dataset!$P:$P,$L30),Dataset!$P:$P,0),0)</f>
        <v>3.3300000000000003E-2</v>
      </c>
      <c r="R30" s="102">
        <f>+INDEX(Dataset!R:R,MATCH(LARGE(Dataset!$P:$P,$L30),Dataset!$P:$P,0),0)</f>
        <v>0</v>
      </c>
      <c r="S30" s="99">
        <f>+INDEX(Dataset!S:S,MATCH(LARGE(Dataset!$P:$P,$L30),Dataset!$P:$P,0),0)</f>
        <v>0.26398157673471034</v>
      </c>
      <c r="T30" s="99">
        <f>+INDEX(Dataset!T:T,MATCH(LARGE(Dataset!$P:$P,$L30),Dataset!$P:$P,0),0)</f>
        <v>0</v>
      </c>
      <c r="U30" s="99">
        <f>+INDEX(Dataset!U:U,MATCH(LARGE(Dataset!$P:$P,$L30),Dataset!$P:$P,0),0)</f>
        <v>0</v>
      </c>
      <c r="V30" s="107">
        <f>+INDEX(Dataset!V:V,MATCH(LARGE(Dataset!$P:$P,$L30),Dataset!$P:$P,0),0)</f>
        <v>1.3935431018408506</v>
      </c>
    </row>
    <row r="31" spans="1:22" x14ac:dyDescent="0.2">
      <c r="L31" s="99">
        <v>9</v>
      </c>
      <c r="M31" s="131" t="str">
        <f>+INDEX(Dataset!D:D,MATCH(LARGE(Dataset!$P:$P,$L31),Dataset!$P:$P,0),0)</f>
        <v>MBONO 8 1/2 11/18/38</v>
      </c>
      <c r="N31" s="131"/>
      <c r="O31" s="99" t="str">
        <f>+INDEX(Dataset!E:E,MATCH(LARGE(Dataset!$P:$P,$L31),Dataset!$P:$P,0),0)</f>
        <v>MX</v>
      </c>
      <c r="P31" s="100"/>
      <c r="Q31" s="101">
        <f>+INDEX(Dataset!P:P,MATCH(LARGE(Dataset!$P:$P,$L31),Dataset!$P:$P,0),0)</f>
        <v>3.32E-2</v>
      </c>
      <c r="R31" s="102">
        <f>+INDEX(Dataset!R:R,MATCH(LARGE(Dataset!$P:$P,$L31),Dataset!$P:$P,0),0)</f>
        <v>0</v>
      </c>
      <c r="S31" s="99">
        <f>+INDEX(Dataset!S:S,MATCH(LARGE(Dataset!$P:$P,$L31),Dataset!$P:$P,0),0)</f>
        <v>0.45726377089517645</v>
      </c>
      <c r="T31" s="99">
        <f>+INDEX(Dataset!T:T,MATCH(LARGE(Dataset!$P:$P,$L31),Dataset!$P:$P,0),0)</f>
        <v>0</v>
      </c>
      <c r="U31" s="99">
        <f>+INDEX(Dataset!U:U,MATCH(LARGE(Dataset!$P:$P,$L31),Dataset!$P:$P,0),0)</f>
        <v>0</v>
      </c>
      <c r="V31" s="107">
        <f>+INDEX(Dataset!V:V,MATCH(LARGE(Dataset!$P:$P,$L31),Dataset!$P:$P,0),0)</f>
        <v>4.5976162688953082</v>
      </c>
    </row>
    <row r="32" spans="1:22" x14ac:dyDescent="0.2">
      <c r="L32" s="99">
        <v>10</v>
      </c>
      <c r="M32" s="131" t="str">
        <f>+INDEX(Dataset!D:D,MATCH(LARGE(Dataset!$P:$P,$L32),Dataset!$P:$P,0),0)</f>
        <v>BNTNF 10 01/01/21</v>
      </c>
      <c r="N32" s="131"/>
      <c r="O32" s="99" t="str">
        <f>+INDEX(Dataset!E:E,MATCH(LARGE(Dataset!$P:$P,$L32),Dataset!$P:$P,0),0)</f>
        <v>BR</v>
      </c>
      <c r="P32" s="100"/>
      <c r="Q32" s="101">
        <f>+INDEX(Dataset!P:P,MATCH(LARGE(Dataset!$P:$P,$L32),Dataset!$P:$P,0),0)</f>
        <v>3.3099999999999997E-2</v>
      </c>
      <c r="R32" s="102">
        <f>+INDEX(Dataset!R:R,MATCH(LARGE(Dataset!$P:$P,$L32),Dataset!$P:$P,0),0)</f>
        <v>0</v>
      </c>
      <c r="S32" s="99">
        <f>+INDEX(Dataset!S:S,MATCH(LARGE(Dataset!$P:$P,$L32),Dataset!$P:$P,0),0)</f>
        <v>0.32928718159426273</v>
      </c>
      <c r="T32" s="99">
        <f>+INDEX(Dataset!T:T,MATCH(LARGE(Dataset!$P:$P,$L32),Dataset!$P:$P,0),0)</f>
        <v>0</v>
      </c>
      <c r="U32" s="99">
        <f>+INDEX(Dataset!U:U,MATCH(LARGE(Dataset!$P:$P,$L32),Dataset!$P:$P,0),0)</f>
        <v>0</v>
      </c>
      <c r="V32" s="107">
        <f>+INDEX(Dataset!V:V,MATCH(LARGE(Dataset!$P:$P,$L32),Dataset!$P:$P,0),0)</f>
        <v>4.3164419274770296</v>
      </c>
    </row>
    <row r="35" spans="12:22" ht="20.25" x14ac:dyDescent="0.3">
      <c r="L35" s="93" t="s">
        <v>172</v>
      </c>
    </row>
    <row r="37" spans="12:22" x14ac:dyDescent="0.2">
      <c r="L37" s="103" t="s">
        <v>169</v>
      </c>
      <c r="M37" s="132" t="s">
        <v>170</v>
      </c>
      <c r="N37" s="132"/>
      <c r="O37" s="104" t="s">
        <v>139</v>
      </c>
      <c r="P37" s="104" t="s">
        <v>171</v>
      </c>
      <c r="Q37" s="104" t="s">
        <v>154</v>
      </c>
      <c r="R37" s="104" t="s">
        <v>155</v>
      </c>
      <c r="S37" s="103" t="s">
        <v>4</v>
      </c>
      <c r="T37" s="104" t="s">
        <v>5</v>
      </c>
      <c r="U37" s="103" t="s">
        <v>6</v>
      </c>
      <c r="V37" s="104" t="s">
        <v>7</v>
      </c>
    </row>
    <row r="38" spans="12:22" x14ac:dyDescent="0.2">
      <c r="L38" s="99">
        <v>1</v>
      </c>
      <c r="M38" s="131" t="str">
        <f>+INDEX(Dataset!D:D,MATCH(LARGE(Dataset!$S:$S,$L38),Dataset!$S:$S,0),0)</f>
        <v>BLTN 0 10/01/19</v>
      </c>
      <c r="N38" s="131"/>
      <c r="O38" s="99" t="str">
        <f>+INDEX(Dataset!E:E,MATCH(LARGE(Dataset!$S:$S,$L38),Dataset!$S:$S,0),0)</f>
        <v>BR</v>
      </c>
      <c r="P38" s="99" t="str">
        <f>+INDEX(Dataset!H:H,MATCH(LARGE(Dataset!$S:$S,$L38),Dataset!$S:$S,0),0)</f>
        <v>A-</v>
      </c>
      <c r="Q38" s="105">
        <f>+INDEX(Dataset!P:P,MATCH(LARGE(Dataset!$S:$S,$L38),Dataset!$S:$S,0),0)</f>
        <v>1.4200000000000001E-2</v>
      </c>
      <c r="R38" s="105">
        <f>+INDEX(Dataset!R:R,MATCH(LARGE(Dataset!$S:$S,$L38),Dataset!$S:$S,0),0)</f>
        <v>0</v>
      </c>
      <c r="S38" s="105">
        <f>+INDEX(Dataset!S:S,MATCH(LARGE(Dataset!$S:$S,$L38),Dataset!$S:$S,0),0)</f>
        <v>0.8811747976335973</v>
      </c>
      <c r="T38" s="105">
        <f>+INDEX(Dataset!T:T,MATCH(LARGE(Dataset!$S:$S,$L38),Dataset!$S:$S,0),0)</f>
        <v>0</v>
      </c>
      <c r="U38" s="105">
        <f>+INDEX(Dataset!U:U,MATCH(LARGE(Dataset!$S:$S,$L38),Dataset!$S:$S,0),0)</f>
        <v>0</v>
      </c>
      <c r="V38" s="106">
        <f>+INDEX(Dataset!V:V,MATCH(LARGE(Dataset!$S:$S,$L38),Dataset!$S:$S,0),0)</f>
        <v>7.9957846600904698</v>
      </c>
    </row>
    <row r="39" spans="12:22" x14ac:dyDescent="0.2">
      <c r="L39" s="99">
        <v>2</v>
      </c>
      <c r="M39" s="131" t="str">
        <f>+INDEX(Dataset!D:D,MATCH(LARGE(Dataset!$S:$S,$L39),Dataset!$S:$S,0),0)</f>
        <v>BLTN 0 07/01/21</v>
      </c>
      <c r="N39" s="131"/>
      <c r="O39" s="99" t="str">
        <f>+INDEX(Dataset!E:E,MATCH(LARGE(Dataset!$P:$P,$L39),Dataset!$P:$P,0),0)</f>
        <v>BR</v>
      </c>
      <c r="P39" s="99" t="str">
        <f>+INDEX(Dataset!H:H,MATCH(LARGE(Dataset!$S:$S,$L39),Dataset!$S:$S,0),0)</f>
        <v>A-</v>
      </c>
      <c r="Q39" s="105">
        <f>+INDEX(Dataset!P:P,MATCH(LARGE(Dataset!$S:$S,$L39),Dataset!$S:$S,0),0)</f>
        <v>1.6E-2</v>
      </c>
      <c r="R39" s="102">
        <f>+INDEX(Dataset!R:R,MATCH(LARGE(Dataset!$P:$P,$L39),Dataset!$P:$P,0),0)</f>
        <v>0</v>
      </c>
      <c r="S39" s="105">
        <f>+INDEX(Dataset!S:S,MATCH(LARGE(Dataset!$S:$S,$L39),Dataset!$S:$S,0),0)</f>
        <v>0.8783020372490854</v>
      </c>
      <c r="T39" s="105">
        <f>+INDEX(Dataset!T:T,MATCH(LARGE(Dataset!$S:$S,$L39),Dataset!$S:$S,0),0)</f>
        <v>0</v>
      </c>
      <c r="U39" s="105">
        <f>+INDEX(Dataset!U:U,MATCH(LARGE(Dataset!$S:$S,$L39),Dataset!$S:$S,0),0)</f>
        <v>0</v>
      </c>
      <c r="V39" s="106">
        <f>+INDEX(Dataset!V:V,MATCH(LARGE(Dataset!$S:$S,$L39),Dataset!$S:$S,0),0)</f>
        <v>9.9990938871643404</v>
      </c>
    </row>
    <row r="40" spans="12:22" x14ac:dyDescent="0.2">
      <c r="L40" s="99">
        <v>3</v>
      </c>
      <c r="M40" s="131" t="str">
        <f>+INDEX(Dataset!D:D,MATCH(LARGE(Dataset!$S:$S,$L40),Dataset!$S:$S,0),0)</f>
        <v>COLTES 7 3/4 09/18/30</v>
      </c>
      <c r="N40" s="131"/>
      <c r="O40" s="99" t="str">
        <f>+INDEX(Dataset!E:E,MATCH(LARGE(Dataset!$P:$P,$L40),Dataset!$P:$P,0),0)</f>
        <v>BR</v>
      </c>
      <c r="P40" s="99" t="str">
        <f>+INDEX(Dataset!H:H,MATCH(LARGE(Dataset!$S:$S,$L40),Dataset!$S:$S,0),0)</f>
        <v>AA</v>
      </c>
      <c r="Q40" s="105">
        <f>+INDEX(Dataset!P:P,MATCH(LARGE(Dataset!$S:$S,$L40),Dataset!$S:$S,0),0)</f>
        <v>2.6100000000000002E-2</v>
      </c>
      <c r="R40" s="102">
        <f>+INDEX(Dataset!R:R,MATCH(LARGE(Dataset!$P:$P,$L40),Dataset!$P:$P,0),0)</f>
        <v>0</v>
      </c>
      <c r="S40" s="105">
        <f>+INDEX(Dataset!S:S,MATCH(LARGE(Dataset!$S:$S,$L40),Dataset!$S:$S,0),0)</f>
        <v>0.86163739355833491</v>
      </c>
      <c r="T40" s="105">
        <f>+INDEX(Dataset!T:T,MATCH(LARGE(Dataset!$S:$S,$L40),Dataset!$S:$S,0),0)</f>
        <v>0</v>
      </c>
      <c r="U40" s="105">
        <f>+INDEX(Dataset!U:U,MATCH(LARGE(Dataset!$S:$S,$L40),Dataset!$S:$S,0),0)</f>
        <v>0</v>
      </c>
      <c r="V40" s="106">
        <f>+INDEX(Dataset!V:V,MATCH(LARGE(Dataset!$S:$S,$L40),Dataset!$S:$S,0),0)</f>
        <v>1.8632176030022096</v>
      </c>
    </row>
    <row r="41" spans="12:22" x14ac:dyDescent="0.2">
      <c r="L41" s="99">
        <v>4</v>
      </c>
      <c r="M41" s="131" t="str">
        <f>+INDEX(Dataset!D:D,MATCH(LARGE(Dataset!$S:$S,$L41),Dataset!$S:$S,0),0)</f>
        <v>PERUGB 5.7 08/12/24</v>
      </c>
      <c r="N41" s="131"/>
      <c r="O41" s="99" t="str">
        <f>+INDEX(Dataset!E:E,MATCH(LARGE(Dataset!$P:$P,$L41),Dataset!$P:$P,0),0)</f>
        <v>CO</v>
      </c>
      <c r="P41" s="99" t="str">
        <f>+INDEX(Dataset!H:H,MATCH(LARGE(Dataset!$S:$S,$L41),Dataset!$S:$S,0),0)</f>
        <v>AA+</v>
      </c>
      <c r="Q41" s="105">
        <f>+INDEX(Dataset!P:P,MATCH(LARGE(Dataset!$S:$S,$L41),Dataset!$S:$S,0),0)</f>
        <v>3.4500000000000003E-2</v>
      </c>
      <c r="R41" s="102">
        <f>+INDEX(Dataset!R:R,MATCH(LARGE(Dataset!$P:$P,$L41),Dataset!$P:$P,0),0)</f>
        <v>0</v>
      </c>
      <c r="S41" s="105">
        <f>+INDEX(Dataset!S:S,MATCH(LARGE(Dataset!$S:$S,$L41),Dataset!$S:$S,0),0)</f>
        <v>0.8232087504695248</v>
      </c>
      <c r="T41" s="105">
        <f>+INDEX(Dataset!T:T,MATCH(LARGE(Dataset!$S:$S,$L41),Dataset!$S:$S,0),0)</f>
        <v>0</v>
      </c>
      <c r="U41" s="105">
        <f>+INDEX(Dataset!U:U,MATCH(LARGE(Dataset!$S:$S,$L41),Dataset!$S:$S,0),0)</f>
        <v>0</v>
      </c>
      <c r="V41" s="106">
        <f>+INDEX(Dataset!V:V,MATCH(LARGE(Dataset!$S:$S,$L41),Dataset!$S:$S,0),0)</f>
        <v>0.92621406642047877</v>
      </c>
    </row>
    <row r="42" spans="12:22" x14ac:dyDescent="0.2">
      <c r="L42" s="99">
        <v>5</v>
      </c>
      <c r="M42" s="131" t="str">
        <f>+INDEX(Dataset!D:D,MATCH(LARGE(Dataset!$S:$S,$L42),Dataset!$S:$S,0),0)</f>
        <v>BRAZIL 12 1/2 01/05/22</v>
      </c>
      <c r="N42" s="131"/>
      <c r="O42" s="99" t="str">
        <f>+INDEX(Dataset!E:E,MATCH(LARGE(Dataset!$P:$P,$L42),Dataset!$P:$P,0),0)</f>
        <v>CO</v>
      </c>
      <c r="P42" s="99" t="str">
        <f>+INDEX(Dataset!H:H,MATCH(LARGE(Dataset!$S:$S,$L42),Dataset!$S:$S,0),0)</f>
        <v>A-</v>
      </c>
      <c r="Q42" s="105">
        <f>+INDEX(Dataset!P:P,MATCH(LARGE(Dataset!$S:$S,$L42),Dataset!$S:$S,0),0)</f>
        <v>8.0000000000000004E-4</v>
      </c>
      <c r="R42" s="102">
        <f>+INDEX(Dataset!R:R,MATCH(LARGE(Dataset!$P:$P,$L42),Dataset!$P:$P,0),0)</f>
        <v>0</v>
      </c>
      <c r="S42" s="105">
        <f>+INDEX(Dataset!S:S,MATCH(LARGE(Dataset!$S:$S,$L42),Dataset!$S:$S,0),0)</f>
        <v>0.76544648480349042</v>
      </c>
      <c r="T42" s="105">
        <f>+INDEX(Dataset!T:T,MATCH(LARGE(Dataset!$S:$S,$L42),Dataset!$S:$S,0),0)</f>
        <v>0</v>
      </c>
      <c r="U42" s="105">
        <f>+INDEX(Dataset!U:U,MATCH(LARGE(Dataset!$S:$S,$L42),Dataset!$S:$S,0),0)</f>
        <v>0</v>
      </c>
      <c r="V42" s="106">
        <f>+INDEX(Dataset!V:V,MATCH(LARGE(Dataset!$S:$S,$L42),Dataset!$S:$S,0),0)</f>
        <v>0.46814809248580391</v>
      </c>
    </row>
    <row r="43" spans="12:22" x14ac:dyDescent="0.2">
      <c r="L43" s="99">
        <v>6</v>
      </c>
      <c r="M43" s="131" t="str">
        <f>+INDEX(Dataset!D:D,MATCH(LARGE(Dataset!$S:$S,$L43),Dataset!$S:$S,0),0)</f>
        <v>BNTNF 10 01/01/23</v>
      </c>
      <c r="N43" s="131"/>
      <c r="O43" s="99" t="str">
        <f>+INDEX(Dataset!E:E,MATCH(LARGE(Dataset!$P:$P,$L43),Dataset!$P:$P,0),0)</f>
        <v>CO</v>
      </c>
      <c r="P43" s="99" t="str">
        <f>+INDEX(Dataset!H:H,MATCH(LARGE(Dataset!$S:$S,$L43),Dataset!$S:$S,0),0)</f>
        <v>A-</v>
      </c>
      <c r="Q43" s="105">
        <f>+INDEX(Dataset!P:P,MATCH(LARGE(Dataset!$S:$S,$L43),Dataset!$S:$S,0),0)</f>
        <v>4.0899999999999999E-2</v>
      </c>
      <c r="R43" s="102">
        <f>+INDEX(Dataset!R:R,MATCH(LARGE(Dataset!$P:$P,$L43),Dataset!$P:$P,0),0)</f>
        <v>0</v>
      </c>
      <c r="S43" s="105">
        <f>+INDEX(Dataset!S:S,MATCH(LARGE(Dataset!$S:$S,$L43),Dataset!$S:$S,0),0)</f>
        <v>0.72144539179509082</v>
      </c>
      <c r="T43" s="105">
        <f>+INDEX(Dataset!T:T,MATCH(LARGE(Dataset!$S:$S,$L43),Dataset!$S:$S,0),0)</f>
        <v>0</v>
      </c>
      <c r="U43" s="105">
        <f>+INDEX(Dataset!U:U,MATCH(LARGE(Dataset!$S:$S,$L43),Dataset!$S:$S,0),0)</f>
        <v>0</v>
      </c>
      <c r="V43" s="106">
        <f>+INDEX(Dataset!V:V,MATCH(LARGE(Dataset!$S:$S,$L43),Dataset!$S:$S,0),0)</f>
        <v>7.2829053690183283</v>
      </c>
    </row>
    <row r="44" spans="12:22" x14ac:dyDescent="0.2">
      <c r="L44" s="99">
        <v>7</v>
      </c>
      <c r="M44" s="131" t="str">
        <f>+INDEX(Dataset!D:D,MATCH(LARGE(Dataset!$S:$S,$L44),Dataset!$S:$S,0),0)</f>
        <v>MBONO 5 3/4 03/05/26</v>
      </c>
      <c r="N44" s="131"/>
      <c r="O44" s="99" t="str">
        <f>+INDEX(Dataset!E:E,MATCH(LARGE(Dataset!$P:$P,$L44),Dataset!$P:$P,0),0)</f>
        <v>PE</v>
      </c>
      <c r="P44" s="99" t="str">
        <f>+INDEX(Dataset!H:H,MATCH(LARGE(Dataset!$S:$S,$L44),Dataset!$S:$S,0),0)</f>
        <v>AA+</v>
      </c>
      <c r="Q44" s="105">
        <f>+INDEX(Dataset!P:P,MATCH(LARGE(Dataset!$S:$S,$L44),Dataset!$S:$S,0),0)</f>
        <v>2.2800000000000001E-2</v>
      </c>
      <c r="R44" s="102">
        <f>+INDEX(Dataset!R:R,MATCH(LARGE(Dataset!$P:$P,$L44),Dataset!$P:$P,0),0)</f>
        <v>0</v>
      </c>
      <c r="S44" s="105">
        <f>+INDEX(Dataset!S:S,MATCH(LARGE(Dataset!$S:$S,$L44),Dataset!$S:$S,0),0)</f>
        <v>0.71270475198698946</v>
      </c>
      <c r="T44" s="105">
        <f>+INDEX(Dataset!T:T,MATCH(LARGE(Dataset!$S:$S,$L44),Dataset!$S:$S,0),0)</f>
        <v>0</v>
      </c>
      <c r="U44" s="105">
        <f>+INDEX(Dataset!U:U,MATCH(LARGE(Dataset!$S:$S,$L44),Dataset!$S:$S,0),0)</f>
        <v>0</v>
      </c>
      <c r="V44" s="106">
        <f>+INDEX(Dataset!V:V,MATCH(LARGE(Dataset!$S:$S,$L44),Dataset!$S:$S,0),0)</f>
        <v>1.6593299015372942</v>
      </c>
    </row>
    <row r="45" spans="12:22" x14ac:dyDescent="0.2">
      <c r="L45" s="99">
        <v>8</v>
      </c>
      <c r="M45" s="131" t="str">
        <f>+INDEX(Dataset!D:D,MATCH(LARGE(Dataset!$S:$S,$L45),Dataset!$S:$S,0),0)</f>
        <v>COLTES 7 05/04/22</v>
      </c>
      <c r="N45" s="131"/>
      <c r="O45" s="99" t="str">
        <f>+INDEX(Dataset!E:E,MATCH(LARGE(Dataset!$P:$P,$L45),Dataset!$P:$P,0),0)</f>
        <v>MX</v>
      </c>
      <c r="P45" s="99" t="str">
        <f>+INDEX(Dataset!H:H,MATCH(LARGE(Dataset!$S:$S,$L45),Dataset!$S:$S,0),0)</f>
        <v>AA</v>
      </c>
      <c r="Q45" s="105">
        <f>+INDEX(Dataset!P:P,MATCH(LARGE(Dataset!$S:$S,$L45),Dataset!$S:$S,0),0)</f>
        <v>1.9E-2</v>
      </c>
      <c r="R45" s="102">
        <f>+INDEX(Dataset!R:R,MATCH(LARGE(Dataset!$P:$P,$L45),Dataset!$P:$P,0),0)</f>
        <v>0</v>
      </c>
      <c r="S45" s="105">
        <f>+INDEX(Dataset!S:S,MATCH(LARGE(Dataset!$S:$S,$L45),Dataset!$S:$S,0),0)</f>
        <v>0.59282828791109599</v>
      </c>
      <c r="T45" s="105">
        <f>+INDEX(Dataset!T:T,MATCH(LARGE(Dataset!$S:$S,$L45),Dataset!$S:$S,0),0)</f>
        <v>0</v>
      </c>
      <c r="U45" s="105">
        <f>+INDEX(Dataset!U:U,MATCH(LARGE(Dataset!$S:$S,$L45),Dataset!$S:$S,0),0)</f>
        <v>0</v>
      </c>
      <c r="V45" s="106">
        <f>+INDEX(Dataset!V:V,MATCH(LARGE(Dataset!$S:$S,$L45),Dataset!$S:$S,0),0)</f>
        <v>0.96011277683895835</v>
      </c>
    </row>
    <row r="46" spans="12:22" x14ac:dyDescent="0.2">
      <c r="L46" s="99">
        <v>9</v>
      </c>
      <c r="M46" s="131" t="str">
        <f>+INDEX(Dataset!D:D,MATCH(LARGE(Dataset!$S:$S,$L46),Dataset!$S:$S,0),0)</f>
        <v>COLOM 9.85 06/28/27</v>
      </c>
      <c r="N46" s="131"/>
      <c r="O46" s="99" t="str">
        <f>+INDEX(Dataset!E:E,MATCH(LARGE(Dataset!$P:$P,$L46),Dataset!$P:$P,0),0)</f>
        <v>MX</v>
      </c>
      <c r="P46" s="99" t="str">
        <f>+INDEX(Dataset!H:H,MATCH(LARGE(Dataset!$S:$S,$L46),Dataset!$S:$S,0),0)</f>
        <v>AA</v>
      </c>
      <c r="Q46" s="105">
        <f>+INDEX(Dataset!P:P,MATCH(LARGE(Dataset!$S:$S,$L46),Dataset!$S:$S,0),0)</f>
        <v>1.55E-2</v>
      </c>
      <c r="R46" s="102">
        <f>+INDEX(Dataset!R:R,MATCH(LARGE(Dataset!$P:$P,$L46),Dataset!$P:$P,0),0)</f>
        <v>0</v>
      </c>
      <c r="S46" s="105">
        <f>+INDEX(Dataset!S:S,MATCH(LARGE(Dataset!$S:$S,$L46),Dataset!$S:$S,0),0)</f>
        <v>0.59160882522117353</v>
      </c>
      <c r="T46" s="105">
        <f>+INDEX(Dataset!T:T,MATCH(LARGE(Dataset!$S:$S,$L46),Dataset!$S:$S,0),0)</f>
        <v>0</v>
      </c>
      <c r="U46" s="105">
        <f>+INDEX(Dataset!U:U,MATCH(LARGE(Dataset!$S:$S,$L46),Dataset!$S:$S,0),0)</f>
        <v>0</v>
      </c>
      <c r="V46" s="106">
        <f>+INDEX(Dataset!V:V,MATCH(LARGE(Dataset!$S:$S,$L46),Dataset!$S:$S,0),0)</f>
        <v>9.650755364083679</v>
      </c>
    </row>
    <row r="47" spans="12:22" x14ac:dyDescent="0.2">
      <c r="L47" s="99">
        <v>10</v>
      </c>
      <c r="M47" s="131" t="str">
        <f>+INDEX(Dataset!D:D,MATCH(LARGE(Dataset!$S:$S,$L47),Dataset!$S:$S,0),0)</f>
        <v>BLTN 0 01/01/19</v>
      </c>
      <c r="N47" s="131"/>
      <c r="O47" s="99" t="str">
        <f>+INDEX(Dataset!E:E,MATCH(LARGE(Dataset!$P:$P,$L47),Dataset!$P:$P,0),0)</f>
        <v>BR</v>
      </c>
      <c r="P47" s="99" t="str">
        <f>+INDEX(Dataset!H:H,MATCH(LARGE(Dataset!$S:$S,$L47),Dataset!$S:$S,0),0)</f>
        <v>A-</v>
      </c>
      <c r="Q47" s="105">
        <f>+INDEX(Dataset!P:P,MATCH(LARGE(Dataset!$S:$S,$L47),Dataset!$S:$S,0),0)</f>
        <v>3.1600000000000003E-2</v>
      </c>
      <c r="R47" s="102">
        <f>+INDEX(Dataset!R:R,MATCH(LARGE(Dataset!$P:$P,$L47),Dataset!$P:$P,0),0)</f>
        <v>0</v>
      </c>
      <c r="S47" s="105">
        <f>+INDEX(Dataset!S:S,MATCH(LARGE(Dataset!$S:$S,$L47),Dataset!$S:$S,0),0)</f>
        <v>0.59157884772645208</v>
      </c>
      <c r="T47" s="105">
        <f>+INDEX(Dataset!T:T,MATCH(LARGE(Dataset!$S:$S,$L47),Dataset!$S:$S,0),0)</f>
        <v>0</v>
      </c>
      <c r="U47" s="105">
        <f>+INDEX(Dataset!U:U,MATCH(LARGE(Dataset!$S:$S,$L47),Dataset!$S:$S,0),0)</f>
        <v>0</v>
      </c>
      <c r="V47" s="106">
        <f>+INDEX(Dataset!V:V,MATCH(LARGE(Dataset!$S:$S,$L47),Dataset!$S:$S,0),0)</f>
        <v>4.7855150252809731</v>
      </c>
    </row>
    <row r="50" spans="3:21" ht="20.25" x14ac:dyDescent="0.3">
      <c r="F50" s="130" t="s">
        <v>174</v>
      </c>
      <c r="G50" s="130"/>
      <c r="H50" s="130"/>
      <c r="I50" s="130"/>
      <c r="J50" s="130"/>
      <c r="K50" s="130"/>
      <c r="L50" s="130"/>
      <c r="M50" s="96"/>
      <c r="N50" s="130" t="s">
        <v>175</v>
      </c>
      <c r="O50" s="130"/>
      <c r="P50" s="130"/>
      <c r="Q50" s="130"/>
      <c r="R50" s="130"/>
      <c r="S50" s="130"/>
      <c r="T50" s="130"/>
    </row>
    <row r="52" spans="3:21" hidden="1" x14ac:dyDescent="0.2">
      <c r="F52" s="15" t="s">
        <v>125</v>
      </c>
      <c r="G52" s="15" t="s">
        <v>126</v>
      </c>
      <c r="H52" s="15" t="s">
        <v>127</v>
      </c>
      <c r="I52" s="15" t="s">
        <v>128</v>
      </c>
      <c r="J52" s="15" t="s">
        <v>129</v>
      </c>
      <c r="K52" s="15" t="s">
        <v>130</v>
      </c>
      <c r="L52" s="15" t="s">
        <v>131</v>
      </c>
      <c r="N52" s="15" t="s">
        <v>125</v>
      </c>
      <c r="O52" s="15" t="s">
        <v>126</v>
      </c>
      <c r="P52" s="15" t="s">
        <v>127</v>
      </c>
      <c r="Q52" s="15" t="s">
        <v>128</v>
      </c>
      <c r="R52" s="15" t="s">
        <v>129</v>
      </c>
      <c r="S52" s="15" t="s">
        <v>130</v>
      </c>
      <c r="T52" s="15" t="s">
        <v>131</v>
      </c>
    </row>
    <row r="53" spans="3:21" ht="16.5" x14ac:dyDescent="0.3">
      <c r="E53" s="90" t="s">
        <v>173</v>
      </c>
      <c r="F53" s="28" t="s">
        <v>162</v>
      </c>
      <c r="G53" s="28" t="s">
        <v>161</v>
      </c>
      <c r="H53" s="28" t="s">
        <v>157</v>
      </c>
      <c r="I53" s="90" t="s">
        <v>159</v>
      </c>
      <c r="J53" s="28" t="s">
        <v>158</v>
      </c>
      <c r="K53" s="90" t="s">
        <v>160</v>
      </c>
      <c r="L53" s="28" t="s">
        <v>163</v>
      </c>
      <c r="M53" s="28" t="s">
        <v>147</v>
      </c>
      <c r="N53" s="28" t="s">
        <v>162</v>
      </c>
      <c r="O53" s="28" t="s">
        <v>161</v>
      </c>
      <c r="P53" s="28" t="s">
        <v>157</v>
      </c>
      <c r="Q53" s="90" t="s">
        <v>159</v>
      </c>
      <c r="R53" s="28" t="s">
        <v>158</v>
      </c>
      <c r="S53" s="90" t="s">
        <v>160</v>
      </c>
      <c r="T53" s="28" t="s">
        <v>163</v>
      </c>
      <c r="U53" s="28" t="s">
        <v>147</v>
      </c>
    </row>
    <row r="54" spans="3:21" ht="15" x14ac:dyDescent="0.25">
      <c r="C54">
        <v>0</v>
      </c>
      <c r="D54">
        <v>0.5</v>
      </c>
      <c r="E54" s="31">
        <f>D54</f>
        <v>0.5</v>
      </c>
      <c r="F54" s="108">
        <f>SUMIFS(Dataset!$P:$P,Dataset!$E:$E,F$52,Dataset!$V:$V,"&gt;="&amp;$C54,Dataset!$V:$V,"&lt;"&amp;$D54)</f>
        <v>0</v>
      </c>
      <c r="G54" s="108">
        <f>SUMIFS(Dataset!$P:$P,Dataset!$E:$E,G$52,Dataset!$V:$V,"&gt;="&amp;$C54,Dataset!$V:$V,"&lt;"&amp;$D54)</f>
        <v>8.0000000000000004E-4</v>
      </c>
      <c r="H54" s="108">
        <f>SUMIFS(Dataset!$P:$P,Dataset!$E:$E,H$52,Dataset!$V:$V,"&gt;="&amp;$C54,Dataset!$V:$V,"&lt;"&amp;$D54)</f>
        <v>0</v>
      </c>
      <c r="I54" s="108">
        <f>SUMIFS(Dataset!$P:$P,Dataset!$E:$E,I$52,Dataset!$V:$V,"&gt;="&amp;$C54,Dataset!$V:$V,"&lt;"&amp;$D54)</f>
        <v>0</v>
      </c>
      <c r="J54" s="108">
        <f>SUMIFS(Dataset!$P:$P,Dataset!$E:$E,J$52,Dataset!$V:$V,"&gt;="&amp;$C54,Dataset!$V:$V,"&lt;"&amp;$D54)</f>
        <v>0</v>
      </c>
      <c r="K54" s="108">
        <f>SUMIFS(Dataset!$P:$P,Dataset!$E:$E,K$52,Dataset!$V:$V,"&gt;="&amp;$C54,Dataset!$V:$V,"&lt;"&amp;$D54)</f>
        <v>0</v>
      </c>
      <c r="L54" s="108">
        <f>SUMIFS(Dataset!$P:$P,Dataset!$E:$E,L$52,Dataset!$V:$V,"&gt;="&amp;$C54,Dataset!$V:$V,"&lt;"&amp;$D54)</f>
        <v>0</v>
      </c>
      <c r="M54" s="109">
        <f t="shared" ref="M54:M66" si="1">+SUM(F54:L54)</f>
        <v>8.0000000000000004E-4</v>
      </c>
      <c r="N54" s="108">
        <f>SUMIFS(Dataset!$R:$R,Dataset!$E:$E,N$52,Dataset!$V:$V,"&gt;="&amp;$C54,Dataset!$V:$V,"&lt;"&amp;$D54)</f>
        <v>0</v>
      </c>
      <c r="O54" s="108">
        <f>SUMIFS(Dataset!$R:$R,Dataset!$E:$E,O$52,Dataset!$V:$V,"&gt;="&amp;$C54,Dataset!$V:$V,"&lt;"&amp;$D54)</f>
        <v>0</v>
      </c>
      <c r="P54" s="108">
        <f>SUMIFS(Dataset!$R:$R,Dataset!$E:$E,P$52,Dataset!$V:$V,"&gt;="&amp;$C54,Dataset!$V:$V,"&lt;"&amp;$D54)</f>
        <v>0</v>
      </c>
      <c r="Q54" s="108">
        <f>SUMIFS(Dataset!$R:$R,Dataset!$E:$E,Q$52,Dataset!$V:$V,"&gt;="&amp;$C54,Dataset!$V:$V,"&lt;"&amp;$D54)</f>
        <v>0</v>
      </c>
      <c r="R54" s="108">
        <f>SUMIFS(Dataset!$R:$R,Dataset!$E:$E,R$52,Dataset!$V:$V,"&gt;="&amp;$C54,Dataset!$V:$V,"&lt;"&amp;$D54)</f>
        <v>0</v>
      </c>
      <c r="S54" s="108">
        <f>SUMIFS(Dataset!$R:$R,Dataset!$E:$E,S$52,Dataset!$V:$V,"&gt;="&amp;$C54,Dataset!$V:$V,"&lt;"&amp;$D54)</f>
        <v>0</v>
      </c>
      <c r="T54" s="108">
        <f>SUMIFS(Dataset!$R:$R,Dataset!$E:$E,T$52,Dataset!$V:$V,"&gt;="&amp;$C54,Dataset!$V:$V,"&lt;"&amp;$D54)</f>
        <v>0</v>
      </c>
      <c r="U54" s="109">
        <f t="shared" ref="U54:U66" si="2">+SUM(N54:T54)</f>
        <v>0</v>
      </c>
    </row>
    <row r="55" spans="3:21" ht="15" x14ac:dyDescent="0.25">
      <c r="C55">
        <f>+D54</f>
        <v>0.5</v>
      </c>
      <c r="D55">
        <f>+C55+1</f>
        <v>1.5</v>
      </c>
      <c r="E55" s="31" t="str">
        <f t="shared" ref="E55:E64" si="3">C55&amp;" - "&amp;D55</f>
        <v>0.5 - 1.5</v>
      </c>
      <c r="F55" s="108">
        <f>SUMIFS(Dataset!$P:$P,Dataset!$E:$E,F$52,Dataset!$V:$V,"&gt;="&amp;$C55,Dataset!$V:$V,"&lt;"&amp;$D55)</f>
        <v>0</v>
      </c>
      <c r="G55" s="108">
        <f>SUMIFS(Dataset!$P:$P,Dataset!$E:$E,G$52,Dataset!$V:$V,"&gt;="&amp;$C55,Dataset!$V:$V,"&lt;"&amp;$D55)</f>
        <v>0</v>
      </c>
      <c r="H55" s="108">
        <f>SUMIFS(Dataset!$P:$P,Dataset!$E:$E,H$52,Dataset!$V:$V,"&gt;="&amp;$C55,Dataset!$V:$V,"&lt;"&amp;$D55)</f>
        <v>0</v>
      </c>
      <c r="I55" s="108">
        <f>SUMIFS(Dataset!$P:$P,Dataset!$E:$E,I$52,Dataset!$V:$V,"&gt;="&amp;$C55,Dataset!$V:$V,"&lt;"&amp;$D55)</f>
        <v>1.9E-2</v>
      </c>
      <c r="J55" s="108">
        <f>SUMIFS(Dataset!$P:$P,Dataset!$E:$E,J$52,Dataset!$V:$V,"&gt;="&amp;$C55,Dataset!$V:$V,"&lt;"&amp;$D55)</f>
        <v>3.3300000000000003E-2</v>
      </c>
      <c r="K55" s="108">
        <f>SUMIFS(Dataset!$P:$P,Dataset!$E:$E,K$52,Dataset!$V:$V,"&gt;="&amp;$C55,Dataset!$V:$V,"&lt;"&amp;$D55)</f>
        <v>3.4500000000000003E-2</v>
      </c>
      <c r="L55" s="108">
        <f>SUMIFS(Dataset!$P:$P,Dataset!$E:$E,L$52,Dataset!$V:$V,"&gt;="&amp;$C55,Dataset!$V:$V,"&lt;"&amp;$D55)</f>
        <v>0.15059999999999996</v>
      </c>
      <c r="M55" s="109">
        <f t="shared" si="1"/>
        <v>0.23739999999999994</v>
      </c>
      <c r="N55" s="108">
        <f>SUMIFS(Dataset!$R:$R,Dataset!$E:$E,N$52,Dataset!$V:$V,"&gt;="&amp;$C55,Dataset!$V:$V,"&lt;"&amp;$D55)</f>
        <v>0</v>
      </c>
      <c r="O55" s="108">
        <f>SUMIFS(Dataset!$R:$R,Dataset!$E:$E,O$52,Dataset!$V:$V,"&gt;="&amp;$C55,Dataset!$V:$V,"&lt;"&amp;$D55)</f>
        <v>0</v>
      </c>
      <c r="P55" s="108">
        <f>SUMIFS(Dataset!$R:$R,Dataset!$E:$E,P$52,Dataset!$V:$V,"&gt;="&amp;$C55,Dataset!$V:$V,"&lt;"&amp;$D55)</f>
        <v>0</v>
      </c>
      <c r="Q55" s="108">
        <f>SUMIFS(Dataset!$R:$R,Dataset!$E:$E,Q$52,Dataset!$V:$V,"&gt;="&amp;$C55,Dataset!$V:$V,"&lt;"&amp;$D55)</f>
        <v>0</v>
      </c>
      <c r="R55" s="108">
        <f>SUMIFS(Dataset!$R:$R,Dataset!$E:$E,R$52,Dataset!$V:$V,"&gt;="&amp;$C55,Dataset!$V:$V,"&lt;"&amp;$D55)</f>
        <v>0</v>
      </c>
      <c r="S55" s="108">
        <f>SUMIFS(Dataset!$R:$R,Dataset!$E:$E,S$52,Dataset!$V:$V,"&gt;="&amp;$C55,Dataset!$V:$V,"&lt;"&amp;$D55)</f>
        <v>0</v>
      </c>
      <c r="T55" s="108">
        <f>SUMIFS(Dataset!$R:$R,Dataset!$E:$E,T$52,Dataset!$V:$V,"&gt;="&amp;$C55,Dataset!$V:$V,"&lt;"&amp;$D55)</f>
        <v>9.9999999999999534E-3</v>
      </c>
      <c r="U55" s="109">
        <f t="shared" si="2"/>
        <v>9.9999999999999534E-3</v>
      </c>
    </row>
    <row r="56" spans="3:21" ht="15" x14ac:dyDescent="0.25">
      <c r="C56">
        <f t="shared" ref="C56:C65" si="4">+D55</f>
        <v>1.5</v>
      </c>
      <c r="D56">
        <f t="shared" ref="D56:D64" si="5">+C56+1</f>
        <v>2.5</v>
      </c>
      <c r="E56" s="31" t="str">
        <f t="shared" si="3"/>
        <v>1.5 - 2.5</v>
      </c>
      <c r="F56" s="108">
        <f>SUMIFS(Dataset!$P:$P,Dataset!$E:$E,F$52,Dataset!$V:$V,"&gt;="&amp;$C56,Dataset!$V:$V,"&lt;"&amp;$D56)</f>
        <v>0</v>
      </c>
      <c r="G56" s="108">
        <f>SUMIFS(Dataset!$P:$P,Dataset!$E:$E,G$52,Dataset!$V:$V,"&gt;="&amp;$C56,Dataset!$V:$V,"&lt;"&amp;$D56)</f>
        <v>0</v>
      </c>
      <c r="H56" s="108">
        <f>SUMIFS(Dataset!$P:$P,Dataset!$E:$E,H$52,Dataset!$V:$V,"&gt;="&amp;$C56,Dataset!$V:$V,"&lt;"&amp;$D56)</f>
        <v>1.5699999999999999E-2</v>
      </c>
      <c r="I56" s="108">
        <f>SUMIFS(Dataset!$P:$P,Dataset!$E:$E,I$52,Dataset!$V:$V,"&gt;="&amp;$C56,Dataset!$V:$V,"&lt;"&amp;$D56)</f>
        <v>5.5099999999999996E-2</v>
      </c>
      <c r="J56" s="108">
        <f>SUMIFS(Dataset!$P:$P,Dataset!$E:$E,J$52,Dataset!$V:$V,"&gt;="&amp;$C56,Dataset!$V:$V,"&lt;"&amp;$D56)</f>
        <v>2.5899999999999999E-2</v>
      </c>
      <c r="K56" s="108">
        <f>SUMIFS(Dataset!$P:$P,Dataset!$E:$E,K$52,Dataset!$V:$V,"&gt;="&amp;$C56,Dataset!$V:$V,"&lt;"&amp;$D56)</f>
        <v>0</v>
      </c>
      <c r="L56" s="108">
        <f>SUMIFS(Dataset!$P:$P,Dataset!$E:$E,L$52,Dataset!$V:$V,"&gt;="&amp;$C56,Dataset!$V:$V,"&lt;"&amp;$D56)</f>
        <v>0</v>
      </c>
      <c r="M56" s="109">
        <f t="shared" si="1"/>
        <v>9.6700000000000008E-2</v>
      </c>
      <c r="N56" s="108">
        <f>SUMIFS(Dataset!$R:$R,Dataset!$E:$E,N$52,Dataset!$V:$V,"&gt;="&amp;$C56,Dataset!$V:$V,"&lt;"&amp;$D56)</f>
        <v>0</v>
      </c>
      <c r="O56" s="108">
        <f>SUMIFS(Dataset!$R:$R,Dataset!$E:$E,O$52,Dataset!$V:$V,"&gt;="&amp;$C56,Dataset!$V:$V,"&lt;"&amp;$D56)</f>
        <v>0</v>
      </c>
      <c r="P56" s="108">
        <f>SUMIFS(Dataset!$R:$R,Dataset!$E:$E,P$52,Dataset!$V:$V,"&gt;="&amp;$C56,Dataset!$V:$V,"&lt;"&amp;$D56)</f>
        <v>9.9999999999999985E-3</v>
      </c>
      <c r="Q56" s="108">
        <f>SUMIFS(Dataset!$R:$R,Dataset!$E:$E,Q$52,Dataset!$V:$V,"&gt;="&amp;$C56,Dataset!$V:$V,"&lt;"&amp;$D56)</f>
        <v>0.01</v>
      </c>
      <c r="R56" s="108">
        <f>SUMIFS(Dataset!$R:$R,Dataset!$E:$E,R$52,Dataset!$V:$V,"&gt;="&amp;$C56,Dataset!$V:$V,"&lt;"&amp;$D56)</f>
        <v>0</v>
      </c>
      <c r="S56" s="108">
        <f>SUMIFS(Dataset!$R:$R,Dataset!$E:$E,S$52,Dataset!$V:$V,"&gt;="&amp;$C56,Dataset!$V:$V,"&lt;"&amp;$D56)</f>
        <v>0</v>
      </c>
      <c r="T56" s="108">
        <f>SUMIFS(Dataset!$R:$R,Dataset!$E:$E,T$52,Dataset!$V:$V,"&gt;="&amp;$C56,Dataset!$V:$V,"&lt;"&amp;$D56)</f>
        <v>0</v>
      </c>
      <c r="U56" s="109">
        <f t="shared" si="2"/>
        <v>1.9999999999999997E-2</v>
      </c>
    </row>
    <row r="57" spans="3:21" ht="15" x14ac:dyDescent="0.25">
      <c r="C57">
        <f t="shared" si="4"/>
        <v>2.5</v>
      </c>
      <c r="D57">
        <f t="shared" si="5"/>
        <v>3.5</v>
      </c>
      <c r="E57" s="31" t="str">
        <f t="shared" si="3"/>
        <v>2.5 - 3.5</v>
      </c>
      <c r="F57" s="108">
        <f>SUMIFS(Dataset!$P:$P,Dataset!$E:$E,F$52,Dataset!$V:$V,"&gt;="&amp;$C57,Dataset!$V:$V,"&lt;"&amp;$D57)</f>
        <v>0</v>
      </c>
      <c r="G57" s="108">
        <f>SUMIFS(Dataset!$P:$P,Dataset!$E:$E,G$52,Dataset!$V:$V,"&gt;="&amp;$C57,Dataset!$V:$V,"&lt;"&amp;$D57)</f>
        <v>1.3899999999999999E-2</v>
      </c>
      <c r="H57" s="108">
        <f>SUMIFS(Dataset!$P:$P,Dataset!$E:$E,H$52,Dataset!$V:$V,"&gt;="&amp;$C57,Dataset!$V:$V,"&lt;"&amp;$D57)</f>
        <v>0</v>
      </c>
      <c r="I57" s="108">
        <f>SUMIFS(Dataset!$P:$P,Dataset!$E:$E,I$52,Dataset!$V:$V,"&gt;="&amp;$C57,Dataset!$V:$V,"&lt;"&amp;$D57)</f>
        <v>0</v>
      </c>
      <c r="J57" s="108">
        <f>SUMIFS(Dataset!$P:$P,Dataset!$E:$E,J$52,Dataset!$V:$V,"&gt;="&amp;$C57,Dataset!$V:$V,"&lt;"&amp;$D57)</f>
        <v>1.1000000000000001E-3</v>
      </c>
      <c r="K57" s="108">
        <f>SUMIFS(Dataset!$P:$P,Dataset!$E:$E,K$52,Dataset!$V:$V,"&gt;="&amp;$C57,Dataset!$V:$V,"&lt;"&amp;$D57)</f>
        <v>1.5599999999999999E-2</v>
      </c>
      <c r="L57" s="108">
        <f>SUMIFS(Dataset!$P:$P,Dataset!$E:$E,L$52,Dataset!$V:$V,"&gt;="&amp;$C57,Dataset!$V:$V,"&lt;"&amp;$D57)</f>
        <v>0</v>
      </c>
      <c r="M57" s="109">
        <f t="shared" si="1"/>
        <v>3.0599999999999999E-2</v>
      </c>
      <c r="N57" s="108">
        <f>SUMIFS(Dataset!$R:$R,Dataset!$E:$E,N$52,Dataset!$V:$V,"&gt;="&amp;$C57,Dataset!$V:$V,"&lt;"&amp;$D57)</f>
        <v>0</v>
      </c>
      <c r="O57" s="108">
        <f>SUMIFS(Dataset!$R:$R,Dataset!$E:$E,O$52,Dataset!$V:$V,"&gt;="&amp;$C57,Dataset!$V:$V,"&lt;"&amp;$D57)</f>
        <v>0</v>
      </c>
      <c r="P57" s="108">
        <f>SUMIFS(Dataset!$R:$R,Dataset!$E:$E,P$52,Dataset!$V:$V,"&gt;="&amp;$C57,Dataset!$V:$V,"&lt;"&amp;$D57)</f>
        <v>0</v>
      </c>
      <c r="Q57" s="108">
        <f>SUMIFS(Dataset!$R:$R,Dataset!$E:$E,Q$52,Dataset!$V:$V,"&gt;="&amp;$C57,Dataset!$V:$V,"&lt;"&amp;$D57)</f>
        <v>0</v>
      </c>
      <c r="R57" s="108">
        <f>SUMIFS(Dataset!$R:$R,Dataset!$E:$E,R$52,Dataset!$V:$V,"&gt;="&amp;$C57,Dataset!$V:$V,"&lt;"&amp;$D57)</f>
        <v>-0.01</v>
      </c>
      <c r="S57" s="108">
        <f>SUMIFS(Dataset!$R:$R,Dataset!$E:$E,S$52,Dataset!$V:$V,"&gt;="&amp;$C57,Dataset!$V:$V,"&lt;"&amp;$D57)</f>
        <v>0</v>
      </c>
      <c r="T57" s="108">
        <f>SUMIFS(Dataset!$R:$R,Dataset!$E:$E,T$52,Dataset!$V:$V,"&gt;="&amp;$C57,Dataset!$V:$V,"&lt;"&amp;$D57)</f>
        <v>0</v>
      </c>
      <c r="U57" s="109">
        <f t="shared" si="2"/>
        <v>-0.01</v>
      </c>
    </row>
    <row r="58" spans="3:21" ht="15" x14ac:dyDescent="0.25">
      <c r="C58">
        <f t="shared" si="4"/>
        <v>3.5</v>
      </c>
      <c r="D58">
        <f t="shared" si="5"/>
        <v>4.5</v>
      </c>
      <c r="E58" s="31" t="str">
        <f t="shared" si="3"/>
        <v>3.5 - 4.5</v>
      </c>
      <c r="F58" s="108">
        <f>SUMIFS(Dataset!$P:$P,Dataset!$E:$E,F$52,Dataset!$V:$V,"&gt;="&amp;$C58,Dataset!$V:$V,"&lt;"&amp;$D58)</f>
        <v>0</v>
      </c>
      <c r="G58" s="108">
        <f>SUMIFS(Dataset!$P:$P,Dataset!$E:$E,G$52,Dataset!$V:$V,"&gt;="&amp;$C58,Dataset!$V:$V,"&lt;"&amp;$D58)</f>
        <v>3.3099999999999997E-2</v>
      </c>
      <c r="H58" s="108">
        <f>SUMIFS(Dataset!$P:$P,Dataset!$E:$E,H$52,Dataset!$V:$V,"&gt;="&amp;$C58,Dataset!$V:$V,"&lt;"&amp;$D58)</f>
        <v>0</v>
      </c>
      <c r="I58" s="108">
        <f>SUMIFS(Dataset!$P:$P,Dataset!$E:$E,I$52,Dataset!$V:$V,"&gt;="&amp;$C58,Dataset!$V:$V,"&lt;"&amp;$D58)</f>
        <v>2.0199999999999999E-2</v>
      </c>
      <c r="J58" s="108">
        <f>SUMIFS(Dataset!$P:$P,Dataset!$E:$E,J$52,Dataset!$V:$V,"&gt;="&amp;$C58,Dataset!$V:$V,"&lt;"&amp;$D58)</f>
        <v>2.1499999999999998E-2</v>
      </c>
      <c r="K58" s="108">
        <f>SUMIFS(Dataset!$P:$P,Dataset!$E:$E,K$52,Dataset!$V:$V,"&gt;="&amp;$C58,Dataset!$V:$V,"&lt;"&amp;$D58)</f>
        <v>1.18E-2</v>
      </c>
      <c r="L58" s="108">
        <f>SUMIFS(Dataset!$P:$P,Dataset!$E:$E,L$52,Dataset!$V:$V,"&gt;="&amp;$C58,Dataset!$V:$V,"&lt;"&amp;$D58)</f>
        <v>0</v>
      </c>
      <c r="M58" s="109">
        <f t="shared" si="1"/>
        <v>8.660000000000001E-2</v>
      </c>
      <c r="N58" s="108">
        <f>SUMIFS(Dataset!$R:$R,Dataset!$E:$E,N$52,Dataset!$V:$V,"&gt;="&amp;$C58,Dataset!$V:$V,"&lt;"&amp;$D58)</f>
        <v>0</v>
      </c>
      <c r="O58" s="108">
        <f>SUMIFS(Dataset!$R:$R,Dataset!$E:$E,O$52,Dataset!$V:$V,"&gt;="&amp;$C58,Dataset!$V:$V,"&lt;"&amp;$D58)</f>
        <v>0</v>
      </c>
      <c r="P58" s="108">
        <f>SUMIFS(Dataset!$R:$R,Dataset!$E:$E,P$52,Dataset!$V:$V,"&gt;="&amp;$C58,Dataset!$V:$V,"&lt;"&amp;$D58)</f>
        <v>0</v>
      </c>
      <c r="Q58" s="108">
        <f>SUMIFS(Dataset!$R:$R,Dataset!$E:$E,Q$52,Dataset!$V:$V,"&gt;="&amp;$C58,Dataset!$V:$V,"&lt;"&amp;$D58)</f>
        <v>-5.000000000000001E-3</v>
      </c>
      <c r="R58" s="108">
        <f>SUMIFS(Dataset!$R:$R,Dataset!$E:$E,R$52,Dataset!$V:$V,"&gt;="&amp;$C58,Dataset!$V:$V,"&lt;"&amp;$D58)</f>
        <v>0</v>
      </c>
      <c r="S58" s="108">
        <f>SUMIFS(Dataset!$R:$R,Dataset!$E:$E,S$52,Dataset!$V:$V,"&gt;="&amp;$C58,Dataset!$V:$V,"&lt;"&amp;$D58)</f>
        <v>0</v>
      </c>
      <c r="T58" s="108">
        <f>SUMIFS(Dataset!$R:$R,Dataset!$E:$E,T$52,Dataset!$V:$V,"&gt;="&amp;$C58,Dataset!$V:$V,"&lt;"&amp;$D58)</f>
        <v>0</v>
      </c>
      <c r="U58" s="109">
        <f t="shared" si="2"/>
        <v>-5.000000000000001E-3</v>
      </c>
    </row>
    <row r="59" spans="3:21" ht="15" x14ac:dyDescent="0.25">
      <c r="C59">
        <f t="shared" si="4"/>
        <v>4.5</v>
      </c>
      <c r="D59">
        <f t="shared" si="5"/>
        <v>5.5</v>
      </c>
      <c r="E59" s="31" t="str">
        <f t="shared" si="3"/>
        <v>4.5 - 5.5</v>
      </c>
      <c r="F59" s="108">
        <f>SUMIFS(Dataset!$P:$P,Dataset!$E:$E,F$52,Dataset!$V:$V,"&gt;="&amp;$C59,Dataset!$V:$V,"&lt;"&amp;$D59)</f>
        <v>0</v>
      </c>
      <c r="G59" s="108">
        <f>SUMIFS(Dataset!$P:$P,Dataset!$E:$E,G$52,Dataset!$V:$V,"&gt;="&amp;$C59,Dataset!$V:$V,"&lt;"&amp;$D59)</f>
        <v>8.3199999999999996E-2</v>
      </c>
      <c r="H59" s="108">
        <f>SUMIFS(Dataset!$P:$P,Dataset!$E:$E,H$52,Dataset!$V:$V,"&gt;="&amp;$C59,Dataset!$V:$V,"&lt;"&amp;$D59)</f>
        <v>0</v>
      </c>
      <c r="I59" s="108">
        <f>SUMIFS(Dataset!$P:$P,Dataset!$E:$E,I$52,Dataset!$V:$V,"&gt;="&amp;$C59,Dataset!$V:$V,"&lt;"&amp;$D59)</f>
        <v>4.9700000000000001E-2</v>
      </c>
      <c r="J59" s="108">
        <f>SUMIFS(Dataset!$P:$P,Dataset!$E:$E,J$52,Dataset!$V:$V,"&gt;="&amp;$C59,Dataset!$V:$V,"&lt;"&amp;$D59)</f>
        <v>5.6899999999999999E-2</v>
      </c>
      <c r="K59" s="108">
        <f>SUMIFS(Dataset!$P:$P,Dataset!$E:$E,K$52,Dataset!$V:$V,"&gt;="&amp;$C59,Dataset!$V:$V,"&lt;"&amp;$D59)</f>
        <v>0</v>
      </c>
      <c r="L59" s="108">
        <f>SUMIFS(Dataset!$P:$P,Dataset!$E:$E,L$52,Dataset!$V:$V,"&gt;="&amp;$C59,Dataset!$V:$V,"&lt;"&amp;$D59)</f>
        <v>0</v>
      </c>
      <c r="M59" s="109">
        <f t="shared" si="1"/>
        <v>0.1898</v>
      </c>
      <c r="N59" s="108">
        <f>SUMIFS(Dataset!$R:$R,Dataset!$E:$E,N$52,Dataset!$V:$V,"&gt;="&amp;$C59,Dataset!$V:$V,"&lt;"&amp;$D59)</f>
        <v>0</v>
      </c>
      <c r="O59" s="108">
        <f>SUMIFS(Dataset!$R:$R,Dataset!$E:$E,O$52,Dataset!$V:$V,"&gt;="&amp;$C59,Dataset!$V:$V,"&lt;"&amp;$D59)</f>
        <v>0</v>
      </c>
      <c r="P59" s="108">
        <f>SUMIFS(Dataset!$R:$R,Dataset!$E:$E,P$52,Dataset!$V:$V,"&gt;="&amp;$C59,Dataset!$V:$V,"&lt;"&amp;$D59)</f>
        <v>0</v>
      </c>
      <c r="Q59" s="108">
        <f>SUMIFS(Dataset!$R:$R,Dataset!$E:$E,Q$52,Dataset!$V:$V,"&gt;="&amp;$C59,Dataset!$V:$V,"&lt;"&amp;$D59)</f>
        <v>0</v>
      </c>
      <c r="R59" s="108">
        <f>SUMIFS(Dataset!$R:$R,Dataset!$E:$E,R$52,Dataset!$V:$V,"&gt;="&amp;$C59,Dataset!$V:$V,"&lt;"&amp;$D59)</f>
        <v>0</v>
      </c>
      <c r="S59" s="108">
        <f>SUMIFS(Dataset!$R:$R,Dataset!$E:$E,S$52,Dataset!$V:$V,"&gt;="&amp;$C59,Dataset!$V:$V,"&lt;"&amp;$D59)</f>
        <v>0</v>
      </c>
      <c r="T59" s="108">
        <f>SUMIFS(Dataset!$R:$R,Dataset!$E:$E,T$52,Dataset!$V:$V,"&gt;="&amp;$C59,Dataset!$V:$V,"&lt;"&amp;$D59)</f>
        <v>0</v>
      </c>
      <c r="U59" s="109">
        <f t="shared" si="2"/>
        <v>0</v>
      </c>
    </row>
    <row r="60" spans="3:21" ht="15" x14ac:dyDescent="0.25">
      <c r="C60">
        <f t="shared" si="4"/>
        <v>5.5</v>
      </c>
      <c r="D60">
        <f t="shared" si="5"/>
        <v>6.5</v>
      </c>
      <c r="E60" s="31" t="str">
        <f t="shared" si="3"/>
        <v>5.5 - 6.5</v>
      </c>
      <c r="F60" s="108">
        <f>SUMIFS(Dataset!$P:$P,Dataset!$E:$E,F$52,Dataset!$V:$V,"&gt;="&amp;$C60,Dataset!$V:$V,"&lt;"&amp;$D60)</f>
        <v>0</v>
      </c>
      <c r="G60" s="108">
        <f>SUMIFS(Dataset!$P:$P,Dataset!$E:$E,G$52,Dataset!$V:$V,"&gt;="&amp;$C60,Dataset!$V:$V,"&lt;"&amp;$D60)</f>
        <v>0</v>
      </c>
      <c r="H60" s="108">
        <f>SUMIFS(Dataset!$P:$P,Dataset!$E:$E,H$52,Dataset!$V:$V,"&gt;="&amp;$C60,Dataset!$V:$V,"&lt;"&amp;$D60)</f>
        <v>0</v>
      </c>
      <c r="I60" s="108">
        <f>SUMIFS(Dataset!$P:$P,Dataset!$E:$E,I$52,Dataset!$V:$V,"&gt;="&amp;$C60,Dataset!$V:$V,"&lt;"&amp;$D60)</f>
        <v>0</v>
      </c>
      <c r="J60" s="108">
        <f>SUMIFS(Dataset!$P:$P,Dataset!$E:$E,J$52,Dataset!$V:$V,"&gt;="&amp;$C60,Dataset!$V:$V,"&lt;"&amp;$D60)</f>
        <v>1.0200000000000001E-2</v>
      </c>
      <c r="K60" s="108">
        <f>SUMIFS(Dataset!$P:$P,Dataset!$E:$E,K$52,Dataset!$V:$V,"&gt;="&amp;$C60,Dataset!$V:$V,"&lt;"&amp;$D60)</f>
        <v>0</v>
      </c>
      <c r="L60" s="108">
        <f>SUMIFS(Dataset!$P:$P,Dataset!$E:$E,L$52,Dataset!$V:$V,"&gt;="&amp;$C60,Dataset!$V:$V,"&lt;"&amp;$D60)</f>
        <v>1.52E-2</v>
      </c>
      <c r="M60" s="109">
        <f t="shared" si="1"/>
        <v>2.5399999999999999E-2</v>
      </c>
      <c r="N60" s="108">
        <f>SUMIFS(Dataset!$R:$R,Dataset!$E:$E,N$52,Dataset!$V:$V,"&gt;="&amp;$C60,Dataset!$V:$V,"&lt;"&amp;$D60)</f>
        <v>0</v>
      </c>
      <c r="O60" s="108">
        <f>SUMIFS(Dataset!$R:$R,Dataset!$E:$E,O$52,Dataset!$V:$V,"&gt;="&amp;$C60,Dataset!$V:$V,"&lt;"&amp;$D60)</f>
        <v>0</v>
      </c>
      <c r="P60" s="108">
        <f>SUMIFS(Dataset!$R:$R,Dataset!$E:$E,P$52,Dataset!$V:$V,"&gt;="&amp;$C60,Dataset!$V:$V,"&lt;"&amp;$D60)</f>
        <v>0</v>
      </c>
      <c r="Q60" s="108">
        <f>SUMIFS(Dataset!$R:$R,Dataset!$E:$E,Q$52,Dataset!$V:$V,"&gt;="&amp;$C60,Dataset!$V:$V,"&lt;"&amp;$D60)</f>
        <v>0</v>
      </c>
      <c r="R60" s="108">
        <f>SUMIFS(Dataset!$R:$R,Dataset!$E:$E,R$52,Dataset!$V:$V,"&gt;="&amp;$C60,Dataset!$V:$V,"&lt;"&amp;$D60)</f>
        <v>0</v>
      </c>
      <c r="S60" s="108">
        <f>SUMIFS(Dataset!$R:$R,Dataset!$E:$E,S$52,Dataset!$V:$V,"&gt;="&amp;$C60,Dataset!$V:$V,"&lt;"&amp;$D60)</f>
        <v>0</v>
      </c>
      <c r="T60" s="108">
        <f>SUMIFS(Dataset!$R:$R,Dataset!$E:$E,T$52,Dataset!$V:$V,"&gt;="&amp;$C60,Dataset!$V:$V,"&lt;"&amp;$D60)</f>
        <v>0</v>
      </c>
      <c r="U60" s="109">
        <f t="shared" si="2"/>
        <v>0</v>
      </c>
    </row>
    <row r="61" spans="3:21" ht="15" x14ac:dyDescent="0.25">
      <c r="C61">
        <f t="shared" si="4"/>
        <v>6.5</v>
      </c>
      <c r="D61">
        <f t="shared" si="5"/>
        <v>7.5</v>
      </c>
      <c r="E61" s="31" t="str">
        <f t="shared" si="3"/>
        <v>6.5 - 7.5</v>
      </c>
      <c r="F61" s="108">
        <f>SUMIFS(Dataset!$P:$P,Dataset!$E:$E,F$52,Dataset!$V:$V,"&gt;="&amp;$C61,Dataset!$V:$V,"&lt;"&amp;$D61)</f>
        <v>0</v>
      </c>
      <c r="G61" s="108">
        <f>SUMIFS(Dataset!$P:$P,Dataset!$E:$E,G$52,Dataset!$V:$V,"&gt;="&amp;$C61,Dataset!$V:$V,"&lt;"&amp;$D61)</f>
        <v>4.0899999999999999E-2</v>
      </c>
      <c r="H61" s="108">
        <f>SUMIFS(Dataset!$P:$P,Dataset!$E:$E,H$52,Dataset!$V:$V,"&gt;="&amp;$C61,Dataset!$V:$V,"&lt;"&amp;$D61)</f>
        <v>0</v>
      </c>
      <c r="I61" s="108">
        <f>SUMIFS(Dataset!$P:$P,Dataset!$E:$E,I$52,Dataset!$V:$V,"&gt;="&amp;$C61,Dataset!$V:$V,"&lt;"&amp;$D61)</f>
        <v>2.5999999999999999E-3</v>
      </c>
      <c r="J61" s="108">
        <f>SUMIFS(Dataset!$P:$P,Dataset!$E:$E,J$52,Dataset!$V:$V,"&gt;="&amp;$C61,Dataset!$V:$V,"&lt;"&amp;$D61)</f>
        <v>0</v>
      </c>
      <c r="K61" s="108">
        <f>SUMIFS(Dataset!$P:$P,Dataset!$E:$E,K$52,Dataset!$V:$V,"&gt;="&amp;$C61,Dataset!$V:$V,"&lt;"&amp;$D61)</f>
        <v>0</v>
      </c>
      <c r="L61" s="108">
        <f>SUMIFS(Dataset!$P:$P,Dataset!$E:$E,L$52,Dataset!$V:$V,"&gt;="&amp;$C61,Dataset!$V:$V,"&lt;"&amp;$D61)</f>
        <v>0</v>
      </c>
      <c r="M61" s="109">
        <f t="shared" si="1"/>
        <v>4.3499999999999997E-2</v>
      </c>
      <c r="N61" s="108">
        <f>SUMIFS(Dataset!$R:$R,Dataset!$E:$E,N$52,Dataset!$V:$V,"&gt;="&amp;$C61,Dataset!$V:$V,"&lt;"&amp;$D61)</f>
        <v>0</v>
      </c>
      <c r="O61" s="108">
        <f>SUMIFS(Dataset!$R:$R,Dataset!$E:$E,O$52,Dataset!$V:$V,"&gt;="&amp;$C61,Dataset!$V:$V,"&lt;"&amp;$D61)</f>
        <v>0</v>
      </c>
      <c r="P61" s="108">
        <f>SUMIFS(Dataset!$R:$R,Dataset!$E:$E,P$52,Dataset!$V:$V,"&gt;="&amp;$C61,Dataset!$V:$V,"&lt;"&amp;$D61)</f>
        <v>0</v>
      </c>
      <c r="Q61" s="108">
        <f>SUMIFS(Dataset!$R:$R,Dataset!$E:$E,Q$52,Dataset!$V:$V,"&gt;="&amp;$C61,Dataset!$V:$V,"&lt;"&amp;$D61)</f>
        <v>0</v>
      </c>
      <c r="R61" s="108">
        <f>SUMIFS(Dataset!$R:$R,Dataset!$E:$E,R$52,Dataset!$V:$V,"&gt;="&amp;$C61,Dataset!$V:$V,"&lt;"&amp;$D61)</f>
        <v>0</v>
      </c>
      <c r="S61" s="108">
        <f>SUMIFS(Dataset!$R:$R,Dataset!$E:$E,S$52,Dataset!$V:$V,"&gt;="&amp;$C61,Dataset!$V:$V,"&lt;"&amp;$D61)</f>
        <v>0</v>
      </c>
      <c r="T61" s="108">
        <f>SUMIFS(Dataset!$R:$R,Dataset!$E:$E,T$52,Dataset!$V:$V,"&gt;="&amp;$C61,Dataset!$V:$V,"&lt;"&amp;$D61)</f>
        <v>0</v>
      </c>
      <c r="U61" s="109">
        <f t="shared" si="2"/>
        <v>0</v>
      </c>
    </row>
    <row r="62" spans="3:21" ht="15" x14ac:dyDescent="0.25">
      <c r="C62">
        <f t="shared" si="4"/>
        <v>7.5</v>
      </c>
      <c r="D62">
        <f t="shared" si="5"/>
        <v>8.5</v>
      </c>
      <c r="E62" s="31" t="str">
        <f t="shared" si="3"/>
        <v>7.5 - 8.5</v>
      </c>
      <c r="F62" s="108">
        <f>SUMIFS(Dataset!$P:$P,Dataset!$E:$E,F$52,Dataset!$V:$V,"&gt;="&amp;$C62,Dataset!$V:$V,"&lt;"&amp;$D62)</f>
        <v>0</v>
      </c>
      <c r="G62" s="108">
        <f>SUMIFS(Dataset!$P:$P,Dataset!$E:$E,G$52,Dataset!$V:$V,"&gt;="&amp;$C62,Dataset!$V:$V,"&lt;"&amp;$D62)</f>
        <v>3.6299999999999999E-2</v>
      </c>
      <c r="H62" s="108">
        <f>SUMIFS(Dataset!$P:$P,Dataset!$E:$E,H$52,Dataset!$V:$V,"&gt;="&amp;$C62,Dataset!$V:$V,"&lt;"&amp;$D62)</f>
        <v>0</v>
      </c>
      <c r="I62" s="108">
        <f>SUMIFS(Dataset!$P:$P,Dataset!$E:$E,I$52,Dataset!$V:$V,"&gt;="&amp;$C62,Dataset!$V:$V,"&lt;"&amp;$D62)</f>
        <v>7.2900000000000006E-2</v>
      </c>
      <c r="J62" s="108">
        <f>SUMIFS(Dataset!$P:$P,Dataset!$E:$E,J$52,Dataset!$V:$V,"&gt;="&amp;$C62,Dataset!$V:$V,"&lt;"&amp;$D62)</f>
        <v>0</v>
      </c>
      <c r="K62" s="108">
        <f>SUMIFS(Dataset!$P:$P,Dataset!$E:$E,K$52,Dataset!$V:$V,"&gt;="&amp;$C62,Dataset!$V:$V,"&lt;"&amp;$D62)</f>
        <v>1.6199999999999999E-2</v>
      </c>
      <c r="L62" s="108">
        <f>SUMIFS(Dataset!$P:$P,Dataset!$E:$E,L$52,Dataset!$V:$V,"&gt;="&amp;$C62,Dataset!$V:$V,"&lt;"&amp;$D62)</f>
        <v>0</v>
      </c>
      <c r="M62" s="109">
        <f t="shared" si="1"/>
        <v>0.12540000000000001</v>
      </c>
      <c r="N62" s="108">
        <f>SUMIFS(Dataset!$R:$R,Dataset!$E:$E,N$52,Dataset!$V:$V,"&gt;="&amp;$C62,Dataset!$V:$V,"&lt;"&amp;$D62)</f>
        <v>0</v>
      </c>
      <c r="O62" s="108">
        <f>SUMIFS(Dataset!$R:$R,Dataset!$E:$E,O$52,Dataset!$V:$V,"&gt;="&amp;$C62,Dataset!$V:$V,"&lt;"&amp;$D62)</f>
        <v>0</v>
      </c>
      <c r="P62" s="108">
        <f>SUMIFS(Dataset!$R:$R,Dataset!$E:$E,P$52,Dataset!$V:$V,"&gt;="&amp;$C62,Dataset!$V:$V,"&lt;"&amp;$D62)</f>
        <v>0</v>
      </c>
      <c r="Q62" s="108">
        <f>SUMIFS(Dataset!$R:$R,Dataset!$E:$E,Q$52,Dataset!$V:$V,"&gt;="&amp;$C62,Dataset!$V:$V,"&lt;"&amp;$D62)</f>
        <v>0</v>
      </c>
      <c r="R62" s="108">
        <f>SUMIFS(Dataset!$R:$R,Dataset!$E:$E,R$52,Dataset!$V:$V,"&gt;="&amp;$C62,Dataset!$V:$V,"&lt;"&amp;$D62)</f>
        <v>0</v>
      </c>
      <c r="S62" s="108">
        <f>SUMIFS(Dataset!$R:$R,Dataset!$E:$E,S$52,Dataset!$V:$V,"&gt;="&amp;$C62,Dataset!$V:$V,"&lt;"&amp;$D62)</f>
        <v>-0.03</v>
      </c>
      <c r="T62" s="108">
        <f>SUMIFS(Dataset!$R:$R,Dataset!$E:$E,T$52,Dataset!$V:$V,"&gt;="&amp;$C62,Dataset!$V:$V,"&lt;"&amp;$D62)</f>
        <v>0</v>
      </c>
      <c r="U62" s="109">
        <f t="shared" si="2"/>
        <v>-0.03</v>
      </c>
    </row>
    <row r="63" spans="3:21" ht="15" x14ac:dyDescent="0.25">
      <c r="C63">
        <f t="shared" si="4"/>
        <v>8.5</v>
      </c>
      <c r="D63">
        <f t="shared" si="5"/>
        <v>9.5</v>
      </c>
      <c r="E63" s="31" t="str">
        <f t="shared" si="3"/>
        <v>8.5 - 9.5</v>
      </c>
      <c r="F63" s="108">
        <f>SUMIFS(Dataset!$P:$P,Dataset!$E:$E,F$52,Dataset!$V:$V,"&gt;="&amp;$C63,Dataset!$V:$V,"&lt;"&amp;$D63)</f>
        <v>1.84E-2</v>
      </c>
      <c r="G63" s="108">
        <f>SUMIFS(Dataset!$P:$P,Dataset!$E:$E,G$52,Dataset!$V:$V,"&gt;="&amp;$C63,Dataset!$V:$V,"&lt;"&amp;$D63)</f>
        <v>2.76E-2</v>
      </c>
      <c r="H63" s="108">
        <f>SUMIFS(Dataset!$P:$P,Dataset!$E:$E,H$52,Dataset!$V:$V,"&gt;="&amp;$C63,Dataset!$V:$V,"&lt;"&amp;$D63)</f>
        <v>0</v>
      </c>
      <c r="I63" s="108">
        <f>SUMIFS(Dataset!$P:$P,Dataset!$E:$E,I$52,Dataset!$V:$V,"&gt;="&amp;$C63,Dataset!$V:$V,"&lt;"&amp;$D63)</f>
        <v>0</v>
      </c>
      <c r="J63" s="108">
        <f>SUMIFS(Dataset!$P:$P,Dataset!$E:$E,J$52,Dataset!$V:$V,"&gt;="&amp;$C63,Dataset!$V:$V,"&lt;"&amp;$D63)</f>
        <v>0</v>
      </c>
      <c r="K63" s="108">
        <f>SUMIFS(Dataset!$P:$P,Dataset!$E:$E,K$52,Dataset!$V:$V,"&gt;="&amp;$C63,Dataset!$V:$V,"&lt;"&amp;$D63)</f>
        <v>0</v>
      </c>
      <c r="L63" s="108">
        <f>SUMIFS(Dataset!$P:$P,Dataset!$E:$E,L$52,Dataset!$V:$V,"&gt;="&amp;$C63,Dataset!$V:$V,"&lt;"&amp;$D63)</f>
        <v>0</v>
      </c>
      <c r="M63" s="109">
        <f t="shared" si="1"/>
        <v>4.5999999999999999E-2</v>
      </c>
      <c r="N63" s="108">
        <f>SUMIFS(Dataset!$R:$R,Dataset!$E:$E,N$52,Dataset!$V:$V,"&gt;="&amp;$C63,Dataset!$V:$V,"&lt;"&amp;$D63)</f>
        <v>-0.01</v>
      </c>
      <c r="O63" s="108">
        <f>SUMIFS(Dataset!$R:$R,Dataset!$E:$E,O$52,Dataset!$V:$V,"&gt;="&amp;$C63,Dataset!$V:$V,"&lt;"&amp;$D63)</f>
        <v>0</v>
      </c>
      <c r="P63" s="108">
        <f>SUMIFS(Dataset!$R:$R,Dataset!$E:$E,P$52,Dataset!$V:$V,"&gt;="&amp;$C63,Dataset!$V:$V,"&lt;"&amp;$D63)</f>
        <v>0</v>
      </c>
      <c r="Q63" s="108">
        <f>SUMIFS(Dataset!$R:$R,Dataset!$E:$E,Q$52,Dataset!$V:$V,"&gt;="&amp;$C63,Dataset!$V:$V,"&lt;"&amp;$D63)</f>
        <v>0</v>
      </c>
      <c r="R63" s="108">
        <f>SUMIFS(Dataset!$R:$R,Dataset!$E:$E,R$52,Dataset!$V:$V,"&gt;="&amp;$C63,Dataset!$V:$V,"&lt;"&amp;$D63)</f>
        <v>0</v>
      </c>
      <c r="S63" s="108">
        <f>SUMIFS(Dataset!$R:$R,Dataset!$E:$E,S$52,Dataset!$V:$V,"&gt;="&amp;$C63,Dataset!$V:$V,"&lt;"&amp;$D63)</f>
        <v>0</v>
      </c>
      <c r="T63" s="108">
        <f>SUMIFS(Dataset!$R:$R,Dataset!$E:$E,T$52,Dataset!$V:$V,"&gt;="&amp;$C63,Dataset!$V:$V,"&lt;"&amp;$D63)</f>
        <v>0</v>
      </c>
      <c r="U63" s="109">
        <f t="shared" si="2"/>
        <v>-0.01</v>
      </c>
    </row>
    <row r="64" spans="3:21" ht="15" x14ac:dyDescent="0.25">
      <c r="C64">
        <f t="shared" si="4"/>
        <v>9.5</v>
      </c>
      <c r="D64">
        <f t="shared" si="5"/>
        <v>10.5</v>
      </c>
      <c r="E64" s="31" t="str">
        <f t="shared" si="3"/>
        <v>9.5 - 10.5</v>
      </c>
      <c r="F64" s="108">
        <f>SUMIFS(Dataset!$P:$P,Dataset!$E:$E,F$52,Dataset!$V:$V,"&gt;="&amp;$C64,Dataset!$V:$V,"&lt;"&amp;$D64)</f>
        <v>1.26E-2</v>
      </c>
      <c r="G64" s="108">
        <f>SUMIFS(Dataset!$P:$P,Dataset!$E:$E,G$52,Dataset!$V:$V,"&gt;="&amp;$C64,Dataset!$V:$V,"&lt;"&amp;$D64)</f>
        <v>6.3899999999999998E-2</v>
      </c>
      <c r="H64" s="108">
        <f>SUMIFS(Dataset!$P:$P,Dataset!$E:$E,H$52,Dataset!$V:$V,"&gt;="&amp;$C64,Dataset!$V:$V,"&lt;"&amp;$D64)</f>
        <v>0</v>
      </c>
      <c r="I64" s="108">
        <f>SUMIFS(Dataset!$P:$P,Dataset!$E:$E,I$52,Dataset!$V:$V,"&gt;="&amp;$C64,Dataset!$V:$V,"&lt;"&amp;$D64)</f>
        <v>1.55E-2</v>
      </c>
      <c r="J64" s="108">
        <f>SUMIFS(Dataset!$P:$P,Dataset!$E:$E,J$52,Dataset!$V:$V,"&gt;="&amp;$C64,Dataset!$V:$V,"&lt;"&amp;$D64)</f>
        <v>2.58E-2</v>
      </c>
      <c r="K64" s="108">
        <f>SUMIFS(Dataset!$P:$P,Dataset!$E:$E,K$52,Dataset!$V:$V,"&gt;="&amp;$C64,Dataset!$V:$V,"&lt;"&amp;$D64)</f>
        <v>0</v>
      </c>
      <c r="L64" s="108">
        <f>SUMIFS(Dataset!$P:$P,Dataset!$E:$E,L$52,Dataset!$V:$V,"&gt;="&amp;$C64,Dataset!$V:$V,"&lt;"&amp;$D64)</f>
        <v>0</v>
      </c>
      <c r="M64" s="109">
        <f t="shared" si="1"/>
        <v>0.1178</v>
      </c>
      <c r="N64" s="108">
        <f>SUMIFS(Dataset!$R:$R,Dataset!$E:$E,N$52,Dataset!$V:$V,"&gt;="&amp;$C64,Dataset!$V:$V,"&lt;"&amp;$D64)</f>
        <v>0</v>
      </c>
      <c r="O64" s="108">
        <f>SUMIFS(Dataset!$R:$R,Dataset!$E:$E,O$52,Dataset!$V:$V,"&gt;="&amp;$C64,Dataset!$V:$V,"&lt;"&amp;$D64)</f>
        <v>-5.0000000000000001E-3</v>
      </c>
      <c r="P64" s="108">
        <f>SUMIFS(Dataset!$R:$R,Dataset!$E:$E,P$52,Dataset!$V:$V,"&gt;="&amp;$C64,Dataset!$V:$V,"&lt;"&amp;$D64)</f>
        <v>0</v>
      </c>
      <c r="Q64" s="108">
        <f>SUMIFS(Dataset!$R:$R,Dataset!$E:$E,Q$52,Dataset!$V:$V,"&gt;="&amp;$C64,Dataset!$V:$V,"&lt;"&amp;$D64)</f>
        <v>0</v>
      </c>
      <c r="R64" s="108">
        <f>SUMIFS(Dataset!$R:$R,Dataset!$E:$E,R$52,Dataset!$V:$V,"&gt;="&amp;$C64,Dataset!$V:$V,"&lt;"&amp;$D64)</f>
        <v>-9.9999999999999985E-3</v>
      </c>
      <c r="S64" s="108">
        <f>SUMIFS(Dataset!$R:$R,Dataset!$E:$E,S$52,Dataset!$V:$V,"&gt;="&amp;$C64,Dataset!$V:$V,"&lt;"&amp;$D64)</f>
        <v>0</v>
      </c>
      <c r="T64" s="108">
        <f>SUMIFS(Dataset!$R:$R,Dataset!$E:$E,T$52,Dataset!$V:$V,"&gt;="&amp;$C64,Dataset!$V:$V,"&lt;"&amp;$D64)</f>
        <v>0</v>
      </c>
      <c r="U64" s="109">
        <f t="shared" si="2"/>
        <v>-1.4999999999999999E-2</v>
      </c>
    </row>
    <row r="65" spans="3:21" ht="15" x14ac:dyDescent="0.25">
      <c r="C65">
        <f t="shared" si="4"/>
        <v>10.5</v>
      </c>
      <c r="D65">
        <v>100</v>
      </c>
      <c r="E65" s="31" t="s">
        <v>346</v>
      </c>
      <c r="F65" s="108">
        <f>SUMIFS(Dataset!$P:$P,Dataset!$E:$E,F$52,Dataset!$V:$V,"&gt;="&amp;$C65,Dataset!$V:$V,"&lt;"&amp;$D65)</f>
        <v>0</v>
      </c>
      <c r="G65" s="108">
        <f>SUMIFS(Dataset!$P:$P,Dataset!$E:$E,G$52,Dataset!$V:$V,"&gt;="&amp;$C65,Dataset!$V:$V,"&lt;"&amp;$D65)</f>
        <v>0</v>
      </c>
      <c r="H65" s="108">
        <f>SUMIFS(Dataset!$P:$P,Dataset!$E:$E,H$52,Dataset!$V:$V,"&gt;="&amp;$C65,Dataset!$V:$V,"&lt;"&amp;$D65)</f>
        <v>0</v>
      </c>
      <c r="I65" s="108">
        <f>SUMIFS(Dataset!$P:$P,Dataset!$E:$E,I$52,Dataset!$V:$V,"&gt;="&amp;$C65,Dataset!$V:$V,"&lt;"&amp;$D65)</f>
        <v>0</v>
      </c>
      <c r="J65" s="108">
        <f>SUMIFS(Dataset!$P:$P,Dataset!$E:$E,J$52,Dataset!$V:$V,"&gt;="&amp;$C65,Dataset!$V:$V,"&lt;"&amp;$D65)</f>
        <v>0</v>
      </c>
      <c r="K65" s="108">
        <f>SUMIFS(Dataset!$P:$P,Dataset!$E:$E,K$52,Dataset!$V:$V,"&gt;="&amp;$C65,Dataset!$V:$V,"&lt;"&amp;$D65)</f>
        <v>0</v>
      </c>
      <c r="L65" s="108">
        <f>SUMIFS(Dataset!$P:$P,Dataset!$E:$E,L$52,Dataset!$V:$V,"&gt;="&amp;$C65,Dataset!$V:$V,"&lt;"&amp;$D65)</f>
        <v>0</v>
      </c>
      <c r="M65" s="109">
        <f t="shared" si="1"/>
        <v>0</v>
      </c>
      <c r="N65" s="108">
        <f>SUMIFS(Dataset!$R:$R,Dataset!$E:$E,N$52,Dataset!$V:$V,"&gt;="&amp;$C65,Dataset!$V:$V,"&lt;"&amp;$D65)</f>
        <v>0</v>
      </c>
      <c r="O65" s="108">
        <f>SUMIFS(Dataset!$R:$R,Dataset!$E:$E,O$52,Dataset!$V:$V,"&gt;="&amp;$C65,Dataset!$V:$V,"&lt;"&amp;$D65)</f>
        <v>0</v>
      </c>
      <c r="P65" s="108">
        <f>SUMIFS(Dataset!$R:$R,Dataset!$E:$E,P$52,Dataset!$V:$V,"&gt;="&amp;$C65,Dataset!$V:$V,"&lt;"&amp;$D65)</f>
        <v>0</v>
      </c>
      <c r="Q65" s="108">
        <f>SUMIFS(Dataset!$R:$R,Dataset!$E:$E,Q$52,Dataset!$V:$V,"&gt;="&amp;$C65,Dataset!$V:$V,"&lt;"&amp;$D65)</f>
        <v>0</v>
      </c>
      <c r="R65" s="108">
        <f>SUMIFS(Dataset!$R:$R,Dataset!$E:$E,R$52,Dataset!$V:$V,"&gt;="&amp;$C65,Dataset!$V:$V,"&lt;"&amp;$D65)</f>
        <v>0</v>
      </c>
      <c r="S65" s="108">
        <f>SUMIFS(Dataset!$R:$R,Dataset!$E:$E,S$52,Dataset!$V:$V,"&gt;="&amp;$C65,Dataset!$V:$V,"&lt;"&amp;$D65)</f>
        <v>0</v>
      </c>
      <c r="T65" s="108">
        <f>SUMIFS(Dataset!$R:$R,Dataset!$E:$E,T$52,Dataset!$V:$V,"&gt;="&amp;$C65,Dataset!$V:$V,"&lt;"&amp;$D65)</f>
        <v>0</v>
      </c>
      <c r="U65" s="109">
        <f t="shared" si="2"/>
        <v>0</v>
      </c>
    </row>
    <row r="66" spans="3:21" ht="16.5" x14ac:dyDescent="0.2">
      <c r="E66" s="30" t="s">
        <v>147</v>
      </c>
      <c r="F66" s="110">
        <f t="shared" ref="F66:L66" si="6">+SUM(F54:F65)</f>
        <v>3.1E-2</v>
      </c>
      <c r="G66" s="110">
        <f t="shared" si="6"/>
        <v>0.29970000000000002</v>
      </c>
      <c r="H66" s="110">
        <f t="shared" si="6"/>
        <v>1.5699999999999999E-2</v>
      </c>
      <c r="I66" s="110">
        <f t="shared" si="6"/>
        <v>0.23499999999999999</v>
      </c>
      <c r="J66" s="110">
        <f t="shared" si="6"/>
        <v>0.17469999999999997</v>
      </c>
      <c r="K66" s="110">
        <f t="shared" si="6"/>
        <v>7.8100000000000003E-2</v>
      </c>
      <c r="L66" s="110">
        <f t="shared" si="6"/>
        <v>0.16579999999999995</v>
      </c>
      <c r="M66" s="110">
        <f t="shared" si="1"/>
        <v>0.99999999999999978</v>
      </c>
      <c r="N66" s="110">
        <f t="shared" ref="N66:T66" si="7">+SUM(N54:N65)</f>
        <v>-0.01</v>
      </c>
      <c r="O66" s="110">
        <f t="shared" si="7"/>
        <v>-5.0000000000000001E-3</v>
      </c>
      <c r="P66" s="110">
        <f t="shared" si="7"/>
        <v>9.9999999999999985E-3</v>
      </c>
      <c r="Q66" s="110">
        <f t="shared" si="7"/>
        <v>4.9999999999999992E-3</v>
      </c>
      <c r="R66" s="110">
        <f t="shared" si="7"/>
        <v>-1.9999999999999997E-2</v>
      </c>
      <c r="S66" s="110">
        <f t="shared" si="7"/>
        <v>-0.03</v>
      </c>
      <c r="T66" s="110">
        <f t="shared" si="7"/>
        <v>9.9999999999999534E-3</v>
      </c>
      <c r="U66" s="110">
        <f t="shared" si="2"/>
        <v>-4.0000000000000042E-2</v>
      </c>
    </row>
    <row r="69" spans="3:21" ht="20.25" x14ac:dyDescent="0.3">
      <c r="F69" s="130" t="s">
        <v>347</v>
      </c>
      <c r="G69" s="130"/>
      <c r="H69" s="130"/>
      <c r="I69" s="130"/>
      <c r="J69" s="130"/>
      <c r="K69" s="130"/>
      <c r="L69" s="130"/>
      <c r="M69" s="96"/>
      <c r="N69" s="130" t="s">
        <v>348</v>
      </c>
      <c r="O69" s="130"/>
      <c r="P69" s="130"/>
      <c r="Q69" s="130"/>
      <c r="R69" s="130"/>
      <c r="S69" s="130"/>
      <c r="T69" s="130"/>
    </row>
    <row r="71" spans="3:21" x14ac:dyDescent="0.2">
      <c r="F71" s="91" t="s">
        <v>125</v>
      </c>
      <c r="G71" s="91" t="s">
        <v>126</v>
      </c>
      <c r="H71" s="91" t="s">
        <v>127</v>
      </c>
      <c r="I71" s="91" t="s">
        <v>128</v>
      </c>
      <c r="J71" s="91" t="s">
        <v>129</v>
      </c>
      <c r="K71" s="91" t="s">
        <v>130</v>
      </c>
      <c r="L71" s="91" t="s">
        <v>131</v>
      </c>
      <c r="N71" s="91" t="s">
        <v>125</v>
      </c>
      <c r="O71" s="91" t="s">
        <v>126</v>
      </c>
      <c r="P71" s="91" t="s">
        <v>127</v>
      </c>
      <c r="Q71" s="91" t="s">
        <v>128</v>
      </c>
      <c r="R71" s="91" t="s">
        <v>129</v>
      </c>
      <c r="S71" s="91" t="s">
        <v>130</v>
      </c>
      <c r="T71" s="91" t="s">
        <v>131</v>
      </c>
    </row>
    <row r="72" spans="3:21" ht="16.5" x14ac:dyDescent="0.3">
      <c r="E72" s="92" t="s">
        <v>173</v>
      </c>
      <c r="F72" s="28" t="s">
        <v>162</v>
      </c>
      <c r="G72" s="28" t="s">
        <v>161</v>
      </c>
      <c r="H72" s="28" t="s">
        <v>157</v>
      </c>
      <c r="I72" s="92" t="s">
        <v>159</v>
      </c>
      <c r="J72" s="28" t="s">
        <v>158</v>
      </c>
      <c r="K72" s="92" t="s">
        <v>160</v>
      </c>
      <c r="L72" s="28" t="s">
        <v>163</v>
      </c>
      <c r="M72" s="28" t="s">
        <v>147</v>
      </c>
      <c r="N72" s="28" t="s">
        <v>162</v>
      </c>
      <c r="O72" s="28" t="s">
        <v>161</v>
      </c>
      <c r="P72" s="28" t="s">
        <v>157</v>
      </c>
      <c r="Q72" s="92" t="s">
        <v>159</v>
      </c>
      <c r="R72" s="28" t="s">
        <v>158</v>
      </c>
      <c r="S72" s="92" t="s">
        <v>160</v>
      </c>
      <c r="T72" s="28" t="s">
        <v>163</v>
      </c>
      <c r="U72" s="28" t="s">
        <v>147</v>
      </c>
    </row>
    <row r="73" spans="3:21" ht="15" x14ac:dyDescent="0.25">
      <c r="C73">
        <v>0</v>
      </c>
      <c r="D73">
        <v>0.5</v>
      </c>
      <c r="E73" s="31">
        <f>D73</f>
        <v>0.5</v>
      </c>
      <c r="F73" s="116">
        <f>SUMIFS(Dataset!$W:$W,Dataset!$E:$E,F$71,Dataset!$V:$V,"&gt;="&amp;$C73,Dataset!$V:$V,"&lt;"&amp;$D73)</f>
        <v>0</v>
      </c>
      <c r="G73" s="116">
        <f>SUMIFS(Dataset!$W:$W,Dataset!$E:$E,G$71,Dataset!$V:$V,"&gt;="&amp;$C73,Dataset!$V:$V,"&lt;"&amp;$D73)</f>
        <v>3.7451847398864316E-4</v>
      </c>
      <c r="H73" s="116">
        <f>SUMIFS(Dataset!$W:$W,Dataset!$E:$E,H$71,Dataset!$V:$V,"&gt;="&amp;$C73,Dataset!$V:$V,"&lt;"&amp;$D73)</f>
        <v>0</v>
      </c>
      <c r="I73" s="116">
        <f>SUMIFS(Dataset!$W:$W,Dataset!$E:$E,I$71,Dataset!$V:$V,"&gt;="&amp;$C73,Dataset!$V:$V,"&lt;"&amp;$D73)</f>
        <v>0</v>
      </c>
      <c r="J73" s="116">
        <f>SUMIFS(Dataset!$W:$W,Dataset!$E:$E,J$71,Dataset!$V:$V,"&gt;="&amp;$C73,Dataset!$V:$V,"&lt;"&amp;$D73)</f>
        <v>0</v>
      </c>
      <c r="K73" s="116">
        <f>SUMIFS(Dataset!$W:$W,Dataset!$E:$E,K$71,Dataset!$V:$V,"&gt;="&amp;$C73,Dataset!$V:$V,"&lt;"&amp;$D73)</f>
        <v>0</v>
      </c>
      <c r="L73" s="116">
        <f>SUMIFS(Dataset!$W:$W,Dataset!$E:$E,L$71,Dataset!$V:$V,"&gt;="&amp;$C73,Dataset!$V:$V,"&lt;"&amp;$D73)</f>
        <v>0</v>
      </c>
      <c r="M73" s="117">
        <f t="shared" ref="M73:M85" si="8">+SUM(F73:L73)</f>
        <v>3.7451847398864316E-4</v>
      </c>
      <c r="N73" s="116">
        <f>SUMIFS(Dataset!$Z:$Z,Dataset!$E:$E,N$52,Dataset!$V:$V,"&gt;="&amp;$C73,Dataset!$V:$V,"&lt;"&amp;$D73)*10</f>
        <v>0</v>
      </c>
      <c r="O73" s="116">
        <f>SUMIFS(Dataset!$Z:$Z,Dataset!$E:$E,O$52,Dataset!$V:$V,"&gt;="&amp;$C73,Dataset!$V:$V,"&lt;"&amp;$D73)*10</f>
        <v>3.7451847398864316E-3</v>
      </c>
      <c r="P73" s="116">
        <f>SUMIFS(Dataset!$Z:$Z,Dataset!$E:$E,P$52,Dataset!$V:$V,"&gt;="&amp;$C73,Dataset!$V:$V,"&lt;"&amp;$D73)*10</f>
        <v>0</v>
      </c>
      <c r="Q73" s="116">
        <f>SUMIFS(Dataset!$Z:$Z,Dataset!$E:$E,Q$52,Dataset!$V:$V,"&gt;="&amp;$C73,Dataset!$V:$V,"&lt;"&amp;$D73)*10</f>
        <v>0</v>
      </c>
      <c r="R73" s="116">
        <f>SUMIFS(Dataset!$Z:$Z,Dataset!$E:$E,R$52,Dataset!$V:$V,"&gt;="&amp;$C73,Dataset!$V:$V,"&lt;"&amp;$D73)*10</f>
        <v>0</v>
      </c>
      <c r="S73" s="116">
        <f>SUMIFS(Dataset!$Z:$Z,Dataset!$E:$E,S$52,Dataset!$V:$V,"&gt;="&amp;$C73,Dataset!$V:$V,"&lt;"&amp;$D73)*10</f>
        <v>0</v>
      </c>
      <c r="T73" s="116">
        <f>SUMIFS(Dataset!$Z:$Z,Dataset!$E:$E,T$52,Dataset!$V:$V,"&gt;="&amp;$C73,Dataset!$V:$V,"&lt;"&amp;$D73)*10</f>
        <v>0</v>
      </c>
      <c r="U73" s="117">
        <f t="shared" ref="U73:U85" si="9">+SUM(N73:T73)</f>
        <v>3.7451847398864316E-3</v>
      </c>
    </row>
    <row r="74" spans="3:21" ht="15" x14ac:dyDescent="0.25">
      <c r="C74">
        <f>+D73</f>
        <v>0.5</v>
      </c>
      <c r="D74">
        <f>+C74+1</f>
        <v>1.5</v>
      </c>
      <c r="E74" s="31" t="str">
        <f t="shared" ref="E74:E83" si="10">C74&amp;" - "&amp;D74</f>
        <v>0.5 - 1.5</v>
      </c>
      <c r="F74" s="116">
        <f>SUMIFS(Dataset!$W:$W,Dataset!$E:$E,F$71,Dataset!$V:$V,"&gt;="&amp;$C74,Dataset!$V:$V,"&lt;"&amp;$D74)</f>
        <v>0</v>
      </c>
      <c r="G74" s="116">
        <f>SUMIFS(Dataset!$W:$W,Dataset!$E:$E,G$71,Dataset!$V:$V,"&gt;="&amp;$C74,Dataset!$V:$V,"&lt;"&amp;$D74)</f>
        <v>0</v>
      </c>
      <c r="H74" s="116">
        <f>SUMIFS(Dataset!$W:$W,Dataset!$E:$E,H$71,Dataset!$V:$V,"&gt;="&amp;$C74,Dataset!$V:$V,"&lt;"&amp;$D74)</f>
        <v>0</v>
      </c>
      <c r="I74" s="116">
        <f>SUMIFS(Dataset!$W:$W,Dataset!$E:$E,I$71,Dataset!$V:$V,"&gt;="&amp;$C74,Dataset!$V:$V,"&lt;"&amp;$D74)</f>
        <v>1.8242142759940207E-2</v>
      </c>
      <c r="J74" s="116">
        <f>SUMIFS(Dataset!$W:$W,Dataset!$E:$E,J$71,Dataset!$V:$V,"&gt;="&amp;$C74,Dataset!$V:$V,"&lt;"&amp;$D74)</f>
        <v>4.6404985291300327E-2</v>
      </c>
      <c r="K74" s="116">
        <f>SUMIFS(Dataset!$W:$W,Dataset!$E:$E,K$71,Dataset!$V:$V,"&gt;="&amp;$C74,Dataset!$V:$V,"&lt;"&amp;$D74)</f>
        <v>3.1954385291506522E-2</v>
      </c>
      <c r="L74" s="116">
        <f>SUMIFS(Dataset!$W:$W,Dataset!$E:$E,L$71,Dataset!$V:$V,"&gt;="&amp;$C74,Dataset!$V:$V,"&lt;"&amp;$D74)</f>
        <v>0.1867844683876341</v>
      </c>
      <c r="M74" s="117">
        <f t="shared" si="8"/>
        <v>0.28338598173038115</v>
      </c>
      <c r="N74" s="116">
        <f>SUMIFS(Dataset!$Z:$Z,Dataset!$E:$E,N$52,Dataset!$V:$V,"&gt;="&amp;$C74,Dataset!$V:$V,"&lt;"&amp;$D74)*10</f>
        <v>0</v>
      </c>
      <c r="O74" s="116">
        <f>SUMIFS(Dataset!$Z:$Z,Dataset!$E:$E,O$52,Dataset!$V:$V,"&gt;="&amp;$C74,Dataset!$V:$V,"&lt;"&amp;$D74)*10</f>
        <v>0</v>
      </c>
      <c r="P74" s="116">
        <f>SUMIFS(Dataset!$Z:$Z,Dataset!$E:$E,P$52,Dataset!$V:$V,"&gt;="&amp;$C74,Dataset!$V:$V,"&lt;"&amp;$D74)*10</f>
        <v>0</v>
      </c>
      <c r="Q74" s="116">
        <f>SUMIFS(Dataset!$Z:$Z,Dataset!$E:$E,Q$52,Dataset!$V:$V,"&gt;="&amp;$C74,Dataset!$V:$V,"&lt;"&amp;$D74)*10</f>
        <v>0.18242142759940208</v>
      </c>
      <c r="R74" s="116">
        <f>SUMIFS(Dataset!$Z:$Z,Dataset!$E:$E,R$52,Dataset!$V:$V,"&gt;="&amp;$C74,Dataset!$V:$V,"&lt;"&amp;$D74)*10</f>
        <v>0.46404985291300327</v>
      </c>
      <c r="S74" s="116">
        <f>SUMIFS(Dataset!$Z:$Z,Dataset!$E:$E,S$52,Dataset!$V:$V,"&gt;="&amp;$C74,Dataset!$V:$V,"&lt;"&amp;$D74)*10</f>
        <v>0.31954385291506521</v>
      </c>
      <c r="T74" s="116">
        <f>SUMIFS(Dataset!$Z:$Z,Dataset!$E:$E,T$52,Dataset!$V:$V,"&gt;="&amp;$C74,Dataset!$V:$V,"&lt;"&amp;$D74)*10</f>
        <v>1.7438178124370096</v>
      </c>
      <c r="U74" s="117">
        <f t="shared" si="9"/>
        <v>2.7098329458644801</v>
      </c>
    </row>
    <row r="75" spans="3:21" ht="15" x14ac:dyDescent="0.25">
      <c r="C75">
        <f t="shared" ref="C75:C84" si="11">+D74</f>
        <v>1.5</v>
      </c>
      <c r="D75">
        <f t="shared" ref="D75:D83" si="12">+C75+1</f>
        <v>2.5</v>
      </c>
      <c r="E75" s="31" t="str">
        <f t="shared" si="10"/>
        <v>1.5 - 2.5</v>
      </c>
      <c r="F75" s="116">
        <f>SUMIFS(Dataset!$W:$W,Dataset!$E:$E,F$71,Dataset!$V:$V,"&gt;="&amp;$C75,Dataset!$V:$V,"&lt;"&amp;$D75)</f>
        <v>0</v>
      </c>
      <c r="G75" s="116">
        <f>SUMIFS(Dataset!$W:$W,Dataset!$E:$E,G$71,Dataset!$V:$V,"&gt;="&amp;$C75,Dataset!$V:$V,"&lt;"&amp;$D75)</f>
        <v>0</v>
      </c>
      <c r="H75" s="116">
        <f>SUMIFS(Dataset!$W:$W,Dataset!$E:$E,H$71,Dataset!$V:$V,"&gt;="&amp;$C75,Dataset!$V:$V,"&lt;"&amp;$D75)</f>
        <v>3.379118815975516E-2</v>
      </c>
      <c r="I75" s="116">
        <f>SUMIFS(Dataset!$W:$W,Dataset!$E:$E,I$71,Dataset!$V:$V,"&gt;="&amp;$C75,Dataset!$V:$V,"&lt;"&amp;$D75)</f>
        <v>9.9019307890012134E-2</v>
      </c>
      <c r="J75" s="116">
        <f>SUMIFS(Dataset!$W:$W,Dataset!$E:$E,J$71,Dataset!$V:$V,"&gt;="&amp;$C75,Dataset!$V:$V,"&lt;"&amp;$D75)</f>
        <v>4.5518846476705233E-2</v>
      </c>
      <c r="K75" s="116">
        <f>SUMIFS(Dataset!$W:$W,Dataset!$E:$E,K$71,Dataset!$V:$V,"&gt;="&amp;$C75,Dataset!$V:$V,"&lt;"&amp;$D75)</f>
        <v>0</v>
      </c>
      <c r="L75" s="116">
        <f>SUMIFS(Dataset!$W:$W,Dataset!$E:$E,L$71,Dataset!$V:$V,"&gt;="&amp;$C75,Dataset!$V:$V,"&lt;"&amp;$D75)</f>
        <v>0</v>
      </c>
      <c r="M75" s="117">
        <f t="shared" si="8"/>
        <v>0.17832934252647253</v>
      </c>
      <c r="N75" s="116">
        <f>SUMIFS(Dataset!$Z:$Z,Dataset!$E:$E,N$52,Dataset!$V:$V,"&gt;="&amp;$C75,Dataset!$V:$V,"&lt;"&amp;$D75)*10</f>
        <v>0</v>
      </c>
      <c r="O75" s="116">
        <f>SUMIFS(Dataset!$Z:$Z,Dataset!$E:$E,O$52,Dataset!$V:$V,"&gt;="&amp;$C75,Dataset!$V:$V,"&lt;"&amp;$D75)*10</f>
        <v>0</v>
      </c>
      <c r="P75" s="116">
        <f>SUMIFS(Dataset!$Z:$Z,Dataset!$E:$E,P$52,Dataset!$V:$V,"&gt;="&amp;$C75,Dataset!$V:$V,"&lt;"&amp;$D75)*10</f>
        <v>0.12268138376471621</v>
      </c>
      <c r="Q75" s="116">
        <f>SUMIFS(Dataset!$Z:$Z,Dataset!$E:$E,Q$52,Dataset!$V:$V,"&gt;="&amp;$C75,Dataset!$V:$V,"&lt;"&amp;$D75)*10</f>
        <v>0.83986901097710698</v>
      </c>
      <c r="R75" s="116">
        <f>SUMIFS(Dataset!$Z:$Z,Dataset!$E:$E,R$52,Dataset!$V:$V,"&gt;="&amp;$C75,Dataset!$V:$V,"&lt;"&amp;$D75)*10</f>
        <v>0.45518846476705233</v>
      </c>
      <c r="S75" s="116">
        <f>SUMIFS(Dataset!$Z:$Z,Dataset!$E:$E,S$52,Dataset!$V:$V,"&gt;="&amp;$C75,Dataset!$V:$V,"&lt;"&amp;$D75)*10</f>
        <v>0</v>
      </c>
      <c r="T75" s="116">
        <f>SUMIFS(Dataset!$Z:$Z,Dataset!$E:$E,T$52,Dataset!$V:$V,"&gt;="&amp;$C75,Dataset!$V:$V,"&lt;"&amp;$D75)*10</f>
        <v>0</v>
      </c>
      <c r="U75" s="117">
        <f t="shared" si="9"/>
        <v>1.4177388595088756</v>
      </c>
    </row>
    <row r="76" spans="3:21" ht="15" x14ac:dyDescent="0.25">
      <c r="C76">
        <f t="shared" si="11"/>
        <v>2.5</v>
      </c>
      <c r="D76">
        <f t="shared" si="12"/>
        <v>3.5</v>
      </c>
      <c r="E76" s="31" t="str">
        <f t="shared" si="10"/>
        <v>2.5 - 3.5</v>
      </c>
      <c r="F76" s="116">
        <f>SUMIFS(Dataset!$W:$W,Dataset!$E:$E,F$71,Dataset!$V:$V,"&gt;="&amp;$C76,Dataset!$V:$V,"&lt;"&amp;$D76)</f>
        <v>0</v>
      </c>
      <c r="G76" s="116">
        <f>SUMIFS(Dataset!$W:$W,Dataset!$E:$E,G$71,Dataset!$V:$V,"&gt;="&amp;$C76,Dataset!$V:$V,"&lt;"&amp;$D76)</f>
        <v>3.8643446639164011E-2</v>
      </c>
      <c r="H76" s="116">
        <f>SUMIFS(Dataset!$W:$W,Dataset!$E:$E,H$71,Dataset!$V:$V,"&gt;="&amp;$C76,Dataset!$V:$V,"&lt;"&amp;$D76)</f>
        <v>0</v>
      </c>
      <c r="I76" s="116">
        <f>SUMIFS(Dataset!$W:$W,Dataset!$E:$E,I$71,Dataset!$V:$V,"&gt;="&amp;$C76,Dataset!$V:$V,"&lt;"&amp;$D76)</f>
        <v>0</v>
      </c>
      <c r="J76" s="116">
        <f>SUMIFS(Dataset!$W:$W,Dataset!$E:$E,J$71,Dataset!$V:$V,"&gt;="&amp;$C76,Dataset!$V:$V,"&lt;"&amp;$D76)</f>
        <v>3.4249504086654261E-3</v>
      </c>
      <c r="K76" s="116">
        <f>SUMIFS(Dataset!$W:$W,Dataset!$E:$E,K$71,Dataset!$V:$V,"&gt;="&amp;$C76,Dataset!$V:$V,"&lt;"&amp;$D76)</f>
        <v>4.1065190292444105E-2</v>
      </c>
      <c r="L76" s="116">
        <f>SUMIFS(Dataset!$W:$W,Dataset!$E:$E,L$71,Dataset!$V:$V,"&gt;="&amp;$C76,Dataset!$V:$V,"&lt;"&amp;$D76)</f>
        <v>0</v>
      </c>
      <c r="M76" s="117">
        <f t="shared" si="8"/>
        <v>8.313358734027354E-2</v>
      </c>
      <c r="N76" s="116">
        <f>SUMIFS(Dataset!$Z:$Z,Dataset!$E:$E,N$52,Dataset!$V:$V,"&gt;="&amp;$C76,Dataset!$V:$V,"&lt;"&amp;$D76)*10</f>
        <v>0</v>
      </c>
      <c r="O76" s="116">
        <f>SUMIFS(Dataset!$Z:$Z,Dataset!$E:$E,O$52,Dataset!$V:$V,"&gt;="&amp;$C76,Dataset!$V:$V,"&lt;"&amp;$D76)*10</f>
        <v>0.38643446639164014</v>
      </c>
      <c r="P76" s="116">
        <f>SUMIFS(Dataset!$Z:$Z,Dataset!$E:$E,P$52,Dataset!$V:$V,"&gt;="&amp;$C76,Dataset!$V:$V,"&lt;"&amp;$D76)*10</f>
        <v>0</v>
      </c>
      <c r="Q76" s="116">
        <f>SUMIFS(Dataset!$Z:$Z,Dataset!$E:$E,Q$52,Dataset!$V:$V,"&gt;="&amp;$C76,Dataset!$V:$V,"&lt;"&amp;$D76)*10</f>
        <v>0</v>
      </c>
      <c r="R76" s="116">
        <f>SUMIFS(Dataset!$Z:$Z,Dataset!$E:$E,R$52,Dataset!$V:$V,"&gt;="&amp;$C76,Dataset!$V:$V,"&lt;"&amp;$D76)*10</f>
        <v>0.34560863214714754</v>
      </c>
      <c r="S76" s="116">
        <f>SUMIFS(Dataset!$Z:$Z,Dataset!$E:$E,S$52,Dataset!$V:$V,"&gt;="&amp;$C76,Dataset!$V:$V,"&lt;"&amp;$D76)*10</f>
        <v>0.41065190292444104</v>
      </c>
      <c r="T76" s="116">
        <f>SUMIFS(Dataset!$Z:$Z,Dataset!$E:$E,T$52,Dataset!$V:$V,"&gt;="&amp;$C76,Dataset!$V:$V,"&lt;"&amp;$D76)*10</f>
        <v>0</v>
      </c>
      <c r="U76" s="117">
        <f t="shared" si="9"/>
        <v>1.1426950014632287</v>
      </c>
    </row>
    <row r="77" spans="3:21" ht="15" x14ac:dyDescent="0.25">
      <c r="C77">
        <f t="shared" si="11"/>
        <v>3.5</v>
      </c>
      <c r="D77">
        <f t="shared" si="12"/>
        <v>4.5</v>
      </c>
      <c r="E77" s="31" t="str">
        <f t="shared" si="10"/>
        <v>3.5 - 4.5</v>
      </c>
      <c r="F77" s="116">
        <f>SUMIFS(Dataset!$W:$W,Dataset!$E:$E,F$71,Dataset!$V:$V,"&gt;="&amp;$C77,Dataset!$V:$V,"&lt;"&amp;$D77)</f>
        <v>0</v>
      </c>
      <c r="G77" s="116">
        <f>SUMIFS(Dataset!$W:$W,Dataset!$E:$E,G$71,Dataset!$V:$V,"&gt;="&amp;$C77,Dataset!$V:$V,"&lt;"&amp;$D77)</f>
        <v>0.14287422779948966</v>
      </c>
      <c r="H77" s="116">
        <f>SUMIFS(Dataset!$W:$W,Dataset!$E:$E,H$71,Dataset!$V:$V,"&gt;="&amp;$C77,Dataset!$V:$V,"&lt;"&amp;$D77)</f>
        <v>0</v>
      </c>
      <c r="I77" s="116">
        <f>SUMIFS(Dataset!$W:$W,Dataset!$E:$E,I$71,Dataset!$V:$V,"&gt;="&amp;$C77,Dataset!$V:$V,"&lt;"&amp;$D77)</f>
        <v>8.5952830421844179E-2</v>
      </c>
      <c r="J77" s="116">
        <f>SUMIFS(Dataset!$W:$W,Dataset!$E:$E,J$71,Dataset!$V:$V,"&gt;="&amp;$C77,Dataset!$V:$V,"&lt;"&amp;$D77)</f>
        <v>8.3216684083239539E-2</v>
      </c>
      <c r="K77" s="116">
        <f>SUMIFS(Dataset!$W:$W,Dataset!$E:$E,K$71,Dataset!$V:$V,"&gt;="&amp;$C77,Dataset!$V:$V,"&lt;"&amp;$D77)</f>
        <v>4.5918226078061265E-2</v>
      </c>
      <c r="L77" s="116">
        <f>SUMIFS(Dataset!$W:$W,Dataset!$E:$E,L$71,Dataset!$V:$V,"&gt;="&amp;$C77,Dataset!$V:$V,"&lt;"&amp;$D77)</f>
        <v>0</v>
      </c>
      <c r="M77" s="117">
        <f t="shared" si="8"/>
        <v>0.35796196838263467</v>
      </c>
      <c r="N77" s="116">
        <f>SUMIFS(Dataset!$Z:$Z,Dataset!$E:$E,N$52,Dataset!$V:$V,"&gt;="&amp;$C77,Dataset!$V:$V,"&lt;"&amp;$D77)*10</f>
        <v>0</v>
      </c>
      <c r="O77" s="116">
        <f>SUMIFS(Dataset!$Z:$Z,Dataset!$E:$E,O$52,Dataset!$V:$V,"&gt;="&amp;$C77,Dataset!$V:$V,"&lt;"&amp;$D77)*10</f>
        <v>1.4287422779948966</v>
      </c>
      <c r="P77" s="116">
        <f>SUMIFS(Dataset!$Z:$Z,Dataset!$E:$E,P$52,Dataset!$V:$V,"&gt;="&amp;$C77,Dataset!$V:$V,"&lt;"&amp;$D77)*10</f>
        <v>0</v>
      </c>
      <c r="Q77" s="116">
        <f>SUMIFS(Dataset!$Z:$Z,Dataset!$E:$E,Q$52,Dataset!$V:$V,"&gt;="&amp;$C77,Dataset!$V:$V,"&lt;"&amp;$D77)*10</f>
        <v>1.0722828349655809</v>
      </c>
      <c r="R77" s="116">
        <f>SUMIFS(Dataset!$Z:$Z,Dataset!$E:$E,R$52,Dataset!$V:$V,"&gt;="&amp;$C77,Dataset!$V:$V,"&lt;"&amp;$D77)*10</f>
        <v>0.83216684083239545</v>
      </c>
      <c r="S77" s="116">
        <f>SUMIFS(Dataset!$Z:$Z,Dataset!$E:$E,S$52,Dataset!$V:$V,"&gt;="&amp;$C77,Dataset!$V:$V,"&lt;"&amp;$D77)*10</f>
        <v>0.45918226078061264</v>
      </c>
      <c r="T77" s="116">
        <f>SUMIFS(Dataset!$Z:$Z,Dataset!$E:$E,T$52,Dataset!$V:$V,"&gt;="&amp;$C77,Dataset!$V:$V,"&lt;"&amp;$D77)*10</f>
        <v>0</v>
      </c>
      <c r="U77" s="117">
        <f t="shared" si="9"/>
        <v>3.7923742145734858</v>
      </c>
    </row>
    <row r="78" spans="3:21" ht="15" x14ac:dyDescent="0.25">
      <c r="C78">
        <f t="shared" si="11"/>
        <v>4.5</v>
      </c>
      <c r="D78">
        <f t="shared" si="12"/>
        <v>5.5</v>
      </c>
      <c r="E78" s="31" t="str">
        <f t="shared" si="10"/>
        <v>4.5 - 5.5</v>
      </c>
      <c r="F78" s="116">
        <f>SUMIFS(Dataset!$W:$W,Dataset!$E:$E,F$71,Dataset!$V:$V,"&gt;="&amp;$C78,Dataset!$V:$V,"&lt;"&amp;$D78)</f>
        <v>0</v>
      </c>
      <c r="G78" s="116">
        <f>SUMIFS(Dataset!$W:$W,Dataset!$E:$E,G$71,Dataset!$V:$V,"&gt;="&amp;$C78,Dataset!$V:$V,"&lt;"&amp;$D78)</f>
        <v>0.41741132641245449</v>
      </c>
      <c r="H78" s="116">
        <f>SUMIFS(Dataset!$W:$W,Dataset!$E:$E,H$71,Dataset!$V:$V,"&gt;="&amp;$C78,Dataset!$V:$V,"&lt;"&amp;$D78)</f>
        <v>0</v>
      </c>
      <c r="I78" s="116">
        <f>SUMIFS(Dataset!$W:$W,Dataset!$E:$E,I$71,Dataset!$V:$V,"&gt;="&amp;$C78,Dataset!$V:$V,"&lt;"&amp;$D78)</f>
        <v>0.25884647910921499</v>
      </c>
      <c r="J78" s="116">
        <f>SUMIFS(Dataset!$W:$W,Dataset!$E:$E,J$71,Dataset!$V:$V,"&gt;="&amp;$C78,Dataset!$V:$V,"&lt;"&amp;$D78)</f>
        <v>0.2594498222678488</v>
      </c>
      <c r="K78" s="116">
        <f>SUMIFS(Dataset!$W:$W,Dataset!$E:$E,K$71,Dataset!$V:$V,"&gt;="&amp;$C78,Dataset!$V:$V,"&lt;"&amp;$D78)</f>
        <v>0</v>
      </c>
      <c r="L78" s="116">
        <f>SUMIFS(Dataset!$W:$W,Dataset!$E:$E,L$71,Dataset!$V:$V,"&gt;="&amp;$C78,Dataset!$V:$V,"&lt;"&amp;$D78)</f>
        <v>0</v>
      </c>
      <c r="M78" s="117">
        <f t="shared" si="8"/>
        <v>0.93570762778951821</v>
      </c>
      <c r="N78" s="116">
        <f>SUMIFS(Dataset!$Z:$Z,Dataset!$E:$E,N$52,Dataset!$V:$V,"&gt;="&amp;$C78,Dataset!$V:$V,"&lt;"&amp;$D78)*10</f>
        <v>0</v>
      </c>
      <c r="O78" s="116">
        <f>SUMIFS(Dataset!$Z:$Z,Dataset!$E:$E,O$52,Dataset!$V:$V,"&gt;="&amp;$C78,Dataset!$V:$V,"&lt;"&amp;$D78)*10</f>
        <v>4.1741132641245446</v>
      </c>
      <c r="P78" s="116">
        <f>SUMIFS(Dataset!$Z:$Z,Dataset!$E:$E,P$52,Dataset!$V:$V,"&gt;="&amp;$C78,Dataset!$V:$V,"&lt;"&amp;$D78)*10</f>
        <v>0</v>
      </c>
      <c r="Q78" s="116">
        <f>SUMIFS(Dataset!$Z:$Z,Dataset!$E:$E,Q$52,Dataset!$V:$V,"&gt;="&amp;$C78,Dataset!$V:$V,"&lt;"&amp;$D78)*10</f>
        <v>2.5884647910921501</v>
      </c>
      <c r="R78" s="116">
        <f>SUMIFS(Dataset!$Z:$Z,Dataset!$E:$E,R$52,Dataset!$V:$V,"&gt;="&amp;$C78,Dataset!$V:$V,"&lt;"&amp;$D78)*10</f>
        <v>2.5944982226784878</v>
      </c>
      <c r="S78" s="116">
        <f>SUMIFS(Dataset!$Z:$Z,Dataset!$E:$E,S$52,Dataset!$V:$V,"&gt;="&amp;$C78,Dataset!$V:$V,"&lt;"&amp;$D78)*10</f>
        <v>0</v>
      </c>
      <c r="T78" s="116">
        <f>SUMIFS(Dataset!$Z:$Z,Dataset!$E:$E,T$52,Dataset!$V:$V,"&gt;="&amp;$C78,Dataset!$V:$V,"&lt;"&amp;$D78)*10</f>
        <v>0</v>
      </c>
      <c r="U78" s="117">
        <f t="shared" si="9"/>
        <v>9.3570762778951817</v>
      </c>
    </row>
    <row r="79" spans="3:21" ht="15" x14ac:dyDescent="0.25">
      <c r="C79">
        <f t="shared" si="11"/>
        <v>5.5</v>
      </c>
      <c r="D79">
        <f t="shared" si="12"/>
        <v>6.5</v>
      </c>
      <c r="E79" s="31" t="str">
        <f t="shared" si="10"/>
        <v>5.5 - 6.5</v>
      </c>
      <c r="F79" s="116">
        <f>SUMIFS(Dataset!$W:$W,Dataset!$E:$E,F$71,Dataset!$V:$V,"&gt;="&amp;$C79,Dataset!$V:$V,"&lt;"&amp;$D79)</f>
        <v>0</v>
      </c>
      <c r="G79" s="116">
        <f>SUMIFS(Dataset!$W:$W,Dataset!$E:$E,G$71,Dataset!$V:$V,"&gt;="&amp;$C79,Dataset!$V:$V,"&lt;"&amp;$D79)</f>
        <v>0</v>
      </c>
      <c r="H79" s="116">
        <f>SUMIFS(Dataset!$W:$W,Dataset!$E:$E,H$71,Dataset!$V:$V,"&gt;="&amp;$C79,Dataset!$V:$V,"&lt;"&amp;$D79)</f>
        <v>0</v>
      </c>
      <c r="I79" s="116">
        <f>SUMIFS(Dataset!$W:$W,Dataset!$E:$E,I$71,Dataset!$V:$V,"&gt;="&amp;$C79,Dataset!$V:$V,"&lt;"&amp;$D79)</f>
        <v>0</v>
      </c>
      <c r="J79" s="116">
        <f>SUMIFS(Dataset!$W:$W,Dataset!$E:$E,J$71,Dataset!$V:$V,"&gt;="&amp;$C79,Dataset!$V:$V,"&lt;"&amp;$D79)</f>
        <v>6.0302195879896769E-2</v>
      </c>
      <c r="K79" s="116">
        <f>SUMIFS(Dataset!$W:$W,Dataset!$E:$E,K$71,Dataset!$V:$V,"&gt;="&amp;$C79,Dataset!$V:$V,"&lt;"&amp;$D79)</f>
        <v>0</v>
      </c>
      <c r="L79" s="116">
        <f>SUMIFS(Dataset!$W:$W,Dataset!$E:$E,L$71,Dataset!$V:$V,"&gt;="&amp;$C79,Dataset!$V:$V,"&lt;"&amp;$D79)</f>
        <v>9.0725316129544348E-2</v>
      </c>
      <c r="M79" s="117">
        <f t="shared" si="8"/>
        <v>0.15102751200944112</v>
      </c>
      <c r="N79" s="116">
        <f>SUMIFS(Dataset!$Z:$Z,Dataset!$E:$E,N$52,Dataset!$V:$V,"&gt;="&amp;$C79,Dataset!$V:$V,"&lt;"&amp;$D79)*10</f>
        <v>0</v>
      </c>
      <c r="O79" s="116">
        <f>SUMIFS(Dataset!$Z:$Z,Dataset!$E:$E,O$52,Dataset!$V:$V,"&gt;="&amp;$C79,Dataset!$V:$V,"&lt;"&amp;$D79)*10</f>
        <v>0</v>
      </c>
      <c r="P79" s="116">
        <f>SUMIFS(Dataset!$Z:$Z,Dataset!$E:$E,P$52,Dataset!$V:$V,"&gt;="&amp;$C79,Dataset!$V:$V,"&lt;"&amp;$D79)*10</f>
        <v>0</v>
      </c>
      <c r="Q79" s="116">
        <f>SUMIFS(Dataset!$Z:$Z,Dataset!$E:$E,Q$52,Dataset!$V:$V,"&gt;="&amp;$C79,Dataset!$V:$V,"&lt;"&amp;$D79)*10</f>
        <v>0</v>
      </c>
      <c r="R79" s="116">
        <f>SUMIFS(Dataset!$Z:$Z,Dataset!$E:$E,R$52,Dataset!$V:$V,"&gt;="&amp;$C79,Dataset!$V:$V,"&lt;"&amp;$D79)*10</f>
        <v>0.60302195879896769</v>
      </c>
      <c r="S79" s="116">
        <f>SUMIFS(Dataset!$Z:$Z,Dataset!$E:$E,S$52,Dataset!$V:$V,"&gt;="&amp;$C79,Dataset!$V:$V,"&lt;"&amp;$D79)*10</f>
        <v>0</v>
      </c>
      <c r="T79" s="116">
        <f>SUMIFS(Dataset!$Z:$Z,Dataset!$E:$E,T$52,Dataset!$V:$V,"&gt;="&amp;$C79,Dataset!$V:$V,"&lt;"&amp;$D79)*10</f>
        <v>0.90725316129544353</v>
      </c>
      <c r="U79" s="117">
        <f t="shared" si="9"/>
        <v>1.5102751200944113</v>
      </c>
    </row>
    <row r="80" spans="3:21" ht="15" x14ac:dyDescent="0.25">
      <c r="C80">
        <f t="shared" si="11"/>
        <v>6.5</v>
      </c>
      <c r="D80">
        <f t="shared" si="12"/>
        <v>7.5</v>
      </c>
      <c r="E80" s="31" t="str">
        <f t="shared" si="10"/>
        <v>6.5 - 7.5</v>
      </c>
      <c r="F80" s="116">
        <f>SUMIFS(Dataset!$W:$W,Dataset!$E:$E,F$71,Dataset!$V:$V,"&gt;="&amp;$C80,Dataset!$V:$V,"&lt;"&amp;$D80)</f>
        <v>0</v>
      </c>
      <c r="G80" s="116">
        <f>SUMIFS(Dataset!$W:$W,Dataset!$E:$E,G$71,Dataset!$V:$V,"&gt;="&amp;$C80,Dataset!$V:$V,"&lt;"&amp;$D80)</f>
        <v>0.29787082959284961</v>
      </c>
      <c r="H80" s="116">
        <f>SUMIFS(Dataset!$W:$W,Dataset!$E:$E,H$71,Dataset!$V:$V,"&gt;="&amp;$C80,Dataset!$V:$V,"&lt;"&amp;$D80)</f>
        <v>0</v>
      </c>
      <c r="I80" s="116">
        <f>SUMIFS(Dataset!$W:$W,Dataset!$E:$E,I$71,Dataset!$V:$V,"&gt;="&amp;$C80,Dataset!$V:$V,"&lt;"&amp;$D80)</f>
        <v>1.7971773112276782E-2</v>
      </c>
      <c r="J80" s="116">
        <f>SUMIFS(Dataset!$W:$W,Dataset!$E:$E,J$71,Dataset!$V:$V,"&gt;="&amp;$C80,Dataset!$V:$V,"&lt;"&amp;$D80)</f>
        <v>0</v>
      </c>
      <c r="K80" s="116">
        <f>SUMIFS(Dataset!$W:$W,Dataset!$E:$E,K$71,Dataset!$V:$V,"&gt;="&amp;$C80,Dataset!$V:$V,"&lt;"&amp;$D80)</f>
        <v>0</v>
      </c>
      <c r="L80" s="116">
        <f>SUMIFS(Dataset!$W:$W,Dataset!$E:$E,L$71,Dataset!$V:$V,"&gt;="&amp;$C80,Dataset!$V:$V,"&lt;"&amp;$D80)</f>
        <v>0</v>
      </c>
      <c r="M80" s="117">
        <f t="shared" si="8"/>
        <v>0.31584260270512637</v>
      </c>
      <c r="N80" s="116">
        <f>SUMIFS(Dataset!$Z:$Z,Dataset!$E:$E,N$52,Dataset!$V:$V,"&gt;="&amp;$C80,Dataset!$V:$V,"&lt;"&amp;$D80)*10</f>
        <v>0</v>
      </c>
      <c r="O80" s="116">
        <f>SUMIFS(Dataset!$Z:$Z,Dataset!$E:$E,O$52,Dataset!$V:$V,"&gt;="&amp;$C80,Dataset!$V:$V,"&lt;"&amp;$D80)*10</f>
        <v>2.9787082959284961</v>
      </c>
      <c r="P80" s="116">
        <f>SUMIFS(Dataset!$Z:$Z,Dataset!$E:$E,P$52,Dataset!$V:$V,"&gt;="&amp;$C80,Dataset!$V:$V,"&lt;"&amp;$D80)*10</f>
        <v>0</v>
      </c>
      <c r="Q80" s="116">
        <f>SUMIFS(Dataset!$Z:$Z,Dataset!$E:$E,Q$52,Dataset!$V:$V,"&gt;="&amp;$C80,Dataset!$V:$V,"&lt;"&amp;$D80)*10</f>
        <v>0.17971773112276782</v>
      </c>
      <c r="R80" s="116">
        <f>SUMIFS(Dataset!$Z:$Z,Dataset!$E:$E,R$52,Dataset!$V:$V,"&gt;="&amp;$C80,Dataset!$V:$V,"&lt;"&amp;$D80)*10</f>
        <v>0</v>
      </c>
      <c r="S80" s="116">
        <f>SUMIFS(Dataset!$Z:$Z,Dataset!$E:$E,S$52,Dataset!$V:$V,"&gt;="&amp;$C80,Dataset!$V:$V,"&lt;"&amp;$D80)*10</f>
        <v>0</v>
      </c>
      <c r="T80" s="116">
        <f>SUMIFS(Dataset!$Z:$Z,Dataset!$E:$E,T$52,Dataset!$V:$V,"&gt;="&amp;$C80,Dataset!$V:$V,"&lt;"&amp;$D80)*10</f>
        <v>0</v>
      </c>
      <c r="U80" s="117">
        <f t="shared" si="9"/>
        <v>3.1584260270512639</v>
      </c>
    </row>
    <row r="81" spans="3:21" ht="15" x14ac:dyDescent="0.25">
      <c r="C81">
        <f t="shared" si="11"/>
        <v>7.5</v>
      </c>
      <c r="D81">
        <f t="shared" si="12"/>
        <v>8.5</v>
      </c>
      <c r="E81" s="31" t="str">
        <f t="shared" si="10"/>
        <v>7.5 - 8.5</v>
      </c>
      <c r="F81" s="116">
        <f>SUMIFS(Dataset!$W:$W,Dataset!$E:$E,F$71,Dataset!$V:$V,"&gt;="&amp;$C81,Dataset!$V:$V,"&lt;"&amp;$D81)</f>
        <v>0</v>
      </c>
      <c r="G81" s="116">
        <f>SUMIFS(Dataset!$W:$W,Dataset!$E:$E,G$71,Dataset!$V:$V,"&gt;="&amp;$C81,Dataset!$V:$V,"&lt;"&amp;$D81)</f>
        <v>0.29844127845802937</v>
      </c>
      <c r="H81" s="116">
        <f>SUMIFS(Dataset!$W:$W,Dataset!$E:$E,H$71,Dataset!$V:$V,"&gt;="&amp;$C81,Dataset!$V:$V,"&lt;"&amp;$D81)</f>
        <v>0</v>
      </c>
      <c r="I81" s="116">
        <f>SUMIFS(Dataset!$W:$W,Dataset!$E:$E,I$71,Dataset!$V:$V,"&gt;="&amp;$C81,Dataset!$V:$V,"&lt;"&amp;$D81)</f>
        <v>0.57842974371733091</v>
      </c>
      <c r="J81" s="116">
        <f>SUMIFS(Dataset!$W:$W,Dataset!$E:$E,J$71,Dataset!$V:$V,"&gt;="&amp;$C81,Dataset!$V:$V,"&lt;"&amp;$D81)</f>
        <v>0</v>
      </c>
      <c r="K81" s="116">
        <f>SUMIFS(Dataset!$W:$W,Dataset!$E:$E,K$71,Dataset!$V:$V,"&gt;="&amp;$C81,Dataset!$V:$V,"&lt;"&amp;$D81)</f>
        <v>0.13435166011221739</v>
      </c>
      <c r="L81" s="116">
        <f>SUMIFS(Dataset!$W:$W,Dataset!$E:$E,L$71,Dataset!$V:$V,"&gt;="&amp;$C81,Dataset!$V:$V,"&lt;"&amp;$D81)</f>
        <v>0</v>
      </c>
      <c r="M81" s="117">
        <f t="shared" si="8"/>
        <v>1.0112226822875776</v>
      </c>
      <c r="N81" s="116">
        <f>SUMIFS(Dataset!$Z:$Z,Dataset!$E:$E,N$52,Dataset!$V:$V,"&gt;="&amp;$C81,Dataset!$V:$V,"&lt;"&amp;$D81)*10</f>
        <v>0</v>
      </c>
      <c r="O81" s="116">
        <f>SUMIFS(Dataset!$Z:$Z,Dataset!$E:$E,O$52,Dataset!$V:$V,"&gt;="&amp;$C81,Dataset!$V:$V,"&lt;"&amp;$D81)*10</f>
        <v>2.9844127845802939</v>
      </c>
      <c r="P81" s="116">
        <f>SUMIFS(Dataset!$Z:$Z,Dataset!$E:$E,P$52,Dataset!$V:$V,"&gt;="&amp;$C81,Dataset!$V:$V,"&lt;"&amp;$D81)*10</f>
        <v>0</v>
      </c>
      <c r="Q81" s="116">
        <f>SUMIFS(Dataset!$Z:$Z,Dataset!$E:$E,Q$52,Dataset!$V:$V,"&gt;="&amp;$C81,Dataset!$V:$V,"&lt;"&amp;$D81)*10</f>
        <v>5.7842974371733096</v>
      </c>
      <c r="R81" s="116">
        <f>SUMIFS(Dataset!$Z:$Z,Dataset!$E:$E,R$52,Dataset!$V:$V,"&gt;="&amp;$C81,Dataset!$V:$V,"&lt;"&amp;$D81)*10</f>
        <v>0</v>
      </c>
      <c r="S81" s="116">
        <f>SUMIFS(Dataset!$Z:$Z,Dataset!$E:$E,S$52,Dataset!$V:$V,"&gt;="&amp;$C81,Dataset!$V:$V,"&lt;"&amp;$D81)*10</f>
        <v>3.6543133971653607</v>
      </c>
      <c r="T81" s="116">
        <f>SUMIFS(Dataset!$Z:$Z,Dataset!$E:$E,T$52,Dataset!$V:$V,"&gt;="&amp;$C81,Dataset!$V:$V,"&lt;"&amp;$D81)*10</f>
        <v>0</v>
      </c>
      <c r="U81" s="117">
        <f t="shared" si="9"/>
        <v>12.423023618918965</v>
      </c>
    </row>
    <row r="82" spans="3:21" ht="15" x14ac:dyDescent="0.25">
      <c r="C82">
        <f t="shared" si="11"/>
        <v>8.5</v>
      </c>
      <c r="D82">
        <f t="shared" si="12"/>
        <v>9.5</v>
      </c>
      <c r="E82" s="31" t="str">
        <f t="shared" si="10"/>
        <v>8.5 - 9.5</v>
      </c>
      <c r="F82" s="116">
        <f>SUMIFS(Dataset!$W:$W,Dataset!$E:$E,F$71,Dataset!$V:$V,"&gt;="&amp;$C82,Dataset!$V:$V,"&lt;"&amp;$D82)</f>
        <v>0.16823685729548832</v>
      </c>
      <c r="G82" s="116">
        <f>SUMIFS(Dataset!$W:$W,Dataset!$E:$E,G$71,Dataset!$V:$V,"&gt;="&amp;$C82,Dataset!$V:$V,"&lt;"&amp;$D82)</f>
        <v>0.25810579112796689</v>
      </c>
      <c r="H82" s="116">
        <f>SUMIFS(Dataset!$W:$W,Dataset!$E:$E,H$71,Dataset!$V:$V,"&gt;="&amp;$C82,Dataset!$V:$V,"&lt;"&amp;$D82)</f>
        <v>0</v>
      </c>
      <c r="I82" s="116">
        <f>SUMIFS(Dataset!$W:$W,Dataset!$E:$E,I$71,Dataset!$V:$V,"&gt;="&amp;$C82,Dataset!$V:$V,"&lt;"&amp;$D82)</f>
        <v>0</v>
      </c>
      <c r="J82" s="116">
        <f>SUMIFS(Dataset!$W:$W,Dataset!$E:$E,J$71,Dataset!$V:$V,"&gt;="&amp;$C82,Dataset!$V:$V,"&lt;"&amp;$D82)</f>
        <v>0</v>
      </c>
      <c r="K82" s="116">
        <f>SUMIFS(Dataset!$W:$W,Dataset!$E:$E,K$71,Dataset!$V:$V,"&gt;="&amp;$C82,Dataset!$V:$V,"&lt;"&amp;$D82)</f>
        <v>0</v>
      </c>
      <c r="L82" s="116">
        <f>SUMIFS(Dataset!$W:$W,Dataset!$E:$E,L$71,Dataset!$V:$V,"&gt;="&amp;$C82,Dataset!$V:$V,"&lt;"&amp;$D82)</f>
        <v>0</v>
      </c>
      <c r="M82" s="117">
        <f t="shared" si="8"/>
        <v>0.42634264842345521</v>
      </c>
      <c r="N82" s="116">
        <f>SUMIFS(Dataset!$Z:$Z,Dataset!$E:$E,N$52,Dataset!$V:$V,"&gt;="&amp;$C82,Dataset!$V:$V,"&lt;"&amp;$D82)*10</f>
        <v>2.6051756079903745</v>
      </c>
      <c r="O82" s="116">
        <f>SUMIFS(Dataset!$Z:$Z,Dataset!$E:$E,O$52,Dataset!$V:$V,"&gt;="&amp;$C82,Dataset!$V:$V,"&lt;"&amp;$D82)*10</f>
        <v>2.581057911279669</v>
      </c>
      <c r="P82" s="116">
        <f>SUMIFS(Dataset!$Z:$Z,Dataset!$E:$E,P$52,Dataset!$V:$V,"&gt;="&amp;$C82,Dataset!$V:$V,"&lt;"&amp;$D82)*10</f>
        <v>0</v>
      </c>
      <c r="Q82" s="116">
        <f>SUMIFS(Dataset!$Z:$Z,Dataset!$E:$E,Q$52,Dataset!$V:$V,"&gt;="&amp;$C82,Dataset!$V:$V,"&lt;"&amp;$D82)*10</f>
        <v>0</v>
      </c>
      <c r="R82" s="116">
        <f>SUMIFS(Dataset!$Z:$Z,Dataset!$E:$E,R$52,Dataset!$V:$V,"&gt;="&amp;$C82,Dataset!$V:$V,"&lt;"&amp;$D82)*10</f>
        <v>0</v>
      </c>
      <c r="S82" s="116">
        <f>SUMIFS(Dataset!$Z:$Z,Dataset!$E:$E,S$52,Dataset!$V:$V,"&gt;="&amp;$C82,Dataset!$V:$V,"&lt;"&amp;$D82)*10</f>
        <v>0</v>
      </c>
      <c r="T82" s="116">
        <f>SUMIFS(Dataset!$Z:$Z,Dataset!$E:$E,T$52,Dataset!$V:$V,"&gt;="&amp;$C82,Dataset!$V:$V,"&lt;"&amp;$D82)*10</f>
        <v>0</v>
      </c>
      <c r="U82" s="117">
        <f t="shared" si="9"/>
        <v>5.1862335192700435</v>
      </c>
    </row>
    <row r="83" spans="3:21" ht="15" x14ac:dyDescent="0.25">
      <c r="C83">
        <f t="shared" si="11"/>
        <v>9.5</v>
      </c>
      <c r="D83">
        <f t="shared" si="12"/>
        <v>10.5</v>
      </c>
      <c r="E83" s="31" t="str">
        <f t="shared" si="10"/>
        <v>9.5 - 10.5</v>
      </c>
      <c r="F83" s="116">
        <f>SUMIFS(Dataset!$W:$W,Dataset!$E:$E,F$71,Dataset!$V:$V,"&gt;="&amp;$C83,Dataset!$V:$V,"&lt;"&amp;$D83)</f>
        <v>0.12267488161062175</v>
      </c>
      <c r="G83" s="116">
        <f>SUMIFS(Dataset!$W:$W,Dataset!$E:$E,G$71,Dataset!$V:$V,"&gt;="&amp;$C83,Dataset!$V:$V,"&lt;"&amp;$D83)</f>
        <v>0.63199808825075032</v>
      </c>
      <c r="H83" s="116">
        <f>SUMIFS(Dataset!$W:$W,Dataset!$E:$E,H$71,Dataset!$V:$V,"&gt;="&amp;$C83,Dataset!$V:$V,"&lt;"&amp;$D83)</f>
        <v>0</v>
      </c>
      <c r="I83" s="116">
        <f>SUMIFS(Dataset!$W:$W,Dataset!$E:$E,I$71,Dataset!$V:$V,"&gt;="&amp;$C83,Dataset!$V:$V,"&lt;"&amp;$D83)</f>
        <v>0.14958670814329703</v>
      </c>
      <c r="J83" s="116">
        <f>SUMIFS(Dataset!$W:$W,Dataset!$E:$E,J$71,Dataset!$V:$V,"&gt;="&amp;$C83,Dataset!$V:$V,"&lt;"&amp;$D83)</f>
        <v>0.2546409061034296</v>
      </c>
      <c r="K83" s="116">
        <f>SUMIFS(Dataset!$W:$W,Dataset!$E:$E,K$71,Dataset!$V:$V,"&gt;="&amp;$C83,Dataset!$V:$V,"&lt;"&amp;$D83)</f>
        <v>0</v>
      </c>
      <c r="L83" s="116">
        <f>SUMIFS(Dataset!$W:$W,Dataset!$E:$E,L$71,Dataset!$V:$V,"&gt;="&amp;$C83,Dataset!$V:$V,"&lt;"&amp;$D83)</f>
        <v>0</v>
      </c>
      <c r="M83" s="117">
        <f t="shared" si="8"/>
        <v>1.1589005841080988</v>
      </c>
      <c r="N83" s="116">
        <f>SUMIFS(Dataset!$Z:$Z,Dataset!$E:$E,N$52,Dataset!$V:$V,"&gt;="&amp;$C83,Dataset!$V:$V,"&lt;"&amp;$D83)*10</f>
        <v>1.2267488161062174</v>
      </c>
      <c r="O83" s="116">
        <f>SUMIFS(Dataset!$Z:$Z,Dataset!$E:$E,O$52,Dataset!$V:$V,"&gt;="&amp;$C83,Dataset!$V:$V,"&lt;"&amp;$D83)*10</f>
        <v>6.8081852029781604</v>
      </c>
      <c r="P83" s="116">
        <f>SUMIFS(Dataset!$Z:$Z,Dataset!$E:$E,P$52,Dataset!$V:$V,"&gt;="&amp;$C83,Dataset!$V:$V,"&lt;"&amp;$D83)*10</f>
        <v>0</v>
      </c>
      <c r="Q83" s="116">
        <f>SUMIFS(Dataset!$Z:$Z,Dataset!$E:$E,Q$52,Dataset!$V:$V,"&gt;="&amp;$C83,Dataset!$V:$V,"&lt;"&amp;$D83)*10</f>
        <v>1.4958670814329702</v>
      </c>
      <c r="R83" s="116">
        <f>SUMIFS(Dataset!$Z:$Z,Dataset!$E:$E,R$52,Dataset!$V:$V,"&gt;="&amp;$C83,Dataset!$V:$V,"&lt;"&amp;$D83)*10</f>
        <v>3.5338034922131007</v>
      </c>
      <c r="S83" s="116">
        <f>SUMIFS(Dataset!$Z:$Z,Dataset!$E:$E,S$52,Dataset!$V:$V,"&gt;="&amp;$C83,Dataset!$V:$V,"&lt;"&amp;$D83)*10</f>
        <v>0</v>
      </c>
      <c r="T83" s="116">
        <f>SUMIFS(Dataset!$Z:$Z,Dataset!$E:$E,T$52,Dataset!$V:$V,"&gt;="&amp;$C83,Dataset!$V:$V,"&lt;"&amp;$D83)*10</f>
        <v>0</v>
      </c>
      <c r="U83" s="117">
        <f t="shared" si="9"/>
        <v>13.064604592730449</v>
      </c>
    </row>
    <row r="84" spans="3:21" ht="15" x14ac:dyDescent="0.25">
      <c r="C84">
        <f t="shared" si="11"/>
        <v>10.5</v>
      </c>
      <c r="D84">
        <v>100</v>
      </c>
      <c r="E84" s="31" t="s">
        <v>346</v>
      </c>
      <c r="F84" s="116">
        <f>SUMIFS(Dataset!$W:$W,Dataset!$E:$E,F$71,Dataset!$V:$V,"&gt;="&amp;$C84,Dataset!$V:$V,"&lt;"&amp;$D84)</f>
        <v>0</v>
      </c>
      <c r="G84" s="116">
        <f>SUMIFS(Dataset!$W:$W,Dataset!$E:$E,G$71,Dataset!$V:$V,"&gt;="&amp;$C84,Dataset!$V:$V,"&lt;"&amp;$D84)</f>
        <v>0</v>
      </c>
      <c r="H84" s="116">
        <f>SUMIFS(Dataset!$W:$W,Dataset!$E:$E,H$71,Dataset!$V:$V,"&gt;="&amp;$C84,Dataset!$V:$V,"&lt;"&amp;$D84)</f>
        <v>0</v>
      </c>
      <c r="I84" s="116">
        <f>SUMIFS(Dataset!$W:$W,Dataset!$E:$E,I$71,Dataset!$V:$V,"&gt;="&amp;$C84,Dataset!$V:$V,"&lt;"&amp;$D84)</f>
        <v>0</v>
      </c>
      <c r="J84" s="116">
        <f>SUMIFS(Dataset!$W:$W,Dataset!$E:$E,J$71,Dataset!$V:$V,"&gt;="&amp;$C84,Dataset!$V:$V,"&lt;"&amp;$D84)</f>
        <v>0</v>
      </c>
      <c r="K84" s="116">
        <f>SUMIFS(Dataset!$W:$W,Dataset!$E:$E,K$71,Dataset!$V:$V,"&gt;="&amp;$C84,Dataset!$V:$V,"&lt;"&amp;$D84)</f>
        <v>0</v>
      </c>
      <c r="L84" s="116">
        <f>SUMIFS(Dataset!$W:$W,Dataset!$E:$E,L$71,Dataset!$V:$V,"&gt;="&amp;$C84,Dataset!$V:$V,"&lt;"&amp;$D84)</f>
        <v>0</v>
      </c>
      <c r="M84" s="117">
        <f t="shared" si="8"/>
        <v>0</v>
      </c>
      <c r="N84" s="116">
        <f>SUMIFS(Dataset!$Z:$Z,Dataset!$E:$E,N$52,Dataset!$V:$V,"&gt;="&amp;$C84,Dataset!$V:$V,"&lt;"&amp;$D84)*10</f>
        <v>0</v>
      </c>
      <c r="O84" s="116">
        <f>SUMIFS(Dataset!$Z:$Z,Dataset!$E:$E,O$52,Dataset!$V:$V,"&gt;="&amp;$C84,Dataset!$V:$V,"&lt;"&amp;$D84)*10</f>
        <v>0</v>
      </c>
      <c r="P84" s="116">
        <f>SUMIFS(Dataset!$Z:$Z,Dataset!$E:$E,P$52,Dataset!$V:$V,"&gt;="&amp;$C84,Dataset!$V:$V,"&lt;"&amp;$D84)*10</f>
        <v>0</v>
      </c>
      <c r="Q84" s="116">
        <f>SUMIFS(Dataset!$Z:$Z,Dataset!$E:$E,Q$52,Dataset!$V:$V,"&gt;="&amp;$C84,Dataset!$V:$V,"&lt;"&amp;$D84)*10</f>
        <v>0</v>
      </c>
      <c r="R84" s="116">
        <f>SUMIFS(Dataset!$Z:$Z,Dataset!$E:$E,R$52,Dataset!$V:$V,"&gt;="&amp;$C84,Dataset!$V:$V,"&lt;"&amp;$D84)*10</f>
        <v>0</v>
      </c>
      <c r="S84" s="116">
        <f>SUMIFS(Dataset!$Z:$Z,Dataset!$E:$E,S$52,Dataset!$V:$V,"&gt;="&amp;$C84,Dataset!$V:$V,"&lt;"&amp;$D84)*10</f>
        <v>0</v>
      </c>
      <c r="T84" s="116">
        <f>SUMIFS(Dataset!$Z:$Z,Dataset!$E:$E,T$52,Dataset!$V:$V,"&gt;="&amp;$C84,Dataset!$V:$V,"&lt;"&amp;$D84)*10</f>
        <v>0</v>
      </c>
      <c r="U84" s="117">
        <f t="shared" si="9"/>
        <v>0</v>
      </c>
    </row>
    <row r="85" spans="3:21" ht="16.5" x14ac:dyDescent="0.2">
      <c r="E85" s="30" t="s">
        <v>147</v>
      </c>
      <c r="F85" s="118">
        <f t="shared" ref="F85:L85" si="13">+SUM(F73:F84)</f>
        <v>0.29091173890611005</v>
      </c>
      <c r="G85" s="118">
        <f t="shared" si="13"/>
        <v>2.085719506754693</v>
      </c>
      <c r="H85" s="118">
        <f t="shared" si="13"/>
        <v>3.379118815975516E-2</v>
      </c>
      <c r="I85" s="118">
        <f t="shared" si="13"/>
        <v>1.2080489851539162</v>
      </c>
      <c r="J85" s="118">
        <f t="shared" si="13"/>
        <v>0.75295839051108571</v>
      </c>
      <c r="K85" s="118">
        <f t="shared" si="13"/>
        <v>0.25328946177422929</v>
      </c>
      <c r="L85" s="118">
        <f t="shared" si="13"/>
        <v>0.27750978451717845</v>
      </c>
      <c r="M85" s="118">
        <f t="shared" si="8"/>
        <v>4.9022290557769681</v>
      </c>
      <c r="N85" s="118">
        <f t="shared" ref="N85:T85" si="14">+SUM(N73:N84)</f>
        <v>3.831924424096592</v>
      </c>
      <c r="O85" s="118">
        <f t="shared" si="14"/>
        <v>21.345399388017583</v>
      </c>
      <c r="P85" s="118">
        <f t="shared" si="14"/>
        <v>0.12268138376471621</v>
      </c>
      <c r="Q85" s="118">
        <f t="shared" si="14"/>
        <v>12.142920314363288</v>
      </c>
      <c r="R85" s="118">
        <f t="shared" si="14"/>
        <v>8.8283374643501542</v>
      </c>
      <c r="S85" s="118">
        <f t="shared" si="14"/>
        <v>4.8436914137854794</v>
      </c>
      <c r="T85" s="118">
        <f t="shared" si="14"/>
        <v>2.6510709737324532</v>
      </c>
      <c r="U85" s="118">
        <f t="shared" si="9"/>
        <v>53.766025362110263</v>
      </c>
    </row>
    <row r="90" spans="3:21" ht="16.5" x14ac:dyDescent="0.2">
      <c r="E90" s="135" t="s">
        <v>357</v>
      </c>
      <c r="F90" s="135"/>
      <c r="G90" s="28" t="s">
        <v>154</v>
      </c>
      <c r="H90" s="28" t="s">
        <v>155</v>
      </c>
      <c r="I90" s="28" t="s">
        <v>156</v>
      </c>
      <c r="J90" s="28" t="s">
        <v>167</v>
      </c>
      <c r="K90" s="28" t="s">
        <v>17</v>
      </c>
      <c r="L90" s="28" t="s">
        <v>4</v>
      </c>
      <c r="M90" s="28" t="s">
        <v>6</v>
      </c>
    </row>
    <row r="91" spans="3:21" x14ac:dyDescent="0.2">
      <c r="C91" t="s">
        <v>132</v>
      </c>
      <c r="E91" s="134" t="s">
        <v>350</v>
      </c>
      <c r="F91" s="134"/>
      <c r="G91">
        <f>+SUMIFS(Dataset!$P:$P,Dataset!$G:$G,$E$90,Dataset!$F:$F,$C91)</f>
        <v>0</v>
      </c>
      <c r="H91">
        <f>+SUMIFS(Dataset!$R:$R,Dataset!$G:$G,$E$90,Dataset!$F:$F,$C91)</f>
        <v>0</v>
      </c>
      <c r="I91">
        <f>+SUMIFS(Dataset!$Y:$Y,Dataset!$G:$G,$E$90,Dataset!$F:$F,$C91)</f>
        <v>0</v>
      </c>
      <c r="J91">
        <f>+SUMIFS(Dataset!$P:$P,Dataset!$G:$G,$E$90,Dataset!$F:$F,$C91)</f>
        <v>0</v>
      </c>
      <c r="K91">
        <f>+SUMIFS(Dataset!$P:$P,Dataset!$G:$G,$E$90,Dataset!$F:$F,$C91)</f>
        <v>0</v>
      </c>
      <c r="L91">
        <f>+SUMIFS(Dataset!$P:$P,Dataset!$G:$G,$E$90,Dataset!$F:$F,$C91)</f>
        <v>0</v>
      </c>
      <c r="M91">
        <f>+SUMIFS(Dataset!$P:$P,Dataset!$G:$G,$E$90,Dataset!$F:$F,$C91)</f>
        <v>0</v>
      </c>
    </row>
    <row r="92" spans="3:21" x14ac:dyDescent="0.2">
      <c r="C92" t="s">
        <v>133</v>
      </c>
      <c r="E92" s="134" t="s">
        <v>351</v>
      </c>
      <c r="F92" s="134"/>
      <c r="G92">
        <f>+SUMIFS(Dataset!$P:$P,Dataset!$G:$G,$E$90,Dataset!$F:$F,$C92)</f>
        <v>0</v>
      </c>
      <c r="H92">
        <f>+SUMIFS(Dataset!$P:$P,Dataset!$G:$G,$E$90,Dataset!$F:$F,$C92)</f>
        <v>0</v>
      </c>
      <c r="I92">
        <f>+SUMIFS(Dataset!$P:$P,Dataset!$G:$G,$E$90,Dataset!$F:$F,$C92)</f>
        <v>0</v>
      </c>
      <c r="J92">
        <f>+SUMIFS(Dataset!$P:$P,Dataset!$G:$G,$E$90,Dataset!$F:$F,$C92)</f>
        <v>0</v>
      </c>
      <c r="K92">
        <f>+SUMIFS(Dataset!$P:$P,Dataset!$G:$G,$E$90,Dataset!$F:$F,$C92)</f>
        <v>0</v>
      </c>
      <c r="L92">
        <f>+SUMIFS(Dataset!$P:$P,Dataset!$G:$G,$E$90,Dataset!$F:$F,$C92)</f>
        <v>0</v>
      </c>
      <c r="M92">
        <f>+SUMIFS(Dataset!$P:$P,Dataset!$G:$G,$E$90,Dataset!$F:$F,$C92)</f>
        <v>0</v>
      </c>
    </row>
    <row r="93" spans="3:21" x14ac:dyDescent="0.2">
      <c r="C93" t="s">
        <v>132</v>
      </c>
      <c r="E93" s="134" t="s">
        <v>352</v>
      </c>
      <c r="F93" s="134"/>
      <c r="G93">
        <f>+SUMIFS(Dataset!$P:$P,Dataset!$G:$G,$E$90,Dataset!$F:$F,$C93)</f>
        <v>0</v>
      </c>
      <c r="H93">
        <f>+SUMIFS(Dataset!$P:$P,Dataset!$G:$G,$E$90,Dataset!$F:$F,$C93)</f>
        <v>0</v>
      </c>
      <c r="I93">
        <f>+SUMIFS(Dataset!$P:$P,Dataset!$G:$G,$E$90,Dataset!$F:$F,$C93)</f>
        <v>0</v>
      </c>
      <c r="J93">
        <f>+SUMIFS(Dataset!$P:$P,Dataset!$G:$G,$E$90,Dataset!$F:$F,$C93)</f>
        <v>0</v>
      </c>
      <c r="K93">
        <f>+SUMIFS(Dataset!$P:$P,Dataset!$G:$G,$E$90,Dataset!$F:$F,$C93)</f>
        <v>0</v>
      </c>
      <c r="L93">
        <f>+SUMIFS(Dataset!$P:$P,Dataset!$G:$G,$E$90,Dataset!$F:$F,$C93)</f>
        <v>0</v>
      </c>
      <c r="M93">
        <f>+SUMIFS(Dataset!$P:$P,Dataset!$G:$G,$E$90,Dataset!$F:$F,$C93)</f>
        <v>0</v>
      </c>
    </row>
    <row r="94" spans="3:21" x14ac:dyDescent="0.2">
      <c r="C94" t="s">
        <v>133</v>
      </c>
      <c r="E94" s="134" t="s">
        <v>353</v>
      </c>
      <c r="F94" s="134"/>
      <c r="G94">
        <f>+SUMIFS(Dataset!$P:$P,Dataset!$G:$G,$E$90,Dataset!$F:$F,$C94)</f>
        <v>0</v>
      </c>
      <c r="H94">
        <f>+SUMIFS(Dataset!$P:$P,Dataset!$G:$G,$E$90,Dataset!$F:$F,$C94)</f>
        <v>0</v>
      </c>
      <c r="I94">
        <f>+SUMIFS(Dataset!$P:$P,Dataset!$G:$G,$E$90,Dataset!$F:$F,$C94)</f>
        <v>0</v>
      </c>
      <c r="J94">
        <f>+SUMIFS(Dataset!$P:$P,Dataset!$G:$G,$E$90,Dataset!$F:$F,$C94)</f>
        <v>0</v>
      </c>
      <c r="K94">
        <f>+SUMIFS(Dataset!$P:$P,Dataset!$G:$G,$E$90,Dataset!$F:$F,$C94)</f>
        <v>0</v>
      </c>
      <c r="L94">
        <f>+SUMIFS(Dataset!$P:$P,Dataset!$G:$G,$E$90,Dataset!$F:$F,$C94)</f>
        <v>0</v>
      </c>
      <c r="M94">
        <f>+SUMIFS(Dataset!$P:$P,Dataset!$G:$G,$E$90,Dataset!$F:$F,$C94)</f>
        <v>0</v>
      </c>
    </row>
    <row r="95" spans="3:21" x14ac:dyDescent="0.2">
      <c r="C95" t="s">
        <v>132</v>
      </c>
      <c r="E95" s="134" t="s">
        <v>354</v>
      </c>
      <c r="F95" s="134"/>
      <c r="G95">
        <f>+SUMIFS(Dataset!$P:$P,Dataset!$G:$G,$E$90,Dataset!$F:$F,$C95)</f>
        <v>0</v>
      </c>
      <c r="H95">
        <f>+SUMIFS(Dataset!$P:$P,Dataset!$G:$G,$E$90,Dataset!$F:$F,$C95)</f>
        <v>0</v>
      </c>
      <c r="I95">
        <f>+SUMIFS(Dataset!$P:$P,Dataset!$G:$G,$E$90,Dataset!$F:$F,$C95)</f>
        <v>0</v>
      </c>
      <c r="J95">
        <f>+SUMIFS(Dataset!$P:$P,Dataset!$G:$G,$E$90,Dataset!$F:$F,$C95)</f>
        <v>0</v>
      </c>
      <c r="K95">
        <f>+SUMIFS(Dataset!$P:$P,Dataset!$G:$G,$E$90,Dataset!$F:$F,$C95)</f>
        <v>0</v>
      </c>
      <c r="L95">
        <f>+SUMIFS(Dataset!$P:$P,Dataset!$G:$G,$E$90,Dataset!$F:$F,$C95)</f>
        <v>0</v>
      </c>
      <c r="M95">
        <f>+SUMIFS(Dataset!$P:$P,Dataset!$G:$G,$E$90,Dataset!$F:$F,$C95)</f>
        <v>0</v>
      </c>
    </row>
    <row r="96" spans="3:21" x14ac:dyDescent="0.2">
      <c r="C96" t="s">
        <v>133</v>
      </c>
      <c r="E96" s="134" t="s">
        <v>355</v>
      </c>
      <c r="F96" s="134"/>
      <c r="G96">
        <f>+SUMIFS(Dataset!$P:$P,Dataset!$G:$G,$E$90,Dataset!$F:$F,$C96)</f>
        <v>0</v>
      </c>
      <c r="H96">
        <f>+SUMIFS(Dataset!$P:$P,Dataset!$G:$G,$E$90,Dataset!$F:$F,$C96)</f>
        <v>0</v>
      </c>
      <c r="I96">
        <f>+SUMIFS(Dataset!$P:$P,Dataset!$G:$G,$E$90,Dataset!$F:$F,$C96)</f>
        <v>0</v>
      </c>
      <c r="J96">
        <f>+SUMIFS(Dataset!$P:$P,Dataset!$G:$G,$E$90,Dataset!$F:$F,$C96)</f>
        <v>0</v>
      </c>
      <c r="K96">
        <f>+SUMIFS(Dataset!$P:$P,Dataset!$G:$G,$E$90,Dataset!$F:$F,$C96)</f>
        <v>0</v>
      </c>
      <c r="L96">
        <f>+SUMIFS(Dataset!$P:$P,Dataset!$G:$G,$E$90,Dataset!$F:$F,$C96)</f>
        <v>0</v>
      </c>
      <c r="M96">
        <f>+SUMIFS(Dataset!$P:$P,Dataset!$G:$G,$E$90,Dataset!$F:$F,$C96)</f>
        <v>0</v>
      </c>
    </row>
    <row r="97" spans="3:13" x14ac:dyDescent="0.2">
      <c r="C97" t="s">
        <v>132</v>
      </c>
      <c r="E97" s="134" t="s">
        <v>356</v>
      </c>
      <c r="F97" s="134"/>
      <c r="G97">
        <f>+SUMIFS(Dataset!$P:$P,Dataset!$G:$G,$E$90,Dataset!$F:$F,$C97)</f>
        <v>0</v>
      </c>
      <c r="H97">
        <f>+SUMIFS(Dataset!$P:$P,Dataset!$G:$G,$E$90,Dataset!$F:$F,$C97)</f>
        <v>0</v>
      </c>
      <c r="I97">
        <f>+SUMIFS(Dataset!$P:$P,Dataset!$G:$G,$E$90,Dataset!$F:$F,$C97)</f>
        <v>0</v>
      </c>
      <c r="J97">
        <f>+SUMIFS(Dataset!$P:$P,Dataset!$G:$G,$E$90,Dataset!$F:$F,$C97)</f>
        <v>0</v>
      </c>
      <c r="K97">
        <f>+SUMIFS(Dataset!$P:$P,Dataset!$G:$G,$E$90,Dataset!$F:$F,$C97)</f>
        <v>0</v>
      </c>
      <c r="L97">
        <f>+SUMIFS(Dataset!$P:$P,Dataset!$G:$G,$E$90,Dataset!$F:$F,$C97)</f>
        <v>0</v>
      </c>
      <c r="M97">
        <f>+SUMIFS(Dataset!$P:$P,Dataset!$G:$G,$E$90,Dataset!$F:$F,$C97)</f>
        <v>0</v>
      </c>
    </row>
  </sheetData>
  <mergeCells count="35">
    <mergeCell ref="E96:F96"/>
    <mergeCell ref="E97:F97"/>
    <mergeCell ref="E90:F90"/>
    <mergeCell ref="E91:F91"/>
    <mergeCell ref="E92:F92"/>
    <mergeCell ref="E93:F93"/>
    <mergeCell ref="E94:F94"/>
    <mergeCell ref="E95:F95"/>
    <mergeCell ref="F69:L69"/>
    <mergeCell ref="N69:T69"/>
    <mergeCell ref="F50:L50"/>
    <mergeCell ref="E3:V3"/>
    <mergeCell ref="M37:N37"/>
    <mergeCell ref="M38:N38"/>
    <mergeCell ref="M39:N39"/>
    <mergeCell ref="M40:N40"/>
    <mergeCell ref="M41:N41"/>
    <mergeCell ref="M42:N42"/>
    <mergeCell ref="M43:N43"/>
    <mergeCell ref="M44:N44"/>
    <mergeCell ref="M22:N22"/>
    <mergeCell ref="M45:N45"/>
    <mergeCell ref="M46:N46"/>
    <mergeCell ref="M47:N47"/>
    <mergeCell ref="M23:N23"/>
    <mergeCell ref="M24:N24"/>
    <mergeCell ref="M25:N25"/>
    <mergeCell ref="M26:N26"/>
    <mergeCell ref="M27:N27"/>
    <mergeCell ref="N50:T50"/>
    <mergeCell ref="M28:N28"/>
    <mergeCell ref="M29:N29"/>
    <mergeCell ref="M30:N30"/>
    <mergeCell ref="M31:N31"/>
    <mergeCell ref="M32:N32"/>
  </mergeCells>
  <pageMargins left="0.7" right="0.7" top="0.75" bottom="0.75" header="0.3" footer="0.3"/>
  <pageSetup scale="4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Macro">
                <anchor moveWithCells="1" sizeWithCells="1">
                  <from>
                    <xdr:col>20</xdr:col>
                    <xdr:colOff>428625</xdr:colOff>
                    <xdr:row>0</xdr:row>
                    <xdr:rowOff>57150</xdr:rowOff>
                  </from>
                  <to>
                    <xdr:col>23</xdr:col>
                    <xdr:colOff>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81FF8-9294-4A8A-9D2B-A7D2B03A29DB}">
  <sheetPr codeName="Hoja31">
    <tabColor theme="5"/>
    <pageSetUpPr fitToPage="1"/>
  </sheetPr>
  <dimension ref="B3:R37"/>
  <sheetViews>
    <sheetView showGridLines="0" showZeros="0" zoomScale="55" zoomScaleNormal="55" workbookViewId="0">
      <selection activeCell="E32" sqref="E32"/>
    </sheetView>
  </sheetViews>
  <sheetFormatPr baseColWidth="10" defaultRowHeight="16.5" x14ac:dyDescent="0.2"/>
  <cols>
    <col min="1" max="1" width="8.75" style="66" customWidth="1"/>
    <col min="2" max="2" width="11.625" style="66" customWidth="1"/>
    <col min="3" max="3" width="20.375" style="66" customWidth="1"/>
    <col min="4" max="4" width="20.875" style="66" customWidth="1"/>
    <col min="5" max="5" width="17.125" style="66" bestFit="1" customWidth="1"/>
    <col min="6" max="6" width="22.125" style="66" bestFit="1" customWidth="1"/>
    <col min="7" max="7" width="15.625" style="66" bestFit="1" customWidth="1"/>
    <col min="8" max="8" width="20.25" style="66" customWidth="1"/>
    <col min="9" max="9" width="13.125" style="66" customWidth="1"/>
    <col min="10" max="10" width="12.125" style="66" customWidth="1"/>
    <col min="11" max="11" width="20.75" style="66" customWidth="1"/>
    <col min="12" max="12" width="19.5" style="66" customWidth="1"/>
    <col min="13" max="13" width="11.25" style="66" customWidth="1"/>
    <col min="14" max="14" width="22" style="66" customWidth="1"/>
    <col min="15" max="15" width="13.625" style="66" customWidth="1"/>
    <col min="16" max="16" width="31" style="66" customWidth="1"/>
    <col min="17" max="17" width="22.75" style="66" customWidth="1"/>
    <col min="18" max="16384" width="11" style="66"/>
  </cols>
  <sheetData>
    <row r="3" spans="2:18" ht="27.75" customHeight="1" x14ac:dyDescent="0.2">
      <c r="B3" s="136" t="s">
        <v>344</v>
      </c>
      <c r="C3" s="136"/>
      <c r="D3" s="136"/>
      <c r="E3" s="136"/>
      <c r="F3" s="136"/>
      <c r="G3" s="136"/>
      <c r="H3" s="136"/>
      <c r="I3" s="136"/>
      <c r="J3" s="136"/>
      <c r="K3" s="136"/>
      <c r="L3" s="136"/>
      <c r="M3" s="136"/>
      <c r="N3" s="136"/>
      <c r="O3" s="136"/>
      <c r="P3" s="136"/>
      <c r="Q3" s="136"/>
      <c r="R3" s="136"/>
    </row>
    <row r="4" spans="2:18" ht="20.25" customHeight="1" x14ac:dyDescent="0.2">
      <c r="B4" s="137" t="s">
        <v>343</v>
      </c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37"/>
      <c r="R4" s="137"/>
    </row>
    <row r="5" spans="2:18" ht="21" customHeight="1" x14ac:dyDescent="0.2"/>
    <row r="6" spans="2:18" ht="28.5" customHeight="1" x14ac:dyDescent="0.2">
      <c r="B6" s="138" t="s">
        <v>328</v>
      </c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</row>
    <row r="7" spans="2:18" ht="16.5" customHeight="1" x14ac:dyDescent="0.2"/>
    <row r="8" spans="2:18" ht="33" customHeight="1" x14ac:dyDescent="0.2">
      <c r="C8" s="85" t="s">
        <v>329</v>
      </c>
      <c r="D8" s="85" t="s">
        <v>330</v>
      </c>
      <c r="E8" s="85" t="s">
        <v>331</v>
      </c>
      <c r="F8" s="85" t="s">
        <v>170</v>
      </c>
      <c r="G8" s="85" t="s">
        <v>332</v>
      </c>
      <c r="H8" s="85" t="s">
        <v>333</v>
      </c>
      <c r="I8" s="85" t="s">
        <v>334</v>
      </c>
      <c r="J8" s="85" t="s">
        <v>335</v>
      </c>
      <c r="K8" s="85" t="s">
        <v>336</v>
      </c>
      <c r="L8" s="85" t="s">
        <v>337</v>
      </c>
      <c r="M8" s="85" t="s">
        <v>338</v>
      </c>
      <c r="N8" s="85" t="s">
        <v>339</v>
      </c>
      <c r="O8" s="85" t="s">
        <v>340</v>
      </c>
      <c r="P8" s="85" t="s">
        <v>341</v>
      </c>
      <c r="Q8" s="85" t="s">
        <v>342</v>
      </c>
    </row>
    <row r="9" spans="2:18" ht="33" customHeight="1" x14ac:dyDescent="0.2">
      <c r="B9" s="86"/>
      <c r="C9" s="87" t="str">
        <f>+forwards_portfolios!A2</f>
        <v>MACRO 1.5</v>
      </c>
      <c r="D9" s="87">
        <f>+forwards_portfolios!B2</f>
        <v>42970</v>
      </c>
      <c r="E9" s="87" t="str">
        <f>+forwards_portfolios!C2</f>
        <v>BBVA</v>
      </c>
      <c r="F9" s="87" t="str">
        <f>+forwards_portfolios!D2</f>
        <v>FWDUSCL51618</v>
      </c>
      <c r="G9" s="87">
        <f>+forwards_portfolios!E2</f>
        <v>43235</v>
      </c>
      <c r="H9" s="87">
        <f>+forwards_portfolios!F2</f>
        <v>43236</v>
      </c>
      <c r="I9" s="87" t="str">
        <f>+forwards_portfolios!G2</f>
        <v>US$</v>
      </c>
      <c r="J9" s="87" t="str">
        <f>+forwards_portfolios!H2</f>
        <v>$</v>
      </c>
      <c r="K9" s="87">
        <f>+forwards_portfolios!I2</f>
        <v>1000000</v>
      </c>
      <c r="L9" s="87">
        <f>+forwards_portfolios!J2</f>
        <v>644350016</v>
      </c>
      <c r="M9" s="87">
        <f>+forwards_portfolios!K2</f>
        <v>64435</v>
      </c>
      <c r="N9" s="87" t="str">
        <f>+forwards_portfolios!L2</f>
        <v>Compensacion</v>
      </c>
      <c r="O9" s="87">
        <f>+forwards_portfolios!M2</f>
        <v>0</v>
      </c>
      <c r="P9" s="87" t="str">
        <f>+forwards_portfolios!N2</f>
        <v>Unwind 1st Short USD 9m</v>
      </c>
      <c r="Q9" s="88">
        <f>+forwards_portfolios!O2</f>
        <v>140</v>
      </c>
    </row>
    <row r="10" spans="2:18" ht="33" customHeight="1" x14ac:dyDescent="0.2">
      <c r="B10" s="86"/>
      <c r="C10" s="87" t="str">
        <f>+forwards_portfolios!A3</f>
        <v>MACRO 1.5</v>
      </c>
      <c r="D10" s="87">
        <f>+forwards_portfolios!B3</f>
        <v>42961</v>
      </c>
      <c r="E10" s="87" t="str">
        <f>+forwards_portfolios!C3</f>
        <v>SANTANDER</v>
      </c>
      <c r="F10" s="87" t="str">
        <f>+forwards_portfolios!D3</f>
        <v>FWDCLUS51518</v>
      </c>
      <c r="G10" s="87">
        <f>+forwards_portfolios!E3</f>
        <v>43235</v>
      </c>
      <c r="H10" s="87">
        <f>+forwards_portfolios!F3</f>
        <v>43236</v>
      </c>
      <c r="I10" s="87" t="str">
        <f>+forwards_portfolios!G3</f>
        <v>$</v>
      </c>
      <c r="J10" s="87" t="str">
        <f>+forwards_portfolios!H3</f>
        <v>US$</v>
      </c>
      <c r="K10" s="87">
        <f>+forwards_portfolios!I3</f>
        <v>652950000</v>
      </c>
      <c r="L10" s="87">
        <f>+forwards_portfolios!J3</f>
        <v>1000000</v>
      </c>
      <c r="M10" s="87">
        <f>+forwards_portfolios!K3</f>
        <v>652.95000000000005</v>
      </c>
      <c r="N10" s="87" t="str">
        <f>+forwards_portfolios!L3</f>
        <v>Compensacion</v>
      </c>
      <c r="O10" s="87">
        <f>+forwards_portfolios!M3</f>
        <v>0</v>
      </c>
      <c r="P10" s="87" t="str">
        <f>+forwards_portfolios!N3</f>
        <v>1st Short USD 9m</v>
      </c>
      <c r="Q10" s="88">
        <f>+forwards_portfolios!O3</f>
        <v>140</v>
      </c>
    </row>
    <row r="11" spans="2:18" ht="33" customHeight="1" x14ac:dyDescent="0.2">
      <c r="B11" s="86"/>
      <c r="C11" s="87" t="str">
        <f>+forwards_portfolios!A4</f>
        <v>MACRO CLP3</v>
      </c>
      <c r="D11" s="87">
        <f>+forwards_portfolios!B4</f>
        <v>42961</v>
      </c>
      <c r="E11" s="87" t="str">
        <f>+forwards_portfolios!C4</f>
        <v>SANTANDER</v>
      </c>
      <c r="F11" s="87" t="str">
        <f>+forwards_portfolios!D4</f>
        <v>FWDCLUS51618</v>
      </c>
      <c r="G11" s="87">
        <f>+forwards_portfolios!E4</f>
        <v>43235</v>
      </c>
      <c r="H11" s="87">
        <f>+forwards_portfolios!F4</f>
        <v>43236</v>
      </c>
      <c r="I11" s="87" t="str">
        <f>+forwards_portfolios!G4</f>
        <v>$</v>
      </c>
      <c r="J11" s="87" t="str">
        <f>+forwards_portfolios!H4</f>
        <v>US$</v>
      </c>
      <c r="K11" s="87">
        <f>+forwards_portfolios!I4</f>
        <v>1958850048</v>
      </c>
      <c r="L11" s="87">
        <f>+forwards_portfolios!J4</f>
        <v>3000000</v>
      </c>
      <c r="M11" s="87">
        <f>+forwards_portfolios!K4</f>
        <v>652.95000000000005</v>
      </c>
      <c r="N11" s="87" t="str">
        <f>+forwards_portfolios!L4</f>
        <v>Compensacion</v>
      </c>
      <c r="O11" s="87">
        <f>+forwards_portfolios!M4</f>
        <v>0</v>
      </c>
      <c r="P11" s="87" t="str">
        <f>+forwards_portfolios!N4</f>
        <v>1st Short USD 9m</v>
      </c>
      <c r="Q11" s="88">
        <f>+forwards_portfolios!O4</f>
        <v>140</v>
      </c>
    </row>
    <row r="12" spans="2:18" ht="33" customHeight="1" x14ac:dyDescent="0.2">
      <c r="B12" s="86"/>
      <c r="C12" s="87" t="str">
        <f>+forwards_portfolios!A5</f>
        <v>MACRO CLP3</v>
      </c>
      <c r="D12" s="87">
        <f>+forwards_portfolios!B5</f>
        <v>42970</v>
      </c>
      <c r="E12" s="87" t="str">
        <f>+forwards_portfolios!C5</f>
        <v>BBVA</v>
      </c>
      <c r="F12" s="87" t="str">
        <f>+forwards_portfolios!D5</f>
        <v>FWDUSCL51618</v>
      </c>
      <c r="G12" s="87">
        <f>+forwards_portfolios!E5</f>
        <v>43235</v>
      </c>
      <c r="H12" s="87">
        <f>+forwards_portfolios!F5</f>
        <v>43236</v>
      </c>
      <c r="I12" s="87" t="str">
        <f>+forwards_portfolios!G5</f>
        <v>US$</v>
      </c>
      <c r="J12" s="87" t="str">
        <f>+forwards_portfolios!H5</f>
        <v>$</v>
      </c>
      <c r="K12" s="87">
        <f>+forwards_portfolios!I5</f>
        <v>3000000</v>
      </c>
      <c r="L12" s="87">
        <f>+forwards_portfolios!J5</f>
        <v>1933049984</v>
      </c>
      <c r="M12" s="87">
        <f>+forwards_portfolios!K5</f>
        <v>64435</v>
      </c>
      <c r="N12" s="87" t="str">
        <f>+forwards_portfolios!L5</f>
        <v>Compensacion</v>
      </c>
      <c r="O12" s="87">
        <f>+forwards_portfolios!M5</f>
        <v>0</v>
      </c>
      <c r="P12" s="87" t="str">
        <f>+forwards_portfolios!N5</f>
        <v>Unwind 1st Short USD 9m</v>
      </c>
      <c r="Q12" s="88">
        <f>+forwards_portfolios!O5</f>
        <v>140</v>
      </c>
    </row>
    <row r="13" spans="2:18" ht="33" customHeight="1" x14ac:dyDescent="0.2">
      <c r="B13" s="86"/>
      <c r="C13" s="87" t="str">
        <f>+forwards_portfolios!A6</f>
        <v>MACRO 1.5</v>
      </c>
      <c r="D13" s="87">
        <f>+forwards_portfolios!B6</f>
        <v>42971</v>
      </c>
      <c r="E13" s="87" t="str">
        <f>+forwards_portfolios!C6</f>
        <v>SANTANDER</v>
      </c>
      <c r="F13" s="87" t="str">
        <f>+forwards_portfolios!D6</f>
        <v>FWDUSCL51718</v>
      </c>
      <c r="G13" s="87">
        <f>+forwards_portfolios!E6</f>
        <v>43236</v>
      </c>
      <c r="H13" s="87">
        <f>+forwards_portfolios!F6</f>
        <v>43237</v>
      </c>
      <c r="I13" s="87" t="str">
        <f>+forwards_portfolios!G6</f>
        <v>US$</v>
      </c>
      <c r="J13" s="87" t="str">
        <f>+forwards_portfolios!H6</f>
        <v>$</v>
      </c>
      <c r="K13" s="87">
        <f>+forwards_portfolios!I6</f>
        <v>1000000</v>
      </c>
      <c r="L13" s="87">
        <f>+forwards_portfolios!J6</f>
        <v>641539968</v>
      </c>
      <c r="M13" s="87">
        <f>+forwards_portfolios!K6</f>
        <v>64154</v>
      </c>
      <c r="N13" s="87" t="str">
        <f>+forwards_portfolios!L6</f>
        <v>Compensacion</v>
      </c>
      <c r="O13" s="87">
        <f>+forwards_portfolios!M6</f>
        <v>0</v>
      </c>
      <c r="P13" s="87" t="str">
        <f>+forwards_portfolios!N6</f>
        <v>Unwind 2nd Short USD 9m</v>
      </c>
      <c r="Q13" s="88">
        <f>+forwards_portfolios!O6</f>
        <v>141</v>
      </c>
    </row>
    <row r="14" spans="2:18" ht="33" customHeight="1" x14ac:dyDescent="0.2">
      <c r="B14" s="86"/>
      <c r="C14" s="87" t="str">
        <f>+forwards_portfolios!A7</f>
        <v>MACRO 1.5</v>
      </c>
      <c r="D14" s="87">
        <f>+forwards_portfolios!B7</f>
        <v>42963</v>
      </c>
      <c r="E14" s="87" t="str">
        <f>+forwards_portfolios!C7</f>
        <v>SANTANDER</v>
      </c>
      <c r="F14" s="87" t="str">
        <f>+forwards_portfolios!D7</f>
        <v>FWDCLUS51718</v>
      </c>
      <c r="G14" s="87">
        <f>+forwards_portfolios!E7</f>
        <v>43236</v>
      </c>
      <c r="H14" s="87">
        <f>+forwards_portfolios!F7</f>
        <v>43237</v>
      </c>
      <c r="I14" s="87" t="str">
        <f>+forwards_portfolios!G7</f>
        <v>$</v>
      </c>
      <c r="J14" s="87" t="str">
        <f>+forwards_portfolios!H7</f>
        <v>US$</v>
      </c>
      <c r="K14" s="87">
        <f>+forwards_portfolios!I7</f>
        <v>645000000</v>
      </c>
      <c r="L14" s="87">
        <f>+forwards_portfolios!J7</f>
        <v>1000000</v>
      </c>
      <c r="M14" s="87">
        <f>+forwards_portfolios!K7</f>
        <v>649.3499755859375</v>
      </c>
      <c r="N14" s="87" t="str">
        <f>+forwards_portfolios!L7</f>
        <v>Compensacion</v>
      </c>
      <c r="O14" s="87">
        <f>+forwards_portfolios!M7</f>
        <v>0</v>
      </c>
      <c r="P14" s="87" t="str">
        <f>+forwards_portfolios!N7</f>
        <v>2nd Short USD 9m</v>
      </c>
      <c r="Q14" s="88">
        <f>+forwards_portfolios!O7</f>
        <v>141</v>
      </c>
    </row>
    <row r="15" spans="2:18" ht="33" customHeight="1" x14ac:dyDescent="0.2">
      <c r="B15" s="86"/>
      <c r="C15" s="87" t="str">
        <f>+forwards_portfolios!A8</f>
        <v>MACRO CLP3</v>
      </c>
      <c r="D15" s="87">
        <f>+forwards_portfolios!B8</f>
        <v>42963</v>
      </c>
      <c r="E15" s="87" t="str">
        <f>+forwards_portfolios!C8</f>
        <v>SANTANDER</v>
      </c>
      <c r="F15" s="87" t="str">
        <f>+forwards_portfolios!D8</f>
        <v>FWDCLUS51718</v>
      </c>
      <c r="G15" s="87">
        <f>+forwards_portfolios!E8</f>
        <v>43236</v>
      </c>
      <c r="H15" s="87">
        <f>+forwards_portfolios!F8</f>
        <v>43237</v>
      </c>
      <c r="I15" s="87" t="str">
        <f>+forwards_portfolios!G8</f>
        <v>$</v>
      </c>
      <c r="J15" s="87" t="str">
        <f>+forwards_portfolios!H8</f>
        <v>US$</v>
      </c>
      <c r="K15" s="87">
        <f>+forwards_portfolios!I8</f>
        <v>1948050048</v>
      </c>
      <c r="L15" s="87">
        <f>+forwards_portfolios!J8</f>
        <v>3000000</v>
      </c>
      <c r="M15" s="87">
        <f>+forwards_portfolios!K8</f>
        <v>649.3499755859375</v>
      </c>
      <c r="N15" s="87" t="str">
        <f>+forwards_portfolios!L8</f>
        <v>Compensacion</v>
      </c>
      <c r="O15" s="87">
        <f>+forwards_portfolios!M8</f>
        <v>0</v>
      </c>
      <c r="P15" s="87" t="str">
        <f>+forwards_portfolios!N8</f>
        <v>2nd Short USD 9m</v>
      </c>
      <c r="Q15" s="88">
        <f>+forwards_portfolios!O8</f>
        <v>141</v>
      </c>
    </row>
    <row r="16" spans="2:18" ht="33" customHeight="1" x14ac:dyDescent="0.2">
      <c r="B16" s="86"/>
      <c r="C16" s="87" t="str">
        <f>+forwards_portfolios!A9</f>
        <v>MACRO CLP3</v>
      </c>
      <c r="D16" s="87">
        <f>+forwards_portfolios!B9</f>
        <v>42971</v>
      </c>
      <c r="E16" s="87" t="str">
        <f>+forwards_portfolios!C9</f>
        <v>SANTANDER</v>
      </c>
      <c r="F16" s="87" t="str">
        <f>+forwards_portfolios!D9</f>
        <v>FWDUSCL51718</v>
      </c>
      <c r="G16" s="87">
        <f>+forwards_portfolios!E9</f>
        <v>43236</v>
      </c>
      <c r="H16" s="87">
        <f>+forwards_portfolios!F9</f>
        <v>43237</v>
      </c>
      <c r="I16" s="87" t="str">
        <f>+forwards_portfolios!G9</f>
        <v>US$</v>
      </c>
      <c r="J16" s="87" t="str">
        <f>+forwards_portfolios!H9</f>
        <v>$</v>
      </c>
      <c r="K16" s="87">
        <f>+forwards_portfolios!I9</f>
        <v>3000000</v>
      </c>
      <c r="L16" s="87">
        <f>+forwards_portfolios!J9</f>
        <v>1924620032</v>
      </c>
      <c r="M16" s="87">
        <f>+forwards_portfolios!K9</f>
        <v>64154</v>
      </c>
      <c r="N16" s="87" t="str">
        <f>+forwards_portfolios!L9</f>
        <v>Compensacion</v>
      </c>
      <c r="O16" s="87">
        <f>+forwards_portfolios!M9</f>
        <v>0</v>
      </c>
      <c r="P16" s="87" t="str">
        <f>+forwards_portfolios!N9</f>
        <v>Unwind 2nd Short USD 9m</v>
      </c>
      <c r="Q16" s="88">
        <f>+forwards_portfolios!O9</f>
        <v>141</v>
      </c>
    </row>
    <row r="17" spans="2:17" ht="33" customHeight="1" x14ac:dyDescent="0.2">
      <c r="B17" s="86"/>
      <c r="C17" s="87" t="str">
        <f>+forwards_portfolios!A10</f>
        <v>IMT E-PLUS</v>
      </c>
      <c r="D17" s="87">
        <f>+forwards_portfolios!B10</f>
        <v>43096</v>
      </c>
      <c r="E17" s="87" t="str">
        <f>+forwards_portfolios!C10</f>
        <v>JPMORGAN</v>
      </c>
      <c r="F17" s="87" t="str">
        <f>+forwards_portfolios!D10</f>
        <v>FWDCLUS121218</v>
      </c>
      <c r="G17" s="87">
        <f>+forwards_portfolios!E10</f>
        <v>43445</v>
      </c>
      <c r="H17" s="87">
        <f>+forwards_portfolios!F10</f>
        <v>43446</v>
      </c>
      <c r="I17" s="87" t="str">
        <f>+forwards_portfolios!G10</f>
        <v>$</v>
      </c>
      <c r="J17" s="87" t="str">
        <f>+forwards_portfolios!H10</f>
        <v>US$</v>
      </c>
      <c r="K17" s="87">
        <f>+forwards_portfolios!I10</f>
        <v>74364000</v>
      </c>
      <c r="L17" s="87">
        <f>+forwards_portfolios!J10</f>
        <v>120000</v>
      </c>
      <c r="M17" s="87">
        <f>+forwards_portfolios!K10</f>
        <v>619.70001220703125</v>
      </c>
      <c r="N17" s="87" t="str">
        <f>+forwards_portfolios!L10</f>
        <v>Compensacion</v>
      </c>
      <c r="O17" s="87">
        <f>+forwards_portfolios!M10</f>
        <v>0</v>
      </c>
      <c r="P17" s="87" t="str">
        <f>+forwards_portfolios!N10</f>
        <v>Short USDCLP</v>
      </c>
      <c r="Q17" s="88">
        <f>+forwards_portfolios!O10</f>
        <v>350</v>
      </c>
    </row>
    <row r="18" spans="2:17" ht="33" customHeight="1" x14ac:dyDescent="0.2">
      <c r="B18" s="86"/>
      <c r="C18" s="87" t="str">
        <f>+forwards_portfolios!A11</f>
        <v>IMT E-PLUS</v>
      </c>
      <c r="D18" s="87">
        <f>+forwards_portfolios!B11</f>
        <v>43080</v>
      </c>
      <c r="E18" s="87" t="str">
        <f>+forwards_portfolios!C11</f>
        <v>JP MORGAN</v>
      </c>
      <c r="F18" s="87" t="str">
        <f>+forwards_portfolios!D11</f>
        <v>FWDUSCL121218</v>
      </c>
      <c r="G18" s="87">
        <f>+forwards_portfolios!E11</f>
        <v>43445</v>
      </c>
      <c r="H18" s="87">
        <f>+forwards_portfolios!F11</f>
        <v>43446</v>
      </c>
      <c r="I18" s="87" t="str">
        <f>+forwards_portfolios!G11</f>
        <v>US$</v>
      </c>
      <c r="J18" s="87" t="str">
        <f>+forwards_portfolios!H11</f>
        <v>$</v>
      </c>
      <c r="K18" s="87">
        <f>+forwards_portfolios!I11</f>
        <v>2500000</v>
      </c>
      <c r="L18" s="87">
        <f>+forwards_portfolios!J11</f>
        <v>1651000064</v>
      </c>
      <c r="M18" s="87">
        <f>+forwards_portfolios!K11</f>
        <v>660.4000244140625</v>
      </c>
      <c r="N18" s="87" t="str">
        <f>+forwards_portfolios!L11</f>
        <v>Compensacion</v>
      </c>
      <c r="O18" s="87">
        <f>+forwards_portfolios!M11</f>
        <v>0</v>
      </c>
      <c r="P18" s="87" t="str">
        <f>+forwards_portfolios!N11</f>
        <v>Long USDCLP</v>
      </c>
      <c r="Q18" s="88">
        <f>+forwards_portfolios!O11</f>
        <v>350</v>
      </c>
    </row>
    <row r="19" spans="2:17" ht="33" customHeight="1" x14ac:dyDescent="0.2">
      <c r="B19" s="86"/>
      <c r="C19" s="87" t="str">
        <f>+forwards_portfolios!A12</f>
        <v>IMT E-PLUS</v>
      </c>
      <c r="D19" s="87">
        <f>+forwards_portfolios!B12</f>
        <v>43083</v>
      </c>
      <c r="E19" s="87" t="str">
        <f>+forwards_portfolios!C12</f>
        <v>JP MORGAN</v>
      </c>
      <c r="F19" s="87" t="str">
        <f>+forwards_portfolios!D12</f>
        <v>FWDCLUS121218</v>
      </c>
      <c r="G19" s="87">
        <f>+forwards_portfolios!E12</f>
        <v>43445</v>
      </c>
      <c r="H19" s="87">
        <f>+forwards_portfolios!F12</f>
        <v>43446</v>
      </c>
      <c r="I19" s="87" t="str">
        <f>+forwards_portfolios!G12</f>
        <v>$</v>
      </c>
      <c r="J19" s="87" t="str">
        <f>+forwards_portfolios!H12</f>
        <v>US$</v>
      </c>
      <c r="K19" s="87">
        <f>+forwards_portfolios!I12</f>
        <v>642800000</v>
      </c>
      <c r="L19" s="87">
        <f>+forwards_portfolios!J12</f>
        <v>1000000</v>
      </c>
      <c r="M19" s="87">
        <f>+forwards_portfolios!K12</f>
        <v>642.79998779296875</v>
      </c>
      <c r="N19" s="87" t="str">
        <f>+forwards_portfolios!L12</f>
        <v>Compensacion</v>
      </c>
      <c r="O19" s="87">
        <f>+forwards_portfolios!M12</f>
        <v>0</v>
      </c>
      <c r="P19" s="87" t="str">
        <f>+forwards_portfolios!N12</f>
        <v>Short USDCLP</v>
      </c>
      <c r="Q19" s="88">
        <f>+forwards_portfolios!O12</f>
        <v>350</v>
      </c>
    </row>
    <row r="20" spans="2:17" ht="33" customHeight="1" x14ac:dyDescent="0.2">
      <c r="B20" s="86"/>
      <c r="C20" s="87">
        <f>+forwards_portfolios!A13</f>
        <v>0</v>
      </c>
      <c r="D20" s="87">
        <f>+forwards_portfolios!B13</f>
        <v>0</v>
      </c>
      <c r="E20" s="87">
        <f>+forwards_portfolios!C13</f>
        <v>0</v>
      </c>
      <c r="F20" s="87">
        <f>+forwards_portfolios!D13</f>
        <v>0</v>
      </c>
      <c r="G20" s="87">
        <f>+forwards_portfolios!E13</f>
        <v>0</v>
      </c>
      <c r="H20" s="87">
        <f>+forwards_portfolios!F13</f>
        <v>0</v>
      </c>
      <c r="I20" s="87">
        <f>+forwards_portfolios!G13</f>
        <v>0</v>
      </c>
      <c r="J20" s="87">
        <f>+forwards_portfolios!H13</f>
        <v>0</v>
      </c>
      <c r="K20" s="87">
        <f>+forwards_portfolios!I13</f>
        <v>0</v>
      </c>
      <c r="L20" s="87">
        <f>+forwards_portfolios!J13</f>
        <v>0</v>
      </c>
      <c r="M20" s="87">
        <f>+forwards_portfolios!K13</f>
        <v>0</v>
      </c>
      <c r="N20" s="87">
        <f>+forwards_portfolios!L13</f>
        <v>0</v>
      </c>
      <c r="O20" s="87">
        <f>+forwards_portfolios!M13</f>
        <v>0</v>
      </c>
      <c r="P20" s="87">
        <f>+forwards_portfolios!N13</f>
        <v>0</v>
      </c>
      <c r="Q20" s="88">
        <f>+forwards_portfolios!O13</f>
        <v>0</v>
      </c>
    </row>
    <row r="21" spans="2:17" ht="33" customHeight="1" x14ac:dyDescent="0.2">
      <c r="B21" s="86"/>
      <c r="C21" s="87">
        <f>+forwards_portfolios!A14</f>
        <v>0</v>
      </c>
      <c r="D21" s="87">
        <f>+forwards_portfolios!B14</f>
        <v>0</v>
      </c>
      <c r="E21" s="87">
        <f>+forwards_portfolios!C14</f>
        <v>0</v>
      </c>
      <c r="F21" s="87">
        <f>+forwards_portfolios!D14</f>
        <v>0</v>
      </c>
      <c r="G21" s="87">
        <f>+forwards_portfolios!E14</f>
        <v>0</v>
      </c>
      <c r="H21" s="87">
        <f>+forwards_portfolios!F14</f>
        <v>0</v>
      </c>
      <c r="I21" s="87">
        <f>+forwards_portfolios!G14</f>
        <v>0</v>
      </c>
      <c r="J21" s="87">
        <f>+forwards_portfolios!H14</f>
        <v>0</v>
      </c>
      <c r="K21" s="87">
        <f>+forwards_portfolios!I14</f>
        <v>0</v>
      </c>
      <c r="L21" s="87">
        <f>+forwards_portfolios!J14</f>
        <v>0</v>
      </c>
      <c r="M21" s="87">
        <f>+forwards_portfolios!K14</f>
        <v>0</v>
      </c>
      <c r="N21" s="87">
        <f>+forwards_portfolios!L14</f>
        <v>0</v>
      </c>
      <c r="O21" s="87">
        <f>+forwards_portfolios!M14</f>
        <v>0</v>
      </c>
      <c r="P21" s="87">
        <f>+forwards_portfolios!N14</f>
        <v>0</v>
      </c>
      <c r="Q21" s="88">
        <f>+forwards_portfolios!O14</f>
        <v>0</v>
      </c>
    </row>
    <row r="22" spans="2:17" ht="33" customHeight="1" x14ac:dyDescent="0.2">
      <c r="B22" s="86"/>
      <c r="C22" s="87">
        <f>+forwards_portfolios!A15</f>
        <v>0</v>
      </c>
      <c r="D22" s="87">
        <f>+forwards_portfolios!B15</f>
        <v>0</v>
      </c>
      <c r="E22" s="87">
        <f>+forwards_portfolios!C15</f>
        <v>0</v>
      </c>
      <c r="F22" s="87">
        <f>+forwards_portfolios!D15</f>
        <v>0</v>
      </c>
      <c r="G22" s="87">
        <f>+forwards_portfolios!E15</f>
        <v>0</v>
      </c>
      <c r="H22" s="87">
        <f>+forwards_portfolios!F15</f>
        <v>0</v>
      </c>
      <c r="I22" s="87">
        <f>+forwards_portfolios!G15</f>
        <v>0</v>
      </c>
      <c r="J22" s="87">
        <f>+forwards_portfolios!H15</f>
        <v>0</v>
      </c>
      <c r="K22" s="87">
        <f>+forwards_portfolios!I15</f>
        <v>0</v>
      </c>
      <c r="L22" s="87">
        <f>+forwards_portfolios!J15</f>
        <v>0</v>
      </c>
      <c r="M22" s="87">
        <f>+forwards_portfolios!K15</f>
        <v>0</v>
      </c>
      <c r="N22" s="87">
        <f>+forwards_portfolios!L15</f>
        <v>0</v>
      </c>
      <c r="O22" s="87">
        <f>+forwards_portfolios!M15</f>
        <v>0</v>
      </c>
      <c r="P22" s="87">
        <f>+forwards_portfolios!N15</f>
        <v>0</v>
      </c>
      <c r="Q22" s="88">
        <f>+forwards_portfolios!O15</f>
        <v>0</v>
      </c>
    </row>
    <row r="23" spans="2:17" ht="33" customHeight="1" x14ac:dyDescent="0.2">
      <c r="B23" s="86"/>
      <c r="C23" s="87">
        <f>+forwards_portfolios!A16</f>
        <v>0</v>
      </c>
      <c r="D23" s="87">
        <f>+forwards_portfolios!B16</f>
        <v>0</v>
      </c>
      <c r="E23" s="87">
        <f>+forwards_portfolios!C16</f>
        <v>0</v>
      </c>
      <c r="F23" s="87">
        <f>+forwards_portfolios!D16</f>
        <v>0</v>
      </c>
      <c r="G23" s="87">
        <f>+forwards_portfolios!E16</f>
        <v>0</v>
      </c>
      <c r="H23" s="87">
        <f>+forwards_portfolios!F16</f>
        <v>0</v>
      </c>
      <c r="I23" s="87">
        <f>+forwards_portfolios!G16</f>
        <v>0</v>
      </c>
      <c r="J23" s="87">
        <f>+forwards_portfolios!H16</f>
        <v>0</v>
      </c>
      <c r="K23" s="87">
        <f>+forwards_portfolios!I16</f>
        <v>0</v>
      </c>
      <c r="L23" s="87">
        <f>+forwards_portfolios!J16</f>
        <v>0</v>
      </c>
      <c r="M23" s="87">
        <f>+forwards_portfolios!K16</f>
        <v>0</v>
      </c>
      <c r="N23" s="87">
        <f>+forwards_portfolios!L16</f>
        <v>0</v>
      </c>
      <c r="O23" s="87">
        <f>+forwards_portfolios!M16</f>
        <v>0</v>
      </c>
      <c r="P23" s="87">
        <f>+forwards_portfolios!N16</f>
        <v>0</v>
      </c>
      <c r="Q23" s="88">
        <f>+forwards_portfolios!O16</f>
        <v>0</v>
      </c>
    </row>
    <row r="24" spans="2:17" ht="33" customHeight="1" x14ac:dyDescent="0.2">
      <c r="B24" s="86"/>
      <c r="C24" s="87">
        <f>+forwards_portfolios!A17</f>
        <v>0</v>
      </c>
      <c r="D24" s="87">
        <f>+forwards_portfolios!B17</f>
        <v>0</v>
      </c>
      <c r="E24" s="87">
        <f>+forwards_portfolios!C17</f>
        <v>0</v>
      </c>
      <c r="F24" s="87">
        <f>+forwards_portfolios!D17</f>
        <v>0</v>
      </c>
      <c r="G24" s="87">
        <f>+forwards_portfolios!E17</f>
        <v>0</v>
      </c>
      <c r="H24" s="87">
        <f>+forwards_portfolios!F17</f>
        <v>0</v>
      </c>
      <c r="I24" s="87">
        <f>+forwards_portfolios!G17</f>
        <v>0</v>
      </c>
      <c r="J24" s="87">
        <f>+forwards_portfolios!H17</f>
        <v>0</v>
      </c>
      <c r="K24" s="87">
        <f>+forwards_portfolios!I17</f>
        <v>0</v>
      </c>
      <c r="L24" s="87">
        <f>+forwards_portfolios!J17</f>
        <v>0</v>
      </c>
      <c r="M24" s="87">
        <f>+forwards_portfolios!K17</f>
        <v>0</v>
      </c>
      <c r="N24" s="87">
        <f>+forwards_portfolios!L17</f>
        <v>0</v>
      </c>
      <c r="O24" s="87">
        <f>+forwards_portfolios!M17</f>
        <v>0</v>
      </c>
      <c r="P24" s="87">
        <f>+forwards_portfolios!N17</f>
        <v>0</v>
      </c>
      <c r="Q24" s="88">
        <f>+forwards_portfolios!O17</f>
        <v>0</v>
      </c>
    </row>
    <row r="25" spans="2:17" ht="33" customHeight="1" x14ac:dyDescent="0.2">
      <c r="B25" s="86"/>
      <c r="C25" s="87">
        <f>+forwards_portfolios!A18</f>
        <v>0</v>
      </c>
      <c r="D25" s="87">
        <f>+forwards_portfolios!B18</f>
        <v>0</v>
      </c>
      <c r="E25" s="87">
        <f>+forwards_portfolios!C18</f>
        <v>0</v>
      </c>
      <c r="F25" s="87">
        <f>+forwards_portfolios!D18</f>
        <v>0</v>
      </c>
      <c r="G25" s="87">
        <f>+forwards_portfolios!E18</f>
        <v>0</v>
      </c>
      <c r="H25" s="87">
        <f>+forwards_portfolios!F18</f>
        <v>0</v>
      </c>
      <c r="I25" s="87">
        <f>+forwards_portfolios!G18</f>
        <v>0</v>
      </c>
      <c r="J25" s="87">
        <f>+forwards_portfolios!H18</f>
        <v>0</v>
      </c>
      <c r="K25" s="87">
        <f>+forwards_portfolios!I18</f>
        <v>0</v>
      </c>
      <c r="L25" s="87">
        <f>+forwards_portfolios!J18</f>
        <v>0</v>
      </c>
      <c r="M25" s="87">
        <f>+forwards_portfolios!K18</f>
        <v>0</v>
      </c>
      <c r="N25" s="87">
        <f>+forwards_portfolios!L18</f>
        <v>0</v>
      </c>
      <c r="O25" s="87">
        <f>+forwards_portfolios!M18</f>
        <v>0</v>
      </c>
      <c r="P25" s="87">
        <f>+forwards_portfolios!N18</f>
        <v>0</v>
      </c>
      <c r="Q25" s="88">
        <f>+forwards_portfolios!O18</f>
        <v>0</v>
      </c>
    </row>
    <row r="26" spans="2:17" ht="33" customHeight="1" x14ac:dyDescent="0.2">
      <c r="B26" s="86"/>
      <c r="C26" s="87">
        <f>+forwards_portfolios!A19</f>
        <v>0</v>
      </c>
      <c r="D26" s="87">
        <f>+forwards_portfolios!B19</f>
        <v>0</v>
      </c>
      <c r="E26" s="87">
        <f>+forwards_portfolios!C19</f>
        <v>0</v>
      </c>
      <c r="F26" s="87">
        <f>+forwards_portfolios!D19</f>
        <v>0</v>
      </c>
      <c r="G26" s="87">
        <f>+forwards_portfolios!E19</f>
        <v>0</v>
      </c>
      <c r="H26" s="87">
        <f>+forwards_portfolios!F19</f>
        <v>0</v>
      </c>
      <c r="I26" s="87">
        <f>+forwards_portfolios!G19</f>
        <v>0</v>
      </c>
      <c r="J26" s="87">
        <f>+forwards_portfolios!H19</f>
        <v>0</v>
      </c>
      <c r="K26" s="87">
        <f>+forwards_portfolios!I19</f>
        <v>0</v>
      </c>
      <c r="L26" s="87">
        <f>+forwards_portfolios!J19</f>
        <v>0</v>
      </c>
      <c r="M26" s="87">
        <f>+forwards_portfolios!K19</f>
        <v>0</v>
      </c>
      <c r="N26" s="87">
        <f>+forwards_portfolios!L19</f>
        <v>0</v>
      </c>
      <c r="O26" s="87">
        <f>+forwards_portfolios!M19</f>
        <v>0</v>
      </c>
      <c r="P26" s="87">
        <f>+forwards_portfolios!N19</f>
        <v>0</v>
      </c>
      <c r="Q26" s="88">
        <f>+forwards_portfolios!O19</f>
        <v>0</v>
      </c>
    </row>
    <row r="27" spans="2:17" ht="33" customHeight="1" x14ac:dyDescent="0.2">
      <c r="B27" s="86"/>
      <c r="C27" s="87">
        <f>+forwards_portfolios!A20</f>
        <v>0</v>
      </c>
      <c r="D27" s="87">
        <f>+forwards_portfolios!B20</f>
        <v>0</v>
      </c>
      <c r="E27" s="87">
        <f>+forwards_portfolios!C20</f>
        <v>0</v>
      </c>
      <c r="F27" s="87">
        <f>+forwards_portfolios!D20</f>
        <v>0</v>
      </c>
      <c r="G27" s="87">
        <f>+forwards_portfolios!E20</f>
        <v>0</v>
      </c>
      <c r="H27" s="87">
        <f>+forwards_portfolios!F20</f>
        <v>0</v>
      </c>
      <c r="I27" s="87">
        <f>+forwards_portfolios!G20</f>
        <v>0</v>
      </c>
      <c r="J27" s="87">
        <f>+forwards_portfolios!H20</f>
        <v>0</v>
      </c>
      <c r="K27" s="87">
        <f>+forwards_portfolios!I20</f>
        <v>0</v>
      </c>
      <c r="L27" s="87">
        <f>+forwards_portfolios!J20</f>
        <v>0</v>
      </c>
      <c r="M27" s="87">
        <f>+forwards_portfolios!K20</f>
        <v>0</v>
      </c>
      <c r="N27" s="87">
        <f>+forwards_portfolios!L20</f>
        <v>0</v>
      </c>
      <c r="O27" s="87">
        <f>+forwards_portfolios!M20</f>
        <v>0</v>
      </c>
      <c r="P27" s="87">
        <f>+forwards_portfolios!N20</f>
        <v>0</v>
      </c>
      <c r="Q27" s="88">
        <f>+forwards_portfolios!O20</f>
        <v>0</v>
      </c>
    </row>
    <row r="28" spans="2:17" ht="33" customHeight="1" x14ac:dyDescent="0.2">
      <c r="B28" s="86"/>
      <c r="C28" s="87">
        <f>+forwards_portfolios!A21</f>
        <v>0</v>
      </c>
      <c r="D28" s="87">
        <f>+forwards_portfolios!B21</f>
        <v>0</v>
      </c>
      <c r="E28" s="87">
        <f>+forwards_portfolios!C21</f>
        <v>0</v>
      </c>
      <c r="F28" s="87">
        <f>+forwards_portfolios!D21</f>
        <v>0</v>
      </c>
      <c r="G28" s="87">
        <f>+forwards_portfolios!E21</f>
        <v>0</v>
      </c>
      <c r="H28" s="87">
        <f>+forwards_portfolios!F21</f>
        <v>0</v>
      </c>
      <c r="I28" s="87">
        <f>+forwards_portfolios!G21</f>
        <v>0</v>
      </c>
      <c r="J28" s="87">
        <f>+forwards_portfolios!H21</f>
        <v>0</v>
      </c>
      <c r="K28" s="87">
        <f>+forwards_portfolios!I21</f>
        <v>0</v>
      </c>
      <c r="L28" s="87">
        <f>+forwards_portfolios!J21</f>
        <v>0</v>
      </c>
      <c r="M28" s="87">
        <f>+forwards_portfolios!K21</f>
        <v>0</v>
      </c>
      <c r="N28" s="87">
        <f>+forwards_portfolios!L21</f>
        <v>0</v>
      </c>
      <c r="O28" s="87">
        <f>+forwards_portfolios!M21</f>
        <v>0</v>
      </c>
      <c r="P28" s="87">
        <f>+forwards_portfolios!N21</f>
        <v>0</v>
      </c>
      <c r="Q28" s="88">
        <f>+forwards_portfolios!O21</f>
        <v>0</v>
      </c>
    </row>
    <row r="29" spans="2:17" ht="33" customHeight="1" x14ac:dyDescent="0.2">
      <c r="B29" s="86"/>
      <c r="C29" s="87">
        <f>+forwards_portfolios!A22</f>
        <v>0</v>
      </c>
      <c r="D29" s="87">
        <f>+forwards_portfolios!B22</f>
        <v>0</v>
      </c>
      <c r="E29" s="87">
        <f>+forwards_portfolios!C22</f>
        <v>0</v>
      </c>
      <c r="F29" s="87">
        <f>+forwards_portfolios!D22</f>
        <v>0</v>
      </c>
      <c r="G29" s="87">
        <f>+forwards_portfolios!E22</f>
        <v>0</v>
      </c>
      <c r="H29" s="87">
        <f>+forwards_portfolios!F22</f>
        <v>0</v>
      </c>
      <c r="I29" s="87">
        <f>+forwards_portfolios!G22</f>
        <v>0</v>
      </c>
      <c r="J29" s="87">
        <f>+forwards_portfolios!H22</f>
        <v>0</v>
      </c>
      <c r="K29" s="87">
        <f>+forwards_portfolios!I22</f>
        <v>0</v>
      </c>
      <c r="L29" s="87">
        <f>+forwards_portfolios!J22</f>
        <v>0</v>
      </c>
      <c r="M29" s="87">
        <f>+forwards_portfolios!K22</f>
        <v>0</v>
      </c>
      <c r="N29" s="87">
        <f>+forwards_portfolios!L22</f>
        <v>0</v>
      </c>
      <c r="O29" s="87">
        <f>+forwards_portfolios!M22</f>
        <v>0</v>
      </c>
      <c r="P29" s="87">
        <f>+forwards_portfolios!N22</f>
        <v>0</v>
      </c>
      <c r="Q29" s="88">
        <f>+forwards_portfolios!O22</f>
        <v>0</v>
      </c>
    </row>
    <row r="30" spans="2:17" ht="33" customHeight="1" x14ac:dyDescent="0.2">
      <c r="B30" s="86"/>
      <c r="C30" s="87">
        <f>+forwards_portfolios!A23</f>
        <v>0</v>
      </c>
      <c r="D30" s="87">
        <f>+forwards_portfolios!B23</f>
        <v>0</v>
      </c>
      <c r="E30" s="87">
        <f>+forwards_portfolios!C23</f>
        <v>0</v>
      </c>
      <c r="F30" s="87">
        <f>+forwards_portfolios!D23</f>
        <v>0</v>
      </c>
      <c r="G30" s="87">
        <f>+forwards_portfolios!E23</f>
        <v>0</v>
      </c>
      <c r="H30" s="87">
        <f>+forwards_portfolios!F23</f>
        <v>0</v>
      </c>
      <c r="I30" s="87">
        <f>+forwards_portfolios!G23</f>
        <v>0</v>
      </c>
      <c r="J30" s="87">
        <f>+forwards_portfolios!H23</f>
        <v>0</v>
      </c>
      <c r="K30" s="87">
        <f>+forwards_portfolios!I23</f>
        <v>0</v>
      </c>
      <c r="L30" s="87">
        <f>+forwards_portfolios!J23</f>
        <v>0</v>
      </c>
      <c r="M30" s="87">
        <f>+forwards_portfolios!K23</f>
        <v>0</v>
      </c>
      <c r="N30" s="87">
        <f>+forwards_portfolios!L23</f>
        <v>0</v>
      </c>
      <c r="O30" s="87">
        <f>+forwards_portfolios!M23</f>
        <v>0</v>
      </c>
      <c r="P30" s="87">
        <f>+forwards_portfolios!N23</f>
        <v>0</v>
      </c>
      <c r="Q30" s="88">
        <f>+forwards_portfolios!O23</f>
        <v>0</v>
      </c>
    </row>
    <row r="31" spans="2:17" ht="33" customHeight="1" x14ac:dyDescent="0.2">
      <c r="B31" s="86"/>
      <c r="C31" s="87">
        <f>+forwards_portfolios!A24</f>
        <v>0</v>
      </c>
      <c r="D31" s="87">
        <f>+forwards_portfolios!B24</f>
        <v>0</v>
      </c>
      <c r="E31" s="87">
        <f>+forwards_portfolios!C24</f>
        <v>0</v>
      </c>
      <c r="F31" s="87">
        <f>+forwards_portfolios!D24</f>
        <v>0</v>
      </c>
      <c r="G31" s="87">
        <f>+forwards_portfolios!E24</f>
        <v>0</v>
      </c>
      <c r="H31" s="87">
        <f>+forwards_portfolios!F24</f>
        <v>0</v>
      </c>
      <c r="I31" s="87">
        <f>+forwards_portfolios!G24</f>
        <v>0</v>
      </c>
      <c r="J31" s="87">
        <f>+forwards_portfolios!H24</f>
        <v>0</v>
      </c>
      <c r="K31" s="87">
        <f>+forwards_portfolios!I24</f>
        <v>0</v>
      </c>
      <c r="L31" s="87">
        <f>+forwards_portfolios!J24</f>
        <v>0</v>
      </c>
      <c r="M31" s="87">
        <f>+forwards_portfolios!K24</f>
        <v>0</v>
      </c>
      <c r="N31" s="87">
        <f>+forwards_portfolios!L24</f>
        <v>0</v>
      </c>
      <c r="O31" s="87">
        <f>+forwards_portfolios!M24</f>
        <v>0</v>
      </c>
      <c r="P31" s="87">
        <f>+forwards_portfolios!N24</f>
        <v>0</v>
      </c>
      <c r="Q31" s="88">
        <f>+forwards_portfolios!O24</f>
        <v>0</v>
      </c>
    </row>
    <row r="32" spans="2:17" ht="33" customHeight="1" x14ac:dyDescent="0.2">
      <c r="B32" s="86"/>
      <c r="C32" s="87">
        <f>+forwards_portfolios!A25</f>
        <v>0</v>
      </c>
      <c r="D32" s="87">
        <f>+forwards_portfolios!B25</f>
        <v>0</v>
      </c>
      <c r="E32" s="87">
        <f>+forwards_portfolios!C25</f>
        <v>0</v>
      </c>
      <c r="F32" s="87">
        <f>+forwards_portfolios!D25</f>
        <v>0</v>
      </c>
      <c r="G32" s="87">
        <f>+forwards_portfolios!E25</f>
        <v>0</v>
      </c>
      <c r="H32" s="87">
        <f>+forwards_portfolios!F25</f>
        <v>0</v>
      </c>
      <c r="I32" s="87">
        <f>+forwards_portfolios!G25</f>
        <v>0</v>
      </c>
      <c r="J32" s="87">
        <f>+forwards_portfolios!H25</f>
        <v>0</v>
      </c>
      <c r="K32" s="87">
        <f>+forwards_portfolios!I25</f>
        <v>0</v>
      </c>
      <c r="L32" s="87">
        <f>+forwards_portfolios!J25</f>
        <v>0</v>
      </c>
      <c r="M32" s="87">
        <f>+forwards_portfolios!K25</f>
        <v>0</v>
      </c>
      <c r="N32" s="87">
        <f>+forwards_portfolios!L25</f>
        <v>0</v>
      </c>
      <c r="O32" s="87">
        <f>+forwards_portfolios!M25</f>
        <v>0</v>
      </c>
      <c r="P32" s="87">
        <f>+forwards_portfolios!N25</f>
        <v>0</v>
      </c>
      <c r="Q32" s="88">
        <f>+forwards_portfolios!O25</f>
        <v>0</v>
      </c>
    </row>
    <row r="33" spans="2:18" ht="33" customHeight="1" x14ac:dyDescent="0.2">
      <c r="B33" s="86"/>
      <c r="C33" s="87">
        <f>+forwards_portfolios!A26</f>
        <v>0</v>
      </c>
      <c r="D33" s="87">
        <f>+forwards_portfolios!B26</f>
        <v>0</v>
      </c>
      <c r="E33" s="87">
        <f>+forwards_portfolios!C26</f>
        <v>0</v>
      </c>
      <c r="F33" s="87">
        <f>+forwards_portfolios!D26</f>
        <v>0</v>
      </c>
      <c r="G33" s="87">
        <f>+forwards_portfolios!E26</f>
        <v>0</v>
      </c>
      <c r="H33" s="87">
        <f>+forwards_portfolios!F26</f>
        <v>0</v>
      </c>
      <c r="I33" s="87">
        <f>+forwards_portfolios!G26</f>
        <v>0</v>
      </c>
      <c r="J33" s="87">
        <f>+forwards_portfolios!H26</f>
        <v>0</v>
      </c>
      <c r="K33" s="87">
        <f>+forwards_portfolios!I26</f>
        <v>0</v>
      </c>
      <c r="L33" s="87">
        <f>+forwards_portfolios!J26</f>
        <v>0</v>
      </c>
      <c r="M33" s="87">
        <f>+forwards_portfolios!K26</f>
        <v>0</v>
      </c>
      <c r="N33" s="87">
        <f>+forwards_portfolios!L26</f>
        <v>0</v>
      </c>
      <c r="O33" s="87">
        <f>+forwards_portfolios!M26</f>
        <v>0</v>
      </c>
      <c r="P33" s="87">
        <f>+forwards_portfolios!N26</f>
        <v>0</v>
      </c>
      <c r="Q33" s="88">
        <f>+forwards_portfolios!O26</f>
        <v>0</v>
      </c>
    </row>
    <row r="34" spans="2:18" ht="33" customHeight="1" x14ac:dyDescent="0.2">
      <c r="C34" s="87">
        <f>+forwards_portfolios!A27</f>
        <v>0</v>
      </c>
      <c r="D34" s="87">
        <f>+forwards_portfolios!B27</f>
        <v>0</v>
      </c>
      <c r="E34" s="87">
        <f>+forwards_portfolios!C27</f>
        <v>0</v>
      </c>
      <c r="F34" s="87">
        <f>+forwards_portfolios!D27</f>
        <v>0</v>
      </c>
      <c r="G34" s="87">
        <f>+forwards_portfolios!E27</f>
        <v>0</v>
      </c>
      <c r="H34" s="87">
        <f>+forwards_portfolios!F27</f>
        <v>0</v>
      </c>
      <c r="I34" s="87">
        <f>+forwards_portfolios!G27</f>
        <v>0</v>
      </c>
      <c r="J34" s="87">
        <f>+forwards_portfolios!H27</f>
        <v>0</v>
      </c>
      <c r="K34" s="87">
        <f>+forwards_portfolios!I27</f>
        <v>0</v>
      </c>
      <c r="L34" s="87">
        <f>+forwards_portfolios!J27</f>
        <v>0</v>
      </c>
      <c r="M34" s="87">
        <f>+forwards_portfolios!K27</f>
        <v>0</v>
      </c>
      <c r="N34" s="87">
        <f>+forwards_portfolios!L27</f>
        <v>0</v>
      </c>
      <c r="O34" s="87">
        <f>+forwards_portfolios!M27</f>
        <v>0</v>
      </c>
      <c r="P34" s="87">
        <f>+forwards_portfolios!N27</f>
        <v>0</v>
      </c>
      <c r="Q34" s="88">
        <f>+forwards_portfolios!O27</f>
        <v>0</v>
      </c>
    </row>
    <row r="35" spans="2:18" ht="27" customHeight="1" x14ac:dyDescent="0.2"/>
    <row r="36" spans="2:18" ht="27" customHeight="1" x14ac:dyDescent="0.2"/>
    <row r="37" spans="2:18" x14ac:dyDescent="0.2">
      <c r="B37" s="89"/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</row>
  </sheetData>
  <mergeCells count="3">
    <mergeCell ref="B3:R3"/>
    <mergeCell ref="B4:R4"/>
    <mergeCell ref="B6:R6"/>
  </mergeCells>
  <conditionalFormatting sqref="Q9:Q34">
    <cfRule type="iconSet" priority="1">
      <iconSet iconSet="3Symbols2">
        <cfvo type="percent" val="0"/>
        <cfvo type="num" val="2"/>
        <cfvo type="num" val="10"/>
      </iconSet>
    </cfRule>
  </conditionalFormatting>
  <pageMargins left="0.25" right="0.25" top="0.75" bottom="0.75" header="0.3" footer="0.3"/>
  <pageSetup scale="39" orientation="landscape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91FE6-BECD-4645-BA1E-28804363834B}">
  <sheetPr codeName="Hoja91">
    <tabColor theme="2" tint="0.499984740745262"/>
    <pageSetUpPr fitToPage="1"/>
  </sheetPr>
  <dimension ref="B3:K15"/>
  <sheetViews>
    <sheetView showGridLines="0" showZeros="0" zoomScale="70" zoomScaleNormal="70" workbookViewId="0">
      <selection activeCell="B4" sqref="B4:K4"/>
    </sheetView>
  </sheetViews>
  <sheetFormatPr baseColWidth="10" defaultRowHeight="16.5" x14ac:dyDescent="0.2"/>
  <cols>
    <col min="1" max="1" width="8.75" style="66" customWidth="1"/>
    <col min="2" max="2" width="10.5" style="67" customWidth="1"/>
    <col min="3" max="3" width="17.125" style="67" customWidth="1"/>
    <col min="4" max="4" width="16.125" style="67" customWidth="1"/>
    <col min="5" max="5" width="17.125" style="67" customWidth="1"/>
    <col min="6" max="6" width="22.125" style="68" bestFit="1" customWidth="1"/>
    <col min="7" max="7" width="21.875" style="68" customWidth="1"/>
    <col min="8" max="8" width="20.25" style="68" customWidth="1"/>
    <col min="9" max="9" width="21.75" style="68" customWidth="1"/>
    <col min="10" max="10" width="23.5" style="68" customWidth="1"/>
    <col min="11" max="11" width="12.375" style="67" customWidth="1"/>
    <col min="12" max="16384" width="11" style="66"/>
  </cols>
  <sheetData>
    <row r="3" spans="2:11" ht="27.75" customHeight="1" x14ac:dyDescent="0.2">
      <c r="B3" s="139" t="s">
        <v>344</v>
      </c>
      <c r="C3" s="139"/>
      <c r="D3" s="139"/>
      <c r="E3" s="139"/>
      <c r="F3" s="139"/>
      <c r="G3" s="139"/>
      <c r="H3" s="139"/>
      <c r="I3" s="139"/>
      <c r="J3" s="139"/>
      <c r="K3" s="139"/>
    </row>
    <row r="4" spans="2:11" ht="20.25" customHeight="1" x14ac:dyDescent="0.2">
      <c r="B4" s="140" t="s">
        <v>343</v>
      </c>
      <c r="C4" s="140"/>
      <c r="D4" s="140"/>
      <c r="E4" s="140"/>
      <c r="F4" s="140"/>
      <c r="G4" s="140"/>
      <c r="H4" s="140"/>
      <c r="I4" s="140"/>
      <c r="J4" s="140"/>
      <c r="K4" s="140"/>
    </row>
    <row r="5" spans="2:11" ht="21" customHeight="1" x14ac:dyDescent="0.2"/>
    <row r="6" spans="2:11" ht="28.5" customHeight="1" x14ac:dyDescent="0.2">
      <c r="B6" s="141" t="s">
        <v>325</v>
      </c>
      <c r="C6" s="141"/>
      <c r="D6" s="141"/>
      <c r="E6" s="141"/>
      <c r="F6" s="141"/>
      <c r="G6" s="141"/>
      <c r="H6" s="141"/>
      <c r="I6" s="141"/>
      <c r="J6" s="141"/>
      <c r="K6" s="141"/>
    </row>
    <row r="7" spans="2:11" ht="53.25" customHeight="1" x14ac:dyDescent="0.2">
      <c r="B7" s="66"/>
      <c r="C7" s="69" t="s">
        <v>326</v>
      </c>
      <c r="D7" s="69" t="s">
        <v>164</v>
      </c>
      <c r="E7" s="69" t="s">
        <v>327</v>
      </c>
      <c r="F7" s="70" t="str">
        <f>+[1]grouped_forwards!D1</f>
        <v>RENTA</v>
      </c>
      <c r="G7" s="70" t="str">
        <f>grouped_forwards!E1</f>
        <v>IMT E-PLUS</v>
      </c>
      <c r="H7" s="70" t="str">
        <f>+[1]grouped_forwards!F1</f>
        <v>MACRO 1.5</v>
      </c>
      <c r="I7" s="70" t="str">
        <f>+[1]grouped_forwards!G1</f>
        <v>MACRO CLP3</v>
      </c>
      <c r="J7" s="71" t="s">
        <v>147</v>
      </c>
      <c r="K7" s="66"/>
    </row>
    <row r="8" spans="2:11" ht="53.25" customHeight="1" x14ac:dyDescent="0.2">
      <c r="B8" s="66"/>
      <c r="C8" s="74">
        <f>grouped_forwards!A2</f>
        <v>43236</v>
      </c>
      <c r="D8" s="74" t="str">
        <f>grouped_forwards!B2</f>
        <v>US$-$</v>
      </c>
      <c r="E8" s="84">
        <f>grouped_forwards!C2</f>
        <v>140</v>
      </c>
      <c r="F8" s="72">
        <f>+grouped_forwards!D2</f>
        <v>0</v>
      </c>
      <c r="G8" s="72">
        <f>+grouped_forwards!E2</f>
        <v>0</v>
      </c>
      <c r="H8" s="72">
        <f>+grouped_forwards!F2</f>
        <v>0</v>
      </c>
      <c r="I8" s="72">
        <f>+grouped_forwards!G2</f>
        <v>0</v>
      </c>
      <c r="J8" s="73">
        <f>+SUM(F8:I8)</f>
        <v>0</v>
      </c>
      <c r="K8" s="66"/>
    </row>
    <row r="9" spans="2:11" ht="53.25" customHeight="1" x14ac:dyDescent="0.2">
      <c r="B9" s="66"/>
      <c r="C9" s="74">
        <f>grouped_forwards!A3</f>
        <v>43237</v>
      </c>
      <c r="D9" s="74" t="str">
        <f>grouped_forwards!B3</f>
        <v>US$-$</v>
      </c>
      <c r="E9" s="84">
        <f>grouped_forwards!C3</f>
        <v>141</v>
      </c>
      <c r="F9" s="75">
        <f>+grouped_forwards!D3</f>
        <v>0</v>
      </c>
      <c r="G9" s="75">
        <f>+grouped_forwards!E3</f>
        <v>0</v>
      </c>
      <c r="H9" s="75">
        <f>+grouped_forwards!F3</f>
        <v>0</v>
      </c>
      <c r="I9" s="75">
        <f>+grouped_forwards!G3</f>
        <v>0</v>
      </c>
      <c r="J9" s="76">
        <f t="shared" ref="J9:J12" si="0">+SUM(F9:I9)</f>
        <v>0</v>
      </c>
      <c r="K9" s="66"/>
    </row>
    <row r="10" spans="2:11" ht="53.25" customHeight="1" x14ac:dyDescent="0.2">
      <c r="B10" s="66"/>
      <c r="C10" s="74">
        <f>grouped_forwards!A4</f>
        <v>43446</v>
      </c>
      <c r="D10" s="74" t="str">
        <f>grouped_forwards!B4</f>
        <v>US$-$</v>
      </c>
      <c r="E10" s="84">
        <f>grouped_forwards!C4</f>
        <v>350</v>
      </c>
      <c r="F10" s="75">
        <f>+grouped_forwards!D4</f>
        <v>0</v>
      </c>
      <c r="G10" s="75">
        <f>+grouped_forwards!E4</f>
        <v>1380000</v>
      </c>
      <c r="H10" s="75">
        <f>+grouped_forwards!F4</f>
        <v>0</v>
      </c>
      <c r="I10" s="75">
        <f>+grouped_forwards!G4</f>
        <v>0</v>
      </c>
      <c r="J10" s="76">
        <f t="shared" si="0"/>
        <v>1380000</v>
      </c>
      <c r="K10" s="66"/>
    </row>
    <row r="11" spans="2:11" ht="53.25" customHeight="1" x14ac:dyDescent="0.2">
      <c r="B11" s="66"/>
      <c r="C11" s="74">
        <f>grouped_forwards!A5</f>
        <v>0</v>
      </c>
      <c r="D11" s="74">
        <f>grouped_forwards!B5</f>
        <v>0</v>
      </c>
      <c r="E11" s="84">
        <f>grouped_forwards!C5</f>
        <v>0</v>
      </c>
      <c r="F11" s="75">
        <f>+grouped_forwards!D5</f>
        <v>0</v>
      </c>
      <c r="G11" s="75">
        <f>+grouped_forwards!E5</f>
        <v>0</v>
      </c>
      <c r="H11" s="75">
        <f>+grouped_forwards!F5</f>
        <v>0</v>
      </c>
      <c r="I11" s="75">
        <f>+grouped_forwards!G5</f>
        <v>0</v>
      </c>
      <c r="J11" s="76">
        <f t="shared" si="0"/>
        <v>0</v>
      </c>
      <c r="K11" s="66"/>
    </row>
    <row r="12" spans="2:11" ht="53.25" customHeight="1" x14ac:dyDescent="0.2">
      <c r="B12" s="66"/>
      <c r="C12" s="74">
        <f>grouped_forwards!A6</f>
        <v>0</v>
      </c>
      <c r="D12" s="74">
        <f>grouped_forwards!B6</f>
        <v>0</v>
      </c>
      <c r="E12" s="84">
        <f>grouped_forwards!C6</f>
        <v>0</v>
      </c>
      <c r="F12" s="75">
        <f>+grouped_forwards!D6</f>
        <v>0</v>
      </c>
      <c r="G12" s="75">
        <f>+grouped_forwards!E6</f>
        <v>0</v>
      </c>
      <c r="H12" s="75">
        <f>+grouped_forwards!F6</f>
        <v>0</v>
      </c>
      <c r="I12" s="75">
        <f>+grouped_forwards!G6</f>
        <v>0</v>
      </c>
      <c r="J12" s="76">
        <f t="shared" si="0"/>
        <v>0</v>
      </c>
      <c r="K12" s="66"/>
    </row>
    <row r="13" spans="2:11" ht="53.25" customHeight="1" x14ac:dyDescent="0.2">
      <c r="B13" s="66"/>
      <c r="C13" s="77">
        <f>grouped_forwards!A7</f>
        <v>0</v>
      </c>
      <c r="D13" s="77">
        <f>grouped_forwards!B7</f>
        <v>0</v>
      </c>
      <c r="E13" s="77">
        <f>grouped_forwards!C7</f>
        <v>0</v>
      </c>
      <c r="F13" s="78">
        <f>+grouped_forwards!D7</f>
        <v>0</v>
      </c>
      <c r="G13" s="78">
        <f>+grouped_forwards!E7</f>
        <v>0</v>
      </c>
      <c r="H13" s="78">
        <f>+grouped_forwards!F7</f>
        <v>0</v>
      </c>
      <c r="I13" s="78">
        <f>+grouped_forwards!G7</f>
        <v>0</v>
      </c>
      <c r="J13" s="79">
        <f t="shared" ref="J13" si="1">+SUM(F13:I13)</f>
        <v>0</v>
      </c>
      <c r="K13" s="66"/>
    </row>
    <row r="14" spans="2:11" ht="53.25" customHeight="1" x14ac:dyDescent="0.2">
      <c r="C14" s="80"/>
      <c r="D14" s="81"/>
      <c r="F14" s="67"/>
      <c r="G14" s="67"/>
      <c r="H14" s="67"/>
      <c r="I14" s="67"/>
      <c r="J14" s="67"/>
    </row>
    <row r="15" spans="2:11" x14ac:dyDescent="0.2">
      <c r="B15" s="82"/>
      <c r="C15" s="82"/>
      <c r="D15" s="82"/>
      <c r="E15" s="82"/>
      <c r="F15" s="83"/>
      <c r="G15" s="83"/>
      <c r="H15" s="83"/>
      <c r="I15" s="83"/>
      <c r="J15" s="83"/>
      <c r="K15" s="82"/>
    </row>
  </sheetData>
  <mergeCells count="3">
    <mergeCell ref="B3:K3"/>
    <mergeCell ref="B4:K4"/>
    <mergeCell ref="B6:K6"/>
  </mergeCells>
  <printOptions horizontalCentered="1"/>
  <pageMargins left="0.25" right="0.25" top="0.75" bottom="0.75" header="0.3" footer="0.3"/>
  <pageSetup scale="64" orientation="landscape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1"/>
  <dimension ref="C2:W29"/>
  <sheetViews>
    <sheetView showGridLines="0" workbookViewId="0">
      <selection activeCell="M7" sqref="M7"/>
    </sheetView>
  </sheetViews>
  <sheetFormatPr baseColWidth="10" defaultRowHeight="14.25" x14ac:dyDescent="0.2"/>
  <cols>
    <col min="1" max="2" width="9.5" customWidth="1"/>
    <col min="3" max="3" width="9.375" customWidth="1"/>
    <col min="4" max="4" width="23" bestFit="1" customWidth="1"/>
    <col min="5" max="5" width="13.5" bestFit="1" customWidth="1"/>
    <col min="6" max="6" width="7" bestFit="1" customWidth="1"/>
    <col min="7" max="7" width="11.375" bestFit="1" customWidth="1"/>
    <col min="8" max="8" width="11.875" customWidth="1"/>
    <col min="9" max="9" width="7.75" bestFit="1" customWidth="1"/>
    <col min="10" max="10" width="11.375" bestFit="1" customWidth="1"/>
    <col min="11" max="12" width="14.75" bestFit="1" customWidth="1"/>
    <col min="13" max="13" width="11.125" bestFit="1" customWidth="1"/>
    <col min="14" max="14" width="13.5" bestFit="1" customWidth="1"/>
    <col min="15" max="15" width="12.625" bestFit="1" customWidth="1"/>
    <col min="16" max="16" width="16.5" bestFit="1" customWidth="1"/>
    <col min="17" max="17" width="7.5" customWidth="1"/>
    <col min="18" max="18" width="6.25" customWidth="1"/>
    <col min="21" max="21" width="15.25" hidden="1" customWidth="1"/>
    <col min="22" max="22" width="14.875" hidden="1" customWidth="1"/>
    <col min="23" max="23" width="14.25" hidden="1" customWidth="1"/>
  </cols>
  <sheetData>
    <row r="2" spans="3:23" x14ac:dyDescent="0.2">
      <c r="D2" s="56" t="s">
        <v>282</v>
      </c>
      <c r="E2" s="57">
        <f ca="1">+TODAY()</f>
        <v>43111</v>
      </c>
      <c r="K2" s="39"/>
      <c r="M2" s="39"/>
    </row>
    <row r="3" spans="3:23" x14ac:dyDescent="0.2">
      <c r="D3" s="55" t="s">
        <v>188</v>
      </c>
      <c r="E3" s="33">
        <f>+SUM(Dataset!$Y$2:$Y$1048576)</f>
        <v>47000</v>
      </c>
    </row>
    <row r="5" spans="3:23" ht="16.5" x14ac:dyDescent="0.3">
      <c r="C5" s="142" t="s">
        <v>268</v>
      </c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U5" t="s">
        <v>191</v>
      </c>
      <c r="V5" t="s">
        <v>195</v>
      </c>
      <c r="W5" t="s">
        <v>192</v>
      </c>
    </row>
    <row r="6" spans="3:23" ht="16.5" x14ac:dyDescent="0.3">
      <c r="C6" s="49" t="s">
        <v>184</v>
      </c>
      <c r="D6" s="49" t="s">
        <v>272</v>
      </c>
      <c r="E6" s="49" t="s">
        <v>269</v>
      </c>
      <c r="F6" s="49" t="s">
        <v>139</v>
      </c>
      <c r="G6" s="49" t="s">
        <v>270</v>
      </c>
      <c r="H6" s="49" t="s">
        <v>265</v>
      </c>
      <c r="I6" s="49" t="s">
        <v>267</v>
      </c>
      <c r="J6" s="49" t="s">
        <v>183</v>
      </c>
      <c r="K6" s="49" t="s">
        <v>173</v>
      </c>
      <c r="L6" s="49" t="s">
        <v>283</v>
      </c>
      <c r="M6" s="49" t="s">
        <v>196</v>
      </c>
      <c r="N6" s="49" t="s">
        <v>277</v>
      </c>
      <c r="O6" s="49" t="s">
        <v>278</v>
      </c>
      <c r="P6" s="49" t="s">
        <v>187</v>
      </c>
      <c r="Q6" s="49" t="s">
        <v>140</v>
      </c>
      <c r="R6" s="49" t="s">
        <v>17</v>
      </c>
      <c r="S6" s="37"/>
    </row>
    <row r="7" spans="3:23" ht="16.5" x14ac:dyDescent="0.3">
      <c r="C7" s="40">
        <v>1</v>
      </c>
      <c r="D7" s="43"/>
      <c r="E7" s="38" t="s">
        <v>190</v>
      </c>
      <c r="F7" s="38"/>
      <c r="G7" s="43" t="s">
        <v>273</v>
      </c>
      <c r="H7" s="43" t="s">
        <v>266</v>
      </c>
      <c r="I7" s="43">
        <v>100</v>
      </c>
      <c r="J7" s="38">
        <v>10</v>
      </c>
      <c r="K7" s="38"/>
      <c r="L7" s="44" t="e">
        <f ca="1">+BDP(E7&amp;" Corp",L$6)</f>
        <v>#NAME?</v>
      </c>
      <c r="M7" s="38">
        <v>100</v>
      </c>
      <c r="N7" s="45" t="str">
        <f ca="1">IFERROR(BDP($E7 &amp; " Corp",$V$5,$U$5,$L7*100,"SETTLE_DT",TEXT($E2,"yyyymmdd")),"")</f>
        <v/>
      </c>
      <c r="O7" s="46" t="str">
        <f ca="1">IFERROR(BDP($E7 &amp; " Corp",W$5,$U$5,$L7*100,"SETTLE_DT",TEXT($E2,"yyyymmdd")),"")</f>
        <v/>
      </c>
      <c r="P7" s="38" t="str">
        <f ca="1">+IFERROR(IF(H7="NOMINALES",1/J7*(O7*I7/M7),-I7/J7),"")</f>
        <v/>
      </c>
      <c r="Q7" s="47" t="str">
        <f t="shared" ref="Q7:Q16" ca="1" si="0">+IFERROR(P7/$E$3,"")</f>
        <v/>
      </c>
      <c r="R7" t="str">
        <f ca="1">+IFERROR(K7*Q7,"")</f>
        <v/>
      </c>
    </row>
    <row r="8" spans="3:23" ht="16.5" x14ac:dyDescent="0.3">
      <c r="C8" s="40">
        <v>2</v>
      </c>
      <c r="D8" s="43"/>
      <c r="E8" s="38" t="s">
        <v>194</v>
      </c>
      <c r="F8" s="38"/>
      <c r="G8" s="43" t="s">
        <v>274</v>
      </c>
      <c r="H8" s="43" t="s">
        <v>275</v>
      </c>
      <c r="I8" s="43"/>
      <c r="J8" s="38">
        <v>10</v>
      </c>
      <c r="K8" s="38"/>
      <c r="L8" s="44" t="e">
        <f ca="1">+_xll.BDP(E8&amp;" Corp",L$6)</f>
        <v>#NAME?</v>
      </c>
      <c r="M8" s="48">
        <v>100</v>
      </c>
      <c r="N8" s="45" t="str">
        <f t="shared" ref="N8:N15" ca="1" si="1">IFERROR(BDP($E8 &amp; " Corp",$V$5,$U$5,$L8*100,"SETTLE_DT",TEXT($E3,"yyyymmdd")),"")</f>
        <v/>
      </c>
      <c r="O8" s="46" t="str">
        <f t="shared" ref="O8:O15" ca="1" si="2">IFERROR(BDP($E8 &amp; " Corp",W$5,$U$5,$L8*100,"SETTLE_DT",TEXT($E3,"yyyymmdd")),"")</f>
        <v/>
      </c>
      <c r="P8" s="38">
        <f t="shared" ref="P8:P16" si="3">+IFERROR(IF(H8="NOMINALES",1/J8*(O8*I8/M8),-I8/J8),"")</f>
        <v>0</v>
      </c>
      <c r="Q8" s="47">
        <f t="shared" si="0"/>
        <v>0</v>
      </c>
      <c r="R8">
        <f t="shared" ref="R8:R15" si="4">+IFERROR(K8*Q8,"")</f>
        <v>0</v>
      </c>
    </row>
    <row r="9" spans="3:23" ht="16.5" x14ac:dyDescent="0.3">
      <c r="C9" s="40">
        <v>3</v>
      </c>
      <c r="D9" s="43"/>
      <c r="E9" s="43"/>
      <c r="F9" s="43"/>
      <c r="G9" s="43"/>
      <c r="H9" s="43"/>
      <c r="I9" s="43"/>
      <c r="J9" s="38"/>
      <c r="K9" s="38"/>
      <c r="L9" s="38"/>
      <c r="M9" s="43"/>
      <c r="N9" s="45" t="str">
        <f t="shared" ca="1" si="1"/>
        <v/>
      </c>
      <c r="O9" s="46" t="str">
        <f t="shared" ca="1" si="2"/>
        <v/>
      </c>
      <c r="P9" s="38" t="str">
        <f t="shared" si="3"/>
        <v/>
      </c>
      <c r="Q9" s="47" t="str">
        <f t="shared" si="0"/>
        <v/>
      </c>
      <c r="R9" t="str">
        <f t="shared" si="4"/>
        <v/>
      </c>
    </row>
    <row r="10" spans="3:23" ht="16.5" x14ac:dyDescent="0.3">
      <c r="C10" s="40">
        <v>4</v>
      </c>
      <c r="D10" s="43"/>
      <c r="E10" s="43"/>
      <c r="F10" s="43"/>
      <c r="G10" s="43"/>
      <c r="H10" s="43"/>
      <c r="I10" s="43"/>
      <c r="J10" s="38"/>
      <c r="K10" s="38"/>
      <c r="L10" s="38"/>
      <c r="M10" s="43"/>
      <c r="N10" s="45" t="str">
        <f t="shared" ca="1" si="1"/>
        <v/>
      </c>
      <c r="O10" s="46" t="str">
        <f t="shared" ca="1" si="2"/>
        <v/>
      </c>
      <c r="P10" s="38" t="str">
        <f t="shared" si="3"/>
        <v/>
      </c>
      <c r="Q10" s="47" t="str">
        <f t="shared" si="0"/>
        <v/>
      </c>
      <c r="R10" t="str">
        <f t="shared" si="4"/>
        <v/>
      </c>
    </row>
    <row r="11" spans="3:23" ht="16.5" x14ac:dyDescent="0.3">
      <c r="C11" s="40">
        <v>5</v>
      </c>
      <c r="D11" s="43"/>
      <c r="E11" s="43"/>
      <c r="F11" s="43"/>
      <c r="G11" s="43"/>
      <c r="H11" s="43"/>
      <c r="I11" s="43"/>
      <c r="J11" s="38"/>
      <c r="K11" s="38"/>
      <c r="L11" s="38"/>
      <c r="M11" s="43"/>
      <c r="N11" s="45" t="str">
        <f t="shared" ca="1" si="1"/>
        <v/>
      </c>
      <c r="O11" s="46" t="str">
        <f t="shared" ca="1" si="2"/>
        <v/>
      </c>
      <c r="P11" s="38" t="str">
        <f t="shared" si="3"/>
        <v/>
      </c>
      <c r="Q11" s="47" t="str">
        <f t="shared" si="0"/>
        <v/>
      </c>
      <c r="R11" t="str">
        <f t="shared" si="4"/>
        <v/>
      </c>
    </row>
    <row r="12" spans="3:23" ht="16.5" x14ac:dyDescent="0.3">
      <c r="C12" s="40">
        <v>6</v>
      </c>
      <c r="D12" s="43"/>
      <c r="E12" s="43"/>
      <c r="F12" s="43"/>
      <c r="G12" s="43"/>
      <c r="H12" s="43"/>
      <c r="I12" s="43"/>
      <c r="J12" s="38"/>
      <c r="K12" s="38"/>
      <c r="L12" s="38"/>
      <c r="M12" s="43"/>
      <c r="N12" s="45" t="str">
        <f t="shared" ca="1" si="1"/>
        <v/>
      </c>
      <c r="O12" s="46" t="str">
        <f t="shared" ca="1" si="2"/>
        <v/>
      </c>
      <c r="P12" s="38" t="str">
        <f t="shared" si="3"/>
        <v/>
      </c>
      <c r="Q12" s="47" t="str">
        <f t="shared" si="0"/>
        <v/>
      </c>
      <c r="R12" t="str">
        <f t="shared" si="4"/>
        <v/>
      </c>
    </row>
    <row r="13" spans="3:23" ht="16.5" x14ac:dyDescent="0.3">
      <c r="C13" s="40">
        <v>7</v>
      </c>
      <c r="D13" s="43"/>
      <c r="E13" s="43"/>
      <c r="F13" s="43"/>
      <c r="G13" s="43"/>
      <c r="H13" s="43"/>
      <c r="I13" s="43"/>
      <c r="J13" s="38"/>
      <c r="K13" s="38"/>
      <c r="L13" s="38"/>
      <c r="M13" s="43"/>
      <c r="N13" s="45" t="str">
        <f t="shared" ca="1" si="1"/>
        <v/>
      </c>
      <c r="O13" s="46" t="str">
        <f t="shared" ca="1" si="2"/>
        <v/>
      </c>
      <c r="P13" s="38" t="str">
        <f t="shared" si="3"/>
        <v/>
      </c>
      <c r="Q13" s="47" t="str">
        <f t="shared" si="0"/>
        <v/>
      </c>
      <c r="R13" t="str">
        <f t="shared" si="4"/>
        <v/>
      </c>
    </row>
    <row r="14" spans="3:23" ht="16.5" x14ac:dyDescent="0.3">
      <c r="C14" s="40">
        <v>8</v>
      </c>
      <c r="D14" s="43"/>
      <c r="E14" s="43"/>
      <c r="F14" s="43"/>
      <c r="G14" s="43"/>
      <c r="H14" s="43"/>
      <c r="I14" s="43"/>
      <c r="J14" s="38"/>
      <c r="K14" s="38"/>
      <c r="L14" s="38"/>
      <c r="M14" s="43"/>
      <c r="N14" s="45" t="str">
        <f t="shared" ca="1" si="1"/>
        <v/>
      </c>
      <c r="O14" s="46" t="str">
        <f t="shared" ca="1" si="2"/>
        <v/>
      </c>
      <c r="P14" s="38" t="str">
        <f t="shared" si="3"/>
        <v/>
      </c>
      <c r="Q14" s="47" t="str">
        <f t="shared" si="0"/>
        <v/>
      </c>
      <c r="R14" t="str">
        <f t="shared" si="4"/>
        <v/>
      </c>
    </row>
    <row r="15" spans="3:23" ht="16.5" x14ac:dyDescent="0.3">
      <c r="C15" s="40">
        <v>9</v>
      </c>
      <c r="D15" s="43"/>
      <c r="E15" s="43"/>
      <c r="F15" s="43"/>
      <c r="G15" s="43"/>
      <c r="H15" s="43"/>
      <c r="I15" s="43"/>
      <c r="J15" s="38"/>
      <c r="K15" s="38"/>
      <c r="L15" s="38"/>
      <c r="M15" s="43"/>
      <c r="N15" s="45" t="str">
        <f t="shared" ca="1" si="1"/>
        <v/>
      </c>
      <c r="O15" s="46" t="str">
        <f t="shared" ca="1" si="2"/>
        <v/>
      </c>
      <c r="P15" s="38" t="str">
        <f t="shared" si="3"/>
        <v/>
      </c>
      <c r="Q15" s="47" t="str">
        <f t="shared" si="0"/>
        <v/>
      </c>
      <c r="R15" t="str">
        <f t="shared" si="4"/>
        <v/>
      </c>
    </row>
    <row r="16" spans="3:23" ht="16.5" x14ac:dyDescent="0.3">
      <c r="C16" s="34">
        <v>10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 t="str">
        <f ca="1">IFERROR(BDP($E16 &amp; " Corp",$V$5,$U$5,$L16*100,"SETTLE_DT",TEXT($L11,"yyyymmdd")),"")</f>
        <v/>
      </c>
      <c r="O16" s="34" t="str">
        <f ca="1">IFERROR(BDP($E16 &amp; " Corp",W$5,$U$5,$L16*100,"SETTLE_DT",TEXT($L11,"yyyymmdd")),"")</f>
        <v/>
      </c>
      <c r="P16" s="34" t="str">
        <f t="shared" si="3"/>
        <v/>
      </c>
      <c r="Q16" s="34" t="str">
        <f t="shared" si="0"/>
        <v/>
      </c>
      <c r="R16" s="34" t="str">
        <f t="shared" ref="R16" si="5">+IFERROR(K16*Q16,"")</f>
        <v/>
      </c>
    </row>
    <row r="17" spans="3:18" ht="16.5" x14ac:dyDescent="0.3">
      <c r="C17" s="49" t="s">
        <v>151</v>
      </c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>
        <f ca="1">+SUMIF($G$7:$G$16,"Compra",$P$7:$P$16)</f>
        <v>0</v>
      </c>
      <c r="Q17" s="49">
        <f t="shared" ref="Q17:R18" ca="1" si="6">+SUMIF($G$7:$G$16,"Compra",$P$7:$P$16)</f>
        <v>0</v>
      </c>
      <c r="R17" s="49">
        <f t="shared" ca="1" si="6"/>
        <v>0</v>
      </c>
    </row>
    <row r="18" spans="3:18" ht="16.5" x14ac:dyDescent="0.3">
      <c r="C18" s="49" t="s">
        <v>152</v>
      </c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>
        <f ca="1">+SUMIF($G$7:$G$16,"Compra",$P$7:$P$16)</f>
        <v>0</v>
      </c>
      <c r="Q18" s="49">
        <f t="shared" ca="1" si="6"/>
        <v>0</v>
      </c>
      <c r="R18" s="49">
        <f t="shared" ca="1" si="6"/>
        <v>0</v>
      </c>
    </row>
    <row r="21" spans="3:18" ht="16.5" x14ac:dyDescent="0.3">
      <c r="G21" s="41" t="s">
        <v>281</v>
      </c>
      <c r="H21" s="32" t="s">
        <v>139</v>
      </c>
      <c r="I21" s="28" t="s">
        <v>185</v>
      </c>
      <c r="J21" s="28" t="s">
        <v>186</v>
      </c>
      <c r="K21" s="28" t="s">
        <v>276</v>
      </c>
      <c r="L21" s="28" t="s">
        <v>155</v>
      </c>
      <c r="M21" s="28" t="s">
        <v>279</v>
      </c>
      <c r="N21" s="28" t="s">
        <v>280</v>
      </c>
    </row>
    <row r="22" spans="3:18" ht="16.5" x14ac:dyDescent="0.2">
      <c r="G22" s="40" t="s">
        <v>125</v>
      </c>
      <c r="H22" s="17" t="s">
        <v>162</v>
      </c>
      <c r="I22" s="19">
        <f>+display_IR!F9</f>
        <v>3.1E-2</v>
      </c>
      <c r="J22" s="20">
        <f t="shared" ref="J22:J28" si="7">+I22+SUMIFS($Q$7:$Q$16,$F$7:$F$16,$G22)</f>
        <v>3.1E-2</v>
      </c>
      <c r="K22" s="6">
        <f>+SUMIFS(Dataset!Q:Q,Dataset!F:F,'Simulacion trades'!$G22)</f>
        <v>0</v>
      </c>
      <c r="L22" s="50">
        <f>+J22-K22</f>
        <v>3.1E-2</v>
      </c>
      <c r="M22" s="51">
        <f>+display_IR!I9</f>
        <v>9.3842496421325823</v>
      </c>
      <c r="N22" s="52">
        <f t="shared" ref="N22:N28" si="8">+M22*I22+SUMIFS($S$7:$S$16,$F$7:$F$16,$G22)</f>
        <v>0.29091173890611005</v>
      </c>
    </row>
    <row r="23" spans="3:18" ht="16.5" x14ac:dyDescent="0.2">
      <c r="G23" s="40" t="s">
        <v>126</v>
      </c>
      <c r="H23" s="17" t="s">
        <v>161</v>
      </c>
      <c r="I23" s="19">
        <f>+display_IR!F10</f>
        <v>0.29969999999999997</v>
      </c>
      <c r="J23" s="20">
        <f t="shared" si="7"/>
        <v>0.29969999999999997</v>
      </c>
      <c r="K23" s="6">
        <f>+SUMIFS(Dataset!Q:Q,Dataset!F:F,'Simulacion trades'!$G23)</f>
        <v>0</v>
      </c>
      <c r="L23" s="50">
        <f t="shared" ref="L23:L28" si="9">+J23-K23</f>
        <v>0.29969999999999997</v>
      </c>
      <c r="M23" s="51">
        <f>+display_IR!I10</f>
        <v>6.9593577135625395</v>
      </c>
      <c r="N23" s="52">
        <f t="shared" si="8"/>
        <v>2.085719506754693</v>
      </c>
    </row>
    <row r="24" spans="3:18" ht="16.5" x14ac:dyDescent="0.2">
      <c r="G24" s="40" t="s">
        <v>127</v>
      </c>
      <c r="H24" s="17" t="s">
        <v>157</v>
      </c>
      <c r="I24" s="19">
        <f>+display_IR!F11</f>
        <v>1.5699999999999999E-2</v>
      </c>
      <c r="J24" s="20">
        <f t="shared" si="7"/>
        <v>1.5699999999999999E-2</v>
      </c>
      <c r="K24" s="6">
        <f>+SUMIFS(Dataset!Q:Q,Dataset!F:F,'Simulacion trades'!$G24)</f>
        <v>0</v>
      </c>
      <c r="L24" s="50">
        <f t="shared" si="9"/>
        <v>1.5699999999999999E-2</v>
      </c>
      <c r="M24" s="51">
        <f>+display_IR!I11</f>
        <v>2.1523049783283543</v>
      </c>
      <c r="N24" s="52">
        <f t="shared" si="8"/>
        <v>3.379118815975516E-2</v>
      </c>
    </row>
    <row r="25" spans="3:18" ht="16.5" x14ac:dyDescent="0.2">
      <c r="G25" s="40" t="s">
        <v>128</v>
      </c>
      <c r="H25" s="17" t="s">
        <v>159</v>
      </c>
      <c r="I25" s="19">
        <f>+display_IR!F12</f>
        <v>0.23499999999999999</v>
      </c>
      <c r="J25" s="20">
        <f t="shared" si="7"/>
        <v>0.23499999999999999</v>
      </c>
      <c r="K25" s="6">
        <f>+SUMIFS(Dataset!Q:Q,Dataset!F:F,'Simulacion trades'!$G25)</f>
        <v>0</v>
      </c>
      <c r="L25" s="50">
        <f t="shared" si="9"/>
        <v>0.23499999999999999</v>
      </c>
      <c r="M25" s="51">
        <f>+display_IR!I12</f>
        <v>5.1406339793783671</v>
      </c>
      <c r="N25" s="52">
        <f t="shared" si="8"/>
        <v>1.2080489851539162</v>
      </c>
    </row>
    <row r="26" spans="3:18" ht="16.5" x14ac:dyDescent="0.2">
      <c r="G26" s="40" t="s">
        <v>129</v>
      </c>
      <c r="H26" s="17" t="s">
        <v>158</v>
      </c>
      <c r="I26" s="19">
        <f>+display_IR!F13</f>
        <v>0.17469999999999999</v>
      </c>
      <c r="J26" s="20">
        <f t="shared" si="7"/>
        <v>0.17469999999999999</v>
      </c>
      <c r="K26" s="6">
        <f>+SUMIFS(Dataset!Q:Q,Dataset!F:F,'Simulacion trades'!$G26)</f>
        <v>0</v>
      </c>
      <c r="L26" s="50">
        <f t="shared" si="9"/>
        <v>0.17469999999999999</v>
      </c>
      <c r="M26" s="51">
        <f>+display_IR!I13</f>
        <v>4.3100079594223564</v>
      </c>
      <c r="N26" s="52">
        <f t="shared" si="8"/>
        <v>0.7529583905110856</v>
      </c>
    </row>
    <row r="27" spans="3:18" ht="16.5" x14ac:dyDescent="0.2">
      <c r="G27" s="40" t="s">
        <v>130</v>
      </c>
      <c r="H27" s="17" t="s">
        <v>160</v>
      </c>
      <c r="I27" s="19">
        <f>+display_IR!F14</f>
        <v>7.8100000000000003E-2</v>
      </c>
      <c r="J27" s="20">
        <f t="shared" si="7"/>
        <v>7.8100000000000003E-2</v>
      </c>
      <c r="K27" s="6">
        <f>+SUMIFS(Dataset!Q:Q,Dataset!F:F,'Simulacion trades'!$G27)</f>
        <v>0</v>
      </c>
      <c r="L27" s="50">
        <f t="shared" si="9"/>
        <v>7.8100000000000003E-2</v>
      </c>
      <c r="M27" s="51">
        <f>+display_IR!I14</f>
        <v>3.2431429164433965</v>
      </c>
      <c r="N27" s="52">
        <f t="shared" si="8"/>
        <v>0.25328946177422929</v>
      </c>
    </row>
    <row r="28" spans="3:18" ht="16.5" x14ac:dyDescent="0.2">
      <c r="G28" s="22" t="s">
        <v>131</v>
      </c>
      <c r="H28" s="22" t="s">
        <v>163</v>
      </c>
      <c r="I28" s="22">
        <f>+display_IR!F15</f>
        <v>0.16579999999999995</v>
      </c>
      <c r="J28" s="22">
        <f t="shared" si="7"/>
        <v>0.16579999999999995</v>
      </c>
      <c r="K28" s="22">
        <f>+SUMIFS(Dataset!Q:Q,Dataset!F:F,'Simulacion trades'!$G28)</f>
        <v>0</v>
      </c>
      <c r="L28" s="22">
        <f t="shared" si="9"/>
        <v>0.16579999999999995</v>
      </c>
      <c r="M28" s="53">
        <f>+display_IR!I15</f>
        <v>1.6737622709118127</v>
      </c>
      <c r="N28" s="53">
        <f t="shared" si="8"/>
        <v>0.27750978451717845</v>
      </c>
    </row>
    <row r="29" spans="3:18" ht="16.5" x14ac:dyDescent="0.2">
      <c r="G29" s="143" t="s">
        <v>147</v>
      </c>
      <c r="H29" s="143"/>
      <c r="I29" s="24">
        <f>+SUM(I22:I28)</f>
        <v>0.99999999999999978</v>
      </c>
      <c r="J29" s="24">
        <f t="shared" ref="J29:L29" si="10">+SUM(J22:J28)</f>
        <v>0.99999999999999978</v>
      </c>
      <c r="K29" s="24">
        <f t="shared" si="10"/>
        <v>0</v>
      </c>
      <c r="L29" s="24">
        <f t="shared" si="10"/>
        <v>0.99999999999999978</v>
      </c>
      <c r="M29" s="54">
        <f>+display_IR!I16</f>
        <v>4.9022290557769681</v>
      </c>
      <c r="N29" s="54">
        <f>+SUMPRODUCT(J22:J28,N22:N28)</f>
        <v>1.1158652933055515</v>
      </c>
    </row>
  </sheetData>
  <mergeCells count="2">
    <mergeCell ref="C5:R5"/>
    <mergeCell ref="G29:H29"/>
  </mergeCells>
  <dataValidations count="2">
    <dataValidation type="list" allowBlank="1" showInputMessage="1" showErrorMessage="1" sqref="H7:H16" xr:uid="{62ABAAB0-8C4E-4265-A864-3140DAF53C4A}">
      <formula1>"NOMINALES,VPTE"</formula1>
    </dataValidation>
    <dataValidation type="list" allowBlank="1" showInputMessage="1" showErrorMessage="1" sqref="G7:G16" xr:uid="{AD483DFC-9B1B-4AC1-BAA1-65FC59D78661}">
      <formula1>"COMPRA,VENTA"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809A60-6ED9-4BE0-BFAF-9918E8F9696A}">
          <x14:formula1>
            <xm:f>BD_Instrumentos!$B$2:$B$1048576</xm:f>
          </x14:formula1>
          <xm:sqref>D7:D16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1"/>
  <dimension ref="C8:O24"/>
  <sheetViews>
    <sheetView showGridLines="0" workbookViewId="0">
      <selection activeCell="L32" sqref="L32"/>
    </sheetView>
  </sheetViews>
  <sheetFormatPr baseColWidth="10" defaultRowHeight="14.25" x14ac:dyDescent="0.2"/>
  <cols>
    <col min="3" max="3" width="7.875" bestFit="1" customWidth="1"/>
    <col min="4" max="4" width="12.125" customWidth="1"/>
    <col min="5" max="5" width="11.75" customWidth="1"/>
    <col min="6" max="6" width="13.25" bestFit="1" customWidth="1"/>
    <col min="7" max="7" width="14.25" bestFit="1" customWidth="1"/>
    <col min="8" max="8" width="14.125" customWidth="1"/>
    <col min="9" max="9" width="19.875" bestFit="1" customWidth="1"/>
    <col min="10" max="10" width="10.25" customWidth="1"/>
    <col min="11" max="11" width="8.625" customWidth="1"/>
    <col min="12" max="12" width="12.125" bestFit="1" customWidth="1"/>
    <col min="15" max="15" width="10.25" customWidth="1"/>
    <col min="16" max="16" width="12.125" customWidth="1"/>
  </cols>
  <sheetData>
    <row r="8" spans="3:15" ht="16.5" x14ac:dyDescent="0.3">
      <c r="F8" s="145" t="s">
        <v>285</v>
      </c>
      <c r="G8" s="145"/>
      <c r="H8" s="145"/>
      <c r="I8" s="145"/>
      <c r="J8" s="145"/>
      <c r="K8" s="145"/>
      <c r="L8" s="145"/>
    </row>
    <row r="9" spans="3:15" ht="15" x14ac:dyDescent="0.25">
      <c r="F9" s="58" t="s">
        <v>141</v>
      </c>
      <c r="G9" s="58" t="s">
        <v>142</v>
      </c>
      <c r="H9" s="58" t="s">
        <v>143</v>
      </c>
      <c r="I9" s="58" t="s">
        <v>145</v>
      </c>
      <c r="J9" s="58" t="s">
        <v>151</v>
      </c>
      <c r="K9" s="58" t="s">
        <v>152</v>
      </c>
      <c r="L9" s="58" t="s">
        <v>144</v>
      </c>
    </row>
    <row r="10" spans="3:15" x14ac:dyDescent="0.2">
      <c r="F10" s="9">
        <f>+Caja!F9</f>
        <v>298669.2985526796</v>
      </c>
      <c r="G10" s="9">
        <v>200000</v>
      </c>
      <c r="H10" s="9">
        <v>0</v>
      </c>
      <c r="I10" s="9">
        <v>26</v>
      </c>
      <c r="L10" s="9">
        <f>+F10+G10-H10+I10</f>
        <v>498695.2985526796</v>
      </c>
    </row>
    <row r="15" spans="3:15" x14ac:dyDescent="0.2">
      <c r="D15" s="144">
        <f>+Dataset!A2</f>
        <v>43060</v>
      </c>
      <c r="E15" s="134"/>
      <c r="F15" s="144">
        <v>43060</v>
      </c>
      <c r="G15" s="134"/>
    </row>
    <row r="16" spans="3:15" ht="16.5" x14ac:dyDescent="0.3">
      <c r="C16" s="60" t="s">
        <v>139</v>
      </c>
      <c r="D16" s="60" t="s">
        <v>150</v>
      </c>
      <c r="E16" s="60" t="s">
        <v>139</v>
      </c>
      <c r="F16" s="60" t="s">
        <v>284</v>
      </c>
      <c r="G16" s="60" t="s">
        <v>146</v>
      </c>
      <c r="H16" s="60" t="s">
        <v>153</v>
      </c>
      <c r="I16" s="8"/>
      <c r="M16" s="60" t="s">
        <v>139</v>
      </c>
      <c r="N16" s="60"/>
      <c r="O16" s="60" t="s">
        <v>150</v>
      </c>
    </row>
    <row r="17" spans="3:15" x14ac:dyDescent="0.2">
      <c r="C17" s="1" t="s">
        <v>125</v>
      </c>
      <c r="D17" s="6">
        <v>1.8999999999999996E-2</v>
      </c>
      <c r="E17" s="9">
        <f>+SUMIFS(Dataset!Y:Y,Dataset!E:E,$C17)</f>
        <v>3000</v>
      </c>
      <c r="F17" s="6">
        <v>1.8999999999999996E-2</v>
      </c>
      <c r="G17" s="9">
        <f>+F17*SUM(Dataset!Y:Y+$L$10)</f>
        <v>9494.2106725009107</v>
      </c>
      <c r="H17" s="9">
        <f>+G17-E17</f>
        <v>6494.2106725009107</v>
      </c>
      <c r="M17" s="59" t="s">
        <v>125</v>
      </c>
      <c r="N17" s="3">
        <v>2E-3</v>
      </c>
      <c r="O17" s="5">
        <f t="shared" ref="O17:O24" si="0">+D17+N17</f>
        <v>2.0999999999999998E-2</v>
      </c>
    </row>
    <row r="18" spans="3:15" x14ac:dyDescent="0.2">
      <c r="C18" s="1" t="s">
        <v>126</v>
      </c>
      <c r="D18" s="6">
        <v>0.30969999999999998</v>
      </c>
      <c r="E18" s="9">
        <f>+SUMIFS(Dataset!Y:Y,Dataset!E:E,$C18)</f>
        <v>15000</v>
      </c>
      <c r="F18" s="6">
        <v>0.30969999999999998</v>
      </c>
      <c r="G18" s="9">
        <f>+F18*SUM(Dataset!Y:Y+$L$10)</f>
        <v>154755.63396176486</v>
      </c>
      <c r="H18" s="9">
        <f t="shared" ref="H18:H23" si="1">+G18-E18</f>
        <v>139755.63396176486</v>
      </c>
      <c r="M18" s="59" t="s">
        <v>126</v>
      </c>
      <c r="N18" s="3"/>
      <c r="O18" s="5">
        <f t="shared" si="0"/>
        <v>0.30969999999999998</v>
      </c>
    </row>
    <row r="19" spans="3:15" x14ac:dyDescent="0.2">
      <c r="C19" s="1" t="s">
        <v>127</v>
      </c>
      <c r="D19" s="6">
        <v>4.7699999999999999E-2</v>
      </c>
      <c r="E19" s="9">
        <f>+SUMIFS(Dataset!Y:Y,Dataset!E:E,$C19)</f>
        <v>1000</v>
      </c>
      <c r="F19" s="6">
        <v>4.7699999999999999E-2</v>
      </c>
      <c r="G19" s="9">
        <f>+F19*SUM(Dataset!Y:Y+$L$10)</f>
        <v>23835.465740962816</v>
      </c>
      <c r="H19" s="9">
        <f t="shared" si="1"/>
        <v>22835.465740962816</v>
      </c>
      <c r="M19" s="59" t="s">
        <v>127</v>
      </c>
      <c r="N19" s="3"/>
      <c r="O19" s="5">
        <f t="shared" si="0"/>
        <v>4.7699999999999999E-2</v>
      </c>
    </row>
    <row r="20" spans="3:15" x14ac:dyDescent="0.2">
      <c r="C20" s="1" t="s">
        <v>128</v>
      </c>
      <c r="D20" s="6">
        <v>0.23299999999999998</v>
      </c>
      <c r="E20" s="9">
        <f>+SUMIFS(Dataset!Y:Y,Dataset!E:E,$C20)</f>
        <v>11000</v>
      </c>
      <c r="F20" s="6">
        <v>0.23299999999999998</v>
      </c>
      <c r="G20" s="9">
        <f>+F20*SUM(Dataset!Y:Y+$L$10)</f>
        <v>116429.00456277434</v>
      </c>
      <c r="H20" s="9">
        <f t="shared" si="1"/>
        <v>105429.00456277434</v>
      </c>
      <c r="M20" s="59" t="s">
        <v>128</v>
      </c>
      <c r="N20" s="3">
        <v>3.0000000000000001E-3</v>
      </c>
      <c r="O20" s="5">
        <f t="shared" si="0"/>
        <v>0.23599999999999999</v>
      </c>
    </row>
    <row r="21" spans="3:15" x14ac:dyDescent="0.2">
      <c r="C21" s="1" t="s">
        <v>129</v>
      </c>
      <c r="D21" s="6">
        <v>0.17469999999999999</v>
      </c>
      <c r="E21" s="9">
        <f>+SUMIFS(Dataset!Y:Y,Dataset!E:E,$C21)</f>
        <v>10000</v>
      </c>
      <c r="F21" s="6">
        <v>0.17469999999999999</v>
      </c>
      <c r="G21" s="9">
        <f>+F21*SUM(Dataset!Y:Y+$L$10)</f>
        <v>87296.768657153123</v>
      </c>
      <c r="H21" s="9">
        <f t="shared" si="1"/>
        <v>77296.768657153123</v>
      </c>
      <c r="M21" s="59" t="s">
        <v>129</v>
      </c>
      <c r="N21" s="3"/>
      <c r="O21" s="5">
        <f t="shared" si="0"/>
        <v>0.17469999999999999</v>
      </c>
    </row>
    <row r="22" spans="3:15" x14ac:dyDescent="0.2">
      <c r="C22" s="1" t="s">
        <v>130</v>
      </c>
      <c r="D22" s="6">
        <v>7.8100000000000003E-2</v>
      </c>
      <c r="E22" s="9">
        <f>+SUMIFS(Dataset!Y:Y,Dataset!E:E,$C22)</f>
        <v>5000</v>
      </c>
      <c r="F22" s="6">
        <v>7.8100000000000003E-2</v>
      </c>
      <c r="G22" s="9">
        <f>+F22*SUM(Dataset!Y:Y+$L$10)</f>
        <v>39026.20281696428</v>
      </c>
      <c r="H22" s="9">
        <f t="shared" si="1"/>
        <v>34026.20281696428</v>
      </c>
      <c r="M22" s="59" t="s">
        <v>130</v>
      </c>
      <c r="N22" s="3"/>
      <c r="O22" s="5">
        <f t="shared" si="0"/>
        <v>7.8100000000000003E-2</v>
      </c>
    </row>
    <row r="23" spans="3:15" x14ac:dyDescent="0.2">
      <c r="C23" s="61" t="s">
        <v>131</v>
      </c>
      <c r="D23" s="62">
        <v>0.16579999999999995</v>
      </c>
      <c r="E23" s="63">
        <f>+SUMIFS(Dataset!Y:Y,Dataset!E:E,$C23)</f>
        <v>2000</v>
      </c>
      <c r="F23" s="62">
        <v>0.16579999999999995</v>
      </c>
      <c r="G23" s="63">
        <f>+F23*SUM(Dataset!Y:Y+$L$10)</f>
        <v>82849.480500034246</v>
      </c>
      <c r="H23" s="63">
        <f t="shared" si="1"/>
        <v>80849.480500034246</v>
      </c>
      <c r="M23" s="61" t="s">
        <v>131</v>
      </c>
      <c r="N23" s="64"/>
      <c r="O23" s="65">
        <f t="shared" si="0"/>
        <v>0.16579999999999995</v>
      </c>
    </row>
    <row r="24" spans="3:15" x14ac:dyDescent="0.2">
      <c r="C24" s="10" t="s">
        <v>147</v>
      </c>
      <c r="D24" s="11">
        <v>0.99799999999999978</v>
      </c>
      <c r="E24" s="12">
        <f>+SUM(E17:E23)</f>
        <v>47000</v>
      </c>
      <c r="F24" s="11">
        <v>0.99799999999999978</v>
      </c>
      <c r="G24" s="13">
        <f>+F24*SUM(Dataset!Y:Y+$L$10)</f>
        <v>498695.9079555741</v>
      </c>
      <c r="H24" s="13">
        <f>D24*(SUM(Dataset!Y:Y)+$L$10-E24)</f>
        <v>497697.9079555741</v>
      </c>
      <c r="M24" s="59" t="s">
        <v>149</v>
      </c>
      <c r="N24" s="3">
        <f>+SUM(N17:N23)</f>
        <v>5.0000000000000001E-3</v>
      </c>
      <c r="O24" s="5">
        <f t="shared" si="0"/>
        <v>1.0029999999999997</v>
      </c>
    </row>
  </sheetData>
  <mergeCells count="3">
    <mergeCell ref="D15:E15"/>
    <mergeCell ref="F15:G15"/>
    <mergeCell ref="F8:L8"/>
  </mergeCells>
  <conditionalFormatting sqref="L10">
    <cfRule type="cellIs" dxfId="7" priority="5" operator="lessThan">
      <formula>0</formula>
    </cfRule>
    <cfRule type="cellIs" dxfId="6" priority="6" operator="greaterThan">
      <formula>0</formula>
    </cfRule>
  </conditionalFormatting>
  <conditionalFormatting sqref="H17:H22 H24">
    <cfRule type="cellIs" dxfId="5" priority="3" operator="lessThan">
      <formula>0</formula>
    </cfRule>
    <cfRule type="cellIs" dxfId="4" priority="4" operator="greaterThan">
      <formula>0</formula>
    </cfRule>
  </conditionalFormatting>
  <conditionalFormatting sqref="H23">
    <cfRule type="cellIs" dxfId="3" priority="1" operator="lessThan">
      <formula>0</formula>
    </cfRule>
    <cfRule type="cellIs" dxfId="2" priority="2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mantain_weights">
                <anchor moveWithCells="1" sizeWithCells="1">
                  <from>
                    <xdr:col>11</xdr:col>
                    <xdr:colOff>647700</xdr:colOff>
                    <xdr:row>12</xdr:row>
                    <xdr:rowOff>152400</xdr:rowOff>
                  </from>
                  <to>
                    <xdr:col>12</xdr:col>
                    <xdr:colOff>571500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reallocate_weights">
                <anchor moveWithCells="1" sizeWithCells="1">
                  <from>
                    <xdr:col>14</xdr:col>
                    <xdr:colOff>57150</xdr:colOff>
                    <xdr:row>12</xdr:row>
                    <xdr:rowOff>142875</xdr:rowOff>
                  </from>
                  <to>
                    <xdr:col>15</xdr:col>
                    <xdr:colOff>123825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lickOnButton1">
                <anchor moveWithCells="1" sizeWithCells="1">
                  <from>
                    <xdr:col>12</xdr:col>
                    <xdr:colOff>714375</xdr:colOff>
                    <xdr:row>12</xdr:row>
                    <xdr:rowOff>142875</xdr:rowOff>
                  </from>
                  <to>
                    <xdr:col>13</xdr:col>
                    <xdr:colOff>723900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514E6-B241-4100-BCD0-3F24D99CF3A0}">
  <sheetPr codeName="Hoja71"/>
  <dimension ref="E8:M22"/>
  <sheetViews>
    <sheetView topLeftCell="A4" workbookViewId="0">
      <selection activeCell="B41" sqref="B41:B42"/>
    </sheetView>
  </sheetViews>
  <sheetFormatPr baseColWidth="10" defaultRowHeight="14.25" x14ac:dyDescent="0.2"/>
  <cols>
    <col min="2" max="2" width="7.875" bestFit="1" customWidth="1"/>
    <col min="3" max="3" width="7.875" customWidth="1"/>
    <col min="4" max="4" width="14.125" customWidth="1"/>
    <col min="5" max="5" width="11.75" customWidth="1"/>
    <col min="6" max="6" width="13.25" bestFit="1" customWidth="1"/>
    <col min="7" max="7" width="14.25" bestFit="1" customWidth="1"/>
    <col min="8" max="8" width="14.125" customWidth="1"/>
    <col min="9" max="9" width="19.875" bestFit="1" customWidth="1"/>
    <col min="10" max="10" width="10.25" customWidth="1"/>
    <col min="11" max="11" width="8.625" customWidth="1"/>
    <col min="12" max="12" width="12.125" customWidth="1"/>
    <col min="13" max="13" width="14.25" customWidth="1"/>
    <col min="16" max="16" width="10.25" customWidth="1"/>
    <col min="17" max="17" width="12.125" customWidth="1"/>
  </cols>
  <sheetData>
    <row r="8" spans="6:12" ht="15" x14ac:dyDescent="0.25">
      <c r="F8" s="8" t="s">
        <v>141</v>
      </c>
      <c r="G8" s="8" t="s">
        <v>142</v>
      </c>
      <c r="H8" s="8" t="s">
        <v>143</v>
      </c>
      <c r="I8" s="8" t="s">
        <v>145</v>
      </c>
      <c r="J8" s="8" t="s">
        <v>151</v>
      </c>
      <c r="K8" s="8" t="s">
        <v>152</v>
      </c>
      <c r="L8" s="8" t="s">
        <v>144</v>
      </c>
    </row>
    <row r="9" spans="6:12" x14ac:dyDescent="0.2">
      <c r="F9" s="9">
        <v>298669.2985526796</v>
      </c>
      <c r="G9" s="9">
        <v>200000</v>
      </c>
      <c r="H9" s="9">
        <v>0</v>
      </c>
      <c r="I9" s="9">
        <v>26</v>
      </c>
      <c r="L9" s="9">
        <f>+F9+G9-H9+I9</f>
        <v>498695.2985526796</v>
      </c>
    </row>
    <row r="17" spans="5:13" ht="16.5" x14ac:dyDescent="0.3">
      <c r="E17" s="145" t="s">
        <v>176</v>
      </c>
      <c r="F17" s="145"/>
      <c r="G17" s="145"/>
      <c r="H17" s="145"/>
      <c r="J17" s="145" t="s">
        <v>181</v>
      </c>
      <c r="K17" s="145"/>
      <c r="L17" s="145"/>
      <c r="M17" s="145"/>
    </row>
    <row r="18" spans="5:13" x14ac:dyDescent="0.2">
      <c r="E18" s="146"/>
      <c r="F18" s="146"/>
      <c r="G18" s="146"/>
      <c r="H18" s="146"/>
      <c r="J18" s="146"/>
      <c r="K18" s="146"/>
      <c r="L18" s="146"/>
      <c r="M18" s="146"/>
    </row>
    <row r="19" spans="5:13" x14ac:dyDescent="0.2">
      <c r="E19" t="s">
        <v>177</v>
      </c>
      <c r="F19" s="40"/>
      <c r="G19" s="40"/>
      <c r="H19" s="40"/>
      <c r="J19" t="s">
        <v>177</v>
      </c>
      <c r="K19" s="40"/>
      <c r="L19" s="40"/>
      <c r="M19" s="40"/>
    </row>
    <row r="20" spans="5:13" x14ac:dyDescent="0.2">
      <c r="E20" t="s">
        <v>178</v>
      </c>
      <c r="F20" s="40"/>
      <c r="G20" s="40"/>
      <c r="H20" s="40"/>
      <c r="J20" t="s">
        <v>178</v>
      </c>
      <c r="K20" s="40"/>
      <c r="L20" s="40"/>
      <c r="M20" s="40"/>
    </row>
    <row r="21" spans="5:13" x14ac:dyDescent="0.2">
      <c r="E21" t="s">
        <v>179</v>
      </c>
      <c r="F21" s="40"/>
      <c r="G21" s="40"/>
      <c r="H21" s="40"/>
      <c r="J21" t="s">
        <v>179</v>
      </c>
      <c r="K21" s="40"/>
      <c r="L21" s="40"/>
      <c r="M21" s="40"/>
    </row>
    <row r="22" spans="5:13" x14ac:dyDescent="0.2">
      <c r="E22" t="s">
        <v>180</v>
      </c>
      <c r="F22" s="40"/>
      <c r="G22" s="40"/>
      <c r="H22" s="40"/>
      <c r="J22" t="s">
        <v>180</v>
      </c>
      <c r="K22" s="40"/>
      <c r="L22" s="40"/>
      <c r="M22" s="40"/>
    </row>
  </sheetData>
  <mergeCells count="4">
    <mergeCell ref="E17:H17"/>
    <mergeCell ref="J17:M17"/>
    <mergeCell ref="E18:H18"/>
    <mergeCell ref="J18:M18"/>
  </mergeCells>
  <conditionalFormatting sqref="L9">
    <cfRule type="cellIs" dxfId="1" priority="3" operator="lessThan">
      <formula>0</formula>
    </cfRule>
    <cfRule type="cellIs" dxfId="0" priority="4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1"/>
  <dimension ref="A1"/>
  <sheetViews>
    <sheetView workbookViewId="0">
      <selection activeCell="E41" sqref="E41"/>
    </sheetView>
  </sheetViews>
  <sheetFormatPr baseColWidth="10" defaultRowHeight="14.25" x14ac:dyDescent="0.2"/>
  <sheetData>
    <row r="1" spans="1:1" x14ac:dyDescent="0.2">
      <c r="A1" t="s">
        <v>182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41"/>
  <dimension ref="A1:G65"/>
  <sheetViews>
    <sheetView topLeftCell="A26" workbookViewId="0">
      <selection activeCell="D55" sqref="D55"/>
    </sheetView>
  </sheetViews>
  <sheetFormatPr baseColWidth="10" defaultRowHeight="14.25" x14ac:dyDescent="0.2"/>
  <cols>
    <col min="1" max="1" width="19.875" bestFit="1" customWidth="1"/>
    <col min="2" max="2" width="19.875" customWidth="1"/>
    <col min="3" max="3" width="14.625" bestFit="1" customWidth="1"/>
    <col min="5" max="5" width="14.625" bestFit="1" customWidth="1"/>
    <col min="7" max="7" width="16.875" bestFit="1" customWidth="1"/>
  </cols>
  <sheetData>
    <row r="1" spans="1:7" ht="15" x14ac:dyDescent="0.25">
      <c r="A1" s="42" t="s">
        <v>189</v>
      </c>
      <c r="B1" s="42" t="s">
        <v>271</v>
      </c>
      <c r="C1" s="42" t="s">
        <v>262</v>
      </c>
      <c r="D1" s="42" t="s">
        <v>197</v>
      </c>
      <c r="E1" s="42" t="s">
        <v>261</v>
      </c>
      <c r="F1" s="42" t="s">
        <v>263</v>
      </c>
      <c r="G1" s="42" t="s">
        <v>264</v>
      </c>
    </row>
    <row r="2" spans="1:7" x14ac:dyDescent="0.2">
      <c r="A2" s="36" t="s">
        <v>193</v>
      </c>
      <c r="B2" s="40"/>
      <c r="C2" s="36" t="e">
        <f ca="1">+_xll.BDP($A2,C$1)</f>
        <v>#NAME?</v>
      </c>
      <c r="D2" s="36" t="e">
        <f ca="1">+_xll.BDP($A2,D$1)</f>
        <v>#NAME?</v>
      </c>
      <c r="E2" s="36" t="e">
        <f ca="1">+_xll.BDP($A2,E$1)</f>
        <v>#NAME?</v>
      </c>
      <c r="F2" s="36" t="e">
        <f ca="1">+_xll.BDP($A2,F$1)</f>
        <v>#NAME?</v>
      </c>
      <c r="G2" s="36" t="e">
        <f ca="1">+_xll.BDP($A2,G$1)</f>
        <v>#NAME?</v>
      </c>
    </row>
    <row r="3" spans="1:7" x14ac:dyDescent="0.2">
      <c r="A3" s="36" t="s">
        <v>198</v>
      </c>
      <c r="B3" s="40"/>
      <c r="C3" s="36" t="e">
        <f ca="1">+_xll.BDP($A3,C$1)</f>
        <v>#NAME?</v>
      </c>
      <c r="D3" s="36" t="e">
        <f ca="1">+_xll.BDP($A3,D$1)</f>
        <v>#NAME?</v>
      </c>
      <c r="E3" s="36" t="e">
        <f ca="1">+_xll.BDP($A3,E$1)</f>
        <v>#NAME?</v>
      </c>
      <c r="F3" s="36" t="e">
        <f ca="1">+_xll.BDP($A3,F$1)</f>
        <v>#NAME?</v>
      </c>
      <c r="G3" s="36" t="e">
        <f ca="1">+_xll.BDP($A3,G$1)</f>
        <v>#NAME?</v>
      </c>
    </row>
    <row r="4" spans="1:7" x14ac:dyDescent="0.2">
      <c r="A4" s="36" t="s">
        <v>199</v>
      </c>
      <c r="B4" s="40"/>
      <c r="C4" s="36" t="e">
        <f ca="1">+_xll.BDP($A4,C$1)</f>
        <v>#NAME?</v>
      </c>
      <c r="D4" s="36" t="e">
        <f ca="1">+_xll.BDP($A4,D$1)</f>
        <v>#NAME?</v>
      </c>
      <c r="E4" s="36" t="e">
        <f ca="1">+_xll.BDP($A4,E$1)</f>
        <v>#NAME?</v>
      </c>
      <c r="F4" s="36" t="e">
        <f ca="1">+_xll.BDP($A4,F$1)</f>
        <v>#NAME?</v>
      </c>
      <c r="G4" s="36" t="e">
        <f ca="1">+_xll.BDP($A4,G$1)</f>
        <v>#NAME?</v>
      </c>
    </row>
    <row r="5" spans="1:7" x14ac:dyDescent="0.2">
      <c r="A5" s="36" t="s">
        <v>200</v>
      </c>
      <c r="B5" s="40"/>
      <c r="C5" s="36" t="e">
        <f ca="1">+_xll.BDP($A5,C$1)</f>
        <v>#NAME?</v>
      </c>
      <c r="D5" s="36" t="e">
        <f ca="1">+_xll.BDP($A5,D$1)</f>
        <v>#NAME?</v>
      </c>
      <c r="E5" s="36" t="e">
        <f ca="1">+_xll.BDP($A5,E$1)</f>
        <v>#NAME?</v>
      </c>
      <c r="F5" s="36" t="e">
        <f ca="1">+_xll.BDP($A5,F$1)</f>
        <v>#NAME?</v>
      </c>
      <c r="G5" s="36" t="e">
        <f ca="1">+_xll.BDP($A5,G$1)</f>
        <v>#NAME?</v>
      </c>
    </row>
    <row r="6" spans="1:7" x14ac:dyDescent="0.2">
      <c r="A6" s="36" t="s">
        <v>201</v>
      </c>
      <c r="B6" s="40"/>
      <c r="C6" s="36" t="e">
        <f ca="1">+_xll.BDP($A6,C$1)</f>
        <v>#NAME?</v>
      </c>
      <c r="D6" s="36" t="e">
        <f ca="1">+_xll.BDP($A6,D$1)</f>
        <v>#NAME?</v>
      </c>
      <c r="E6" s="36" t="e">
        <f ca="1">+_xll.BDP($A6,E$1)</f>
        <v>#NAME?</v>
      </c>
      <c r="F6" s="36" t="e">
        <f ca="1">+_xll.BDP($A6,F$1)</f>
        <v>#NAME?</v>
      </c>
      <c r="G6" s="36" t="e">
        <f ca="1">+_xll.BDP($A6,G$1)</f>
        <v>#NAME?</v>
      </c>
    </row>
    <row r="7" spans="1:7" x14ac:dyDescent="0.2">
      <c r="A7" s="36" t="s">
        <v>202</v>
      </c>
      <c r="B7" s="40"/>
      <c r="C7" s="36" t="e">
        <f ca="1">+_xll.BDP($A7,C$1)</f>
        <v>#NAME?</v>
      </c>
      <c r="D7" s="36" t="e">
        <f ca="1">+_xll.BDP($A7,D$1)</f>
        <v>#NAME?</v>
      </c>
      <c r="E7" s="36" t="e">
        <f ca="1">+_xll.BDP($A7,E$1)</f>
        <v>#NAME?</v>
      </c>
      <c r="F7" s="36" t="e">
        <f ca="1">+_xll.BDP($A7,F$1)</f>
        <v>#NAME?</v>
      </c>
      <c r="G7" s="36" t="e">
        <f ca="1">+_xll.BDP($A7,G$1)</f>
        <v>#NAME?</v>
      </c>
    </row>
    <row r="8" spans="1:7" x14ac:dyDescent="0.2">
      <c r="A8" s="36" t="s">
        <v>203</v>
      </c>
      <c r="B8" s="40"/>
      <c r="C8" s="36" t="e">
        <f ca="1">+_xll.BDP($A8,C$1)</f>
        <v>#NAME?</v>
      </c>
      <c r="D8" s="36" t="e">
        <f ca="1">+_xll.BDP($A8,D$1)</f>
        <v>#NAME?</v>
      </c>
      <c r="E8" s="36" t="e">
        <f ca="1">+_xll.BDP($A8,E$1)</f>
        <v>#NAME?</v>
      </c>
      <c r="F8" s="36" t="e">
        <f ca="1">+_xll.BDP($A8,F$1)</f>
        <v>#NAME?</v>
      </c>
      <c r="G8" s="36" t="e">
        <f ca="1">+_xll.BDP($A8,G$1)</f>
        <v>#NAME?</v>
      </c>
    </row>
    <row r="9" spans="1:7" x14ac:dyDescent="0.2">
      <c r="A9" s="36" t="s">
        <v>204</v>
      </c>
      <c r="B9" s="40"/>
      <c r="C9" s="36" t="e">
        <f ca="1">+_xll.BDP($A9,C$1)</f>
        <v>#NAME?</v>
      </c>
      <c r="D9" s="36" t="e">
        <f ca="1">+_xll.BDP($A9,D$1)</f>
        <v>#NAME?</v>
      </c>
      <c r="E9" s="36" t="e">
        <f ca="1">+_xll.BDP($A9,E$1)</f>
        <v>#NAME?</v>
      </c>
      <c r="F9" s="36" t="e">
        <f ca="1">+_xll.BDP($A9,F$1)</f>
        <v>#NAME?</v>
      </c>
      <c r="G9" s="36" t="e">
        <f ca="1">+_xll.BDP($A9,G$1)</f>
        <v>#NAME?</v>
      </c>
    </row>
    <row r="10" spans="1:7" x14ac:dyDescent="0.2">
      <c r="A10" s="36" t="s">
        <v>205</v>
      </c>
      <c r="B10" s="40"/>
      <c r="C10" s="36" t="e">
        <f ca="1">+_xll.BDP($A10,C$1)</f>
        <v>#NAME?</v>
      </c>
      <c r="D10" s="36" t="e">
        <f ca="1">+_xll.BDP($A10,D$1)</f>
        <v>#NAME?</v>
      </c>
      <c r="E10" s="36" t="e">
        <f ca="1">+_xll.BDP($A10,E$1)</f>
        <v>#NAME?</v>
      </c>
      <c r="F10" s="36" t="e">
        <f ca="1">+_xll.BDP($A10,F$1)</f>
        <v>#NAME?</v>
      </c>
      <c r="G10" s="36" t="e">
        <f ca="1">+_xll.BDP($A10,G$1)</f>
        <v>#NAME?</v>
      </c>
    </row>
    <row r="11" spans="1:7" x14ac:dyDescent="0.2">
      <c r="A11" s="36" t="s">
        <v>206</v>
      </c>
      <c r="B11" s="40"/>
      <c r="C11" s="36" t="e">
        <f ca="1">+_xll.BDP($A11,C$1)</f>
        <v>#NAME?</v>
      </c>
      <c r="D11" s="36" t="e">
        <f ca="1">+_xll.BDP($A11,D$1)</f>
        <v>#NAME?</v>
      </c>
      <c r="E11" s="36" t="e">
        <f ca="1">+_xll.BDP($A11,E$1)</f>
        <v>#NAME?</v>
      </c>
      <c r="F11" s="36" t="e">
        <f ca="1">+_xll.BDP($A11,F$1)</f>
        <v>#NAME?</v>
      </c>
      <c r="G11" s="36" t="e">
        <f ca="1">+_xll.BDP($A11,G$1)</f>
        <v>#NAME?</v>
      </c>
    </row>
    <row r="12" spans="1:7" x14ac:dyDescent="0.2">
      <c r="A12" s="36" t="s">
        <v>207</v>
      </c>
      <c r="B12" s="40"/>
      <c r="C12" s="36" t="e">
        <f ca="1">+_xll.BDP($A12,C$1)</f>
        <v>#NAME?</v>
      </c>
      <c r="D12" s="36" t="e">
        <f ca="1">+_xll.BDP($A12,D$1)</f>
        <v>#NAME?</v>
      </c>
      <c r="E12" s="36" t="e">
        <f ca="1">+_xll.BDP($A12,E$1)</f>
        <v>#NAME?</v>
      </c>
      <c r="F12" s="36" t="e">
        <f ca="1">+_xll.BDP($A12,F$1)</f>
        <v>#NAME?</v>
      </c>
      <c r="G12" s="36" t="e">
        <f ca="1">+_xll.BDP($A12,G$1)</f>
        <v>#NAME?</v>
      </c>
    </row>
    <row r="13" spans="1:7" x14ac:dyDescent="0.2">
      <c r="A13" s="36" t="s">
        <v>208</v>
      </c>
      <c r="B13" s="40"/>
      <c r="C13" s="36" t="e">
        <f ca="1">+_xll.BDP($A13,C$1)</f>
        <v>#NAME?</v>
      </c>
      <c r="D13" s="36" t="e">
        <f ca="1">+_xll.BDP($A13,D$1)</f>
        <v>#NAME?</v>
      </c>
      <c r="E13" s="36" t="e">
        <f ca="1">+_xll.BDP($A13,E$1)</f>
        <v>#NAME?</v>
      </c>
      <c r="F13" s="36" t="e">
        <f ca="1">+_xll.BDP($A13,F$1)</f>
        <v>#NAME?</v>
      </c>
      <c r="G13" s="36" t="e">
        <f ca="1">+_xll.BDP($A13,G$1)</f>
        <v>#NAME?</v>
      </c>
    </row>
    <row r="14" spans="1:7" x14ac:dyDescent="0.2">
      <c r="A14" s="36" t="s">
        <v>209</v>
      </c>
      <c r="B14" s="40"/>
      <c r="C14" s="36" t="e">
        <f ca="1">+_xll.BDP($A14,C$1)</f>
        <v>#NAME?</v>
      </c>
      <c r="D14" s="36" t="e">
        <f ca="1">+_xll.BDP($A14,D$1)</f>
        <v>#NAME?</v>
      </c>
      <c r="E14" s="36" t="e">
        <f ca="1">+_xll.BDP($A14,E$1)</f>
        <v>#NAME?</v>
      </c>
      <c r="F14" s="36" t="e">
        <f ca="1">+_xll.BDP($A14,F$1)</f>
        <v>#NAME?</v>
      </c>
      <c r="G14" s="36" t="e">
        <f ca="1">+_xll.BDP($A14,G$1)</f>
        <v>#NAME?</v>
      </c>
    </row>
    <row r="15" spans="1:7" x14ac:dyDescent="0.2">
      <c r="A15" s="36" t="s">
        <v>210</v>
      </c>
      <c r="B15" s="40"/>
      <c r="C15" s="36" t="e">
        <f ca="1">+_xll.BDP($A15,C$1)</f>
        <v>#NAME?</v>
      </c>
      <c r="D15" s="36" t="e">
        <f ca="1">+_xll.BDP($A15,D$1)</f>
        <v>#NAME?</v>
      </c>
      <c r="E15" s="36" t="e">
        <f ca="1">+_xll.BDP($A15,E$1)</f>
        <v>#NAME?</v>
      </c>
      <c r="F15" s="36" t="e">
        <f ca="1">+_xll.BDP($A15,F$1)</f>
        <v>#NAME?</v>
      </c>
      <c r="G15" s="36" t="e">
        <f ca="1">+_xll.BDP($A15,G$1)</f>
        <v>#NAME?</v>
      </c>
    </row>
    <row r="16" spans="1:7" x14ac:dyDescent="0.2">
      <c r="A16" s="36" t="s">
        <v>211</v>
      </c>
      <c r="B16" s="40"/>
      <c r="C16" s="36" t="e">
        <f ca="1">+_xll.BDP($A16,C$1)</f>
        <v>#NAME?</v>
      </c>
      <c r="D16" s="36" t="e">
        <f ca="1">+_xll.BDP($A16,D$1)</f>
        <v>#NAME?</v>
      </c>
      <c r="E16" s="36" t="e">
        <f ca="1">+_xll.BDP($A16,E$1)</f>
        <v>#NAME?</v>
      </c>
      <c r="F16" s="36" t="e">
        <f ca="1">+_xll.BDP($A16,F$1)</f>
        <v>#NAME?</v>
      </c>
      <c r="G16" s="36" t="e">
        <f ca="1">+_xll.BDP($A16,G$1)</f>
        <v>#NAME?</v>
      </c>
    </row>
    <row r="17" spans="1:7" x14ac:dyDescent="0.2">
      <c r="A17" s="36" t="s">
        <v>212</v>
      </c>
      <c r="B17" s="40"/>
      <c r="C17" s="36" t="e">
        <f ca="1">+_xll.BDP($A17,C$1)</f>
        <v>#NAME?</v>
      </c>
      <c r="D17" s="36" t="e">
        <f ca="1">+_xll.BDP($A17,D$1)</f>
        <v>#NAME?</v>
      </c>
      <c r="E17" s="36" t="e">
        <f ca="1">+_xll.BDP($A17,E$1)</f>
        <v>#NAME?</v>
      </c>
      <c r="F17" s="36" t="e">
        <f ca="1">+_xll.BDP($A17,F$1)</f>
        <v>#NAME?</v>
      </c>
      <c r="G17" s="36" t="e">
        <f ca="1">+_xll.BDP($A17,G$1)</f>
        <v>#NAME?</v>
      </c>
    </row>
    <row r="18" spans="1:7" x14ac:dyDescent="0.2">
      <c r="A18" s="36" t="s">
        <v>213</v>
      </c>
      <c r="B18" s="40"/>
      <c r="C18" s="36" t="e">
        <f ca="1">+_xll.BDP($A18,C$1)</f>
        <v>#NAME?</v>
      </c>
      <c r="D18" s="36" t="e">
        <f ca="1">+_xll.BDP($A18,D$1)</f>
        <v>#NAME?</v>
      </c>
      <c r="E18" s="36" t="e">
        <f ca="1">+_xll.BDP($A18,E$1)</f>
        <v>#NAME?</v>
      </c>
      <c r="F18" s="36" t="e">
        <f ca="1">+_xll.BDP($A18,F$1)</f>
        <v>#NAME?</v>
      </c>
      <c r="G18" s="36" t="e">
        <f ca="1">+_xll.BDP($A18,G$1)</f>
        <v>#NAME?</v>
      </c>
    </row>
    <row r="19" spans="1:7" x14ac:dyDescent="0.2">
      <c r="A19" s="36" t="s">
        <v>214</v>
      </c>
      <c r="B19" s="40"/>
      <c r="C19" s="36" t="e">
        <f ca="1">+_xll.BDP($A19,C$1)</f>
        <v>#NAME?</v>
      </c>
      <c r="D19" s="36" t="e">
        <f ca="1">+_xll.BDP($A19,D$1)</f>
        <v>#NAME?</v>
      </c>
      <c r="E19" s="36" t="e">
        <f ca="1">+_xll.BDP($A19,E$1)</f>
        <v>#NAME?</v>
      </c>
      <c r="F19" s="36" t="e">
        <f ca="1">+_xll.BDP($A19,F$1)</f>
        <v>#NAME?</v>
      </c>
      <c r="G19" s="36" t="e">
        <f ca="1">+_xll.BDP($A19,G$1)</f>
        <v>#NAME?</v>
      </c>
    </row>
    <row r="20" spans="1:7" x14ac:dyDescent="0.2">
      <c r="A20" s="36" t="s">
        <v>215</v>
      </c>
      <c r="B20" s="40"/>
      <c r="C20" s="36" t="e">
        <f ca="1">+_xll.BDP($A20,C$1)</f>
        <v>#NAME?</v>
      </c>
      <c r="D20" s="36" t="e">
        <f ca="1">+_xll.BDP($A20,D$1)</f>
        <v>#NAME?</v>
      </c>
      <c r="E20" s="36" t="e">
        <f ca="1">+_xll.BDP($A20,E$1)</f>
        <v>#NAME?</v>
      </c>
      <c r="F20" s="36" t="e">
        <f ca="1">+_xll.BDP($A20,F$1)</f>
        <v>#NAME?</v>
      </c>
      <c r="G20" s="36" t="e">
        <f ca="1">+_xll.BDP($A20,G$1)</f>
        <v>#NAME?</v>
      </c>
    </row>
    <row r="21" spans="1:7" x14ac:dyDescent="0.2">
      <c r="A21" s="36" t="s">
        <v>216</v>
      </c>
      <c r="B21" s="40"/>
      <c r="C21" s="36" t="e">
        <f ca="1">+_xll.BDP($A21,C$1)</f>
        <v>#NAME?</v>
      </c>
      <c r="D21" s="36" t="e">
        <f ca="1">+_xll.BDP($A21,D$1)</f>
        <v>#NAME?</v>
      </c>
      <c r="E21" s="36" t="e">
        <f ca="1">+_xll.BDP($A21,E$1)</f>
        <v>#NAME?</v>
      </c>
      <c r="F21" s="36" t="e">
        <f ca="1">+_xll.BDP($A21,F$1)</f>
        <v>#NAME?</v>
      </c>
      <c r="G21" s="36" t="e">
        <f ca="1">+_xll.BDP($A21,G$1)</f>
        <v>#NAME?</v>
      </c>
    </row>
    <row r="22" spans="1:7" x14ac:dyDescent="0.2">
      <c r="A22" s="36" t="s">
        <v>217</v>
      </c>
      <c r="B22" s="40"/>
      <c r="C22" s="36" t="e">
        <f ca="1">+_xll.BDP($A22,C$1)</f>
        <v>#NAME?</v>
      </c>
      <c r="D22" s="36" t="e">
        <f ca="1">+_xll.BDP($A22,D$1)</f>
        <v>#NAME?</v>
      </c>
      <c r="E22" s="36" t="e">
        <f ca="1">+_xll.BDP($A22,E$1)</f>
        <v>#NAME?</v>
      </c>
      <c r="F22" s="36" t="e">
        <f ca="1">+_xll.BDP($A22,F$1)</f>
        <v>#NAME?</v>
      </c>
      <c r="G22" s="36" t="e">
        <f ca="1">+_xll.BDP($A22,G$1)</f>
        <v>#NAME?</v>
      </c>
    </row>
    <row r="23" spans="1:7" x14ac:dyDescent="0.2">
      <c r="A23" s="36" t="s">
        <v>218</v>
      </c>
      <c r="B23" s="40"/>
      <c r="C23" s="36" t="e">
        <f ca="1">+_xll.BDP($A23,C$1)</f>
        <v>#NAME?</v>
      </c>
      <c r="D23" s="36" t="e">
        <f ca="1">+_xll.BDP($A23,D$1)</f>
        <v>#NAME?</v>
      </c>
      <c r="E23" s="36" t="e">
        <f ca="1">+_xll.BDP($A23,E$1)</f>
        <v>#NAME?</v>
      </c>
      <c r="F23" s="36" t="e">
        <f ca="1">+_xll.BDP($A23,F$1)</f>
        <v>#NAME?</v>
      </c>
      <c r="G23" s="36" t="e">
        <f ca="1">+_xll.BDP($A23,G$1)</f>
        <v>#NAME?</v>
      </c>
    </row>
    <row r="24" spans="1:7" x14ac:dyDescent="0.2">
      <c r="A24" s="36" t="s">
        <v>219</v>
      </c>
      <c r="B24" s="40"/>
      <c r="C24" s="36" t="e">
        <f ca="1">+_xll.BDP($A24,C$1)</f>
        <v>#NAME?</v>
      </c>
      <c r="D24" s="36" t="e">
        <f ca="1">+_xll.BDP($A24,D$1)</f>
        <v>#NAME?</v>
      </c>
      <c r="E24" s="36" t="e">
        <f ca="1">+_xll.BDP($A24,E$1)</f>
        <v>#NAME?</v>
      </c>
      <c r="F24" s="36" t="e">
        <f ca="1">+_xll.BDP($A24,F$1)</f>
        <v>#NAME?</v>
      </c>
      <c r="G24" s="36" t="e">
        <f ca="1">+_xll.BDP($A24,G$1)</f>
        <v>#NAME?</v>
      </c>
    </row>
    <row r="25" spans="1:7" x14ac:dyDescent="0.2">
      <c r="A25" s="36" t="s">
        <v>220</v>
      </c>
      <c r="B25" s="40"/>
      <c r="C25" s="36" t="e">
        <f ca="1">+_xll.BDP($A25,C$1)</f>
        <v>#NAME?</v>
      </c>
      <c r="D25" s="36" t="e">
        <f ca="1">+_xll.BDP($A25,D$1)</f>
        <v>#NAME?</v>
      </c>
      <c r="E25" s="36" t="e">
        <f ca="1">+_xll.BDP($A25,E$1)</f>
        <v>#NAME?</v>
      </c>
      <c r="F25" s="36" t="e">
        <f ca="1">+_xll.BDP($A25,F$1)</f>
        <v>#NAME?</v>
      </c>
      <c r="G25" s="36" t="e">
        <f ca="1">+_xll.BDP($A25,G$1)</f>
        <v>#NAME?</v>
      </c>
    </row>
    <row r="26" spans="1:7" x14ac:dyDescent="0.2">
      <c r="A26" s="36" t="s">
        <v>221</v>
      </c>
      <c r="B26" s="40"/>
      <c r="C26" s="36" t="e">
        <f ca="1">+_xll.BDP($A26,C$1)</f>
        <v>#NAME?</v>
      </c>
      <c r="D26" s="36" t="e">
        <f ca="1">+_xll.BDP($A26,D$1)</f>
        <v>#NAME?</v>
      </c>
      <c r="E26" s="36" t="e">
        <f ca="1">+_xll.BDP($A26,E$1)</f>
        <v>#NAME?</v>
      </c>
      <c r="F26" s="36" t="e">
        <f ca="1">+_xll.BDP($A26,F$1)</f>
        <v>#NAME?</v>
      </c>
      <c r="G26" s="36" t="e">
        <f ca="1">+_xll.BDP($A26,G$1)</f>
        <v>#NAME?</v>
      </c>
    </row>
    <row r="27" spans="1:7" x14ac:dyDescent="0.2">
      <c r="A27" s="36" t="s">
        <v>222</v>
      </c>
      <c r="B27" s="40"/>
      <c r="C27" s="36" t="e">
        <f ca="1">+_xll.BDP($A27,C$1)</f>
        <v>#NAME?</v>
      </c>
      <c r="D27" s="36" t="e">
        <f ca="1">+_xll.BDP($A27,D$1)</f>
        <v>#NAME?</v>
      </c>
      <c r="E27" s="36" t="e">
        <f ca="1">+_xll.BDP($A27,E$1)</f>
        <v>#NAME?</v>
      </c>
      <c r="F27" s="36" t="e">
        <f ca="1">+_xll.BDP($A27,F$1)</f>
        <v>#NAME?</v>
      </c>
      <c r="G27" s="36" t="e">
        <f ca="1">+_xll.BDP($A27,G$1)</f>
        <v>#NAME?</v>
      </c>
    </row>
    <row r="28" spans="1:7" x14ac:dyDescent="0.2">
      <c r="A28" s="36" t="s">
        <v>223</v>
      </c>
      <c r="B28" s="40"/>
      <c r="C28" s="36" t="e">
        <f ca="1">+_xll.BDP($A28,C$1)</f>
        <v>#NAME?</v>
      </c>
      <c r="D28" s="36" t="e">
        <f ca="1">+_xll.BDP($A28,D$1)</f>
        <v>#NAME?</v>
      </c>
      <c r="E28" s="36" t="e">
        <f ca="1">+_xll.BDP($A28,E$1)</f>
        <v>#NAME?</v>
      </c>
      <c r="F28" s="36" t="e">
        <f ca="1">+_xll.BDP($A28,F$1)</f>
        <v>#NAME?</v>
      </c>
      <c r="G28" s="36" t="e">
        <f ca="1">+_xll.BDP($A28,G$1)</f>
        <v>#NAME?</v>
      </c>
    </row>
    <row r="29" spans="1:7" x14ac:dyDescent="0.2">
      <c r="A29" s="36" t="s">
        <v>224</v>
      </c>
      <c r="B29" s="40"/>
      <c r="C29" s="36" t="e">
        <f ca="1">+_xll.BDP($A29,C$1)</f>
        <v>#NAME?</v>
      </c>
      <c r="D29" s="36" t="e">
        <f ca="1">+_xll.BDP($A29,D$1)</f>
        <v>#NAME?</v>
      </c>
      <c r="E29" s="36" t="e">
        <f ca="1">+_xll.BDP($A29,E$1)</f>
        <v>#NAME?</v>
      </c>
      <c r="F29" s="36" t="e">
        <f ca="1">+_xll.BDP($A29,F$1)</f>
        <v>#NAME?</v>
      </c>
      <c r="G29" s="36" t="e">
        <f ca="1">+_xll.BDP($A29,G$1)</f>
        <v>#NAME?</v>
      </c>
    </row>
    <row r="30" spans="1:7" x14ac:dyDescent="0.2">
      <c r="A30" s="36" t="s">
        <v>225</v>
      </c>
      <c r="B30" s="40"/>
      <c r="C30" s="36" t="e">
        <f ca="1">+_xll.BDP($A30,C$1)</f>
        <v>#NAME?</v>
      </c>
      <c r="D30" s="36" t="e">
        <f ca="1">+_xll.BDP($A30,D$1)</f>
        <v>#NAME?</v>
      </c>
      <c r="E30" s="36" t="e">
        <f ca="1">+_xll.BDP($A30,E$1)</f>
        <v>#NAME?</v>
      </c>
      <c r="F30" s="36" t="e">
        <f ca="1">+_xll.BDP($A30,F$1)</f>
        <v>#NAME?</v>
      </c>
      <c r="G30" s="36" t="e">
        <f ca="1">+_xll.BDP($A30,G$1)</f>
        <v>#NAME?</v>
      </c>
    </row>
    <row r="31" spans="1:7" x14ac:dyDescent="0.2">
      <c r="A31" s="36" t="s">
        <v>226</v>
      </c>
      <c r="B31" s="40"/>
      <c r="C31" s="36" t="e">
        <f ca="1">+_xll.BDP($A31,C$1)</f>
        <v>#NAME?</v>
      </c>
      <c r="D31" s="36" t="e">
        <f ca="1">+_xll.BDP($A31,D$1)</f>
        <v>#NAME?</v>
      </c>
      <c r="E31" s="36" t="e">
        <f ca="1">+_xll.BDP($A31,E$1)</f>
        <v>#NAME?</v>
      </c>
      <c r="F31" s="36" t="e">
        <f ca="1">+_xll.BDP($A31,F$1)</f>
        <v>#NAME?</v>
      </c>
      <c r="G31" s="36" t="e">
        <f ca="1">+_xll.BDP($A31,G$1)</f>
        <v>#NAME?</v>
      </c>
    </row>
    <row r="32" spans="1:7" x14ac:dyDescent="0.2">
      <c r="A32" s="36" t="s">
        <v>227</v>
      </c>
      <c r="B32" s="40"/>
      <c r="C32" s="36" t="e">
        <f ca="1">+_xll.BDP($A32,C$1)</f>
        <v>#NAME?</v>
      </c>
      <c r="D32" s="36" t="e">
        <f ca="1">+_xll.BDP($A32,D$1)</f>
        <v>#NAME?</v>
      </c>
      <c r="E32" s="36" t="e">
        <f ca="1">+_xll.BDP($A32,E$1)</f>
        <v>#NAME?</v>
      </c>
      <c r="F32" s="36" t="e">
        <f ca="1">+_xll.BDP($A32,F$1)</f>
        <v>#NAME?</v>
      </c>
      <c r="G32" s="36" t="e">
        <f ca="1">+_xll.BDP($A32,G$1)</f>
        <v>#NAME?</v>
      </c>
    </row>
    <row r="33" spans="1:7" x14ac:dyDescent="0.2">
      <c r="A33" s="36" t="s">
        <v>228</v>
      </c>
      <c r="B33" s="40"/>
      <c r="C33" s="36" t="e">
        <f ca="1">+_xll.BDP($A33,C$1)</f>
        <v>#NAME?</v>
      </c>
      <c r="D33" s="36" t="e">
        <f ca="1">+_xll.BDP($A33,D$1)</f>
        <v>#NAME?</v>
      </c>
      <c r="E33" s="36" t="e">
        <f ca="1">+_xll.BDP($A33,E$1)</f>
        <v>#NAME?</v>
      </c>
      <c r="F33" s="36" t="e">
        <f ca="1">+_xll.BDP($A33,F$1)</f>
        <v>#NAME?</v>
      </c>
      <c r="G33" s="36" t="e">
        <f ca="1">+_xll.BDP($A33,G$1)</f>
        <v>#NAME?</v>
      </c>
    </row>
    <row r="34" spans="1:7" x14ac:dyDescent="0.2">
      <c r="A34" s="36" t="s">
        <v>229</v>
      </c>
      <c r="B34" s="40"/>
      <c r="C34" s="36" t="e">
        <f ca="1">+_xll.BDP($A34,C$1)</f>
        <v>#NAME?</v>
      </c>
      <c r="D34" s="36" t="e">
        <f ca="1">+_xll.BDP($A34,D$1)</f>
        <v>#NAME?</v>
      </c>
      <c r="E34" s="36" t="e">
        <f ca="1">+_xll.BDP($A34,E$1)</f>
        <v>#NAME?</v>
      </c>
      <c r="F34" s="36" t="e">
        <f ca="1">+_xll.BDP($A34,F$1)</f>
        <v>#NAME?</v>
      </c>
      <c r="G34" s="36" t="e">
        <f ca="1">+_xll.BDP($A34,G$1)</f>
        <v>#NAME?</v>
      </c>
    </row>
    <row r="35" spans="1:7" x14ac:dyDescent="0.2">
      <c r="A35" s="36" t="s">
        <v>230</v>
      </c>
      <c r="B35" s="40"/>
      <c r="C35" s="36" t="e">
        <f ca="1">+_xll.BDP($A35,C$1)</f>
        <v>#NAME?</v>
      </c>
      <c r="D35" s="36" t="e">
        <f ca="1">+_xll.BDP($A35,D$1)</f>
        <v>#NAME?</v>
      </c>
      <c r="E35" s="36" t="e">
        <f ca="1">+_xll.BDP($A35,E$1)</f>
        <v>#NAME?</v>
      </c>
      <c r="F35" s="36" t="e">
        <f ca="1">+_xll.BDP($A35,F$1)</f>
        <v>#NAME?</v>
      </c>
      <c r="G35" s="36" t="e">
        <f ca="1">+_xll.BDP($A35,G$1)</f>
        <v>#NAME?</v>
      </c>
    </row>
    <row r="36" spans="1:7" x14ac:dyDescent="0.2">
      <c r="A36" s="36" t="s">
        <v>231</v>
      </c>
      <c r="B36" s="40"/>
      <c r="C36" s="36" t="e">
        <f ca="1">+_xll.BDP($A36,C$1)</f>
        <v>#NAME?</v>
      </c>
      <c r="D36" s="36" t="e">
        <f ca="1">+_xll.BDP($A36,D$1)</f>
        <v>#NAME?</v>
      </c>
      <c r="E36" s="36" t="e">
        <f ca="1">+_xll.BDP($A36,E$1)</f>
        <v>#NAME?</v>
      </c>
      <c r="F36" s="36" t="e">
        <f ca="1">+_xll.BDP($A36,F$1)</f>
        <v>#NAME?</v>
      </c>
      <c r="G36" s="36" t="e">
        <f ca="1">+_xll.BDP($A36,G$1)</f>
        <v>#NAME?</v>
      </c>
    </row>
    <row r="37" spans="1:7" x14ac:dyDescent="0.2">
      <c r="A37" s="36" t="s">
        <v>232</v>
      </c>
      <c r="B37" s="40"/>
      <c r="C37" s="36" t="e">
        <f ca="1">+_xll.BDP($A37,C$1)</f>
        <v>#NAME?</v>
      </c>
      <c r="D37" s="36" t="e">
        <f ca="1">+_xll.BDP($A37,D$1)</f>
        <v>#NAME?</v>
      </c>
      <c r="E37" s="36" t="e">
        <f ca="1">+_xll.BDP($A37,E$1)</f>
        <v>#NAME?</v>
      </c>
      <c r="F37" s="36" t="e">
        <f ca="1">+_xll.BDP($A37,F$1)</f>
        <v>#NAME?</v>
      </c>
      <c r="G37" s="36" t="e">
        <f ca="1">+_xll.BDP($A37,G$1)</f>
        <v>#NAME?</v>
      </c>
    </row>
    <row r="38" spans="1:7" x14ac:dyDescent="0.2">
      <c r="A38" s="36" t="s">
        <v>233</v>
      </c>
      <c r="B38" s="40"/>
      <c r="C38" s="36" t="e">
        <f ca="1">+_xll.BDP($A38,C$1)</f>
        <v>#NAME?</v>
      </c>
      <c r="D38" s="36" t="e">
        <f ca="1">+_xll.BDP($A38,D$1)</f>
        <v>#NAME?</v>
      </c>
      <c r="E38" s="36" t="e">
        <f ca="1">+_xll.BDP($A38,E$1)</f>
        <v>#NAME?</v>
      </c>
      <c r="F38" s="36" t="e">
        <f ca="1">+_xll.BDP($A38,F$1)</f>
        <v>#NAME?</v>
      </c>
      <c r="G38" s="36" t="e">
        <f ca="1">+_xll.BDP($A38,G$1)</f>
        <v>#NAME?</v>
      </c>
    </row>
    <row r="39" spans="1:7" x14ac:dyDescent="0.2">
      <c r="A39" s="36" t="s">
        <v>234</v>
      </c>
      <c r="B39" s="40"/>
      <c r="C39" s="36" t="e">
        <f ca="1">+_xll.BDP($A39,C$1)</f>
        <v>#NAME?</v>
      </c>
      <c r="D39" s="36" t="e">
        <f ca="1">+_xll.BDP($A39,D$1)</f>
        <v>#NAME?</v>
      </c>
      <c r="E39" s="36" t="e">
        <f ca="1">+_xll.BDP($A39,E$1)</f>
        <v>#NAME?</v>
      </c>
      <c r="F39" s="36" t="e">
        <f ca="1">+_xll.BDP($A39,F$1)</f>
        <v>#NAME?</v>
      </c>
      <c r="G39" s="36" t="e">
        <f ca="1">+_xll.BDP($A39,G$1)</f>
        <v>#NAME?</v>
      </c>
    </row>
    <row r="40" spans="1:7" x14ac:dyDescent="0.2">
      <c r="A40" s="36" t="s">
        <v>235</v>
      </c>
      <c r="B40" s="40"/>
      <c r="C40" s="36" t="e">
        <f ca="1">+_xll.BDP($A40,C$1)</f>
        <v>#NAME?</v>
      </c>
      <c r="D40" s="36" t="e">
        <f ca="1">+_xll.BDP($A40,D$1)</f>
        <v>#NAME?</v>
      </c>
      <c r="E40" s="36" t="e">
        <f ca="1">+_xll.BDP($A40,E$1)</f>
        <v>#NAME?</v>
      </c>
      <c r="F40" s="36" t="e">
        <f ca="1">+_xll.BDP($A40,F$1)</f>
        <v>#NAME?</v>
      </c>
      <c r="G40" s="36" t="e">
        <f ca="1">+_xll.BDP($A40,G$1)</f>
        <v>#NAME?</v>
      </c>
    </row>
    <row r="41" spans="1:7" x14ac:dyDescent="0.2">
      <c r="A41" s="36" t="s">
        <v>236</v>
      </c>
      <c r="B41" s="40"/>
      <c r="C41" s="36" t="e">
        <f ca="1">+_xll.BDP($A41,C$1)</f>
        <v>#NAME?</v>
      </c>
      <c r="D41" s="36" t="e">
        <f ca="1">+_xll.BDP($A41,D$1)</f>
        <v>#NAME?</v>
      </c>
      <c r="E41" s="36" t="e">
        <f ca="1">+_xll.BDP($A41,E$1)</f>
        <v>#NAME?</v>
      </c>
      <c r="F41" s="36" t="e">
        <f ca="1">+_xll.BDP($A41,F$1)</f>
        <v>#NAME?</v>
      </c>
      <c r="G41" s="36" t="e">
        <f ca="1">+_xll.BDP($A41,G$1)</f>
        <v>#NAME?</v>
      </c>
    </row>
    <row r="42" spans="1:7" x14ac:dyDescent="0.2">
      <c r="A42" s="36" t="s">
        <v>237</v>
      </c>
      <c r="B42" s="40"/>
      <c r="C42" s="36" t="e">
        <f ca="1">+_xll.BDP($A42,C$1)</f>
        <v>#NAME?</v>
      </c>
      <c r="D42" s="36" t="e">
        <f ca="1">+_xll.BDP($A42,D$1)</f>
        <v>#NAME?</v>
      </c>
      <c r="E42" s="36" t="e">
        <f ca="1">+_xll.BDP($A42,E$1)</f>
        <v>#NAME?</v>
      </c>
      <c r="F42" s="36" t="e">
        <f ca="1">+_xll.BDP($A42,F$1)</f>
        <v>#NAME?</v>
      </c>
      <c r="G42" s="36" t="e">
        <f ca="1">+_xll.BDP($A42,G$1)</f>
        <v>#NAME?</v>
      </c>
    </row>
    <row r="43" spans="1:7" x14ac:dyDescent="0.2">
      <c r="A43" s="36" t="s">
        <v>238</v>
      </c>
      <c r="B43" s="40"/>
      <c r="C43" s="36" t="e">
        <f ca="1">+_xll.BDP($A43,C$1)</f>
        <v>#NAME?</v>
      </c>
      <c r="D43" s="36" t="e">
        <f ca="1">+_xll.BDP($A43,D$1)</f>
        <v>#NAME?</v>
      </c>
      <c r="E43" s="36" t="e">
        <f ca="1">+_xll.BDP($A43,E$1)</f>
        <v>#NAME?</v>
      </c>
      <c r="F43" s="36" t="e">
        <f ca="1">+_xll.BDP($A43,F$1)</f>
        <v>#NAME?</v>
      </c>
      <c r="G43" s="36" t="e">
        <f ca="1">+_xll.BDP($A43,G$1)</f>
        <v>#NAME?</v>
      </c>
    </row>
    <row r="44" spans="1:7" x14ac:dyDescent="0.2">
      <c r="A44" s="36" t="s">
        <v>239</v>
      </c>
      <c r="B44" s="40"/>
      <c r="C44" s="36" t="e">
        <f ca="1">+_xll.BDP($A44,C$1)</f>
        <v>#NAME?</v>
      </c>
      <c r="D44" s="36" t="e">
        <f ca="1">+_xll.BDP($A44,D$1)</f>
        <v>#NAME?</v>
      </c>
      <c r="E44" s="36" t="e">
        <f ca="1">+_xll.BDP($A44,E$1)</f>
        <v>#NAME?</v>
      </c>
      <c r="F44" s="36" t="e">
        <f ca="1">+_xll.BDP($A44,F$1)</f>
        <v>#NAME?</v>
      </c>
      <c r="G44" s="36" t="e">
        <f ca="1">+_xll.BDP($A44,G$1)</f>
        <v>#NAME?</v>
      </c>
    </row>
    <row r="45" spans="1:7" x14ac:dyDescent="0.2">
      <c r="A45" s="36" t="s">
        <v>240</v>
      </c>
      <c r="B45" s="40"/>
      <c r="C45" s="36" t="e">
        <f ca="1">+_xll.BDP($A45,C$1)</f>
        <v>#NAME?</v>
      </c>
      <c r="D45" s="36" t="e">
        <f ca="1">+_xll.BDP($A45,D$1)</f>
        <v>#NAME?</v>
      </c>
      <c r="E45" s="36" t="e">
        <f ca="1">+_xll.BDP($A45,E$1)</f>
        <v>#NAME?</v>
      </c>
      <c r="F45" s="36" t="e">
        <f ca="1">+_xll.BDP($A45,F$1)</f>
        <v>#NAME?</v>
      </c>
      <c r="G45" s="36" t="e">
        <f ca="1">+_xll.BDP($A45,G$1)</f>
        <v>#NAME?</v>
      </c>
    </row>
    <row r="46" spans="1:7" x14ac:dyDescent="0.2">
      <c r="A46" s="36" t="s">
        <v>241</v>
      </c>
      <c r="B46" s="40"/>
      <c r="C46" s="36" t="e">
        <f ca="1">+_xll.BDP($A46,C$1)</f>
        <v>#NAME?</v>
      </c>
      <c r="D46" s="36" t="e">
        <f ca="1">+_xll.BDP($A46,D$1)</f>
        <v>#NAME?</v>
      </c>
      <c r="E46" s="36" t="e">
        <f ca="1">+_xll.BDP($A46,E$1)</f>
        <v>#NAME?</v>
      </c>
      <c r="F46" s="36" t="e">
        <f ca="1">+_xll.BDP($A46,F$1)</f>
        <v>#NAME?</v>
      </c>
      <c r="G46" s="36" t="e">
        <f ca="1">+_xll.BDP($A46,G$1)</f>
        <v>#NAME?</v>
      </c>
    </row>
    <row r="47" spans="1:7" x14ac:dyDescent="0.2">
      <c r="A47" s="36" t="s">
        <v>242</v>
      </c>
      <c r="B47" s="40"/>
      <c r="C47" s="36" t="e">
        <f ca="1">+_xll.BDP($A47,C$1)</f>
        <v>#NAME?</v>
      </c>
      <c r="D47" s="36" t="e">
        <f ca="1">+_xll.BDP($A47,D$1)</f>
        <v>#NAME?</v>
      </c>
      <c r="E47" s="36" t="e">
        <f ca="1">+_xll.BDP($A47,E$1)</f>
        <v>#NAME?</v>
      </c>
      <c r="F47" s="36" t="e">
        <f ca="1">+_xll.BDP($A47,F$1)</f>
        <v>#NAME?</v>
      </c>
      <c r="G47" s="36" t="e">
        <f ca="1">+_xll.BDP($A47,G$1)</f>
        <v>#NAME?</v>
      </c>
    </row>
    <row r="48" spans="1:7" x14ac:dyDescent="0.2">
      <c r="A48" s="36" t="s">
        <v>243</v>
      </c>
      <c r="B48" s="40"/>
      <c r="C48" s="36" t="e">
        <f ca="1">+_xll.BDP($A48,C$1)</f>
        <v>#NAME?</v>
      </c>
      <c r="D48" s="36" t="e">
        <f ca="1">+_xll.BDP($A48,D$1)</f>
        <v>#NAME?</v>
      </c>
      <c r="E48" s="36" t="e">
        <f ca="1">+_xll.BDP($A48,E$1)</f>
        <v>#NAME?</v>
      </c>
      <c r="F48" s="36" t="e">
        <f ca="1">+_xll.BDP($A48,F$1)</f>
        <v>#NAME?</v>
      </c>
      <c r="G48" s="36" t="e">
        <f ca="1">+_xll.BDP($A48,G$1)</f>
        <v>#NAME?</v>
      </c>
    </row>
    <row r="49" spans="1:7" x14ac:dyDescent="0.2">
      <c r="A49" s="36" t="s">
        <v>244</v>
      </c>
      <c r="B49" s="40"/>
      <c r="C49" s="36" t="e">
        <f ca="1">+_xll.BDP($A49,C$1)</f>
        <v>#NAME?</v>
      </c>
      <c r="D49" s="36" t="e">
        <f ca="1">+_xll.BDP($A49,D$1)</f>
        <v>#NAME?</v>
      </c>
      <c r="E49" s="36" t="e">
        <f ca="1">+_xll.BDP($A49,E$1)</f>
        <v>#NAME?</v>
      </c>
      <c r="F49" s="36" t="e">
        <f ca="1">+_xll.BDP($A49,F$1)</f>
        <v>#NAME?</v>
      </c>
      <c r="G49" s="36" t="e">
        <f ca="1">+_xll.BDP($A49,G$1)</f>
        <v>#NAME?</v>
      </c>
    </row>
    <row r="50" spans="1:7" x14ac:dyDescent="0.2">
      <c r="A50" s="36" t="s">
        <v>245</v>
      </c>
      <c r="B50" s="40"/>
      <c r="C50" s="36" t="e">
        <f ca="1">+_xll.BDP($A50,C$1)</f>
        <v>#NAME?</v>
      </c>
      <c r="D50" s="36" t="e">
        <f ca="1">+_xll.BDP($A50,D$1)</f>
        <v>#NAME?</v>
      </c>
      <c r="E50" s="36" t="e">
        <f ca="1">+_xll.BDP($A50,E$1)</f>
        <v>#NAME?</v>
      </c>
      <c r="F50" s="36" t="e">
        <f ca="1">+_xll.BDP($A50,F$1)</f>
        <v>#NAME?</v>
      </c>
      <c r="G50" s="36" t="e">
        <f ca="1">+_xll.BDP($A50,G$1)</f>
        <v>#NAME?</v>
      </c>
    </row>
    <row r="51" spans="1:7" x14ac:dyDescent="0.2">
      <c r="A51" s="36" t="s">
        <v>246</v>
      </c>
      <c r="B51" s="40"/>
      <c r="C51" s="36" t="e">
        <f ca="1">+_xll.BDP($A51,C$1)</f>
        <v>#NAME?</v>
      </c>
      <c r="D51" s="36" t="e">
        <f ca="1">+_xll.BDP($A51,D$1)</f>
        <v>#NAME?</v>
      </c>
      <c r="E51" s="36" t="e">
        <f ca="1">+_xll.BDP($A51,E$1)</f>
        <v>#NAME?</v>
      </c>
      <c r="F51" s="36" t="e">
        <f ca="1">+_xll.BDP($A51,F$1)</f>
        <v>#NAME?</v>
      </c>
      <c r="G51" s="36" t="e">
        <f ca="1">+_xll.BDP($A51,G$1)</f>
        <v>#NAME?</v>
      </c>
    </row>
    <row r="52" spans="1:7" x14ac:dyDescent="0.2">
      <c r="A52" s="36" t="s">
        <v>247</v>
      </c>
      <c r="B52" s="40"/>
      <c r="C52" s="36" t="e">
        <f ca="1">+_xll.BDP($A52,C$1)</f>
        <v>#NAME?</v>
      </c>
      <c r="D52" s="36" t="e">
        <f ca="1">+_xll.BDP($A52,D$1)</f>
        <v>#NAME?</v>
      </c>
      <c r="E52" s="36" t="e">
        <f ca="1">+_xll.BDP($A52,E$1)</f>
        <v>#NAME?</v>
      </c>
      <c r="F52" s="36" t="e">
        <f ca="1">+_xll.BDP($A52,F$1)</f>
        <v>#NAME?</v>
      </c>
      <c r="G52" s="36" t="e">
        <f ca="1">+_xll.BDP($A52,G$1)</f>
        <v>#NAME?</v>
      </c>
    </row>
    <row r="53" spans="1:7" x14ac:dyDescent="0.2">
      <c r="A53" s="36" t="s">
        <v>248</v>
      </c>
      <c r="B53" s="40"/>
      <c r="C53" s="36" t="e">
        <f ca="1">+_xll.BDP($A53,C$1)</f>
        <v>#NAME?</v>
      </c>
      <c r="D53" s="36" t="e">
        <f ca="1">+_xll.BDP($A53,D$1)</f>
        <v>#NAME?</v>
      </c>
      <c r="E53" s="36" t="e">
        <f ca="1">+_xll.BDP($A53,E$1)</f>
        <v>#NAME?</v>
      </c>
      <c r="F53" s="36" t="e">
        <f ca="1">+_xll.BDP($A53,F$1)</f>
        <v>#NAME?</v>
      </c>
      <c r="G53" s="36" t="e">
        <f ca="1">+_xll.BDP($A53,G$1)</f>
        <v>#NAME?</v>
      </c>
    </row>
    <row r="54" spans="1:7" x14ac:dyDescent="0.2">
      <c r="A54" s="36" t="s">
        <v>249</v>
      </c>
      <c r="B54" s="40"/>
      <c r="C54" s="36" t="e">
        <f ca="1">+_xll.BDP($A54,C$1)</f>
        <v>#NAME?</v>
      </c>
      <c r="D54" s="36" t="e">
        <f ca="1">+_xll.BDP($A54,D$1)</f>
        <v>#NAME?</v>
      </c>
      <c r="E54" s="36" t="e">
        <f ca="1">+_xll.BDP($A54,E$1)</f>
        <v>#NAME?</v>
      </c>
      <c r="F54" s="36" t="e">
        <f ca="1">+_xll.BDP($A54,F$1)</f>
        <v>#NAME?</v>
      </c>
      <c r="G54" s="36" t="e">
        <f ca="1">+_xll.BDP($A54,G$1)</f>
        <v>#NAME?</v>
      </c>
    </row>
    <row r="55" spans="1:7" x14ac:dyDescent="0.2">
      <c r="A55" s="36" t="s">
        <v>250</v>
      </c>
      <c r="B55" s="40"/>
      <c r="C55" s="36" t="e">
        <f ca="1">+_xll.BDP($A55,C$1)</f>
        <v>#NAME?</v>
      </c>
      <c r="D55" s="36" t="e">
        <f ca="1">+_xll.BDP($A55,D$1)</f>
        <v>#NAME?</v>
      </c>
      <c r="E55" s="36" t="e">
        <f ca="1">+_xll.BDP($A55,E$1)</f>
        <v>#NAME?</v>
      </c>
      <c r="F55" s="36" t="e">
        <f ca="1">+_xll.BDP($A55,F$1)</f>
        <v>#NAME?</v>
      </c>
      <c r="G55" s="36" t="e">
        <f ca="1">+_xll.BDP($A55,G$1)</f>
        <v>#NAME?</v>
      </c>
    </row>
    <row r="56" spans="1:7" x14ac:dyDescent="0.2">
      <c r="A56" s="36" t="s">
        <v>251</v>
      </c>
      <c r="B56" s="40"/>
      <c r="C56" s="36" t="e">
        <f ca="1">+_xll.BDP($A56,C$1)</f>
        <v>#NAME?</v>
      </c>
      <c r="D56" s="36" t="e">
        <f ca="1">+_xll.BDP($A56,D$1)</f>
        <v>#NAME?</v>
      </c>
      <c r="E56" s="36" t="e">
        <f ca="1">+_xll.BDP($A56,E$1)</f>
        <v>#NAME?</v>
      </c>
      <c r="F56" s="36" t="e">
        <f ca="1">+_xll.BDP($A56,F$1)</f>
        <v>#NAME?</v>
      </c>
      <c r="G56" s="36" t="e">
        <f ca="1">+_xll.BDP($A56,G$1)</f>
        <v>#NAME?</v>
      </c>
    </row>
    <row r="57" spans="1:7" x14ac:dyDescent="0.2">
      <c r="A57" s="36" t="s">
        <v>252</v>
      </c>
      <c r="B57" s="40"/>
      <c r="C57" s="36" t="e">
        <f ca="1">+_xll.BDP($A57,C$1)</f>
        <v>#NAME?</v>
      </c>
      <c r="D57" s="36" t="e">
        <f ca="1">+_xll.BDP($A57,D$1)</f>
        <v>#NAME?</v>
      </c>
      <c r="E57" s="36" t="e">
        <f ca="1">+_xll.BDP($A57,E$1)</f>
        <v>#NAME?</v>
      </c>
      <c r="F57" s="36" t="e">
        <f ca="1">+_xll.BDP($A57,F$1)</f>
        <v>#NAME?</v>
      </c>
      <c r="G57" s="36" t="e">
        <f ca="1">+_xll.BDP($A57,G$1)</f>
        <v>#NAME?</v>
      </c>
    </row>
    <row r="58" spans="1:7" x14ac:dyDescent="0.2">
      <c r="A58" s="36" t="s">
        <v>253</v>
      </c>
      <c r="B58" s="40"/>
      <c r="C58" s="36" t="e">
        <f ca="1">+_xll.BDP($A58,C$1)</f>
        <v>#NAME?</v>
      </c>
      <c r="D58" s="36" t="e">
        <f ca="1">+_xll.BDP($A58,D$1)</f>
        <v>#NAME?</v>
      </c>
      <c r="E58" s="36" t="e">
        <f ca="1">+_xll.BDP($A58,E$1)</f>
        <v>#NAME?</v>
      </c>
      <c r="F58" s="36" t="e">
        <f ca="1">+_xll.BDP($A58,F$1)</f>
        <v>#NAME?</v>
      </c>
      <c r="G58" s="36" t="e">
        <f ca="1">+_xll.BDP($A58,G$1)</f>
        <v>#NAME?</v>
      </c>
    </row>
    <row r="59" spans="1:7" x14ac:dyDescent="0.2">
      <c r="A59" s="36" t="s">
        <v>254</v>
      </c>
      <c r="B59" s="40"/>
      <c r="C59" s="36" t="e">
        <f ca="1">+_xll.BDP($A59,C$1)</f>
        <v>#NAME?</v>
      </c>
      <c r="D59" s="36" t="e">
        <f ca="1">+_xll.BDP($A59,D$1)</f>
        <v>#NAME?</v>
      </c>
      <c r="E59" s="36" t="e">
        <f ca="1">+_xll.BDP($A59,E$1)</f>
        <v>#NAME?</v>
      </c>
      <c r="F59" s="36" t="e">
        <f ca="1">+_xll.BDP($A59,F$1)</f>
        <v>#NAME?</v>
      </c>
      <c r="G59" s="36" t="e">
        <f ca="1">+_xll.BDP($A59,G$1)</f>
        <v>#NAME?</v>
      </c>
    </row>
    <row r="60" spans="1:7" x14ac:dyDescent="0.2">
      <c r="A60" s="36" t="s">
        <v>255</v>
      </c>
      <c r="B60" s="40"/>
      <c r="C60" s="36" t="e">
        <f ca="1">+_xll.BDP($A60,C$1)</f>
        <v>#NAME?</v>
      </c>
      <c r="D60" s="36" t="e">
        <f ca="1">+_xll.BDP($A60,D$1)</f>
        <v>#NAME?</v>
      </c>
      <c r="E60" s="36" t="e">
        <f ca="1">+_xll.BDP($A60,E$1)</f>
        <v>#NAME?</v>
      </c>
      <c r="F60" s="36" t="e">
        <f ca="1">+_xll.BDP($A60,F$1)</f>
        <v>#NAME?</v>
      </c>
      <c r="G60" s="36" t="e">
        <f ca="1">+_xll.BDP($A60,G$1)</f>
        <v>#NAME?</v>
      </c>
    </row>
    <row r="61" spans="1:7" x14ac:dyDescent="0.2">
      <c r="A61" s="36" t="s">
        <v>256</v>
      </c>
      <c r="B61" s="40"/>
      <c r="C61" s="36" t="e">
        <f ca="1">+_xll.BDP($A61,C$1)</f>
        <v>#NAME?</v>
      </c>
      <c r="D61" s="36" t="e">
        <f ca="1">+_xll.BDP($A61,D$1)</f>
        <v>#NAME?</v>
      </c>
      <c r="E61" s="36" t="e">
        <f ca="1">+_xll.BDP($A61,E$1)</f>
        <v>#NAME?</v>
      </c>
      <c r="F61" s="36" t="e">
        <f ca="1">+_xll.BDP($A61,F$1)</f>
        <v>#NAME?</v>
      </c>
      <c r="G61" s="36" t="e">
        <f ca="1">+_xll.BDP($A61,G$1)</f>
        <v>#NAME?</v>
      </c>
    </row>
    <row r="62" spans="1:7" x14ac:dyDescent="0.2">
      <c r="A62" s="36" t="s">
        <v>257</v>
      </c>
      <c r="B62" s="40"/>
      <c r="C62" s="36" t="e">
        <f ca="1">+_xll.BDP($A62,C$1)</f>
        <v>#NAME?</v>
      </c>
      <c r="D62" s="36" t="e">
        <f ca="1">+_xll.BDP($A62,D$1)</f>
        <v>#NAME?</v>
      </c>
      <c r="E62" s="36" t="e">
        <f ca="1">+_xll.BDP($A62,E$1)</f>
        <v>#NAME?</v>
      </c>
      <c r="F62" s="36" t="e">
        <f ca="1">+_xll.BDP($A62,F$1)</f>
        <v>#NAME?</v>
      </c>
      <c r="G62" s="36" t="e">
        <f ca="1">+_xll.BDP($A62,G$1)</f>
        <v>#NAME?</v>
      </c>
    </row>
    <row r="63" spans="1:7" x14ac:dyDescent="0.2">
      <c r="A63" s="36" t="s">
        <v>258</v>
      </c>
      <c r="B63" s="40"/>
      <c r="C63" s="36" t="e">
        <f ca="1">+_xll.BDP($A63,C$1)</f>
        <v>#NAME?</v>
      </c>
      <c r="D63" s="36" t="e">
        <f ca="1">+_xll.BDP($A63,D$1)</f>
        <v>#NAME?</v>
      </c>
      <c r="E63" s="36" t="e">
        <f ca="1">+_xll.BDP($A63,E$1)</f>
        <v>#NAME?</v>
      </c>
      <c r="F63" s="36" t="e">
        <f ca="1">+_xll.BDP($A63,F$1)</f>
        <v>#NAME?</v>
      </c>
      <c r="G63" s="36" t="e">
        <f ca="1">+_xll.BDP($A63,G$1)</f>
        <v>#NAME?</v>
      </c>
    </row>
    <row r="64" spans="1:7" x14ac:dyDescent="0.2">
      <c r="A64" s="36" t="s">
        <v>259</v>
      </c>
      <c r="B64" s="40"/>
      <c r="C64" s="36" t="e">
        <f ca="1">+_xll.BDP($A64,C$1)</f>
        <v>#NAME?</v>
      </c>
      <c r="D64" s="36" t="e">
        <f ca="1">+_xll.BDP($A64,D$1)</f>
        <v>#NAME?</v>
      </c>
      <c r="E64" s="36" t="e">
        <f ca="1">+_xll.BDP($A64,E$1)</f>
        <v>#NAME?</v>
      </c>
      <c r="F64" s="36" t="e">
        <f ca="1">+_xll.BDP($A64,F$1)</f>
        <v>#NAME?</v>
      </c>
      <c r="G64" s="36" t="e">
        <f ca="1">+_xll.BDP($A64,G$1)</f>
        <v>#NAME?</v>
      </c>
    </row>
    <row r="65" spans="1:7" x14ac:dyDescent="0.2">
      <c r="A65" s="36" t="s">
        <v>260</v>
      </c>
      <c r="B65" s="40"/>
      <c r="C65" s="36" t="e">
        <f ca="1">+_xll.BDP($A65,C$1)</f>
        <v>#NAME?</v>
      </c>
      <c r="D65" s="36" t="e">
        <f ca="1">+_xll.BDP($A65,D$1)</f>
        <v>#NAME?</v>
      </c>
      <c r="E65" s="36" t="e">
        <f ca="1">+_xll.BDP($A65,E$1)</f>
        <v>#NAME?</v>
      </c>
      <c r="F65" s="36" t="e">
        <f ca="1">+_xll.BDP($A65,F$1)</f>
        <v>#NAME?</v>
      </c>
      <c r="G65" s="36" t="e">
        <f ca="1">+_xll.BDP($A65,G$1)</f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621A0-627A-48DC-8F38-1F77133BE9D7}">
  <sheetPr codeName="Hoja81"/>
  <dimension ref="A1:Q12"/>
  <sheetViews>
    <sheetView workbookViewId="0">
      <selection activeCell="O12" sqref="A1:O12"/>
    </sheetView>
  </sheetViews>
  <sheetFormatPr baseColWidth="10" defaultRowHeight="14.25" x14ac:dyDescent="0.2"/>
  <cols>
    <col min="1" max="1" width="12.75" bestFit="1" customWidth="1"/>
    <col min="2" max="2" width="9.875" bestFit="1" customWidth="1"/>
    <col min="9" max="9" width="14.5" bestFit="1" customWidth="1"/>
  </cols>
  <sheetData>
    <row r="1" spans="1:17" x14ac:dyDescent="0.2">
      <c r="A1" t="s">
        <v>286</v>
      </c>
      <c r="B1" t="s">
        <v>287</v>
      </c>
      <c r="C1" t="s">
        <v>1</v>
      </c>
      <c r="D1" t="s">
        <v>0</v>
      </c>
      <c r="E1" t="s">
        <v>288</v>
      </c>
      <c r="F1" t="s">
        <v>289</v>
      </c>
      <c r="G1" t="s">
        <v>290</v>
      </c>
      <c r="H1" t="s">
        <v>291</v>
      </c>
      <c r="I1" t="s">
        <v>292</v>
      </c>
      <c r="J1" t="s">
        <v>293</v>
      </c>
      <c r="K1" t="s">
        <v>294</v>
      </c>
      <c r="L1" t="s">
        <v>295</v>
      </c>
      <c r="M1" t="s">
        <v>296</v>
      </c>
      <c r="N1" t="s">
        <v>22</v>
      </c>
      <c r="O1" t="s">
        <v>297</v>
      </c>
      <c r="P1" t="s">
        <v>321</v>
      </c>
      <c r="Q1" t="s">
        <v>322</v>
      </c>
    </row>
    <row r="2" spans="1:17" x14ac:dyDescent="0.2">
      <c r="A2" t="s">
        <v>298</v>
      </c>
      <c r="B2" s="39">
        <v>42970</v>
      </c>
      <c r="C2" t="s">
        <v>299</v>
      </c>
      <c r="D2" t="s">
        <v>300</v>
      </c>
      <c r="E2" s="39">
        <v>43235</v>
      </c>
      <c r="F2" s="39">
        <v>43236</v>
      </c>
      <c r="G2" t="s">
        <v>301</v>
      </c>
      <c r="H2" t="s">
        <v>302</v>
      </c>
      <c r="I2">
        <v>1000000</v>
      </c>
      <c r="J2">
        <v>644350016</v>
      </c>
      <c r="K2">
        <v>64435</v>
      </c>
      <c r="L2" t="s">
        <v>303</v>
      </c>
      <c r="N2" t="s">
        <v>304</v>
      </c>
      <c r="O2">
        <v>140</v>
      </c>
      <c r="P2">
        <v>1000000</v>
      </c>
      <c r="Q2" t="s">
        <v>323</v>
      </c>
    </row>
    <row r="3" spans="1:17" x14ac:dyDescent="0.2">
      <c r="A3" t="s">
        <v>298</v>
      </c>
      <c r="B3" s="39">
        <v>42961</v>
      </c>
      <c r="C3" t="s">
        <v>305</v>
      </c>
      <c r="D3" t="s">
        <v>306</v>
      </c>
      <c r="E3" s="39">
        <v>43235</v>
      </c>
      <c r="F3" s="39">
        <v>43236</v>
      </c>
      <c r="G3" t="s">
        <v>302</v>
      </c>
      <c r="H3" t="s">
        <v>301</v>
      </c>
      <c r="I3">
        <v>652950000</v>
      </c>
      <c r="J3">
        <v>1000000</v>
      </c>
      <c r="K3">
        <v>652.95000000000005</v>
      </c>
      <c r="L3" t="s">
        <v>303</v>
      </c>
      <c r="N3" t="s">
        <v>307</v>
      </c>
      <c r="O3">
        <v>140</v>
      </c>
      <c r="P3">
        <v>-1000000</v>
      </c>
      <c r="Q3" t="s">
        <v>323</v>
      </c>
    </row>
    <row r="4" spans="1:17" x14ac:dyDescent="0.2">
      <c r="A4" t="s">
        <v>308</v>
      </c>
      <c r="B4" s="39">
        <v>42961</v>
      </c>
      <c r="C4" t="s">
        <v>305</v>
      </c>
      <c r="D4" t="s">
        <v>309</v>
      </c>
      <c r="E4" s="39">
        <v>43235</v>
      </c>
      <c r="F4" s="39">
        <v>43236</v>
      </c>
      <c r="G4" t="s">
        <v>302</v>
      </c>
      <c r="H4" t="s">
        <v>301</v>
      </c>
      <c r="I4">
        <v>1958850048</v>
      </c>
      <c r="J4">
        <v>3000000</v>
      </c>
      <c r="K4">
        <v>652.95000000000005</v>
      </c>
      <c r="L4" t="s">
        <v>303</v>
      </c>
      <c r="N4" t="s">
        <v>307</v>
      </c>
      <c r="O4">
        <v>140</v>
      </c>
      <c r="P4">
        <v>-3000000</v>
      </c>
      <c r="Q4" t="s">
        <v>323</v>
      </c>
    </row>
    <row r="5" spans="1:17" x14ac:dyDescent="0.2">
      <c r="A5" t="s">
        <v>308</v>
      </c>
      <c r="B5" s="39">
        <v>42970</v>
      </c>
      <c r="C5" t="s">
        <v>299</v>
      </c>
      <c r="D5" t="s">
        <v>300</v>
      </c>
      <c r="E5" s="39">
        <v>43235</v>
      </c>
      <c r="F5" s="39">
        <v>43236</v>
      </c>
      <c r="G5" t="s">
        <v>301</v>
      </c>
      <c r="H5" t="s">
        <v>302</v>
      </c>
      <c r="I5">
        <v>3000000</v>
      </c>
      <c r="J5">
        <v>1933049984</v>
      </c>
      <c r="K5">
        <v>64435</v>
      </c>
      <c r="L5" t="s">
        <v>303</v>
      </c>
      <c r="N5" t="s">
        <v>304</v>
      </c>
      <c r="O5">
        <v>140</v>
      </c>
      <c r="P5">
        <v>3000000</v>
      </c>
      <c r="Q5" t="s">
        <v>323</v>
      </c>
    </row>
    <row r="6" spans="1:17" x14ac:dyDescent="0.2">
      <c r="A6" t="s">
        <v>298</v>
      </c>
      <c r="B6" s="39">
        <v>42971</v>
      </c>
      <c r="C6" t="s">
        <v>305</v>
      </c>
      <c r="D6" t="s">
        <v>310</v>
      </c>
      <c r="E6" s="39">
        <v>43236</v>
      </c>
      <c r="F6" s="39">
        <v>43237</v>
      </c>
      <c r="G6" t="s">
        <v>301</v>
      </c>
      <c r="H6" t="s">
        <v>302</v>
      </c>
      <c r="I6">
        <v>1000000</v>
      </c>
      <c r="J6">
        <v>641539968</v>
      </c>
      <c r="K6">
        <v>64154</v>
      </c>
      <c r="L6" t="s">
        <v>303</v>
      </c>
      <c r="N6" t="s">
        <v>311</v>
      </c>
      <c r="O6">
        <v>141</v>
      </c>
      <c r="P6">
        <v>1000000</v>
      </c>
      <c r="Q6" t="s">
        <v>323</v>
      </c>
    </row>
    <row r="7" spans="1:17" x14ac:dyDescent="0.2">
      <c r="A7" t="s">
        <v>298</v>
      </c>
      <c r="B7" s="39">
        <v>42963</v>
      </c>
      <c r="C7" t="s">
        <v>305</v>
      </c>
      <c r="D7" t="s">
        <v>312</v>
      </c>
      <c r="E7" s="39">
        <v>43236</v>
      </c>
      <c r="F7" s="39">
        <v>43237</v>
      </c>
      <c r="G7" t="s">
        <v>302</v>
      </c>
      <c r="H7" t="s">
        <v>301</v>
      </c>
      <c r="I7">
        <v>645000000</v>
      </c>
      <c r="J7">
        <v>1000000</v>
      </c>
      <c r="K7">
        <v>649.3499755859375</v>
      </c>
      <c r="L7" t="s">
        <v>303</v>
      </c>
      <c r="N7" t="s">
        <v>313</v>
      </c>
      <c r="O7">
        <v>141</v>
      </c>
      <c r="P7">
        <v>-1000000</v>
      </c>
      <c r="Q7" t="s">
        <v>323</v>
      </c>
    </row>
    <row r="8" spans="1:17" x14ac:dyDescent="0.2">
      <c r="A8" t="s">
        <v>308</v>
      </c>
      <c r="B8" s="39">
        <v>42963</v>
      </c>
      <c r="C8" t="s">
        <v>305</v>
      </c>
      <c r="D8" t="s">
        <v>312</v>
      </c>
      <c r="E8" s="39">
        <v>43236</v>
      </c>
      <c r="F8" s="39">
        <v>43237</v>
      </c>
      <c r="G8" t="s">
        <v>302</v>
      </c>
      <c r="H8" t="s">
        <v>301</v>
      </c>
      <c r="I8">
        <v>1948050048</v>
      </c>
      <c r="J8">
        <v>3000000</v>
      </c>
      <c r="K8">
        <v>649.3499755859375</v>
      </c>
      <c r="L8" t="s">
        <v>303</v>
      </c>
      <c r="N8" t="s">
        <v>313</v>
      </c>
      <c r="O8">
        <v>141</v>
      </c>
      <c r="P8">
        <v>-3000000</v>
      </c>
      <c r="Q8" t="s">
        <v>323</v>
      </c>
    </row>
    <row r="9" spans="1:17" x14ac:dyDescent="0.2">
      <c r="A9" t="s">
        <v>308</v>
      </c>
      <c r="B9" s="39">
        <v>42971</v>
      </c>
      <c r="C9" t="s">
        <v>305</v>
      </c>
      <c r="D9" t="s">
        <v>310</v>
      </c>
      <c r="E9" s="39">
        <v>43236</v>
      </c>
      <c r="F9" s="39">
        <v>43237</v>
      </c>
      <c r="G9" t="s">
        <v>301</v>
      </c>
      <c r="H9" t="s">
        <v>302</v>
      </c>
      <c r="I9">
        <v>3000000</v>
      </c>
      <c r="J9">
        <v>1924620032</v>
      </c>
      <c r="K9">
        <v>64154</v>
      </c>
      <c r="L9" t="s">
        <v>303</v>
      </c>
      <c r="N9" t="s">
        <v>311</v>
      </c>
      <c r="O9">
        <v>141</v>
      </c>
      <c r="P9">
        <v>3000000</v>
      </c>
      <c r="Q9" t="s">
        <v>323</v>
      </c>
    </row>
    <row r="10" spans="1:17" x14ac:dyDescent="0.2">
      <c r="A10" t="s">
        <v>314</v>
      </c>
      <c r="B10" s="39">
        <v>43096</v>
      </c>
      <c r="C10" t="s">
        <v>315</v>
      </c>
      <c r="D10" t="s">
        <v>316</v>
      </c>
      <c r="E10" s="39">
        <v>43445</v>
      </c>
      <c r="F10" s="39">
        <v>43446</v>
      </c>
      <c r="G10" t="s">
        <v>302</v>
      </c>
      <c r="H10" t="s">
        <v>301</v>
      </c>
      <c r="I10">
        <v>74364000</v>
      </c>
      <c r="J10">
        <v>120000</v>
      </c>
      <c r="K10">
        <v>619.70001220703125</v>
      </c>
      <c r="L10" t="s">
        <v>303</v>
      </c>
      <c r="N10" t="s">
        <v>317</v>
      </c>
      <c r="O10">
        <v>350</v>
      </c>
      <c r="P10">
        <v>-120000</v>
      </c>
      <c r="Q10" t="s">
        <v>323</v>
      </c>
    </row>
    <row r="11" spans="1:17" x14ac:dyDescent="0.2">
      <c r="A11" t="s">
        <v>314</v>
      </c>
      <c r="B11" s="39">
        <v>43080</v>
      </c>
      <c r="C11" t="s">
        <v>318</v>
      </c>
      <c r="D11" t="s">
        <v>319</v>
      </c>
      <c r="E11" s="39">
        <v>43445</v>
      </c>
      <c r="F11" s="39">
        <v>43446</v>
      </c>
      <c r="G11" t="s">
        <v>301</v>
      </c>
      <c r="H11" t="s">
        <v>302</v>
      </c>
      <c r="I11">
        <v>2500000</v>
      </c>
      <c r="J11">
        <v>1651000064</v>
      </c>
      <c r="K11">
        <v>660.4000244140625</v>
      </c>
      <c r="L11" t="s">
        <v>303</v>
      </c>
      <c r="N11" t="s">
        <v>320</v>
      </c>
      <c r="O11">
        <v>350</v>
      </c>
      <c r="P11">
        <v>2500000</v>
      </c>
      <c r="Q11" t="s">
        <v>323</v>
      </c>
    </row>
    <row r="12" spans="1:17" x14ac:dyDescent="0.2">
      <c r="A12" t="s">
        <v>314</v>
      </c>
      <c r="B12" s="39">
        <v>43083</v>
      </c>
      <c r="C12" t="s">
        <v>318</v>
      </c>
      <c r="D12" t="s">
        <v>316</v>
      </c>
      <c r="E12" s="39">
        <v>43445</v>
      </c>
      <c r="F12" s="39">
        <v>43446</v>
      </c>
      <c r="G12" t="s">
        <v>302</v>
      </c>
      <c r="H12" t="s">
        <v>301</v>
      </c>
      <c r="I12">
        <v>642800000</v>
      </c>
      <c r="J12">
        <v>1000000</v>
      </c>
      <c r="K12">
        <v>642.79998779296875</v>
      </c>
      <c r="L12" t="s">
        <v>303</v>
      </c>
      <c r="N12" t="s">
        <v>317</v>
      </c>
      <c r="O12">
        <v>350</v>
      </c>
      <c r="P12">
        <v>-1000000</v>
      </c>
      <c r="Q12" t="s">
        <v>323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1AEFA-60F6-493B-8989-63315659378A}">
  <sheetPr codeName="Hoja111"/>
  <dimension ref="A1:G4"/>
  <sheetViews>
    <sheetView workbookViewId="0">
      <selection activeCell="D10" sqref="D10"/>
    </sheetView>
  </sheetViews>
  <sheetFormatPr baseColWidth="10" defaultRowHeight="14.25" x14ac:dyDescent="0.2"/>
  <sheetData>
    <row r="1" spans="1:7" x14ac:dyDescent="0.2">
      <c r="A1" t="s">
        <v>289</v>
      </c>
      <c r="B1" t="s">
        <v>322</v>
      </c>
      <c r="C1" t="s">
        <v>297</v>
      </c>
      <c r="D1" t="s">
        <v>324</v>
      </c>
      <c r="E1" t="s">
        <v>314</v>
      </c>
      <c r="F1" t="s">
        <v>298</v>
      </c>
      <c r="G1" t="s">
        <v>308</v>
      </c>
    </row>
    <row r="2" spans="1:7" x14ac:dyDescent="0.2">
      <c r="A2" s="39">
        <v>43236</v>
      </c>
      <c r="B2" t="s">
        <v>323</v>
      </c>
      <c r="C2">
        <v>140</v>
      </c>
      <c r="D2">
        <v>0</v>
      </c>
      <c r="E2">
        <v>0</v>
      </c>
      <c r="F2">
        <v>0</v>
      </c>
      <c r="G2">
        <v>0</v>
      </c>
    </row>
    <row r="3" spans="1:7" x14ac:dyDescent="0.2">
      <c r="A3" s="39">
        <v>43237</v>
      </c>
      <c r="B3" t="s">
        <v>323</v>
      </c>
      <c r="C3">
        <v>141</v>
      </c>
      <c r="D3">
        <v>0</v>
      </c>
      <c r="E3">
        <v>0</v>
      </c>
      <c r="F3">
        <v>0</v>
      </c>
      <c r="G3">
        <v>0</v>
      </c>
    </row>
    <row r="4" spans="1:7" x14ac:dyDescent="0.2">
      <c r="A4" s="39">
        <v>43446</v>
      </c>
      <c r="B4" t="s">
        <v>323</v>
      </c>
      <c r="C4">
        <v>350</v>
      </c>
      <c r="D4">
        <v>0</v>
      </c>
      <c r="E4">
        <v>1380000</v>
      </c>
      <c r="F4">
        <v>0</v>
      </c>
      <c r="G4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"/>
  <dimension ref="A1:Z61"/>
  <sheetViews>
    <sheetView topLeftCell="I1" workbookViewId="0">
      <selection activeCell="Z1" sqref="Z1:Z1048576"/>
    </sheetView>
  </sheetViews>
  <sheetFormatPr baseColWidth="10" defaultRowHeight="14.25" x14ac:dyDescent="0.2"/>
  <cols>
    <col min="2" max="2" width="13.875" customWidth="1"/>
    <col min="4" max="4" width="21.75" customWidth="1"/>
    <col min="5" max="5" width="11.625" customWidth="1"/>
    <col min="6" max="6" width="8.375" customWidth="1"/>
    <col min="7" max="7" width="17" customWidth="1"/>
    <col min="8" max="8" width="13.125" bestFit="1" customWidth="1"/>
    <col min="9" max="9" width="16.75" bestFit="1" customWidth="1"/>
    <col min="10" max="10" width="11.875" bestFit="1" customWidth="1"/>
    <col min="11" max="11" width="15.25" bestFit="1" customWidth="1"/>
    <col min="12" max="12" width="13.75" bestFit="1" customWidth="1"/>
    <col min="13" max="13" width="12" bestFit="1" customWidth="1"/>
    <col min="14" max="14" width="8.875" bestFit="1" customWidth="1"/>
    <col min="15" max="15" width="7.5" bestFit="1" customWidth="1"/>
    <col min="16" max="16" width="7.625" bestFit="1" customWidth="1"/>
    <col min="17" max="17" width="8.125" bestFit="1" customWidth="1"/>
    <col min="18" max="18" width="11.875" bestFit="1" customWidth="1"/>
    <col min="19" max="19" width="6.875" customWidth="1"/>
    <col min="20" max="20" width="7.625" customWidth="1"/>
    <col min="21" max="21" width="7.875" customWidth="1"/>
    <col min="22" max="22" width="8.5" customWidth="1"/>
    <col min="23" max="23" width="9.375" customWidth="1"/>
    <col min="24" max="24" width="9.875" customWidth="1"/>
    <col min="25" max="25" width="8.5" customWidth="1"/>
    <col min="26" max="26" width="9.75" customWidth="1"/>
  </cols>
  <sheetData>
    <row r="1" spans="1:26" x14ac:dyDescent="0.2">
      <c r="A1" s="1" t="s">
        <v>23</v>
      </c>
      <c r="B1" s="1" t="s">
        <v>1</v>
      </c>
      <c r="C1" s="1" t="s">
        <v>0</v>
      </c>
      <c r="D1" s="1" t="s">
        <v>12</v>
      </c>
      <c r="E1" s="1" t="s">
        <v>10</v>
      </c>
      <c r="F1" s="1" t="s">
        <v>15</v>
      </c>
      <c r="G1" s="1" t="s">
        <v>21</v>
      </c>
      <c r="H1" s="1" t="s">
        <v>13</v>
      </c>
      <c r="I1" s="1" t="s">
        <v>14</v>
      </c>
      <c r="J1" s="1" t="s">
        <v>19</v>
      </c>
      <c r="K1" s="1" t="s">
        <v>20</v>
      </c>
      <c r="L1" s="1" t="s">
        <v>11</v>
      </c>
      <c r="M1" s="7" t="s">
        <v>148</v>
      </c>
      <c r="N1" s="1" t="s">
        <v>22</v>
      </c>
      <c r="O1" s="1" t="s">
        <v>16</v>
      </c>
      <c r="P1" s="1" t="s">
        <v>2</v>
      </c>
      <c r="Q1" s="1" t="s">
        <v>3</v>
      </c>
      <c r="R1" s="1" t="s">
        <v>18</v>
      </c>
      <c r="S1" s="1" t="s">
        <v>4</v>
      </c>
      <c r="T1" s="1" t="s">
        <v>5</v>
      </c>
      <c r="U1" s="1" t="s">
        <v>6</v>
      </c>
      <c r="V1" s="1" t="s">
        <v>7</v>
      </c>
      <c r="W1" s="1" t="s">
        <v>17</v>
      </c>
      <c r="X1" s="1" t="s">
        <v>8</v>
      </c>
      <c r="Y1" s="1" t="s">
        <v>9</v>
      </c>
      <c r="Z1" s="111" t="s">
        <v>349</v>
      </c>
    </row>
    <row r="2" spans="1:26" x14ac:dyDescent="0.2">
      <c r="A2" s="2">
        <v>43060</v>
      </c>
      <c r="B2" s="1" t="s">
        <v>24</v>
      </c>
      <c r="C2" s="1" t="s">
        <v>24</v>
      </c>
      <c r="D2" s="1" t="s">
        <v>71</v>
      </c>
      <c r="E2" s="1" t="s">
        <v>125</v>
      </c>
      <c r="F2" s="1" t="s">
        <v>132</v>
      </c>
      <c r="G2" s="1" t="s">
        <v>118</v>
      </c>
      <c r="H2" s="1" t="s">
        <v>119</v>
      </c>
      <c r="I2" s="1" t="str">
        <f>+H2</f>
        <v>BB+</v>
      </c>
      <c r="J2" s="1"/>
      <c r="K2" s="1"/>
      <c r="L2" s="1"/>
      <c r="M2" s="7"/>
      <c r="N2" s="1"/>
      <c r="O2" s="1"/>
      <c r="P2" s="5">
        <v>1.29E-2</v>
      </c>
      <c r="Q2" s="3">
        <v>2.29E-2</v>
      </c>
      <c r="R2" s="5">
        <f>+P2-Q2</f>
        <v>-0.01</v>
      </c>
      <c r="S2" s="1">
        <v>0.52190089733877887</v>
      </c>
      <c r="T2" s="1"/>
      <c r="U2" s="1"/>
      <c r="V2" s="1">
        <v>9.2280703503549084</v>
      </c>
      <c r="W2" s="1">
        <f>+V2*P2</f>
        <v>0.11904210751957832</v>
      </c>
      <c r="X2" s="1">
        <v>1000</v>
      </c>
      <c r="Y2" s="1">
        <v>1000</v>
      </c>
      <c r="Z2" s="1">
        <f>+V2*Q2</f>
        <v>0.21132281102312742</v>
      </c>
    </row>
    <row r="3" spans="1:26" x14ac:dyDescent="0.2">
      <c r="A3" s="2">
        <f>+A2</f>
        <v>43060</v>
      </c>
      <c r="B3" s="1" t="s">
        <v>25</v>
      </c>
      <c r="C3" s="1" t="s">
        <v>25</v>
      </c>
      <c r="D3" s="1" t="s">
        <v>72</v>
      </c>
      <c r="E3" s="1" t="s">
        <v>125</v>
      </c>
      <c r="F3" s="1" t="s">
        <v>132</v>
      </c>
      <c r="G3" s="1" t="s">
        <v>118</v>
      </c>
      <c r="H3" s="1" t="s">
        <v>119</v>
      </c>
      <c r="I3" s="15" t="str">
        <f t="shared" ref="I3:I48" si="0">+H3</f>
        <v>BB+</v>
      </c>
      <c r="J3" s="1"/>
      <c r="K3" s="1"/>
      <c r="L3" s="1"/>
      <c r="M3" s="7"/>
      <c r="N3" s="1"/>
      <c r="O3" s="1"/>
      <c r="P3" s="5">
        <v>5.4999999999999997E-3</v>
      </c>
      <c r="Q3" s="3">
        <v>5.4999999999999997E-3</v>
      </c>
      <c r="R3" s="5">
        <f t="shared" ref="R3:R48" si="1">+P3-Q3</f>
        <v>0</v>
      </c>
      <c r="S3" s="15">
        <v>0.30341645741523393</v>
      </c>
      <c r="T3" s="1"/>
      <c r="U3" s="1"/>
      <c r="V3" s="15">
        <v>8.9444999592563654</v>
      </c>
      <c r="W3" s="111">
        <f t="shared" ref="W3:W48" si="2">+V3*P3</f>
        <v>4.9194749775910006E-2</v>
      </c>
      <c r="X3" s="29">
        <v>1000</v>
      </c>
      <c r="Y3" s="29">
        <v>1000</v>
      </c>
      <c r="Z3" s="111">
        <f t="shared" ref="Z3:Z48" si="3">+V3*Q3</f>
        <v>4.9194749775910006E-2</v>
      </c>
    </row>
    <row r="4" spans="1:26" x14ac:dyDescent="0.2">
      <c r="A4" s="2">
        <f t="shared" ref="A4:A48" si="4">+A3</f>
        <v>43060</v>
      </c>
      <c r="B4" s="1" t="s">
        <v>26</v>
      </c>
      <c r="C4" s="1" t="s">
        <v>26</v>
      </c>
      <c r="D4" s="1" t="s">
        <v>73</v>
      </c>
      <c r="E4" s="1" t="s">
        <v>125</v>
      </c>
      <c r="F4" s="1" t="s">
        <v>132</v>
      </c>
      <c r="G4" s="1" t="s">
        <v>118</v>
      </c>
      <c r="H4" s="1" t="s">
        <v>119</v>
      </c>
      <c r="I4" s="15" t="str">
        <f t="shared" si="0"/>
        <v>BB+</v>
      </c>
      <c r="J4" s="1"/>
      <c r="K4" s="1"/>
      <c r="L4" s="1"/>
      <c r="M4" s="7"/>
      <c r="N4" s="1"/>
      <c r="O4" s="1"/>
      <c r="P4" s="5">
        <v>1.26E-2</v>
      </c>
      <c r="Q4" s="3">
        <v>1.26E-2</v>
      </c>
      <c r="R4" s="5">
        <f t="shared" si="1"/>
        <v>0</v>
      </c>
      <c r="S4" s="15">
        <v>0.4258749040310672</v>
      </c>
      <c r="T4" s="1"/>
      <c r="U4" s="1"/>
      <c r="V4" s="15">
        <v>9.7361017151287097</v>
      </c>
      <c r="W4" s="111">
        <f t="shared" si="2"/>
        <v>0.12267488161062175</v>
      </c>
      <c r="X4" s="29">
        <v>1000</v>
      </c>
      <c r="Y4" s="29">
        <v>1000</v>
      </c>
      <c r="Z4" s="111">
        <f t="shared" si="3"/>
        <v>0.12267488161062175</v>
      </c>
    </row>
    <row r="5" spans="1:26" x14ac:dyDescent="0.2">
      <c r="A5" s="2">
        <f t="shared" si="4"/>
        <v>43060</v>
      </c>
      <c r="B5" s="1" t="s">
        <v>27</v>
      </c>
      <c r="C5" s="1" t="s">
        <v>27</v>
      </c>
      <c r="D5" s="1" t="s">
        <v>74</v>
      </c>
      <c r="E5" s="1" t="s">
        <v>126</v>
      </c>
      <c r="F5" s="1" t="s">
        <v>133</v>
      </c>
      <c r="G5" s="1" t="s">
        <v>118</v>
      </c>
      <c r="H5" s="1" t="s">
        <v>120</v>
      </c>
      <c r="I5" s="15" t="str">
        <f t="shared" si="0"/>
        <v>A-</v>
      </c>
      <c r="J5" s="1"/>
      <c r="K5" s="1"/>
      <c r="L5" s="1"/>
      <c r="M5" s="7"/>
      <c r="N5" s="1"/>
      <c r="O5" s="1"/>
      <c r="P5" s="5">
        <v>3.1600000000000003E-2</v>
      </c>
      <c r="Q5" s="3">
        <v>3.1600000000000003E-2</v>
      </c>
      <c r="R5" s="5">
        <f t="shared" si="1"/>
        <v>0</v>
      </c>
      <c r="S5" s="15">
        <v>0.59157884772645208</v>
      </c>
      <c r="T5" s="1"/>
      <c r="U5" s="1"/>
      <c r="V5" s="15">
        <v>4.7855150252809731</v>
      </c>
      <c r="W5" s="111">
        <f t="shared" si="2"/>
        <v>0.15122227479887876</v>
      </c>
      <c r="X5" s="29">
        <v>1000</v>
      </c>
      <c r="Y5" s="29">
        <v>1000</v>
      </c>
      <c r="Z5" s="111">
        <f t="shared" si="3"/>
        <v>0.15122227479887876</v>
      </c>
    </row>
    <row r="6" spans="1:26" x14ac:dyDescent="0.2">
      <c r="A6" s="2">
        <f t="shared" si="4"/>
        <v>43060</v>
      </c>
      <c r="B6" s="1" t="s">
        <v>28</v>
      </c>
      <c r="C6" s="1" t="s">
        <v>28</v>
      </c>
      <c r="D6" s="1" t="s">
        <v>75</v>
      </c>
      <c r="E6" s="1" t="s">
        <v>126</v>
      </c>
      <c r="F6" s="1" t="s">
        <v>133</v>
      </c>
      <c r="G6" s="1" t="s">
        <v>118</v>
      </c>
      <c r="H6" s="1" t="s">
        <v>120</v>
      </c>
      <c r="I6" s="15" t="str">
        <f t="shared" si="0"/>
        <v>A-</v>
      </c>
      <c r="J6" s="1"/>
      <c r="K6" s="1"/>
      <c r="L6" s="1"/>
      <c r="M6" s="7"/>
      <c r="N6" s="1"/>
      <c r="O6" s="1"/>
      <c r="P6" s="5">
        <v>3.7000000000000002E-3</v>
      </c>
      <c r="Q6" s="3">
        <v>3.7000000000000002E-3</v>
      </c>
      <c r="R6" s="5">
        <f t="shared" si="1"/>
        <v>0</v>
      </c>
      <c r="S6" s="15">
        <v>0.23577439494905328</v>
      </c>
      <c r="T6" s="1"/>
      <c r="U6" s="1"/>
      <c r="V6" s="15">
        <v>9.1243786527222817</v>
      </c>
      <c r="W6" s="111">
        <f t="shared" si="2"/>
        <v>3.3760201015072447E-2</v>
      </c>
      <c r="X6" s="29">
        <v>1000</v>
      </c>
      <c r="Y6" s="29">
        <v>1000</v>
      </c>
      <c r="Z6" s="111">
        <f t="shared" si="3"/>
        <v>3.3760201015072447E-2</v>
      </c>
    </row>
    <row r="7" spans="1:26" x14ac:dyDescent="0.2">
      <c r="A7" s="2">
        <f t="shared" si="4"/>
        <v>43060</v>
      </c>
      <c r="B7" s="1" t="s">
        <v>29</v>
      </c>
      <c r="C7" s="1" t="s">
        <v>29</v>
      </c>
      <c r="D7" s="1" t="s">
        <v>76</v>
      </c>
      <c r="E7" s="1" t="s">
        <v>126</v>
      </c>
      <c r="F7" s="1" t="s">
        <v>133</v>
      </c>
      <c r="G7" s="1" t="s">
        <v>118</v>
      </c>
      <c r="H7" s="1" t="s">
        <v>120</v>
      </c>
      <c r="I7" s="15" t="str">
        <f t="shared" si="0"/>
        <v>A-</v>
      </c>
      <c r="J7" s="1"/>
      <c r="K7" s="1"/>
      <c r="L7" s="1"/>
      <c r="M7" s="7"/>
      <c r="N7" s="1"/>
      <c r="O7" s="1"/>
      <c r="P7" s="5">
        <v>2.75E-2</v>
      </c>
      <c r="Q7" s="3">
        <v>2.75E-2</v>
      </c>
      <c r="R7" s="5">
        <f t="shared" si="1"/>
        <v>0</v>
      </c>
      <c r="S7" s="15">
        <v>0.49171082424035928</v>
      </c>
      <c r="T7" s="1"/>
      <c r="U7" s="1"/>
      <c r="V7" s="15">
        <v>5.384734266940284</v>
      </c>
      <c r="W7" s="111">
        <f t="shared" si="2"/>
        <v>0.14808019234085781</v>
      </c>
      <c r="X7" s="29">
        <v>1000</v>
      </c>
      <c r="Y7" s="29">
        <v>1000</v>
      </c>
      <c r="Z7" s="111">
        <f t="shared" si="3"/>
        <v>0.14808019234085781</v>
      </c>
    </row>
    <row r="8" spans="1:26" x14ac:dyDescent="0.2">
      <c r="A8" s="2">
        <f t="shared" si="4"/>
        <v>43060</v>
      </c>
      <c r="B8" s="1" t="s">
        <v>30</v>
      </c>
      <c r="C8" s="1" t="s">
        <v>30</v>
      </c>
      <c r="D8" s="1" t="s">
        <v>77</v>
      </c>
      <c r="E8" s="1" t="s">
        <v>126</v>
      </c>
      <c r="F8" s="1" t="s">
        <v>133</v>
      </c>
      <c r="G8" s="1" t="s">
        <v>118</v>
      </c>
      <c r="H8" s="1" t="s">
        <v>120</v>
      </c>
      <c r="I8" s="15" t="str">
        <f t="shared" si="0"/>
        <v>A-</v>
      </c>
      <c r="J8" s="1"/>
      <c r="K8" s="1"/>
      <c r="L8" s="1"/>
      <c r="M8" s="7"/>
      <c r="N8" s="1"/>
      <c r="O8" s="1"/>
      <c r="P8" s="5">
        <v>1.29E-2</v>
      </c>
      <c r="Q8" s="3">
        <v>1.29E-2</v>
      </c>
      <c r="R8" s="5">
        <f t="shared" si="1"/>
        <v>0</v>
      </c>
      <c r="S8" s="15">
        <v>0.2123482546943205</v>
      </c>
      <c r="T8" s="1"/>
      <c r="U8" s="1"/>
      <c r="V8" s="15">
        <v>2.7698097742694872</v>
      </c>
      <c r="W8" s="111">
        <f t="shared" si="2"/>
        <v>3.5730546088076381E-2</v>
      </c>
      <c r="X8" s="29">
        <v>1000</v>
      </c>
      <c r="Y8" s="29">
        <v>1000</v>
      </c>
      <c r="Z8" s="111">
        <f t="shared" si="3"/>
        <v>3.5730546088076381E-2</v>
      </c>
    </row>
    <row r="9" spans="1:26" x14ac:dyDescent="0.2">
      <c r="A9" s="2">
        <f t="shared" si="4"/>
        <v>43060</v>
      </c>
      <c r="B9" s="1" t="s">
        <v>31</v>
      </c>
      <c r="C9" s="1" t="s">
        <v>31</v>
      </c>
      <c r="D9" s="1" t="s">
        <v>78</v>
      </c>
      <c r="E9" s="1" t="s">
        <v>126</v>
      </c>
      <c r="F9" s="1" t="s">
        <v>133</v>
      </c>
      <c r="G9" s="1" t="s">
        <v>118</v>
      </c>
      <c r="H9" s="1" t="s">
        <v>120</v>
      </c>
      <c r="I9" s="15" t="str">
        <f t="shared" si="0"/>
        <v>A-</v>
      </c>
      <c r="J9" s="1"/>
      <c r="K9" s="1"/>
      <c r="L9" s="1"/>
      <c r="M9" s="7"/>
      <c r="N9" s="1"/>
      <c r="O9" s="1"/>
      <c r="P9" s="5">
        <v>1.4200000000000001E-2</v>
      </c>
      <c r="Q9" s="3">
        <v>1.4200000000000001E-2</v>
      </c>
      <c r="R9" s="5">
        <f t="shared" si="1"/>
        <v>0</v>
      </c>
      <c r="S9" s="15">
        <v>0.8811747976335973</v>
      </c>
      <c r="T9" s="1"/>
      <c r="U9" s="1"/>
      <c r="V9" s="15">
        <v>7.9957846600904698</v>
      </c>
      <c r="W9" s="111">
        <f t="shared" si="2"/>
        <v>0.11354014217328467</v>
      </c>
      <c r="X9" s="29">
        <v>1000</v>
      </c>
      <c r="Y9" s="29">
        <v>1000</v>
      </c>
      <c r="Z9" s="111">
        <f t="shared" si="3"/>
        <v>0.11354014217328467</v>
      </c>
    </row>
    <row r="10" spans="1:26" x14ac:dyDescent="0.2">
      <c r="A10" s="2">
        <f t="shared" si="4"/>
        <v>43060</v>
      </c>
      <c r="B10" s="1" t="s">
        <v>32</v>
      </c>
      <c r="C10" s="1" t="s">
        <v>32</v>
      </c>
      <c r="D10" s="1" t="s">
        <v>79</v>
      </c>
      <c r="E10" s="1" t="s">
        <v>126</v>
      </c>
      <c r="F10" s="1" t="s">
        <v>133</v>
      </c>
      <c r="G10" s="1" t="s">
        <v>118</v>
      </c>
      <c r="H10" s="1" t="s">
        <v>120</v>
      </c>
      <c r="I10" s="15" t="str">
        <f t="shared" si="0"/>
        <v>A-</v>
      </c>
      <c r="J10" s="1"/>
      <c r="K10" s="1"/>
      <c r="L10" s="1"/>
      <c r="M10" s="7"/>
      <c r="N10" s="1"/>
      <c r="O10" s="1"/>
      <c r="P10" s="5">
        <v>2.41E-2</v>
      </c>
      <c r="Q10" s="3">
        <v>2.41E-2</v>
      </c>
      <c r="R10" s="5">
        <f t="shared" si="1"/>
        <v>0</v>
      </c>
      <c r="S10" s="15">
        <v>0.30163274318009814</v>
      </c>
      <c r="T10" s="1"/>
      <c r="U10" s="1"/>
      <c r="V10" s="15">
        <v>4.9007825424364269</v>
      </c>
      <c r="W10" s="111">
        <f t="shared" si="2"/>
        <v>0.11810885927271789</v>
      </c>
      <c r="X10" s="29">
        <v>1000</v>
      </c>
      <c r="Y10" s="29">
        <v>1000</v>
      </c>
      <c r="Z10" s="111">
        <f t="shared" si="3"/>
        <v>0.11810885927271789</v>
      </c>
    </row>
    <row r="11" spans="1:26" x14ac:dyDescent="0.2">
      <c r="A11" s="2">
        <f t="shared" si="4"/>
        <v>43060</v>
      </c>
      <c r="B11" s="1" t="s">
        <v>33</v>
      </c>
      <c r="C11" s="1" t="s">
        <v>33</v>
      </c>
      <c r="D11" s="1" t="s">
        <v>80</v>
      </c>
      <c r="E11" s="1" t="s">
        <v>126</v>
      </c>
      <c r="F11" s="1" t="s">
        <v>133</v>
      </c>
      <c r="G11" s="1" t="s">
        <v>118</v>
      </c>
      <c r="H11" s="1" t="s">
        <v>120</v>
      </c>
      <c r="I11" s="15" t="str">
        <f t="shared" si="0"/>
        <v>A-</v>
      </c>
      <c r="J11" s="1"/>
      <c r="K11" s="1"/>
      <c r="L11" s="1"/>
      <c r="M11" s="7"/>
      <c r="N11" s="1"/>
      <c r="O11" s="1"/>
      <c r="P11" s="5">
        <v>4.6199999999999998E-2</v>
      </c>
      <c r="Q11" s="3">
        <v>4.6199999999999998E-2</v>
      </c>
      <c r="R11" s="5">
        <f t="shared" si="1"/>
        <v>0</v>
      </c>
      <c r="S11" s="15">
        <v>0.43191315744419645</v>
      </c>
      <c r="T11" s="1"/>
      <c r="U11" s="1"/>
      <c r="V11" s="15">
        <v>9.8574380770588412</v>
      </c>
      <c r="W11" s="111">
        <f t="shared" si="2"/>
        <v>0.45541363916011846</v>
      </c>
      <c r="X11" s="29">
        <v>1000</v>
      </c>
      <c r="Y11" s="29">
        <v>1000</v>
      </c>
      <c r="Z11" s="111">
        <f t="shared" si="3"/>
        <v>0.45541363916011846</v>
      </c>
    </row>
    <row r="12" spans="1:26" x14ac:dyDescent="0.2">
      <c r="A12" s="2">
        <f t="shared" si="4"/>
        <v>43060</v>
      </c>
      <c r="B12" s="1" t="s">
        <v>34</v>
      </c>
      <c r="C12" s="1" t="s">
        <v>34</v>
      </c>
      <c r="D12" s="1" t="s">
        <v>81</v>
      </c>
      <c r="E12" s="1" t="s">
        <v>126</v>
      </c>
      <c r="F12" s="1" t="s">
        <v>133</v>
      </c>
      <c r="G12" s="1" t="s">
        <v>118</v>
      </c>
      <c r="H12" s="1" t="s">
        <v>120</v>
      </c>
      <c r="I12" s="15" t="str">
        <f t="shared" si="0"/>
        <v>A-</v>
      </c>
      <c r="J12" s="1"/>
      <c r="K12" s="1"/>
      <c r="L12" s="1"/>
      <c r="M12" s="7"/>
      <c r="N12" s="1"/>
      <c r="O12" s="1"/>
      <c r="P12" s="5">
        <v>3.3099999999999997E-2</v>
      </c>
      <c r="Q12" s="3">
        <v>3.3099999999999997E-2</v>
      </c>
      <c r="R12" s="5">
        <f t="shared" si="1"/>
        <v>0</v>
      </c>
      <c r="S12" s="15">
        <v>0.32928718159426273</v>
      </c>
      <c r="T12" s="1"/>
      <c r="U12" s="1"/>
      <c r="V12" s="15">
        <v>4.3164419274770296</v>
      </c>
      <c r="W12" s="111">
        <f t="shared" si="2"/>
        <v>0.14287422779948966</v>
      </c>
      <c r="X12" s="29">
        <v>1000</v>
      </c>
      <c r="Y12" s="29">
        <v>1000</v>
      </c>
      <c r="Z12" s="111">
        <f t="shared" si="3"/>
        <v>0.14287422779948966</v>
      </c>
    </row>
    <row r="13" spans="1:26" x14ac:dyDescent="0.2">
      <c r="A13" s="2">
        <f t="shared" si="4"/>
        <v>43060</v>
      </c>
      <c r="B13" s="1" t="s">
        <v>35</v>
      </c>
      <c r="C13" s="1" t="s">
        <v>35</v>
      </c>
      <c r="D13" s="1" t="s">
        <v>82</v>
      </c>
      <c r="E13" s="1" t="s">
        <v>126</v>
      </c>
      <c r="F13" s="1" t="s">
        <v>133</v>
      </c>
      <c r="G13" s="1" t="s">
        <v>118</v>
      </c>
      <c r="H13" s="1" t="s">
        <v>120</v>
      </c>
      <c r="I13" s="15" t="str">
        <f t="shared" si="0"/>
        <v>A-</v>
      </c>
      <c r="J13" s="1"/>
      <c r="K13" s="1"/>
      <c r="L13" s="1"/>
      <c r="M13" s="7"/>
      <c r="N13" s="1"/>
      <c r="O13" s="1"/>
      <c r="P13" s="5">
        <v>1.6E-2</v>
      </c>
      <c r="Q13" s="3">
        <v>1.6E-2</v>
      </c>
      <c r="R13" s="5">
        <f t="shared" si="1"/>
        <v>0</v>
      </c>
      <c r="S13" s="15">
        <v>0.8783020372490854</v>
      </c>
      <c r="T13" s="1"/>
      <c r="U13" s="1"/>
      <c r="V13" s="15">
        <v>9.9990938871643404</v>
      </c>
      <c r="W13" s="111">
        <f t="shared" si="2"/>
        <v>0.15998550219462945</v>
      </c>
      <c r="X13" s="29">
        <v>1000</v>
      </c>
      <c r="Y13" s="29">
        <v>1000</v>
      </c>
      <c r="Z13" s="111">
        <f t="shared" si="3"/>
        <v>0.15998550219462945</v>
      </c>
    </row>
    <row r="14" spans="1:26" x14ac:dyDescent="0.2">
      <c r="A14" s="2">
        <f t="shared" si="4"/>
        <v>43060</v>
      </c>
      <c r="B14" s="1" t="s">
        <v>36</v>
      </c>
      <c r="C14" s="1" t="s">
        <v>36</v>
      </c>
      <c r="D14" s="1" t="s">
        <v>83</v>
      </c>
      <c r="E14" s="1" t="s">
        <v>126</v>
      </c>
      <c r="F14" s="1" t="s">
        <v>133</v>
      </c>
      <c r="G14" s="1" t="s">
        <v>118</v>
      </c>
      <c r="H14" s="1" t="s">
        <v>120</v>
      </c>
      <c r="I14" s="15" t="str">
        <f t="shared" si="0"/>
        <v>A-</v>
      </c>
      <c r="J14" s="1"/>
      <c r="K14" s="1"/>
      <c r="L14" s="1"/>
      <c r="M14" s="7"/>
      <c r="N14" s="1"/>
      <c r="O14" s="1"/>
      <c r="P14" s="5">
        <v>4.0899999999999999E-2</v>
      </c>
      <c r="Q14" s="3">
        <v>4.0899999999999999E-2</v>
      </c>
      <c r="R14" s="5">
        <f t="shared" si="1"/>
        <v>0</v>
      </c>
      <c r="S14" s="15">
        <v>0.72144539179509082</v>
      </c>
      <c r="T14" s="1"/>
      <c r="U14" s="1"/>
      <c r="V14" s="15">
        <v>7.2829053690183283</v>
      </c>
      <c r="W14" s="111">
        <f t="shared" si="2"/>
        <v>0.29787082959284961</v>
      </c>
      <c r="X14" s="29">
        <v>1000</v>
      </c>
      <c r="Y14" s="29">
        <v>1000</v>
      </c>
      <c r="Z14" s="111">
        <f t="shared" si="3"/>
        <v>0.29787082959284961</v>
      </c>
    </row>
    <row r="15" spans="1:26" x14ac:dyDescent="0.2">
      <c r="A15" s="2">
        <f t="shared" si="4"/>
        <v>43060</v>
      </c>
      <c r="B15" s="1" t="s">
        <v>37</v>
      </c>
      <c r="C15" s="1" t="s">
        <v>37</v>
      </c>
      <c r="D15" s="1" t="s">
        <v>84</v>
      </c>
      <c r="E15" s="1" t="s">
        <v>126</v>
      </c>
      <c r="F15" s="1" t="s">
        <v>133</v>
      </c>
      <c r="G15" s="1" t="s">
        <v>118</v>
      </c>
      <c r="H15" s="1" t="s">
        <v>120</v>
      </c>
      <c r="I15" s="15" t="str">
        <f t="shared" si="0"/>
        <v>A-</v>
      </c>
      <c r="J15" s="1"/>
      <c r="K15" s="1"/>
      <c r="L15" s="1"/>
      <c r="M15" s="7"/>
      <c r="N15" s="1"/>
      <c r="O15" s="1"/>
      <c r="P15" s="5">
        <v>2.2100000000000002E-2</v>
      </c>
      <c r="Q15" s="3">
        <v>2.2100000000000002E-2</v>
      </c>
      <c r="R15" s="5">
        <f t="shared" si="1"/>
        <v>0</v>
      </c>
      <c r="S15" s="15">
        <v>0.13622352286590211</v>
      </c>
      <c r="T15" s="1"/>
      <c r="U15" s="1"/>
      <c r="V15" s="15">
        <v>8.3665672527033799</v>
      </c>
      <c r="W15" s="111">
        <f t="shared" si="2"/>
        <v>0.18490113628474472</v>
      </c>
      <c r="X15" s="29">
        <v>1000</v>
      </c>
      <c r="Y15" s="29">
        <v>1000</v>
      </c>
      <c r="Z15" s="111">
        <f t="shared" si="3"/>
        <v>0.18490113628474472</v>
      </c>
    </row>
    <row r="16" spans="1:26" x14ac:dyDescent="0.2">
      <c r="A16" s="2">
        <f t="shared" si="4"/>
        <v>43060</v>
      </c>
      <c r="B16" s="1" t="s">
        <v>38</v>
      </c>
      <c r="C16" s="1" t="s">
        <v>38</v>
      </c>
      <c r="D16" s="1" t="s">
        <v>85</v>
      </c>
      <c r="E16" s="1" t="s">
        <v>126</v>
      </c>
      <c r="F16" s="1" t="s">
        <v>133</v>
      </c>
      <c r="G16" s="1" t="s">
        <v>118</v>
      </c>
      <c r="H16" s="1" t="s">
        <v>120</v>
      </c>
      <c r="I16" s="15" t="str">
        <f t="shared" si="0"/>
        <v>A-</v>
      </c>
      <c r="J16" s="1"/>
      <c r="K16" s="1"/>
      <c r="L16" s="1"/>
      <c r="M16" s="7"/>
      <c r="N16" s="1"/>
      <c r="O16" s="1"/>
      <c r="P16" s="5">
        <v>2.3900000000000001E-2</v>
      </c>
      <c r="Q16" s="3">
        <v>2.3900000000000001E-2</v>
      </c>
      <c r="R16" s="5">
        <f t="shared" si="1"/>
        <v>0</v>
      </c>
      <c r="S16" s="15">
        <v>0.22439002071835679</v>
      </c>
      <c r="T16" s="1"/>
      <c r="U16" s="1"/>
      <c r="V16" s="15">
        <v>9.3868447745980923</v>
      </c>
      <c r="W16" s="111">
        <f t="shared" si="2"/>
        <v>0.22434559011289443</v>
      </c>
      <c r="X16" s="29">
        <v>1000</v>
      </c>
      <c r="Y16" s="29">
        <v>1000</v>
      </c>
      <c r="Z16" s="111">
        <f t="shared" si="3"/>
        <v>0.22434559011289443</v>
      </c>
    </row>
    <row r="17" spans="1:26" x14ac:dyDescent="0.2">
      <c r="A17" s="2">
        <f t="shared" si="4"/>
        <v>43060</v>
      </c>
      <c r="B17" s="1" t="s">
        <v>39</v>
      </c>
      <c r="C17" s="1" t="s">
        <v>39</v>
      </c>
      <c r="D17" s="1" t="s">
        <v>86</v>
      </c>
      <c r="E17" s="1" t="s">
        <v>126</v>
      </c>
      <c r="F17" s="1" t="s">
        <v>133</v>
      </c>
      <c r="G17" s="1" t="s">
        <v>118</v>
      </c>
      <c r="H17" s="1" t="s">
        <v>120</v>
      </c>
      <c r="I17" s="15" t="str">
        <f t="shared" si="0"/>
        <v>A-</v>
      </c>
      <c r="J17" s="1"/>
      <c r="K17" s="1"/>
      <c r="L17" s="1"/>
      <c r="M17" s="7"/>
      <c r="N17" s="1"/>
      <c r="O17" s="1"/>
      <c r="P17" s="5">
        <v>8.0000000000000004E-4</v>
      </c>
      <c r="Q17" s="3">
        <v>8.0000000000000004E-4</v>
      </c>
      <c r="R17" s="5">
        <f t="shared" si="1"/>
        <v>0</v>
      </c>
      <c r="S17" s="15">
        <v>0.76544648480349042</v>
      </c>
      <c r="T17" s="1"/>
      <c r="U17" s="1"/>
      <c r="V17" s="15">
        <v>0.46814809248580391</v>
      </c>
      <c r="W17" s="111">
        <f t="shared" si="2"/>
        <v>3.7451847398864316E-4</v>
      </c>
      <c r="X17" s="29">
        <v>1000</v>
      </c>
      <c r="Y17" s="29">
        <v>1000</v>
      </c>
      <c r="Z17" s="111">
        <f t="shared" si="3"/>
        <v>3.7451847398864316E-4</v>
      </c>
    </row>
    <row r="18" spans="1:26" x14ac:dyDescent="0.2">
      <c r="A18" s="2">
        <f t="shared" si="4"/>
        <v>43060</v>
      </c>
      <c r="B18" s="1" t="s">
        <v>40</v>
      </c>
      <c r="C18" s="1" t="s">
        <v>40</v>
      </c>
      <c r="D18" s="1" t="s">
        <v>87</v>
      </c>
      <c r="E18" s="1" t="s">
        <v>126</v>
      </c>
      <c r="F18" s="1" t="s">
        <v>133</v>
      </c>
      <c r="G18" s="1" t="s">
        <v>118</v>
      </c>
      <c r="H18" s="1" t="s">
        <v>120</v>
      </c>
      <c r="I18" s="15" t="str">
        <f t="shared" si="0"/>
        <v>A-</v>
      </c>
      <c r="J18" s="1"/>
      <c r="K18" s="1"/>
      <c r="L18" s="1"/>
      <c r="M18" s="7"/>
      <c r="N18" s="1"/>
      <c r="O18" s="1"/>
      <c r="P18" s="5">
        <v>1E-3</v>
      </c>
      <c r="Q18" s="3">
        <v>1E-3</v>
      </c>
      <c r="R18" s="5">
        <f t="shared" si="1"/>
        <v>0</v>
      </c>
      <c r="S18" s="15">
        <v>0.27808710505248446</v>
      </c>
      <c r="T18" s="1"/>
      <c r="U18" s="1"/>
      <c r="V18" s="15">
        <v>2.9129005510876316</v>
      </c>
      <c r="W18" s="111">
        <f t="shared" si="2"/>
        <v>2.9129005510876316E-3</v>
      </c>
      <c r="X18" s="29">
        <v>1000</v>
      </c>
      <c r="Y18" s="29">
        <v>1000</v>
      </c>
      <c r="Z18" s="111">
        <f t="shared" si="3"/>
        <v>2.9129005510876316E-3</v>
      </c>
    </row>
    <row r="19" spans="1:26" x14ac:dyDescent="0.2">
      <c r="A19" s="2">
        <f t="shared" si="4"/>
        <v>43060</v>
      </c>
      <c r="B19" s="1" t="s">
        <v>41</v>
      </c>
      <c r="C19" s="1" t="s">
        <v>41</v>
      </c>
      <c r="D19" s="1" t="s">
        <v>88</v>
      </c>
      <c r="E19" s="1" t="s">
        <v>126</v>
      </c>
      <c r="F19" s="1" t="s">
        <v>133</v>
      </c>
      <c r="G19" s="1" t="s">
        <v>118</v>
      </c>
      <c r="H19" s="1" t="s">
        <v>120</v>
      </c>
      <c r="I19" s="15" t="str">
        <f t="shared" si="0"/>
        <v>A-</v>
      </c>
      <c r="J19" s="1"/>
      <c r="K19" s="1"/>
      <c r="L19" s="1"/>
      <c r="M19" s="7"/>
      <c r="N19" s="1"/>
      <c r="O19" s="1"/>
      <c r="P19" s="5">
        <v>1.6999999999999999E-3</v>
      </c>
      <c r="Q19" s="3">
        <v>6.7000000000000002E-3</v>
      </c>
      <c r="R19" s="5">
        <f t="shared" si="1"/>
        <v>-5.0000000000000001E-3</v>
      </c>
      <c r="S19" s="15">
        <v>0.1464115604387064</v>
      </c>
      <c r="T19" s="1"/>
      <c r="U19" s="1"/>
      <c r="V19" s="15">
        <v>9.7640864094131565</v>
      </c>
      <c r="W19" s="111">
        <f t="shared" si="2"/>
        <v>1.6598946896002366E-2</v>
      </c>
      <c r="X19" s="29">
        <v>1000</v>
      </c>
      <c r="Y19" s="29">
        <v>1000</v>
      </c>
      <c r="Z19" s="111">
        <f t="shared" si="3"/>
        <v>6.5419378943068152E-2</v>
      </c>
    </row>
    <row r="20" spans="1:26" x14ac:dyDescent="0.2">
      <c r="A20" s="2">
        <f t="shared" si="4"/>
        <v>43060</v>
      </c>
      <c r="B20" s="1" t="s">
        <v>42</v>
      </c>
      <c r="C20" s="1" t="s">
        <v>42</v>
      </c>
      <c r="D20" s="1" t="s">
        <v>89</v>
      </c>
      <c r="E20" s="1" t="s">
        <v>127</v>
      </c>
      <c r="F20" s="1" t="s">
        <v>134</v>
      </c>
      <c r="G20" s="1" t="s">
        <v>118</v>
      </c>
      <c r="H20" s="1" t="s">
        <v>121</v>
      </c>
      <c r="I20" s="15" t="str">
        <f t="shared" si="0"/>
        <v>AAA</v>
      </c>
      <c r="J20" s="1"/>
      <c r="K20" s="1"/>
      <c r="L20" s="1"/>
      <c r="M20" s="7"/>
      <c r="N20" s="1"/>
      <c r="O20" s="1"/>
      <c r="P20" s="5">
        <v>1.5699999999999999E-2</v>
      </c>
      <c r="Q20" s="3">
        <v>5.7000000000000002E-3</v>
      </c>
      <c r="R20" s="5">
        <f t="shared" si="1"/>
        <v>9.9999999999999985E-3</v>
      </c>
      <c r="S20" s="15">
        <v>8.4271857236630443E-2</v>
      </c>
      <c r="T20" s="1"/>
      <c r="U20" s="1"/>
      <c r="V20" s="15">
        <v>2.1523049783283543</v>
      </c>
      <c r="W20" s="111">
        <f t="shared" si="2"/>
        <v>3.379118815975516E-2</v>
      </c>
      <c r="X20" s="29">
        <v>1000</v>
      </c>
      <c r="Y20" s="29">
        <v>1000</v>
      </c>
      <c r="Z20" s="111">
        <f t="shared" si="3"/>
        <v>1.2268138376471621E-2</v>
      </c>
    </row>
    <row r="21" spans="1:26" x14ac:dyDescent="0.2">
      <c r="A21" s="2">
        <f t="shared" si="4"/>
        <v>43060</v>
      </c>
      <c r="B21" s="1" t="s">
        <v>43</v>
      </c>
      <c r="C21" s="1" t="s">
        <v>43</v>
      </c>
      <c r="D21" s="1" t="s">
        <v>90</v>
      </c>
      <c r="E21" s="1" t="s">
        <v>128</v>
      </c>
      <c r="F21" s="1" t="s">
        <v>135</v>
      </c>
      <c r="G21" s="1" t="s">
        <v>118</v>
      </c>
      <c r="H21" s="1" t="s">
        <v>122</v>
      </c>
      <c r="I21" s="15" t="str">
        <f t="shared" si="0"/>
        <v>AA</v>
      </c>
      <c r="J21" s="1"/>
      <c r="K21" s="1"/>
      <c r="L21" s="1"/>
      <c r="M21" s="7"/>
      <c r="N21" s="1"/>
      <c r="O21" s="1"/>
      <c r="P21" s="5">
        <v>1.46E-2</v>
      </c>
      <c r="Q21" s="3">
        <v>1.46E-2</v>
      </c>
      <c r="R21" s="5">
        <f t="shared" si="1"/>
        <v>0</v>
      </c>
      <c r="S21" s="15">
        <v>0.48218632994272526</v>
      </c>
      <c r="T21" s="1"/>
      <c r="U21" s="1"/>
      <c r="V21" s="15">
        <v>5.0204096987677902</v>
      </c>
      <c r="W21" s="111">
        <f t="shared" si="2"/>
        <v>7.3297981602009732E-2</v>
      </c>
      <c r="X21" s="29">
        <v>1000</v>
      </c>
      <c r="Y21" s="29">
        <v>1000</v>
      </c>
      <c r="Z21" s="111">
        <f t="shared" si="3"/>
        <v>7.3297981602009732E-2</v>
      </c>
    </row>
    <row r="22" spans="1:26" x14ac:dyDescent="0.2">
      <c r="A22" s="2">
        <f t="shared" si="4"/>
        <v>43060</v>
      </c>
      <c r="B22" s="1" t="s">
        <v>44</v>
      </c>
      <c r="C22" s="1" t="s">
        <v>44</v>
      </c>
      <c r="D22" s="1" t="s">
        <v>91</v>
      </c>
      <c r="E22" s="1" t="s">
        <v>128</v>
      </c>
      <c r="F22" s="1" t="s">
        <v>135</v>
      </c>
      <c r="G22" s="1" t="s">
        <v>118</v>
      </c>
      <c r="H22" s="1" t="s">
        <v>122</v>
      </c>
      <c r="I22" s="15" t="str">
        <f t="shared" si="0"/>
        <v>AA</v>
      </c>
      <c r="J22" s="1"/>
      <c r="K22" s="1"/>
      <c r="L22" s="1"/>
      <c r="M22" s="7"/>
      <c r="N22" s="1"/>
      <c r="O22" s="1"/>
      <c r="P22" s="5">
        <v>2.0199999999999999E-2</v>
      </c>
      <c r="Q22" s="3">
        <v>2.52E-2</v>
      </c>
      <c r="R22" s="5">
        <f t="shared" si="1"/>
        <v>-5.000000000000001E-3</v>
      </c>
      <c r="S22" s="15">
        <v>9.5344740912967518E-2</v>
      </c>
      <c r="T22" s="1"/>
      <c r="U22" s="1"/>
      <c r="V22" s="15">
        <v>4.2550906149427812</v>
      </c>
      <c r="W22" s="111">
        <f t="shared" si="2"/>
        <v>8.5952830421844179E-2</v>
      </c>
      <c r="X22" s="29">
        <v>1000</v>
      </c>
      <c r="Y22" s="29">
        <v>1000</v>
      </c>
      <c r="Z22" s="111">
        <f t="shared" si="3"/>
        <v>0.10722828349655808</v>
      </c>
    </row>
    <row r="23" spans="1:26" x14ac:dyDescent="0.2">
      <c r="A23" s="2">
        <f t="shared" si="4"/>
        <v>43060</v>
      </c>
      <c r="B23" s="1" t="s">
        <v>45</v>
      </c>
      <c r="C23" s="1" t="s">
        <v>45</v>
      </c>
      <c r="D23" s="1" t="s">
        <v>92</v>
      </c>
      <c r="E23" s="1" t="s">
        <v>128</v>
      </c>
      <c r="F23" s="1" t="s">
        <v>135</v>
      </c>
      <c r="G23" s="1" t="s">
        <v>118</v>
      </c>
      <c r="H23" s="1" t="s">
        <v>122</v>
      </c>
      <c r="I23" s="15" t="str">
        <f t="shared" si="0"/>
        <v>AA</v>
      </c>
      <c r="J23" s="1"/>
      <c r="K23" s="1"/>
      <c r="L23" s="1"/>
      <c r="M23" s="7"/>
      <c r="N23" s="1"/>
      <c r="O23" s="1"/>
      <c r="P23" s="5">
        <v>1.9E-2</v>
      </c>
      <c r="Q23" s="3">
        <v>1.9E-2</v>
      </c>
      <c r="R23" s="5">
        <f t="shared" si="1"/>
        <v>0</v>
      </c>
      <c r="S23" s="15">
        <v>0.59282828791109599</v>
      </c>
      <c r="T23" s="1"/>
      <c r="U23" s="1"/>
      <c r="V23" s="15">
        <v>0.96011277683895835</v>
      </c>
      <c r="W23" s="111">
        <f t="shared" si="2"/>
        <v>1.8242142759940207E-2</v>
      </c>
      <c r="X23" s="29">
        <v>1000</v>
      </c>
      <c r="Y23" s="29">
        <v>1000</v>
      </c>
      <c r="Z23" s="111">
        <f t="shared" si="3"/>
        <v>1.8242142759940207E-2</v>
      </c>
    </row>
    <row r="24" spans="1:26" x14ac:dyDescent="0.2">
      <c r="A24" s="2">
        <f t="shared" si="4"/>
        <v>43060</v>
      </c>
      <c r="B24" s="1" t="s">
        <v>46</v>
      </c>
      <c r="C24" s="1" t="s">
        <v>46</v>
      </c>
      <c r="D24" s="1" t="s">
        <v>93</v>
      </c>
      <c r="E24" s="1" t="s">
        <v>128</v>
      </c>
      <c r="F24" s="1" t="s">
        <v>135</v>
      </c>
      <c r="G24" s="1" t="s">
        <v>118</v>
      </c>
      <c r="H24" s="1" t="s">
        <v>122</v>
      </c>
      <c r="I24" s="15" t="str">
        <f t="shared" si="0"/>
        <v>AA</v>
      </c>
      <c r="J24" s="1"/>
      <c r="K24" s="1"/>
      <c r="L24" s="1"/>
      <c r="M24" s="7"/>
      <c r="N24" s="1"/>
      <c r="O24" s="1"/>
      <c r="P24" s="5">
        <v>1.24E-2</v>
      </c>
      <c r="Q24" s="3">
        <v>1.24E-2</v>
      </c>
      <c r="R24" s="5">
        <f t="shared" si="1"/>
        <v>0</v>
      </c>
      <c r="S24" s="15">
        <v>0.55281533064814636</v>
      </c>
      <c r="T24" s="1"/>
      <c r="U24" s="1"/>
      <c r="V24" s="15">
        <v>2.0512526755188776</v>
      </c>
      <c r="W24" s="111">
        <f t="shared" si="2"/>
        <v>2.5435533176434082E-2</v>
      </c>
      <c r="X24" s="29">
        <v>1000</v>
      </c>
      <c r="Y24" s="29">
        <v>1000</v>
      </c>
      <c r="Z24" s="111">
        <f t="shared" si="3"/>
        <v>2.5435533176434082E-2</v>
      </c>
    </row>
    <row r="25" spans="1:26" x14ac:dyDescent="0.2">
      <c r="A25" s="2">
        <f t="shared" si="4"/>
        <v>43060</v>
      </c>
      <c r="B25" s="1" t="s">
        <v>47</v>
      </c>
      <c r="C25" s="1" t="s">
        <v>47</v>
      </c>
      <c r="D25" s="1" t="s">
        <v>94</v>
      </c>
      <c r="E25" s="1" t="s">
        <v>128</v>
      </c>
      <c r="F25" s="1" t="s">
        <v>135</v>
      </c>
      <c r="G25" s="1" t="s">
        <v>118</v>
      </c>
      <c r="H25" s="1" t="s">
        <v>122</v>
      </c>
      <c r="I25" s="15" t="str">
        <f t="shared" si="0"/>
        <v>AA</v>
      </c>
      <c r="J25" s="1"/>
      <c r="K25" s="1"/>
      <c r="L25" s="1"/>
      <c r="M25" s="7"/>
      <c r="N25" s="1"/>
      <c r="O25" s="1"/>
      <c r="P25" s="5">
        <v>2.5999999999999999E-3</v>
      </c>
      <c r="Q25" s="3">
        <v>2.5999999999999999E-3</v>
      </c>
      <c r="R25" s="5">
        <f t="shared" si="1"/>
        <v>0</v>
      </c>
      <c r="S25" s="15">
        <v>0.41127875362129906</v>
      </c>
      <c r="T25" s="1"/>
      <c r="U25" s="1"/>
      <c r="V25" s="15">
        <v>6.9122204277987622</v>
      </c>
      <c r="W25" s="111">
        <f t="shared" si="2"/>
        <v>1.7971773112276782E-2</v>
      </c>
      <c r="X25" s="29">
        <v>1000</v>
      </c>
      <c r="Y25" s="29">
        <v>1000</v>
      </c>
      <c r="Z25" s="111">
        <f t="shared" si="3"/>
        <v>1.7971773112276782E-2</v>
      </c>
    </row>
    <row r="26" spans="1:26" x14ac:dyDescent="0.2">
      <c r="A26" s="2">
        <f t="shared" si="4"/>
        <v>43060</v>
      </c>
      <c r="B26" s="1" t="s">
        <v>48</v>
      </c>
      <c r="C26" s="1" t="s">
        <v>48</v>
      </c>
      <c r="D26" s="1" t="s">
        <v>95</v>
      </c>
      <c r="E26" s="1" t="s">
        <v>128</v>
      </c>
      <c r="F26" s="1" t="s">
        <v>135</v>
      </c>
      <c r="G26" s="1" t="s">
        <v>118</v>
      </c>
      <c r="H26" s="1" t="s">
        <v>122</v>
      </c>
      <c r="I26" s="15" t="str">
        <f t="shared" si="0"/>
        <v>AA</v>
      </c>
      <c r="J26" s="1"/>
      <c r="K26" s="1"/>
      <c r="L26" s="1"/>
      <c r="M26" s="7"/>
      <c r="N26" s="1"/>
      <c r="O26" s="1"/>
      <c r="P26" s="5">
        <v>1.66E-2</v>
      </c>
      <c r="Q26" s="3">
        <v>6.6E-3</v>
      </c>
      <c r="R26" s="5">
        <f t="shared" si="1"/>
        <v>0.01</v>
      </c>
      <c r="S26" s="15">
        <v>0.37120766587049148</v>
      </c>
      <c r="T26" s="1"/>
      <c r="U26" s="1"/>
      <c r="V26" s="15">
        <v>1.5032406792301434</v>
      </c>
      <c r="W26" s="111">
        <f t="shared" si="2"/>
        <v>2.4953795275220379E-2</v>
      </c>
      <c r="X26" s="29">
        <v>1000</v>
      </c>
      <c r="Y26" s="29">
        <v>1000</v>
      </c>
      <c r="Z26" s="111">
        <f t="shared" si="3"/>
        <v>9.9213884829189459E-3</v>
      </c>
    </row>
    <row r="27" spans="1:26" x14ac:dyDescent="0.2">
      <c r="A27" s="2">
        <f t="shared" si="4"/>
        <v>43060</v>
      </c>
      <c r="B27" s="1" t="s">
        <v>49</v>
      </c>
      <c r="C27" s="1" t="s">
        <v>49</v>
      </c>
      <c r="D27" s="1" t="s">
        <v>96</v>
      </c>
      <c r="E27" s="1" t="s">
        <v>128</v>
      </c>
      <c r="F27" s="1" t="s">
        <v>135</v>
      </c>
      <c r="G27" s="1" t="s">
        <v>118</v>
      </c>
      <c r="H27" s="1" t="s">
        <v>122</v>
      </c>
      <c r="I27" s="15" t="str">
        <f t="shared" si="0"/>
        <v>AA</v>
      </c>
      <c r="J27" s="1"/>
      <c r="K27" s="1"/>
      <c r="L27" s="1"/>
      <c r="M27" s="7"/>
      <c r="N27" s="1"/>
      <c r="O27" s="1"/>
      <c r="P27" s="5">
        <v>2.6100000000000002E-2</v>
      </c>
      <c r="Q27" s="3">
        <v>2.6100000000000002E-2</v>
      </c>
      <c r="R27" s="5">
        <f t="shared" si="1"/>
        <v>0</v>
      </c>
      <c r="S27" s="15">
        <v>0.86163739355833491</v>
      </c>
      <c r="T27" s="1"/>
      <c r="U27" s="1"/>
      <c r="V27" s="15">
        <v>1.8632176030022096</v>
      </c>
      <c r="W27" s="111">
        <f t="shared" si="2"/>
        <v>4.8629979438357673E-2</v>
      </c>
      <c r="X27" s="29">
        <v>1000</v>
      </c>
      <c r="Y27" s="29">
        <v>1000</v>
      </c>
      <c r="Z27" s="111">
        <f t="shared" si="3"/>
        <v>4.8629979438357673E-2</v>
      </c>
    </row>
    <row r="28" spans="1:26" x14ac:dyDescent="0.2">
      <c r="A28" s="2">
        <f t="shared" si="4"/>
        <v>43060</v>
      </c>
      <c r="B28" s="1" t="s">
        <v>50</v>
      </c>
      <c r="C28" s="1" t="s">
        <v>50</v>
      </c>
      <c r="D28" s="1" t="s">
        <v>97</v>
      </c>
      <c r="E28" s="1" t="s">
        <v>128</v>
      </c>
      <c r="F28" s="1" t="s">
        <v>135</v>
      </c>
      <c r="G28" s="1" t="s">
        <v>118</v>
      </c>
      <c r="H28" s="1" t="s">
        <v>122</v>
      </c>
      <c r="I28" s="15" t="str">
        <f t="shared" si="0"/>
        <v>AA</v>
      </c>
      <c r="J28" s="1"/>
      <c r="K28" s="1"/>
      <c r="L28" s="1"/>
      <c r="M28" s="7"/>
      <c r="N28" s="1"/>
      <c r="O28" s="1"/>
      <c r="P28" s="5">
        <v>3.5099999999999999E-2</v>
      </c>
      <c r="Q28" s="3">
        <v>3.5099999999999999E-2</v>
      </c>
      <c r="R28" s="5">
        <f t="shared" si="1"/>
        <v>0</v>
      </c>
      <c r="S28" s="15">
        <v>0.13655795168115503</v>
      </c>
      <c r="T28" s="1"/>
      <c r="U28" s="1"/>
      <c r="V28" s="15">
        <v>5.2862819802622587</v>
      </c>
      <c r="W28" s="111">
        <f t="shared" si="2"/>
        <v>0.18554849750720528</v>
      </c>
      <c r="X28" s="29">
        <v>1000</v>
      </c>
      <c r="Y28" s="29">
        <v>1000</v>
      </c>
      <c r="Z28" s="111">
        <f t="shared" si="3"/>
        <v>0.18554849750720528</v>
      </c>
    </row>
    <row r="29" spans="1:26" x14ac:dyDescent="0.2">
      <c r="A29" s="2">
        <f t="shared" si="4"/>
        <v>43060</v>
      </c>
      <c r="B29" s="1" t="s">
        <v>51</v>
      </c>
      <c r="C29" s="1" t="s">
        <v>51</v>
      </c>
      <c r="D29" s="1" t="s">
        <v>98</v>
      </c>
      <c r="E29" s="1" t="s">
        <v>128</v>
      </c>
      <c r="F29" s="1" t="s">
        <v>135</v>
      </c>
      <c r="G29" s="1" t="s">
        <v>118</v>
      </c>
      <c r="H29" s="1" t="s">
        <v>122</v>
      </c>
      <c r="I29" s="15" t="str">
        <f t="shared" si="0"/>
        <v>AA</v>
      </c>
      <c r="J29" s="1"/>
      <c r="K29" s="1"/>
      <c r="L29" s="1"/>
      <c r="M29" s="7"/>
      <c r="N29" s="1"/>
      <c r="O29" s="1"/>
      <c r="P29" s="5">
        <v>3.7900000000000003E-2</v>
      </c>
      <c r="Q29" s="3">
        <v>3.7900000000000003E-2</v>
      </c>
      <c r="R29" s="5">
        <f t="shared" si="1"/>
        <v>0</v>
      </c>
      <c r="S29" s="15">
        <v>0.45289341315725418</v>
      </c>
      <c r="T29" s="1"/>
      <c r="U29" s="1"/>
      <c r="V29" s="15">
        <v>7.5647811379369969</v>
      </c>
      <c r="W29" s="111">
        <f t="shared" si="2"/>
        <v>0.28670520512781222</v>
      </c>
      <c r="X29" s="29">
        <v>1000</v>
      </c>
      <c r="Y29" s="29">
        <v>1000</v>
      </c>
      <c r="Z29" s="111">
        <f t="shared" si="3"/>
        <v>0.28670520512781222</v>
      </c>
    </row>
    <row r="30" spans="1:26" x14ac:dyDescent="0.2">
      <c r="A30" s="2">
        <f t="shared" si="4"/>
        <v>43060</v>
      </c>
      <c r="B30" s="1" t="s">
        <v>52</v>
      </c>
      <c r="C30" s="1" t="s">
        <v>52</v>
      </c>
      <c r="D30" s="1" t="s">
        <v>99</v>
      </c>
      <c r="E30" s="1" t="s">
        <v>128</v>
      </c>
      <c r="F30" s="1" t="s">
        <v>135</v>
      </c>
      <c r="G30" s="1" t="s">
        <v>118</v>
      </c>
      <c r="H30" s="1" t="s">
        <v>122</v>
      </c>
      <c r="I30" s="15" t="str">
        <f t="shared" si="0"/>
        <v>AA</v>
      </c>
      <c r="J30" s="1"/>
      <c r="K30" s="1"/>
      <c r="L30" s="1"/>
      <c r="M30" s="7"/>
      <c r="N30" s="1"/>
      <c r="O30" s="1"/>
      <c r="P30" s="5">
        <v>3.5000000000000003E-2</v>
      </c>
      <c r="Q30" s="3">
        <v>3.5000000000000003E-2</v>
      </c>
      <c r="R30" s="5">
        <f t="shared" si="1"/>
        <v>0</v>
      </c>
      <c r="S30" s="15">
        <v>0.15324827731158552</v>
      </c>
      <c r="T30" s="1"/>
      <c r="U30" s="1"/>
      <c r="V30" s="15">
        <v>8.33498681684339</v>
      </c>
      <c r="W30" s="111">
        <f t="shared" si="2"/>
        <v>0.29172453858951869</v>
      </c>
      <c r="X30" s="29">
        <v>1000</v>
      </c>
      <c r="Y30" s="29">
        <v>1000</v>
      </c>
      <c r="Z30" s="111">
        <f t="shared" si="3"/>
        <v>0.29172453858951869</v>
      </c>
    </row>
    <row r="31" spans="1:26" x14ac:dyDescent="0.2">
      <c r="A31" s="2">
        <f t="shared" si="4"/>
        <v>43060</v>
      </c>
      <c r="B31" s="1" t="s">
        <v>53</v>
      </c>
      <c r="C31" s="1" t="s">
        <v>53</v>
      </c>
      <c r="D31" s="1" t="s">
        <v>100</v>
      </c>
      <c r="E31" s="1" t="s">
        <v>128</v>
      </c>
      <c r="F31" s="1" t="s">
        <v>135</v>
      </c>
      <c r="G31" s="1" t="s">
        <v>118</v>
      </c>
      <c r="H31" s="1" t="s">
        <v>122</v>
      </c>
      <c r="I31" s="15" t="str">
        <f t="shared" si="0"/>
        <v>AA</v>
      </c>
      <c r="J31" s="1"/>
      <c r="K31" s="1"/>
      <c r="L31" s="1"/>
      <c r="M31" s="7"/>
      <c r="N31" s="1"/>
      <c r="O31" s="1"/>
      <c r="P31" s="5">
        <v>1.55E-2</v>
      </c>
      <c r="Q31" s="3">
        <v>1.55E-2</v>
      </c>
      <c r="R31" s="5">
        <f t="shared" si="1"/>
        <v>0</v>
      </c>
      <c r="S31" s="15">
        <v>0.59160882522117353</v>
      </c>
      <c r="T31" s="1"/>
      <c r="U31" s="1"/>
      <c r="V31" s="15">
        <v>9.650755364083679</v>
      </c>
      <c r="W31" s="111">
        <f t="shared" si="2"/>
        <v>0.14958670814329703</v>
      </c>
      <c r="X31" s="29">
        <v>1000</v>
      </c>
      <c r="Y31" s="29">
        <v>1000</v>
      </c>
      <c r="Z31" s="111">
        <f t="shared" si="3"/>
        <v>0.14958670814329703</v>
      </c>
    </row>
    <row r="32" spans="1:26" x14ac:dyDescent="0.2">
      <c r="A32" s="2">
        <f t="shared" si="4"/>
        <v>43060</v>
      </c>
      <c r="B32" s="1" t="s">
        <v>54</v>
      </c>
      <c r="C32" s="1" t="s">
        <v>54</v>
      </c>
      <c r="D32" s="1" t="s">
        <v>101</v>
      </c>
      <c r="E32" s="1" t="s">
        <v>129</v>
      </c>
      <c r="F32" s="1" t="s">
        <v>136</v>
      </c>
      <c r="G32" s="1" t="s">
        <v>118</v>
      </c>
      <c r="H32" s="1" t="s">
        <v>123</v>
      </c>
      <c r="I32" s="15" t="str">
        <f t="shared" si="0"/>
        <v>AA+</v>
      </c>
      <c r="J32" s="1"/>
      <c r="K32" s="1"/>
      <c r="L32" s="1"/>
      <c r="M32" s="7"/>
      <c r="N32" s="1"/>
      <c r="O32" s="1"/>
      <c r="P32" s="5">
        <v>2.1499999999999998E-2</v>
      </c>
      <c r="Q32" s="3">
        <v>2.1499999999999998E-2</v>
      </c>
      <c r="R32" s="5">
        <f t="shared" si="1"/>
        <v>0</v>
      </c>
      <c r="S32" s="15">
        <v>0.32033822896512909</v>
      </c>
      <c r="T32" s="1"/>
      <c r="U32" s="1"/>
      <c r="V32" s="15">
        <v>3.8705434457320722</v>
      </c>
      <c r="W32" s="111">
        <f t="shared" si="2"/>
        <v>8.3216684083239539E-2</v>
      </c>
      <c r="X32" s="29">
        <v>1000</v>
      </c>
      <c r="Y32" s="29">
        <v>1000</v>
      </c>
      <c r="Z32" s="111">
        <f t="shared" si="3"/>
        <v>8.3216684083239539E-2</v>
      </c>
    </row>
    <row r="33" spans="1:26" x14ac:dyDescent="0.2">
      <c r="A33" s="2">
        <f t="shared" si="4"/>
        <v>43060</v>
      </c>
      <c r="B33" s="1" t="s">
        <v>55</v>
      </c>
      <c r="C33" s="1" t="s">
        <v>55</v>
      </c>
      <c r="D33" s="1" t="s">
        <v>102</v>
      </c>
      <c r="E33" s="1" t="s">
        <v>129</v>
      </c>
      <c r="F33" s="1" t="s">
        <v>136</v>
      </c>
      <c r="G33" s="1" t="s">
        <v>118</v>
      </c>
      <c r="H33" s="1" t="s">
        <v>123</v>
      </c>
      <c r="I33" s="15" t="str">
        <f t="shared" si="0"/>
        <v>AA+</v>
      </c>
      <c r="J33" s="1"/>
      <c r="K33" s="1"/>
      <c r="L33" s="1"/>
      <c r="M33" s="7"/>
      <c r="N33" s="1"/>
      <c r="O33" s="1"/>
      <c r="P33" s="5">
        <v>1.0200000000000001E-2</v>
      </c>
      <c r="Q33" s="3">
        <v>1.0200000000000001E-2</v>
      </c>
      <c r="R33" s="5">
        <f t="shared" si="1"/>
        <v>0</v>
      </c>
      <c r="S33" s="15">
        <v>0.15054882536147507</v>
      </c>
      <c r="T33" s="1"/>
      <c r="U33" s="1"/>
      <c r="V33" s="15">
        <v>5.9119799882251733</v>
      </c>
      <c r="W33" s="111">
        <f t="shared" si="2"/>
        <v>6.0302195879896769E-2</v>
      </c>
      <c r="X33" s="29">
        <v>1000</v>
      </c>
      <c r="Y33" s="29">
        <v>1000</v>
      </c>
      <c r="Z33" s="111">
        <f t="shared" si="3"/>
        <v>6.0302195879896769E-2</v>
      </c>
    </row>
    <row r="34" spans="1:26" x14ac:dyDescent="0.2">
      <c r="A34" s="2">
        <f t="shared" si="4"/>
        <v>43060</v>
      </c>
      <c r="B34" s="1" t="s">
        <v>56</v>
      </c>
      <c r="C34" s="1" t="s">
        <v>56</v>
      </c>
      <c r="D34" s="1" t="s">
        <v>103</v>
      </c>
      <c r="E34" s="1" t="s">
        <v>129</v>
      </c>
      <c r="F34" s="1" t="s">
        <v>136</v>
      </c>
      <c r="G34" s="1" t="s">
        <v>118</v>
      </c>
      <c r="H34" s="1" t="s">
        <v>123</v>
      </c>
      <c r="I34" s="15" t="str">
        <f t="shared" si="0"/>
        <v>AA+</v>
      </c>
      <c r="J34" s="1"/>
      <c r="K34" s="1"/>
      <c r="L34" s="1"/>
      <c r="M34" s="7"/>
      <c r="N34" s="1"/>
      <c r="O34" s="1"/>
      <c r="P34" s="5">
        <v>3.0999999999999999E-3</v>
      </c>
      <c r="Q34" s="3">
        <v>3.0999999999999999E-3</v>
      </c>
      <c r="R34" s="5">
        <f t="shared" si="1"/>
        <v>0</v>
      </c>
      <c r="S34" s="15">
        <v>0.13396018997992731</v>
      </c>
      <c r="T34" s="1"/>
      <c r="U34" s="1"/>
      <c r="V34" s="15">
        <v>2.4793950715015898</v>
      </c>
      <c r="W34" s="111">
        <f t="shared" si="2"/>
        <v>7.6861247216549284E-3</v>
      </c>
      <c r="X34" s="29">
        <v>1000</v>
      </c>
      <c r="Y34" s="29">
        <v>1000</v>
      </c>
      <c r="Z34" s="111">
        <f t="shared" si="3"/>
        <v>7.6861247216549284E-3</v>
      </c>
    </row>
    <row r="35" spans="1:26" x14ac:dyDescent="0.2">
      <c r="A35" s="2">
        <f t="shared" si="4"/>
        <v>43060</v>
      </c>
      <c r="B35" s="1" t="s">
        <v>57</v>
      </c>
      <c r="C35" s="1" t="s">
        <v>57</v>
      </c>
      <c r="D35" s="1" t="s">
        <v>104</v>
      </c>
      <c r="E35" s="1" t="s">
        <v>129</v>
      </c>
      <c r="F35" s="1" t="s">
        <v>136</v>
      </c>
      <c r="G35" s="1" t="s">
        <v>118</v>
      </c>
      <c r="H35" s="1" t="s">
        <v>123</v>
      </c>
      <c r="I35" s="15" t="str">
        <f t="shared" si="0"/>
        <v>AA+</v>
      </c>
      <c r="J35" s="1"/>
      <c r="K35" s="1"/>
      <c r="L35" s="1"/>
      <c r="M35" s="7"/>
      <c r="N35" s="1"/>
      <c r="O35" s="1"/>
      <c r="P35" s="5">
        <v>1.1000000000000001E-3</v>
      </c>
      <c r="Q35" s="3">
        <v>1.11E-2</v>
      </c>
      <c r="R35" s="5">
        <f t="shared" si="1"/>
        <v>-0.01</v>
      </c>
      <c r="S35" s="15">
        <v>0.16183036171986154</v>
      </c>
      <c r="T35" s="1"/>
      <c r="U35" s="1"/>
      <c r="V35" s="15">
        <v>3.1135912806049326</v>
      </c>
      <c r="W35" s="111">
        <f t="shared" si="2"/>
        <v>3.4249504086654261E-3</v>
      </c>
      <c r="X35" s="29">
        <v>1000</v>
      </c>
      <c r="Y35" s="29">
        <v>1000</v>
      </c>
      <c r="Z35" s="111">
        <f t="shared" si="3"/>
        <v>3.4560863214714757E-2</v>
      </c>
    </row>
    <row r="36" spans="1:26" x14ac:dyDescent="0.2">
      <c r="A36" s="2">
        <f t="shared" si="4"/>
        <v>43060</v>
      </c>
      <c r="B36" s="1" t="s">
        <v>58</v>
      </c>
      <c r="C36" s="1" t="s">
        <v>58</v>
      </c>
      <c r="D36" s="1" t="s">
        <v>105</v>
      </c>
      <c r="E36" s="1" t="s">
        <v>129</v>
      </c>
      <c r="F36" s="1" t="s">
        <v>136</v>
      </c>
      <c r="G36" s="1" t="s">
        <v>118</v>
      </c>
      <c r="H36" s="1" t="s">
        <v>123</v>
      </c>
      <c r="I36" s="15" t="str">
        <f t="shared" si="0"/>
        <v>AA+</v>
      </c>
      <c r="J36" s="1"/>
      <c r="K36" s="1"/>
      <c r="L36" s="1"/>
      <c r="M36" s="7"/>
      <c r="N36" s="1"/>
      <c r="O36" s="1"/>
      <c r="P36" s="5">
        <v>2.8999999999999998E-3</v>
      </c>
      <c r="Q36" s="3">
        <v>2.8999999999999998E-3</v>
      </c>
      <c r="R36" s="5">
        <f t="shared" si="1"/>
        <v>0</v>
      </c>
      <c r="S36" s="15">
        <v>0.27161542763256197</v>
      </c>
      <c r="T36" s="1"/>
      <c r="U36" s="1"/>
      <c r="V36" s="15">
        <v>9.837097021890818</v>
      </c>
      <c r="W36" s="111">
        <f t="shared" si="2"/>
        <v>2.8527581363483372E-2</v>
      </c>
      <c r="X36" s="29">
        <v>1000</v>
      </c>
      <c r="Y36" s="29">
        <v>1000</v>
      </c>
      <c r="Z36" s="111">
        <f t="shared" si="3"/>
        <v>2.8527581363483372E-2</v>
      </c>
    </row>
    <row r="37" spans="1:26" x14ac:dyDescent="0.2">
      <c r="A37" s="2">
        <f t="shared" si="4"/>
        <v>43060</v>
      </c>
      <c r="B37" s="1" t="s">
        <v>59</v>
      </c>
      <c r="C37" s="1" t="s">
        <v>59</v>
      </c>
      <c r="D37" s="1" t="s">
        <v>106</v>
      </c>
      <c r="E37" s="1" t="s">
        <v>129</v>
      </c>
      <c r="F37" s="1" t="s">
        <v>136</v>
      </c>
      <c r="G37" s="1" t="s">
        <v>118</v>
      </c>
      <c r="H37" s="1" t="s">
        <v>123</v>
      </c>
      <c r="I37" s="15" t="str">
        <f t="shared" si="0"/>
        <v>AA+</v>
      </c>
      <c r="J37" s="1"/>
      <c r="K37" s="1"/>
      <c r="L37" s="1"/>
      <c r="M37" s="7"/>
      <c r="N37" s="1"/>
      <c r="O37" s="1"/>
      <c r="P37" s="5">
        <v>2.2800000000000001E-2</v>
      </c>
      <c r="Q37" s="3">
        <v>2.2800000000000001E-2</v>
      </c>
      <c r="R37" s="5">
        <f t="shared" si="1"/>
        <v>0</v>
      </c>
      <c r="S37" s="15">
        <v>0.71270475198698946</v>
      </c>
      <c r="T37" s="1"/>
      <c r="U37" s="1"/>
      <c r="V37" s="15">
        <v>1.6593299015372942</v>
      </c>
      <c r="W37" s="111">
        <f t="shared" si="2"/>
        <v>3.7832721755050307E-2</v>
      </c>
      <c r="X37" s="29">
        <v>1000</v>
      </c>
      <c r="Y37" s="29">
        <v>1000</v>
      </c>
      <c r="Z37" s="111">
        <f t="shared" si="3"/>
        <v>3.7832721755050307E-2</v>
      </c>
    </row>
    <row r="38" spans="1:26" x14ac:dyDescent="0.2">
      <c r="A38" s="2">
        <f t="shared" si="4"/>
        <v>43060</v>
      </c>
      <c r="B38" s="1" t="s">
        <v>60</v>
      </c>
      <c r="C38" s="1" t="s">
        <v>60</v>
      </c>
      <c r="D38" s="1" t="s">
        <v>107</v>
      </c>
      <c r="E38" s="1" t="s">
        <v>129</v>
      </c>
      <c r="F38" s="1" t="s">
        <v>136</v>
      </c>
      <c r="G38" s="1" t="s">
        <v>118</v>
      </c>
      <c r="H38" s="1" t="s">
        <v>123</v>
      </c>
      <c r="I38" s="15" t="str">
        <f t="shared" si="0"/>
        <v>AA+</v>
      </c>
      <c r="J38" s="1"/>
      <c r="K38" s="1"/>
      <c r="L38" s="1"/>
      <c r="M38" s="7"/>
      <c r="N38" s="1"/>
      <c r="O38" s="1"/>
      <c r="P38" s="5">
        <v>2.3699999999999999E-2</v>
      </c>
      <c r="Q38" s="3">
        <v>2.3699999999999999E-2</v>
      </c>
      <c r="R38" s="5">
        <f t="shared" si="1"/>
        <v>0</v>
      </c>
      <c r="S38" s="15">
        <v>0.20621888552885781</v>
      </c>
      <c r="T38" s="1"/>
      <c r="U38" s="1"/>
      <c r="V38" s="15">
        <v>4.5067072633132739</v>
      </c>
      <c r="W38" s="111">
        <f t="shared" si="2"/>
        <v>0.10680896214052459</v>
      </c>
      <c r="X38" s="29">
        <v>1000</v>
      </c>
      <c r="Y38" s="29">
        <v>1000</v>
      </c>
      <c r="Z38" s="111">
        <f t="shared" si="3"/>
        <v>0.10680896214052459</v>
      </c>
    </row>
    <row r="39" spans="1:26" x14ac:dyDescent="0.2">
      <c r="A39" s="2">
        <f t="shared" si="4"/>
        <v>43060</v>
      </c>
      <c r="B39" s="1" t="s">
        <v>61</v>
      </c>
      <c r="C39" s="1" t="s">
        <v>61</v>
      </c>
      <c r="D39" s="1" t="s">
        <v>108</v>
      </c>
      <c r="E39" s="1" t="s">
        <v>129</v>
      </c>
      <c r="F39" s="1" t="s">
        <v>136</v>
      </c>
      <c r="G39" s="1" t="s">
        <v>118</v>
      </c>
      <c r="H39" s="1" t="s">
        <v>123</v>
      </c>
      <c r="I39" s="15" t="str">
        <f t="shared" si="0"/>
        <v>AA+</v>
      </c>
      <c r="J39" s="1"/>
      <c r="K39" s="1"/>
      <c r="L39" s="1"/>
      <c r="M39" s="7"/>
      <c r="N39" s="1"/>
      <c r="O39" s="1"/>
      <c r="P39" s="5">
        <v>3.3300000000000003E-2</v>
      </c>
      <c r="Q39" s="3">
        <v>3.3300000000000003E-2</v>
      </c>
      <c r="R39" s="5">
        <f t="shared" si="1"/>
        <v>0</v>
      </c>
      <c r="S39" s="15">
        <v>0.26398157673471034</v>
      </c>
      <c r="T39" s="1"/>
      <c r="U39" s="1"/>
      <c r="V39" s="15">
        <v>1.3935431018408506</v>
      </c>
      <c r="W39" s="111">
        <f t="shared" si="2"/>
        <v>4.6404985291300327E-2</v>
      </c>
      <c r="X39" s="29">
        <v>1000</v>
      </c>
      <c r="Y39" s="29">
        <v>1000</v>
      </c>
      <c r="Z39" s="111">
        <f t="shared" si="3"/>
        <v>4.6404985291300327E-2</v>
      </c>
    </row>
    <row r="40" spans="1:26" x14ac:dyDescent="0.2">
      <c r="A40" s="2">
        <f t="shared" si="4"/>
        <v>43060</v>
      </c>
      <c r="B40" s="1" t="s">
        <v>62</v>
      </c>
      <c r="C40" s="1" t="s">
        <v>62</v>
      </c>
      <c r="D40" s="1" t="s">
        <v>109</v>
      </c>
      <c r="E40" s="1" t="s">
        <v>129</v>
      </c>
      <c r="F40" s="1" t="s">
        <v>136</v>
      </c>
      <c r="G40" s="1" t="s">
        <v>118</v>
      </c>
      <c r="H40" s="1" t="s">
        <v>123</v>
      </c>
      <c r="I40" s="15" t="str">
        <f t="shared" si="0"/>
        <v>AA+</v>
      </c>
      <c r="J40" s="1"/>
      <c r="K40" s="1"/>
      <c r="L40" s="1"/>
      <c r="M40" s="7"/>
      <c r="N40" s="1"/>
      <c r="O40" s="1"/>
      <c r="P40" s="5">
        <v>3.32E-2</v>
      </c>
      <c r="Q40" s="3">
        <v>3.32E-2</v>
      </c>
      <c r="R40" s="5">
        <f t="shared" si="1"/>
        <v>0</v>
      </c>
      <c r="S40" s="15">
        <v>0.45726377089517645</v>
      </c>
      <c r="T40" s="1"/>
      <c r="U40" s="1"/>
      <c r="V40" s="15">
        <v>4.5976162688953082</v>
      </c>
      <c r="W40" s="111">
        <f t="shared" si="2"/>
        <v>0.15264086012732422</v>
      </c>
      <c r="X40" s="29">
        <v>1000</v>
      </c>
      <c r="Y40" s="29">
        <v>1000</v>
      </c>
      <c r="Z40" s="111">
        <f t="shared" si="3"/>
        <v>0.15264086012732422</v>
      </c>
    </row>
    <row r="41" spans="1:26" x14ac:dyDescent="0.2">
      <c r="A41" s="2">
        <f t="shared" si="4"/>
        <v>43060</v>
      </c>
      <c r="B41" s="1" t="s">
        <v>63</v>
      </c>
      <c r="C41" s="1" t="s">
        <v>63</v>
      </c>
      <c r="D41" s="1" t="s">
        <v>110</v>
      </c>
      <c r="E41" s="1" t="s">
        <v>129</v>
      </c>
      <c r="F41" s="1" t="s">
        <v>136</v>
      </c>
      <c r="G41" s="1" t="s">
        <v>118</v>
      </c>
      <c r="H41" s="1" t="s">
        <v>123</v>
      </c>
      <c r="I41" s="15" t="str">
        <f t="shared" si="0"/>
        <v>AA+</v>
      </c>
      <c r="J41" s="1"/>
      <c r="K41" s="1"/>
      <c r="L41" s="1"/>
      <c r="M41" s="7"/>
      <c r="N41" s="1"/>
      <c r="O41" s="1"/>
      <c r="P41" s="5">
        <v>2.29E-2</v>
      </c>
      <c r="Q41" s="3">
        <v>3.2899999999999999E-2</v>
      </c>
      <c r="R41" s="5">
        <f t="shared" si="1"/>
        <v>-9.9999999999999985E-3</v>
      </c>
      <c r="S41" s="15">
        <v>0.5037591550474948</v>
      </c>
      <c r="T41" s="1"/>
      <c r="U41" s="1"/>
      <c r="V41" s="15">
        <v>9.8739443117880459</v>
      </c>
      <c r="W41" s="111">
        <f t="shared" si="2"/>
        <v>0.22611332473994625</v>
      </c>
      <c r="X41" s="29">
        <v>1000</v>
      </c>
      <c r="Y41" s="29">
        <v>1000</v>
      </c>
      <c r="Z41" s="111">
        <f t="shared" si="3"/>
        <v>0.32485276785782669</v>
      </c>
    </row>
    <row r="42" spans="1:26" x14ac:dyDescent="0.2">
      <c r="A42" s="2">
        <f t="shared" si="4"/>
        <v>43060</v>
      </c>
      <c r="B42" s="1" t="s">
        <v>64</v>
      </c>
      <c r="C42" s="1" t="s">
        <v>64</v>
      </c>
      <c r="D42" s="1" t="s">
        <v>111</v>
      </c>
      <c r="E42" s="1" t="s">
        <v>130</v>
      </c>
      <c r="F42" s="1" t="s">
        <v>137</v>
      </c>
      <c r="G42" s="1" t="s">
        <v>118</v>
      </c>
      <c r="H42" s="1" t="s">
        <v>123</v>
      </c>
      <c r="I42" s="15" t="str">
        <f t="shared" si="0"/>
        <v>AA+</v>
      </c>
      <c r="J42" s="1"/>
      <c r="K42" s="1"/>
      <c r="L42" s="1"/>
      <c r="M42" s="7"/>
      <c r="N42" s="1"/>
      <c r="O42" s="1"/>
      <c r="P42" s="5">
        <v>5.0000000000000001E-4</v>
      </c>
      <c r="Q42" s="3">
        <v>3.0499999999999999E-2</v>
      </c>
      <c r="R42" s="5">
        <f t="shared" si="1"/>
        <v>-0.03</v>
      </c>
      <c r="S42" s="15">
        <v>0.59050352109387971</v>
      </c>
      <c r="T42" s="1"/>
      <c r="U42" s="1"/>
      <c r="V42" s="15">
        <v>7.7026559868106244</v>
      </c>
      <c r="W42" s="111">
        <f t="shared" si="2"/>
        <v>3.8513279934053123E-3</v>
      </c>
      <c r="X42" s="29">
        <v>1000</v>
      </c>
      <c r="Y42" s="29">
        <v>1000</v>
      </c>
      <c r="Z42" s="111">
        <f t="shared" si="3"/>
        <v>0.23493100759772403</v>
      </c>
    </row>
    <row r="43" spans="1:26" x14ac:dyDescent="0.2">
      <c r="A43" s="2">
        <f t="shared" si="4"/>
        <v>43060</v>
      </c>
      <c r="B43" s="1" t="s">
        <v>65</v>
      </c>
      <c r="C43" s="1" t="s">
        <v>65</v>
      </c>
      <c r="D43" s="1" t="s">
        <v>112</v>
      </c>
      <c r="E43" s="1" t="s">
        <v>130</v>
      </c>
      <c r="F43" s="1" t="s">
        <v>137</v>
      </c>
      <c r="G43" s="1" t="s">
        <v>118</v>
      </c>
      <c r="H43" s="1" t="s">
        <v>123</v>
      </c>
      <c r="I43" s="15" t="str">
        <f t="shared" si="0"/>
        <v>AA+</v>
      </c>
      <c r="J43" s="1"/>
      <c r="K43" s="1"/>
      <c r="L43" s="1"/>
      <c r="M43" s="7"/>
      <c r="N43" s="1"/>
      <c r="O43" s="1"/>
      <c r="P43" s="5">
        <v>3.4500000000000003E-2</v>
      </c>
      <c r="Q43" s="3">
        <v>3.4500000000000003E-2</v>
      </c>
      <c r="R43" s="5">
        <f t="shared" si="1"/>
        <v>0</v>
      </c>
      <c r="S43" s="15">
        <v>0.8232087504695248</v>
      </c>
      <c r="T43" s="1"/>
      <c r="U43" s="1"/>
      <c r="V43" s="15">
        <v>0.92621406642047877</v>
      </c>
      <c r="W43" s="111">
        <f t="shared" si="2"/>
        <v>3.1954385291506522E-2</v>
      </c>
      <c r="X43" s="29">
        <v>1000</v>
      </c>
      <c r="Y43" s="29">
        <v>1000</v>
      </c>
      <c r="Z43" s="111">
        <f t="shared" si="3"/>
        <v>3.1954385291506522E-2</v>
      </c>
    </row>
    <row r="44" spans="1:26" x14ac:dyDescent="0.2">
      <c r="A44" s="2">
        <f t="shared" si="4"/>
        <v>43060</v>
      </c>
      <c r="B44" s="1" t="s">
        <v>66</v>
      </c>
      <c r="C44" s="1" t="s">
        <v>66</v>
      </c>
      <c r="D44" s="1" t="s">
        <v>113</v>
      </c>
      <c r="E44" s="1" t="s">
        <v>130</v>
      </c>
      <c r="F44" s="1" t="s">
        <v>137</v>
      </c>
      <c r="G44" s="1" t="s">
        <v>118</v>
      </c>
      <c r="H44" s="1" t="s">
        <v>123</v>
      </c>
      <c r="I44" s="15" t="str">
        <f t="shared" si="0"/>
        <v>AA+</v>
      </c>
      <c r="J44" s="1"/>
      <c r="K44" s="1"/>
      <c r="L44" s="1"/>
      <c r="M44" s="7"/>
      <c r="N44" s="1"/>
      <c r="O44" s="1"/>
      <c r="P44" s="5">
        <v>1.5699999999999999E-2</v>
      </c>
      <c r="Q44" s="3">
        <v>1.5699999999999999E-2</v>
      </c>
      <c r="R44" s="5">
        <f t="shared" si="1"/>
        <v>0</v>
      </c>
      <c r="S44" s="15">
        <v>0.18553726529736869</v>
      </c>
      <c r="T44" s="1"/>
      <c r="U44" s="1"/>
      <c r="V44" s="15">
        <v>8.3121230648924893</v>
      </c>
      <c r="W44" s="111">
        <f t="shared" si="2"/>
        <v>0.13050033211881207</v>
      </c>
      <c r="X44" s="29">
        <v>1000</v>
      </c>
      <c r="Y44" s="29">
        <v>1000</v>
      </c>
      <c r="Z44" s="111">
        <f t="shared" si="3"/>
        <v>0.13050033211881207</v>
      </c>
    </row>
    <row r="45" spans="1:26" x14ac:dyDescent="0.2">
      <c r="A45" s="2">
        <f t="shared" si="4"/>
        <v>43060</v>
      </c>
      <c r="B45" s="1" t="s">
        <v>67</v>
      </c>
      <c r="C45" s="1" t="s">
        <v>67</v>
      </c>
      <c r="D45" s="1" t="s">
        <v>114</v>
      </c>
      <c r="E45" s="1" t="s">
        <v>130</v>
      </c>
      <c r="F45" s="1" t="s">
        <v>137</v>
      </c>
      <c r="G45" s="1" t="s">
        <v>118</v>
      </c>
      <c r="H45" s="1" t="s">
        <v>123</v>
      </c>
      <c r="I45" s="15" t="str">
        <f t="shared" si="0"/>
        <v>AA+</v>
      </c>
      <c r="J45" s="1"/>
      <c r="K45" s="1"/>
      <c r="L45" s="1"/>
      <c r="M45" s="7"/>
      <c r="N45" s="1"/>
      <c r="O45" s="1"/>
      <c r="P45" s="5">
        <v>1.5599999999999999E-2</v>
      </c>
      <c r="Q45" s="3">
        <v>1.5599999999999999E-2</v>
      </c>
      <c r="R45" s="5">
        <f t="shared" si="1"/>
        <v>0</v>
      </c>
      <c r="S45" s="15">
        <v>0.54808054408836693</v>
      </c>
      <c r="T45" s="1"/>
      <c r="U45" s="1"/>
      <c r="V45" s="15">
        <v>2.6323839931053916</v>
      </c>
      <c r="W45" s="111">
        <f t="shared" si="2"/>
        <v>4.1065190292444105E-2</v>
      </c>
      <c r="X45" s="29">
        <v>1000</v>
      </c>
      <c r="Y45" s="29">
        <v>1000</v>
      </c>
      <c r="Z45" s="111">
        <f t="shared" si="3"/>
        <v>4.1065190292444105E-2</v>
      </c>
    </row>
    <row r="46" spans="1:26" x14ac:dyDescent="0.2">
      <c r="A46" s="2">
        <f t="shared" si="4"/>
        <v>43060</v>
      </c>
      <c r="B46" s="1" t="s">
        <v>68</v>
      </c>
      <c r="C46" s="1" t="s">
        <v>68</v>
      </c>
      <c r="D46" s="1" t="s">
        <v>115</v>
      </c>
      <c r="E46" s="1" t="s">
        <v>130</v>
      </c>
      <c r="F46" s="1" t="s">
        <v>137</v>
      </c>
      <c r="G46" s="1" t="s">
        <v>118</v>
      </c>
      <c r="H46" s="1" t="s">
        <v>123</v>
      </c>
      <c r="I46" s="15" t="str">
        <f t="shared" si="0"/>
        <v>AA+</v>
      </c>
      <c r="J46" s="1"/>
      <c r="K46" s="1"/>
      <c r="L46" s="1"/>
      <c r="M46" s="7"/>
      <c r="N46" s="1"/>
      <c r="O46" s="1"/>
      <c r="P46" s="5">
        <v>1.18E-2</v>
      </c>
      <c r="Q46" s="3">
        <v>1.18E-2</v>
      </c>
      <c r="R46" s="5">
        <f t="shared" si="1"/>
        <v>0</v>
      </c>
      <c r="S46" s="15">
        <v>0.29441792686653023</v>
      </c>
      <c r="T46" s="1"/>
      <c r="U46" s="1"/>
      <c r="V46" s="15">
        <v>3.8913750913611245</v>
      </c>
      <c r="W46" s="111">
        <f t="shared" si="2"/>
        <v>4.5918226078061265E-2</v>
      </c>
      <c r="X46" s="29">
        <v>1000</v>
      </c>
      <c r="Y46" s="29">
        <v>1000</v>
      </c>
      <c r="Z46" s="111">
        <f t="shared" si="3"/>
        <v>4.5918226078061265E-2</v>
      </c>
    </row>
    <row r="47" spans="1:26" x14ac:dyDescent="0.2">
      <c r="A47" s="2">
        <f t="shared" si="4"/>
        <v>43060</v>
      </c>
      <c r="B47" s="1" t="s">
        <v>69</v>
      </c>
      <c r="C47" s="1" t="s">
        <v>69</v>
      </c>
      <c r="D47" s="1" t="s">
        <v>116</v>
      </c>
      <c r="E47" s="1" t="s">
        <v>131</v>
      </c>
      <c r="F47" s="1" t="s">
        <v>138</v>
      </c>
      <c r="G47" s="1" t="s">
        <v>118</v>
      </c>
      <c r="H47" s="1" t="s">
        <v>124</v>
      </c>
      <c r="I47" s="15" t="str">
        <f t="shared" si="0"/>
        <v>AA-</v>
      </c>
      <c r="J47" s="1"/>
      <c r="K47" s="1"/>
      <c r="L47" s="1"/>
      <c r="M47" s="7"/>
      <c r="N47" s="1"/>
      <c r="O47" s="1"/>
      <c r="P47" s="5">
        <v>1.52E-2</v>
      </c>
      <c r="Q47" s="3">
        <v>1.52E-2</v>
      </c>
      <c r="R47" s="5">
        <f t="shared" si="1"/>
        <v>0</v>
      </c>
      <c r="S47" s="15">
        <v>0.36350402335006482</v>
      </c>
      <c r="T47" s="1"/>
      <c r="U47" s="1"/>
      <c r="V47" s="15">
        <v>5.9687707979963385</v>
      </c>
      <c r="W47" s="111">
        <f t="shared" si="2"/>
        <v>9.0725316129544348E-2</v>
      </c>
      <c r="X47" s="29">
        <v>1000</v>
      </c>
      <c r="Y47" s="29">
        <v>1000</v>
      </c>
      <c r="Z47" s="111">
        <f t="shared" si="3"/>
        <v>9.0725316129544348E-2</v>
      </c>
    </row>
    <row r="48" spans="1:26" x14ac:dyDescent="0.2">
      <c r="A48" s="2">
        <f t="shared" si="4"/>
        <v>43060</v>
      </c>
      <c r="B48" s="1" t="s">
        <v>70</v>
      </c>
      <c r="C48" s="1" t="s">
        <v>70</v>
      </c>
      <c r="D48" s="1" t="s">
        <v>117</v>
      </c>
      <c r="E48" s="1" t="s">
        <v>131</v>
      </c>
      <c r="F48" s="1" t="s">
        <v>138</v>
      </c>
      <c r="G48" s="1" t="s">
        <v>118</v>
      </c>
      <c r="H48" s="1" t="s">
        <v>124</v>
      </c>
      <c r="I48" s="15" t="str">
        <f t="shared" si="0"/>
        <v>AA-</v>
      </c>
      <c r="J48" s="1"/>
      <c r="K48" s="1"/>
      <c r="L48" s="1"/>
      <c r="M48" s="7"/>
      <c r="N48" s="1"/>
      <c r="O48" s="1"/>
      <c r="P48" s="5">
        <v>0.15059999999999996</v>
      </c>
      <c r="Q48" s="3">
        <v>0.1406</v>
      </c>
      <c r="R48" s="5">
        <f t="shared" si="1"/>
        <v>9.9999999999999534E-3</v>
      </c>
      <c r="S48" s="15">
        <v>0.50030372795545008</v>
      </c>
      <c r="T48" s="1"/>
      <c r="U48" s="1"/>
      <c r="V48" s="15">
        <v>1.2402687143933211</v>
      </c>
      <c r="W48" s="111">
        <f t="shared" si="2"/>
        <v>0.1867844683876341</v>
      </c>
      <c r="X48" s="29">
        <v>1000</v>
      </c>
      <c r="Y48" s="29">
        <v>1000</v>
      </c>
      <c r="Z48" s="111">
        <f t="shared" si="3"/>
        <v>0.17438178124370096</v>
      </c>
    </row>
    <row r="49" spans="17:17" x14ac:dyDescent="0.2">
      <c r="Q49" s="4"/>
    </row>
    <row r="50" spans="17:17" x14ac:dyDescent="0.2">
      <c r="Q50" s="4"/>
    </row>
    <row r="51" spans="17:17" x14ac:dyDescent="0.2">
      <c r="Q51" s="4"/>
    </row>
    <row r="52" spans="17:17" x14ac:dyDescent="0.2">
      <c r="Q52" s="4"/>
    </row>
    <row r="53" spans="17:17" x14ac:dyDescent="0.2">
      <c r="Q53" s="4"/>
    </row>
    <row r="54" spans="17:17" x14ac:dyDescent="0.2">
      <c r="Q54" s="4"/>
    </row>
    <row r="55" spans="17:17" x14ac:dyDescent="0.2">
      <c r="Q55" s="4"/>
    </row>
    <row r="56" spans="17:17" x14ac:dyDescent="0.2">
      <c r="Q56" s="4"/>
    </row>
    <row r="57" spans="17:17" x14ac:dyDescent="0.2">
      <c r="Q57" s="4"/>
    </row>
    <row r="58" spans="17:17" x14ac:dyDescent="0.2">
      <c r="Q58" s="4"/>
    </row>
    <row r="59" spans="17:17" x14ac:dyDescent="0.2">
      <c r="Q59" s="4"/>
    </row>
    <row r="60" spans="17:17" x14ac:dyDescent="0.2">
      <c r="Q60" s="4"/>
    </row>
    <row r="61" spans="17:17" x14ac:dyDescent="0.2">
      <c r="Q61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display_IR (3)</vt:lpstr>
      <vt:lpstr>display_IR (2)</vt:lpstr>
      <vt:lpstr>display_IR</vt:lpstr>
      <vt:lpstr>display_portfolios_forwards</vt:lpstr>
      <vt:lpstr>display_grouped_forwards</vt:lpstr>
      <vt:lpstr>Simulacion trades</vt:lpstr>
      <vt:lpstr>Allocation</vt:lpstr>
      <vt:lpstr>Caja</vt:lpstr>
      <vt:lpstr>Transacciones</vt:lpstr>
      <vt:lpstr>BD_Instrumentos</vt:lpstr>
      <vt:lpstr>forwards_portfolios</vt:lpstr>
      <vt:lpstr>grouped_forwards</vt:lpstr>
      <vt:lpstr>Dataset</vt:lpstr>
      <vt:lpstr>display_IR!Área_de_impresión</vt:lpstr>
      <vt:lpstr>'display_IR (2)'!Área_de_impresión</vt:lpstr>
      <vt:lpstr>'display_IR (3)'!Área_de_impresión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Posch Ponce</dc:creator>
  <cp:lastModifiedBy>Diego Posch Ponce</cp:lastModifiedBy>
  <cp:lastPrinted>2018-01-03T20:12:44Z</cp:lastPrinted>
  <dcterms:created xsi:type="dcterms:W3CDTF">2017-11-21T12:49:36Z</dcterms:created>
  <dcterms:modified xsi:type="dcterms:W3CDTF">2018-01-11T20:55:25Z</dcterms:modified>
</cp:coreProperties>
</file>
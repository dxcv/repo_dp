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GBI\"/>
    </mc:Choice>
  </mc:AlternateContent>
  <bookViews>
    <workbookView xWindow="0" yWindow="0" windowWidth="21540" windowHeight="7965" activeTab="1" xr2:uid="{00000000-000D-0000-FFFF-FFFF00000000}"/>
  </bookViews>
  <sheets>
    <sheet name="Dataset" sheetId="1" r:id="rId1"/>
    <sheet name="IR" sheetId="15" r:id="rId2"/>
    <sheet name="Simulacion trades" sheetId="2" r:id="rId3"/>
    <sheet name="Allocation" sheetId="8" r:id="rId4"/>
    <sheet name="Caja" sheetId="19" r:id="rId5"/>
    <sheet name="Forwards report" sheetId="16" r:id="rId6"/>
    <sheet name="Transacciones" sheetId="9" r:id="rId7"/>
    <sheet name="BD_Instrumentos" sheetId="18" r:id="rId8"/>
    <sheet name="forward_portfolios" sheetId="20" r:id="rId9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5" l="1"/>
  <c r="P72" i="15"/>
  <c r="Q72" i="15"/>
  <c r="R72" i="15"/>
  <c r="S72" i="15"/>
  <c r="T72" i="15"/>
  <c r="N72" i="15"/>
  <c r="N57" i="15"/>
  <c r="O57" i="15"/>
  <c r="P57" i="15"/>
  <c r="Q57" i="15"/>
  <c r="R57" i="15"/>
  <c r="S57" i="15"/>
  <c r="T57" i="15"/>
  <c r="N58" i="15"/>
  <c r="O58" i="15"/>
  <c r="P58" i="15"/>
  <c r="Q58" i="15"/>
  <c r="R58" i="15"/>
  <c r="S58" i="15"/>
  <c r="T58" i="15"/>
  <c r="N59" i="15"/>
  <c r="O59" i="15"/>
  <c r="P59" i="15"/>
  <c r="Q59" i="15"/>
  <c r="R59" i="15"/>
  <c r="S59" i="15"/>
  <c r="T59" i="15"/>
  <c r="N60" i="15"/>
  <c r="O60" i="15"/>
  <c r="P60" i="15"/>
  <c r="Q60" i="15"/>
  <c r="R60" i="15"/>
  <c r="S60" i="15"/>
  <c r="T60" i="15"/>
  <c r="N61" i="15"/>
  <c r="O61" i="15"/>
  <c r="P61" i="15"/>
  <c r="Q61" i="15"/>
  <c r="R61" i="15"/>
  <c r="S61" i="15"/>
  <c r="T61" i="15"/>
  <c r="N62" i="15"/>
  <c r="O62" i="15"/>
  <c r="P62" i="15"/>
  <c r="Q62" i="15"/>
  <c r="R62" i="15"/>
  <c r="S62" i="15"/>
  <c r="T62" i="15"/>
  <c r="N63" i="15"/>
  <c r="O63" i="15"/>
  <c r="P63" i="15"/>
  <c r="Q63" i="15"/>
  <c r="R63" i="15"/>
  <c r="S63" i="15"/>
  <c r="T63" i="15"/>
  <c r="N64" i="15"/>
  <c r="O64" i="15"/>
  <c r="P64" i="15"/>
  <c r="Q64" i="15"/>
  <c r="R64" i="15"/>
  <c r="S64" i="15"/>
  <c r="T64" i="15"/>
  <c r="N65" i="15"/>
  <c r="O65" i="15"/>
  <c r="P65" i="15"/>
  <c r="Q65" i="15"/>
  <c r="R65" i="15"/>
  <c r="S65" i="15"/>
  <c r="T65" i="15"/>
  <c r="N66" i="15"/>
  <c r="O66" i="15"/>
  <c r="P66" i="15"/>
  <c r="Q66" i="15"/>
  <c r="R66" i="15"/>
  <c r="S66" i="15"/>
  <c r="T66" i="15"/>
  <c r="N67" i="15"/>
  <c r="O67" i="15"/>
  <c r="P67" i="15"/>
  <c r="Q67" i="15"/>
  <c r="R67" i="15"/>
  <c r="S67" i="15"/>
  <c r="T67" i="15"/>
  <c r="N68" i="15"/>
  <c r="O68" i="15"/>
  <c r="P68" i="15"/>
  <c r="Q68" i="15"/>
  <c r="R68" i="15"/>
  <c r="S68" i="15"/>
  <c r="T68" i="15"/>
  <c r="N69" i="15"/>
  <c r="O69" i="15"/>
  <c r="P69" i="15"/>
  <c r="Q69" i="15"/>
  <c r="R69" i="15"/>
  <c r="S69" i="15"/>
  <c r="T69" i="15"/>
  <c r="N70" i="15"/>
  <c r="O70" i="15"/>
  <c r="P70" i="15"/>
  <c r="Q70" i="15"/>
  <c r="R70" i="15"/>
  <c r="S70" i="15"/>
  <c r="T70" i="15"/>
  <c r="N71" i="15"/>
  <c r="O71" i="15"/>
  <c r="P71" i="15"/>
  <c r="Q71" i="15"/>
  <c r="R71" i="15"/>
  <c r="S71" i="15"/>
  <c r="T71" i="15"/>
  <c r="O56" i="15"/>
  <c r="P56" i="15"/>
  <c r="Q56" i="15"/>
  <c r="R56" i="15"/>
  <c r="S56" i="15"/>
  <c r="T56" i="15"/>
  <c r="N56" i="15"/>
  <c r="F57" i="15"/>
  <c r="G57" i="15"/>
  <c r="H57" i="15"/>
  <c r="I57" i="15"/>
  <c r="J57" i="15"/>
  <c r="K57" i="15"/>
  <c r="L57" i="15"/>
  <c r="F58" i="15"/>
  <c r="G58" i="15"/>
  <c r="H58" i="15"/>
  <c r="I58" i="15"/>
  <c r="J58" i="15"/>
  <c r="K58" i="15"/>
  <c r="L58" i="15"/>
  <c r="F59" i="15"/>
  <c r="G59" i="15"/>
  <c r="H59" i="15"/>
  <c r="I59" i="15"/>
  <c r="J59" i="15"/>
  <c r="K59" i="15"/>
  <c r="L59" i="15"/>
  <c r="F60" i="15"/>
  <c r="G60" i="15"/>
  <c r="H60" i="15"/>
  <c r="I60" i="15"/>
  <c r="J60" i="15"/>
  <c r="K60" i="15"/>
  <c r="L60" i="15"/>
  <c r="F61" i="15"/>
  <c r="G61" i="15"/>
  <c r="H61" i="15"/>
  <c r="I61" i="15"/>
  <c r="J61" i="15"/>
  <c r="K61" i="15"/>
  <c r="L61" i="15"/>
  <c r="F62" i="15"/>
  <c r="G62" i="15"/>
  <c r="H62" i="15"/>
  <c r="I62" i="15"/>
  <c r="J62" i="15"/>
  <c r="K62" i="15"/>
  <c r="L62" i="15"/>
  <c r="F63" i="15"/>
  <c r="G63" i="15"/>
  <c r="H63" i="15"/>
  <c r="I63" i="15"/>
  <c r="J63" i="15"/>
  <c r="K63" i="15"/>
  <c r="L63" i="15"/>
  <c r="F64" i="15"/>
  <c r="G64" i="15"/>
  <c r="H64" i="15"/>
  <c r="I64" i="15"/>
  <c r="J64" i="15"/>
  <c r="K64" i="15"/>
  <c r="L64" i="15"/>
  <c r="F65" i="15"/>
  <c r="G65" i="15"/>
  <c r="H65" i="15"/>
  <c r="I65" i="15"/>
  <c r="J65" i="15"/>
  <c r="K65" i="15"/>
  <c r="L65" i="15"/>
  <c r="F66" i="15"/>
  <c r="G66" i="15"/>
  <c r="H66" i="15"/>
  <c r="I66" i="15"/>
  <c r="J66" i="15"/>
  <c r="K66" i="15"/>
  <c r="L66" i="15"/>
  <c r="F67" i="15"/>
  <c r="G67" i="15"/>
  <c r="H67" i="15"/>
  <c r="I67" i="15"/>
  <c r="J67" i="15"/>
  <c r="K67" i="15"/>
  <c r="L67" i="15"/>
  <c r="F68" i="15"/>
  <c r="G68" i="15"/>
  <c r="H68" i="15"/>
  <c r="I68" i="15"/>
  <c r="J68" i="15"/>
  <c r="K68" i="15"/>
  <c r="L68" i="15"/>
  <c r="F69" i="15"/>
  <c r="G69" i="15"/>
  <c r="H69" i="15"/>
  <c r="I69" i="15"/>
  <c r="J69" i="15"/>
  <c r="K69" i="15"/>
  <c r="L69" i="15"/>
  <c r="F70" i="15"/>
  <c r="G70" i="15"/>
  <c r="H70" i="15"/>
  <c r="I70" i="15"/>
  <c r="J70" i="15"/>
  <c r="K70" i="15"/>
  <c r="L70" i="15"/>
  <c r="F71" i="15"/>
  <c r="G71" i="15"/>
  <c r="H71" i="15"/>
  <c r="I71" i="15"/>
  <c r="J71" i="15"/>
  <c r="K71" i="15"/>
  <c r="L71" i="15"/>
  <c r="G56" i="15"/>
  <c r="H56" i="15"/>
  <c r="I56" i="15"/>
  <c r="J56" i="15"/>
  <c r="K56" i="15"/>
  <c r="L56" i="15"/>
  <c r="F56" i="15"/>
  <c r="K29" i="2"/>
  <c r="N24" i="8"/>
  <c r="D15" i="8"/>
  <c r="F10" i="8" l="1"/>
  <c r="E18" i="8"/>
  <c r="E19" i="8"/>
  <c r="E20" i="8"/>
  <c r="E21" i="8"/>
  <c r="E22" i="8"/>
  <c r="E23" i="8"/>
  <c r="E24" i="8" s="1"/>
  <c r="E17" i="8"/>
  <c r="L9" i="19" l="1"/>
  <c r="L8" i="2"/>
  <c r="P8" i="2" l="1"/>
  <c r="P9" i="2"/>
  <c r="P10" i="2"/>
  <c r="P11" i="2"/>
  <c r="P12" i="2"/>
  <c r="P13" i="2"/>
  <c r="P14" i="2"/>
  <c r="P15" i="2"/>
  <c r="P16" i="2"/>
  <c r="M29" i="2"/>
  <c r="M23" i="2"/>
  <c r="M24" i="2"/>
  <c r="M25" i="2"/>
  <c r="M26" i="2"/>
  <c r="M27" i="2"/>
  <c r="M28" i="2"/>
  <c r="N28" i="2" s="1"/>
  <c r="M22" i="2"/>
  <c r="I23" i="2"/>
  <c r="J23" i="2" s="1"/>
  <c r="I24" i="2"/>
  <c r="I25" i="2"/>
  <c r="I26" i="2"/>
  <c r="I27" i="2"/>
  <c r="J27" i="2" s="1"/>
  <c r="I28" i="2"/>
  <c r="J28" i="2" s="1"/>
  <c r="I22" i="2"/>
  <c r="J22" i="2" s="1"/>
  <c r="K23" i="2"/>
  <c r="K24" i="2"/>
  <c r="K25" i="2"/>
  <c r="K26" i="2"/>
  <c r="K27" i="2"/>
  <c r="K28" i="2"/>
  <c r="K22" i="2"/>
  <c r="J24" i="2"/>
  <c r="J25" i="2"/>
  <c r="J26" i="2"/>
  <c r="N11" i="2"/>
  <c r="N14" i="2"/>
  <c r="O10" i="2"/>
  <c r="N12" i="2"/>
  <c r="O11" i="2"/>
  <c r="O9" i="2"/>
  <c r="O12" i="2"/>
  <c r="O13" i="2"/>
  <c r="O15" i="2"/>
  <c r="O16" i="2"/>
  <c r="N9" i="2"/>
  <c r="N10" i="2"/>
  <c r="O14" i="2"/>
  <c r="N16" i="2"/>
  <c r="N13" i="2"/>
  <c r="N15" i="2"/>
  <c r="J29" i="2" l="1"/>
  <c r="N27" i="2"/>
  <c r="N26" i="2"/>
  <c r="N24" i="2"/>
  <c r="N23" i="2"/>
  <c r="N22" i="2"/>
  <c r="N25" i="2"/>
  <c r="N29" i="2" s="1"/>
  <c r="E2" i="2" l="1"/>
  <c r="G39" i="18"/>
  <c r="C51" i="18"/>
  <c r="G63" i="18"/>
  <c r="F36" i="18"/>
  <c r="F21" i="18"/>
  <c r="E13" i="18"/>
  <c r="D41" i="18"/>
  <c r="E47" i="18"/>
  <c r="C39" i="18"/>
  <c r="F29" i="18"/>
  <c r="D12" i="18"/>
  <c r="E33" i="18"/>
  <c r="F19" i="18"/>
  <c r="F40" i="18"/>
  <c r="F7" i="18"/>
  <c r="G8" i="18"/>
  <c r="C27" i="18"/>
  <c r="G14" i="18"/>
  <c r="D21" i="18"/>
  <c r="D62" i="18"/>
  <c r="C6" i="18"/>
  <c r="F27" i="18"/>
  <c r="G28" i="18"/>
  <c r="D58" i="18"/>
  <c r="G41" i="18"/>
  <c r="F8" i="18"/>
  <c r="C47" i="18"/>
  <c r="C41" i="18"/>
  <c r="F33" i="18"/>
  <c r="F47" i="18"/>
  <c r="D23" i="18"/>
  <c r="D61" i="18"/>
  <c r="C64" i="18"/>
  <c r="E27" i="18"/>
  <c r="D19" i="18"/>
  <c r="F24" i="18"/>
  <c r="G3" i="18"/>
  <c r="F63" i="18"/>
  <c r="E49" i="18"/>
  <c r="C48" i="18"/>
  <c r="G6" i="18"/>
  <c r="G17" i="18"/>
  <c r="C44" i="18"/>
  <c r="E3" i="18"/>
  <c r="C53" i="18"/>
  <c r="D37" i="18"/>
  <c r="G58" i="18"/>
  <c r="D4" i="18"/>
  <c r="C31" i="18"/>
  <c r="C54" i="18"/>
  <c r="F57" i="18"/>
  <c r="D48" i="18"/>
  <c r="C4" i="18"/>
  <c r="D25" i="18"/>
  <c r="D53" i="18"/>
  <c r="C60" i="18"/>
  <c r="G32" i="18"/>
  <c r="G27" i="18"/>
  <c r="E58" i="18"/>
  <c r="C25" i="18"/>
  <c r="D65" i="18"/>
  <c r="E16" i="18"/>
  <c r="D52" i="18"/>
  <c r="D54" i="18"/>
  <c r="E65" i="18"/>
  <c r="E19" i="18"/>
  <c r="F60" i="18"/>
  <c r="C56" i="18"/>
  <c r="F39" i="18"/>
  <c r="C49" i="18"/>
  <c r="D40" i="18"/>
  <c r="C40" i="18"/>
  <c r="F34" i="18"/>
  <c r="E8" i="18"/>
  <c r="C55" i="18"/>
  <c r="G65" i="18"/>
  <c r="G57" i="18"/>
  <c r="F17" i="18"/>
  <c r="G9" i="18"/>
  <c r="C22" i="18"/>
  <c r="D28" i="18"/>
  <c r="F15" i="18"/>
  <c r="D34" i="18"/>
  <c r="G50" i="18"/>
  <c r="G62" i="18"/>
  <c r="D60" i="18"/>
  <c r="D56" i="18"/>
  <c r="C20" i="18"/>
  <c r="F65" i="18"/>
  <c r="C14" i="18"/>
  <c r="E45" i="18"/>
  <c r="F13" i="18"/>
  <c r="D45" i="18"/>
  <c r="D36" i="18"/>
  <c r="C37" i="18"/>
  <c r="E53" i="18"/>
  <c r="G36" i="18"/>
  <c r="E7" i="18"/>
  <c r="D5" i="18"/>
  <c r="C58" i="18"/>
  <c r="F6" i="18"/>
  <c r="G5" i="18"/>
  <c r="F44" i="18"/>
  <c r="E51" i="18"/>
  <c r="C18" i="18"/>
  <c r="E29" i="18"/>
  <c r="E20" i="18"/>
  <c r="G61" i="18"/>
  <c r="E18" i="18"/>
  <c r="D38" i="18"/>
  <c r="G40" i="18"/>
  <c r="E42" i="18"/>
  <c r="D20" i="18"/>
  <c r="C28" i="18"/>
  <c r="G23" i="18"/>
  <c r="E43" i="18"/>
  <c r="E10" i="18"/>
  <c r="E39" i="18"/>
  <c r="C57" i="18"/>
  <c r="E55" i="18"/>
  <c r="G59" i="18"/>
  <c r="F50" i="18"/>
  <c r="C46" i="18"/>
  <c r="F35" i="18"/>
  <c r="F14" i="18"/>
  <c r="D33" i="18"/>
  <c r="D8" i="18"/>
  <c r="E61" i="18"/>
  <c r="F42" i="18"/>
  <c r="G52" i="18"/>
  <c r="C3" i="18"/>
  <c r="E31" i="18"/>
  <c r="C8" i="18"/>
  <c r="D59" i="18"/>
  <c r="G64" i="18"/>
  <c r="C32" i="18"/>
  <c r="D15" i="18"/>
  <c r="D17" i="18"/>
  <c r="E25" i="18"/>
  <c r="G35" i="18"/>
  <c r="D26" i="18"/>
  <c r="G43" i="18"/>
  <c r="G20" i="18"/>
  <c r="C10" i="18"/>
  <c r="F53" i="18"/>
  <c r="C5" i="18"/>
  <c r="D35" i="18"/>
  <c r="F25" i="18"/>
  <c r="D14" i="18"/>
  <c r="F11" i="18"/>
  <c r="E9" i="18"/>
  <c r="F16" i="18"/>
  <c r="F26" i="18"/>
  <c r="F9" i="18"/>
  <c r="F22" i="18"/>
  <c r="G24" i="18"/>
  <c r="E60" i="18"/>
  <c r="F41" i="18"/>
  <c r="F55" i="18"/>
  <c r="D18" i="18"/>
  <c r="C19" i="18"/>
  <c r="C63" i="18"/>
  <c r="C24" i="18"/>
  <c r="F5" i="18"/>
  <c r="C17" i="18"/>
  <c r="D3" i="18"/>
  <c r="E63" i="18"/>
  <c r="C61" i="18"/>
  <c r="G33" i="18"/>
  <c r="E52" i="18"/>
  <c r="D31" i="18"/>
  <c r="F43" i="18"/>
  <c r="G34" i="18"/>
  <c r="F62" i="18"/>
  <c r="D39" i="18"/>
  <c r="F48" i="18"/>
  <c r="G13" i="18"/>
  <c r="C35" i="18"/>
  <c r="G49" i="18"/>
  <c r="G54" i="18"/>
  <c r="C26" i="18"/>
  <c r="G21" i="18"/>
  <c r="C62" i="18"/>
  <c r="F46" i="18"/>
  <c r="G11" i="18"/>
  <c r="D46" i="18"/>
  <c r="D51" i="18"/>
  <c r="C9" i="18"/>
  <c r="F2" i="18"/>
  <c r="E5" i="18"/>
  <c r="D43" i="18"/>
  <c r="G51" i="18"/>
  <c r="C11" i="18"/>
  <c r="E56" i="18"/>
  <c r="E44" i="18"/>
  <c r="F58" i="18"/>
  <c r="D50" i="18"/>
  <c r="G31" i="18"/>
  <c r="C30" i="18"/>
  <c r="E4" i="18"/>
  <c r="C52" i="18"/>
  <c r="E37" i="18"/>
  <c r="G60" i="18"/>
  <c r="E50" i="18"/>
  <c r="C15" i="18"/>
  <c r="E26" i="18"/>
  <c r="F59" i="18"/>
  <c r="F56" i="18"/>
  <c r="F64" i="18"/>
  <c r="D13" i="18"/>
  <c r="F4" i="18"/>
  <c r="E15" i="18"/>
  <c r="E22" i="18"/>
  <c r="D27" i="18"/>
  <c r="G10" i="18"/>
  <c r="C36" i="18"/>
  <c r="F61" i="18"/>
  <c r="F54" i="18"/>
  <c r="C59" i="18"/>
  <c r="F28" i="18"/>
  <c r="G44" i="18"/>
  <c r="C34" i="18"/>
  <c r="E48" i="18"/>
  <c r="G46" i="18"/>
  <c r="C42" i="18"/>
  <c r="D2" i="18"/>
  <c r="C23" i="18"/>
  <c r="D44" i="18"/>
  <c r="D47" i="18"/>
  <c r="E17" i="18"/>
  <c r="C13" i="18"/>
  <c r="G37" i="18"/>
  <c r="C16" i="18"/>
  <c r="G18" i="18"/>
  <c r="C43" i="18"/>
  <c r="G2" i="18"/>
  <c r="C45" i="18"/>
  <c r="D16" i="18"/>
  <c r="G29" i="18"/>
  <c r="E23" i="18"/>
  <c r="E57" i="18"/>
  <c r="G45" i="18"/>
  <c r="G22" i="18"/>
  <c r="C29" i="18"/>
  <c r="D64" i="18"/>
  <c r="E41" i="18"/>
  <c r="L7" i="2"/>
  <c r="E40" i="18"/>
  <c r="G19" i="18"/>
  <c r="F38" i="18"/>
  <c r="D57" i="18"/>
  <c r="G48" i="18"/>
  <c r="G15" i="18"/>
  <c r="C38" i="18"/>
  <c r="E59" i="18"/>
  <c r="F30" i="18"/>
  <c r="E38" i="18"/>
  <c r="E24" i="18"/>
  <c r="G25" i="18"/>
  <c r="G38" i="18"/>
  <c r="C50" i="18"/>
  <c r="G53" i="18"/>
  <c r="C33" i="18"/>
  <c r="F18" i="18"/>
  <c r="E62" i="18"/>
  <c r="F32" i="18"/>
  <c r="F20" i="18"/>
  <c r="D49" i="18"/>
  <c r="D22" i="18"/>
  <c r="G30" i="18"/>
  <c r="E12" i="18"/>
  <c r="D42" i="18"/>
  <c r="F10" i="18"/>
  <c r="E11" i="18"/>
  <c r="D10" i="18"/>
  <c r="E36" i="18"/>
  <c r="E64" i="18"/>
  <c r="D6" i="18"/>
  <c r="F3" i="18"/>
  <c r="F12" i="18"/>
  <c r="E28" i="18"/>
  <c r="G7" i="18"/>
  <c r="E46" i="18"/>
  <c r="G47" i="18"/>
  <c r="F45" i="18"/>
  <c r="D63" i="18"/>
  <c r="D30" i="18"/>
  <c r="C21" i="18"/>
  <c r="E14" i="18"/>
  <c r="D55" i="18"/>
  <c r="E54" i="18"/>
  <c r="E2" i="18"/>
  <c r="D29" i="18"/>
  <c r="F37" i="18"/>
  <c r="D32" i="18"/>
  <c r="E34" i="18"/>
  <c r="E21" i="18"/>
  <c r="C65" i="18"/>
  <c r="E6" i="18"/>
  <c r="E35" i="18"/>
  <c r="F52" i="18"/>
  <c r="E30" i="18"/>
  <c r="D9" i="18"/>
  <c r="D24" i="18"/>
  <c r="E32" i="18"/>
  <c r="F49" i="18"/>
  <c r="C2" i="18"/>
  <c r="F31" i="18"/>
  <c r="D7" i="18"/>
  <c r="F51" i="18"/>
  <c r="G16" i="18"/>
  <c r="G55" i="18"/>
  <c r="G42" i="18"/>
  <c r="C12" i="18"/>
  <c r="D11" i="18"/>
  <c r="G4" i="18"/>
  <c r="F23" i="18"/>
  <c r="G56" i="18"/>
  <c r="G12" i="18"/>
  <c r="G26" i="18"/>
  <c r="C7" i="18"/>
  <c r="E3" i="2" l="1"/>
  <c r="L23" i="2"/>
  <c r="L24" i="2"/>
  <c r="L25" i="2"/>
  <c r="L26" i="2"/>
  <c r="L27" i="2"/>
  <c r="L28" i="2"/>
  <c r="G25" i="15"/>
  <c r="G26" i="15"/>
  <c r="G27" i="15"/>
  <c r="G28" i="15"/>
  <c r="G29" i="15"/>
  <c r="G30" i="15"/>
  <c r="G24" i="15"/>
  <c r="F25" i="15"/>
  <c r="F26" i="15"/>
  <c r="F27" i="15"/>
  <c r="F28" i="15"/>
  <c r="F29" i="15"/>
  <c r="F30" i="15"/>
  <c r="F24" i="15"/>
  <c r="O7" i="2"/>
  <c r="O8" i="2"/>
  <c r="N8" i="2"/>
  <c r="N7" i="2"/>
  <c r="P7" i="2" l="1"/>
  <c r="P18" i="2" s="1"/>
  <c r="L22" i="2"/>
  <c r="L29" i="2" s="1"/>
  <c r="I29" i="2"/>
  <c r="Q10" i="2"/>
  <c r="R10" i="2" s="1"/>
  <c r="Q16" i="2"/>
  <c r="R16" i="2" s="1"/>
  <c r="Q8" i="2"/>
  <c r="R8" i="2" s="1"/>
  <c r="Q11" i="2"/>
  <c r="R11" i="2" s="1"/>
  <c r="Q13" i="2"/>
  <c r="R13" i="2" s="1"/>
  <c r="Q9" i="2"/>
  <c r="R9" i="2" s="1"/>
  <c r="Q15" i="2"/>
  <c r="R15" i="2" s="1"/>
  <c r="Q14" i="2"/>
  <c r="R14" i="2" s="1"/>
  <c r="Q12" i="2"/>
  <c r="R12" i="2" s="1"/>
  <c r="P17" i="2" l="1"/>
  <c r="R18" i="2"/>
  <c r="Q18" i="2"/>
  <c r="Q7" i="2"/>
  <c r="R7" i="2" s="1"/>
  <c r="Q17" i="2"/>
  <c r="R17" i="2"/>
  <c r="I80" i="15"/>
  <c r="J80" i="15"/>
  <c r="K80" i="15"/>
  <c r="L80" i="15"/>
  <c r="M80" i="15"/>
  <c r="N80" i="15"/>
  <c r="O80" i="15"/>
  <c r="P80" i="15"/>
  <c r="Q80" i="15"/>
  <c r="R80" i="15"/>
  <c r="S80" i="15"/>
  <c r="T80" i="15"/>
  <c r="H80" i="15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2" i="1"/>
  <c r="C80" i="15"/>
  <c r="G80" i="15"/>
  <c r="O81" i="15" l="1"/>
  <c r="N81" i="15"/>
  <c r="D80" i="15"/>
  <c r="K81" i="15" s="1"/>
  <c r="R81" i="15" l="1"/>
  <c r="J81" i="15"/>
  <c r="S81" i="15"/>
  <c r="I81" i="15"/>
  <c r="Q81" i="15"/>
  <c r="P81" i="15"/>
  <c r="H81" i="15"/>
  <c r="L81" i="15"/>
  <c r="T81" i="15"/>
  <c r="M81" i="15"/>
  <c r="C81" i="15"/>
  <c r="G81" i="15"/>
  <c r="D81" i="15" l="1"/>
  <c r="C82" i="15" s="1"/>
  <c r="S82" i="15" l="1"/>
  <c r="L82" i="15"/>
  <c r="O82" i="15"/>
  <c r="J82" i="15"/>
  <c r="K82" i="15"/>
  <c r="M82" i="15"/>
  <c r="N82" i="15"/>
  <c r="T82" i="15"/>
  <c r="I82" i="15"/>
  <c r="P82" i="15"/>
  <c r="J83" i="15"/>
  <c r="R83" i="15"/>
  <c r="S83" i="15"/>
  <c r="L83" i="15"/>
  <c r="H83" i="15"/>
  <c r="P83" i="15"/>
  <c r="R82" i="15"/>
  <c r="Q82" i="15"/>
  <c r="H82" i="15"/>
  <c r="G82" i="15"/>
  <c r="D82" i="15"/>
  <c r="C83" i="15" s="1"/>
  <c r="K83" i="15" l="1"/>
  <c r="O83" i="15"/>
  <c r="N83" i="15"/>
  <c r="M83" i="15"/>
  <c r="Q83" i="15"/>
  <c r="T83" i="15"/>
  <c r="I83" i="15"/>
  <c r="G83" i="15"/>
  <c r="D83" i="15"/>
  <c r="C84" i="15" s="1"/>
  <c r="O84" i="15" l="1"/>
  <c r="M85" i="15"/>
  <c r="L85" i="15"/>
  <c r="P84" i="15"/>
  <c r="T84" i="15"/>
  <c r="H84" i="15"/>
  <c r="L84" i="15"/>
  <c r="R84" i="15"/>
  <c r="I84" i="15"/>
  <c r="J84" i="15"/>
  <c r="N84" i="15"/>
  <c r="S84" i="15"/>
  <c r="M84" i="15"/>
  <c r="K84" i="15"/>
  <c r="Q84" i="15"/>
  <c r="G84" i="15"/>
  <c r="D84" i="15"/>
  <c r="C85" i="15" s="1"/>
  <c r="I85" i="15" l="1"/>
  <c r="N85" i="15"/>
  <c r="P85" i="15"/>
  <c r="S85" i="15"/>
  <c r="H85" i="15"/>
  <c r="J86" i="15"/>
  <c r="R86" i="15"/>
  <c r="P86" i="15"/>
  <c r="L86" i="15"/>
  <c r="T86" i="15"/>
  <c r="N86" i="15"/>
  <c r="I86" i="15"/>
  <c r="H86" i="15"/>
  <c r="K85" i="15"/>
  <c r="T85" i="15"/>
  <c r="R85" i="15"/>
  <c r="O85" i="15"/>
  <c r="J85" i="15"/>
  <c r="Q85" i="15"/>
  <c r="D85" i="15"/>
  <c r="C86" i="15" s="1"/>
  <c r="G85" i="15"/>
  <c r="O86" i="15" l="1"/>
  <c r="S86" i="15"/>
  <c r="Q86" i="15"/>
  <c r="K86" i="15"/>
  <c r="M86" i="15"/>
  <c r="G86" i="15"/>
  <c r="D86" i="15"/>
  <c r="C87" i="15" s="1"/>
  <c r="P87" i="15" l="1"/>
  <c r="I87" i="15"/>
  <c r="M87" i="15"/>
  <c r="J87" i="15"/>
  <c r="H87" i="15"/>
  <c r="S87" i="15"/>
  <c r="O87" i="15"/>
  <c r="P88" i="15"/>
  <c r="M88" i="15"/>
  <c r="Q88" i="15"/>
  <c r="N88" i="15"/>
  <c r="J88" i="15"/>
  <c r="R88" i="15"/>
  <c r="S88" i="15"/>
  <c r="L88" i="15"/>
  <c r="O88" i="15"/>
  <c r="T87" i="15"/>
  <c r="R87" i="15"/>
  <c r="L87" i="15"/>
  <c r="N87" i="15"/>
  <c r="Q87" i="15"/>
  <c r="K87" i="15"/>
  <c r="D87" i="15"/>
  <c r="C88" i="15" s="1"/>
  <c r="G87" i="15"/>
  <c r="E56" i="15"/>
  <c r="C57" i="15"/>
  <c r="S40" i="15"/>
  <c r="T40" i="15"/>
  <c r="U40" i="15"/>
  <c r="V40" i="15"/>
  <c r="S41" i="15"/>
  <c r="T41" i="15"/>
  <c r="U41" i="15"/>
  <c r="V41" i="15"/>
  <c r="S42" i="15"/>
  <c r="T42" i="15"/>
  <c r="U42" i="15"/>
  <c r="V42" i="15"/>
  <c r="S43" i="15"/>
  <c r="T43" i="15"/>
  <c r="U43" i="15"/>
  <c r="V43" i="15"/>
  <c r="S44" i="15"/>
  <c r="T44" i="15"/>
  <c r="U44" i="15"/>
  <c r="V44" i="15"/>
  <c r="S45" i="15"/>
  <c r="T45" i="15"/>
  <c r="U45" i="15"/>
  <c r="V45" i="15"/>
  <c r="S46" i="15"/>
  <c r="T46" i="15"/>
  <c r="U46" i="15"/>
  <c r="V46" i="15"/>
  <c r="S47" i="15"/>
  <c r="T47" i="15"/>
  <c r="U47" i="15"/>
  <c r="V47" i="15"/>
  <c r="S48" i="15"/>
  <c r="T48" i="15"/>
  <c r="U48" i="15"/>
  <c r="V48" i="15"/>
  <c r="V39" i="15"/>
  <c r="U39" i="15"/>
  <c r="T39" i="15"/>
  <c r="S39" i="15"/>
  <c r="Q40" i="15"/>
  <c r="Q41" i="15"/>
  <c r="Q42" i="15"/>
  <c r="Q43" i="15"/>
  <c r="Q44" i="15"/>
  <c r="Q45" i="15"/>
  <c r="Q46" i="15"/>
  <c r="Q47" i="15"/>
  <c r="Q48" i="15"/>
  <c r="Q39" i="15"/>
  <c r="P40" i="15"/>
  <c r="P41" i="15"/>
  <c r="P42" i="15"/>
  <c r="P43" i="15"/>
  <c r="P44" i="15"/>
  <c r="P45" i="15"/>
  <c r="P46" i="15"/>
  <c r="P47" i="15"/>
  <c r="P48" i="15"/>
  <c r="P39" i="15"/>
  <c r="O39" i="15"/>
  <c r="N40" i="15"/>
  <c r="N41" i="15"/>
  <c r="N42" i="15"/>
  <c r="N43" i="15"/>
  <c r="N44" i="15"/>
  <c r="N45" i="15"/>
  <c r="N46" i="15"/>
  <c r="N47" i="15"/>
  <c r="N48" i="15"/>
  <c r="S32" i="15"/>
  <c r="O48" i="15"/>
  <c r="O47" i="15"/>
  <c r="O46" i="15"/>
  <c r="O45" i="15"/>
  <c r="O44" i="15"/>
  <c r="O43" i="15"/>
  <c r="O42" i="15"/>
  <c r="O41" i="15"/>
  <c r="O40" i="15"/>
  <c r="V25" i="15"/>
  <c r="V26" i="15"/>
  <c r="V27" i="15"/>
  <c r="V28" i="15"/>
  <c r="V29" i="15"/>
  <c r="V30" i="15"/>
  <c r="V31" i="15"/>
  <c r="V32" i="15"/>
  <c r="V33" i="15"/>
  <c r="V24" i="15"/>
  <c r="U25" i="15"/>
  <c r="U26" i="15"/>
  <c r="U27" i="15"/>
  <c r="U28" i="15"/>
  <c r="U29" i="15"/>
  <c r="U30" i="15"/>
  <c r="U31" i="15"/>
  <c r="U32" i="15"/>
  <c r="U33" i="15"/>
  <c r="U24" i="15"/>
  <c r="T25" i="15"/>
  <c r="T26" i="15"/>
  <c r="T27" i="15"/>
  <c r="T28" i="15"/>
  <c r="T29" i="15"/>
  <c r="T30" i="15"/>
  <c r="T31" i="15"/>
  <c r="T32" i="15"/>
  <c r="T33" i="15"/>
  <c r="T24" i="15"/>
  <c r="S25" i="15"/>
  <c r="S26" i="15"/>
  <c r="S27" i="15"/>
  <c r="S28" i="15"/>
  <c r="S29" i="15"/>
  <c r="S30" i="15"/>
  <c r="S31" i="15"/>
  <c r="S33" i="15"/>
  <c r="Q25" i="15"/>
  <c r="Q26" i="15"/>
  <c r="Q27" i="15"/>
  <c r="Q28" i="15"/>
  <c r="Q29" i="15"/>
  <c r="Q30" i="15"/>
  <c r="Q31" i="15"/>
  <c r="Q32" i="15"/>
  <c r="Q33" i="15"/>
  <c r="Q24" i="15"/>
  <c r="O25" i="15"/>
  <c r="O26" i="15"/>
  <c r="O27" i="15"/>
  <c r="O28" i="15"/>
  <c r="O29" i="15"/>
  <c r="O30" i="15"/>
  <c r="O31" i="15"/>
  <c r="O32" i="15"/>
  <c r="O33" i="15"/>
  <c r="N25" i="15"/>
  <c r="N26" i="15"/>
  <c r="N27" i="15"/>
  <c r="N28" i="15"/>
  <c r="N29" i="15"/>
  <c r="N30" i="15"/>
  <c r="N31" i="15"/>
  <c r="N32" i="15"/>
  <c r="N33" i="15"/>
  <c r="O24" i="15"/>
  <c r="N24" i="15"/>
  <c r="K88" i="15" l="1"/>
  <c r="H88" i="15"/>
  <c r="Q89" i="15"/>
  <c r="L89" i="15"/>
  <c r="T89" i="15"/>
  <c r="P89" i="15"/>
  <c r="N89" i="15"/>
  <c r="R89" i="15"/>
  <c r="H89" i="15"/>
  <c r="I89" i="15"/>
  <c r="T88" i="15"/>
  <c r="I88" i="15"/>
  <c r="D57" i="15"/>
  <c r="C58" i="15" s="1"/>
  <c r="G89" i="15"/>
  <c r="D88" i="15"/>
  <c r="C89" i="15" s="1"/>
  <c r="G88" i="15"/>
  <c r="S24" i="15"/>
  <c r="N39" i="15"/>
  <c r="M89" i="15" l="1"/>
  <c r="D58" i="15"/>
  <c r="C59" i="15" s="1"/>
  <c r="J89" i="15"/>
  <c r="S89" i="15"/>
  <c r="E57" i="15"/>
  <c r="M57" i="15"/>
  <c r="N90" i="15"/>
  <c r="Q90" i="15"/>
  <c r="S90" i="15"/>
  <c r="O89" i="15"/>
  <c r="K89" i="15"/>
  <c r="D89" i="15"/>
  <c r="C90" i="15" s="1"/>
  <c r="D59" i="15"/>
  <c r="C60" i="15" s="1"/>
  <c r="I90" i="15" l="1"/>
  <c r="P90" i="15"/>
  <c r="G90" i="15"/>
  <c r="M90" i="15"/>
  <c r="H90" i="15"/>
  <c r="J90" i="15"/>
  <c r="O90" i="15"/>
  <c r="R90" i="15"/>
  <c r="T90" i="15"/>
  <c r="M58" i="15"/>
  <c r="L90" i="15"/>
  <c r="K90" i="15"/>
  <c r="E58" i="15"/>
  <c r="E59" i="15"/>
  <c r="D90" i="15"/>
  <c r="C91" i="15" s="1"/>
  <c r="D60" i="15"/>
  <c r="C61" i="15" s="1"/>
  <c r="S91" i="15" l="1"/>
  <c r="K91" i="15"/>
  <c r="H91" i="15"/>
  <c r="R91" i="15"/>
  <c r="P91" i="15"/>
  <c r="O91" i="15"/>
  <c r="J91" i="15"/>
  <c r="M91" i="15"/>
  <c r="Q91" i="15"/>
  <c r="T92" i="15"/>
  <c r="M92" i="15"/>
  <c r="N92" i="15"/>
  <c r="O92" i="15"/>
  <c r="H92" i="15"/>
  <c r="K92" i="15"/>
  <c r="R92" i="15"/>
  <c r="T91" i="15"/>
  <c r="I91" i="15"/>
  <c r="L91" i="15"/>
  <c r="N91" i="15"/>
  <c r="M59" i="15"/>
  <c r="E60" i="15"/>
  <c r="D91" i="15"/>
  <c r="C92" i="15" s="1"/>
  <c r="G91" i="15"/>
  <c r="U56" i="15"/>
  <c r="M56" i="15"/>
  <c r="D61" i="15"/>
  <c r="C62" i="15" s="1"/>
  <c r="I92" i="15" l="1"/>
  <c r="J92" i="15"/>
  <c r="H93" i="15"/>
  <c r="P93" i="15"/>
  <c r="R93" i="15"/>
  <c r="K93" i="15"/>
  <c r="S92" i="15"/>
  <c r="Q92" i="15"/>
  <c r="P92" i="15"/>
  <c r="L92" i="15"/>
  <c r="M60" i="15"/>
  <c r="E61" i="15"/>
  <c r="G92" i="15"/>
  <c r="D92" i="15"/>
  <c r="C93" i="15" s="1"/>
  <c r="D62" i="15"/>
  <c r="C63" i="15" s="1"/>
  <c r="E62" i="15"/>
  <c r="L93" i="15" l="1"/>
  <c r="O93" i="15"/>
  <c r="Q93" i="15"/>
  <c r="R94" i="15"/>
  <c r="H94" i="15"/>
  <c r="N94" i="15"/>
  <c r="I94" i="15"/>
  <c r="I93" i="15"/>
  <c r="N93" i="15"/>
  <c r="M93" i="15"/>
  <c r="J93" i="15"/>
  <c r="S93" i="15"/>
  <c r="T93" i="15"/>
  <c r="M61" i="15"/>
  <c r="G93" i="15"/>
  <c r="D93" i="15"/>
  <c r="C94" i="15" s="1"/>
  <c r="D63" i="15"/>
  <c r="C64" i="15" s="1"/>
  <c r="O94" i="15" l="1"/>
  <c r="T94" i="15"/>
  <c r="M95" i="15"/>
  <c r="S95" i="15"/>
  <c r="N95" i="15"/>
  <c r="N96" i="15" s="1"/>
  <c r="O95" i="15"/>
  <c r="O96" i="15" s="1"/>
  <c r="H95" i="15"/>
  <c r="P95" i="15"/>
  <c r="R95" i="15"/>
  <c r="R96" i="15" s="1"/>
  <c r="I95" i="15"/>
  <c r="I96" i="15" s="1"/>
  <c r="Q95" i="15"/>
  <c r="L95" i="15"/>
  <c r="T95" i="15"/>
  <c r="T96" i="15" s="1"/>
  <c r="J95" i="15"/>
  <c r="J96" i="15" s="1"/>
  <c r="K95" i="15"/>
  <c r="K96" i="15" s="1"/>
  <c r="L94" i="15"/>
  <c r="M94" i="15"/>
  <c r="J94" i="15"/>
  <c r="G94" i="15"/>
  <c r="P94" i="15"/>
  <c r="S94" i="15"/>
  <c r="Q94" i="15"/>
  <c r="K94" i="15"/>
  <c r="M62" i="15"/>
  <c r="G95" i="15"/>
  <c r="D64" i="15"/>
  <c r="C65" i="15" s="1"/>
  <c r="E63" i="15"/>
  <c r="L96" i="15" l="1"/>
  <c r="S96" i="15"/>
  <c r="Q96" i="15"/>
  <c r="M96" i="15"/>
  <c r="M63" i="15"/>
  <c r="P96" i="15"/>
  <c r="H96" i="15"/>
  <c r="D65" i="15"/>
  <c r="C66" i="15" s="1"/>
  <c r="E64" i="15"/>
  <c r="M64" i="15" l="1"/>
  <c r="D66" i="15"/>
  <c r="C67" i="15" s="1"/>
  <c r="E66" i="15"/>
  <c r="E65" i="15"/>
  <c r="M65" i="15" l="1"/>
  <c r="D67" i="15"/>
  <c r="C68" i="15" s="1"/>
  <c r="E67" i="15" l="1"/>
  <c r="M66" i="15"/>
  <c r="D68" i="15"/>
  <c r="C69" i="15" s="1"/>
  <c r="U67" i="15" l="1"/>
  <c r="M67" i="15"/>
  <c r="D69" i="15"/>
  <c r="C70" i="15" s="1"/>
  <c r="E68" i="15"/>
  <c r="E69" i="15" l="1"/>
  <c r="M68" i="15"/>
  <c r="U68" i="15"/>
  <c r="D70" i="15"/>
  <c r="C71" i="15" s="1"/>
  <c r="E70" i="15"/>
  <c r="M69" i="15" l="1"/>
  <c r="U69" i="15"/>
  <c r="J72" i="15"/>
  <c r="G72" i="15"/>
  <c r="H72" i="15"/>
  <c r="E71" i="15"/>
  <c r="L72" i="15" l="1"/>
  <c r="U70" i="15"/>
  <c r="K72" i="15"/>
  <c r="M70" i="15"/>
  <c r="U71" i="15"/>
  <c r="M71" i="15"/>
  <c r="F72" i="15"/>
  <c r="I72" i="15"/>
  <c r="M72" i="15" l="1"/>
  <c r="U72" i="15" l="1"/>
  <c r="H25" i="15" l="1"/>
  <c r="I25" i="15"/>
  <c r="J25" i="15"/>
  <c r="H26" i="15"/>
  <c r="I26" i="15"/>
  <c r="J26" i="15"/>
  <c r="H27" i="15"/>
  <c r="I27" i="15"/>
  <c r="J27" i="15"/>
  <c r="H28" i="15"/>
  <c r="I28" i="15"/>
  <c r="J28" i="15"/>
  <c r="H29" i="15"/>
  <c r="I29" i="15"/>
  <c r="J29" i="15"/>
  <c r="H30" i="15"/>
  <c r="I30" i="15"/>
  <c r="J30" i="15"/>
  <c r="I24" i="15"/>
  <c r="H24" i="15"/>
  <c r="J24" i="15"/>
  <c r="J31" i="15" l="1"/>
  <c r="G31" i="15"/>
  <c r="H31" i="15"/>
  <c r="I31" i="15"/>
  <c r="F31" i="15"/>
  <c r="K11" i="15"/>
  <c r="L11" i="15"/>
  <c r="K12" i="15"/>
  <c r="L12" i="15"/>
  <c r="K13" i="15"/>
  <c r="L13" i="15"/>
  <c r="K14" i="15"/>
  <c r="L14" i="15"/>
  <c r="K15" i="15"/>
  <c r="L15" i="15"/>
  <c r="K16" i="15"/>
  <c r="L16" i="15"/>
  <c r="L10" i="15"/>
  <c r="K10" i="15"/>
  <c r="J11" i="15"/>
  <c r="J12" i="15"/>
  <c r="J13" i="15"/>
  <c r="J14" i="15"/>
  <c r="J15" i="15"/>
  <c r="J16" i="15"/>
  <c r="J10" i="15"/>
  <c r="F12" i="15"/>
  <c r="F13" i="15"/>
  <c r="F14" i="15"/>
  <c r="F15" i="15"/>
  <c r="F16" i="15"/>
  <c r="H11" i="15"/>
  <c r="H12" i="15"/>
  <c r="H13" i="15"/>
  <c r="H14" i="15"/>
  <c r="H15" i="15"/>
  <c r="H16" i="15"/>
  <c r="H10" i="15"/>
  <c r="I15" i="15" l="1"/>
  <c r="I14" i="15"/>
  <c r="I13" i="15"/>
  <c r="I12" i="15"/>
  <c r="I16" i="15"/>
  <c r="K17" i="15"/>
  <c r="L17" i="15"/>
  <c r="J17" i="15"/>
  <c r="I17" i="15" s="1"/>
  <c r="H17" i="15"/>
  <c r="R3" i="1" l="1"/>
  <c r="R4" i="1"/>
  <c r="R5" i="1"/>
  <c r="R6" i="1"/>
  <c r="R7" i="1"/>
  <c r="R8" i="1"/>
  <c r="R9" i="1"/>
  <c r="R10" i="1"/>
  <c r="R11" i="1"/>
  <c r="R12" i="1"/>
  <c r="R13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30" i="15" l="1"/>
  <c r="R45" i="15"/>
  <c r="R39" i="15"/>
  <c r="U62" i="15"/>
  <c r="U59" i="15"/>
  <c r="R24" i="15"/>
  <c r="R47" i="15"/>
  <c r="R32" i="15"/>
  <c r="U61" i="15"/>
  <c r="R44" i="15"/>
  <c r="R29" i="15"/>
  <c r="R48" i="15"/>
  <c r="R33" i="15"/>
  <c r="U60" i="15"/>
  <c r="R46" i="15"/>
  <c r="R31" i="15"/>
  <c r="U57" i="15"/>
  <c r="R27" i="15"/>
  <c r="R42" i="15"/>
  <c r="R43" i="15"/>
  <c r="R28" i="15"/>
  <c r="G12" i="15"/>
  <c r="U58" i="15"/>
  <c r="R40" i="15"/>
  <c r="R25" i="15"/>
  <c r="U66" i="15"/>
  <c r="G15" i="15"/>
  <c r="G16" i="15"/>
  <c r="G14" i="15"/>
  <c r="G13" i="15"/>
  <c r="U64" i="15" l="1"/>
  <c r="L10" i="8"/>
  <c r="G23" i="8" l="1"/>
  <c r="H23" i="8" s="1"/>
  <c r="G20" i="8"/>
  <c r="H20" i="8" s="1"/>
  <c r="G21" i="8"/>
  <c r="H21" i="8" s="1"/>
  <c r="G22" i="8"/>
  <c r="H22" i="8" s="1"/>
  <c r="G19" i="8"/>
  <c r="H19" i="8" s="1"/>
  <c r="G18" i="8"/>
  <c r="H18" i="8" s="1"/>
  <c r="G24" i="8"/>
  <c r="G17" i="8"/>
  <c r="H17" i="8" s="1"/>
  <c r="O17" i="8"/>
  <c r="F11" i="15" l="1"/>
  <c r="I11" i="15" s="1"/>
  <c r="R14" i="1"/>
  <c r="O18" i="8"/>
  <c r="F10" i="15"/>
  <c r="I10" i="15" s="1"/>
  <c r="R2" i="1"/>
  <c r="U65" i="15" s="1"/>
  <c r="O22" i="8"/>
  <c r="O21" i="8"/>
  <c r="O23" i="8"/>
  <c r="O20" i="8"/>
  <c r="O19" i="8"/>
  <c r="R41" i="15" l="1"/>
  <c r="R26" i="15"/>
  <c r="U63" i="15"/>
  <c r="F17" i="15"/>
  <c r="O24" i="8"/>
  <c r="G11" i="15"/>
  <c r="G10" i="15"/>
  <c r="H24" i="8" l="1"/>
  <c r="G17" i="15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</calcChain>
</file>

<file path=xl/sharedStrings.xml><?xml version="1.0" encoding="utf-8"?>
<sst xmlns="http://schemas.openxmlformats.org/spreadsheetml/2006/main" count="640" uniqueCount="297">
  <si>
    <t>codigo_ins</t>
  </si>
  <si>
    <t>codigo_emi</t>
  </si>
  <si>
    <t>weight_f</t>
  </si>
  <si>
    <t>weight_b</t>
  </si>
  <si>
    <t>ctr</t>
  </si>
  <si>
    <t>mcr</t>
  </si>
  <si>
    <t>pcr</t>
  </si>
  <si>
    <t>duration</t>
  </si>
  <si>
    <t>nominal_f</t>
  </si>
  <si>
    <t>monto_f</t>
  </si>
  <si>
    <t>pais_emisor</t>
  </si>
  <si>
    <t>nombre_emisor</t>
  </si>
  <si>
    <t>nombre_instrumento</t>
  </si>
  <si>
    <t>rating_nacional</t>
  </si>
  <si>
    <t>rating_internacional</t>
  </si>
  <si>
    <t>moneda</t>
  </si>
  <si>
    <t>index_id</t>
  </si>
  <si>
    <t>ctd</t>
  </si>
  <si>
    <t>active_weight</t>
  </si>
  <si>
    <t>maturity_date</t>
  </si>
  <si>
    <t>days_to _maturity</t>
  </si>
  <si>
    <t>tipo_instrumento</t>
  </si>
  <si>
    <t>estrategia</t>
  </si>
  <si>
    <t>fecha</t>
  </si>
  <si>
    <t>QZ7003432</t>
  </si>
  <si>
    <t>QZ8845377</t>
  </si>
  <si>
    <t>QZ8845385</t>
  </si>
  <si>
    <t>EK6900568</t>
  </si>
  <si>
    <t>EJ5013655</t>
  </si>
  <si>
    <t>AL9338982</t>
  </si>
  <si>
    <t>AF1807128</t>
  </si>
  <si>
    <t>AO2615059</t>
  </si>
  <si>
    <t>JV5290624</t>
  </si>
  <si>
    <t>LW8106244</t>
  </si>
  <si>
    <t>EI1383294</t>
  </si>
  <si>
    <t>AO2615067</t>
  </si>
  <si>
    <t>EJ0602940</t>
  </si>
  <si>
    <t>EK0169285</t>
  </si>
  <si>
    <t>JV5341526</t>
  </si>
  <si>
    <t>105756BL3</t>
  </si>
  <si>
    <t>105756BT6</t>
  </si>
  <si>
    <t>105756BN9</t>
  </si>
  <si>
    <t>168863AU2</t>
  </si>
  <si>
    <t>EK0291089</t>
  </si>
  <si>
    <t>EF0376436</t>
  </si>
  <si>
    <t>EJ1922511</t>
  </si>
  <si>
    <t>EH7652033</t>
  </si>
  <si>
    <t>EI8220614</t>
  </si>
  <si>
    <t>EJ5096460</t>
  </si>
  <si>
    <t>EK6999263</t>
  </si>
  <si>
    <t>AM1281642</t>
  </si>
  <si>
    <t>EI2021109</t>
  </si>
  <si>
    <t>EJ3668765</t>
  </si>
  <si>
    <t>EG5593306</t>
  </si>
  <si>
    <t>EH7175118</t>
  </si>
  <si>
    <t>EI7361336</t>
  </si>
  <si>
    <t>EI1588082</t>
  </si>
  <si>
    <t>EJ0234298</t>
  </si>
  <si>
    <t>ED2028832</t>
  </si>
  <si>
    <t>QJ1649335</t>
  </si>
  <si>
    <t>EG1116375</t>
  </si>
  <si>
    <t>EK1693424</t>
  </si>
  <si>
    <t>EH6944449</t>
  </si>
  <si>
    <t>AM7523740</t>
  </si>
  <si>
    <t>EF0252694</t>
  </si>
  <si>
    <t>EK5799607</t>
  </si>
  <si>
    <t>QZ7445096</t>
  </si>
  <si>
    <t>EH3330816</t>
  </si>
  <si>
    <t>AO4008642</t>
  </si>
  <si>
    <t>AN9574152</t>
  </si>
  <si>
    <t>AP0760557</t>
  </si>
  <si>
    <t>ARGTES 18.2 10/03/21</t>
  </si>
  <si>
    <t>ARGTES 16 10/17/23</t>
  </si>
  <si>
    <t>ARGTES 15 1/2 10/17/26</t>
  </si>
  <si>
    <t>BLTN 0 01/01/19</t>
  </si>
  <si>
    <t>BNTNF 10 01/01/19</t>
  </si>
  <si>
    <t>BLTN 0 04/01/19</t>
  </si>
  <si>
    <t>BLTN 0 07/01/19</t>
  </si>
  <si>
    <t>BLTN 0 10/01/19</t>
  </si>
  <si>
    <t>BLTN 0 01/01/20</t>
  </si>
  <si>
    <t>BLTN 0 07/01/20</t>
  </si>
  <si>
    <t>BNTNF 10 01/01/21</t>
  </si>
  <si>
    <t>BLTN 0 07/01/21</t>
  </si>
  <si>
    <t>BNTNF 10 01/01/23</t>
  </si>
  <si>
    <t>BNTNF 10 01/01/25</t>
  </si>
  <si>
    <t>BNTNF 10 01/01/27</t>
  </si>
  <si>
    <t>BRAZIL 12 1/2 01/05/22</t>
  </si>
  <si>
    <t>BRAZIL 8 1/2 01/05/24</t>
  </si>
  <si>
    <t>BRAZIL 10 1/4 01/10/28</t>
  </si>
  <si>
    <t>CHILE 5 1/2 08/05/20</t>
  </si>
  <si>
    <t>COLTES 7 09/11/19</t>
  </si>
  <si>
    <t>COLTES 11 07/24/20</t>
  </si>
  <si>
    <t>COLTES 7 05/04/22</t>
  </si>
  <si>
    <t>COLTES 10 07/24/24</t>
  </si>
  <si>
    <t>COLTES 7 1/2 08/26/26</t>
  </si>
  <si>
    <t>COLTES 6 04/28/28</t>
  </si>
  <si>
    <t>COLTES 7 3/4 09/18/30</t>
  </si>
  <si>
    <t>COLTES 7 06/30/32</t>
  </si>
  <si>
    <t>COLOM 7 3/4 04/14/21</t>
  </si>
  <si>
    <t>COLOM 4 3/8 03/21/23</t>
  </si>
  <si>
    <t>COLOM 9.85 06/28/27</t>
  </si>
  <si>
    <t>MBONO 8 1/2 12/13/18</t>
  </si>
  <si>
    <t>MBONO 5 12/11/19</t>
  </si>
  <si>
    <t>MBONO 8 06/11/20</t>
  </si>
  <si>
    <t>MBONO 6 1/2 06/09/22</t>
  </si>
  <si>
    <t>MBONO 8 12/07/23</t>
  </si>
  <si>
    <t>MBONO 5 3/4 03/05/26</t>
  </si>
  <si>
    <t>MBONO 7 1/2 06/03/27</t>
  </si>
  <si>
    <t>MBONO 7 3/4 11/23/34</t>
  </si>
  <si>
    <t>MBONO 8 1/2 11/18/38</t>
  </si>
  <si>
    <t>MBONO 8 11/07/47</t>
  </si>
  <si>
    <t>PERUGB 7.84 08/12/20</t>
  </si>
  <si>
    <t>PERUGB 5.7 08/12/24</t>
  </si>
  <si>
    <t>PERUGB 6.35 08/12/28</t>
  </si>
  <si>
    <t>PERUGB 6.95 08/12/31</t>
  </si>
  <si>
    <t>PERUGB 6.15 08/12/32</t>
  </si>
  <si>
    <t>URUGUA 9 7/8 06/20/22</t>
  </si>
  <si>
    <t>URUGUA 8 1/2 03/15/28</t>
  </si>
  <si>
    <t>Bono de Gobierno</t>
  </si>
  <si>
    <t>BB+</t>
  </si>
  <si>
    <t>A-</t>
  </si>
  <si>
    <t>AAA</t>
  </si>
  <si>
    <t>AA</t>
  </si>
  <si>
    <t>AA+</t>
  </si>
  <si>
    <t>AA-</t>
  </si>
  <si>
    <t>AR</t>
  </si>
  <si>
    <t>BR</t>
  </si>
  <si>
    <t>CL</t>
  </si>
  <si>
    <t>CO</t>
  </si>
  <si>
    <t>MX</t>
  </si>
  <si>
    <t>PE</t>
  </si>
  <si>
    <t>UR</t>
  </si>
  <si>
    <t>ARS</t>
  </si>
  <si>
    <t>BRL</t>
  </si>
  <si>
    <t>CLP</t>
  </si>
  <si>
    <t>COP</t>
  </si>
  <si>
    <t>MXN</t>
  </si>
  <si>
    <t>PEN</t>
  </si>
  <si>
    <t>UGU</t>
  </si>
  <si>
    <t>Country</t>
  </si>
  <si>
    <t>Weight</t>
  </si>
  <si>
    <t>Saldo Inicial</t>
  </si>
  <si>
    <t>Ingresos</t>
  </si>
  <si>
    <t>Egresos</t>
  </si>
  <si>
    <t>Saldo</t>
  </si>
  <si>
    <t>Aportes</t>
  </si>
  <si>
    <t>Mval USD</t>
  </si>
  <si>
    <t>Total</t>
  </si>
  <si>
    <t>corte_minimo</t>
  </si>
  <si>
    <t>Suma</t>
  </si>
  <si>
    <t>Weight final</t>
  </si>
  <si>
    <t>Compras</t>
  </si>
  <si>
    <t>Ventas</t>
  </si>
  <si>
    <t>Flujo Día</t>
  </si>
  <si>
    <t>weight</t>
  </si>
  <si>
    <t>Δ</t>
  </si>
  <si>
    <t>exposure</t>
  </si>
  <si>
    <t>Chile</t>
  </si>
  <si>
    <t>Mexico</t>
  </si>
  <si>
    <t>Colombia</t>
  </si>
  <si>
    <t>Peru</t>
  </si>
  <si>
    <t>Brazil</t>
  </si>
  <si>
    <t>A+</t>
  </si>
  <si>
    <t>A</t>
  </si>
  <si>
    <t>BBB+</t>
  </si>
  <si>
    <t>BBB</t>
  </si>
  <si>
    <t>BBB-</t>
  </si>
  <si>
    <t>BB</t>
  </si>
  <si>
    <t>BB-</t>
  </si>
  <si>
    <t>B</t>
  </si>
  <si>
    <t>N/A</t>
  </si>
  <si>
    <t>Argentina</t>
  </si>
  <si>
    <t>Uruguay</t>
  </si>
  <si>
    <t>Currency</t>
  </si>
  <si>
    <t>URU</t>
  </si>
  <si>
    <t>SUMMARY VIEW</t>
  </si>
  <si>
    <t>CURRENCY VIEW</t>
  </si>
  <si>
    <t>dur</t>
  </si>
  <si>
    <t>TOP 10 INSTRUMENTS</t>
  </si>
  <si>
    <t>Ranking</t>
  </si>
  <si>
    <t>Instrument</t>
  </si>
  <si>
    <t>Rating</t>
  </si>
  <si>
    <t>TOP 10 RISK INSTRUMENTS</t>
  </si>
  <si>
    <t>+</t>
  </si>
  <si>
    <t>Duration</t>
  </si>
  <si>
    <t>WEIHGT BY COUNTRY</t>
  </si>
  <si>
    <t>ACTIVE WEIHGT BY COUNTRY</t>
  </si>
  <si>
    <t>Trade 1</t>
  </si>
  <si>
    <t>Rate 1</t>
  </si>
  <si>
    <t>FX 1</t>
  </si>
  <si>
    <t>Nominal</t>
  </si>
  <si>
    <t>VP</t>
  </si>
  <si>
    <t>Trade 2</t>
  </si>
  <si>
    <t>Papel</t>
  </si>
  <si>
    <t>FX</t>
  </si>
  <si>
    <t>N°</t>
  </si>
  <si>
    <t xml:space="preserve">weight </t>
  </si>
  <si>
    <r>
      <t xml:space="preserve">weight </t>
    </r>
    <r>
      <rPr>
        <b/>
        <i/>
        <sz val="11"/>
        <color theme="1"/>
        <rFont val="Arial Narrow"/>
        <family val="2"/>
      </rPr>
      <t>trades</t>
    </r>
  </si>
  <si>
    <t>Valor Presente [USD]</t>
  </si>
  <si>
    <t>Patrimonio Fondo Inicio dia</t>
  </si>
  <si>
    <t>Isin</t>
  </si>
  <si>
    <t>MX0MGO0000U2</t>
  </si>
  <si>
    <t>YAS_BOND_YLD</t>
  </si>
  <si>
    <t>PX_DIRTY_ASK</t>
  </si>
  <si>
    <t>ARARGE3202H4 Corp</t>
  </si>
  <si>
    <t>ARARGE3202H4</t>
  </si>
  <si>
    <t>PX_CLEAN_ASK</t>
  </si>
  <si>
    <t>Nominal BBG</t>
  </si>
  <si>
    <t>CRNCY</t>
  </si>
  <si>
    <t>ARARGE4502J2 Corp</t>
  </si>
  <si>
    <t>ARARGE4502K0 Corp</t>
  </si>
  <si>
    <t>BRSTNCLTN764 Corp</t>
  </si>
  <si>
    <t>BRSTNCNTF162 Corp</t>
  </si>
  <si>
    <t>BRSTNCLTN7G6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</si>
  <si>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</si>
  <si>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</si>
  <si>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</si>
  <si>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</si>
  <si>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</si>
  <si>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</si>
  <si>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</si>
  <si>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</si>
  <si>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</si>
  <si>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</si>
  <si>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</si>
  <si>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</si>
  <si>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</si>
  <si>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</si>
  <si>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</si>
  <si>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</si>
  <si>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</si>
  <si>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</si>
  <si>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</si>
  <si>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</si>
  <si>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</si>
  <si>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</si>
  <si>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</si>
  <si>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</si>
  <si>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</si>
  <si>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</si>
  <si>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</si>
  <si>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</si>
  <si>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</si>
  <si>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</si>
  <si>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</si>
  <si>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</si>
  <si>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</si>
  <si>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</si>
  <si>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</si>
  <si>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</si>
  <si>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</si>
  <si>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</si>
  <si>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</si>
  <si>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</si>
  <si>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</si>
  <si>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</si>
  <si>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</si>
  <si>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</si>
  <si>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</si>
  <si>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</si>
  <si>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</si>
  <si>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</si>
  <si>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</si>
  <si>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</si>
  <si>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</si>
  <si>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</si>
  <si>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</si>
  <si>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AN2609906 Corp</t>
  </si>
  <si>
    <t>CL0002179951 Corp</t>
  </si>
  <si>
    <t>MXBIGO000LW5 Corp</t>
  </si>
  <si>
    <t>COL17CT03359 Corp</t>
  </si>
  <si>
    <t>MX0SGO000015 Corp</t>
  </si>
  <si>
    <t>BQ_FACE_AMT</t>
  </si>
  <si>
    <t>COUNTRY</t>
  </si>
  <si>
    <t>MIN_PIECE</t>
  </si>
  <si>
    <t>MIN_INCREMENT</t>
  </si>
  <si>
    <t>Tipo trade</t>
  </si>
  <si>
    <t>NOMINALES</t>
  </si>
  <si>
    <t>Cantidad</t>
  </si>
  <si>
    <t>TRADES</t>
  </si>
  <si>
    <t>ISIN</t>
  </si>
  <si>
    <t>Compra/Venta</t>
  </si>
  <si>
    <t>Nombre</t>
  </si>
  <si>
    <t>Instrumento</t>
  </si>
  <si>
    <t>COMPRA</t>
  </si>
  <si>
    <t>VENTA</t>
  </si>
  <si>
    <t>VPTE</t>
  </si>
  <si>
    <t>weight benchmark</t>
  </si>
  <si>
    <t>Precio Limpio</t>
  </si>
  <si>
    <t>Precio Sucio</t>
  </si>
  <si>
    <t>dur_old</t>
  </si>
  <si>
    <t>dur_new</t>
  </si>
  <si>
    <t>Code</t>
  </si>
  <si>
    <t>Fecha trades</t>
  </si>
  <si>
    <t>Yield</t>
  </si>
  <si>
    <t>Weight_p</t>
  </si>
  <si>
    <t>Caja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</si>
</sst>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64" formatCode="0.0%"/>
    <numFmt numFmtId="165" formatCode="_-&quot;$&quot;* #,##0_-;\-&quot;$&quot;* #,##0_-;_-&quot;$&quot;* &quot;-&quot;??_-;_-@_-"/>
    <numFmt numFmtId="166" formatCode="#,##0.00%;[Red]\(#,##0.00%\)"/>
    <numFmt numFmtId="167" formatCode="0.00000"/>
    <numFmt numFmtId="168" formatCode="0.000"/>
    <numFmt numFmtId="169" formatCode="_(* #,##0.00_);_(* \(#,##0.00\);_(* &quot;-&quot;??_);_(@_)"/>
  </numFmts>
  <fonts count="11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1"/>
      <color theme="1"/>
      <name val="Arial Narrow"/>
      <family val="2"/>
    </font>
    <font>
      <b/>
      <sz val="16"/>
      <color theme="8" tint="-0.499984740745262"/>
      <name val="Arial"/>
      <family val="2"/>
      <scheme val="minor"/>
    </font>
    <font>
      <b/>
      <sz val="11"/>
      <color theme="1"/>
      <name val="Arial Narrow"/>
      <family val="2"/>
    </font>
    <font>
      <b/>
      <i/>
      <sz val="11"/>
      <color theme="1"/>
      <name val="Arial Narrow"/>
      <family val="2"/>
    </font>
    <font>
      <b/>
      <sz val="11"/>
      <color theme="5" tint="-0.249977111117893"/>
      <name val="Arial"/>
      <family val="2"/>
      <scheme val="minor"/>
    </font>
    <font>
      <sz val="10"/>
      <name val="Arial"/>
      <family val="2"/>
    </font>
    <font>
      <sz val="11"/>
      <color rgb="FF59594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44" fontId="1" fillId="0" borderId="0" applyFont="0" applyFill="0" applyBorder="0" applyAlignment="0" applyProtection="0"/>
    <xf numFmtId="169" fontId="9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0" xfId="1" applyNumberFormat="1" applyFont="1"/>
    <xf numFmtId="1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65" fontId="0" fillId="0" borderId="0" xfId="3" applyNumberFormat="1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44" fontId="1" fillId="0" borderId="0" xfId="3" applyFont="1" applyAlignment="1">
      <alignment horizontal="center"/>
    </xf>
    <xf numFmtId="165" fontId="1" fillId="0" borderId="0" xfId="3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6" fontId="4" fillId="0" borderId="0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6" fontId="4" fillId="0" borderId="1" xfId="1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166" fontId="4" fillId="2" borderId="0" xfId="1" applyNumberFormat="1" applyFont="1" applyFill="1" applyBorder="1" applyAlignment="1">
      <alignment horizontal="center" vertical="center"/>
    </xf>
    <xf numFmtId="164" fontId="4" fillId="2" borderId="0" xfId="1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1" applyNumberFormat="1" applyFont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166" fontId="6" fillId="2" borderId="2" xfId="1" applyNumberFormat="1" applyFont="1" applyFill="1" applyBorder="1" applyAlignment="1">
      <alignment horizontal="center" vertical="center"/>
    </xf>
    <xf numFmtId="0" fontId="5" fillId="0" borderId="0" xfId="0" applyFont="1" applyAlignment="1"/>
    <xf numFmtId="0" fontId="3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/>
    <xf numFmtId="0" fontId="4" fillId="0" borderId="1" xfId="0" applyFont="1" applyFill="1" applyBorder="1" applyAlignment="1">
      <alignment horizontal="center"/>
    </xf>
    <xf numFmtId="164" fontId="4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168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center"/>
    </xf>
    <xf numFmtId="10" fontId="4" fillId="0" borderId="0" xfId="1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NumberFormat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/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4" xfId="1" applyNumberFormat="1" applyFont="1" applyBorder="1" applyAlignment="1">
      <alignment horizontal="center"/>
    </xf>
    <xf numFmtId="165" fontId="0" fillId="0" borderId="4" xfId="3" applyNumberFormat="1" applyFont="1" applyBorder="1" applyAlignment="1">
      <alignment horizontal="center"/>
    </xf>
    <xf numFmtId="10" fontId="0" fillId="0" borderId="4" xfId="1" applyNumberFormat="1" applyFon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164" fontId="0" fillId="2" borderId="0" xfId="1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</cellXfs>
  <cellStyles count="5">
    <cellStyle name="Millares 11" xfId="4" xr:uid="{D90F6478-A002-499F-8253-6E7C1B4F7720}"/>
    <cellStyle name="Moneda" xfId="3" builtinId="4"/>
    <cellStyle name="Normal" xfId="0" builtinId="0"/>
    <cellStyle name="Normal 3" xfId="2" xr:uid="{00000000-0005-0000-0000-000002000000}"/>
    <cellStyle name="Porcentaje" xfId="1" builtinId="5"/>
  </cellStyles>
  <dxfs count="8"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  <dxf>
      <font>
        <color rgb="FF008E40"/>
      </font>
    </dxf>
    <dxf>
      <font>
        <color rgb="FF9C0006"/>
      </font>
    </dxf>
  </dxfs>
  <tableStyles count="0" defaultTableStyle="TableStyleMedium2" defaultPivotStyle="PivotStyleLight16"/>
  <colors>
    <mruColors>
      <color rgb="FF008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42260466243827"/>
          <c:y val="9.6683171058518952E-2"/>
          <c:w val="0.52910484103666466"/>
          <c:h val="0.7861271469023685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F1-41D9-8987-0373AC23EF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5F1-41D9-8987-0373AC23EFA8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F1-41D9-8987-0373AC23EFA8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5F1-41D9-8987-0373AC23EFA8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F1-41D9-8987-0373AC23EFA8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5F1-41D9-8987-0373AC23EFA8}"/>
              </c:ext>
            </c:extLst>
          </c:dPt>
          <c:dPt>
            <c:idx val="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F1-41D9-8987-0373AC23EFA8}"/>
              </c:ext>
            </c:extLst>
          </c:dPt>
          <c:dLbls>
            <c:dLbl>
              <c:idx val="0"/>
              <c:layout>
                <c:manualLayout>
                  <c:x val="-2.5116410782841016E-3"/>
                  <c:y val="-0.1070506078436946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F1-41D9-8987-0373AC23EFA8}"/>
                </c:ext>
              </c:extLst>
            </c:dLbl>
            <c:dLbl>
              <c:idx val="1"/>
              <c:layout>
                <c:manualLayout>
                  <c:x val="0.10762041395376809"/>
                  <c:y val="-2.3095357330089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19883315688021"/>
                      <c:h val="0.17299928242351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5F1-41D9-8987-0373AC23EFA8}"/>
                </c:ext>
              </c:extLst>
            </c:dLbl>
            <c:dLbl>
              <c:idx val="2"/>
              <c:layout>
                <c:manualLayout>
                  <c:x val="0.11210095767990286"/>
                  <c:y val="8.10711405562500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1569488736499"/>
                      <c:h val="0.186887833751753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C5F1-41D9-8987-0373AC23EFA8}"/>
                </c:ext>
              </c:extLst>
            </c:dLbl>
            <c:dLbl>
              <c:idx val="3"/>
              <c:layout>
                <c:manualLayout>
                  <c:x val="-6.0312906606425958E-2"/>
                  <c:y val="0.120596277766245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F1-41D9-8987-0373AC23EFA8}"/>
                </c:ext>
              </c:extLst>
            </c:dLbl>
            <c:dLbl>
              <c:idx val="4"/>
              <c:layout>
                <c:manualLayout>
                  <c:x val="-0.15336837541315379"/>
                  <c:y val="9.799440626319558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284700925386616"/>
                      <c:h val="0.188609857931013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5F1-41D9-8987-0373AC23EFA8}"/>
                </c:ext>
              </c:extLst>
            </c:dLbl>
            <c:dLbl>
              <c:idx val="5"/>
              <c:layout>
                <c:manualLayout>
                  <c:x val="-0.12840584000798061"/>
                  <c:y val="-1.47499618501121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3775174066435"/>
                      <c:h val="0.177198359893491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5F1-41D9-8987-0373AC23EFA8}"/>
                </c:ext>
              </c:extLst>
            </c:dLbl>
            <c:dLbl>
              <c:idx val="6"/>
              <c:layout>
                <c:manualLayout>
                  <c:x val="-0.10932316019475274"/>
                  <c:y val="-6.524527290019231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F1-41D9-8987-0373AC23EF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IR!$E$10:$E$16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IR!$F$10:$F$16</c:f>
              <c:numCache>
                <c:formatCode>#,##0.00%;[Red]\(#,##0.00%\)</c:formatCode>
                <c:ptCount val="7"/>
                <c:pt idx="0">
                  <c:v>3.1E-2</c:v>
                </c:pt>
                <c:pt idx="1">
                  <c:v>0.29969999999999997</c:v>
                </c:pt>
                <c:pt idx="2">
                  <c:v>1.5699999999999999E-2</c:v>
                </c:pt>
                <c:pt idx="3">
                  <c:v>0.23499999999999999</c:v>
                </c:pt>
                <c:pt idx="4">
                  <c:v>0.17469999999999999</c:v>
                </c:pt>
                <c:pt idx="5">
                  <c:v>7.8100000000000003E-2</c:v>
                </c:pt>
                <c:pt idx="6">
                  <c:v>0.16579999999999995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1-41D9-8987-0373AC23EF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54774184611749"/>
          <c:y val="0.15833333333333333"/>
          <c:w val="0.7562189100745984"/>
          <c:h val="0.745263157894736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IR!$G$9</c:f>
              <c:strCache>
                <c:ptCount val="1"/>
                <c:pt idx="0">
                  <c:v>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4B-42FD-9C00-4B062519A34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4B-42FD-9C00-4B062519A34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84B-42FD-9C00-4B062519A34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4B-42FD-9C00-4B062519A34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84B-42FD-9C00-4B062519A34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4B-42FD-9C00-4B062519A34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4B-42FD-9C00-4B062519A34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D9DD-4382-B4B8-CA49858F3CF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4B-42FD-9C00-4B062519A34B}"/>
                </c:ext>
              </c:extLst>
            </c:dLbl>
            <c:dLbl>
              <c:idx val="3"/>
              <c:layout>
                <c:manualLayout>
                  <c:x val="1.3443982692431765E-2"/>
                  <c:y val="-8.0408427840126275E-17"/>
                </c:manualLayout>
              </c:layout>
              <c:tx>
                <c:rich>
                  <a:bodyPr/>
                  <a:lstStyle/>
                  <a:p>
                    <a:fld id="{CF8AE5E9-5AA4-472E-8D6F-D9CCE1BEBC95}" type="CATEGORYNAME">
                      <a:rPr lang="en-US" sz="800"/>
                      <a:pPr/>
                      <a:t>[NOMBRE DE CATEGORÍA]</a:t>
                    </a:fld>
                    <a:r>
                      <a:rPr lang="en-US" baseline="0"/>
                      <a:t>, </a:t>
                    </a:r>
                    <a:fld id="{9281D681-930B-423C-B598-285372440234}" type="VALUE">
                      <a:rPr lang="en-US" baseline="0"/>
                      <a:pPr/>
                      <a:t>[VALOR]</a:t>
                    </a:fld>
                    <a:endParaRPr lang="en-US" baseline="0"/>
                  </a:p>
                </c:rich>
              </c:tx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873826153334917"/>
                      <c:h val="0.1039035087719298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84B-42FD-9C00-4B062519A34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4B-42FD-9C00-4B062519A34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4B-42FD-9C00-4B062519A34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s-MX" sz="800" b="0" i="0" u="none" strike="noStrike" kern="1200" baseline="0">
                      <a:solidFill>
                        <a:srgbClr val="59594F">
                          <a:lumMod val="75000"/>
                          <a:lumOff val="25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4B-42FD-9C00-4B062519A3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IR!$E$10:$E$16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IR!$G$10:$G$16</c:f>
              <c:numCache>
                <c:formatCode>0.0%</c:formatCode>
                <c:ptCount val="7"/>
                <c:pt idx="0">
                  <c:v>-0.01</c:v>
                </c:pt>
                <c:pt idx="1">
                  <c:v>-5.0000000000000001E-3</c:v>
                </c:pt>
                <c:pt idx="2">
                  <c:v>9.9999999999999985E-3</c:v>
                </c:pt>
                <c:pt idx="3">
                  <c:v>4.9999999999999992E-3</c:v>
                </c:pt>
                <c:pt idx="4">
                  <c:v>-1.9999999999999997E-2</c:v>
                </c:pt>
                <c:pt idx="5">
                  <c:v>-0.03</c:v>
                </c:pt>
                <c:pt idx="6" formatCode="#,##0.00%;[Red]\(#,##0.00%\)">
                  <c:v>9.9999999999999534E-3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B-42FD-9C00-4B062519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49024"/>
        <c:axId val="347276416"/>
      </c:barChart>
      <c:catAx>
        <c:axId val="1860490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7276416"/>
        <c:crosses val="autoZero"/>
        <c:auto val="1"/>
        <c:lblAlgn val="ctr"/>
        <c:lblOffset val="100"/>
        <c:noMultiLvlLbl val="0"/>
      </c:catAx>
      <c:valAx>
        <c:axId val="34727641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crossAx val="18604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42260466243827"/>
          <c:y val="9.6683171058518952E-2"/>
          <c:w val="0.52910484103666466"/>
          <c:h val="0.7861271469023685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35-43C0-B949-207B41AAA7D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35-43C0-B949-207B41AAA7D4}"/>
              </c:ext>
            </c:extLst>
          </c:dPt>
          <c:dPt>
            <c:idx val="2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35-43C0-B949-207B41AAA7D4}"/>
              </c:ext>
            </c:extLst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35-43C0-B949-207B41AAA7D4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35-43C0-B949-207B41AAA7D4}"/>
              </c:ext>
            </c:extLst>
          </c:dPt>
          <c:dPt>
            <c:idx val="5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35-43C0-B949-207B41AAA7D4}"/>
              </c:ext>
            </c:extLst>
          </c:dPt>
          <c:dPt>
            <c:idx val="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235-43C0-B949-207B41AAA7D4}"/>
              </c:ext>
            </c:extLst>
          </c:dPt>
          <c:dLbls>
            <c:dLbl>
              <c:idx val="0"/>
              <c:layout>
                <c:manualLayout>
                  <c:x val="-2.5116410782841016E-3"/>
                  <c:y val="-0.1070506078436946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35-43C0-B949-207B41AAA7D4}"/>
                </c:ext>
              </c:extLst>
            </c:dLbl>
            <c:dLbl>
              <c:idx val="1"/>
              <c:layout>
                <c:manualLayout>
                  <c:x val="0.10762041395376809"/>
                  <c:y val="-2.309535733008900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419883315688021"/>
                      <c:h val="0.172999282423519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235-43C0-B949-207B41AAA7D4}"/>
                </c:ext>
              </c:extLst>
            </c:dLbl>
            <c:dLbl>
              <c:idx val="2"/>
              <c:layout>
                <c:manualLayout>
                  <c:x val="0.11210095767990286"/>
                  <c:y val="8.10711405562500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371569488736499"/>
                      <c:h val="0.186887833751753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235-43C0-B949-207B41AAA7D4}"/>
                </c:ext>
              </c:extLst>
            </c:dLbl>
            <c:dLbl>
              <c:idx val="3"/>
              <c:layout>
                <c:manualLayout>
                  <c:x val="-6.0312906606425958E-2"/>
                  <c:y val="0.1205962777662451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35-43C0-B949-207B41AAA7D4}"/>
                </c:ext>
              </c:extLst>
            </c:dLbl>
            <c:dLbl>
              <c:idx val="4"/>
              <c:layout>
                <c:manualLayout>
                  <c:x val="-0.15336837541315379"/>
                  <c:y val="9.799440626319558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284700925386616"/>
                      <c:h val="0.188609857931013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0235-43C0-B949-207B41AAA7D4}"/>
                </c:ext>
              </c:extLst>
            </c:dLbl>
            <c:dLbl>
              <c:idx val="5"/>
              <c:layout>
                <c:manualLayout>
                  <c:x val="-0.12840584000798061"/>
                  <c:y val="-1.47499618501121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3775174066435"/>
                      <c:h val="0.177198359893491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0235-43C0-B949-207B41AAA7D4}"/>
                </c:ext>
              </c:extLst>
            </c:dLbl>
            <c:dLbl>
              <c:idx val="6"/>
              <c:layout>
                <c:manualLayout>
                  <c:x val="-0.10932316019475274"/>
                  <c:y val="-6.524527290019231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235-43C0-B949-207B41AAA7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IR!$E$10:$E$16</c:f>
              <c:strCache>
                <c:ptCount val="7"/>
                <c:pt idx="0">
                  <c:v>Argentina</c:v>
                </c:pt>
                <c:pt idx="1">
                  <c:v>Brazil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  <c:pt idx="6">
                  <c:v>Uruguay</c:v>
                </c:pt>
              </c:strCache>
            </c:strRef>
          </c:cat>
          <c:val>
            <c:numRef>
              <c:f>IR!$F$10:$F$16</c:f>
              <c:numCache>
                <c:formatCode>#,##0.00%;[Red]\(#,##0.00%\)</c:formatCode>
                <c:ptCount val="7"/>
                <c:pt idx="0">
                  <c:v>3.1E-2</c:v>
                </c:pt>
                <c:pt idx="1">
                  <c:v>0.29969999999999997</c:v>
                </c:pt>
                <c:pt idx="2">
                  <c:v>1.5699999999999999E-2</c:v>
                </c:pt>
                <c:pt idx="3">
                  <c:v>0.23499999999999999</c:v>
                </c:pt>
                <c:pt idx="4">
                  <c:v>0.17469999999999999</c:v>
                </c:pt>
                <c:pt idx="5">
                  <c:v>7.8100000000000003E-2</c:v>
                </c:pt>
                <c:pt idx="6">
                  <c:v>0.16579999999999995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35-43C0-B949-207B41AAA7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63033246928419E-2"/>
          <c:y val="3.9636704212300658E-2"/>
          <c:w val="0.91986657922737591"/>
          <c:h val="0.841635052351943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IR!$E$56:$E$71</c:f>
              <c:strCache>
                <c:ptCount val="16"/>
                <c:pt idx="0">
                  <c:v>0.5</c:v>
                </c:pt>
                <c:pt idx="1">
                  <c:v>0.5 - 1.5</c:v>
                </c:pt>
                <c:pt idx="2">
                  <c:v>1.5 - 2.5</c:v>
                </c:pt>
                <c:pt idx="3">
                  <c:v>2.5 - 3.5</c:v>
                </c:pt>
                <c:pt idx="4">
                  <c:v>3.5 - 4.5</c:v>
                </c:pt>
                <c:pt idx="5">
                  <c:v>4.5 - 5.5</c:v>
                </c:pt>
                <c:pt idx="6">
                  <c:v>5.5 - 6.5</c:v>
                </c:pt>
                <c:pt idx="7">
                  <c:v>6.5 - 7.5</c:v>
                </c:pt>
                <c:pt idx="8">
                  <c:v>7.5 - 8.5</c:v>
                </c:pt>
                <c:pt idx="9">
                  <c:v>8.5 - 9.5</c:v>
                </c:pt>
                <c:pt idx="10">
                  <c:v>9.5 - 10.5</c:v>
                </c:pt>
                <c:pt idx="11">
                  <c:v>10.5 - 11.5</c:v>
                </c:pt>
                <c:pt idx="12">
                  <c:v>11.5 - 12.5</c:v>
                </c:pt>
                <c:pt idx="13">
                  <c:v>12.5 - 13.5</c:v>
                </c:pt>
                <c:pt idx="14">
                  <c:v>13.5 - 14.5</c:v>
                </c:pt>
                <c:pt idx="15">
                  <c:v>+14.5</c:v>
                </c:pt>
              </c:strCache>
            </c:strRef>
          </c:cat>
          <c:val>
            <c:numRef>
              <c:f>IR!$M$56:$M$71</c:f>
              <c:numCache>
                <c:formatCode>0.0%</c:formatCode>
                <c:ptCount val="16"/>
                <c:pt idx="0">
                  <c:v>0</c:v>
                </c:pt>
                <c:pt idx="1">
                  <c:v>0.23739999999999994</c:v>
                </c:pt>
                <c:pt idx="2">
                  <c:v>9.6700000000000008E-2</c:v>
                </c:pt>
                <c:pt idx="3">
                  <c:v>3.0599999999999999E-2</c:v>
                </c:pt>
                <c:pt idx="4">
                  <c:v>8.660000000000001E-2</c:v>
                </c:pt>
                <c:pt idx="5">
                  <c:v>0.1898</c:v>
                </c:pt>
                <c:pt idx="6">
                  <c:v>2.5399999999999999E-2</c:v>
                </c:pt>
                <c:pt idx="7">
                  <c:v>4.3499999999999997E-2</c:v>
                </c:pt>
                <c:pt idx="8">
                  <c:v>0.12540000000000001</c:v>
                </c:pt>
                <c:pt idx="9">
                  <c:v>4.5999999999999999E-2</c:v>
                </c:pt>
                <c:pt idx="10">
                  <c:v>0.1178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2-44E2-9C43-E5BC2C5FA911}"/>
            </c:ext>
          </c:extLst>
        </c:ser>
        <c:ser>
          <c:idx val="1"/>
          <c:order val="1"/>
          <c:tx>
            <c:v>Active weight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IR!$U$56:$U$71</c:f>
              <c:numCache>
                <c:formatCode>0.0%</c:formatCode>
                <c:ptCount val="16"/>
                <c:pt idx="0">
                  <c:v>0</c:v>
                </c:pt>
                <c:pt idx="1">
                  <c:v>9.9999999999999534E-3</c:v>
                </c:pt>
                <c:pt idx="2">
                  <c:v>1.9999999999999997E-2</c:v>
                </c:pt>
                <c:pt idx="3">
                  <c:v>-0.01</c:v>
                </c:pt>
                <c:pt idx="4">
                  <c:v>-5.000000000000001E-3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-0.03</c:v>
                </c:pt>
                <c:pt idx="9">
                  <c:v>-0.01</c:v>
                </c:pt>
                <c:pt idx="10">
                  <c:v>-1.4999999999999999E-2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E2-44E2-9C43-E5BC2C5F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050048"/>
        <c:axId val="420131904"/>
      </c:barChart>
      <c:dateAx>
        <c:axId val="18605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0131904"/>
        <c:crosses val="autoZero"/>
        <c:auto val="0"/>
        <c:lblOffset val="100"/>
        <c:baseTimeUnit val="days"/>
      </c:dateAx>
      <c:valAx>
        <c:axId val="4201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605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63033246928419E-2"/>
          <c:y val="3.9636704212300658E-2"/>
          <c:w val="0.91986657922737591"/>
          <c:h val="0.841635052351943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IR!$H$79:$T$79</c:f>
              <c:strCache>
                <c:ptCount val="13"/>
                <c:pt idx="0">
                  <c:v>AAA</c:v>
                </c:pt>
                <c:pt idx="1">
                  <c:v>AA</c:v>
                </c:pt>
                <c:pt idx="2">
                  <c:v>A+</c:v>
                </c:pt>
                <c:pt idx="3">
                  <c:v>A</c:v>
                </c:pt>
                <c:pt idx="4">
                  <c:v>A-</c:v>
                </c:pt>
                <c:pt idx="5">
                  <c:v>BBB+</c:v>
                </c:pt>
                <c:pt idx="6">
                  <c:v>BBB</c:v>
                </c:pt>
                <c:pt idx="7">
                  <c:v>BBB-</c:v>
                </c:pt>
                <c:pt idx="8">
                  <c:v>BB+</c:v>
                </c:pt>
                <c:pt idx="9">
                  <c:v>BB</c:v>
                </c:pt>
                <c:pt idx="10">
                  <c:v>BB-</c:v>
                </c:pt>
                <c:pt idx="11">
                  <c:v>B</c:v>
                </c:pt>
                <c:pt idx="12">
                  <c:v>N/A</c:v>
                </c:pt>
              </c:strCache>
            </c:strRef>
          </c:cat>
          <c:val>
            <c:numRef>
              <c:f>IR!$H$96:$T$96</c:f>
              <c:numCache>
                <c:formatCode>#,##0.00%;[Red]\(#,##0.00%\)</c:formatCode>
                <c:ptCount val="13"/>
                <c:pt idx="0">
                  <c:v>1.5699999999999999E-2</c:v>
                </c:pt>
                <c:pt idx="1">
                  <c:v>0.23499999999999999</c:v>
                </c:pt>
                <c:pt idx="2">
                  <c:v>0</c:v>
                </c:pt>
                <c:pt idx="3">
                  <c:v>0</c:v>
                </c:pt>
                <c:pt idx="4">
                  <c:v>0.2989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6-4E9B-8919-DF8472DCC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401728"/>
        <c:axId val="420133632"/>
      </c:barChart>
      <c:dateAx>
        <c:axId val="18740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0133632"/>
        <c:crosses val="autoZero"/>
        <c:auto val="0"/>
        <c:lblOffset val="100"/>
        <c:baseTimeUnit val="days"/>
      </c:dateAx>
      <c:valAx>
        <c:axId val="4201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%;[Red]\(#,##0.00%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740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210597</xdr:colOff>
      <xdr:row>4</xdr:row>
      <xdr:rowOff>104775</xdr:rowOff>
    </xdr:from>
    <xdr:to>
      <xdr:col>16</xdr:col>
      <xdr:colOff>586833</xdr:colOff>
      <xdr:row>17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220644</xdr:colOff>
      <xdr:row>4</xdr:row>
      <xdr:rowOff>41623</xdr:rowOff>
    </xdr:from>
    <xdr:to>
      <xdr:col>21</xdr:col>
      <xdr:colOff>636612</xdr:colOff>
      <xdr:row>18</xdr:row>
      <xdr:rowOff>70198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252740</xdr:colOff>
      <xdr:row>6</xdr:row>
      <xdr:rowOff>142875</xdr:rowOff>
    </xdr:from>
    <xdr:to>
      <xdr:col>20</xdr:col>
      <xdr:colOff>252740</xdr:colOff>
      <xdr:row>16</xdr:row>
      <xdr:rowOff>38100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13170206" y="1317190"/>
          <a:ext cx="0" cy="19568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390396</xdr:colOff>
      <xdr:row>33</xdr:row>
      <xdr:rowOff>104384</xdr:rowOff>
    </xdr:from>
    <xdr:to>
      <xdr:col>9</xdr:col>
      <xdr:colOff>603011</xdr:colOff>
      <xdr:row>47</xdr:row>
      <xdr:rowOff>104383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382303</xdr:colOff>
      <xdr:row>53</xdr:row>
      <xdr:rowOff>141961</xdr:rowOff>
    </xdr:from>
    <xdr:to>
      <xdr:col>32</xdr:col>
      <xdr:colOff>182672</xdr:colOff>
      <xdr:row>76</xdr:row>
      <xdr:rowOff>65240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326198</xdr:colOff>
      <xdr:row>77</xdr:row>
      <xdr:rowOff>13049</xdr:rowOff>
    </xdr:from>
    <xdr:to>
      <xdr:col>32</xdr:col>
      <xdr:colOff>126567</xdr:colOff>
      <xdr:row>99</xdr:row>
      <xdr:rowOff>118999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742950</xdr:colOff>
          <xdr:row>4</xdr:row>
          <xdr:rowOff>123825</xdr:rowOff>
        </xdr:from>
        <xdr:to>
          <xdr:col>26</xdr:col>
          <xdr:colOff>114300</xdr:colOff>
          <xdr:row>6</xdr:row>
          <xdr:rowOff>171450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5E758CC-5963-49F6-8B6B-37759DB7B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12</xdr:row>
          <xdr:rowOff>152400</xdr:rowOff>
        </xdr:from>
        <xdr:to>
          <xdr:col>12</xdr:col>
          <xdr:colOff>571500</xdr:colOff>
          <xdr:row>14</xdr:row>
          <xdr:rowOff>9525</xdr:rowOff>
        </xdr:to>
        <xdr:sp macro="" textlink="">
          <xdr:nvSpPr>
            <xdr:cNvPr id="8195" name="Botó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Mantain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12</xdr:row>
          <xdr:rowOff>142875</xdr:rowOff>
        </xdr:from>
        <xdr:to>
          <xdr:col>15</xdr:col>
          <xdr:colOff>123825</xdr:colOff>
          <xdr:row>14</xdr:row>
          <xdr:rowOff>0</xdr:rowOff>
        </xdr:to>
        <xdr:sp macro="" textlink="">
          <xdr:nvSpPr>
            <xdr:cNvPr id="8196" name="Botó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Reallocate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714375</xdr:colOff>
          <xdr:row>12</xdr:row>
          <xdr:rowOff>142875</xdr:rowOff>
        </xdr:from>
        <xdr:to>
          <xdr:col>13</xdr:col>
          <xdr:colOff>723900</xdr:colOff>
          <xdr:row>14</xdr:row>
          <xdr:rowOff>0</xdr:rowOff>
        </xdr:to>
        <xdr:sp macro="" textlink="">
          <xdr:nvSpPr>
            <xdr:cNvPr id="8197" name="Botó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Benchmark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61"/>
  <sheetViews>
    <sheetView workbookViewId="0">
      <selection activeCell="K16" sqref="K16"/>
    </sheetView>
  </sheetViews>
  <sheetFormatPr baseColWidth="10" defaultRowHeight="14.25" x14ac:dyDescent="0.2"/>
  <cols>
    <col min="2" max="2" width="13.875" customWidth="1"/>
    <col min="4" max="4" width="21.75" customWidth="1"/>
    <col min="5" max="5" width="11.625" customWidth="1"/>
    <col min="6" max="6" width="8.375" customWidth="1"/>
    <col min="7" max="7" width="17" customWidth="1"/>
    <col min="8" max="8" width="13.125" bestFit="1" customWidth="1"/>
    <col min="9" max="9" width="16.75" bestFit="1" customWidth="1"/>
    <col min="10" max="10" width="11.875" bestFit="1" customWidth="1"/>
    <col min="11" max="11" width="15.25" bestFit="1" customWidth="1"/>
    <col min="12" max="12" width="13.75" bestFit="1" customWidth="1"/>
    <col min="13" max="13" width="12" bestFit="1" customWidth="1"/>
    <col min="14" max="14" width="8.875" bestFit="1" customWidth="1"/>
    <col min="15" max="15" width="7.5" bestFit="1" customWidth="1"/>
    <col min="16" max="16" width="7.625" bestFit="1" customWidth="1"/>
    <col min="17" max="17" width="8.125" bestFit="1" customWidth="1"/>
    <col min="18" max="18" width="11.875" bestFit="1" customWidth="1"/>
    <col min="19" max="19" width="6.875" customWidth="1"/>
    <col min="20" max="20" width="7.625" customWidth="1"/>
    <col min="21" max="21" width="7.875" customWidth="1"/>
    <col min="22" max="22" width="8.5" customWidth="1"/>
    <col min="23" max="23" width="9.375" customWidth="1"/>
    <col min="24" max="24" width="9.875" customWidth="1"/>
    <col min="25" max="25" width="8.5" customWidth="1"/>
    <col min="26" max="26" width="9.75" customWidth="1"/>
  </cols>
  <sheetData>
    <row r="1" spans="1:26" x14ac:dyDescent="0.2">
      <c r="A1" s="1" t="s">
        <v>23</v>
      </c>
      <c r="B1" s="1" t="s">
        <v>1</v>
      </c>
      <c r="C1" s="1" t="s">
        <v>0</v>
      </c>
      <c r="D1" s="1" t="s">
        <v>12</v>
      </c>
      <c r="E1" s="1" t="s">
        <v>10</v>
      </c>
      <c r="F1" s="1" t="s">
        <v>15</v>
      </c>
      <c r="G1" s="1" t="s">
        <v>21</v>
      </c>
      <c r="H1" s="1" t="s">
        <v>13</v>
      </c>
      <c r="I1" s="1" t="s">
        <v>14</v>
      </c>
      <c r="J1" s="1" t="s">
        <v>19</v>
      </c>
      <c r="K1" s="1" t="s">
        <v>20</v>
      </c>
      <c r="L1" s="1" t="s">
        <v>11</v>
      </c>
      <c r="M1" s="7" t="s">
        <v>148</v>
      </c>
      <c r="N1" s="1" t="s">
        <v>22</v>
      </c>
      <c r="O1" s="1" t="s">
        <v>16</v>
      </c>
      <c r="P1" s="1" t="s">
        <v>2</v>
      </c>
      <c r="Q1" s="1" t="s">
        <v>3</v>
      </c>
      <c r="R1" s="1" t="s">
        <v>18</v>
      </c>
      <c r="S1" s="1" t="s">
        <v>4</v>
      </c>
      <c r="T1" s="1" t="s">
        <v>5</v>
      </c>
      <c r="U1" s="1" t="s">
        <v>6</v>
      </c>
      <c r="V1" s="1" t="s">
        <v>7</v>
      </c>
      <c r="W1" s="1" t="s">
        <v>17</v>
      </c>
      <c r="X1" s="1" t="s">
        <v>8</v>
      </c>
      <c r="Y1" s="1" t="s">
        <v>9</v>
      </c>
    </row>
    <row r="2" spans="1:26" x14ac:dyDescent="0.2">
      <c r="A2" s="2">
        <v>43060</v>
      </c>
      <c r="B2" s="1" t="s">
        <v>24</v>
      </c>
      <c r="C2" s="1" t="s">
        <v>24</v>
      </c>
      <c r="D2" s="1" t="s">
        <v>71</v>
      </c>
      <c r="E2" s="1" t="s">
        <v>125</v>
      </c>
      <c r="F2" s="1" t="s">
        <v>132</v>
      </c>
      <c r="G2" s="1" t="s">
        <v>118</v>
      </c>
      <c r="H2" s="1" t="s">
        <v>119</v>
      </c>
      <c r="I2" s="1" t="str">
        <f>+H2</f>
        <v>BB+</v>
      </c>
      <c r="J2" s="1"/>
      <c r="K2" s="1"/>
      <c r="L2" s="1"/>
      <c r="M2" s="7"/>
      <c r="N2" s="1"/>
      <c r="O2" s="1"/>
      <c r="P2" s="5">
        <v>1.29E-2</v>
      </c>
      <c r="Q2" s="3">
        <v>2.29E-2</v>
      </c>
      <c r="R2" s="5">
        <f>+P2-Q2</f>
        <v>-0.01</v>
      </c>
      <c r="S2" s="1">
        <v>0.52190089733877887</v>
      </c>
      <c r="T2" s="1"/>
      <c r="U2" s="1"/>
      <c r="V2" s="1">
        <v>9.2280703503549084</v>
      </c>
      <c r="W2" s="1"/>
      <c r="X2" s="1">
        <v>1000</v>
      </c>
      <c r="Y2" s="1">
        <v>1000</v>
      </c>
      <c r="Z2" s="1"/>
    </row>
    <row r="3" spans="1:26" x14ac:dyDescent="0.2">
      <c r="A3" s="2">
        <f>+A2</f>
        <v>43060</v>
      </c>
      <c r="B3" s="1" t="s">
        <v>25</v>
      </c>
      <c r="C3" s="1" t="s">
        <v>25</v>
      </c>
      <c r="D3" s="1" t="s">
        <v>72</v>
      </c>
      <c r="E3" s="1" t="s">
        <v>125</v>
      </c>
      <c r="F3" s="1" t="s">
        <v>132</v>
      </c>
      <c r="G3" s="1" t="s">
        <v>118</v>
      </c>
      <c r="H3" s="1" t="s">
        <v>119</v>
      </c>
      <c r="I3" s="15" t="str">
        <f t="shared" ref="I3:I48" si="0">+H3</f>
        <v>BB+</v>
      </c>
      <c r="J3" s="1"/>
      <c r="K3" s="1"/>
      <c r="L3" s="1"/>
      <c r="M3" s="7"/>
      <c r="N3" s="1"/>
      <c r="O3" s="1"/>
      <c r="P3" s="5">
        <v>5.4999999999999997E-3</v>
      </c>
      <c r="Q3" s="3">
        <v>5.4999999999999997E-3</v>
      </c>
      <c r="R3" s="5">
        <f t="shared" ref="R3:R48" si="1">+P3-Q3</f>
        <v>0</v>
      </c>
      <c r="S3" s="15">
        <v>0.30341645741523393</v>
      </c>
      <c r="T3" s="1"/>
      <c r="U3" s="1"/>
      <c r="V3" s="15">
        <v>8.9444999592563654</v>
      </c>
      <c r="W3" s="1"/>
      <c r="X3" s="30">
        <v>1000</v>
      </c>
      <c r="Y3" s="30">
        <v>1000</v>
      </c>
      <c r="Z3" s="1"/>
    </row>
    <row r="4" spans="1:26" x14ac:dyDescent="0.2">
      <c r="A4" s="2">
        <f t="shared" ref="A4:A48" si="2">+A3</f>
        <v>43060</v>
      </c>
      <c r="B4" s="1" t="s">
        <v>26</v>
      </c>
      <c r="C4" s="1" t="s">
        <v>26</v>
      </c>
      <c r="D4" s="1" t="s">
        <v>73</v>
      </c>
      <c r="E4" s="1" t="s">
        <v>125</v>
      </c>
      <c r="F4" s="1" t="s">
        <v>132</v>
      </c>
      <c r="G4" s="1" t="s">
        <v>118</v>
      </c>
      <c r="H4" s="1" t="s">
        <v>119</v>
      </c>
      <c r="I4" s="15" t="str">
        <f t="shared" si="0"/>
        <v>BB+</v>
      </c>
      <c r="J4" s="1"/>
      <c r="K4" s="1"/>
      <c r="L4" s="1"/>
      <c r="M4" s="7"/>
      <c r="N4" s="1"/>
      <c r="O4" s="1"/>
      <c r="P4" s="5">
        <v>1.26E-2</v>
      </c>
      <c r="Q4" s="3">
        <v>1.26E-2</v>
      </c>
      <c r="R4" s="5">
        <f t="shared" si="1"/>
        <v>0</v>
      </c>
      <c r="S4" s="15">
        <v>0.4258749040310672</v>
      </c>
      <c r="T4" s="1"/>
      <c r="U4" s="1"/>
      <c r="V4" s="15">
        <v>9.7361017151287097</v>
      </c>
      <c r="W4" s="1"/>
      <c r="X4" s="30">
        <v>1000</v>
      </c>
      <c r="Y4" s="30">
        <v>1000</v>
      </c>
      <c r="Z4" s="1"/>
    </row>
    <row r="5" spans="1:26" x14ac:dyDescent="0.2">
      <c r="A5" s="2">
        <f t="shared" si="2"/>
        <v>43060</v>
      </c>
      <c r="B5" s="1" t="s">
        <v>27</v>
      </c>
      <c r="C5" s="1" t="s">
        <v>27</v>
      </c>
      <c r="D5" s="1" t="s">
        <v>74</v>
      </c>
      <c r="E5" s="1" t="s">
        <v>126</v>
      </c>
      <c r="F5" s="1" t="s">
        <v>133</v>
      </c>
      <c r="G5" s="1" t="s">
        <v>118</v>
      </c>
      <c r="H5" s="1" t="s">
        <v>120</v>
      </c>
      <c r="I5" s="15" t="str">
        <f t="shared" si="0"/>
        <v>A-</v>
      </c>
      <c r="J5" s="1"/>
      <c r="K5" s="1"/>
      <c r="L5" s="1"/>
      <c r="M5" s="7"/>
      <c r="N5" s="1"/>
      <c r="O5" s="1"/>
      <c r="P5" s="5">
        <v>3.1600000000000003E-2</v>
      </c>
      <c r="Q5" s="3">
        <v>3.1600000000000003E-2</v>
      </c>
      <c r="R5" s="5">
        <f t="shared" si="1"/>
        <v>0</v>
      </c>
      <c r="S5" s="15">
        <v>0.59157884772645208</v>
      </c>
      <c r="T5" s="1"/>
      <c r="U5" s="1"/>
      <c r="V5" s="15">
        <v>4.7855150252809731</v>
      </c>
      <c r="W5" s="1"/>
      <c r="X5" s="30">
        <v>1000</v>
      </c>
      <c r="Y5" s="30">
        <v>1000</v>
      </c>
      <c r="Z5" s="1"/>
    </row>
    <row r="6" spans="1:26" x14ac:dyDescent="0.2">
      <c r="A6" s="2">
        <f t="shared" si="2"/>
        <v>43060</v>
      </c>
      <c r="B6" s="1" t="s">
        <v>28</v>
      </c>
      <c r="C6" s="1" t="s">
        <v>28</v>
      </c>
      <c r="D6" s="1" t="s">
        <v>75</v>
      </c>
      <c r="E6" s="1" t="s">
        <v>126</v>
      </c>
      <c r="F6" s="1" t="s">
        <v>133</v>
      </c>
      <c r="G6" s="1" t="s">
        <v>118</v>
      </c>
      <c r="H6" s="1" t="s">
        <v>120</v>
      </c>
      <c r="I6" s="15" t="str">
        <f t="shared" si="0"/>
        <v>A-</v>
      </c>
      <c r="J6" s="1"/>
      <c r="K6" s="1"/>
      <c r="L6" s="1"/>
      <c r="M6" s="7"/>
      <c r="N6" s="1"/>
      <c r="O6" s="1"/>
      <c r="P6" s="5">
        <v>3.7000000000000002E-3</v>
      </c>
      <c r="Q6" s="3">
        <v>3.7000000000000002E-3</v>
      </c>
      <c r="R6" s="5">
        <f t="shared" si="1"/>
        <v>0</v>
      </c>
      <c r="S6" s="15">
        <v>0.23577439494905328</v>
      </c>
      <c r="T6" s="1"/>
      <c r="U6" s="1"/>
      <c r="V6" s="15">
        <v>9.1243786527222817</v>
      </c>
      <c r="W6" s="1"/>
      <c r="X6" s="30">
        <v>1000</v>
      </c>
      <c r="Y6" s="30">
        <v>1000</v>
      </c>
      <c r="Z6" s="1"/>
    </row>
    <row r="7" spans="1:26" x14ac:dyDescent="0.2">
      <c r="A7" s="2">
        <f t="shared" si="2"/>
        <v>43060</v>
      </c>
      <c r="B7" s="1" t="s">
        <v>29</v>
      </c>
      <c r="C7" s="1" t="s">
        <v>29</v>
      </c>
      <c r="D7" s="1" t="s">
        <v>76</v>
      </c>
      <c r="E7" s="1" t="s">
        <v>126</v>
      </c>
      <c r="F7" s="1" t="s">
        <v>133</v>
      </c>
      <c r="G7" s="1" t="s">
        <v>118</v>
      </c>
      <c r="H7" s="1" t="s">
        <v>120</v>
      </c>
      <c r="I7" s="15" t="str">
        <f t="shared" si="0"/>
        <v>A-</v>
      </c>
      <c r="J7" s="1"/>
      <c r="K7" s="1"/>
      <c r="L7" s="1"/>
      <c r="M7" s="7"/>
      <c r="N7" s="1"/>
      <c r="O7" s="1"/>
      <c r="P7" s="5">
        <v>2.75E-2</v>
      </c>
      <c r="Q7" s="3">
        <v>2.75E-2</v>
      </c>
      <c r="R7" s="5">
        <f t="shared" si="1"/>
        <v>0</v>
      </c>
      <c r="S7" s="15">
        <v>0.49171082424035928</v>
      </c>
      <c r="T7" s="1"/>
      <c r="U7" s="1"/>
      <c r="V7" s="15">
        <v>5.384734266940284</v>
      </c>
      <c r="W7" s="1"/>
      <c r="X7" s="30">
        <v>1000</v>
      </c>
      <c r="Y7" s="30">
        <v>1000</v>
      </c>
      <c r="Z7" s="1"/>
    </row>
    <row r="8" spans="1:26" x14ac:dyDescent="0.2">
      <c r="A8" s="2">
        <f t="shared" si="2"/>
        <v>43060</v>
      </c>
      <c r="B8" s="1" t="s">
        <v>30</v>
      </c>
      <c r="C8" s="1" t="s">
        <v>30</v>
      </c>
      <c r="D8" s="1" t="s">
        <v>77</v>
      </c>
      <c r="E8" s="1" t="s">
        <v>126</v>
      </c>
      <c r="F8" s="1" t="s">
        <v>133</v>
      </c>
      <c r="G8" s="1" t="s">
        <v>118</v>
      </c>
      <c r="H8" s="1" t="s">
        <v>120</v>
      </c>
      <c r="I8" s="15" t="str">
        <f t="shared" si="0"/>
        <v>A-</v>
      </c>
      <c r="J8" s="1"/>
      <c r="K8" s="1"/>
      <c r="L8" s="1"/>
      <c r="M8" s="7"/>
      <c r="N8" s="1"/>
      <c r="O8" s="1"/>
      <c r="P8" s="5">
        <v>1.29E-2</v>
      </c>
      <c r="Q8" s="3">
        <v>1.29E-2</v>
      </c>
      <c r="R8" s="5">
        <f t="shared" si="1"/>
        <v>0</v>
      </c>
      <c r="S8" s="15">
        <v>0.2123482546943205</v>
      </c>
      <c r="T8" s="1"/>
      <c r="U8" s="1"/>
      <c r="V8" s="15">
        <v>2.7698097742694872</v>
      </c>
      <c r="W8" s="1"/>
      <c r="X8" s="30">
        <v>1000</v>
      </c>
      <c r="Y8" s="30">
        <v>1000</v>
      </c>
      <c r="Z8" s="1"/>
    </row>
    <row r="9" spans="1:26" x14ac:dyDescent="0.2">
      <c r="A9" s="2">
        <f t="shared" si="2"/>
        <v>43060</v>
      </c>
      <c r="B9" s="1" t="s">
        <v>31</v>
      </c>
      <c r="C9" s="1" t="s">
        <v>31</v>
      </c>
      <c r="D9" s="1" t="s">
        <v>78</v>
      </c>
      <c r="E9" s="1" t="s">
        <v>126</v>
      </c>
      <c r="F9" s="1" t="s">
        <v>133</v>
      </c>
      <c r="G9" s="1" t="s">
        <v>118</v>
      </c>
      <c r="H9" s="1" t="s">
        <v>120</v>
      </c>
      <c r="I9" s="15" t="str">
        <f t="shared" si="0"/>
        <v>A-</v>
      </c>
      <c r="J9" s="1"/>
      <c r="K9" s="1"/>
      <c r="L9" s="1"/>
      <c r="M9" s="7"/>
      <c r="N9" s="1"/>
      <c r="O9" s="1"/>
      <c r="P9" s="5">
        <v>1.4200000000000001E-2</v>
      </c>
      <c r="Q9" s="3">
        <v>1.4200000000000001E-2</v>
      </c>
      <c r="R9" s="5">
        <f t="shared" si="1"/>
        <v>0</v>
      </c>
      <c r="S9" s="15">
        <v>0.8811747976335973</v>
      </c>
      <c r="T9" s="1"/>
      <c r="U9" s="1"/>
      <c r="V9" s="15">
        <v>7.9957846600904698</v>
      </c>
      <c r="W9" s="1"/>
      <c r="X9" s="30">
        <v>1000</v>
      </c>
      <c r="Y9" s="30">
        <v>1000</v>
      </c>
      <c r="Z9" s="1"/>
    </row>
    <row r="10" spans="1:26" x14ac:dyDescent="0.2">
      <c r="A10" s="2">
        <f t="shared" si="2"/>
        <v>43060</v>
      </c>
      <c r="B10" s="1" t="s">
        <v>32</v>
      </c>
      <c r="C10" s="1" t="s">
        <v>32</v>
      </c>
      <c r="D10" s="1" t="s">
        <v>79</v>
      </c>
      <c r="E10" s="1" t="s">
        <v>126</v>
      </c>
      <c r="F10" s="1" t="s">
        <v>133</v>
      </c>
      <c r="G10" s="1" t="s">
        <v>118</v>
      </c>
      <c r="H10" s="1" t="s">
        <v>120</v>
      </c>
      <c r="I10" s="15" t="str">
        <f t="shared" si="0"/>
        <v>A-</v>
      </c>
      <c r="J10" s="1"/>
      <c r="K10" s="1"/>
      <c r="L10" s="1"/>
      <c r="M10" s="7"/>
      <c r="N10" s="1"/>
      <c r="O10" s="1"/>
      <c r="P10" s="5">
        <v>2.41E-2</v>
      </c>
      <c r="Q10" s="3">
        <v>2.41E-2</v>
      </c>
      <c r="R10" s="5">
        <f t="shared" si="1"/>
        <v>0</v>
      </c>
      <c r="S10" s="15">
        <v>0.30163274318009814</v>
      </c>
      <c r="T10" s="1"/>
      <c r="U10" s="1"/>
      <c r="V10" s="15">
        <v>4.9007825424364269</v>
      </c>
      <c r="W10" s="1"/>
      <c r="X10" s="30">
        <v>1000</v>
      </c>
      <c r="Y10" s="30">
        <v>1000</v>
      </c>
      <c r="Z10" s="1"/>
    </row>
    <row r="11" spans="1:26" x14ac:dyDescent="0.2">
      <c r="A11" s="2">
        <f t="shared" si="2"/>
        <v>43060</v>
      </c>
      <c r="B11" s="1" t="s">
        <v>33</v>
      </c>
      <c r="C11" s="1" t="s">
        <v>33</v>
      </c>
      <c r="D11" s="1" t="s">
        <v>80</v>
      </c>
      <c r="E11" s="1" t="s">
        <v>126</v>
      </c>
      <c r="F11" s="1" t="s">
        <v>133</v>
      </c>
      <c r="G11" s="1" t="s">
        <v>118</v>
      </c>
      <c r="H11" s="1" t="s">
        <v>120</v>
      </c>
      <c r="I11" s="15" t="str">
        <f t="shared" si="0"/>
        <v>A-</v>
      </c>
      <c r="J11" s="1"/>
      <c r="K11" s="1"/>
      <c r="L11" s="1"/>
      <c r="M11" s="7"/>
      <c r="N11" s="1"/>
      <c r="O11" s="1"/>
      <c r="P11" s="5">
        <v>4.6199999999999998E-2</v>
      </c>
      <c r="Q11" s="3">
        <v>4.6199999999999998E-2</v>
      </c>
      <c r="R11" s="5">
        <f t="shared" si="1"/>
        <v>0</v>
      </c>
      <c r="S11" s="15">
        <v>0.43191315744419645</v>
      </c>
      <c r="T11" s="1"/>
      <c r="U11" s="1"/>
      <c r="V11" s="15">
        <v>9.8574380770588412</v>
      </c>
      <c r="W11" s="1"/>
      <c r="X11" s="30">
        <v>1000</v>
      </c>
      <c r="Y11" s="30">
        <v>1000</v>
      </c>
      <c r="Z11" s="1"/>
    </row>
    <row r="12" spans="1:26" x14ac:dyDescent="0.2">
      <c r="A12" s="2">
        <f t="shared" si="2"/>
        <v>43060</v>
      </c>
      <c r="B12" s="1" t="s">
        <v>34</v>
      </c>
      <c r="C12" s="1" t="s">
        <v>34</v>
      </c>
      <c r="D12" s="1" t="s">
        <v>81</v>
      </c>
      <c r="E12" s="1" t="s">
        <v>126</v>
      </c>
      <c r="F12" s="1" t="s">
        <v>133</v>
      </c>
      <c r="G12" s="1" t="s">
        <v>118</v>
      </c>
      <c r="H12" s="1" t="s">
        <v>120</v>
      </c>
      <c r="I12" s="15" t="str">
        <f t="shared" si="0"/>
        <v>A-</v>
      </c>
      <c r="J12" s="1"/>
      <c r="K12" s="1"/>
      <c r="L12" s="1"/>
      <c r="M12" s="7"/>
      <c r="N12" s="1"/>
      <c r="O12" s="1"/>
      <c r="P12" s="5">
        <v>3.3099999999999997E-2</v>
      </c>
      <c r="Q12" s="3">
        <v>3.3099999999999997E-2</v>
      </c>
      <c r="R12" s="5">
        <f t="shared" si="1"/>
        <v>0</v>
      </c>
      <c r="S12" s="15">
        <v>0.32928718159426273</v>
      </c>
      <c r="T12" s="1"/>
      <c r="U12" s="1"/>
      <c r="V12" s="15">
        <v>4.3164419274770296</v>
      </c>
      <c r="W12" s="1"/>
      <c r="X12" s="30">
        <v>1000</v>
      </c>
      <c r="Y12" s="30">
        <v>1000</v>
      </c>
      <c r="Z12" s="1"/>
    </row>
    <row r="13" spans="1:26" x14ac:dyDescent="0.2">
      <c r="A13" s="2">
        <f t="shared" si="2"/>
        <v>43060</v>
      </c>
      <c r="B13" s="1" t="s">
        <v>35</v>
      </c>
      <c r="C13" s="1" t="s">
        <v>35</v>
      </c>
      <c r="D13" s="1" t="s">
        <v>82</v>
      </c>
      <c r="E13" s="1" t="s">
        <v>126</v>
      </c>
      <c r="F13" s="1" t="s">
        <v>133</v>
      </c>
      <c r="G13" s="1" t="s">
        <v>118</v>
      </c>
      <c r="H13" s="1" t="s">
        <v>120</v>
      </c>
      <c r="I13" s="15" t="str">
        <f t="shared" si="0"/>
        <v>A-</v>
      </c>
      <c r="J13" s="1"/>
      <c r="K13" s="1"/>
      <c r="L13" s="1"/>
      <c r="M13" s="7"/>
      <c r="N13" s="1"/>
      <c r="O13" s="1"/>
      <c r="P13" s="5">
        <v>1.6E-2</v>
      </c>
      <c r="Q13" s="3">
        <v>1.6E-2</v>
      </c>
      <c r="R13" s="5">
        <f t="shared" si="1"/>
        <v>0</v>
      </c>
      <c r="S13" s="15">
        <v>0.8783020372490854</v>
      </c>
      <c r="T13" s="1"/>
      <c r="U13" s="1"/>
      <c r="V13" s="15">
        <v>9.9990938871643404</v>
      </c>
      <c r="W13" s="1"/>
      <c r="X13" s="30">
        <v>1000</v>
      </c>
      <c r="Y13" s="30">
        <v>1000</v>
      </c>
      <c r="Z13" s="1"/>
    </row>
    <row r="14" spans="1:26" x14ac:dyDescent="0.2">
      <c r="A14" s="2">
        <f t="shared" si="2"/>
        <v>43060</v>
      </c>
      <c r="B14" s="1" t="s">
        <v>36</v>
      </c>
      <c r="C14" s="1" t="s">
        <v>36</v>
      </c>
      <c r="D14" s="1" t="s">
        <v>83</v>
      </c>
      <c r="E14" s="1" t="s">
        <v>126</v>
      </c>
      <c r="F14" s="1" t="s">
        <v>133</v>
      </c>
      <c r="G14" s="1" t="s">
        <v>118</v>
      </c>
      <c r="H14" s="1" t="s">
        <v>120</v>
      </c>
      <c r="I14" s="15" t="str">
        <f t="shared" si="0"/>
        <v>A-</v>
      </c>
      <c r="J14" s="1"/>
      <c r="K14" s="1"/>
      <c r="L14" s="1"/>
      <c r="M14" s="7"/>
      <c r="N14" s="1"/>
      <c r="O14" s="1"/>
      <c r="P14" s="5">
        <v>4.0899999999999999E-2</v>
      </c>
      <c r="Q14" s="3">
        <v>4.0899999999999999E-2</v>
      </c>
      <c r="R14" s="5">
        <f t="shared" si="1"/>
        <v>0</v>
      </c>
      <c r="S14" s="15">
        <v>0.72144539179509082</v>
      </c>
      <c r="T14" s="1"/>
      <c r="U14" s="1"/>
      <c r="V14" s="15">
        <v>7.2829053690183283</v>
      </c>
      <c r="W14" s="1"/>
      <c r="X14" s="30">
        <v>1000</v>
      </c>
      <c r="Y14" s="30">
        <v>1000</v>
      </c>
      <c r="Z14" s="1"/>
    </row>
    <row r="15" spans="1:26" x14ac:dyDescent="0.2">
      <c r="A15" s="2">
        <f t="shared" si="2"/>
        <v>43060</v>
      </c>
      <c r="B15" s="1" t="s">
        <v>37</v>
      </c>
      <c r="C15" s="1" t="s">
        <v>37</v>
      </c>
      <c r="D15" s="1" t="s">
        <v>84</v>
      </c>
      <c r="E15" s="1" t="s">
        <v>126</v>
      </c>
      <c r="F15" s="1" t="s">
        <v>133</v>
      </c>
      <c r="G15" s="1" t="s">
        <v>118</v>
      </c>
      <c r="H15" s="1" t="s">
        <v>120</v>
      </c>
      <c r="I15" s="15" t="str">
        <f t="shared" si="0"/>
        <v>A-</v>
      </c>
      <c r="J15" s="1"/>
      <c r="K15" s="1"/>
      <c r="L15" s="1"/>
      <c r="M15" s="7"/>
      <c r="N15" s="1"/>
      <c r="O15" s="1"/>
      <c r="P15" s="5">
        <v>2.2100000000000002E-2</v>
      </c>
      <c r="Q15" s="3">
        <v>2.2100000000000002E-2</v>
      </c>
      <c r="R15" s="5">
        <f t="shared" si="1"/>
        <v>0</v>
      </c>
      <c r="S15" s="15">
        <v>0.13622352286590211</v>
      </c>
      <c r="T15" s="1"/>
      <c r="U15" s="1"/>
      <c r="V15" s="15">
        <v>8.3665672527033799</v>
      </c>
      <c r="W15" s="1"/>
      <c r="X15" s="30">
        <v>1000</v>
      </c>
      <c r="Y15" s="30">
        <v>1000</v>
      </c>
      <c r="Z15" s="1"/>
    </row>
    <row r="16" spans="1:26" x14ac:dyDescent="0.2">
      <c r="A16" s="2">
        <f t="shared" si="2"/>
        <v>43060</v>
      </c>
      <c r="B16" s="1" t="s">
        <v>38</v>
      </c>
      <c r="C16" s="1" t="s">
        <v>38</v>
      </c>
      <c r="D16" s="1" t="s">
        <v>85</v>
      </c>
      <c r="E16" s="1" t="s">
        <v>126</v>
      </c>
      <c r="F16" s="1" t="s">
        <v>133</v>
      </c>
      <c r="G16" s="1" t="s">
        <v>118</v>
      </c>
      <c r="H16" s="1" t="s">
        <v>120</v>
      </c>
      <c r="I16" s="15" t="str">
        <f t="shared" si="0"/>
        <v>A-</v>
      </c>
      <c r="J16" s="1"/>
      <c r="K16" s="1"/>
      <c r="L16" s="1"/>
      <c r="M16" s="7"/>
      <c r="N16" s="1"/>
      <c r="O16" s="1"/>
      <c r="P16" s="5">
        <v>2.3900000000000001E-2</v>
      </c>
      <c r="Q16" s="3">
        <v>2.3900000000000001E-2</v>
      </c>
      <c r="R16" s="5">
        <f t="shared" si="1"/>
        <v>0</v>
      </c>
      <c r="S16" s="15">
        <v>0.22439002071835679</v>
      </c>
      <c r="T16" s="1"/>
      <c r="U16" s="1"/>
      <c r="V16" s="15">
        <v>9.3868447745980923</v>
      </c>
      <c r="W16" s="1"/>
      <c r="X16" s="30">
        <v>1000</v>
      </c>
      <c r="Y16" s="30">
        <v>1000</v>
      </c>
      <c r="Z16" s="1"/>
    </row>
    <row r="17" spans="1:26" x14ac:dyDescent="0.2">
      <c r="A17" s="2">
        <f t="shared" si="2"/>
        <v>43060</v>
      </c>
      <c r="B17" s="1" t="s">
        <v>39</v>
      </c>
      <c r="C17" s="1" t="s">
        <v>39</v>
      </c>
      <c r="D17" s="1" t="s">
        <v>86</v>
      </c>
      <c r="E17" s="1" t="s">
        <v>126</v>
      </c>
      <c r="F17" s="1" t="s">
        <v>133</v>
      </c>
      <c r="G17" s="1" t="s">
        <v>118</v>
      </c>
      <c r="H17" s="1" t="s">
        <v>120</v>
      </c>
      <c r="I17" s="15" t="str">
        <f t="shared" si="0"/>
        <v>A-</v>
      </c>
      <c r="J17" s="1"/>
      <c r="K17" s="1"/>
      <c r="L17" s="1"/>
      <c r="M17" s="7"/>
      <c r="N17" s="1"/>
      <c r="O17" s="1"/>
      <c r="P17" s="5">
        <v>8.0000000000000004E-4</v>
      </c>
      <c r="Q17" s="3">
        <v>8.0000000000000004E-4</v>
      </c>
      <c r="R17" s="5">
        <f t="shared" si="1"/>
        <v>0</v>
      </c>
      <c r="S17" s="15">
        <v>0.76544648480349042</v>
      </c>
      <c r="T17" s="1"/>
      <c r="U17" s="1"/>
      <c r="V17" s="15">
        <v>0.46814809248580391</v>
      </c>
      <c r="W17" s="1"/>
      <c r="X17" s="30">
        <v>1000</v>
      </c>
      <c r="Y17" s="30">
        <v>1000</v>
      </c>
      <c r="Z17" s="1"/>
    </row>
    <row r="18" spans="1:26" x14ac:dyDescent="0.2">
      <c r="A18" s="2">
        <f t="shared" si="2"/>
        <v>43060</v>
      </c>
      <c r="B18" s="1" t="s">
        <v>40</v>
      </c>
      <c r="C18" s="1" t="s">
        <v>40</v>
      </c>
      <c r="D18" s="1" t="s">
        <v>87</v>
      </c>
      <c r="E18" s="1" t="s">
        <v>126</v>
      </c>
      <c r="F18" s="1" t="s">
        <v>133</v>
      </c>
      <c r="G18" s="1" t="s">
        <v>118</v>
      </c>
      <c r="H18" s="1" t="s">
        <v>120</v>
      </c>
      <c r="I18" s="15" t="str">
        <f t="shared" si="0"/>
        <v>A-</v>
      </c>
      <c r="J18" s="1"/>
      <c r="K18" s="1"/>
      <c r="L18" s="1"/>
      <c r="M18" s="7"/>
      <c r="N18" s="1"/>
      <c r="O18" s="1"/>
      <c r="P18" s="5">
        <v>1E-3</v>
      </c>
      <c r="Q18" s="3">
        <v>1E-3</v>
      </c>
      <c r="R18" s="5">
        <f t="shared" si="1"/>
        <v>0</v>
      </c>
      <c r="S18" s="15">
        <v>0.27808710505248446</v>
      </c>
      <c r="T18" s="1"/>
      <c r="U18" s="1"/>
      <c r="V18" s="15">
        <v>2.9129005510876316</v>
      </c>
      <c r="W18" s="1"/>
      <c r="X18" s="30">
        <v>1000</v>
      </c>
      <c r="Y18" s="30">
        <v>1000</v>
      </c>
      <c r="Z18" s="1"/>
    </row>
    <row r="19" spans="1:26" x14ac:dyDescent="0.2">
      <c r="A19" s="2">
        <f t="shared" si="2"/>
        <v>43060</v>
      </c>
      <c r="B19" s="1" t="s">
        <v>41</v>
      </c>
      <c r="C19" s="1" t="s">
        <v>41</v>
      </c>
      <c r="D19" s="1" t="s">
        <v>88</v>
      </c>
      <c r="E19" s="1" t="s">
        <v>126</v>
      </c>
      <c r="F19" s="1" t="s">
        <v>133</v>
      </c>
      <c r="G19" s="1" t="s">
        <v>118</v>
      </c>
      <c r="H19" s="1" t="s">
        <v>120</v>
      </c>
      <c r="I19" s="15" t="str">
        <f t="shared" si="0"/>
        <v>A-</v>
      </c>
      <c r="J19" s="1"/>
      <c r="K19" s="1"/>
      <c r="L19" s="1"/>
      <c r="M19" s="7"/>
      <c r="N19" s="1"/>
      <c r="O19" s="1"/>
      <c r="P19" s="5">
        <v>1.6999999999999999E-3</v>
      </c>
      <c r="Q19" s="3">
        <v>6.7000000000000002E-3</v>
      </c>
      <c r="R19" s="5">
        <f t="shared" si="1"/>
        <v>-5.0000000000000001E-3</v>
      </c>
      <c r="S19" s="15">
        <v>0.1464115604387064</v>
      </c>
      <c r="T19" s="1"/>
      <c r="U19" s="1"/>
      <c r="V19" s="15">
        <v>9.7640864094131565</v>
      </c>
      <c r="W19" s="1"/>
      <c r="X19" s="30">
        <v>1000</v>
      </c>
      <c r="Y19" s="30">
        <v>1000</v>
      </c>
      <c r="Z19" s="1"/>
    </row>
    <row r="20" spans="1:26" x14ac:dyDescent="0.2">
      <c r="A20" s="2">
        <f t="shared" si="2"/>
        <v>43060</v>
      </c>
      <c r="B20" s="1" t="s">
        <v>42</v>
      </c>
      <c r="C20" s="1" t="s">
        <v>42</v>
      </c>
      <c r="D20" s="1" t="s">
        <v>89</v>
      </c>
      <c r="E20" s="1" t="s">
        <v>127</v>
      </c>
      <c r="F20" s="1" t="s">
        <v>134</v>
      </c>
      <c r="G20" s="1" t="s">
        <v>118</v>
      </c>
      <c r="H20" s="1" t="s">
        <v>121</v>
      </c>
      <c r="I20" s="15" t="str">
        <f t="shared" si="0"/>
        <v>AAA</v>
      </c>
      <c r="J20" s="1"/>
      <c r="K20" s="1"/>
      <c r="L20" s="1"/>
      <c r="M20" s="7"/>
      <c r="N20" s="1"/>
      <c r="O20" s="1"/>
      <c r="P20" s="5">
        <v>1.5699999999999999E-2</v>
      </c>
      <c r="Q20" s="3">
        <v>5.7000000000000002E-3</v>
      </c>
      <c r="R20" s="5">
        <f t="shared" si="1"/>
        <v>9.9999999999999985E-3</v>
      </c>
      <c r="S20" s="15">
        <v>8.4271857236630443E-2</v>
      </c>
      <c r="T20" s="1"/>
      <c r="U20" s="1"/>
      <c r="V20" s="15">
        <v>2.1523049783283543</v>
      </c>
      <c r="W20" s="1"/>
      <c r="X20" s="30">
        <v>1000</v>
      </c>
      <c r="Y20" s="30">
        <v>1000</v>
      </c>
      <c r="Z20" s="1"/>
    </row>
    <row r="21" spans="1:26" x14ac:dyDescent="0.2">
      <c r="A21" s="2">
        <f t="shared" si="2"/>
        <v>43060</v>
      </c>
      <c r="B21" s="1" t="s">
        <v>43</v>
      </c>
      <c r="C21" s="1" t="s">
        <v>43</v>
      </c>
      <c r="D21" s="1" t="s">
        <v>90</v>
      </c>
      <c r="E21" s="1" t="s">
        <v>128</v>
      </c>
      <c r="F21" s="1" t="s">
        <v>135</v>
      </c>
      <c r="G21" s="1" t="s">
        <v>118</v>
      </c>
      <c r="H21" s="1" t="s">
        <v>122</v>
      </c>
      <c r="I21" s="15" t="str">
        <f t="shared" si="0"/>
        <v>AA</v>
      </c>
      <c r="J21" s="1"/>
      <c r="K21" s="1"/>
      <c r="L21" s="1"/>
      <c r="M21" s="7"/>
      <c r="N21" s="1"/>
      <c r="O21" s="1"/>
      <c r="P21" s="5">
        <v>1.46E-2</v>
      </c>
      <c r="Q21" s="3">
        <v>1.46E-2</v>
      </c>
      <c r="R21" s="5">
        <f t="shared" si="1"/>
        <v>0</v>
      </c>
      <c r="S21" s="15">
        <v>0.48218632994272526</v>
      </c>
      <c r="T21" s="1"/>
      <c r="U21" s="1"/>
      <c r="V21" s="15">
        <v>5.0204096987677902</v>
      </c>
      <c r="W21" s="1"/>
      <c r="X21" s="30">
        <v>1000</v>
      </c>
      <c r="Y21" s="30">
        <v>1000</v>
      </c>
      <c r="Z21" s="1"/>
    </row>
    <row r="22" spans="1:26" x14ac:dyDescent="0.2">
      <c r="A22" s="2">
        <f t="shared" si="2"/>
        <v>43060</v>
      </c>
      <c r="B22" s="1" t="s">
        <v>44</v>
      </c>
      <c r="C22" s="1" t="s">
        <v>44</v>
      </c>
      <c r="D22" s="1" t="s">
        <v>91</v>
      </c>
      <c r="E22" s="1" t="s">
        <v>128</v>
      </c>
      <c r="F22" s="1" t="s">
        <v>135</v>
      </c>
      <c r="G22" s="1" t="s">
        <v>118</v>
      </c>
      <c r="H22" s="1" t="s">
        <v>122</v>
      </c>
      <c r="I22" s="15" t="str">
        <f t="shared" si="0"/>
        <v>AA</v>
      </c>
      <c r="J22" s="1"/>
      <c r="K22" s="1"/>
      <c r="L22" s="1"/>
      <c r="M22" s="7"/>
      <c r="N22" s="1"/>
      <c r="O22" s="1"/>
      <c r="P22" s="5">
        <v>2.0199999999999999E-2</v>
      </c>
      <c r="Q22" s="3">
        <v>2.52E-2</v>
      </c>
      <c r="R22" s="5">
        <f t="shared" si="1"/>
        <v>-5.000000000000001E-3</v>
      </c>
      <c r="S22" s="15">
        <v>9.5344740912967518E-2</v>
      </c>
      <c r="T22" s="1"/>
      <c r="U22" s="1"/>
      <c r="V22" s="15">
        <v>4.2550906149427812</v>
      </c>
      <c r="W22" s="1"/>
      <c r="X22" s="30">
        <v>1000</v>
      </c>
      <c r="Y22" s="30">
        <v>1000</v>
      </c>
      <c r="Z22" s="1"/>
    </row>
    <row r="23" spans="1:26" x14ac:dyDescent="0.2">
      <c r="A23" s="2">
        <f t="shared" si="2"/>
        <v>43060</v>
      </c>
      <c r="B23" s="1" t="s">
        <v>45</v>
      </c>
      <c r="C23" s="1" t="s">
        <v>45</v>
      </c>
      <c r="D23" s="1" t="s">
        <v>92</v>
      </c>
      <c r="E23" s="1" t="s">
        <v>128</v>
      </c>
      <c r="F23" s="1" t="s">
        <v>135</v>
      </c>
      <c r="G23" s="1" t="s">
        <v>118</v>
      </c>
      <c r="H23" s="1" t="s">
        <v>122</v>
      </c>
      <c r="I23" s="15" t="str">
        <f t="shared" si="0"/>
        <v>AA</v>
      </c>
      <c r="J23" s="1"/>
      <c r="K23" s="1"/>
      <c r="L23" s="1"/>
      <c r="M23" s="7"/>
      <c r="N23" s="1"/>
      <c r="O23" s="1"/>
      <c r="P23" s="5">
        <v>1.9E-2</v>
      </c>
      <c r="Q23" s="3">
        <v>1.9E-2</v>
      </c>
      <c r="R23" s="5">
        <f t="shared" si="1"/>
        <v>0</v>
      </c>
      <c r="S23" s="15">
        <v>0.59282828791109599</v>
      </c>
      <c r="T23" s="1"/>
      <c r="U23" s="1"/>
      <c r="V23" s="15">
        <v>0.96011277683895835</v>
      </c>
      <c r="W23" s="1"/>
      <c r="X23" s="30">
        <v>1000</v>
      </c>
      <c r="Y23" s="30">
        <v>1000</v>
      </c>
      <c r="Z23" s="1"/>
    </row>
    <row r="24" spans="1:26" x14ac:dyDescent="0.2">
      <c r="A24" s="2">
        <f t="shared" si="2"/>
        <v>43060</v>
      </c>
      <c r="B24" s="1" t="s">
        <v>46</v>
      </c>
      <c r="C24" s="1" t="s">
        <v>46</v>
      </c>
      <c r="D24" s="1" t="s">
        <v>93</v>
      </c>
      <c r="E24" s="1" t="s">
        <v>128</v>
      </c>
      <c r="F24" s="1" t="s">
        <v>135</v>
      </c>
      <c r="G24" s="1" t="s">
        <v>118</v>
      </c>
      <c r="H24" s="1" t="s">
        <v>122</v>
      </c>
      <c r="I24" s="15" t="str">
        <f t="shared" si="0"/>
        <v>AA</v>
      </c>
      <c r="J24" s="1"/>
      <c r="K24" s="1"/>
      <c r="L24" s="1"/>
      <c r="M24" s="7"/>
      <c r="N24" s="1"/>
      <c r="O24" s="1"/>
      <c r="P24" s="5">
        <v>1.24E-2</v>
      </c>
      <c r="Q24" s="3">
        <v>1.24E-2</v>
      </c>
      <c r="R24" s="5">
        <f t="shared" si="1"/>
        <v>0</v>
      </c>
      <c r="S24" s="15">
        <v>0.55281533064814636</v>
      </c>
      <c r="T24" s="1"/>
      <c r="U24" s="1"/>
      <c r="V24" s="15">
        <v>2.0512526755188776</v>
      </c>
      <c r="W24" s="1"/>
      <c r="X24" s="30">
        <v>1000</v>
      </c>
      <c r="Y24" s="30">
        <v>1000</v>
      </c>
      <c r="Z24" s="1"/>
    </row>
    <row r="25" spans="1:26" x14ac:dyDescent="0.2">
      <c r="A25" s="2">
        <f t="shared" si="2"/>
        <v>43060</v>
      </c>
      <c r="B25" s="1" t="s">
        <v>47</v>
      </c>
      <c r="C25" s="1" t="s">
        <v>47</v>
      </c>
      <c r="D25" s="1" t="s">
        <v>94</v>
      </c>
      <c r="E25" s="1" t="s">
        <v>128</v>
      </c>
      <c r="F25" s="1" t="s">
        <v>135</v>
      </c>
      <c r="G25" s="1" t="s">
        <v>118</v>
      </c>
      <c r="H25" s="1" t="s">
        <v>122</v>
      </c>
      <c r="I25" s="15" t="str">
        <f t="shared" si="0"/>
        <v>AA</v>
      </c>
      <c r="J25" s="1"/>
      <c r="K25" s="1"/>
      <c r="L25" s="1"/>
      <c r="M25" s="7"/>
      <c r="N25" s="1"/>
      <c r="O25" s="1"/>
      <c r="P25" s="5">
        <v>2.5999999999999999E-3</v>
      </c>
      <c r="Q25" s="3">
        <v>2.5999999999999999E-3</v>
      </c>
      <c r="R25" s="5">
        <f t="shared" si="1"/>
        <v>0</v>
      </c>
      <c r="S25" s="15">
        <v>0.41127875362129906</v>
      </c>
      <c r="T25" s="1"/>
      <c r="U25" s="1"/>
      <c r="V25" s="15">
        <v>6.9122204277987622</v>
      </c>
      <c r="W25" s="1"/>
      <c r="X25" s="30">
        <v>1000</v>
      </c>
      <c r="Y25" s="30">
        <v>1000</v>
      </c>
      <c r="Z25" s="1"/>
    </row>
    <row r="26" spans="1:26" x14ac:dyDescent="0.2">
      <c r="A26" s="2">
        <f t="shared" si="2"/>
        <v>43060</v>
      </c>
      <c r="B26" s="1" t="s">
        <v>48</v>
      </c>
      <c r="C26" s="1" t="s">
        <v>48</v>
      </c>
      <c r="D26" s="1" t="s">
        <v>95</v>
      </c>
      <c r="E26" s="1" t="s">
        <v>128</v>
      </c>
      <c r="F26" s="1" t="s">
        <v>135</v>
      </c>
      <c r="G26" s="1" t="s">
        <v>118</v>
      </c>
      <c r="H26" s="1" t="s">
        <v>122</v>
      </c>
      <c r="I26" s="15" t="str">
        <f t="shared" si="0"/>
        <v>AA</v>
      </c>
      <c r="J26" s="1"/>
      <c r="K26" s="1"/>
      <c r="L26" s="1"/>
      <c r="M26" s="7"/>
      <c r="N26" s="1"/>
      <c r="O26" s="1"/>
      <c r="P26" s="5">
        <v>1.66E-2</v>
      </c>
      <c r="Q26" s="3">
        <v>6.6E-3</v>
      </c>
      <c r="R26" s="5">
        <f t="shared" si="1"/>
        <v>0.01</v>
      </c>
      <c r="S26" s="15">
        <v>0.37120766587049148</v>
      </c>
      <c r="T26" s="1"/>
      <c r="U26" s="1"/>
      <c r="V26" s="15">
        <v>1.5032406792301434</v>
      </c>
      <c r="W26" s="1"/>
      <c r="X26" s="30">
        <v>1000</v>
      </c>
      <c r="Y26" s="30">
        <v>1000</v>
      </c>
      <c r="Z26" s="1"/>
    </row>
    <row r="27" spans="1:26" x14ac:dyDescent="0.2">
      <c r="A27" s="2">
        <f t="shared" si="2"/>
        <v>43060</v>
      </c>
      <c r="B27" s="1" t="s">
        <v>49</v>
      </c>
      <c r="C27" s="1" t="s">
        <v>49</v>
      </c>
      <c r="D27" s="1" t="s">
        <v>96</v>
      </c>
      <c r="E27" s="1" t="s">
        <v>128</v>
      </c>
      <c r="F27" s="1" t="s">
        <v>135</v>
      </c>
      <c r="G27" s="1" t="s">
        <v>118</v>
      </c>
      <c r="H27" s="1" t="s">
        <v>122</v>
      </c>
      <c r="I27" s="15" t="str">
        <f t="shared" si="0"/>
        <v>AA</v>
      </c>
      <c r="J27" s="1"/>
      <c r="K27" s="1"/>
      <c r="L27" s="1"/>
      <c r="M27" s="7"/>
      <c r="N27" s="1"/>
      <c r="O27" s="1"/>
      <c r="P27" s="5">
        <v>2.6100000000000002E-2</v>
      </c>
      <c r="Q27" s="3">
        <v>2.6100000000000002E-2</v>
      </c>
      <c r="R27" s="5">
        <f t="shared" si="1"/>
        <v>0</v>
      </c>
      <c r="S27" s="15">
        <v>0.86163739355833491</v>
      </c>
      <c r="T27" s="1"/>
      <c r="U27" s="1"/>
      <c r="V27" s="15">
        <v>1.8632176030022096</v>
      </c>
      <c r="W27" s="1"/>
      <c r="X27" s="30">
        <v>1000</v>
      </c>
      <c r="Y27" s="30">
        <v>1000</v>
      </c>
      <c r="Z27" s="1"/>
    </row>
    <row r="28" spans="1:26" x14ac:dyDescent="0.2">
      <c r="A28" s="2">
        <f t="shared" si="2"/>
        <v>43060</v>
      </c>
      <c r="B28" s="1" t="s">
        <v>50</v>
      </c>
      <c r="C28" s="1" t="s">
        <v>50</v>
      </c>
      <c r="D28" s="1" t="s">
        <v>97</v>
      </c>
      <c r="E28" s="1" t="s">
        <v>128</v>
      </c>
      <c r="F28" s="1" t="s">
        <v>135</v>
      </c>
      <c r="G28" s="1" t="s">
        <v>118</v>
      </c>
      <c r="H28" s="1" t="s">
        <v>122</v>
      </c>
      <c r="I28" s="15" t="str">
        <f t="shared" si="0"/>
        <v>AA</v>
      </c>
      <c r="J28" s="1"/>
      <c r="K28" s="1"/>
      <c r="L28" s="1"/>
      <c r="M28" s="7"/>
      <c r="N28" s="1"/>
      <c r="O28" s="1"/>
      <c r="P28" s="5">
        <v>3.5099999999999999E-2</v>
      </c>
      <c r="Q28" s="3">
        <v>3.5099999999999999E-2</v>
      </c>
      <c r="R28" s="5">
        <f t="shared" si="1"/>
        <v>0</v>
      </c>
      <c r="S28" s="15">
        <v>0.13655795168115503</v>
      </c>
      <c r="T28" s="1"/>
      <c r="U28" s="1"/>
      <c r="V28" s="15">
        <v>5.2862819802622587</v>
      </c>
      <c r="W28" s="1"/>
      <c r="X28" s="30">
        <v>1000</v>
      </c>
      <c r="Y28" s="30">
        <v>1000</v>
      </c>
      <c r="Z28" s="1"/>
    </row>
    <row r="29" spans="1:26" x14ac:dyDescent="0.2">
      <c r="A29" s="2">
        <f t="shared" si="2"/>
        <v>43060</v>
      </c>
      <c r="B29" s="1" t="s">
        <v>51</v>
      </c>
      <c r="C29" s="1" t="s">
        <v>51</v>
      </c>
      <c r="D29" s="1" t="s">
        <v>98</v>
      </c>
      <c r="E29" s="1" t="s">
        <v>128</v>
      </c>
      <c r="F29" s="1" t="s">
        <v>135</v>
      </c>
      <c r="G29" s="1" t="s">
        <v>118</v>
      </c>
      <c r="H29" s="1" t="s">
        <v>122</v>
      </c>
      <c r="I29" s="15" t="str">
        <f t="shared" si="0"/>
        <v>AA</v>
      </c>
      <c r="J29" s="1"/>
      <c r="K29" s="1"/>
      <c r="L29" s="1"/>
      <c r="M29" s="7"/>
      <c r="N29" s="1"/>
      <c r="O29" s="1"/>
      <c r="P29" s="5">
        <v>3.7900000000000003E-2</v>
      </c>
      <c r="Q29" s="3">
        <v>3.7900000000000003E-2</v>
      </c>
      <c r="R29" s="5">
        <f t="shared" si="1"/>
        <v>0</v>
      </c>
      <c r="S29" s="15">
        <v>0.45289341315725418</v>
      </c>
      <c r="T29" s="1"/>
      <c r="U29" s="1"/>
      <c r="V29" s="15">
        <v>7.5647811379369969</v>
      </c>
      <c r="W29" s="1"/>
      <c r="X29" s="30">
        <v>1000</v>
      </c>
      <c r="Y29" s="30">
        <v>1000</v>
      </c>
      <c r="Z29" s="1"/>
    </row>
    <row r="30" spans="1:26" x14ac:dyDescent="0.2">
      <c r="A30" s="2">
        <f t="shared" si="2"/>
        <v>43060</v>
      </c>
      <c r="B30" s="1" t="s">
        <v>52</v>
      </c>
      <c r="C30" s="1" t="s">
        <v>52</v>
      </c>
      <c r="D30" s="1" t="s">
        <v>99</v>
      </c>
      <c r="E30" s="1" t="s">
        <v>128</v>
      </c>
      <c r="F30" s="1" t="s">
        <v>135</v>
      </c>
      <c r="G30" s="1" t="s">
        <v>118</v>
      </c>
      <c r="H30" s="1" t="s">
        <v>122</v>
      </c>
      <c r="I30" s="15" t="str">
        <f t="shared" si="0"/>
        <v>AA</v>
      </c>
      <c r="J30" s="1"/>
      <c r="K30" s="1"/>
      <c r="L30" s="1"/>
      <c r="M30" s="7"/>
      <c r="N30" s="1"/>
      <c r="O30" s="1"/>
      <c r="P30" s="5">
        <v>3.5000000000000003E-2</v>
      </c>
      <c r="Q30" s="3">
        <v>3.5000000000000003E-2</v>
      </c>
      <c r="R30" s="5">
        <f t="shared" si="1"/>
        <v>0</v>
      </c>
      <c r="S30" s="15">
        <v>0.15324827731158552</v>
      </c>
      <c r="T30" s="1"/>
      <c r="U30" s="1"/>
      <c r="V30" s="15">
        <v>8.33498681684339</v>
      </c>
      <c r="W30" s="1"/>
      <c r="X30" s="30">
        <v>1000</v>
      </c>
      <c r="Y30" s="30">
        <v>1000</v>
      </c>
      <c r="Z30" s="1"/>
    </row>
    <row r="31" spans="1:26" x14ac:dyDescent="0.2">
      <c r="A31" s="2">
        <f t="shared" si="2"/>
        <v>43060</v>
      </c>
      <c r="B31" s="1" t="s">
        <v>53</v>
      </c>
      <c r="C31" s="1" t="s">
        <v>53</v>
      </c>
      <c r="D31" s="1" t="s">
        <v>100</v>
      </c>
      <c r="E31" s="1" t="s">
        <v>128</v>
      </c>
      <c r="F31" s="1" t="s">
        <v>135</v>
      </c>
      <c r="G31" s="1" t="s">
        <v>118</v>
      </c>
      <c r="H31" s="1" t="s">
        <v>122</v>
      </c>
      <c r="I31" s="15" t="str">
        <f t="shared" si="0"/>
        <v>AA</v>
      </c>
      <c r="J31" s="1"/>
      <c r="K31" s="1"/>
      <c r="L31" s="1"/>
      <c r="M31" s="7"/>
      <c r="N31" s="1"/>
      <c r="O31" s="1"/>
      <c r="P31" s="5">
        <v>1.55E-2</v>
      </c>
      <c r="Q31" s="3">
        <v>1.55E-2</v>
      </c>
      <c r="R31" s="5">
        <f t="shared" si="1"/>
        <v>0</v>
      </c>
      <c r="S31" s="15">
        <v>0.59160882522117353</v>
      </c>
      <c r="T31" s="1"/>
      <c r="U31" s="1"/>
      <c r="V31" s="15">
        <v>9.650755364083679</v>
      </c>
      <c r="W31" s="1"/>
      <c r="X31" s="30">
        <v>1000</v>
      </c>
      <c r="Y31" s="30">
        <v>1000</v>
      </c>
      <c r="Z31" s="1"/>
    </row>
    <row r="32" spans="1:26" x14ac:dyDescent="0.2">
      <c r="A32" s="2">
        <f t="shared" si="2"/>
        <v>43060</v>
      </c>
      <c r="B32" s="1" t="s">
        <v>54</v>
      </c>
      <c r="C32" s="1" t="s">
        <v>54</v>
      </c>
      <c r="D32" s="1" t="s">
        <v>101</v>
      </c>
      <c r="E32" s="1" t="s">
        <v>129</v>
      </c>
      <c r="F32" s="1" t="s">
        <v>136</v>
      </c>
      <c r="G32" s="1" t="s">
        <v>118</v>
      </c>
      <c r="H32" s="1" t="s">
        <v>123</v>
      </c>
      <c r="I32" s="15" t="str">
        <f t="shared" si="0"/>
        <v>AA+</v>
      </c>
      <c r="J32" s="1"/>
      <c r="K32" s="1"/>
      <c r="L32" s="1"/>
      <c r="M32" s="7"/>
      <c r="N32" s="1"/>
      <c r="O32" s="1"/>
      <c r="P32" s="5">
        <v>2.1499999999999998E-2</v>
      </c>
      <c r="Q32" s="3">
        <v>2.1499999999999998E-2</v>
      </c>
      <c r="R32" s="5">
        <f t="shared" si="1"/>
        <v>0</v>
      </c>
      <c r="S32" s="15">
        <v>0.32033822896512909</v>
      </c>
      <c r="T32" s="1"/>
      <c r="U32" s="1"/>
      <c r="V32" s="15">
        <v>3.8705434457320722</v>
      </c>
      <c r="W32" s="1"/>
      <c r="X32" s="30">
        <v>1000</v>
      </c>
      <c r="Y32" s="30">
        <v>1000</v>
      </c>
      <c r="Z32" s="1"/>
    </row>
    <row r="33" spans="1:26" x14ac:dyDescent="0.2">
      <c r="A33" s="2">
        <f t="shared" si="2"/>
        <v>43060</v>
      </c>
      <c r="B33" s="1" t="s">
        <v>55</v>
      </c>
      <c r="C33" s="1" t="s">
        <v>55</v>
      </c>
      <c r="D33" s="1" t="s">
        <v>102</v>
      </c>
      <c r="E33" s="1" t="s">
        <v>129</v>
      </c>
      <c r="F33" s="1" t="s">
        <v>136</v>
      </c>
      <c r="G33" s="1" t="s">
        <v>118</v>
      </c>
      <c r="H33" s="1" t="s">
        <v>123</v>
      </c>
      <c r="I33" s="15" t="str">
        <f t="shared" si="0"/>
        <v>AA+</v>
      </c>
      <c r="J33" s="1"/>
      <c r="K33" s="1"/>
      <c r="L33" s="1"/>
      <c r="M33" s="7"/>
      <c r="N33" s="1"/>
      <c r="O33" s="1"/>
      <c r="P33" s="5">
        <v>1.0200000000000001E-2</v>
      </c>
      <c r="Q33" s="3">
        <v>1.0200000000000001E-2</v>
      </c>
      <c r="R33" s="5">
        <f t="shared" si="1"/>
        <v>0</v>
      </c>
      <c r="S33" s="15">
        <v>0.15054882536147507</v>
      </c>
      <c r="T33" s="1"/>
      <c r="U33" s="1"/>
      <c r="V33" s="15">
        <v>5.9119799882251733</v>
      </c>
      <c r="W33" s="1"/>
      <c r="X33" s="30">
        <v>1000</v>
      </c>
      <c r="Y33" s="30">
        <v>1000</v>
      </c>
      <c r="Z33" s="1"/>
    </row>
    <row r="34" spans="1:26" x14ac:dyDescent="0.2">
      <c r="A34" s="2">
        <f t="shared" si="2"/>
        <v>43060</v>
      </c>
      <c r="B34" s="1" t="s">
        <v>56</v>
      </c>
      <c r="C34" s="1" t="s">
        <v>56</v>
      </c>
      <c r="D34" s="1" t="s">
        <v>103</v>
      </c>
      <c r="E34" s="1" t="s">
        <v>129</v>
      </c>
      <c r="F34" s="1" t="s">
        <v>136</v>
      </c>
      <c r="G34" s="1" t="s">
        <v>118</v>
      </c>
      <c r="H34" s="1" t="s">
        <v>123</v>
      </c>
      <c r="I34" s="15" t="str">
        <f t="shared" si="0"/>
        <v>AA+</v>
      </c>
      <c r="J34" s="1"/>
      <c r="K34" s="1"/>
      <c r="L34" s="1"/>
      <c r="M34" s="7"/>
      <c r="N34" s="1"/>
      <c r="O34" s="1"/>
      <c r="P34" s="5">
        <v>3.0999999999999999E-3</v>
      </c>
      <c r="Q34" s="3">
        <v>3.0999999999999999E-3</v>
      </c>
      <c r="R34" s="5">
        <f t="shared" si="1"/>
        <v>0</v>
      </c>
      <c r="S34" s="15">
        <v>0.13396018997992731</v>
      </c>
      <c r="T34" s="1"/>
      <c r="U34" s="1"/>
      <c r="V34" s="15">
        <v>2.4793950715015898</v>
      </c>
      <c r="W34" s="1"/>
      <c r="X34" s="30">
        <v>1000</v>
      </c>
      <c r="Y34" s="30">
        <v>1000</v>
      </c>
      <c r="Z34" s="1"/>
    </row>
    <row r="35" spans="1:26" x14ac:dyDescent="0.2">
      <c r="A35" s="2">
        <f t="shared" si="2"/>
        <v>43060</v>
      </c>
      <c r="B35" s="1" t="s">
        <v>57</v>
      </c>
      <c r="C35" s="1" t="s">
        <v>57</v>
      </c>
      <c r="D35" s="1" t="s">
        <v>104</v>
      </c>
      <c r="E35" s="1" t="s">
        <v>129</v>
      </c>
      <c r="F35" s="1" t="s">
        <v>136</v>
      </c>
      <c r="G35" s="1" t="s">
        <v>118</v>
      </c>
      <c r="H35" s="1" t="s">
        <v>123</v>
      </c>
      <c r="I35" s="15" t="str">
        <f t="shared" si="0"/>
        <v>AA+</v>
      </c>
      <c r="J35" s="1"/>
      <c r="K35" s="1"/>
      <c r="L35" s="1"/>
      <c r="M35" s="7"/>
      <c r="N35" s="1"/>
      <c r="O35" s="1"/>
      <c r="P35" s="5">
        <v>1.1000000000000001E-3</v>
      </c>
      <c r="Q35" s="3">
        <v>1.11E-2</v>
      </c>
      <c r="R35" s="5">
        <f t="shared" si="1"/>
        <v>-0.01</v>
      </c>
      <c r="S35" s="15">
        <v>0.16183036171986154</v>
      </c>
      <c r="T35" s="1"/>
      <c r="U35" s="1"/>
      <c r="V35" s="15">
        <v>3.1135912806049326</v>
      </c>
      <c r="W35" s="1"/>
      <c r="X35" s="30">
        <v>1000</v>
      </c>
      <c r="Y35" s="30">
        <v>1000</v>
      </c>
      <c r="Z35" s="1"/>
    </row>
    <row r="36" spans="1:26" x14ac:dyDescent="0.2">
      <c r="A36" s="2">
        <f t="shared" si="2"/>
        <v>43060</v>
      </c>
      <c r="B36" s="1" t="s">
        <v>58</v>
      </c>
      <c r="C36" s="1" t="s">
        <v>58</v>
      </c>
      <c r="D36" s="1" t="s">
        <v>105</v>
      </c>
      <c r="E36" s="1" t="s">
        <v>129</v>
      </c>
      <c r="F36" s="1" t="s">
        <v>136</v>
      </c>
      <c r="G36" s="1" t="s">
        <v>118</v>
      </c>
      <c r="H36" s="1" t="s">
        <v>123</v>
      </c>
      <c r="I36" s="15" t="str">
        <f t="shared" si="0"/>
        <v>AA+</v>
      </c>
      <c r="J36" s="1"/>
      <c r="K36" s="1"/>
      <c r="L36" s="1"/>
      <c r="M36" s="7"/>
      <c r="N36" s="1"/>
      <c r="O36" s="1"/>
      <c r="P36" s="5">
        <v>2.8999999999999998E-3</v>
      </c>
      <c r="Q36" s="3">
        <v>2.8999999999999998E-3</v>
      </c>
      <c r="R36" s="5">
        <f t="shared" si="1"/>
        <v>0</v>
      </c>
      <c r="S36" s="15">
        <v>0.27161542763256197</v>
      </c>
      <c r="T36" s="1"/>
      <c r="U36" s="1"/>
      <c r="V36" s="15">
        <v>9.837097021890818</v>
      </c>
      <c r="W36" s="1"/>
      <c r="X36" s="30">
        <v>1000</v>
      </c>
      <c r="Y36" s="30">
        <v>1000</v>
      </c>
      <c r="Z36" s="1"/>
    </row>
    <row r="37" spans="1:26" x14ac:dyDescent="0.2">
      <c r="A37" s="2">
        <f t="shared" si="2"/>
        <v>43060</v>
      </c>
      <c r="B37" s="1" t="s">
        <v>59</v>
      </c>
      <c r="C37" s="1" t="s">
        <v>59</v>
      </c>
      <c r="D37" s="1" t="s">
        <v>106</v>
      </c>
      <c r="E37" s="1" t="s">
        <v>129</v>
      </c>
      <c r="F37" s="1" t="s">
        <v>136</v>
      </c>
      <c r="G37" s="1" t="s">
        <v>118</v>
      </c>
      <c r="H37" s="1" t="s">
        <v>123</v>
      </c>
      <c r="I37" s="15" t="str">
        <f t="shared" si="0"/>
        <v>AA+</v>
      </c>
      <c r="J37" s="1"/>
      <c r="K37" s="1"/>
      <c r="L37" s="1"/>
      <c r="M37" s="7"/>
      <c r="N37" s="1"/>
      <c r="O37" s="1"/>
      <c r="P37" s="5">
        <v>2.2800000000000001E-2</v>
      </c>
      <c r="Q37" s="3">
        <v>2.2800000000000001E-2</v>
      </c>
      <c r="R37" s="5">
        <f t="shared" si="1"/>
        <v>0</v>
      </c>
      <c r="S37" s="15">
        <v>0.71270475198698946</v>
      </c>
      <c r="T37" s="1"/>
      <c r="U37" s="1"/>
      <c r="V37" s="15">
        <v>1.6593299015372942</v>
      </c>
      <c r="W37" s="1"/>
      <c r="X37" s="30">
        <v>1000</v>
      </c>
      <c r="Y37" s="30">
        <v>1000</v>
      </c>
      <c r="Z37" s="1"/>
    </row>
    <row r="38" spans="1:26" x14ac:dyDescent="0.2">
      <c r="A38" s="2">
        <f t="shared" si="2"/>
        <v>43060</v>
      </c>
      <c r="B38" s="1" t="s">
        <v>60</v>
      </c>
      <c r="C38" s="1" t="s">
        <v>60</v>
      </c>
      <c r="D38" s="1" t="s">
        <v>107</v>
      </c>
      <c r="E38" s="1" t="s">
        <v>129</v>
      </c>
      <c r="F38" s="1" t="s">
        <v>136</v>
      </c>
      <c r="G38" s="1" t="s">
        <v>118</v>
      </c>
      <c r="H38" s="1" t="s">
        <v>123</v>
      </c>
      <c r="I38" s="15" t="str">
        <f t="shared" si="0"/>
        <v>AA+</v>
      </c>
      <c r="J38" s="1"/>
      <c r="K38" s="1"/>
      <c r="L38" s="1"/>
      <c r="M38" s="7"/>
      <c r="N38" s="1"/>
      <c r="O38" s="1"/>
      <c r="P38" s="5">
        <v>2.3699999999999999E-2</v>
      </c>
      <c r="Q38" s="3">
        <v>2.3699999999999999E-2</v>
      </c>
      <c r="R38" s="5">
        <f t="shared" si="1"/>
        <v>0</v>
      </c>
      <c r="S38" s="15">
        <v>0.20621888552885781</v>
      </c>
      <c r="T38" s="1"/>
      <c r="U38" s="1"/>
      <c r="V38" s="15">
        <v>4.5067072633132739</v>
      </c>
      <c r="W38" s="1"/>
      <c r="X38" s="30">
        <v>1000</v>
      </c>
      <c r="Y38" s="30">
        <v>1000</v>
      </c>
      <c r="Z38" s="1"/>
    </row>
    <row r="39" spans="1:26" x14ac:dyDescent="0.2">
      <c r="A39" s="2">
        <f t="shared" si="2"/>
        <v>43060</v>
      </c>
      <c r="B39" s="1" t="s">
        <v>61</v>
      </c>
      <c r="C39" s="1" t="s">
        <v>61</v>
      </c>
      <c r="D39" s="1" t="s">
        <v>108</v>
      </c>
      <c r="E39" s="1" t="s">
        <v>129</v>
      </c>
      <c r="F39" s="1" t="s">
        <v>136</v>
      </c>
      <c r="G39" s="1" t="s">
        <v>118</v>
      </c>
      <c r="H39" s="1" t="s">
        <v>123</v>
      </c>
      <c r="I39" s="15" t="str">
        <f t="shared" si="0"/>
        <v>AA+</v>
      </c>
      <c r="J39" s="1"/>
      <c r="K39" s="1"/>
      <c r="L39" s="1"/>
      <c r="M39" s="7"/>
      <c r="N39" s="1"/>
      <c r="O39" s="1"/>
      <c r="P39" s="5">
        <v>3.3300000000000003E-2</v>
      </c>
      <c r="Q39" s="3">
        <v>3.3300000000000003E-2</v>
      </c>
      <c r="R39" s="5">
        <f t="shared" si="1"/>
        <v>0</v>
      </c>
      <c r="S39" s="15">
        <v>0.26398157673471034</v>
      </c>
      <c r="T39" s="1"/>
      <c r="U39" s="1"/>
      <c r="V39" s="15">
        <v>1.3935431018408506</v>
      </c>
      <c r="W39" s="1"/>
      <c r="X39" s="30">
        <v>1000</v>
      </c>
      <c r="Y39" s="30">
        <v>1000</v>
      </c>
      <c r="Z39" s="1"/>
    </row>
    <row r="40" spans="1:26" x14ac:dyDescent="0.2">
      <c r="A40" s="2">
        <f t="shared" si="2"/>
        <v>43060</v>
      </c>
      <c r="B40" s="1" t="s">
        <v>62</v>
      </c>
      <c r="C40" s="1" t="s">
        <v>62</v>
      </c>
      <c r="D40" s="1" t="s">
        <v>109</v>
      </c>
      <c r="E40" s="1" t="s">
        <v>129</v>
      </c>
      <c r="F40" s="1" t="s">
        <v>136</v>
      </c>
      <c r="G40" s="1" t="s">
        <v>118</v>
      </c>
      <c r="H40" s="1" t="s">
        <v>123</v>
      </c>
      <c r="I40" s="15" t="str">
        <f t="shared" si="0"/>
        <v>AA+</v>
      </c>
      <c r="J40" s="1"/>
      <c r="K40" s="1"/>
      <c r="L40" s="1"/>
      <c r="M40" s="7"/>
      <c r="N40" s="1"/>
      <c r="O40" s="1"/>
      <c r="P40" s="5">
        <v>3.32E-2</v>
      </c>
      <c r="Q40" s="3">
        <v>3.32E-2</v>
      </c>
      <c r="R40" s="5">
        <f t="shared" si="1"/>
        <v>0</v>
      </c>
      <c r="S40" s="15">
        <v>0.45726377089517645</v>
      </c>
      <c r="T40" s="1"/>
      <c r="U40" s="1"/>
      <c r="V40" s="15">
        <v>4.5976162688953082</v>
      </c>
      <c r="W40" s="1"/>
      <c r="X40" s="30">
        <v>1000</v>
      </c>
      <c r="Y40" s="30">
        <v>1000</v>
      </c>
      <c r="Z40" s="1"/>
    </row>
    <row r="41" spans="1:26" x14ac:dyDescent="0.2">
      <c r="A41" s="2">
        <f t="shared" si="2"/>
        <v>43060</v>
      </c>
      <c r="B41" s="1" t="s">
        <v>63</v>
      </c>
      <c r="C41" s="1" t="s">
        <v>63</v>
      </c>
      <c r="D41" s="1" t="s">
        <v>110</v>
      </c>
      <c r="E41" s="1" t="s">
        <v>129</v>
      </c>
      <c r="F41" s="1" t="s">
        <v>136</v>
      </c>
      <c r="G41" s="1" t="s">
        <v>118</v>
      </c>
      <c r="H41" s="1" t="s">
        <v>123</v>
      </c>
      <c r="I41" s="15" t="str">
        <f t="shared" si="0"/>
        <v>AA+</v>
      </c>
      <c r="J41" s="1"/>
      <c r="K41" s="1"/>
      <c r="L41" s="1"/>
      <c r="M41" s="7"/>
      <c r="N41" s="1"/>
      <c r="O41" s="1"/>
      <c r="P41" s="5">
        <v>2.29E-2</v>
      </c>
      <c r="Q41" s="3">
        <v>3.2899999999999999E-2</v>
      </c>
      <c r="R41" s="5">
        <f t="shared" si="1"/>
        <v>-9.9999999999999985E-3</v>
      </c>
      <c r="S41" s="15">
        <v>0.5037591550474948</v>
      </c>
      <c r="T41" s="1"/>
      <c r="U41" s="1"/>
      <c r="V41" s="15">
        <v>9.8739443117880459</v>
      </c>
      <c r="W41" s="1"/>
      <c r="X41" s="30">
        <v>1000</v>
      </c>
      <c r="Y41" s="30">
        <v>1000</v>
      </c>
      <c r="Z41" s="1"/>
    </row>
    <row r="42" spans="1:26" x14ac:dyDescent="0.2">
      <c r="A42" s="2">
        <f t="shared" si="2"/>
        <v>43060</v>
      </c>
      <c r="B42" s="1" t="s">
        <v>64</v>
      </c>
      <c r="C42" s="1" t="s">
        <v>64</v>
      </c>
      <c r="D42" s="1" t="s">
        <v>111</v>
      </c>
      <c r="E42" s="1" t="s">
        <v>130</v>
      </c>
      <c r="F42" s="1" t="s">
        <v>137</v>
      </c>
      <c r="G42" s="1" t="s">
        <v>118</v>
      </c>
      <c r="H42" s="1" t="s">
        <v>123</v>
      </c>
      <c r="I42" s="15" t="str">
        <f t="shared" si="0"/>
        <v>AA+</v>
      </c>
      <c r="J42" s="1"/>
      <c r="K42" s="1"/>
      <c r="L42" s="1"/>
      <c r="M42" s="7"/>
      <c r="N42" s="1"/>
      <c r="O42" s="1"/>
      <c r="P42" s="5">
        <v>5.0000000000000001E-4</v>
      </c>
      <c r="Q42" s="3">
        <v>3.0499999999999999E-2</v>
      </c>
      <c r="R42" s="5">
        <f t="shared" si="1"/>
        <v>-0.03</v>
      </c>
      <c r="S42" s="15">
        <v>0.59050352109387971</v>
      </c>
      <c r="T42" s="1"/>
      <c r="U42" s="1"/>
      <c r="V42" s="15">
        <v>7.7026559868106244</v>
      </c>
      <c r="W42" s="1"/>
      <c r="X42" s="30">
        <v>1000</v>
      </c>
      <c r="Y42" s="30">
        <v>1000</v>
      </c>
      <c r="Z42" s="1"/>
    </row>
    <row r="43" spans="1:26" x14ac:dyDescent="0.2">
      <c r="A43" s="2">
        <f t="shared" si="2"/>
        <v>43060</v>
      </c>
      <c r="B43" s="1" t="s">
        <v>65</v>
      </c>
      <c r="C43" s="1" t="s">
        <v>65</v>
      </c>
      <c r="D43" s="1" t="s">
        <v>112</v>
      </c>
      <c r="E43" s="1" t="s">
        <v>130</v>
      </c>
      <c r="F43" s="1" t="s">
        <v>137</v>
      </c>
      <c r="G43" s="1" t="s">
        <v>118</v>
      </c>
      <c r="H43" s="1" t="s">
        <v>123</v>
      </c>
      <c r="I43" s="15" t="str">
        <f t="shared" si="0"/>
        <v>AA+</v>
      </c>
      <c r="J43" s="1"/>
      <c r="K43" s="1"/>
      <c r="L43" s="1"/>
      <c r="M43" s="7"/>
      <c r="N43" s="1"/>
      <c r="O43" s="1"/>
      <c r="P43" s="5">
        <v>3.4500000000000003E-2</v>
      </c>
      <c r="Q43" s="3">
        <v>3.4500000000000003E-2</v>
      </c>
      <c r="R43" s="5">
        <f t="shared" si="1"/>
        <v>0</v>
      </c>
      <c r="S43" s="15">
        <v>0.8232087504695248</v>
      </c>
      <c r="T43" s="1"/>
      <c r="U43" s="1"/>
      <c r="V43" s="15">
        <v>0.92621406642047877</v>
      </c>
      <c r="W43" s="1"/>
      <c r="X43" s="30">
        <v>1000</v>
      </c>
      <c r="Y43" s="30">
        <v>1000</v>
      </c>
      <c r="Z43" s="1"/>
    </row>
    <row r="44" spans="1:26" x14ac:dyDescent="0.2">
      <c r="A44" s="2">
        <f t="shared" si="2"/>
        <v>43060</v>
      </c>
      <c r="B44" s="1" t="s">
        <v>66</v>
      </c>
      <c r="C44" s="1" t="s">
        <v>66</v>
      </c>
      <c r="D44" s="1" t="s">
        <v>113</v>
      </c>
      <c r="E44" s="1" t="s">
        <v>130</v>
      </c>
      <c r="F44" s="1" t="s">
        <v>137</v>
      </c>
      <c r="G44" s="1" t="s">
        <v>118</v>
      </c>
      <c r="H44" s="1" t="s">
        <v>123</v>
      </c>
      <c r="I44" s="15" t="str">
        <f t="shared" si="0"/>
        <v>AA+</v>
      </c>
      <c r="J44" s="1"/>
      <c r="K44" s="1"/>
      <c r="L44" s="1"/>
      <c r="M44" s="7"/>
      <c r="N44" s="1"/>
      <c r="O44" s="1"/>
      <c r="P44" s="5">
        <v>1.5699999999999999E-2</v>
      </c>
      <c r="Q44" s="3">
        <v>1.5699999999999999E-2</v>
      </c>
      <c r="R44" s="5">
        <f t="shared" si="1"/>
        <v>0</v>
      </c>
      <c r="S44" s="15">
        <v>0.18553726529736869</v>
      </c>
      <c r="T44" s="1"/>
      <c r="U44" s="1"/>
      <c r="V44" s="15">
        <v>8.3121230648924893</v>
      </c>
      <c r="W44" s="1"/>
      <c r="X44" s="30">
        <v>1000</v>
      </c>
      <c r="Y44" s="30">
        <v>1000</v>
      </c>
      <c r="Z44" s="1"/>
    </row>
    <row r="45" spans="1:26" x14ac:dyDescent="0.2">
      <c r="A45" s="2">
        <f t="shared" si="2"/>
        <v>43060</v>
      </c>
      <c r="B45" s="1" t="s">
        <v>67</v>
      </c>
      <c r="C45" s="1" t="s">
        <v>67</v>
      </c>
      <c r="D45" s="1" t="s">
        <v>114</v>
      </c>
      <c r="E45" s="1" t="s">
        <v>130</v>
      </c>
      <c r="F45" s="1" t="s">
        <v>137</v>
      </c>
      <c r="G45" s="1" t="s">
        <v>118</v>
      </c>
      <c r="H45" s="1" t="s">
        <v>123</v>
      </c>
      <c r="I45" s="15" t="str">
        <f t="shared" si="0"/>
        <v>AA+</v>
      </c>
      <c r="J45" s="1"/>
      <c r="K45" s="1"/>
      <c r="L45" s="1"/>
      <c r="M45" s="7"/>
      <c r="N45" s="1"/>
      <c r="O45" s="1"/>
      <c r="P45" s="5">
        <v>1.5599999999999999E-2</v>
      </c>
      <c r="Q45" s="3">
        <v>1.5599999999999999E-2</v>
      </c>
      <c r="R45" s="5">
        <f t="shared" si="1"/>
        <v>0</v>
      </c>
      <c r="S45" s="15">
        <v>0.54808054408836693</v>
      </c>
      <c r="T45" s="1"/>
      <c r="U45" s="1"/>
      <c r="V45" s="15">
        <v>2.6323839931053916</v>
      </c>
      <c r="W45" s="1"/>
      <c r="X45" s="30">
        <v>1000</v>
      </c>
      <c r="Y45" s="30">
        <v>1000</v>
      </c>
      <c r="Z45" s="1"/>
    </row>
    <row r="46" spans="1:26" x14ac:dyDescent="0.2">
      <c r="A46" s="2">
        <f t="shared" si="2"/>
        <v>43060</v>
      </c>
      <c r="B46" s="1" t="s">
        <v>68</v>
      </c>
      <c r="C46" s="1" t="s">
        <v>68</v>
      </c>
      <c r="D46" s="1" t="s">
        <v>115</v>
      </c>
      <c r="E46" s="1" t="s">
        <v>130</v>
      </c>
      <c r="F46" s="1" t="s">
        <v>137</v>
      </c>
      <c r="G46" s="1" t="s">
        <v>118</v>
      </c>
      <c r="H46" s="1" t="s">
        <v>123</v>
      </c>
      <c r="I46" s="15" t="str">
        <f t="shared" si="0"/>
        <v>AA+</v>
      </c>
      <c r="J46" s="1"/>
      <c r="K46" s="1"/>
      <c r="L46" s="1"/>
      <c r="M46" s="7"/>
      <c r="N46" s="1"/>
      <c r="O46" s="1"/>
      <c r="P46" s="5">
        <v>1.18E-2</v>
      </c>
      <c r="Q46" s="3">
        <v>1.18E-2</v>
      </c>
      <c r="R46" s="5">
        <f t="shared" si="1"/>
        <v>0</v>
      </c>
      <c r="S46" s="15">
        <v>0.29441792686653023</v>
      </c>
      <c r="T46" s="1"/>
      <c r="U46" s="1"/>
      <c r="V46" s="15">
        <v>3.8913750913611245</v>
      </c>
      <c r="W46" s="1"/>
      <c r="X46" s="30">
        <v>1000</v>
      </c>
      <c r="Y46" s="30">
        <v>1000</v>
      </c>
      <c r="Z46" s="1"/>
    </row>
    <row r="47" spans="1:26" x14ac:dyDescent="0.2">
      <c r="A47" s="2">
        <f t="shared" si="2"/>
        <v>43060</v>
      </c>
      <c r="B47" s="1" t="s">
        <v>69</v>
      </c>
      <c r="C47" s="1" t="s">
        <v>69</v>
      </c>
      <c r="D47" s="1" t="s">
        <v>116</v>
      </c>
      <c r="E47" s="1" t="s">
        <v>131</v>
      </c>
      <c r="F47" s="1" t="s">
        <v>138</v>
      </c>
      <c r="G47" s="1" t="s">
        <v>118</v>
      </c>
      <c r="H47" s="1" t="s">
        <v>124</v>
      </c>
      <c r="I47" s="15" t="str">
        <f t="shared" si="0"/>
        <v>AA-</v>
      </c>
      <c r="J47" s="1"/>
      <c r="K47" s="1"/>
      <c r="L47" s="1"/>
      <c r="M47" s="7"/>
      <c r="N47" s="1"/>
      <c r="O47" s="1"/>
      <c r="P47" s="5">
        <v>1.52E-2</v>
      </c>
      <c r="Q47" s="3">
        <v>1.52E-2</v>
      </c>
      <c r="R47" s="5">
        <f t="shared" si="1"/>
        <v>0</v>
      </c>
      <c r="S47" s="15">
        <v>0.36350402335006482</v>
      </c>
      <c r="T47" s="1"/>
      <c r="U47" s="1"/>
      <c r="V47" s="15">
        <v>5.9687707979963385</v>
      </c>
      <c r="W47" s="1"/>
      <c r="X47" s="30">
        <v>1000</v>
      </c>
      <c r="Y47" s="30">
        <v>1000</v>
      </c>
      <c r="Z47" s="1"/>
    </row>
    <row r="48" spans="1:26" x14ac:dyDescent="0.2">
      <c r="A48" s="2">
        <f t="shared" si="2"/>
        <v>43060</v>
      </c>
      <c r="B48" s="1" t="s">
        <v>70</v>
      </c>
      <c r="C48" s="1" t="s">
        <v>70</v>
      </c>
      <c r="D48" s="1" t="s">
        <v>117</v>
      </c>
      <c r="E48" s="1" t="s">
        <v>131</v>
      </c>
      <c r="F48" s="1" t="s">
        <v>138</v>
      </c>
      <c r="G48" s="1" t="s">
        <v>118</v>
      </c>
      <c r="H48" s="1" t="s">
        <v>124</v>
      </c>
      <c r="I48" s="15" t="str">
        <f t="shared" si="0"/>
        <v>AA-</v>
      </c>
      <c r="J48" s="1"/>
      <c r="K48" s="1"/>
      <c r="L48" s="1"/>
      <c r="M48" s="7"/>
      <c r="N48" s="1"/>
      <c r="O48" s="1"/>
      <c r="P48" s="5">
        <v>0.15059999999999996</v>
      </c>
      <c r="Q48" s="3">
        <v>0.1406</v>
      </c>
      <c r="R48" s="5">
        <f t="shared" si="1"/>
        <v>9.9999999999999534E-3</v>
      </c>
      <c r="S48" s="15">
        <v>0.50030372795545008</v>
      </c>
      <c r="T48" s="1"/>
      <c r="U48" s="1"/>
      <c r="V48" s="15">
        <v>1.2402687143933211</v>
      </c>
      <c r="W48" s="1"/>
      <c r="X48" s="30">
        <v>1000</v>
      </c>
      <c r="Y48" s="30">
        <v>1000</v>
      </c>
      <c r="Z48" s="1"/>
    </row>
    <row r="49" spans="17:17" x14ac:dyDescent="0.2">
      <c r="Q49" s="4"/>
    </row>
    <row r="50" spans="17:17" x14ac:dyDescent="0.2">
      <c r="Q50" s="4"/>
    </row>
    <row r="51" spans="17:17" x14ac:dyDescent="0.2">
      <c r="Q51" s="4"/>
    </row>
    <row r="52" spans="17:17" x14ac:dyDescent="0.2">
      <c r="Q52" s="4"/>
    </row>
    <row r="53" spans="17:17" x14ac:dyDescent="0.2">
      <c r="Q53" s="4"/>
    </row>
    <row r="54" spans="17:17" x14ac:dyDescent="0.2">
      <c r="Q54" s="4"/>
    </row>
    <row r="55" spans="17:17" x14ac:dyDescent="0.2">
      <c r="Q55" s="4"/>
    </row>
    <row r="56" spans="17:17" x14ac:dyDescent="0.2">
      <c r="Q56" s="4"/>
    </row>
    <row r="57" spans="17:17" x14ac:dyDescent="0.2">
      <c r="Q57" s="4"/>
    </row>
    <row r="58" spans="17:17" x14ac:dyDescent="0.2">
      <c r="Q58" s="4"/>
    </row>
    <row r="59" spans="17:17" x14ac:dyDescent="0.2">
      <c r="Q59" s="4"/>
    </row>
    <row r="60" spans="17:17" x14ac:dyDescent="0.2">
      <c r="Q60" s="4"/>
    </row>
    <row r="61" spans="17:17" x14ac:dyDescent="0.2">
      <c r="Q6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6:V96"/>
  <sheetViews>
    <sheetView showGridLines="0" tabSelected="1" zoomScale="85" zoomScaleNormal="85" workbookViewId="0">
      <selection activeCell="Y6" sqref="Y6"/>
    </sheetView>
  </sheetViews>
  <sheetFormatPr baseColWidth="10" defaultRowHeight="14.25" x14ac:dyDescent="0.2"/>
  <cols>
    <col min="1" max="1" width="2.25" customWidth="1"/>
    <col min="2" max="2" width="7.75" customWidth="1"/>
    <col min="3" max="4" width="7.75" hidden="1" customWidth="1"/>
    <col min="5" max="5" width="11.75" customWidth="1"/>
    <col min="6" max="6" width="8.125" customWidth="1"/>
    <col min="7" max="7" width="9" customWidth="1"/>
    <col min="8" max="8" width="9.5" customWidth="1"/>
    <col min="9" max="9" width="9" customWidth="1"/>
    <col min="10" max="10" width="8.125" customWidth="1"/>
    <col min="11" max="11" width="9" customWidth="1"/>
    <col min="14" max="14" width="21.125" bestFit="1" customWidth="1"/>
  </cols>
  <sheetData>
    <row r="6" spans="1:12" ht="20.25" x14ac:dyDescent="0.3">
      <c r="E6" s="16" t="s">
        <v>175</v>
      </c>
    </row>
    <row r="9" spans="1:12" ht="16.5" x14ac:dyDescent="0.3">
      <c r="E9" s="28" t="s">
        <v>139</v>
      </c>
      <c r="F9" s="29" t="s">
        <v>154</v>
      </c>
      <c r="G9" s="29" t="s">
        <v>155</v>
      </c>
      <c r="H9" s="29" t="s">
        <v>156</v>
      </c>
      <c r="I9" s="29" t="s">
        <v>177</v>
      </c>
      <c r="J9" s="29" t="s">
        <v>17</v>
      </c>
      <c r="K9" s="29" t="s">
        <v>4</v>
      </c>
      <c r="L9" s="29" t="s">
        <v>6</v>
      </c>
    </row>
    <row r="10" spans="1:12" ht="16.5" x14ac:dyDescent="0.2">
      <c r="A10" t="s">
        <v>125</v>
      </c>
      <c r="E10" s="19" t="s">
        <v>171</v>
      </c>
      <c r="F10" s="20">
        <f>SUMIFS(Dataset!P:P,Dataset!$E:$E,$A10)</f>
        <v>3.1E-2</v>
      </c>
      <c r="G10" s="21">
        <f>SUMIFS(Dataset!R:R,Dataset!$E:$E,$A10)</f>
        <v>-0.01</v>
      </c>
      <c r="H10" s="18">
        <f>SUMIFS(Dataset!R:R,Dataset!$Y:$Y,$A10)</f>
        <v>0</v>
      </c>
      <c r="I10" s="14">
        <f>+J10/F10</f>
        <v>0</v>
      </c>
      <c r="J10" s="18">
        <f>SUMIFS(Dataset!W:W,Dataset!$E:$E,$A10)</f>
        <v>0</v>
      </c>
      <c r="K10" s="18">
        <f>SUMIFS(Dataset!S:S,Dataset!$E:$E,$A10)</f>
        <v>1.2511922587850801</v>
      </c>
      <c r="L10" s="18">
        <f>SUMIFS(Dataset!U:U,Dataset!$E:$E,$A10)</f>
        <v>0</v>
      </c>
    </row>
    <row r="11" spans="1:12" ht="16.5" x14ac:dyDescent="0.2">
      <c r="A11" t="s">
        <v>126</v>
      </c>
      <c r="E11" s="19" t="s">
        <v>161</v>
      </c>
      <c r="F11" s="20">
        <f>SUMIFS(Dataset!P:P,Dataset!$E:$E,$A11)</f>
        <v>0.29969999999999997</v>
      </c>
      <c r="G11" s="21">
        <f>SUMIFS(Dataset!R:R,Dataset!$E:$E,$A11)</f>
        <v>-5.0000000000000001E-3</v>
      </c>
      <c r="H11" s="18">
        <f>SUMIFS(Dataset!R:R,Dataset!$Y:$Y,$A11)</f>
        <v>0</v>
      </c>
      <c r="I11" s="14">
        <f t="shared" ref="I11:I16" si="0">+J11/F11</f>
        <v>0</v>
      </c>
      <c r="J11" s="18">
        <f>SUMIFS(Dataset!W:W,Dataset!$E:$E,$A11)</f>
        <v>0</v>
      </c>
      <c r="K11" s="18">
        <f>SUMIFS(Dataset!S:S,Dataset!$E:$E,$A11)</f>
        <v>6.6257263243854556</v>
      </c>
      <c r="L11" s="18">
        <f>SUMIFS(Dataset!U:U,Dataset!$E:$E,$A11)</f>
        <v>0</v>
      </c>
    </row>
    <row r="12" spans="1:12" ht="16.5" x14ac:dyDescent="0.2">
      <c r="A12" t="s">
        <v>127</v>
      </c>
      <c r="E12" s="19" t="s">
        <v>157</v>
      </c>
      <c r="F12" s="20">
        <f>SUMIFS(Dataset!P:P,Dataset!$E:$E,$A12)</f>
        <v>1.5699999999999999E-2</v>
      </c>
      <c r="G12" s="21">
        <f>SUMIFS(Dataset!R:R,Dataset!$E:$E,$A12)</f>
        <v>9.9999999999999985E-3</v>
      </c>
      <c r="H12" s="18">
        <f>SUMIFS(Dataset!R:R,Dataset!$Y:$Y,$A12)</f>
        <v>0</v>
      </c>
      <c r="I12" s="14">
        <f t="shared" si="0"/>
        <v>0</v>
      </c>
      <c r="J12" s="18">
        <f>SUMIFS(Dataset!W:W,Dataset!$E:$E,$A12)</f>
        <v>0</v>
      </c>
      <c r="K12" s="18">
        <f>SUMIFS(Dataset!S:S,Dataset!$E:$E,$A12)</f>
        <v>8.4271857236630443E-2</v>
      </c>
      <c r="L12" s="18">
        <f>SUMIFS(Dataset!U:U,Dataset!$E:$E,$A12)</f>
        <v>0</v>
      </c>
    </row>
    <row r="13" spans="1:12" ht="16.5" x14ac:dyDescent="0.2">
      <c r="A13" t="s">
        <v>128</v>
      </c>
      <c r="E13" s="19" t="s">
        <v>159</v>
      </c>
      <c r="F13" s="20">
        <f>SUMIFS(Dataset!P:P,Dataset!$E:$E,$A13)</f>
        <v>0.23499999999999999</v>
      </c>
      <c r="G13" s="21">
        <f>SUMIFS(Dataset!R:R,Dataset!$E:$E,$A13)</f>
        <v>4.9999999999999992E-3</v>
      </c>
      <c r="H13" s="18">
        <f>SUMIFS(Dataset!R:R,Dataset!$Y:$Y,$A13)</f>
        <v>0</v>
      </c>
      <c r="I13" s="14">
        <f t="shared" si="0"/>
        <v>0</v>
      </c>
      <c r="J13" s="18">
        <f>SUMIFS(Dataset!W:W,Dataset!$E:$E,$A13)</f>
        <v>0</v>
      </c>
      <c r="K13" s="18">
        <f>SUMIFS(Dataset!S:S,Dataset!$E:$E,$A13)</f>
        <v>4.7016069698362291</v>
      </c>
      <c r="L13" s="18">
        <f>SUMIFS(Dataset!U:U,Dataset!$E:$E,$A13)</f>
        <v>0</v>
      </c>
    </row>
    <row r="14" spans="1:12" ht="16.5" x14ac:dyDescent="0.2">
      <c r="A14" t="s">
        <v>129</v>
      </c>
      <c r="E14" s="19" t="s">
        <v>158</v>
      </c>
      <c r="F14" s="20">
        <f>SUMIFS(Dataset!P:P,Dataset!$E:$E,$A14)</f>
        <v>0.17469999999999999</v>
      </c>
      <c r="G14" s="21">
        <f>SUMIFS(Dataset!R:R,Dataset!$E:$E,$A14)</f>
        <v>-1.9999999999999997E-2</v>
      </c>
      <c r="H14" s="18">
        <f>SUMIFS(Dataset!R:R,Dataset!$Y:$Y,$A14)</f>
        <v>0</v>
      </c>
      <c r="I14" s="14">
        <f t="shared" si="0"/>
        <v>0</v>
      </c>
      <c r="J14" s="18">
        <f>SUMIFS(Dataset!W:W,Dataset!$E:$E,$A14)</f>
        <v>0</v>
      </c>
      <c r="K14" s="18">
        <f>SUMIFS(Dataset!S:S,Dataset!$E:$E,$A14)</f>
        <v>3.1822211738521839</v>
      </c>
      <c r="L14" s="18">
        <f>SUMIFS(Dataset!U:U,Dataset!$E:$E,$A14)</f>
        <v>0</v>
      </c>
    </row>
    <row r="15" spans="1:12" ht="16.5" x14ac:dyDescent="0.2">
      <c r="A15" t="s">
        <v>130</v>
      </c>
      <c r="E15" s="19" t="s">
        <v>160</v>
      </c>
      <c r="F15" s="20">
        <f>SUMIFS(Dataset!P:P,Dataset!$E:$E,$A15)</f>
        <v>7.8100000000000003E-2</v>
      </c>
      <c r="G15" s="21">
        <f>SUMIFS(Dataset!R:R,Dataset!$E:$E,$A15)</f>
        <v>-0.03</v>
      </c>
      <c r="H15" s="18">
        <f>SUMIFS(Dataset!R:R,Dataset!$Y:$Y,$A15)</f>
        <v>0</v>
      </c>
      <c r="I15" s="14">
        <f t="shared" si="0"/>
        <v>0</v>
      </c>
      <c r="J15" s="18">
        <f>SUMIFS(Dataset!W:W,Dataset!$E:$E,$A15)</f>
        <v>0</v>
      </c>
      <c r="K15" s="18">
        <f>SUMIFS(Dataset!S:S,Dataset!$E:$E,$A15)</f>
        <v>2.4417480078156704</v>
      </c>
      <c r="L15" s="18">
        <f>SUMIFS(Dataset!U:U,Dataset!$E:$E,$A15)</f>
        <v>0</v>
      </c>
    </row>
    <row r="16" spans="1:12" ht="16.5" x14ac:dyDescent="0.2">
      <c r="A16" t="s">
        <v>131</v>
      </c>
      <c r="E16" s="22" t="s">
        <v>172</v>
      </c>
      <c r="F16" s="23">
        <f>SUMIFS(Dataset!P:P,Dataset!$E:$E,$A16)</f>
        <v>0.16579999999999995</v>
      </c>
      <c r="G16" s="23">
        <f>SUMIFS(Dataset!R:R,Dataset!$E:$E,$A16)</f>
        <v>9.9999999999999534E-3</v>
      </c>
      <c r="H16" s="17">
        <f>SUMIFS(Dataset!R:R,Dataset!$Y:$Y,$A16)</f>
        <v>0</v>
      </c>
      <c r="I16" s="17">
        <f t="shared" si="0"/>
        <v>0</v>
      </c>
      <c r="J16" s="17">
        <f>SUMIFS(Dataset!W:W,Dataset!$E:$E,$A16)</f>
        <v>0</v>
      </c>
      <c r="K16" s="17">
        <f>SUMIFS(Dataset!S:S,Dataset!$E:$E,$A16)</f>
        <v>0.8638077513055149</v>
      </c>
      <c r="L16" s="17">
        <f>SUMIFS(Dataset!U:U,Dataset!$E:$E,$A16)</f>
        <v>0</v>
      </c>
    </row>
    <row r="17" spans="5:22" ht="16.5" x14ac:dyDescent="0.2">
      <c r="E17" s="24" t="s">
        <v>147</v>
      </c>
      <c r="F17" s="25">
        <f>SUM(F10:F16)</f>
        <v>0.99999999999999978</v>
      </c>
      <c r="G17" s="26">
        <f>SUM(G10:G16)</f>
        <v>-4.0000000000000042E-2</v>
      </c>
      <c r="H17" s="27">
        <f>SUM(H10:H16)</f>
        <v>0</v>
      </c>
      <c r="I17" s="27">
        <f>+J17</f>
        <v>0</v>
      </c>
      <c r="J17" s="27">
        <f>SUM(J10:J16)</f>
        <v>0</v>
      </c>
      <c r="K17" s="27">
        <f>SUM(K10:K16)</f>
        <v>19.150574343216768</v>
      </c>
      <c r="L17" s="27">
        <f>SUM(L10:L16)</f>
        <v>0</v>
      </c>
    </row>
    <row r="20" spans="5:22" ht="20.25" x14ac:dyDescent="0.3">
      <c r="E20" s="16" t="s">
        <v>176</v>
      </c>
      <c r="M20" s="16" t="s">
        <v>178</v>
      </c>
    </row>
    <row r="23" spans="5:22" ht="16.5" x14ac:dyDescent="0.3">
      <c r="E23" s="28" t="s">
        <v>173</v>
      </c>
      <c r="F23" s="29" t="s">
        <v>154</v>
      </c>
      <c r="G23" s="29" t="s">
        <v>155</v>
      </c>
      <c r="H23" s="29" t="s">
        <v>156</v>
      </c>
      <c r="I23" s="28" t="s">
        <v>4</v>
      </c>
      <c r="J23" s="29" t="s">
        <v>6</v>
      </c>
      <c r="M23" s="28" t="s">
        <v>179</v>
      </c>
      <c r="N23" s="29" t="s">
        <v>180</v>
      </c>
      <c r="O23" s="29" t="s">
        <v>139</v>
      </c>
      <c r="P23" s="29" t="s">
        <v>181</v>
      </c>
      <c r="Q23" s="29" t="s">
        <v>154</v>
      </c>
      <c r="R23" s="29" t="s">
        <v>155</v>
      </c>
      <c r="S23" s="28" t="s">
        <v>4</v>
      </c>
      <c r="T23" s="29" t="s">
        <v>5</v>
      </c>
      <c r="U23" s="28" t="s">
        <v>6</v>
      </c>
      <c r="V23" s="29" t="s">
        <v>7</v>
      </c>
    </row>
    <row r="24" spans="5:22" ht="16.5" x14ac:dyDescent="0.2">
      <c r="E24" s="19" t="s">
        <v>132</v>
      </c>
      <c r="F24" s="20">
        <f>+SUMIFS(Dataset!$P:$P,Dataset!$F:$F,IR!$E24)</f>
        <v>3.1E-2</v>
      </c>
      <c r="G24" s="21">
        <f>SUMIFS(Dataset!$R:$R,Dataset!$E:$E,$E24)</f>
        <v>0</v>
      </c>
      <c r="H24" s="18">
        <f>SUMIFS(Dataset!Y:Y,Dataset!$E:$E,$E24)</f>
        <v>0</v>
      </c>
      <c r="I24" s="18">
        <f>SUMIFS(Dataset!S:S,Dataset!$E:$E,$E24)</f>
        <v>0</v>
      </c>
      <c r="J24" s="20">
        <f>SUMIFS(Dataset!U:U,Dataset!$E:$E,$E24)</f>
        <v>0</v>
      </c>
      <c r="M24" s="15">
        <v>1</v>
      </c>
      <c r="N24" s="15" t="str">
        <f>+INDEX(Dataset!D:D,MATCH(LARGE(Dataset!$P:$P,$M24),Dataset!$P:$P,0),0)</f>
        <v>URUGUA 8 1/2 03/15/28</v>
      </c>
      <c r="O24" s="15" t="str">
        <f>+INDEX(Dataset!E:E,MATCH(LARGE(Dataset!$P:$P,$M24),Dataset!$P:$P,0),0)</f>
        <v>UR</v>
      </c>
      <c r="Q24" s="6">
        <f>+INDEX(Dataset!P:P,MATCH(LARGE(Dataset!$P:$P,$M24),Dataset!$P:$P,0),0)</f>
        <v>0.15059999999999996</v>
      </c>
      <c r="R24" s="31">
        <f>+INDEX(Dataset!R:R,MATCH(LARGE(Dataset!$P:$P,$M24),Dataset!$P:$P,0),0)</f>
        <v>9.9999999999999534E-3</v>
      </c>
      <c r="S24" s="15">
        <f>+INDEX(Dataset!S:S,MATCH(LARGE(Dataset!$P:$P,$M24),Dataset!$P:$P,0),0)</f>
        <v>0.50030372795545008</v>
      </c>
      <c r="T24" s="15">
        <f>+INDEX(Dataset!T:T,MATCH(LARGE(Dataset!$P:$P,$M24),Dataset!$P:$P,0),0)</f>
        <v>0</v>
      </c>
      <c r="U24" s="15">
        <f>+INDEX(Dataset!U:U,MATCH(LARGE(Dataset!$P:$P,$M24),Dataset!$P:$P,0),0)</f>
        <v>0</v>
      </c>
      <c r="V24" s="15">
        <f>+INDEX(Dataset!V:V,MATCH(LARGE(Dataset!$P:$P,$M24),Dataset!$P:$P,0),0)</f>
        <v>1.2402687143933211</v>
      </c>
    </row>
    <row r="25" spans="5:22" ht="16.5" x14ac:dyDescent="0.2">
      <c r="E25" s="19" t="s">
        <v>133</v>
      </c>
      <c r="F25" s="20">
        <f>+SUMIFS(Dataset!$P:$P,Dataset!$F:$F,IR!$E25)</f>
        <v>0.29969999999999997</v>
      </c>
      <c r="G25" s="21">
        <f>SUMIFS(Dataset!$R:$R,Dataset!$E:$E,$E25)</f>
        <v>0</v>
      </c>
      <c r="H25" s="18">
        <f>SUMIFS(Dataset!Y:Y,Dataset!$E:$E,$E25)</f>
        <v>0</v>
      </c>
      <c r="I25" s="18">
        <f>SUMIFS(Dataset!S:S,Dataset!$E:$E,$E25)</f>
        <v>0</v>
      </c>
      <c r="J25" s="20">
        <f>SUMIFS(Dataset!U:U,Dataset!$E:$E,$E25)</f>
        <v>0</v>
      </c>
      <c r="M25" s="15">
        <v>2</v>
      </c>
      <c r="N25" s="15" t="str">
        <f>+INDEX(Dataset!D:D,MATCH(LARGE(Dataset!$P:$P,$M25),Dataset!$P:$P,0),0)</f>
        <v>BLTN 0 07/01/20</v>
      </c>
      <c r="O25" s="15" t="str">
        <f>+INDEX(Dataset!E:E,MATCH(LARGE(Dataset!$P:$P,$M25),Dataset!$P:$P,0),0)</f>
        <v>BR</v>
      </c>
      <c r="Q25" s="6">
        <f>+INDEX(Dataset!P:P,MATCH(LARGE(Dataset!$P:$P,$M25),Dataset!$P:$P,0),0)</f>
        <v>4.6199999999999998E-2</v>
      </c>
      <c r="R25" s="31">
        <f>+INDEX(Dataset!R:R,MATCH(LARGE(Dataset!$P:$P,$M25),Dataset!$P:$P,0),0)</f>
        <v>0</v>
      </c>
      <c r="S25" s="15">
        <f>+INDEX(Dataset!S:S,MATCH(LARGE(Dataset!$P:$P,$M25),Dataset!$P:$P,0),0)</f>
        <v>0.43191315744419645</v>
      </c>
      <c r="T25" s="15">
        <f>+INDEX(Dataset!T:T,MATCH(LARGE(Dataset!$P:$P,$M25),Dataset!$P:$P,0),0)</f>
        <v>0</v>
      </c>
      <c r="U25" s="15">
        <f>+INDEX(Dataset!U:U,MATCH(LARGE(Dataset!$P:$P,$M25),Dataset!$P:$P,0),0)</f>
        <v>0</v>
      </c>
      <c r="V25" s="15">
        <f>+INDEX(Dataset!V:V,MATCH(LARGE(Dataset!$P:$P,$M25),Dataset!$P:$P,0),0)</f>
        <v>9.8574380770588412</v>
      </c>
    </row>
    <row r="26" spans="5:22" ht="16.5" x14ac:dyDescent="0.2">
      <c r="E26" s="19" t="s">
        <v>134</v>
      </c>
      <c r="F26" s="20">
        <f>+SUMIFS(Dataset!$P:$P,Dataset!$F:$F,IR!$E26)</f>
        <v>1.5699999999999999E-2</v>
      </c>
      <c r="G26" s="21">
        <f>SUMIFS(Dataset!$R:$R,Dataset!$E:$E,$E26)</f>
        <v>0</v>
      </c>
      <c r="H26" s="18">
        <f>SUMIFS(Dataset!Y:Y,Dataset!$E:$E,$E26)</f>
        <v>0</v>
      </c>
      <c r="I26" s="18">
        <f>SUMIFS(Dataset!S:S,Dataset!$E:$E,$E26)</f>
        <v>0</v>
      </c>
      <c r="J26" s="20">
        <f>SUMIFS(Dataset!U:U,Dataset!$E:$E,$E26)</f>
        <v>0</v>
      </c>
      <c r="M26" s="15">
        <v>3</v>
      </c>
      <c r="N26" s="15" t="str">
        <f>+INDEX(Dataset!D:D,MATCH(LARGE(Dataset!$P:$P,$M26),Dataset!$P:$P,0),0)</f>
        <v>BNTNF 10 01/01/23</v>
      </c>
      <c r="O26" s="15" t="str">
        <f>+INDEX(Dataset!E:E,MATCH(LARGE(Dataset!$P:$P,$M26),Dataset!$P:$P,0),0)</f>
        <v>BR</v>
      </c>
      <c r="Q26" s="6">
        <f>+INDEX(Dataset!P:P,MATCH(LARGE(Dataset!$P:$P,$M26),Dataset!$P:$P,0),0)</f>
        <v>4.0899999999999999E-2</v>
      </c>
      <c r="R26" s="31">
        <f>+INDEX(Dataset!R:R,MATCH(LARGE(Dataset!$P:$P,$M26),Dataset!$P:$P,0),0)</f>
        <v>0</v>
      </c>
      <c r="S26" s="15">
        <f>+INDEX(Dataset!S:S,MATCH(LARGE(Dataset!$P:$P,$M26),Dataset!$P:$P,0),0)</f>
        <v>0.72144539179509082</v>
      </c>
      <c r="T26" s="15">
        <f>+INDEX(Dataset!T:T,MATCH(LARGE(Dataset!$P:$P,$M26),Dataset!$P:$P,0),0)</f>
        <v>0</v>
      </c>
      <c r="U26" s="15">
        <f>+INDEX(Dataset!U:U,MATCH(LARGE(Dataset!$P:$P,$M26),Dataset!$P:$P,0),0)</f>
        <v>0</v>
      </c>
      <c r="V26" s="15">
        <f>+INDEX(Dataset!V:V,MATCH(LARGE(Dataset!$P:$P,$M26),Dataset!$P:$P,0),0)</f>
        <v>7.2829053690183283</v>
      </c>
    </row>
    <row r="27" spans="5:22" ht="16.5" x14ac:dyDescent="0.2">
      <c r="E27" s="19" t="s">
        <v>135</v>
      </c>
      <c r="F27" s="20">
        <f>+SUMIFS(Dataset!$P:$P,Dataset!$F:$F,IR!$E27)</f>
        <v>0.23499999999999999</v>
      </c>
      <c r="G27" s="21">
        <f>SUMIFS(Dataset!$R:$R,Dataset!$E:$E,$E27)</f>
        <v>0</v>
      </c>
      <c r="H27" s="18">
        <f>SUMIFS(Dataset!Y:Y,Dataset!$E:$E,$E27)</f>
        <v>0</v>
      </c>
      <c r="I27" s="18">
        <f>SUMIFS(Dataset!S:S,Dataset!$E:$E,$E27)</f>
        <v>0</v>
      </c>
      <c r="J27" s="20">
        <f>SUMIFS(Dataset!U:U,Dataset!$E:$E,$E27)</f>
        <v>0</v>
      </c>
      <c r="M27" s="15">
        <v>4</v>
      </c>
      <c r="N27" s="15" t="str">
        <f>+INDEX(Dataset!D:D,MATCH(LARGE(Dataset!$P:$P,$M27),Dataset!$P:$P,0),0)</f>
        <v>COLOM 7 3/4 04/14/21</v>
      </c>
      <c r="O27" s="15" t="str">
        <f>+INDEX(Dataset!E:E,MATCH(LARGE(Dataset!$P:$P,$M27),Dataset!$P:$P,0),0)</f>
        <v>CO</v>
      </c>
      <c r="Q27" s="6">
        <f>+INDEX(Dataset!P:P,MATCH(LARGE(Dataset!$P:$P,$M27),Dataset!$P:$P,0),0)</f>
        <v>3.7900000000000003E-2</v>
      </c>
      <c r="R27" s="31">
        <f>+INDEX(Dataset!R:R,MATCH(LARGE(Dataset!$P:$P,$M27),Dataset!$P:$P,0),0)</f>
        <v>0</v>
      </c>
      <c r="S27" s="15">
        <f>+INDEX(Dataset!S:S,MATCH(LARGE(Dataset!$P:$P,$M27),Dataset!$P:$P,0),0)</f>
        <v>0.45289341315725418</v>
      </c>
      <c r="T27" s="15">
        <f>+INDEX(Dataset!T:T,MATCH(LARGE(Dataset!$P:$P,$M27),Dataset!$P:$P,0),0)</f>
        <v>0</v>
      </c>
      <c r="U27" s="15">
        <f>+INDEX(Dataset!U:U,MATCH(LARGE(Dataset!$P:$P,$M27),Dataset!$P:$P,0),0)</f>
        <v>0</v>
      </c>
      <c r="V27" s="15">
        <f>+INDEX(Dataset!V:V,MATCH(LARGE(Dataset!$P:$P,$M27),Dataset!$P:$P,0),0)</f>
        <v>7.5647811379369969</v>
      </c>
    </row>
    <row r="28" spans="5:22" ht="16.5" x14ac:dyDescent="0.2">
      <c r="E28" s="19" t="s">
        <v>136</v>
      </c>
      <c r="F28" s="20">
        <f>+SUMIFS(Dataset!$P:$P,Dataset!$F:$F,IR!$E28)</f>
        <v>0.17469999999999999</v>
      </c>
      <c r="G28" s="21">
        <f>SUMIFS(Dataset!$R:$R,Dataset!$E:$E,$E28)</f>
        <v>0</v>
      </c>
      <c r="H28" s="18">
        <f>SUMIFS(Dataset!Y:Y,Dataset!$E:$E,$E28)</f>
        <v>0</v>
      </c>
      <c r="I28" s="18">
        <f>SUMIFS(Dataset!S:S,Dataset!$E:$E,$E28)</f>
        <v>0</v>
      </c>
      <c r="J28" s="20">
        <f>SUMIFS(Dataset!U:U,Dataset!$E:$E,$E28)</f>
        <v>0</v>
      </c>
      <c r="M28" s="15">
        <v>5</v>
      </c>
      <c r="N28" s="15" t="str">
        <f>+INDEX(Dataset!D:D,MATCH(LARGE(Dataset!$P:$P,$M28),Dataset!$P:$P,0),0)</f>
        <v>COLTES 7 06/30/32</v>
      </c>
      <c r="O28" s="15" t="str">
        <f>+INDEX(Dataset!E:E,MATCH(LARGE(Dataset!$P:$P,$M28),Dataset!$P:$P,0),0)</f>
        <v>CO</v>
      </c>
      <c r="Q28" s="6">
        <f>+INDEX(Dataset!P:P,MATCH(LARGE(Dataset!$P:$P,$M28),Dataset!$P:$P,0),0)</f>
        <v>3.5099999999999999E-2</v>
      </c>
      <c r="R28" s="31">
        <f>+INDEX(Dataset!R:R,MATCH(LARGE(Dataset!$P:$P,$M28),Dataset!$P:$P,0),0)</f>
        <v>0</v>
      </c>
      <c r="S28" s="15">
        <f>+INDEX(Dataset!S:S,MATCH(LARGE(Dataset!$P:$P,$M28),Dataset!$P:$P,0),0)</f>
        <v>0.13655795168115503</v>
      </c>
      <c r="T28" s="15">
        <f>+INDEX(Dataset!T:T,MATCH(LARGE(Dataset!$P:$P,$M28),Dataset!$P:$P,0),0)</f>
        <v>0</v>
      </c>
      <c r="U28" s="15">
        <f>+INDEX(Dataset!U:U,MATCH(LARGE(Dataset!$P:$P,$M28),Dataset!$P:$P,0),0)</f>
        <v>0</v>
      </c>
      <c r="V28" s="15">
        <f>+INDEX(Dataset!V:V,MATCH(LARGE(Dataset!$P:$P,$M28),Dataset!$P:$P,0),0)</f>
        <v>5.2862819802622587</v>
      </c>
    </row>
    <row r="29" spans="5:22" ht="16.5" x14ac:dyDescent="0.2">
      <c r="E29" s="19" t="s">
        <v>137</v>
      </c>
      <c r="F29" s="20">
        <f>+SUMIFS(Dataset!$P:$P,Dataset!$F:$F,IR!$E29)</f>
        <v>7.8100000000000003E-2</v>
      </c>
      <c r="G29" s="21">
        <f>SUMIFS(Dataset!$R:$R,Dataset!$E:$E,$E29)</f>
        <v>0</v>
      </c>
      <c r="H29" s="18">
        <f>SUMIFS(Dataset!Y:Y,Dataset!$E:$E,$E29)</f>
        <v>0</v>
      </c>
      <c r="I29" s="18">
        <f>SUMIFS(Dataset!S:S,Dataset!$E:$E,$E29)</f>
        <v>0</v>
      </c>
      <c r="J29" s="20">
        <f>SUMIFS(Dataset!U:U,Dataset!$E:$E,$E29)</f>
        <v>0</v>
      </c>
      <c r="M29" s="15">
        <v>6</v>
      </c>
      <c r="N29" s="15" t="str">
        <f>+INDEX(Dataset!D:D,MATCH(LARGE(Dataset!$P:$P,$M29),Dataset!$P:$P,0),0)</f>
        <v>COLOM 4 3/8 03/21/23</v>
      </c>
      <c r="O29" s="15" t="str">
        <f>+INDEX(Dataset!E:E,MATCH(LARGE(Dataset!$P:$P,$M29),Dataset!$P:$P,0),0)</f>
        <v>CO</v>
      </c>
      <c r="Q29" s="6">
        <f>+INDEX(Dataset!P:P,MATCH(LARGE(Dataset!$P:$P,$M29),Dataset!$P:$P,0),0)</f>
        <v>3.5000000000000003E-2</v>
      </c>
      <c r="R29" s="31">
        <f>+INDEX(Dataset!R:R,MATCH(LARGE(Dataset!$P:$P,$M29),Dataset!$P:$P,0),0)</f>
        <v>0</v>
      </c>
      <c r="S29" s="15">
        <f>+INDEX(Dataset!S:S,MATCH(LARGE(Dataset!$P:$P,$M29),Dataset!$P:$P,0),0)</f>
        <v>0.15324827731158552</v>
      </c>
      <c r="T29" s="15">
        <f>+INDEX(Dataset!T:T,MATCH(LARGE(Dataset!$P:$P,$M29),Dataset!$P:$P,0),0)</f>
        <v>0</v>
      </c>
      <c r="U29" s="15">
        <f>+INDEX(Dataset!U:U,MATCH(LARGE(Dataset!$P:$P,$M29),Dataset!$P:$P,0),0)</f>
        <v>0</v>
      </c>
      <c r="V29" s="15">
        <f>+INDEX(Dataset!V:V,MATCH(LARGE(Dataset!$P:$P,$M29),Dataset!$P:$P,0),0)</f>
        <v>8.33498681684339</v>
      </c>
    </row>
    <row r="30" spans="5:22" ht="16.5" x14ac:dyDescent="0.2">
      <c r="E30" s="22" t="s">
        <v>174</v>
      </c>
      <c r="F30" s="41">
        <f>+SUMIFS(Dataset!$P:$P,Dataset!$F:$F,IR!$E30)</f>
        <v>0</v>
      </c>
      <c r="G30" s="41">
        <f>SUMIFS(Dataset!$R:$R,Dataset!$E:$E,$E30)</f>
        <v>0</v>
      </c>
      <c r="H30" s="17">
        <f>SUMIFS(Dataset!Y:Y,Dataset!$E:$E,$E30)</f>
        <v>0</v>
      </c>
      <c r="I30" s="17">
        <f>SUMIFS(Dataset!S:S,Dataset!$E:$E,$E30)</f>
        <v>0</v>
      </c>
      <c r="J30" s="23">
        <f>SUMIFS(Dataset!U:U,Dataset!$E:$E,$E30)</f>
        <v>0</v>
      </c>
      <c r="M30" s="15">
        <v>7</v>
      </c>
      <c r="N30" s="15" t="str">
        <f>+INDEX(Dataset!D:D,MATCH(LARGE(Dataset!$P:$P,$M30),Dataset!$P:$P,0),0)</f>
        <v>PERUGB 5.7 08/12/24</v>
      </c>
      <c r="O30" s="15" t="str">
        <f>+INDEX(Dataset!E:E,MATCH(LARGE(Dataset!$P:$P,$M30),Dataset!$P:$P,0),0)</f>
        <v>PE</v>
      </c>
      <c r="Q30" s="6">
        <f>+INDEX(Dataset!P:P,MATCH(LARGE(Dataset!$P:$P,$M30),Dataset!$P:$P,0),0)</f>
        <v>3.4500000000000003E-2</v>
      </c>
      <c r="R30" s="31">
        <f>+INDEX(Dataset!R:R,MATCH(LARGE(Dataset!$P:$P,$M30),Dataset!$P:$P,0),0)</f>
        <v>0</v>
      </c>
      <c r="S30" s="15">
        <f>+INDEX(Dataset!S:S,MATCH(LARGE(Dataset!$P:$P,$M30),Dataset!$P:$P,0),0)</f>
        <v>0.8232087504695248</v>
      </c>
      <c r="T30" s="15">
        <f>+INDEX(Dataset!T:T,MATCH(LARGE(Dataset!$P:$P,$M30),Dataset!$P:$P,0),0)</f>
        <v>0</v>
      </c>
      <c r="U30" s="15">
        <f>+INDEX(Dataset!U:U,MATCH(LARGE(Dataset!$P:$P,$M30),Dataset!$P:$P,0),0)</f>
        <v>0</v>
      </c>
      <c r="V30" s="15">
        <f>+INDEX(Dataset!V:V,MATCH(LARGE(Dataset!$P:$P,$M30),Dataset!$P:$P,0),0)</f>
        <v>0.92621406642047877</v>
      </c>
    </row>
    <row r="31" spans="5:22" ht="16.5" x14ac:dyDescent="0.2">
      <c r="E31" s="24" t="s">
        <v>147</v>
      </c>
      <c r="F31" s="25">
        <f>SUM(F24:F30)</f>
        <v>0.83419999999999983</v>
      </c>
      <c r="G31" s="26">
        <f t="shared" ref="G31:J31" si="1">SUM(G24:G30)</f>
        <v>0</v>
      </c>
      <c r="H31" s="27">
        <f t="shared" si="1"/>
        <v>0</v>
      </c>
      <c r="I31" s="24">
        <f t="shared" si="1"/>
        <v>0</v>
      </c>
      <c r="J31" s="25">
        <f t="shared" si="1"/>
        <v>0</v>
      </c>
      <c r="M31" s="15">
        <v>8</v>
      </c>
      <c r="N31" s="15" t="str">
        <f>+INDEX(Dataset!D:D,MATCH(LARGE(Dataset!$P:$P,$M31),Dataset!$P:$P,0),0)</f>
        <v>MBONO 7 3/4 11/23/34</v>
      </c>
      <c r="O31" s="15" t="str">
        <f>+INDEX(Dataset!E:E,MATCH(LARGE(Dataset!$P:$P,$M31),Dataset!$P:$P,0),0)</f>
        <v>MX</v>
      </c>
      <c r="Q31" s="6">
        <f>+INDEX(Dataset!P:P,MATCH(LARGE(Dataset!$P:$P,$M31),Dataset!$P:$P,0),0)</f>
        <v>3.3300000000000003E-2</v>
      </c>
      <c r="R31" s="31">
        <f>+INDEX(Dataset!R:R,MATCH(LARGE(Dataset!$P:$P,$M31),Dataset!$P:$P,0),0)</f>
        <v>0</v>
      </c>
      <c r="S31" s="15">
        <f>+INDEX(Dataset!S:S,MATCH(LARGE(Dataset!$P:$P,$M31),Dataset!$P:$P,0),0)</f>
        <v>0.26398157673471034</v>
      </c>
      <c r="T31" s="15">
        <f>+INDEX(Dataset!T:T,MATCH(LARGE(Dataset!$P:$P,$M31),Dataset!$P:$P,0),0)</f>
        <v>0</v>
      </c>
      <c r="U31" s="15">
        <f>+INDEX(Dataset!U:U,MATCH(LARGE(Dataset!$P:$P,$M31),Dataset!$P:$P,0),0)</f>
        <v>0</v>
      </c>
      <c r="V31" s="15">
        <f>+INDEX(Dataset!V:V,MATCH(LARGE(Dataset!$P:$P,$M31),Dataset!$P:$P,0),0)</f>
        <v>1.3935431018408506</v>
      </c>
    </row>
    <row r="32" spans="5:22" x14ac:dyDescent="0.2">
      <c r="M32" s="15">
        <v>9</v>
      </c>
      <c r="N32" s="15" t="str">
        <f>+INDEX(Dataset!D:D,MATCH(LARGE(Dataset!$P:$P,$M32),Dataset!$P:$P,0),0)</f>
        <v>MBONO 8 1/2 11/18/38</v>
      </c>
      <c r="O32" s="15" t="str">
        <f>+INDEX(Dataset!E:E,MATCH(LARGE(Dataset!$P:$P,$M32),Dataset!$P:$P,0),0)</f>
        <v>MX</v>
      </c>
      <c r="Q32" s="6">
        <f>+INDEX(Dataset!P:P,MATCH(LARGE(Dataset!$P:$P,$M32),Dataset!$P:$P,0),0)</f>
        <v>3.32E-2</v>
      </c>
      <c r="R32" s="31">
        <f>+INDEX(Dataset!R:R,MATCH(LARGE(Dataset!$P:$P,$M32),Dataset!$P:$P,0),0)</f>
        <v>0</v>
      </c>
      <c r="S32" s="15">
        <f>+INDEX(Dataset!S:S,MATCH(LARGE(Dataset!$P:$P,$M32),Dataset!$P:$P,0),0)</f>
        <v>0.45726377089517645</v>
      </c>
      <c r="T32" s="15">
        <f>+INDEX(Dataset!T:T,MATCH(LARGE(Dataset!$P:$P,$M32),Dataset!$P:$P,0),0)</f>
        <v>0</v>
      </c>
      <c r="U32" s="15">
        <f>+INDEX(Dataset!U:U,MATCH(LARGE(Dataset!$P:$P,$M32),Dataset!$P:$P,0),0)</f>
        <v>0</v>
      </c>
      <c r="V32" s="15">
        <f>+INDEX(Dataset!V:V,MATCH(LARGE(Dataset!$P:$P,$M32),Dataset!$P:$P,0),0)</f>
        <v>4.5976162688953082</v>
      </c>
    </row>
    <row r="33" spans="13:22" x14ac:dyDescent="0.2">
      <c r="M33" s="15">
        <v>10</v>
      </c>
      <c r="N33" s="15" t="str">
        <f>+INDEX(Dataset!D:D,MATCH(LARGE(Dataset!$P:$P,$M33),Dataset!$P:$P,0),0)</f>
        <v>BNTNF 10 01/01/21</v>
      </c>
      <c r="O33" s="15" t="str">
        <f>+INDEX(Dataset!E:E,MATCH(LARGE(Dataset!$P:$P,$M33),Dataset!$P:$P,0),0)</f>
        <v>BR</v>
      </c>
      <c r="Q33" s="6">
        <f>+INDEX(Dataset!P:P,MATCH(LARGE(Dataset!$P:$P,$M33),Dataset!$P:$P,0),0)</f>
        <v>3.3099999999999997E-2</v>
      </c>
      <c r="R33" s="31">
        <f>+INDEX(Dataset!R:R,MATCH(LARGE(Dataset!$P:$P,$M33),Dataset!$P:$P,0),0)</f>
        <v>0</v>
      </c>
      <c r="S33" s="15">
        <f>+INDEX(Dataset!S:S,MATCH(LARGE(Dataset!$P:$P,$M33),Dataset!$P:$P,0),0)</f>
        <v>0.32928718159426273</v>
      </c>
      <c r="T33" s="15">
        <f>+INDEX(Dataset!T:T,MATCH(LARGE(Dataset!$P:$P,$M33),Dataset!$P:$P,0),0)</f>
        <v>0</v>
      </c>
      <c r="U33" s="15">
        <f>+INDEX(Dataset!U:U,MATCH(LARGE(Dataset!$P:$P,$M33),Dataset!$P:$P,0),0)</f>
        <v>0</v>
      </c>
      <c r="V33" s="15">
        <f>+INDEX(Dataset!V:V,MATCH(LARGE(Dataset!$P:$P,$M33),Dataset!$P:$P,0),0)</f>
        <v>4.3164419274770296</v>
      </c>
    </row>
    <row r="36" spans="13:22" ht="20.25" x14ac:dyDescent="0.3">
      <c r="M36" s="16" t="s">
        <v>182</v>
      </c>
    </row>
    <row r="38" spans="13:22" ht="16.5" x14ac:dyDescent="0.3">
      <c r="M38" s="28" t="s">
        <v>179</v>
      </c>
      <c r="N38" s="29" t="s">
        <v>180</v>
      </c>
      <c r="O38" s="29" t="s">
        <v>139</v>
      </c>
      <c r="P38" s="29" t="s">
        <v>181</v>
      </c>
      <c r="Q38" s="29" t="s">
        <v>154</v>
      </c>
      <c r="R38" s="29" t="s">
        <v>155</v>
      </c>
      <c r="S38" s="28" t="s">
        <v>4</v>
      </c>
      <c r="T38" s="29" t="s">
        <v>5</v>
      </c>
      <c r="U38" s="28" t="s">
        <v>6</v>
      </c>
      <c r="V38" s="29" t="s">
        <v>7</v>
      </c>
    </row>
    <row r="39" spans="13:22" x14ac:dyDescent="0.2">
      <c r="M39" s="15">
        <v>1</v>
      </c>
      <c r="N39" s="15" t="str">
        <f>+INDEX(Dataset!D:D,MATCH(LARGE(Dataset!$S:$S,$M39),Dataset!$S:$S,0),0)</f>
        <v>BLTN 0 10/01/19</v>
      </c>
      <c r="O39" s="15" t="str">
        <f>+INDEX(Dataset!E:E,MATCH(LARGE(Dataset!$S:$S,$M39),Dataset!$S:$S,0),0)</f>
        <v>BR</v>
      </c>
      <c r="P39" s="15" t="str">
        <f>+INDEX(Dataset!H:H,MATCH(LARGE(Dataset!$S:$S,$M39),Dataset!$S:$S,0),0)</f>
        <v>A-</v>
      </c>
      <c r="Q39" s="3">
        <f>+INDEX(Dataset!P:P,MATCH(LARGE(Dataset!$S:$S,$M39),Dataset!$S:$S,0),0)</f>
        <v>1.4200000000000001E-2</v>
      </c>
      <c r="R39" s="3">
        <f>+INDEX(Dataset!R:R,MATCH(LARGE(Dataset!$S:$S,$M39),Dataset!$S:$S,0),0)</f>
        <v>0</v>
      </c>
      <c r="S39" s="3">
        <f>+INDEX(Dataset!S:S,MATCH(LARGE(Dataset!$S:$S,$M39),Dataset!$S:$S,0),0)</f>
        <v>0.8811747976335973</v>
      </c>
      <c r="T39" s="3">
        <f>+INDEX(Dataset!T:T,MATCH(LARGE(Dataset!$S:$S,$M39),Dataset!$S:$S,0),0)</f>
        <v>0</v>
      </c>
      <c r="U39" s="3">
        <f>+INDEX(Dataset!U:U,MATCH(LARGE(Dataset!$S:$S,$M39),Dataset!$S:$S,0),0)</f>
        <v>0</v>
      </c>
      <c r="V39" s="3">
        <f>+INDEX(Dataset!V:V,MATCH(LARGE(Dataset!$S:$S,$M39),Dataset!$S:$S,0),0)</f>
        <v>7.9957846600904698</v>
      </c>
    </row>
    <row r="40" spans="13:22" x14ac:dyDescent="0.2">
      <c r="M40" s="15">
        <v>2</v>
      </c>
      <c r="N40" s="15" t="str">
        <f>+INDEX(Dataset!D:D,MATCH(LARGE(Dataset!$S:$S,$M40),Dataset!$S:$S,0),0)</f>
        <v>BLTN 0 07/01/21</v>
      </c>
      <c r="O40" s="15" t="str">
        <f>+INDEX(Dataset!E:E,MATCH(LARGE(Dataset!$P:$P,$M40),Dataset!$P:$P,0),0)</f>
        <v>BR</v>
      </c>
      <c r="P40" s="15" t="str">
        <f>+INDEX(Dataset!H:H,MATCH(LARGE(Dataset!$S:$S,$M40),Dataset!$S:$S,0),0)</f>
        <v>A-</v>
      </c>
      <c r="Q40" s="3">
        <f>+INDEX(Dataset!P:P,MATCH(LARGE(Dataset!$S:$S,$M40),Dataset!$S:$S,0),0)</f>
        <v>1.6E-2</v>
      </c>
      <c r="R40" s="31">
        <f>+INDEX(Dataset!R:R,MATCH(LARGE(Dataset!$P:$P,$M40),Dataset!$P:$P,0),0)</f>
        <v>0</v>
      </c>
      <c r="S40" s="3">
        <f>+INDEX(Dataset!S:S,MATCH(LARGE(Dataset!$S:$S,$M40),Dataset!$S:$S,0),0)</f>
        <v>0.8783020372490854</v>
      </c>
      <c r="T40" s="3">
        <f>+INDEX(Dataset!T:T,MATCH(LARGE(Dataset!$S:$S,$M40),Dataset!$S:$S,0),0)</f>
        <v>0</v>
      </c>
      <c r="U40" s="3">
        <f>+INDEX(Dataset!U:U,MATCH(LARGE(Dataset!$S:$S,$M40),Dataset!$S:$S,0),0)</f>
        <v>0</v>
      </c>
      <c r="V40" s="3">
        <f>+INDEX(Dataset!V:V,MATCH(LARGE(Dataset!$S:$S,$M40),Dataset!$S:$S,0),0)</f>
        <v>9.9990938871643404</v>
      </c>
    </row>
    <row r="41" spans="13:22" x14ac:dyDescent="0.2">
      <c r="M41" s="15">
        <v>3</v>
      </c>
      <c r="N41" s="15" t="str">
        <f>+INDEX(Dataset!D:D,MATCH(LARGE(Dataset!$S:$S,$M41),Dataset!$S:$S,0),0)</f>
        <v>COLTES 7 3/4 09/18/30</v>
      </c>
      <c r="O41" s="15" t="str">
        <f>+INDEX(Dataset!E:E,MATCH(LARGE(Dataset!$P:$P,$M41),Dataset!$P:$P,0),0)</f>
        <v>BR</v>
      </c>
      <c r="P41" s="15" t="str">
        <f>+INDEX(Dataset!H:H,MATCH(LARGE(Dataset!$S:$S,$M41),Dataset!$S:$S,0),0)</f>
        <v>AA</v>
      </c>
      <c r="Q41" s="3">
        <f>+INDEX(Dataset!P:P,MATCH(LARGE(Dataset!$S:$S,$M41),Dataset!$S:$S,0),0)</f>
        <v>2.6100000000000002E-2</v>
      </c>
      <c r="R41" s="31">
        <f>+INDEX(Dataset!R:R,MATCH(LARGE(Dataset!$P:$P,$M41),Dataset!$P:$P,0),0)</f>
        <v>0</v>
      </c>
      <c r="S41" s="3">
        <f>+INDEX(Dataset!S:S,MATCH(LARGE(Dataset!$S:$S,$M41),Dataset!$S:$S,0),0)</f>
        <v>0.86163739355833491</v>
      </c>
      <c r="T41" s="3">
        <f>+INDEX(Dataset!T:T,MATCH(LARGE(Dataset!$S:$S,$M41),Dataset!$S:$S,0),0)</f>
        <v>0</v>
      </c>
      <c r="U41" s="3">
        <f>+INDEX(Dataset!U:U,MATCH(LARGE(Dataset!$S:$S,$M41),Dataset!$S:$S,0),0)</f>
        <v>0</v>
      </c>
      <c r="V41" s="3">
        <f>+INDEX(Dataset!V:V,MATCH(LARGE(Dataset!$S:$S,$M41),Dataset!$S:$S,0),0)</f>
        <v>1.8632176030022096</v>
      </c>
    </row>
    <row r="42" spans="13:22" x14ac:dyDescent="0.2">
      <c r="M42" s="15">
        <v>4</v>
      </c>
      <c r="N42" s="15" t="str">
        <f>+INDEX(Dataset!D:D,MATCH(LARGE(Dataset!$S:$S,$M42),Dataset!$S:$S,0),0)</f>
        <v>PERUGB 5.7 08/12/24</v>
      </c>
      <c r="O42" s="15" t="str">
        <f>+INDEX(Dataset!E:E,MATCH(LARGE(Dataset!$P:$P,$M42),Dataset!$P:$P,0),0)</f>
        <v>CO</v>
      </c>
      <c r="P42" s="15" t="str">
        <f>+INDEX(Dataset!H:H,MATCH(LARGE(Dataset!$S:$S,$M42),Dataset!$S:$S,0),0)</f>
        <v>AA+</v>
      </c>
      <c r="Q42" s="3">
        <f>+INDEX(Dataset!P:P,MATCH(LARGE(Dataset!$S:$S,$M42),Dataset!$S:$S,0),0)</f>
        <v>3.4500000000000003E-2</v>
      </c>
      <c r="R42" s="31">
        <f>+INDEX(Dataset!R:R,MATCH(LARGE(Dataset!$P:$P,$M42),Dataset!$P:$P,0),0)</f>
        <v>0</v>
      </c>
      <c r="S42" s="3">
        <f>+INDEX(Dataset!S:S,MATCH(LARGE(Dataset!$S:$S,$M42),Dataset!$S:$S,0),0)</f>
        <v>0.8232087504695248</v>
      </c>
      <c r="T42" s="3">
        <f>+INDEX(Dataset!T:T,MATCH(LARGE(Dataset!$S:$S,$M42),Dataset!$S:$S,0),0)</f>
        <v>0</v>
      </c>
      <c r="U42" s="3">
        <f>+INDEX(Dataset!U:U,MATCH(LARGE(Dataset!$S:$S,$M42),Dataset!$S:$S,0),0)</f>
        <v>0</v>
      </c>
      <c r="V42" s="3">
        <f>+INDEX(Dataset!V:V,MATCH(LARGE(Dataset!$S:$S,$M42),Dataset!$S:$S,0),0)</f>
        <v>0.92621406642047877</v>
      </c>
    </row>
    <row r="43" spans="13:22" x14ac:dyDescent="0.2">
      <c r="M43" s="15">
        <v>5</v>
      </c>
      <c r="N43" s="15" t="str">
        <f>+INDEX(Dataset!D:D,MATCH(LARGE(Dataset!$S:$S,$M43),Dataset!$S:$S,0),0)</f>
        <v>BRAZIL 12 1/2 01/05/22</v>
      </c>
      <c r="O43" s="15" t="str">
        <f>+INDEX(Dataset!E:E,MATCH(LARGE(Dataset!$P:$P,$M43),Dataset!$P:$P,0),0)</f>
        <v>CO</v>
      </c>
      <c r="P43" s="15" t="str">
        <f>+INDEX(Dataset!H:H,MATCH(LARGE(Dataset!$S:$S,$M43),Dataset!$S:$S,0),0)</f>
        <v>A-</v>
      </c>
      <c r="Q43" s="3">
        <f>+INDEX(Dataset!P:P,MATCH(LARGE(Dataset!$S:$S,$M43),Dataset!$S:$S,0),0)</f>
        <v>8.0000000000000004E-4</v>
      </c>
      <c r="R43" s="31">
        <f>+INDEX(Dataset!R:R,MATCH(LARGE(Dataset!$P:$P,$M43),Dataset!$P:$P,0),0)</f>
        <v>0</v>
      </c>
      <c r="S43" s="3">
        <f>+INDEX(Dataset!S:S,MATCH(LARGE(Dataset!$S:$S,$M43),Dataset!$S:$S,0),0)</f>
        <v>0.76544648480349042</v>
      </c>
      <c r="T43" s="3">
        <f>+INDEX(Dataset!T:T,MATCH(LARGE(Dataset!$S:$S,$M43),Dataset!$S:$S,0),0)</f>
        <v>0</v>
      </c>
      <c r="U43" s="3">
        <f>+INDEX(Dataset!U:U,MATCH(LARGE(Dataset!$S:$S,$M43),Dataset!$S:$S,0),0)</f>
        <v>0</v>
      </c>
      <c r="V43" s="3">
        <f>+INDEX(Dataset!V:V,MATCH(LARGE(Dataset!$S:$S,$M43),Dataset!$S:$S,0),0)</f>
        <v>0.46814809248580391</v>
      </c>
    </row>
    <row r="44" spans="13:22" x14ac:dyDescent="0.2">
      <c r="M44" s="15">
        <v>6</v>
      </c>
      <c r="N44" s="15" t="str">
        <f>+INDEX(Dataset!D:D,MATCH(LARGE(Dataset!$S:$S,$M44),Dataset!$S:$S,0),0)</f>
        <v>BNTNF 10 01/01/23</v>
      </c>
      <c r="O44" s="15" t="str">
        <f>+INDEX(Dataset!E:E,MATCH(LARGE(Dataset!$P:$P,$M44),Dataset!$P:$P,0),0)</f>
        <v>CO</v>
      </c>
      <c r="P44" s="15" t="str">
        <f>+INDEX(Dataset!H:H,MATCH(LARGE(Dataset!$S:$S,$M44),Dataset!$S:$S,0),0)</f>
        <v>A-</v>
      </c>
      <c r="Q44" s="3">
        <f>+INDEX(Dataset!P:P,MATCH(LARGE(Dataset!$S:$S,$M44),Dataset!$S:$S,0),0)</f>
        <v>4.0899999999999999E-2</v>
      </c>
      <c r="R44" s="31">
        <f>+INDEX(Dataset!R:R,MATCH(LARGE(Dataset!$P:$P,$M44),Dataset!$P:$P,0),0)</f>
        <v>0</v>
      </c>
      <c r="S44" s="3">
        <f>+INDEX(Dataset!S:S,MATCH(LARGE(Dataset!$S:$S,$M44),Dataset!$S:$S,0),0)</f>
        <v>0.72144539179509082</v>
      </c>
      <c r="T44" s="3">
        <f>+INDEX(Dataset!T:T,MATCH(LARGE(Dataset!$S:$S,$M44),Dataset!$S:$S,0),0)</f>
        <v>0</v>
      </c>
      <c r="U44" s="3">
        <f>+INDEX(Dataset!U:U,MATCH(LARGE(Dataset!$S:$S,$M44),Dataset!$S:$S,0),0)</f>
        <v>0</v>
      </c>
      <c r="V44" s="3">
        <f>+INDEX(Dataset!V:V,MATCH(LARGE(Dataset!$S:$S,$M44),Dataset!$S:$S,0),0)</f>
        <v>7.2829053690183283</v>
      </c>
    </row>
    <row r="45" spans="13:22" x14ac:dyDescent="0.2">
      <c r="M45" s="15">
        <v>7</v>
      </c>
      <c r="N45" s="15" t="str">
        <f>+INDEX(Dataset!D:D,MATCH(LARGE(Dataset!$S:$S,$M45),Dataset!$S:$S,0),0)</f>
        <v>MBONO 5 3/4 03/05/26</v>
      </c>
      <c r="O45" s="15" t="str">
        <f>+INDEX(Dataset!E:E,MATCH(LARGE(Dataset!$P:$P,$M45),Dataset!$P:$P,0),0)</f>
        <v>PE</v>
      </c>
      <c r="P45" s="15" t="str">
        <f>+INDEX(Dataset!H:H,MATCH(LARGE(Dataset!$S:$S,$M45),Dataset!$S:$S,0),0)</f>
        <v>AA+</v>
      </c>
      <c r="Q45" s="3">
        <f>+INDEX(Dataset!P:P,MATCH(LARGE(Dataset!$S:$S,$M45),Dataset!$S:$S,0),0)</f>
        <v>2.2800000000000001E-2</v>
      </c>
      <c r="R45" s="31">
        <f>+INDEX(Dataset!R:R,MATCH(LARGE(Dataset!$P:$P,$M45),Dataset!$P:$P,0),0)</f>
        <v>0</v>
      </c>
      <c r="S45" s="3">
        <f>+INDEX(Dataset!S:S,MATCH(LARGE(Dataset!$S:$S,$M45),Dataset!$S:$S,0),0)</f>
        <v>0.71270475198698946</v>
      </c>
      <c r="T45" s="3">
        <f>+INDEX(Dataset!T:T,MATCH(LARGE(Dataset!$S:$S,$M45),Dataset!$S:$S,0),0)</f>
        <v>0</v>
      </c>
      <c r="U45" s="3">
        <f>+INDEX(Dataset!U:U,MATCH(LARGE(Dataset!$S:$S,$M45),Dataset!$S:$S,0),0)</f>
        <v>0</v>
      </c>
      <c r="V45" s="3">
        <f>+INDEX(Dataset!V:V,MATCH(LARGE(Dataset!$S:$S,$M45),Dataset!$S:$S,0),0)</f>
        <v>1.6593299015372942</v>
      </c>
    </row>
    <row r="46" spans="13:22" x14ac:dyDescent="0.2">
      <c r="M46" s="15">
        <v>8</v>
      </c>
      <c r="N46" s="15" t="str">
        <f>+INDEX(Dataset!D:D,MATCH(LARGE(Dataset!$S:$S,$M46),Dataset!$S:$S,0),0)</f>
        <v>COLTES 7 05/04/22</v>
      </c>
      <c r="O46" s="15" t="str">
        <f>+INDEX(Dataset!E:E,MATCH(LARGE(Dataset!$P:$P,$M46),Dataset!$P:$P,0),0)</f>
        <v>MX</v>
      </c>
      <c r="P46" s="15" t="str">
        <f>+INDEX(Dataset!H:H,MATCH(LARGE(Dataset!$S:$S,$M46),Dataset!$S:$S,0),0)</f>
        <v>AA</v>
      </c>
      <c r="Q46" s="3">
        <f>+INDEX(Dataset!P:P,MATCH(LARGE(Dataset!$S:$S,$M46),Dataset!$S:$S,0),0)</f>
        <v>1.9E-2</v>
      </c>
      <c r="R46" s="31">
        <f>+INDEX(Dataset!R:R,MATCH(LARGE(Dataset!$P:$P,$M46),Dataset!$P:$P,0),0)</f>
        <v>0</v>
      </c>
      <c r="S46" s="3">
        <f>+INDEX(Dataset!S:S,MATCH(LARGE(Dataset!$S:$S,$M46),Dataset!$S:$S,0),0)</f>
        <v>0.59282828791109599</v>
      </c>
      <c r="T46" s="3">
        <f>+INDEX(Dataset!T:T,MATCH(LARGE(Dataset!$S:$S,$M46),Dataset!$S:$S,0),0)</f>
        <v>0</v>
      </c>
      <c r="U46" s="3">
        <f>+INDEX(Dataset!U:U,MATCH(LARGE(Dataset!$S:$S,$M46),Dataset!$S:$S,0),0)</f>
        <v>0</v>
      </c>
      <c r="V46" s="3">
        <f>+INDEX(Dataset!V:V,MATCH(LARGE(Dataset!$S:$S,$M46),Dataset!$S:$S,0),0)</f>
        <v>0.96011277683895835</v>
      </c>
    </row>
    <row r="47" spans="13:22" x14ac:dyDescent="0.2">
      <c r="M47" s="15">
        <v>9</v>
      </c>
      <c r="N47" s="15" t="str">
        <f>+INDEX(Dataset!D:D,MATCH(LARGE(Dataset!$S:$S,$M47),Dataset!$S:$S,0),0)</f>
        <v>COLOM 9.85 06/28/27</v>
      </c>
      <c r="O47" s="15" t="str">
        <f>+INDEX(Dataset!E:E,MATCH(LARGE(Dataset!$P:$P,$M47),Dataset!$P:$P,0),0)</f>
        <v>MX</v>
      </c>
      <c r="P47" s="15" t="str">
        <f>+INDEX(Dataset!H:H,MATCH(LARGE(Dataset!$S:$S,$M47),Dataset!$S:$S,0),0)</f>
        <v>AA</v>
      </c>
      <c r="Q47" s="3">
        <f>+INDEX(Dataset!P:P,MATCH(LARGE(Dataset!$S:$S,$M47),Dataset!$S:$S,0),0)</f>
        <v>1.55E-2</v>
      </c>
      <c r="R47" s="31">
        <f>+INDEX(Dataset!R:R,MATCH(LARGE(Dataset!$P:$P,$M47),Dataset!$P:$P,0),0)</f>
        <v>0</v>
      </c>
      <c r="S47" s="3">
        <f>+INDEX(Dataset!S:S,MATCH(LARGE(Dataset!$S:$S,$M47),Dataset!$S:$S,0),0)</f>
        <v>0.59160882522117353</v>
      </c>
      <c r="T47" s="3">
        <f>+INDEX(Dataset!T:T,MATCH(LARGE(Dataset!$S:$S,$M47),Dataset!$S:$S,0),0)</f>
        <v>0</v>
      </c>
      <c r="U47" s="3">
        <f>+INDEX(Dataset!U:U,MATCH(LARGE(Dataset!$S:$S,$M47),Dataset!$S:$S,0),0)</f>
        <v>0</v>
      </c>
      <c r="V47" s="3">
        <f>+INDEX(Dataset!V:V,MATCH(LARGE(Dataset!$S:$S,$M47),Dataset!$S:$S,0),0)</f>
        <v>9.650755364083679</v>
      </c>
    </row>
    <row r="48" spans="13:22" x14ac:dyDescent="0.2">
      <c r="M48" s="15">
        <v>10</v>
      </c>
      <c r="N48" s="15" t="str">
        <f>+INDEX(Dataset!D:D,MATCH(LARGE(Dataset!$S:$S,$M48),Dataset!$S:$S,0),0)</f>
        <v>BLTN 0 01/01/19</v>
      </c>
      <c r="O48" s="15" t="str">
        <f>+INDEX(Dataset!E:E,MATCH(LARGE(Dataset!$P:$P,$M48),Dataset!$P:$P,0),0)</f>
        <v>BR</v>
      </c>
      <c r="P48" s="15" t="str">
        <f>+INDEX(Dataset!H:H,MATCH(LARGE(Dataset!$S:$S,$M48),Dataset!$S:$S,0),0)</f>
        <v>A-</v>
      </c>
      <c r="Q48" s="3">
        <f>+INDEX(Dataset!P:P,MATCH(LARGE(Dataset!$S:$S,$M48),Dataset!$S:$S,0),0)</f>
        <v>3.1600000000000003E-2</v>
      </c>
      <c r="R48" s="31">
        <f>+INDEX(Dataset!R:R,MATCH(LARGE(Dataset!$P:$P,$M48),Dataset!$P:$P,0),0)</f>
        <v>0</v>
      </c>
      <c r="S48" s="3">
        <f>+INDEX(Dataset!S:S,MATCH(LARGE(Dataset!$S:$S,$M48),Dataset!$S:$S,0),0)</f>
        <v>0.59157884772645208</v>
      </c>
      <c r="T48" s="3">
        <f>+INDEX(Dataset!T:T,MATCH(LARGE(Dataset!$S:$S,$M48),Dataset!$S:$S,0),0)</f>
        <v>0</v>
      </c>
      <c r="U48" s="3">
        <f>+INDEX(Dataset!U:U,MATCH(LARGE(Dataset!$S:$S,$M48),Dataset!$S:$S,0),0)</f>
        <v>0</v>
      </c>
      <c r="V48" s="3">
        <f>+INDEX(Dataset!V:V,MATCH(LARGE(Dataset!$S:$S,$M48),Dataset!$S:$S,0),0)</f>
        <v>4.7855150252809731</v>
      </c>
    </row>
    <row r="52" spans="3:22" ht="20.25" x14ac:dyDescent="0.3">
      <c r="E52" s="73" t="s">
        <v>185</v>
      </c>
      <c r="F52" s="73"/>
      <c r="G52" s="73"/>
      <c r="H52" s="73"/>
      <c r="I52" s="73"/>
      <c r="J52" s="73"/>
      <c r="K52" s="73"/>
      <c r="L52" s="73"/>
      <c r="M52" s="73"/>
      <c r="N52" s="73" t="s">
        <v>186</v>
      </c>
      <c r="O52" s="73"/>
      <c r="P52" s="73"/>
      <c r="Q52" s="73"/>
      <c r="R52" s="73"/>
      <c r="S52" s="73"/>
      <c r="T52" s="73"/>
      <c r="U52" s="73"/>
      <c r="V52" s="34"/>
    </row>
    <row r="54" spans="3:22" hidden="1" x14ac:dyDescent="0.2">
      <c r="F54" s="15" t="s">
        <v>125</v>
      </c>
      <c r="G54" s="15" t="s">
        <v>126</v>
      </c>
      <c r="H54" s="15" t="s">
        <v>127</v>
      </c>
      <c r="I54" s="15" t="s">
        <v>128</v>
      </c>
      <c r="J54" s="15" t="s">
        <v>129</v>
      </c>
      <c r="K54" s="15" t="s">
        <v>130</v>
      </c>
      <c r="L54" s="15" t="s">
        <v>131</v>
      </c>
      <c r="N54" s="15" t="s">
        <v>125</v>
      </c>
      <c r="O54" s="15" t="s">
        <v>126</v>
      </c>
      <c r="P54" s="15" t="s">
        <v>127</v>
      </c>
      <c r="Q54" s="15" t="s">
        <v>128</v>
      </c>
      <c r="R54" s="15" t="s">
        <v>129</v>
      </c>
      <c r="S54" s="15" t="s">
        <v>130</v>
      </c>
      <c r="T54" s="15" t="s">
        <v>131</v>
      </c>
    </row>
    <row r="55" spans="3:22" ht="16.5" x14ac:dyDescent="0.3">
      <c r="E55" s="28" t="s">
        <v>184</v>
      </c>
      <c r="F55" s="29" t="s">
        <v>171</v>
      </c>
      <c r="G55" s="29" t="s">
        <v>161</v>
      </c>
      <c r="H55" s="29" t="s">
        <v>157</v>
      </c>
      <c r="I55" s="28" t="s">
        <v>159</v>
      </c>
      <c r="J55" s="29" t="s">
        <v>158</v>
      </c>
      <c r="K55" s="28" t="s">
        <v>160</v>
      </c>
      <c r="L55" s="29" t="s">
        <v>172</v>
      </c>
      <c r="M55" s="29" t="s">
        <v>147</v>
      </c>
      <c r="N55" s="29" t="s">
        <v>171</v>
      </c>
      <c r="O55" s="29" t="s">
        <v>161</v>
      </c>
      <c r="P55" s="29" t="s">
        <v>157</v>
      </c>
      <c r="Q55" s="28" t="s">
        <v>159</v>
      </c>
      <c r="R55" s="29" t="s">
        <v>158</v>
      </c>
      <c r="S55" s="28" t="s">
        <v>160</v>
      </c>
      <c r="T55" s="29" t="s">
        <v>172</v>
      </c>
      <c r="U55" s="29" t="s">
        <v>147</v>
      </c>
    </row>
    <row r="56" spans="3:22" ht="15" x14ac:dyDescent="0.25">
      <c r="D56">
        <v>0.5</v>
      </c>
      <c r="E56" s="35">
        <f>D56</f>
        <v>0.5</v>
      </c>
      <c r="F56" s="6" t="str">
        <f>+IF(SUMIFS(Dataset!$P:$P,Dataset!$E:$E,F$54,Dataset!$V:$V,"&gt;="&amp;$C56,Dataset!$V:$V,"&lt;"&amp;$D56)=0,"",SUMIFS(Dataset!$P:$P,Dataset!$E:$E,F$54,Dataset!$V:$V,"&gt;="&amp;$C56,Dataset!$V:$V,"&lt;"&amp;$D56))</f>
        <v/>
      </c>
      <c r="G56" s="6" t="str">
        <f>+IF(SUMIFS(Dataset!$P:$P,Dataset!$E:$E,G$54,Dataset!$V:$V,"&gt;="&amp;$C56,Dataset!$V:$V,"&lt;"&amp;$D56)=0,"",SUMIFS(Dataset!$P:$P,Dataset!$E:$E,G$54,Dataset!$V:$V,"&gt;="&amp;$C56,Dataset!$V:$V,"&lt;"&amp;$D56))</f>
        <v/>
      </c>
      <c r="H56" s="6" t="str">
        <f>+IF(SUMIFS(Dataset!$P:$P,Dataset!$E:$E,H$54,Dataset!$V:$V,"&gt;="&amp;$C56,Dataset!$V:$V,"&lt;"&amp;$D56)=0,"",SUMIFS(Dataset!$P:$P,Dataset!$E:$E,H$54,Dataset!$V:$V,"&gt;="&amp;$C56,Dataset!$V:$V,"&lt;"&amp;$D56))</f>
        <v/>
      </c>
      <c r="I56" s="6" t="str">
        <f>+IF(SUMIFS(Dataset!$P:$P,Dataset!$E:$E,I$54,Dataset!$V:$V,"&gt;="&amp;$C56,Dataset!$V:$V,"&lt;"&amp;$D56)=0,"",SUMIFS(Dataset!$P:$P,Dataset!$E:$E,I$54,Dataset!$V:$V,"&gt;="&amp;$C56,Dataset!$V:$V,"&lt;"&amp;$D56))</f>
        <v/>
      </c>
      <c r="J56" s="6" t="str">
        <f>+IF(SUMIFS(Dataset!$P:$P,Dataset!$E:$E,J$54,Dataset!$V:$V,"&gt;="&amp;$C56,Dataset!$V:$V,"&lt;"&amp;$D56)=0,"",SUMIFS(Dataset!$P:$P,Dataset!$E:$E,J$54,Dataset!$V:$V,"&gt;="&amp;$C56,Dataset!$V:$V,"&lt;"&amp;$D56))</f>
        <v/>
      </c>
      <c r="K56" s="6" t="str">
        <f>+IF(SUMIFS(Dataset!$P:$P,Dataset!$E:$E,K$54,Dataset!$V:$V,"&gt;="&amp;$C56,Dataset!$V:$V,"&lt;"&amp;$D56)=0,"",SUMIFS(Dataset!$P:$P,Dataset!$E:$E,K$54,Dataset!$V:$V,"&gt;="&amp;$C56,Dataset!$V:$V,"&lt;"&amp;$D56))</f>
        <v/>
      </c>
      <c r="L56" s="6" t="str">
        <f>+IF(SUMIFS(Dataset!$P:$P,Dataset!$E:$E,L$54,Dataset!$V:$V,"&gt;="&amp;$C56,Dataset!$V:$V,"&lt;"&amp;$D56)=0,"",SUMIFS(Dataset!$P:$P,Dataset!$E:$E,L$54,Dataset!$V:$V,"&gt;="&amp;$C56,Dataset!$V:$V,"&lt;"&amp;$D56))</f>
        <v/>
      </c>
      <c r="M56" s="72">
        <f>+SUM(F56:L56)</f>
        <v>0</v>
      </c>
      <c r="N56" s="15" t="str">
        <f>+IF(SUMIFS(Dataset!$R:$R,Dataset!$E:$E,N$54,Dataset!$V:$V,"&gt;="&amp;$C56,Dataset!$V:$V,"&lt;"&amp;$D56)=0,"",SUMIFS(Dataset!$R:$R,Dataset!$E:$E,N$54,Dataset!$V:$V,"&gt;="&amp;$C56,Dataset!$V:$V,"&lt;"&amp;$D56))</f>
        <v/>
      </c>
      <c r="O56" s="65" t="str">
        <f>+IF(SUMIFS(Dataset!$R:$R,Dataset!$E:$E,O$54,Dataset!$V:$V,"&gt;="&amp;$C56,Dataset!$V:$V,"&lt;"&amp;$D56)=0,"",SUMIFS(Dataset!$R:$R,Dataset!$E:$E,O$54,Dataset!$V:$V,"&gt;="&amp;$C56,Dataset!$V:$V,"&lt;"&amp;$D56))</f>
        <v/>
      </c>
      <c r="P56" s="65" t="str">
        <f>+IF(SUMIFS(Dataset!$R:$R,Dataset!$E:$E,P$54,Dataset!$V:$V,"&gt;="&amp;$C56,Dataset!$V:$V,"&lt;"&amp;$D56)=0,"",SUMIFS(Dataset!$R:$R,Dataset!$E:$E,P$54,Dataset!$V:$V,"&gt;="&amp;$C56,Dataset!$V:$V,"&lt;"&amp;$D56))</f>
        <v/>
      </c>
      <c r="Q56" s="65" t="str">
        <f>+IF(SUMIFS(Dataset!$R:$R,Dataset!$E:$E,Q$54,Dataset!$V:$V,"&gt;="&amp;$C56,Dataset!$V:$V,"&lt;"&amp;$D56)=0,"",SUMIFS(Dataset!$R:$R,Dataset!$E:$E,Q$54,Dataset!$V:$V,"&gt;="&amp;$C56,Dataset!$V:$V,"&lt;"&amp;$D56))</f>
        <v/>
      </c>
      <c r="R56" s="65" t="str">
        <f>+IF(SUMIFS(Dataset!$R:$R,Dataset!$E:$E,R$54,Dataset!$V:$V,"&gt;="&amp;$C56,Dataset!$V:$V,"&lt;"&amp;$D56)=0,"",SUMIFS(Dataset!$R:$R,Dataset!$E:$E,R$54,Dataset!$V:$V,"&gt;="&amp;$C56,Dataset!$V:$V,"&lt;"&amp;$D56))</f>
        <v/>
      </c>
      <c r="S56" s="65" t="str">
        <f>+IF(SUMIFS(Dataset!$R:$R,Dataset!$E:$E,S$54,Dataset!$V:$V,"&gt;="&amp;$C56,Dataset!$V:$V,"&lt;"&amp;$D56)=0,"",SUMIFS(Dataset!$R:$R,Dataset!$E:$E,S$54,Dataset!$V:$V,"&gt;="&amp;$C56,Dataset!$V:$V,"&lt;"&amp;$D56))</f>
        <v/>
      </c>
      <c r="T56" s="65" t="str">
        <f>+IF(SUMIFS(Dataset!$R:$R,Dataset!$E:$E,T$54,Dataset!$V:$V,"&gt;="&amp;$C56,Dataset!$V:$V,"&lt;"&amp;$D56)=0,"",SUMIFS(Dataset!$R:$R,Dataset!$E:$E,T$54,Dataset!$V:$V,"&gt;="&amp;$C56,Dataset!$V:$V,"&lt;"&amp;$D56))</f>
        <v/>
      </c>
      <c r="U56" s="72">
        <f>+SUM(N56:T56)</f>
        <v>0</v>
      </c>
    </row>
    <row r="57" spans="3:22" ht="15" x14ac:dyDescent="0.25">
      <c r="C57">
        <f>+D56</f>
        <v>0.5</v>
      </c>
      <c r="D57">
        <f>+C57+1</f>
        <v>1.5</v>
      </c>
      <c r="E57" s="35" t="str">
        <f>C57&amp;" - "&amp;D57</f>
        <v>0.5 - 1.5</v>
      </c>
      <c r="F57" s="6" t="str">
        <f>+IF(SUMIFS(Dataset!$P:$P,Dataset!$E:$E,F$54,Dataset!$V:$V,"&gt;="&amp;$C57,Dataset!$V:$V,"&lt;"&amp;$D57)=0,"",SUMIFS(Dataset!$P:$P,Dataset!$E:$E,F$54,Dataset!$V:$V,"&gt;="&amp;$C57,Dataset!$V:$V,"&lt;"&amp;$D57))</f>
        <v/>
      </c>
      <c r="G57" s="6" t="str">
        <f>+IF(SUMIFS(Dataset!$P:$P,Dataset!$E:$E,G$54,Dataset!$V:$V,"&gt;="&amp;$C57,Dataset!$V:$V,"&lt;"&amp;$D57)=0,"",SUMIFS(Dataset!$P:$P,Dataset!$E:$E,G$54,Dataset!$V:$V,"&gt;="&amp;$C57,Dataset!$V:$V,"&lt;"&amp;$D57))</f>
        <v/>
      </c>
      <c r="H57" s="6" t="str">
        <f>+IF(SUMIFS(Dataset!$P:$P,Dataset!$E:$E,H$54,Dataset!$V:$V,"&gt;="&amp;$C57,Dataset!$V:$V,"&lt;"&amp;$D57)=0,"",SUMIFS(Dataset!$P:$P,Dataset!$E:$E,H$54,Dataset!$V:$V,"&gt;="&amp;$C57,Dataset!$V:$V,"&lt;"&amp;$D57))</f>
        <v/>
      </c>
      <c r="I57" s="6">
        <f>+IF(SUMIFS(Dataset!$P:$P,Dataset!$E:$E,I$54,Dataset!$V:$V,"&gt;="&amp;$C57,Dataset!$V:$V,"&lt;"&amp;$D57)=0,"",SUMIFS(Dataset!$P:$P,Dataset!$E:$E,I$54,Dataset!$V:$V,"&gt;="&amp;$C57,Dataset!$V:$V,"&lt;"&amp;$D57))</f>
        <v>1.9E-2</v>
      </c>
      <c r="J57" s="6">
        <f>+IF(SUMIFS(Dataset!$P:$P,Dataset!$E:$E,J$54,Dataset!$V:$V,"&gt;="&amp;$C57,Dataset!$V:$V,"&lt;"&amp;$D57)=0,"",SUMIFS(Dataset!$P:$P,Dataset!$E:$E,J$54,Dataset!$V:$V,"&gt;="&amp;$C57,Dataset!$V:$V,"&lt;"&amp;$D57))</f>
        <v>3.3300000000000003E-2</v>
      </c>
      <c r="K57" s="6">
        <f>+IF(SUMIFS(Dataset!$P:$P,Dataset!$E:$E,K$54,Dataset!$V:$V,"&gt;="&amp;$C57,Dataset!$V:$V,"&lt;"&amp;$D57)=0,"",SUMIFS(Dataset!$P:$P,Dataset!$E:$E,K$54,Dataset!$V:$V,"&gt;="&amp;$C57,Dataset!$V:$V,"&lt;"&amp;$D57))</f>
        <v>3.4500000000000003E-2</v>
      </c>
      <c r="L57" s="6">
        <f>+IF(SUMIFS(Dataset!$P:$P,Dataset!$E:$E,L$54,Dataset!$V:$V,"&gt;="&amp;$C57,Dataset!$V:$V,"&lt;"&amp;$D57)=0,"",SUMIFS(Dataset!$P:$P,Dataset!$E:$E,L$54,Dataset!$V:$V,"&gt;="&amp;$C57,Dataset!$V:$V,"&lt;"&amp;$D57))</f>
        <v>0.15059999999999996</v>
      </c>
      <c r="M57" s="72">
        <f t="shared" ref="M57:M72" si="2">+SUM(F57:L57)</f>
        <v>0.23739999999999994</v>
      </c>
      <c r="N57" s="65" t="str">
        <f>+IF(SUMIFS(Dataset!$R:$R,Dataset!$E:$E,N$54,Dataset!$V:$V,"&gt;="&amp;$C57,Dataset!$V:$V,"&lt;"&amp;$D57)=0,"",SUMIFS(Dataset!$R:$R,Dataset!$E:$E,N$54,Dataset!$V:$V,"&gt;="&amp;$C57,Dataset!$V:$V,"&lt;"&amp;$D57))</f>
        <v/>
      </c>
      <c r="O57" s="65" t="str">
        <f>+IF(SUMIFS(Dataset!$R:$R,Dataset!$E:$E,O$54,Dataset!$V:$V,"&gt;="&amp;$C57,Dataset!$V:$V,"&lt;"&amp;$D57)=0,"",SUMIFS(Dataset!$R:$R,Dataset!$E:$E,O$54,Dataset!$V:$V,"&gt;="&amp;$C57,Dataset!$V:$V,"&lt;"&amp;$D57))</f>
        <v/>
      </c>
      <c r="P57" s="65" t="str">
        <f>+IF(SUMIFS(Dataset!$R:$R,Dataset!$E:$E,P$54,Dataset!$V:$V,"&gt;="&amp;$C57,Dataset!$V:$V,"&lt;"&amp;$D57)=0,"",SUMIFS(Dataset!$R:$R,Dataset!$E:$E,P$54,Dataset!$V:$V,"&gt;="&amp;$C57,Dataset!$V:$V,"&lt;"&amp;$D57))</f>
        <v/>
      </c>
      <c r="Q57" s="65" t="str">
        <f>+IF(SUMIFS(Dataset!$R:$R,Dataset!$E:$E,Q$54,Dataset!$V:$V,"&gt;="&amp;$C57,Dataset!$V:$V,"&lt;"&amp;$D57)=0,"",SUMIFS(Dataset!$R:$R,Dataset!$E:$E,Q$54,Dataset!$V:$V,"&gt;="&amp;$C57,Dataset!$V:$V,"&lt;"&amp;$D57))</f>
        <v/>
      </c>
      <c r="R57" s="65" t="str">
        <f>+IF(SUMIFS(Dataset!$R:$R,Dataset!$E:$E,R$54,Dataset!$V:$V,"&gt;="&amp;$C57,Dataset!$V:$V,"&lt;"&amp;$D57)=0,"",SUMIFS(Dataset!$R:$R,Dataset!$E:$E,R$54,Dataset!$V:$V,"&gt;="&amp;$C57,Dataset!$V:$V,"&lt;"&amp;$D57))</f>
        <v/>
      </c>
      <c r="S57" s="65" t="str">
        <f>+IF(SUMIFS(Dataset!$R:$R,Dataset!$E:$E,S$54,Dataset!$V:$V,"&gt;="&amp;$C57,Dataset!$V:$V,"&lt;"&amp;$D57)=0,"",SUMIFS(Dataset!$R:$R,Dataset!$E:$E,S$54,Dataset!$V:$V,"&gt;="&amp;$C57,Dataset!$V:$V,"&lt;"&amp;$D57))</f>
        <v/>
      </c>
      <c r="T57" s="65">
        <f>+IF(SUMIFS(Dataset!$R:$R,Dataset!$E:$E,T$54,Dataset!$V:$V,"&gt;="&amp;$C57,Dataset!$V:$V,"&lt;"&amp;$D57)=0,"",SUMIFS(Dataset!$R:$R,Dataset!$E:$E,T$54,Dataset!$V:$V,"&gt;="&amp;$C57,Dataset!$V:$V,"&lt;"&amp;$D57))</f>
        <v>9.9999999999999534E-3</v>
      </c>
      <c r="U57" s="72">
        <f t="shared" ref="U57:U72" si="3">+SUM(N57:T57)</f>
        <v>9.9999999999999534E-3</v>
      </c>
    </row>
    <row r="58" spans="3:22" ht="15" x14ac:dyDescent="0.25">
      <c r="C58">
        <f t="shared" ref="C58:C71" si="4">+D57</f>
        <v>1.5</v>
      </c>
      <c r="D58">
        <f t="shared" ref="D58:D70" si="5">+C58+1</f>
        <v>2.5</v>
      </c>
      <c r="E58" s="35" t="str">
        <f t="shared" ref="E58:E70" si="6">C58&amp;" - "&amp;D58</f>
        <v>1.5 - 2.5</v>
      </c>
      <c r="F58" s="6" t="str">
        <f>+IF(SUMIFS(Dataset!$P:$P,Dataset!$E:$E,F$54,Dataset!$V:$V,"&gt;="&amp;$C58,Dataset!$V:$V,"&lt;"&amp;$D58)=0,"",SUMIFS(Dataset!$P:$P,Dataset!$E:$E,F$54,Dataset!$V:$V,"&gt;="&amp;$C58,Dataset!$V:$V,"&lt;"&amp;$D58))</f>
        <v/>
      </c>
      <c r="G58" s="6" t="str">
        <f>+IF(SUMIFS(Dataset!$P:$P,Dataset!$E:$E,G$54,Dataset!$V:$V,"&gt;="&amp;$C58,Dataset!$V:$V,"&lt;"&amp;$D58)=0,"",SUMIFS(Dataset!$P:$P,Dataset!$E:$E,G$54,Dataset!$V:$V,"&gt;="&amp;$C58,Dataset!$V:$V,"&lt;"&amp;$D58))</f>
        <v/>
      </c>
      <c r="H58" s="6">
        <f>+IF(SUMIFS(Dataset!$P:$P,Dataset!$E:$E,H$54,Dataset!$V:$V,"&gt;="&amp;$C58,Dataset!$V:$V,"&lt;"&amp;$D58)=0,"",SUMIFS(Dataset!$P:$P,Dataset!$E:$E,H$54,Dataset!$V:$V,"&gt;="&amp;$C58,Dataset!$V:$V,"&lt;"&amp;$D58))</f>
        <v>1.5699999999999999E-2</v>
      </c>
      <c r="I58" s="6">
        <f>+IF(SUMIFS(Dataset!$P:$P,Dataset!$E:$E,I$54,Dataset!$V:$V,"&gt;="&amp;$C58,Dataset!$V:$V,"&lt;"&amp;$D58)=0,"",SUMIFS(Dataset!$P:$P,Dataset!$E:$E,I$54,Dataset!$V:$V,"&gt;="&amp;$C58,Dataset!$V:$V,"&lt;"&amp;$D58))</f>
        <v>5.5099999999999996E-2</v>
      </c>
      <c r="J58" s="6">
        <f>+IF(SUMIFS(Dataset!$P:$P,Dataset!$E:$E,J$54,Dataset!$V:$V,"&gt;="&amp;$C58,Dataset!$V:$V,"&lt;"&amp;$D58)=0,"",SUMIFS(Dataset!$P:$P,Dataset!$E:$E,J$54,Dataset!$V:$V,"&gt;="&amp;$C58,Dataset!$V:$V,"&lt;"&amp;$D58))</f>
        <v>2.5899999999999999E-2</v>
      </c>
      <c r="K58" s="6" t="str">
        <f>+IF(SUMIFS(Dataset!$P:$P,Dataset!$E:$E,K$54,Dataset!$V:$V,"&gt;="&amp;$C58,Dataset!$V:$V,"&lt;"&amp;$D58)=0,"",SUMIFS(Dataset!$P:$P,Dataset!$E:$E,K$54,Dataset!$V:$V,"&gt;="&amp;$C58,Dataset!$V:$V,"&lt;"&amp;$D58))</f>
        <v/>
      </c>
      <c r="L58" s="6" t="str">
        <f>+IF(SUMIFS(Dataset!$P:$P,Dataset!$E:$E,L$54,Dataset!$V:$V,"&gt;="&amp;$C58,Dataset!$V:$V,"&lt;"&amp;$D58)=0,"",SUMIFS(Dataset!$P:$P,Dataset!$E:$E,L$54,Dataset!$V:$V,"&gt;="&amp;$C58,Dataset!$V:$V,"&lt;"&amp;$D58))</f>
        <v/>
      </c>
      <c r="M58" s="72">
        <f t="shared" si="2"/>
        <v>9.6700000000000008E-2</v>
      </c>
      <c r="N58" s="65" t="str">
        <f>+IF(SUMIFS(Dataset!$R:$R,Dataset!$E:$E,N$54,Dataset!$V:$V,"&gt;="&amp;$C58,Dataset!$V:$V,"&lt;"&amp;$D58)=0,"",SUMIFS(Dataset!$R:$R,Dataset!$E:$E,N$54,Dataset!$V:$V,"&gt;="&amp;$C58,Dataset!$V:$V,"&lt;"&amp;$D58))</f>
        <v/>
      </c>
      <c r="O58" s="65" t="str">
        <f>+IF(SUMIFS(Dataset!$R:$R,Dataset!$E:$E,O$54,Dataset!$V:$V,"&gt;="&amp;$C58,Dataset!$V:$V,"&lt;"&amp;$D58)=0,"",SUMIFS(Dataset!$R:$R,Dataset!$E:$E,O$54,Dataset!$V:$V,"&gt;="&amp;$C58,Dataset!$V:$V,"&lt;"&amp;$D58))</f>
        <v/>
      </c>
      <c r="P58" s="65">
        <f>+IF(SUMIFS(Dataset!$R:$R,Dataset!$E:$E,P$54,Dataset!$V:$V,"&gt;="&amp;$C58,Dataset!$V:$V,"&lt;"&amp;$D58)=0,"",SUMIFS(Dataset!$R:$R,Dataset!$E:$E,P$54,Dataset!$V:$V,"&gt;="&amp;$C58,Dataset!$V:$V,"&lt;"&amp;$D58))</f>
        <v>9.9999999999999985E-3</v>
      </c>
      <c r="Q58" s="65">
        <f>+IF(SUMIFS(Dataset!$R:$R,Dataset!$E:$E,Q$54,Dataset!$V:$V,"&gt;="&amp;$C58,Dataset!$V:$V,"&lt;"&amp;$D58)=0,"",SUMIFS(Dataset!$R:$R,Dataset!$E:$E,Q$54,Dataset!$V:$V,"&gt;="&amp;$C58,Dataset!$V:$V,"&lt;"&amp;$D58))</f>
        <v>0.01</v>
      </c>
      <c r="R58" s="65" t="str">
        <f>+IF(SUMIFS(Dataset!$R:$R,Dataset!$E:$E,R$54,Dataset!$V:$V,"&gt;="&amp;$C58,Dataset!$V:$V,"&lt;"&amp;$D58)=0,"",SUMIFS(Dataset!$R:$R,Dataset!$E:$E,R$54,Dataset!$V:$V,"&gt;="&amp;$C58,Dataset!$V:$V,"&lt;"&amp;$D58))</f>
        <v/>
      </c>
      <c r="S58" s="65" t="str">
        <f>+IF(SUMIFS(Dataset!$R:$R,Dataset!$E:$E,S$54,Dataset!$V:$V,"&gt;="&amp;$C58,Dataset!$V:$V,"&lt;"&amp;$D58)=0,"",SUMIFS(Dataset!$R:$R,Dataset!$E:$E,S$54,Dataset!$V:$V,"&gt;="&amp;$C58,Dataset!$V:$V,"&lt;"&amp;$D58))</f>
        <v/>
      </c>
      <c r="T58" s="65" t="str">
        <f>+IF(SUMIFS(Dataset!$R:$R,Dataset!$E:$E,T$54,Dataset!$V:$V,"&gt;="&amp;$C58,Dataset!$V:$V,"&lt;"&amp;$D58)=0,"",SUMIFS(Dataset!$R:$R,Dataset!$E:$E,T$54,Dataset!$V:$V,"&gt;="&amp;$C58,Dataset!$V:$V,"&lt;"&amp;$D58))</f>
        <v/>
      </c>
      <c r="U58" s="72">
        <f t="shared" si="3"/>
        <v>1.9999999999999997E-2</v>
      </c>
    </row>
    <row r="59" spans="3:22" ht="15" x14ac:dyDescent="0.25">
      <c r="C59">
        <f t="shared" si="4"/>
        <v>2.5</v>
      </c>
      <c r="D59">
        <f t="shared" si="5"/>
        <v>3.5</v>
      </c>
      <c r="E59" s="35" t="str">
        <f t="shared" si="6"/>
        <v>2.5 - 3.5</v>
      </c>
      <c r="F59" s="6" t="str">
        <f>+IF(SUMIFS(Dataset!$P:$P,Dataset!$E:$E,F$54,Dataset!$V:$V,"&gt;="&amp;$C59,Dataset!$V:$V,"&lt;"&amp;$D59)=0,"",SUMIFS(Dataset!$P:$P,Dataset!$E:$E,F$54,Dataset!$V:$V,"&gt;="&amp;$C59,Dataset!$V:$V,"&lt;"&amp;$D59))</f>
        <v/>
      </c>
      <c r="G59" s="6">
        <f>+IF(SUMIFS(Dataset!$P:$P,Dataset!$E:$E,G$54,Dataset!$V:$V,"&gt;="&amp;$C59,Dataset!$V:$V,"&lt;"&amp;$D59)=0,"",SUMIFS(Dataset!$P:$P,Dataset!$E:$E,G$54,Dataset!$V:$V,"&gt;="&amp;$C59,Dataset!$V:$V,"&lt;"&amp;$D59))</f>
        <v>1.3899999999999999E-2</v>
      </c>
      <c r="H59" s="6" t="str">
        <f>+IF(SUMIFS(Dataset!$P:$P,Dataset!$E:$E,H$54,Dataset!$V:$V,"&gt;="&amp;$C59,Dataset!$V:$V,"&lt;"&amp;$D59)=0,"",SUMIFS(Dataset!$P:$P,Dataset!$E:$E,H$54,Dataset!$V:$V,"&gt;="&amp;$C59,Dataset!$V:$V,"&lt;"&amp;$D59))</f>
        <v/>
      </c>
      <c r="I59" s="6" t="str">
        <f>+IF(SUMIFS(Dataset!$P:$P,Dataset!$E:$E,I$54,Dataset!$V:$V,"&gt;="&amp;$C59,Dataset!$V:$V,"&lt;"&amp;$D59)=0,"",SUMIFS(Dataset!$P:$P,Dataset!$E:$E,I$54,Dataset!$V:$V,"&gt;="&amp;$C59,Dataset!$V:$V,"&lt;"&amp;$D59))</f>
        <v/>
      </c>
      <c r="J59" s="6">
        <f>+IF(SUMIFS(Dataset!$P:$P,Dataset!$E:$E,J$54,Dataset!$V:$V,"&gt;="&amp;$C59,Dataset!$V:$V,"&lt;"&amp;$D59)=0,"",SUMIFS(Dataset!$P:$P,Dataset!$E:$E,J$54,Dataset!$V:$V,"&gt;="&amp;$C59,Dataset!$V:$V,"&lt;"&amp;$D59))</f>
        <v>1.1000000000000001E-3</v>
      </c>
      <c r="K59" s="6">
        <f>+IF(SUMIFS(Dataset!$P:$P,Dataset!$E:$E,K$54,Dataset!$V:$V,"&gt;="&amp;$C59,Dataset!$V:$V,"&lt;"&amp;$D59)=0,"",SUMIFS(Dataset!$P:$P,Dataset!$E:$E,K$54,Dataset!$V:$V,"&gt;="&amp;$C59,Dataset!$V:$V,"&lt;"&amp;$D59))</f>
        <v>1.5599999999999999E-2</v>
      </c>
      <c r="L59" s="6" t="str">
        <f>+IF(SUMIFS(Dataset!$P:$P,Dataset!$E:$E,L$54,Dataset!$V:$V,"&gt;="&amp;$C59,Dataset!$V:$V,"&lt;"&amp;$D59)=0,"",SUMIFS(Dataset!$P:$P,Dataset!$E:$E,L$54,Dataset!$V:$V,"&gt;="&amp;$C59,Dataset!$V:$V,"&lt;"&amp;$D59))</f>
        <v/>
      </c>
      <c r="M59" s="72">
        <f t="shared" si="2"/>
        <v>3.0599999999999999E-2</v>
      </c>
      <c r="N59" s="65" t="str">
        <f>+IF(SUMIFS(Dataset!$R:$R,Dataset!$E:$E,N$54,Dataset!$V:$V,"&gt;="&amp;$C59,Dataset!$V:$V,"&lt;"&amp;$D59)=0,"",SUMIFS(Dataset!$R:$R,Dataset!$E:$E,N$54,Dataset!$V:$V,"&gt;="&amp;$C59,Dataset!$V:$V,"&lt;"&amp;$D59))</f>
        <v/>
      </c>
      <c r="O59" s="65" t="str">
        <f>+IF(SUMIFS(Dataset!$R:$R,Dataset!$E:$E,O$54,Dataset!$V:$V,"&gt;="&amp;$C59,Dataset!$V:$V,"&lt;"&amp;$D59)=0,"",SUMIFS(Dataset!$R:$R,Dataset!$E:$E,O$54,Dataset!$V:$V,"&gt;="&amp;$C59,Dataset!$V:$V,"&lt;"&amp;$D59))</f>
        <v/>
      </c>
      <c r="P59" s="65" t="str">
        <f>+IF(SUMIFS(Dataset!$R:$R,Dataset!$E:$E,P$54,Dataset!$V:$V,"&gt;="&amp;$C59,Dataset!$V:$V,"&lt;"&amp;$D59)=0,"",SUMIFS(Dataset!$R:$R,Dataset!$E:$E,P$54,Dataset!$V:$V,"&gt;="&amp;$C59,Dataset!$V:$V,"&lt;"&amp;$D59))</f>
        <v/>
      </c>
      <c r="Q59" s="65" t="str">
        <f>+IF(SUMIFS(Dataset!$R:$R,Dataset!$E:$E,Q$54,Dataset!$V:$V,"&gt;="&amp;$C59,Dataset!$V:$V,"&lt;"&amp;$D59)=0,"",SUMIFS(Dataset!$R:$R,Dataset!$E:$E,Q$54,Dataset!$V:$V,"&gt;="&amp;$C59,Dataset!$V:$V,"&lt;"&amp;$D59))</f>
        <v/>
      </c>
      <c r="R59" s="65">
        <f>+IF(SUMIFS(Dataset!$R:$R,Dataset!$E:$E,R$54,Dataset!$V:$V,"&gt;="&amp;$C59,Dataset!$V:$V,"&lt;"&amp;$D59)=0,"",SUMIFS(Dataset!$R:$R,Dataset!$E:$E,R$54,Dataset!$V:$V,"&gt;="&amp;$C59,Dataset!$V:$V,"&lt;"&amp;$D59))</f>
        <v>-0.01</v>
      </c>
      <c r="S59" s="65" t="str">
        <f>+IF(SUMIFS(Dataset!$R:$R,Dataset!$E:$E,S$54,Dataset!$V:$V,"&gt;="&amp;$C59,Dataset!$V:$V,"&lt;"&amp;$D59)=0,"",SUMIFS(Dataset!$R:$R,Dataset!$E:$E,S$54,Dataset!$V:$V,"&gt;="&amp;$C59,Dataset!$V:$V,"&lt;"&amp;$D59))</f>
        <v/>
      </c>
      <c r="T59" s="65" t="str">
        <f>+IF(SUMIFS(Dataset!$R:$R,Dataset!$E:$E,T$54,Dataset!$V:$V,"&gt;="&amp;$C59,Dataset!$V:$V,"&lt;"&amp;$D59)=0,"",SUMIFS(Dataset!$R:$R,Dataset!$E:$E,T$54,Dataset!$V:$V,"&gt;="&amp;$C59,Dataset!$V:$V,"&lt;"&amp;$D59))</f>
        <v/>
      </c>
      <c r="U59" s="72">
        <f t="shared" si="3"/>
        <v>-0.01</v>
      </c>
    </row>
    <row r="60" spans="3:22" ht="15" x14ac:dyDescent="0.25">
      <c r="C60">
        <f t="shared" si="4"/>
        <v>3.5</v>
      </c>
      <c r="D60">
        <f t="shared" si="5"/>
        <v>4.5</v>
      </c>
      <c r="E60" s="35" t="str">
        <f t="shared" si="6"/>
        <v>3.5 - 4.5</v>
      </c>
      <c r="F60" s="6" t="str">
        <f>+IF(SUMIFS(Dataset!$P:$P,Dataset!$E:$E,F$54,Dataset!$V:$V,"&gt;="&amp;$C60,Dataset!$V:$V,"&lt;"&amp;$D60)=0,"",SUMIFS(Dataset!$P:$P,Dataset!$E:$E,F$54,Dataset!$V:$V,"&gt;="&amp;$C60,Dataset!$V:$V,"&lt;"&amp;$D60))</f>
        <v/>
      </c>
      <c r="G60" s="6">
        <f>+IF(SUMIFS(Dataset!$P:$P,Dataset!$E:$E,G$54,Dataset!$V:$V,"&gt;="&amp;$C60,Dataset!$V:$V,"&lt;"&amp;$D60)=0,"",SUMIFS(Dataset!$P:$P,Dataset!$E:$E,G$54,Dataset!$V:$V,"&gt;="&amp;$C60,Dataset!$V:$V,"&lt;"&amp;$D60))</f>
        <v>3.3099999999999997E-2</v>
      </c>
      <c r="H60" s="6" t="str">
        <f>+IF(SUMIFS(Dataset!$P:$P,Dataset!$E:$E,H$54,Dataset!$V:$V,"&gt;="&amp;$C60,Dataset!$V:$V,"&lt;"&amp;$D60)=0,"",SUMIFS(Dataset!$P:$P,Dataset!$E:$E,H$54,Dataset!$V:$V,"&gt;="&amp;$C60,Dataset!$V:$V,"&lt;"&amp;$D60))</f>
        <v/>
      </c>
      <c r="I60" s="6">
        <f>+IF(SUMIFS(Dataset!$P:$P,Dataset!$E:$E,I$54,Dataset!$V:$V,"&gt;="&amp;$C60,Dataset!$V:$V,"&lt;"&amp;$D60)=0,"",SUMIFS(Dataset!$P:$P,Dataset!$E:$E,I$54,Dataset!$V:$V,"&gt;="&amp;$C60,Dataset!$V:$V,"&lt;"&amp;$D60))</f>
        <v>2.0199999999999999E-2</v>
      </c>
      <c r="J60" s="6">
        <f>+IF(SUMIFS(Dataset!$P:$P,Dataset!$E:$E,J$54,Dataset!$V:$V,"&gt;="&amp;$C60,Dataset!$V:$V,"&lt;"&amp;$D60)=0,"",SUMIFS(Dataset!$P:$P,Dataset!$E:$E,J$54,Dataset!$V:$V,"&gt;="&amp;$C60,Dataset!$V:$V,"&lt;"&amp;$D60))</f>
        <v>2.1499999999999998E-2</v>
      </c>
      <c r="K60" s="6">
        <f>+IF(SUMIFS(Dataset!$P:$P,Dataset!$E:$E,K$54,Dataset!$V:$V,"&gt;="&amp;$C60,Dataset!$V:$V,"&lt;"&amp;$D60)=0,"",SUMIFS(Dataset!$P:$P,Dataset!$E:$E,K$54,Dataset!$V:$V,"&gt;="&amp;$C60,Dataset!$V:$V,"&lt;"&amp;$D60))</f>
        <v>1.18E-2</v>
      </c>
      <c r="L60" s="6" t="str">
        <f>+IF(SUMIFS(Dataset!$P:$P,Dataset!$E:$E,L$54,Dataset!$V:$V,"&gt;="&amp;$C60,Dataset!$V:$V,"&lt;"&amp;$D60)=0,"",SUMIFS(Dataset!$P:$P,Dataset!$E:$E,L$54,Dataset!$V:$V,"&gt;="&amp;$C60,Dataset!$V:$V,"&lt;"&amp;$D60))</f>
        <v/>
      </c>
      <c r="M60" s="72">
        <f t="shared" si="2"/>
        <v>8.660000000000001E-2</v>
      </c>
      <c r="N60" s="65" t="str">
        <f>+IF(SUMIFS(Dataset!$R:$R,Dataset!$E:$E,N$54,Dataset!$V:$V,"&gt;="&amp;$C60,Dataset!$V:$V,"&lt;"&amp;$D60)=0,"",SUMIFS(Dataset!$R:$R,Dataset!$E:$E,N$54,Dataset!$V:$V,"&gt;="&amp;$C60,Dataset!$V:$V,"&lt;"&amp;$D60))</f>
        <v/>
      </c>
      <c r="O60" s="65" t="str">
        <f>+IF(SUMIFS(Dataset!$R:$R,Dataset!$E:$E,O$54,Dataset!$V:$V,"&gt;="&amp;$C60,Dataset!$V:$V,"&lt;"&amp;$D60)=0,"",SUMIFS(Dataset!$R:$R,Dataset!$E:$E,O$54,Dataset!$V:$V,"&gt;="&amp;$C60,Dataset!$V:$V,"&lt;"&amp;$D60))</f>
        <v/>
      </c>
      <c r="P60" s="65" t="str">
        <f>+IF(SUMIFS(Dataset!$R:$R,Dataset!$E:$E,P$54,Dataset!$V:$V,"&gt;="&amp;$C60,Dataset!$V:$V,"&lt;"&amp;$D60)=0,"",SUMIFS(Dataset!$R:$R,Dataset!$E:$E,P$54,Dataset!$V:$V,"&gt;="&amp;$C60,Dataset!$V:$V,"&lt;"&amp;$D60))</f>
        <v/>
      </c>
      <c r="Q60" s="65">
        <f>+IF(SUMIFS(Dataset!$R:$R,Dataset!$E:$E,Q$54,Dataset!$V:$V,"&gt;="&amp;$C60,Dataset!$V:$V,"&lt;"&amp;$D60)=0,"",SUMIFS(Dataset!$R:$R,Dataset!$E:$E,Q$54,Dataset!$V:$V,"&gt;="&amp;$C60,Dataset!$V:$V,"&lt;"&amp;$D60))</f>
        <v>-5.000000000000001E-3</v>
      </c>
      <c r="R60" s="65" t="str">
        <f>+IF(SUMIFS(Dataset!$R:$R,Dataset!$E:$E,R$54,Dataset!$V:$V,"&gt;="&amp;$C60,Dataset!$V:$V,"&lt;"&amp;$D60)=0,"",SUMIFS(Dataset!$R:$R,Dataset!$E:$E,R$54,Dataset!$V:$V,"&gt;="&amp;$C60,Dataset!$V:$V,"&lt;"&amp;$D60))</f>
        <v/>
      </c>
      <c r="S60" s="65" t="str">
        <f>+IF(SUMIFS(Dataset!$R:$R,Dataset!$E:$E,S$54,Dataset!$V:$V,"&gt;="&amp;$C60,Dataset!$V:$V,"&lt;"&amp;$D60)=0,"",SUMIFS(Dataset!$R:$R,Dataset!$E:$E,S$54,Dataset!$V:$V,"&gt;="&amp;$C60,Dataset!$V:$V,"&lt;"&amp;$D60))</f>
        <v/>
      </c>
      <c r="T60" s="65" t="str">
        <f>+IF(SUMIFS(Dataset!$R:$R,Dataset!$E:$E,T$54,Dataset!$V:$V,"&gt;="&amp;$C60,Dataset!$V:$V,"&lt;"&amp;$D60)=0,"",SUMIFS(Dataset!$R:$R,Dataset!$E:$E,T$54,Dataset!$V:$V,"&gt;="&amp;$C60,Dataset!$V:$V,"&lt;"&amp;$D60))</f>
        <v/>
      </c>
      <c r="U60" s="72">
        <f t="shared" si="3"/>
        <v>-5.000000000000001E-3</v>
      </c>
    </row>
    <row r="61" spans="3:22" ht="15" x14ac:dyDescent="0.25">
      <c r="C61">
        <f t="shared" si="4"/>
        <v>4.5</v>
      </c>
      <c r="D61">
        <f t="shared" si="5"/>
        <v>5.5</v>
      </c>
      <c r="E61" s="35" t="str">
        <f t="shared" si="6"/>
        <v>4.5 - 5.5</v>
      </c>
      <c r="F61" s="6" t="str">
        <f>+IF(SUMIFS(Dataset!$P:$P,Dataset!$E:$E,F$54,Dataset!$V:$V,"&gt;="&amp;$C61,Dataset!$V:$V,"&lt;"&amp;$D61)=0,"",SUMIFS(Dataset!$P:$P,Dataset!$E:$E,F$54,Dataset!$V:$V,"&gt;="&amp;$C61,Dataset!$V:$V,"&lt;"&amp;$D61))</f>
        <v/>
      </c>
      <c r="G61" s="6">
        <f>+IF(SUMIFS(Dataset!$P:$P,Dataset!$E:$E,G$54,Dataset!$V:$V,"&gt;="&amp;$C61,Dataset!$V:$V,"&lt;"&amp;$D61)=0,"",SUMIFS(Dataset!$P:$P,Dataset!$E:$E,G$54,Dataset!$V:$V,"&gt;="&amp;$C61,Dataset!$V:$V,"&lt;"&amp;$D61))</f>
        <v>8.3199999999999996E-2</v>
      </c>
      <c r="H61" s="6" t="str">
        <f>+IF(SUMIFS(Dataset!$P:$P,Dataset!$E:$E,H$54,Dataset!$V:$V,"&gt;="&amp;$C61,Dataset!$V:$V,"&lt;"&amp;$D61)=0,"",SUMIFS(Dataset!$P:$P,Dataset!$E:$E,H$54,Dataset!$V:$V,"&gt;="&amp;$C61,Dataset!$V:$V,"&lt;"&amp;$D61))</f>
        <v/>
      </c>
      <c r="I61" s="6">
        <f>+IF(SUMIFS(Dataset!$P:$P,Dataset!$E:$E,I$54,Dataset!$V:$V,"&gt;="&amp;$C61,Dataset!$V:$V,"&lt;"&amp;$D61)=0,"",SUMIFS(Dataset!$P:$P,Dataset!$E:$E,I$54,Dataset!$V:$V,"&gt;="&amp;$C61,Dataset!$V:$V,"&lt;"&amp;$D61))</f>
        <v>4.9700000000000001E-2</v>
      </c>
      <c r="J61" s="6">
        <f>+IF(SUMIFS(Dataset!$P:$P,Dataset!$E:$E,J$54,Dataset!$V:$V,"&gt;="&amp;$C61,Dataset!$V:$V,"&lt;"&amp;$D61)=0,"",SUMIFS(Dataset!$P:$P,Dataset!$E:$E,J$54,Dataset!$V:$V,"&gt;="&amp;$C61,Dataset!$V:$V,"&lt;"&amp;$D61))</f>
        <v>5.6899999999999999E-2</v>
      </c>
      <c r="K61" s="6" t="str">
        <f>+IF(SUMIFS(Dataset!$P:$P,Dataset!$E:$E,K$54,Dataset!$V:$V,"&gt;="&amp;$C61,Dataset!$V:$V,"&lt;"&amp;$D61)=0,"",SUMIFS(Dataset!$P:$P,Dataset!$E:$E,K$54,Dataset!$V:$V,"&gt;="&amp;$C61,Dataset!$V:$V,"&lt;"&amp;$D61))</f>
        <v/>
      </c>
      <c r="L61" s="6" t="str">
        <f>+IF(SUMIFS(Dataset!$P:$P,Dataset!$E:$E,L$54,Dataset!$V:$V,"&gt;="&amp;$C61,Dataset!$V:$V,"&lt;"&amp;$D61)=0,"",SUMIFS(Dataset!$P:$P,Dataset!$E:$E,L$54,Dataset!$V:$V,"&gt;="&amp;$C61,Dataset!$V:$V,"&lt;"&amp;$D61))</f>
        <v/>
      </c>
      <c r="M61" s="72">
        <f t="shared" si="2"/>
        <v>0.1898</v>
      </c>
      <c r="N61" s="65" t="str">
        <f>+IF(SUMIFS(Dataset!$R:$R,Dataset!$E:$E,N$54,Dataset!$V:$V,"&gt;="&amp;$C61,Dataset!$V:$V,"&lt;"&amp;$D61)=0,"",SUMIFS(Dataset!$R:$R,Dataset!$E:$E,N$54,Dataset!$V:$V,"&gt;="&amp;$C61,Dataset!$V:$V,"&lt;"&amp;$D61))</f>
        <v/>
      </c>
      <c r="O61" s="65" t="str">
        <f>+IF(SUMIFS(Dataset!$R:$R,Dataset!$E:$E,O$54,Dataset!$V:$V,"&gt;="&amp;$C61,Dataset!$V:$V,"&lt;"&amp;$D61)=0,"",SUMIFS(Dataset!$R:$R,Dataset!$E:$E,O$54,Dataset!$V:$V,"&gt;="&amp;$C61,Dataset!$V:$V,"&lt;"&amp;$D61))</f>
        <v/>
      </c>
      <c r="P61" s="65" t="str">
        <f>+IF(SUMIFS(Dataset!$R:$R,Dataset!$E:$E,P$54,Dataset!$V:$V,"&gt;="&amp;$C61,Dataset!$V:$V,"&lt;"&amp;$D61)=0,"",SUMIFS(Dataset!$R:$R,Dataset!$E:$E,P$54,Dataset!$V:$V,"&gt;="&amp;$C61,Dataset!$V:$V,"&lt;"&amp;$D61))</f>
        <v/>
      </c>
      <c r="Q61" s="65" t="str">
        <f>+IF(SUMIFS(Dataset!$R:$R,Dataset!$E:$E,Q$54,Dataset!$V:$V,"&gt;="&amp;$C61,Dataset!$V:$V,"&lt;"&amp;$D61)=0,"",SUMIFS(Dataset!$R:$R,Dataset!$E:$E,Q$54,Dataset!$V:$V,"&gt;="&amp;$C61,Dataset!$V:$V,"&lt;"&amp;$D61))</f>
        <v/>
      </c>
      <c r="R61" s="65" t="str">
        <f>+IF(SUMIFS(Dataset!$R:$R,Dataset!$E:$E,R$54,Dataset!$V:$V,"&gt;="&amp;$C61,Dataset!$V:$V,"&lt;"&amp;$D61)=0,"",SUMIFS(Dataset!$R:$R,Dataset!$E:$E,R$54,Dataset!$V:$V,"&gt;="&amp;$C61,Dataset!$V:$V,"&lt;"&amp;$D61))</f>
        <v/>
      </c>
      <c r="S61" s="65" t="str">
        <f>+IF(SUMIFS(Dataset!$R:$R,Dataset!$E:$E,S$54,Dataset!$V:$V,"&gt;="&amp;$C61,Dataset!$V:$V,"&lt;"&amp;$D61)=0,"",SUMIFS(Dataset!$R:$R,Dataset!$E:$E,S$54,Dataset!$V:$V,"&gt;="&amp;$C61,Dataset!$V:$V,"&lt;"&amp;$D61))</f>
        <v/>
      </c>
      <c r="T61" s="65" t="str">
        <f>+IF(SUMIFS(Dataset!$R:$R,Dataset!$E:$E,T$54,Dataset!$V:$V,"&gt;="&amp;$C61,Dataset!$V:$V,"&lt;"&amp;$D61)=0,"",SUMIFS(Dataset!$R:$R,Dataset!$E:$E,T$54,Dataset!$V:$V,"&gt;="&amp;$C61,Dataset!$V:$V,"&lt;"&amp;$D61))</f>
        <v/>
      </c>
      <c r="U61" s="72">
        <f t="shared" si="3"/>
        <v>0</v>
      </c>
    </row>
    <row r="62" spans="3:22" ht="15" x14ac:dyDescent="0.25">
      <c r="C62">
        <f t="shared" si="4"/>
        <v>5.5</v>
      </c>
      <c r="D62">
        <f t="shared" si="5"/>
        <v>6.5</v>
      </c>
      <c r="E62" s="35" t="str">
        <f t="shared" si="6"/>
        <v>5.5 - 6.5</v>
      </c>
      <c r="F62" s="6" t="str">
        <f>+IF(SUMIFS(Dataset!$P:$P,Dataset!$E:$E,F$54,Dataset!$V:$V,"&gt;="&amp;$C62,Dataset!$V:$V,"&lt;"&amp;$D62)=0,"",SUMIFS(Dataset!$P:$P,Dataset!$E:$E,F$54,Dataset!$V:$V,"&gt;="&amp;$C62,Dataset!$V:$V,"&lt;"&amp;$D62))</f>
        <v/>
      </c>
      <c r="G62" s="6" t="str">
        <f>+IF(SUMIFS(Dataset!$P:$P,Dataset!$E:$E,G$54,Dataset!$V:$V,"&gt;="&amp;$C62,Dataset!$V:$V,"&lt;"&amp;$D62)=0,"",SUMIFS(Dataset!$P:$P,Dataset!$E:$E,G$54,Dataset!$V:$V,"&gt;="&amp;$C62,Dataset!$V:$V,"&lt;"&amp;$D62))</f>
        <v/>
      </c>
      <c r="H62" s="6" t="str">
        <f>+IF(SUMIFS(Dataset!$P:$P,Dataset!$E:$E,H$54,Dataset!$V:$V,"&gt;="&amp;$C62,Dataset!$V:$V,"&lt;"&amp;$D62)=0,"",SUMIFS(Dataset!$P:$P,Dataset!$E:$E,H$54,Dataset!$V:$V,"&gt;="&amp;$C62,Dataset!$V:$V,"&lt;"&amp;$D62))</f>
        <v/>
      </c>
      <c r="I62" s="6" t="str">
        <f>+IF(SUMIFS(Dataset!$P:$P,Dataset!$E:$E,I$54,Dataset!$V:$V,"&gt;="&amp;$C62,Dataset!$V:$V,"&lt;"&amp;$D62)=0,"",SUMIFS(Dataset!$P:$P,Dataset!$E:$E,I$54,Dataset!$V:$V,"&gt;="&amp;$C62,Dataset!$V:$V,"&lt;"&amp;$D62))</f>
        <v/>
      </c>
      <c r="J62" s="6">
        <f>+IF(SUMIFS(Dataset!$P:$P,Dataset!$E:$E,J$54,Dataset!$V:$V,"&gt;="&amp;$C62,Dataset!$V:$V,"&lt;"&amp;$D62)=0,"",SUMIFS(Dataset!$P:$P,Dataset!$E:$E,J$54,Dataset!$V:$V,"&gt;="&amp;$C62,Dataset!$V:$V,"&lt;"&amp;$D62))</f>
        <v>1.0200000000000001E-2</v>
      </c>
      <c r="K62" s="6" t="str">
        <f>+IF(SUMIFS(Dataset!$P:$P,Dataset!$E:$E,K$54,Dataset!$V:$V,"&gt;="&amp;$C62,Dataset!$V:$V,"&lt;"&amp;$D62)=0,"",SUMIFS(Dataset!$P:$P,Dataset!$E:$E,K$54,Dataset!$V:$V,"&gt;="&amp;$C62,Dataset!$V:$V,"&lt;"&amp;$D62))</f>
        <v/>
      </c>
      <c r="L62" s="6">
        <f>+IF(SUMIFS(Dataset!$P:$P,Dataset!$E:$E,L$54,Dataset!$V:$V,"&gt;="&amp;$C62,Dataset!$V:$V,"&lt;"&amp;$D62)=0,"",SUMIFS(Dataset!$P:$P,Dataset!$E:$E,L$54,Dataset!$V:$V,"&gt;="&amp;$C62,Dataset!$V:$V,"&lt;"&amp;$D62))</f>
        <v>1.52E-2</v>
      </c>
      <c r="M62" s="72">
        <f t="shared" si="2"/>
        <v>2.5399999999999999E-2</v>
      </c>
      <c r="N62" s="65" t="str">
        <f>+IF(SUMIFS(Dataset!$R:$R,Dataset!$E:$E,N$54,Dataset!$V:$V,"&gt;="&amp;$C62,Dataset!$V:$V,"&lt;"&amp;$D62)=0,"",SUMIFS(Dataset!$R:$R,Dataset!$E:$E,N$54,Dataset!$V:$V,"&gt;="&amp;$C62,Dataset!$V:$V,"&lt;"&amp;$D62))</f>
        <v/>
      </c>
      <c r="O62" s="65" t="str">
        <f>+IF(SUMIFS(Dataset!$R:$R,Dataset!$E:$E,O$54,Dataset!$V:$V,"&gt;="&amp;$C62,Dataset!$V:$V,"&lt;"&amp;$D62)=0,"",SUMIFS(Dataset!$R:$R,Dataset!$E:$E,O$54,Dataset!$V:$V,"&gt;="&amp;$C62,Dataset!$V:$V,"&lt;"&amp;$D62))</f>
        <v/>
      </c>
      <c r="P62" s="65" t="str">
        <f>+IF(SUMIFS(Dataset!$R:$R,Dataset!$E:$E,P$54,Dataset!$V:$V,"&gt;="&amp;$C62,Dataset!$V:$V,"&lt;"&amp;$D62)=0,"",SUMIFS(Dataset!$R:$R,Dataset!$E:$E,P$54,Dataset!$V:$V,"&gt;="&amp;$C62,Dataset!$V:$V,"&lt;"&amp;$D62))</f>
        <v/>
      </c>
      <c r="Q62" s="65" t="str">
        <f>+IF(SUMIFS(Dataset!$R:$R,Dataset!$E:$E,Q$54,Dataset!$V:$V,"&gt;="&amp;$C62,Dataset!$V:$V,"&lt;"&amp;$D62)=0,"",SUMIFS(Dataset!$R:$R,Dataset!$E:$E,Q$54,Dataset!$V:$V,"&gt;="&amp;$C62,Dataset!$V:$V,"&lt;"&amp;$D62))</f>
        <v/>
      </c>
      <c r="R62" s="65" t="str">
        <f>+IF(SUMIFS(Dataset!$R:$R,Dataset!$E:$E,R$54,Dataset!$V:$V,"&gt;="&amp;$C62,Dataset!$V:$V,"&lt;"&amp;$D62)=0,"",SUMIFS(Dataset!$R:$R,Dataset!$E:$E,R$54,Dataset!$V:$V,"&gt;="&amp;$C62,Dataset!$V:$V,"&lt;"&amp;$D62))</f>
        <v/>
      </c>
      <c r="S62" s="65" t="str">
        <f>+IF(SUMIFS(Dataset!$R:$R,Dataset!$E:$E,S$54,Dataset!$V:$V,"&gt;="&amp;$C62,Dataset!$V:$V,"&lt;"&amp;$D62)=0,"",SUMIFS(Dataset!$R:$R,Dataset!$E:$E,S$54,Dataset!$V:$V,"&gt;="&amp;$C62,Dataset!$V:$V,"&lt;"&amp;$D62))</f>
        <v/>
      </c>
      <c r="T62" s="65" t="str">
        <f>+IF(SUMIFS(Dataset!$R:$R,Dataset!$E:$E,T$54,Dataset!$V:$V,"&gt;="&amp;$C62,Dataset!$V:$V,"&lt;"&amp;$D62)=0,"",SUMIFS(Dataset!$R:$R,Dataset!$E:$E,T$54,Dataset!$V:$V,"&gt;="&amp;$C62,Dataset!$V:$V,"&lt;"&amp;$D62))</f>
        <v/>
      </c>
      <c r="U62" s="72">
        <f t="shared" si="3"/>
        <v>0</v>
      </c>
    </row>
    <row r="63" spans="3:22" ht="15" x14ac:dyDescent="0.25">
      <c r="C63">
        <f t="shared" si="4"/>
        <v>6.5</v>
      </c>
      <c r="D63">
        <f t="shared" si="5"/>
        <v>7.5</v>
      </c>
      <c r="E63" s="35" t="str">
        <f t="shared" si="6"/>
        <v>6.5 - 7.5</v>
      </c>
      <c r="F63" s="6" t="str">
        <f>+IF(SUMIFS(Dataset!$P:$P,Dataset!$E:$E,F$54,Dataset!$V:$V,"&gt;="&amp;$C63,Dataset!$V:$V,"&lt;"&amp;$D63)=0,"",SUMIFS(Dataset!$P:$P,Dataset!$E:$E,F$54,Dataset!$V:$V,"&gt;="&amp;$C63,Dataset!$V:$V,"&lt;"&amp;$D63))</f>
        <v/>
      </c>
      <c r="G63" s="6">
        <f>+IF(SUMIFS(Dataset!$P:$P,Dataset!$E:$E,G$54,Dataset!$V:$V,"&gt;="&amp;$C63,Dataset!$V:$V,"&lt;"&amp;$D63)=0,"",SUMIFS(Dataset!$P:$P,Dataset!$E:$E,G$54,Dataset!$V:$V,"&gt;="&amp;$C63,Dataset!$V:$V,"&lt;"&amp;$D63))</f>
        <v>4.0899999999999999E-2</v>
      </c>
      <c r="H63" s="6" t="str">
        <f>+IF(SUMIFS(Dataset!$P:$P,Dataset!$E:$E,H$54,Dataset!$V:$V,"&gt;="&amp;$C63,Dataset!$V:$V,"&lt;"&amp;$D63)=0,"",SUMIFS(Dataset!$P:$P,Dataset!$E:$E,H$54,Dataset!$V:$V,"&gt;="&amp;$C63,Dataset!$V:$V,"&lt;"&amp;$D63))</f>
        <v/>
      </c>
      <c r="I63" s="6">
        <f>+IF(SUMIFS(Dataset!$P:$P,Dataset!$E:$E,I$54,Dataset!$V:$V,"&gt;="&amp;$C63,Dataset!$V:$V,"&lt;"&amp;$D63)=0,"",SUMIFS(Dataset!$P:$P,Dataset!$E:$E,I$54,Dataset!$V:$V,"&gt;="&amp;$C63,Dataset!$V:$V,"&lt;"&amp;$D63))</f>
        <v>2.5999999999999999E-3</v>
      </c>
      <c r="J63" s="6" t="str">
        <f>+IF(SUMIFS(Dataset!$P:$P,Dataset!$E:$E,J$54,Dataset!$V:$V,"&gt;="&amp;$C63,Dataset!$V:$V,"&lt;"&amp;$D63)=0,"",SUMIFS(Dataset!$P:$P,Dataset!$E:$E,J$54,Dataset!$V:$V,"&gt;="&amp;$C63,Dataset!$V:$V,"&lt;"&amp;$D63))</f>
        <v/>
      </c>
      <c r="K63" s="6" t="str">
        <f>+IF(SUMIFS(Dataset!$P:$P,Dataset!$E:$E,K$54,Dataset!$V:$V,"&gt;="&amp;$C63,Dataset!$V:$V,"&lt;"&amp;$D63)=0,"",SUMIFS(Dataset!$P:$P,Dataset!$E:$E,K$54,Dataset!$V:$V,"&gt;="&amp;$C63,Dataset!$V:$V,"&lt;"&amp;$D63))</f>
        <v/>
      </c>
      <c r="L63" s="6" t="str">
        <f>+IF(SUMIFS(Dataset!$P:$P,Dataset!$E:$E,L$54,Dataset!$V:$V,"&gt;="&amp;$C63,Dataset!$V:$V,"&lt;"&amp;$D63)=0,"",SUMIFS(Dataset!$P:$P,Dataset!$E:$E,L$54,Dataset!$V:$V,"&gt;="&amp;$C63,Dataset!$V:$V,"&lt;"&amp;$D63))</f>
        <v/>
      </c>
      <c r="M63" s="72">
        <f t="shared" si="2"/>
        <v>4.3499999999999997E-2</v>
      </c>
      <c r="N63" s="65" t="str">
        <f>+IF(SUMIFS(Dataset!$R:$R,Dataset!$E:$E,N$54,Dataset!$V:$V,"&gt;="&amp;$C63,Dataset!$V:$V,"&lt;"&amp;$D63)=0,"",SUMIFS(Dataset!$R:$R,Dataset!$E:$E,N$54,Dataset!$V:$V,"&gt;="&amp;$C63,Dataset!$V:$V,"&lt;"&amp;$D63))</f>
        <v/>
      </c>
      <c r="O63" s="65" t="str">
        <f>+IF(SUMIFS(Dataset!$R:$R,Dataset!$E:$E,O$54,Dataset!$V:$V,"&gt;="&amp;$C63,Dataset!$V:$V,"&lt;"&amp;$D63)=0,"",SUMIFS(Dataset!$R:$R,Dataset!$E:$E,O$54,Dataset!$V:$V,"&gt;="&amp;$C63,Dataset!$V:$V,"&lt;"&amp;$D63))</f>
        <v/>
      </c>
      <c r="P63" s="65" t="str">
        <f>+IF(SUMIFS(Dataset!$R:$R,Dataset!$E:$E,P$54,Dataset!$V:$V,"&gt;="&amp;$C63,Dataset!$V:$V,"&lt;"&amp;$D63)=0,"",SUMIFS(Dataset!$R:$R,Dataset!$E:$E,P$54,Dataset!$V:$V,"&gt;="&amp;$C63,Dataset!$V:$V,"&lt;"&amp;$D63))</f>
        <v/>
      </c>
      <c r="Q63" s="65" t="str">
        <f>+IF(SUMIFS(Dataset!$R:$R,Dataset!$E:$E,Q$54,Dataset!$V:$V,"&gt;="&amp;$C63,Dataset!$V:$V,"&lt;"&amp;$D63)=0,"",SUMIFS(Dataset!$R:$R,Dataset!$E:$E,Q$54,Dataset!$V:$V,"&gt;="&amp;$C63,Dataset!$V:$V,"&lt;"&amp;$D63))</f>
        <v/>
      </c>
      <c r="R63" s="65" t="str">
        <f>+IF(SUMIFS(Dataset!$R:$R,Dataset!$E:$E,R$54,Dataset!$V:$V,"&gt;="&amp;$C63,Dataset!$V:$V,"&lt;"&amp;$D63)=0,"",SUMIFS(Dataset!$R:$R,Dataset!$E:$E,R$54,Dataset!$V:$V,"&gt;="&amp;$C63,Dataset!$V:$V,"&lt;"&amp;$D63))</f>
        <v/>
      </c>
      <c r="S63" s="65" t="str">
        <f>+IF(SUMIFS(Dataset!$R:$R,Dataset!$E:$E,S$54,Dataset!$V:$V,"&gt;="&amp;$C63,Dataset!$V:$V,"&lt;"&amp;$D63)=0,"",SUMIFS(Dataset!$R:$R,Dataset!$E:$E,S$54,Dataset!$V:$V,"&gt;="&amp;$C63,Dataset!$V:$V,"&lt;"&amp;$D63))</f>
        <v/>
      </c>
      <c r="T63" s="65" t="str">
        <f>+IF(SUMIFS(Dataset!$R:$R,Dataset!$E:$E,T$54,Dataset!$V:$V,"&gt;="&amp;$C63,Dataset!$V:$V,"&lt;"&amp;$D63)=0,"",SUMIFS(Dataset!$R:$R,Dataset!$E:$E,T$54,Dataset!$V:$V,"&gt;="&amp;$C63,Dataset!$V:$V,"&lt;"&amp;$D63))</f>
        <v/>
      </c>
      <c r="U63" s="72">
        <f t="shared" si="3"/>
        <v>0</v>
      </c>
    </row>
    <row r="64" spans="3:22" ht="15" x14ac:dyDescent="0.25">
      <c r="C64">
        <f t="shared" si="4"/>
        <v>7.5</v>
      </c>
      <c r="D64">
        <f t="shared" si="5"/>
        <v>8.5</v>
      </c>
      <c r="E64" s="35" t="str">
        <f t="shared" si="6"/>
        <v>7.5 - 8.5</v>
      </c>
      <c r="F64" s="6" t="str">
        <f>+IF(SUMIFS(Dataset!$P:$P,Dataset!$E:$E,F$54,Dataset!$V:$V,"&gt;="&amp;$C64,Dataset!$V:$V,"&lt;"&amp;$D64)=0,"",SUMIFS(Dataset!$P:$P,Dataset!$E:$E,F$54,Dataset!$V:$V,"&gt;="&amp;$C64,Dataset!$V:$V,"&lt;"&amp;$D64))</f>
        <v/>
      </c>
      <c r="G64" s="6">
        <f>+IF(SUMIFS(Dataset!$P:$P,Dataset!$E:$E,G$54,Dataset!$V:$V,"&gt;="&amp;$C64,Dataset!$V:$V,"&lt;"&amp;$D64)=0,"",SUMIFS(Dataset!$P:$P,Dataset!$E:$E,G$54,Dataset!$V:$V,"&gt;="&amp;$C64,Dataset!$V:$V,"&lt;"&amp;$D64))</f>
        <v>3.6299999999999999E-2</v>
      </c>
      <c r="H64" s="6" t="str">
        <f>+IF(SUMIFS(Dataset!$P:$P,Dataset!$E:$E,H$54,Dataset!$V:$V,"&gt;="&amp;$C64,Dataset!$V:$V,"&lt;"&amp;$D64)=0,"",SUMIFS(Dataset!$P:$P,Dataset!$E:$E,H$54,Dataset!$V:$V,"&gt;="&amp;$C64,Dataset!$V:$V,"&lt;"&amp;$D64))</f>
        <v/>
      </c>
      <c r="I64" s="6">
        <f>+IF(SUMIFS(Dataset!$P:$P,Dataset!$E:$E,I$54,Dataset!$V:$V,"&gt;="&amp;$C64,Dataset!$V:$V,"&lt;"&amp;$D64)=0,"",SUMIFS(Dataset!$P:$P,Dataset!$E:$E,I$54,Dataset!$V:$V,"&gt;="&amp;$C64,Dataset!$V:$V,"&lt;"&amp;$D64))</f>
        <v>7.2900000000000006E-2</v>
      </c>
      <c r="J64" s="6" t="str">
        <f>+IF(SUMIFS(Dataset!$P:$P,Dataset!$E:$E,J$54,Dataset!$V:$V,"&gt;="&amp;$C64,Dataset!$V:$V,"&lt;"&amp;$D64)=0,"",SUMIFS(Dataset!$P:$P,Dataset!$E:$E,J$54,Dataset!$V:$V,"&gt;="&amp;$C64,Dataset!$V:$V,"&lt;"&amp;$D64))</f>
        <v/>
      </c>
      <c r="K64" s="6">
        <f>+IF(SUMIFS(Dataset!$P:$P,Dataset!$E:$E,K$54,Dataset!$V:$V,"&gt;="&amp;$C64,Dataset!$V:$V,"&lt;"&amp;$D64)=0,"",SUMIFS(Dataset!$P:$P,Dataset!$E:$E,K$54,Dataset!$V:$V,"&gt;="&amp;$C64,Dataset!$V:$V,"&lt;"&amp;$D64))</f>
        <v>1.6199999999999999E-2</v>
      </c>
      <c r="L64" s="6" t="str">
        <f>+IF(SUMIFS(Dataset!$P:$P,Dataset!$E:$E,L$54,Dataset!$V:$V,"&gt;="&amp;$C64,Dataset!$V:$V,"&lt;"&amp;$D64)=0,"",SUMIFS(Dataset!$P:$P,Dataset!$E:$E,L$54,Dataset!$V:$V,"&gt;="&amp;$C64,Dataset!$V:$V,"&lt;"&amp;$D64))</f>
        <v/>
      </c>
      <c r="M64" s="72">
        <f t="shared" si="2"/>
        <v>0.12540000000000001</v>
      </c>
      <c r="N64" s="65" t="str">
        <f>+IF(SUMIFS(Dataset!$R:$R,Dataset!$E:$E,N$54,Dataset!$V:$V,"&gt;="&amp;$C64,Dataset!$V:$V,"&lt;"&amp;$D64)=0,"",SUMIFS(Dataset!$R:$R,Dataset!$E:$E,N$54,Dataset!$V:$V,"&gt;="&amp;$C64,Dataset!$V:$V,"&lt;"&amp;$D64))</f>
        <v/>
      </c>
      <c r="O64" s="65" t="str">
        <f>+IF(SUMIFS(Dataset!$R:$R,Dataset!$E:$E,O$54,Dataset!$V:$V,"&gt;="&amp;$C64,Dataset!$V:$V,"&lt;"&amp;$D64)=0,"",SUMIFS(Dataset!$R:$R,Dataset!$E:$E,O$54,Dataset!$V:$V,"&gt;="&amp;$C64,Dataset!$V:$V,"&lt;"&amp;$D64))</f>
        <v/>
      </c>
      <c r="P64" s="65" t="str">
        <f>+IF(SUMIFS(Dataset!$R:$R,Dataset!$E:$E,P$54,Dataset!$V:$V,"&gt;="&amp;$C64,Dataset!$V:$V,"&lt;"&amp;$D64)=0,"",SUMIFS(Dataset!$R:$R,Dataset!$E:$E,P$54,Dataset!$V:$V,"&gt;="&amp;$C64,Dataset!$V:$V,"&lt;"&amp;$D64))</f>
        <v/>
      </c>
      <c r="Q64" s="65" t="str">
        <f>+IF(SUMIFS(Dataset!$R:$R,Dataset!$E:$E,Q$54,Dataset!$V:$V,"&gt;="&amp;$C64,Dataset!$V:$V,"&lt;"&amp;$D64)=0,"",SUMIFS(Dataset!$R:$R,Dataset!$E:$E,Q$54,Dataset!$V:$V,"&gt;="&amp;$C64,Dataset!$V:$V,"&lt;"&amp;$D64))</f>
        <v/>
      </c>
      <c r="R64" s="65" t="str">
        <f>+IF(SUMIFS(Dataset!$R:$R,Dataset!$E:$E,R$54,Dataset!$V:$V,"&gt;="&amp;$C64,Dataset!$V:$V,"&lt;"&amp;$D64)=0,"",SUMIFS(Dataset!$R:$R,Dataset!$E:$E,R$54,Dataset!$V:$V,"&gt;="&amp;$C64,Dataset!$V:$V,"&lt;"&amp;$D64))</f>
        <v/>
      </c>
      <c r="S64" s="65">
        <f>+IF(SUMIFS(Dataset!$R:$R,Dataset!$E:$E,S$54,Dataset!$V:$V,"&gt;="&amp;$C64,Dataset!$V:$V,"&lt;"&amp;$D64)=0,"",SUMIFS(Dataset!$R:$R,Dataset!$E:$E,S$54,Dataset!$V:$V,"&gt;="&amp;$C64,Dataset!$V:$V,"&lt;"&amp;$D64))</f>
        <v>-0.03</v>
      </c>
      <c r="T64" s="65" t="str">
        <f>+IF(SUMIFS(Dataset!$R:$R,Dataset!$E:$E,T$54,Dataset!$V:$V,"&gt;="&amp;$C64,Dataset!$V:$V,"&lt;"&amp;$D64)=0,"",SUMIFS(Dataset!$R:$R,Dataset!$E:$E,T$54,Dataset!$V:$V,"&gt;="&amp;$C64,Dataset!$V:$V,"&lt;"&amp;$D64))</f>
        <v/>
      </c>
      <c r="U64" s="72">
        <f t="shared" si="3"/>
        <v>-0.03</v>
      </c>
    </row>
    <row r="65" spans="3:21" ht="15" x14ac:dyDescent="0.25">
      <c r="C65">
        <f t="shared" si="4"/>
        <v>8.5</v>
      </c>
      <c r="D65">
        <f t="shared" si="5"/>
        <v>9.5</v>
      </c>
      <c r="E65" s="35" t="str">
        <f t="shared" si="6"/>
        <v>8.5 - 9.5</v>
      </c>
      <c r="F65" s="6">
        <f>+IF(SUMIFS(Dataset!$P:$P,Dataset!$E:$E,F$54,Dataset!$V:$V,"&gt;="&amp;$C65,Dataset!$V:$V,"&lt;"&amp;$D65)=0,"",SUMIFS(Dataset!$P:$P,Dataset!$E:$E,F$54,Dataset!$V:$V,"&gt;="&amp;$C65,Dataset!$V:$V,"&lt;"&amp;$D65))</f>
        <v>1.84E-2</v>
      </c>
      <c r="G65" s="6">
        <f>+IF(SUMIFS(Dataset!$P:$P,Dataset!$E:$E,G$54,Dataset!$V:$V,"&gt;="&amp;$C65,Dataset!$V:$V,"&lt;"&amp;$D65)=0,"",SUMIFS(Dataset!$P:$P,Dataset!$E:$E,G$54,Dataset!$V:$V,"&gt;="&amp;$C65,Dataset!$V:$V,"&lt;"&amp;$D65))</f>
        <v>2.76E-2</v>
      </c>
      <c r="H65" s="6" t="str">
        <f>+IF(SUMIFS(Dataset!$P:$P,Dataset!$E:$E,H$54,Dataset!$V:$V,"&gt;="&amp;$C65,Dataset!$V:$V,"&lt;"&amp;$D65)=0,"",SUMIFS(Dataset!$P:$P,Dataset!$E:$E,H$54,Dataset!$V:$V,"&gt;="&amp;$C65,Dataset!$V:$V,"&lt;"&amp;$D65))</f>
        <v/>
      </c>
      <c r="I65" s="6" t="str">
        <f>+IF(SUMIFS(Dataset!$P:$P,Dataset!$E:$E,I$54,Dataset!$V:$V,"&gt;="&amp;$C65,Dataset!$V:$V,"&lt;"&amp;$D65)=0,"",SUMIFS(Dataset!$P:$P,Dataset!$E:$E,I$54,Dataset!$V:$V,"&gt;="&amp;$C65,Dataset!$V:$V,"&lt;"&amp;$D65))</f>
        <v/>
      </c>
      <c r="J65" s="6" t="str">
        <f>+IF(SUMIFS(Dataset!$P:$P,Dataset!$E:$E,J$54,Dataset!$V:$V,"&gt;="&amp;$C65,Dataset!$V:$V,"&lt;"&amp;$D65)=0,"",SUMIFS(Dataset!$P:$P,Dataset!$E:$E,J$54,Dataset!$V:$V,"&gt;="&amp;$C65,Dataset!$V:$V,"&lt;"&amp;$D65))</f>
        <v/>
      </c>
      <c r="K65" s="6" t="str">
        <f>+IF(SUMIFS(Dataset!$P:$P,Dataset!$E:$E,K$54,Dataset!$V:$V,"&gt;="&amp;$C65,Dataset!$V:$V,"&lt;"&amp;$D65)=0,"",SUMIFS(Dataset!$P:$P,Dataset!$E:$E,K$54,Dataset!$V:$V,"&gt;="&amp;$C65,Dataset!$V:$V,"&lt;"&amp;$D65))</f>
        <v/>
      </c>
      <c r="L65" s="6" t="str">
        <f>+IF(SUMIFS(Dataset!$P:$P,Dataset!$E:$E,L$54,Dataset!$V:$V,"&gt;="&amp;$C65,Dataset!$V:$V,"&lt;"&amp;$D65)=0,"",SUMIFS(Dataset!$P:$P,Dataset!$E:$E,L$54,Dataset!$V:$V,"&gt;="&amp;$C65,Dataset!$V:$V,"&lt;"&amp;$D65))</f>
        <v/>
      </c>
      <c r="M65" s="72">
        <f t="shared" si="2"/>
        <v>4.5999999999999999E-2</v>
      </c>
      <c r="N65" s="65">
        <f>+IF(SUMIFS(Dataset!$R:$R,Dataset!$E:$E,N$54,Dataset!$V:$V,"&gt;="&amp;$C65,Dataset!$V:$V,"&lt;"&amp;$D65)=0,"",SUMIFS(Dataset!$R:$R,Dataset!$E:$E,N$54,Dataset!$V:$V,"&gt;="&amp;$C65,Dataset!$V:$V,"&lt;"&amp;$D65))</f>
        <v>-0.01</v>
      </c>
      <c r="O65" s="65" t="str">
        <f>+IF(SUMIFS(Dataset!$R:$R,Dataset!$E:$E,O$54,Dataset!$V:$V,"&gt;="&amp;$C65,Dataset!$V:$V,"&lt;"&amp;$D65)=0,"",SUMIFS(Dataset!$R:$R,Dataset!$E:$E,O$54,Dataset!$V:$V,"&gt;="&amp;$C65,Dataset!$V:$V,"&lt;"&amp;$D65))</f>
        <v/>
      </c>
      <c r="P65" s="65" t="str">
        <f>+IF(SUMIFS(Dataset!$R:$R,Dataset!$E:$E,P$54,Dataset!$V:$V,"&gt;="&amp;$C65,Dataset!$V:$V,"&lt;"&amp;$D65)=0,"",SUMIFS(Dataset!$R:$R,Dataset!$E:$E,P$54,Dataset!$V:$V,"&gt;="&amp;$C65,Dataset!$V:$V,"&lt;"&amp;$D65))</f>
        <v/>
      </c>
      <c r="Q65" s="65" t="str">
        <f>+IF(SUMIFS(Dataset!$R:$R,Dataset!$E:$E,Q$54,Dataset!$V:$V,"&gt;="&amp;$C65,Dataset!$V:$V,"&lt;"&amp;$D65)=0,"",SUMIFS(Dataset!$R:$R,Dataset!$E:$E,Q$54,Dataset!$V:$V,"&gt;="&amp;$C65,Dataset!$V:$V,"&lt;"&amp;$D65))</f>
        <v/>
      </c>
      <c r="R65" s="65" t="str">
        <f>+IF(SUMIFS(Dataset!$R:$R,Dataset!$E:$E,R$54,Dataset!$V:$V,"&gt;="&amp;$C65,Dataset!$V:$V,"&lt;"&amp;$D65)=0,"",SUMIFS(Dataset!$R:$R,Dataset!$E:$E,R$54,Dataset!$V:$V,"&gt;="&amp;$C65,Dataset!$V:$V,"&lt;"&amp;$D65))</f>
        <v/>
      </c>
      <c r="S65" s="65" t="str">
        <f>+IF(SUMIFS(Dataset!$R:$R,Dataset!$E:$E,S$54,Dataset!$V:$V,"&gt;="&amp;$C65,Dataset!$V:$V,"&lt;"&amp;$D65)=0,"",SUMIFS(Dataset!$R:$R,Dataset!$E:$E,S$54,Dataset!$V:$V,"&gt;="&amp;$C65,Dataset!$V:$V,"&lt;"&amp;$D65))</f>
        <v/>
      </c>
      <c r="T65" s="65" t="str">
        <f>+IF(SUMIFS(Dataset!$R:$R,Dataset!$E:$E,T$54,Dataset!$V:$V,"&gt;="&amp;$C65,Dataset!$V:$V,"&lt;"&amp;$D65)=0,"",SUMIFS(Dataset!$R:$R,Dataset!$E:$E,T$54,Dataset!$V:$V,"&gt;="&amp;$C65,Dataset!$V:$V,"&lt;"&amp;$D65))</f>
        <v/>
      </c>
      <c r="U65" s="72">
        <f t="shared" si="3"/>
        <v>-0.01</v>
      </c>
    </row>
    <row r="66" spans="3:21" ht="15" x14ac:dyDescent="0.25">
      <c r="C66">
        <f t="shared" si="4"/>
        <v>9.5</v>
      </c>
      <c r="D66">
        <f t="shared" si="5"/>
        <v>10.5</v>
      </c>
      <c r="E66" s="35" t="str">
        <f t="shared" si="6"/>
        <v>9.5 - 10.5</v>
      </c>
      <c r="F66" s="6">
        <f>+IF(SUMIFS(Dataset!$P:$P,Dataset!$E:$E,F$54,Dataset!$V:$V,"&gt;="&amp;$C66,Dataset!$V:$V,"&lt;"&amp;$D66)=0,"",SUMIFS(Dataset!$P:$P,Dataset!$E:$E,F$54,Dataset!$V:$V,"&gt;="&amp;$C66,Dataset!$V:$V,"&lt;"&amp;$D66))</f>
        <v>1.26E-2</v>
      </c>
      <c r="G66" s="6">
        <f>+IF(SUMIFS(Dataset!$P:$P,Dataset!$E:$E,G$54,Dataset!$V:$V,"&gt;="&amp;$C66,Dataset!$V:$V,"&lt;"&amp;$D66)=0,"",SUMIFS(Dataset!$P:$P,Dataset!$E:$E,G$54,Dataset!$V:$V,"&gt;="&amp;$C66,Dataset!$V:$V,"&lt;"&amp;$D66))</f>
        <v>6.3899999999999998E-2</v>
      </c>
      <c r="H66" s="6" t="str">
        <f>+IF(SUMIFS(Dataset!$P:$P,Dataset!$E:$E,H$54,Dataset!$V:$V,"&gt;="&amp;$C66,Dataset!$V:$V,"&lt;"&amp;$D66)=0,"",SUMIFS(Dataset!$P:$P,Dataset!$E:$E,H$54,Dataset!$V:$V,"&gt;="&amp;$C66,Dataset!$V:$V,"&lt;"&amp;$D66))</f>
        <v/>
      </c>
      <c r="I66" s="6">
        <f>+IF(SUMIFS(Dataset!$P:$P,Dataset!$E:$E,I$54,Dataset!$V:$V,"&gt;="&amp;$C66,Dataset!$V:$V,"&lt;"&amp;$D66)=0,"",SUMIFS(Dataset!$P:$P,Dataset!$E:$E,I$54,Dataset!$V:$V,"&gt;="&amp;$C66,Dataset!$V:$V,"&lt;"&amp;$D66))</f>
        <v>1.55E-2</v>
      </c>
      <c r="J66" s="6">
        <f>+IF(SUMIFS(Dataset!$P:$P,Dataset!$E:$E,J$54,Dataset!$V:$V,"&gt;="&amp;$C66,Dataset!$V:$V,"&lt;"&amp;$D66)=0,"",SUMIFS(Dataset!$P:$P,Dataset!$E:$E,J$54,Dataset!$V:$V,"&gt;="&amp;$C66,Dataset!$V:$V,"&lt;"&amp;$D66))</f>
        <v>2.58E-2</v>
      </c>
      <c r="K66" s="6" t="str">
        <f>+IF(SUMIFS(Dataset!$P:$P,Dataset!$E:$E,K$54,Dataset!$V:$V,"&gt;="&amp;$C66,Dataset!$V:$V,"&lt;"&amp;$D66)=0,"",SUMIFS(Dataset!$P:$P,Dataset!$E:$E,K$54,Dataset!$V:$V,"&gt;="&amp;$C66,Dataset!$V:$V,"&lt;"&amp;$D66))</f>
        <v/>
      </c>
      <c r="L66" s="6" t="str">
        <f>+IF(SUMIFS(Dataset!$P:$P,Dataset!$E:$E,L$54,Dataset!$V:$V,"&gt;="&amp;$C66,Dataset!$V:$V,"&lt;"&amp;$D66)=0,"",SUMIFS(Dataset!$P:$P,Dataset!$E:$E,L$54,Dataset!$V:$V,"&gt;="&amp;$C66,Dataset!$V:$V,"&lt;"&amp;$D66))</f>
        <v/>
      </c>
      <c r="M66" s="72">
        <f t="shared" si="2"/>
        <v>0.1178</v>
      </c>
      <c r="N66" s="65" t="str">
        <f>+IF(SUMIFS(Dataset!$R:$R,Dataset!$E:$E,N$54,Dataset!$V:$V,"&gt;="&amp;$C66,Dataset!$V:$V,"&lt;"&amp;$D66)=0,"",SUMIFS(Dataset!$R:$R,Dataset!$E:$E,N$54,Dataset!$V:$V,"&gt;="&amp;$C66,Dataset!$V:$V,"&lt;"&amp;$D66))</f>
        <v/>
      </c>
      <c r="O66" s="65">
        <f>+IF(SUMIFS(Dataset!$R:$R,Dataset!$E:$E,O$54,Dataset!$V:$V,"&gt;="&amp;$C66,Dataset!$V:$V,"&lt;"&amp;$D66)=0,"",SUMIFS(Dataset!$R:$R,Dataset!$E:$E,O$54,Dataset!$V:$V,"&gt;="&amp;$C66,Dataset!$V:$V,"&lt;"&amp;$D66))</f>
        <v>-5.0000000000000001E-3</v>
      </c>
      <c r="P66" s="65" t="str">
        <f>+IF(SUMIFS(Dataset!$R:$R,Dataset!$E:$E,P$54,Dataset!$V:$V,"&gt;="&amp;$C66,Dataset!$V:$V,"&lt;"&amp;$D66)=0,"",SUMIFS(Dataset!$R:$R,Dataset!$E:$E,P$54,Dataset!$V:$V,"&gt;="&amp;$C66,Dataset!$V:$V,"&lt;"&amp;$D66))</f>
        <v/>
      </c>
      <c r="Q66" s="65" t="str">
        <f>+IF(SUMIFS(Dataset!$R:$R,Dataset!$E:$E,Q$54,Dataset!$V:$V,"&gt;="&amp;$C66,Dataset!$V:$V,"&lt;"&amp;$D66)=0,"",SUMIFS(Dataset!$R:$R,Dataset!$E:$E,Q$54,Dataset!$V:$V,"&gt;="&amp;$C66,Dataset!$V:$V,"&lt;"&amp;$D66))</f>
        <v/>
      </c>
      <c r="R66" s="65">
        <f>+IF(SUMIFS(Dataset!$R:$R,Dataset!$E:$E,R$54,Dataset!$V:$V,"&gt;="&amp;$C66,Dataset!$V:$V,"&lt;"&amp;$D66)=0,"",SUMIFS(Dataset!$R:$R,Dataset!$E:$E,R$54,Dataset!$V:$V,"&gt;="&amp;$C66,Dataset!$V:$V,"&lt;"&amp;$D66))</f>
        <v>-9.9999999999999985E-3</v>
      </c>
      <c r="S66" s="65" t="str">
        <f>+IF(SUMIFS(Dataset!$R:$R,Dataset!$E:$E,S$54,Dataset!$V:$V,"&gt;="&amp;$C66,Dataset!$V:$V,"&lt;"&amp;$D66)=0,"",SUMIFS(Dataset!$R:$R,Dataset!$E:$E,S$54,Dataset!$V:$V,"&gt;="&amp;$C66,Dataset!$V:$V,"&lt;"&amp;$D66))</f>
        <v/>
      </c>
      <c r="T66" s="65" t="str">
        <f>+IF(SUMIFS(Dataset!$R:$R,Dataset!$E:$E,T$54,Dataset!$V:$V,"&gt;="&amp;$C66,Dataset!$V:$V,"&lt;"&amp;$D66)=0,"",SUMIFS(Dataset!$R:$R,Dataset!$E:$E,T$54,Dataset!$V:$V,"&gt;="&amp;$C66,Dataset!$V:$V,"&lt;"&amp;$D66))</f>
        <v/>
      </c>
      <c r="U66" s="72">
        <f t="shared" si="3"/>
        <v>-1.4999999999999999E-2</v>
      </c>
    </row>
    <row r="67" spans="3:21" ht="15" x14ac:dyDescent="0.25">
      <c r="C67">
        <f t="shared" si="4"/>
        <v>10.5</v>
      </c>
      <c r="D67">
        <f t="shared" si="5"/>
        <v>11.5</v>
      </c>
      <c r="E67" s="35" t="str">
        <f t="shared" si="6"/>
        <v>10.5 - 11.5</v>
      </c>
      <c r="F67" s="6" t="str">
        <f>+IF(SUMIFS(Dataset!$P:$P,Dataset!$E:$E,F$54,Dataset!$V:$V,"&gt;="&amp;$C67,Dataset!$V:$V,"&lt;"&amp;$D67)=0,"",SUMIFS(Dataset!$P:$P,Dataset!$E:$E,F$54,Dataset!$V:$V,"&gt;="&amp;$C67,Dataset!$V:$V,"&lt;"&amp;$D67))</f>
        <v/>
      </c>
      <c r="G67" s="6" t="str">
        <f>+IF(SUMIFS(Dataset!$P:$P,Dataset!$E:$E,G$54,Dataset!$V:$V,"&gt;="&amp;$C67,Dataset!$V:$V,"&lt;"&amp;$D67)=0,"",SUMIFS(Dataset!$P:$P,Dataset!$E:$E,G$54,Dataset!$V:$V,"&gt;="&amp;$C67,Dataset!$V:$V,"&lt;"&amp;$D67))</f>
        <v/>
      </c>
      <c r="H67" s="6" t="str">
        <f>+IF(SUMIFS(Dataset!$P:$P,Dataset!$E:$E,H$54,Dataset!$V:$V,"&gt;="&amp;$C67,Dataset!$V:$V,"&lt;"&amp;$D67)=0,"",SUMIFS(Dataset!$P:$P,Dataset!$E:$E,H$54,Dataset!$V:$V,"&gt;="&amp;$C67,Dataset!$V:$V,"&lt;"&amp;$D67))</f>
        <v/>
      </c>
      <c r="I67" s="6" t="str">
        <f>+IF(SUMIFS(Dataset!$P:$P,Dataset!$E:$E,I$54,Dataset!$V:$V,"&gt;="&amp;$C67,Dataset!$V:$V,"&lt;"&amp;$D67)=0,"",SUMIFS(Dataset!$P:$P,Dataset!$E:$E,I$54,Dataset!$V:$V,"&gt;="&amp;$C67,Dataset!$V:$V,"&lt;"&amp;$D67))</f>
        <v/>
      </c>
      <c r="J67" s="6" t="str">
        <f>+IF(SUMIFS(Dataset!$P:$P,Dataset!$E:$E,J$54,Dataset!$V:$V,"&gt;="&amp;$C67,Dataset!$V:$V,"&lt;"&amp;$D67)=0,"",SUMIFS(Dataset!$P:$P,Dataset!$E:$E,J$54,Dataset!$V:$V,"&gt;="&amp;$C67,Dataset!$V:$V,"&lt;"&amp;$D67))</f>
        <v/>
      </c>
      <c r="K67" s="6" t="str">
        <f>+IF(SUMIFS(Dataset!$P:$P,Dataset!$E:$E,K$54,Dataset!$V:$V,"&gt;="&amp;$C67,Dataset!$V:$V,"&lt;"&amp;$D67)=0,"",SUMIFS(Dataset!$P:$P,Dataset!$E:$E,K$54,Dataset!$V:$V,"&gt;="&amp;$C67,Dataset!$V:$V,"&lt;"&amp;$D67))</f>
        <v/>
      </c>
      <c r="L67" s="6" t="str">
        <f>+IF(SUMIFS(Dataset!$P:$P,Dataset!$E:$E,L$54,Dataset!$V:$V,"&gt;="&amp;$C67,Dataset!$V:$V,"&lt;"&amp;$D67)=0,"",SUMIFS(Dataset!$P:$P,Dataset!$E:$E,L$54,Dataset!$V:$V,"&gt;="&amp;$C67,Dataset!$V:$V,"&lt;"&amp;$D67))</f>
        <v/>
      </c>
      <c r="M67" s="72">
        <f t="shared" si="2"/>
        <v>0</v>
      </c>
      <c r="N67" s="65" t="str">
        <f>+IF(SUMIFS(Dataset!$R:$R,Dataset!$E:$E,N$54,Dataset!$V:$V,"&gt;="&amp;$C67,Dataset!$V:$V,"&lt;"&amp;$D67)=0,"",SUMIFS(Dataset!$R:$R,Dataset!$E:$E,N$54,Dataset!$V:$V,"&gt;="&amp;$C67,Dataset!$V:$V,"&lt;"&amp;$D67))</f>
        <v/>
      </c>
      <c r="O67" s="65" t="str">
        <f>+IF(SUMIFS(Dataset!$R:$R,Dataset!$E:$E,O$54,Dataset!$V:$V,"&gt;="&amp;$C67,Dataset!$V:$V,"&lt;"&amp;$D67)=0,"",SUMIFS(Dataset!$R:$R,Dataset!$E:$E,O$54,Dataset!$V:$V,"&gt;="&amp;$C67,Dataset!$V:$V,"&lt;"&amp;$D67))</f>
        <v/>
      </c>
      <c r="P67" s="65" t="str">
        <f>+IF(SUMIFS(Dataset!$R:$R,Dataset!$E:$E,P$54,Dataset!$V:$V,"&gt;="&amp;$C67,Dataset!$V:$V,"&lt;"&amp;$D67)=0,"",SUMIFS(Dataset!$R:$R,Dataset!$E:$E,P$54,Dataset!$V:$V,"&gt;="&amp;$C67,Dataset!$V:$V,"&lt;"&amp;$D67))</f>
        <v/>
      </c>
      <c r="Q67" s="65" t="str">
        <f>+IF(SUMIFS(Dataset!$R:$R,Dataset!$E:$E,Q$54,Dataset!$V:$V,"&gt;="&amp;$C67,Dataset!$V:$V,"&lt;"&amp;$D67)=0,"",SUMIFS(Dataset!$R:$R,Dataset!$E:$E,Q$54,Dataset!$V:$V,"&gt;="&amp;$C67,Dataset!$V:$V,"&lt;"&amp;$D67))</f>
        <v/>
      </c>
      <c r="R67" s="65" t="str">
        <f>+IF(SUMIFS(Dataset!$R:$R,Dataset!$E:$E,R$54,Dataset!$V:$V,"&gt;="&amp;$C67,Dataset!$V:$V,"&lt;"&amp;$D67)=0,"",SUMIFS(Dataset!$R:$R,Dataset!$E:$E,R$54,Dataset!$V:$V,"&gt;="&amp;$C67,Dataset!$V:$V,"&lt;"&amp;$D67))</f>
        <v/>
      </c>
      <c r="S67" s="65" t="str">
        <f>+IF(SUMIFS(Dataset!$R:$R,Dataset!$E:$E,S$54,Dataset!$V:$V,"&gt;="&amp;$C67,Dataset!$V:$V,"&lt;"&amp;$D67)=0,"",SUMIFS(Dataset!$R:$R,Dataset!$E:$E,S$54,Dataset!$V:$V,"&gt;="&amp;$C67,Dataset!$V:$V,"&lt;"&amp;$D67))</f>
        <v/>
      </c>
      <c r="T67" s="65" t="str">
        <f>+IF(SUMIFS(Dataset!$R:$R,Dataset!$E:$E,T$54,Dataset!$V:$V,"&gt;="&amp;$C67,Dataset!$V:$V,"&lt;"&amp;$D67)=0,"",SUMIFS(Dataset!$R:$R,Dataset!$E:$E,T$54,Dataset!$V:$V,"&gt;="&amp;$C67,Dataset!$V:$V,"&lt;"&amp;$D67))</f>
        <v/>
      </c>
      <c r="U67" s="72">
        <f t="shared" si="3"/>
        <v>0</v>
      </c>
    </row>
    <row r="68" spans="3:21" ht="15" x14ac:dyDescent="0.25">
      <c r="C68">
        <f t="shared" si="4"/>
        <v>11.5</v>
      </c>
      <c r="D68">
        <f t="shared" si="5"/>
        <v>12.5</v>
      </c>
      <c r="E68" s="35" t="str">
        <f t="shared" si="6"/>
        <v>11.5 - 12.5</v>
      </c>
      <c r="F68" s="6" t="str">
        <f>+IF(SUMIFS(Dataset!$P:$P,Dataset!$E:$E,F$54,Dataset!$V:$V,"&gt;="&amp;$C68,Dataset!$V:$V,"&lt;"&amp;$D68)=0,"",SUMIFS(Dataset!$P:$P,Dataset!$E:$E,F$54,Dataset!$V:$V,"&gt;="&amp;$C68,Dataset!$V:$V,"&lt;"&amp;$D68))</f>
        <v/>
      </c>
      <c r="G68" s="6" t="str">
        <f>+IF(SUMIFS(Dataset!$P:$P,Dataset!$E:$E,G$54,Dataset!$V:$V,"&gt;="&amp;$C68,Dataset!$V:$V,"&lt;"&amp;$D68)=0,"",SUMIFS(Dataset!$P:$P,Dataset!$E:$E,G$54,Dataset!$V:$V,"&gt;="&amp;$C68,Dataset!$V:$V,"&lt;"&amp;$D68))</f>
        <v/>
      </c>
      <c r="H68" s="6" t="str">
        <f>+IF(SUMIFS(Dataset!$P:$P,Dataset!$E:$E,H$54,Dataset!$V:$V,"&gt;="&amp;$C68,Dataset!$V:$V,"&lt;"&amp;$D68)=0,"",SUMIFS(Dataset!$P:$P,Dataset!$E:$E,H$54,Dataset!$V:$V,"&gt;="&amp;$C68,Dataset!$V:$V,"&lt;"&amp;$D68))</f>
        <v/>
      </c>
      <c r="I68" s="6" t="str">
        <f>+IF(SUMIFS(Dataset!$P:$P,Dataset!$E:$E,I$54,Dataset!$V:$V,"&gt;="&amp;$C68,Dataset!$V:$V,"&lt;"&amp;$D68)=0,"",SUMIFS(Dataset!$P:$P,Dataset!$E:$E,I$54,Dataset!$V:$V,"&gt;="&amp;$C68,Dataset!$V:$V,"&lt;"&amp;$D68))</f>
        <v/>
      </c>
      <c r="J68" s="6" t="str">
        <f>+IF(SUMIFS(Dataset!$P:$P,Dataset!$E:$E,J$54,Dataset!$V:$V,"&gt;="&amp;$C68,Dataset!$V:$V,"&lt;"&amp;$D68)=0,"",SUMIFS(Dataset!$P:$P,Dataset!$E:$E,J$54,Dataset!$V:$V,"&gt;="&amp;$C68,Dataset!$V:$V,"&lt;"&amp;$D68))</f>
        <v/>
      </c>
      <c r="K68" s="6" t="str">
        <f>+IF(SUMIFS(Dataset!$P:$P,Dataset!$E:$E,K$54,Dataset!$V:$V,"&gt;="&amp;$C68,Dataset!$V:$V,"&lt;"&amp;$D68)=0,"",SUMIFS(Dataset!$P:$P,Dataset!$E:$E,K$54,Dataset!$V:$V,"&gt;="&amp;$C68,Dataset!$V:$V,"&lt;"&amp;$D68))</f>
        <v/>
      </c>
      <c r="L68" s="6" t="str">
        <f>+IF(SUMIFS(Dataset!$P:$P,Dataset!$E:$E,L$54,Dataset!$V:$V,"&gt;="&amp;$C68,Dataset!$V:$V,"&lt;"&amp;$D68)=0,"",SUMIFS(Dataset!$P:$P,Dataset!$E:$E,L$54,Dataset!$V:$V,"&gt;="&amp;$C68,Dataset!$V:$V,"&lt;"&amp;$D68))</f>
        <v/>
      </c>
      <c r="M68" s="72">
        <f t="shared" si="2"/>
        <v>0</v>
      </c>
      <c r="N68" s="65" t="str">
        <f>+IF(SUMIFS(Dataset!$R:$R,Dataset!$E:$E,N$54,Dataset!$V:$V,"&gt;="&amp;$C68,Dataset!$V:$V,"&lt;"&amp;$D68)=0,"",SUMIFS(Dataset!$R:$R,Dataset!$E:$E,N$54,Dataset!$V:$V,"&gt;="&amp;$C68,Dataset!$V:$V,"&lt;"&amp;$D68))</f>
        <v/>
      </c>
      <c r="O68" s="65" t="str">
        <f>+IF(SUMIFS(Dataset!$R:$R,Dataset!$E:$E,O$54,Dataset!$V:$V,"&gt;="&amp;$C68,Dataset!$V:$V,"&lt;"&amp;$D68)=0,"",SUMIFS(Dataset!$R:$R,Dataset!$E:$E,O$54,Dataset!$V:$V,"&gt;="&amp;$C68,Dataset!$V:$V,"&lt;"&amp;$D68))</f>
        <v/>
      </c>
      <c r="P68" s="65" t="str">
        <f>+IF(SUMIFS(Dataset!$R:$R,Dataset!$E:$E,P$54,Dataset!$V:$V,"&gt;="&amp;$C68,Dataset!$V:$V,"&lt;"&amp;$D68)=0,"",SUMIFS(Dataset!$R:$R,Dataset!$E:$E,P$54,Dataset!$V:$V,"&gt;="&amp;$C68,Dataset!$V:$V,"&lt;"&amp;$D68))</f>
        <v/>
      </c>
      <c r="Q68" s="65" t="str">
        <f>+IF(SUMIFS(Dataset!$R:$R,Dataset!$E:$E,Q$54,Dataset!$V:$V,"&gt;="&amp;$C68,Dataset!$V:$V,"&lt;"&amp;$D68)=0,"",SUMIFS(Dataset!$R:$R,Dataset!$E:$E,Q$54,Dataset!$V:$V,"&gt;="&amp;$C68,Dataset!$V:$V,"&lt;"&amp;$D68))</f>
        <v/>
      </c>
      <c r="R68" s="65" t="str">
        <f>+IF(SUMIFS(Dataset!$R:$R,Dataset!$E:$E,R$54,Dataset!$V:$V,"&gt;="&amp;$C68,Dataset!$V:$V,"&lt;"&amp;$D68)=0,"",SUMIFS(Dataset!$R:$R,Dataset!$E:$E,R$54,Dataset!$V:$V,"&gt;="&amp;$C68,Dataset!$V:$V,"&lt;"&amp;$D68))</f>
        <v/>
      </c>
      <c r="S68" s="65" t="str">
        <f>+IF(SUMIFS(Dataset!$R:$R,Dataset!$E:$E,S$54,Dataset!$V:$V,"&gt;="&amp;$C68,Dataset!$V:$V,"&lt;"&amp;$D68)=0,"",SUMIFS(Dataset!$R:$R,Dataset!$E:$E,S$54,Dataset!$V:$V,"&gt;="&amp;$C68,Dataset!$V:$V,"&lt;"&amp;$D68))</f>
        <v/>
      </c>
      <c r="T68" s="65" t="str">
        <f>+IF(SUMIFS(Dataset!$R:$R,Dataset!$E:$E,T$54,Dataset!$V:$V,"&gt;="&amp;$C68,Dataset!$V:$V,"&lt;"&amp;$D68)=0,"",SUMIFS(Dataset!$R:$R,Dataset!$E:$E,T$54,Dataset!$V:$V,"&gt;="&amp;$C68,Dataset!$V:$V,"&lt;"&amp;$D68))</f>
        <v/>
      </c>
      <c r="U68" s="72">
        <f t="shared" si="3"/>
        <v>0</v>
      </c>
    </row>
    <row r="69" spans="3:21" ht="15" x14ac:dyDescent="0.25">
      <c r="C69">
        <f t="shared" si="4"/>
        <v>12.5</v>
      </c>
      <c r="D69">
        <f t="shared" si="5"/>
        <v>13.5</v>
      </c>
      <c r="E69" s="35" t="str">
        <f t="shared" si="6"/>
        <v>12.5 - 13.5</v>
      </c>
      <c r="F69" s="6" t="str">
        <f>+IF(SUMIFS(Dataset!$P:$P,Dataset!$E:$E,F$54,Dataset!$V:$V,"&gt;="&amp;$C69,Dataset!$V:$V,"&lt;"&amp;$D69)=0,"",SUMIFS(Dataset!$P:$P,Dataset!$E:$E,F$54,Dataset!$V:$V,"&gt;="&amp;$C69,Dataset!$V:$V,"&lt;"&amp;$D69))</f>
        <v/>
      </c>
      <c r="G69" s="6" t="str">
        <f>+IF(SUMIFS(Dataset!$P:$P,Dataset!$E:$E,G$54,Dataset!$V:$V,"&gt;="&amp;$C69,Dataset!$V:$V,"&lt;"&amp;$D69)=0,"",SUMIFS(Dataset!$P:$P,Dataset!$E:$E,G$54,Dataset!$V:$V,"&gt;="&amp;$C69,Dataset!$V:$V,"&lt;"&amp;$D69))</f>
        <v/>
      </c>
      <c r="H69" s="6" t="str">
        <f>+IF(SUMIFS(Dataset!$P:$P,Dataset!$E:$E,H$54,Dataset!$V:$V,"&gt;="&amp;$C69,Dataset!$V:$V,"&lt;"&amp;$D69)=0,"",SUMIFS(Dataset!$P:$P,Dataset!$E:$E,H$54,Dataset!$V:$V,"&gt;="&amp;$C69,Dataset!$V:$V,"&lt;"&amp;$D69))</f>
        <v/>
      </c>
      <c r="I69" s="6" t="str">
        <f>+IF(SUMIFS(Dataset!$P:$P,Dataset!$E:$E,I$54,Dataset!$V:$V,"&gt;="&amp;$C69,Dataset!$V:$V,"&lt;"&amp;$D69)=0,"",SUMIFS(Dataset!$P:$P,Dataset!$E:$E,I$54,Dataset!$V:$V,"&gt;="&amp;$C69,Dataset!$V:$V,"&lt;"&amp;$D69))</f>
        <v/>
      </c>
      <c r="J69" s="6" t="str">
        <f>+IF(SUMIFS(Dataset!$P:$P,Dataset!$E:$E,J$54,Dataset!$V:$V,"&gt;="&amp;$C69,Dataset!$V:$V,"&lt;"&amp;$D69)=0,"",SUMIFS(Dataset!$P:$P,Dataset!$E:$E,J$54,Dataset!$V:$V,"&gt;="&amp;$C69,Dataset!$V:$V,"&lt;"&amp;$D69))</f>
        <v/>
      </c>
      <c r="K69" s="6" t="str">
        <f>+IF(SUMIFS(Dataset!$P:$P,Dataset!$E:$E,K$54,Dataset!$V:$V,"&gt;="&amp;$C69,Dataset!$V:$V,"&lt;"&amp;$D69)=0,"",SUMIFS(Dataset!$P:$P,Dataset!$E:$E,K$54,Dataset!$V:$V,"&gt;="&amp;$C69,Dataset!$V:$V,"&lt;"&amp;$D69))</f>
        <v/>
      </c>
      <c r="L69" s="6" t="str">
        <f>+IF(SUMIFS(Dataset!$P:$P,Dataset!$E:$E,L$54,Dataset!$V:$V,"&gt;="&amp;$C69,Dataset!$V:$V,"&lt;"&amp;$D69)=0,"",SUMIFS(Dataset!$P:$P,Dataset!$E:$E,L$54,Dataset!$V:$V,"&gt;="&amp;$C69,Dataset!$V:$V,"&lt;"&amp;$D69))</f>
        <v/>
      </c>
      <c r="M69" s="72">
        <f t="shared" si="2"/>
        <v>0</v>
      </c>
      <c r="N69" s="65" t="str">
        <f>+IF(SUMIFS(Dataset!$R:$R,Dataset!$E:$E,N$54,Dataset!$V:$V,"&gt;="&amp;$C69,Dataset!$V:$V,"&lt;"&amp;$D69)=0,"",SUMIFS(Dataset!$R:$R,Dataset!$E:$E,N$54,Dataset!$V:$V,"&gt;="&amp;$C69,Dataset!$V:$V,"&lt;"&amp;$D69))</f>
        <v/>
      </c>
      <c r="O69" s="65" t="str">
        <f>+IF(SUMIFS(Dataset!$R:$R,Dataset!$E:$E,O$54,Dataset!$V:$V,"&gt;="&amp;$C69,Dataset!$V:$V,"&lt;"&amp;$D69)=0,"",SUMIFS(Dataset!$R:$R,Dataset!$E:$E,O$54,Dataset!$V:$V,"&gt;="&amp;$C69,Dataset!$V:$V,"&lt;"&amp;$D69))</f>
        <v/>
      </c>
      <c r="P69" s="65" t="str">
        <f>+IF(SUMIFS(Dataset!$R:$R,Dataset!$E:$E,P$54,Dataset!$V:$V,"&gt;="&amp;$C69,Dataset!$V:$V,"&lt;"&amp;$D69)=0,"",SUMIFS(Dataset!$R:$R,Dataset!$E:$E,P$54,Dataset!$V:$V,"&gt;="&amp;$C69,Dataset!$V:$V,"&lt;"&amp;$D69))</f>
        <v/>
      </c>
      <c r="Q69" s="65" t="str">
        <f>+IF(SUMIFS(Dataset!$R:$R,Dataset!$E:$E,Q$54,Dataset!$V:$V,"&gt;="&amp;$C69,Dataset!$V:$V,"&lt;"&amp;$D69)=0,"",SUMIFS(Dataset!$R:$R,Dataset!$E:$E,Q$54,Dataset!$V:$V,"&gt;="&amp;$C69,Dataset!$V:$V,"&lt;"&amp;$D69))</f>
        <v/>
      </c>
      <c r="R69" s="65" t="str">
        <f>+IF(SUMIFS(Dataset!$R:$R,Dataset!$E:$E,R$54,Dataset!$V:$V,"&gt;="&amp;$C69,Dataset!$V:$V,"&lt;"&amp;$D69)=0,"",SUMIFS(Dataset!$R:$R,Dataset!$E:$E,R$54,Dataset!$V:$V,"&gt;="&amp;$C69,Dataset!$V:$V,"&lt;"&amp;$D69))</f>
        <v/>
      </c>
      <c r="S69" s="65" t="str">
        <f>+IF(SUMIFS(Dataset!$R:$R,Dataset!$E:$E,S$54,Dataset!$V:$V,"&gt;="&amp;$C69,Dataset!$V:$V,"&lt;"&amp;$D69)=0,"",SUMIFS(Dataset!$R:$R,Dataset!$E:$E,S$54,Dataset!$V:$V,"&gt;="&amp;$C69,Dataset!$V:$V,"&lt;"&amp;$D69))</f>
        <v/>
      </c>
      <c r="T69" s="65" t="str">
        <f>+IF(SUMIFS(Dataset!$R:$R,Dataset!$E:$E,T$54,Dataset!$V:$V,"&gt;="&amp;$C69,Dataset!$V:$V,"&lt;"&amp;$D69)=0,"",SUMIFS(Dataset!$R:$R,Dataset!$E:$E,T$54,Dataset!$V:$V,"&gt;="&amp;$C69,Dataset!$V:$V,"&lt;"&amp;$D69))</f>
        <v/>
      </c>
      <c r="U69" s="72">
        <f t="shared" si="3"/>
        <v>0</v>
      </c>
    </row>
    <row r="70" spans="3:21" ht="15" x14ac:dyDescent="0.25">
      <c r="C70">
        <f t="shared" si="4"/>
        <v>13.5</v>
      </c>
      <c r="D70">
        <f t="shared" si="5"/>
        <v>14.5</v>
      </c>
      <c r="E70" s="35" t="str">
        <f t="shared" si="6"/>
        <v>13.5 - 14.5</v>
      </c>
      <c r="F70" s="6" t="str">
        <f>+IF(SUMIFS(Dataset!$P:$P,Dataset!$E:$E,F$54,Dataset!$V:$V,"&gt;="&amp;$C70,Dataset!$V:$V,"&lt;"&amp;$D70)=0,"",SUMIFS(Dataset!$P:$P,Dataset!$E:$E,F$54,Dataset!$V:$V,"&gt;="&amp;$C70,Dataset!$V:$V,"&lt;"&amp;$D70))</f>
        <v/>
      </c>
      <c r="G70" s="6" t="str">
        <f>+IF(SUMIFS(Dataset!$P:$P,Dataset!$E:$E,G$54,Dataset!$V:$V,"&gt;="&amp;$C70,Dataset!$V:$V,"&lt;"&amp;$D70)=0,"",SUMIFS(Dataset!$P:$P,Dataset!$E:$E,G$54,Dataset!$V:$V,"&gt;="&amp;$C70,Dataset!$V:$V,"&lt;"&amp;$D70))</f>
        <v/>
      </c>
      <c r="H70" s="6" t="str">
        <f>+IF(SUMIFS(Dataset!$P:$P,Dataset!$E:$E,H$54,Dataset!$V:$V,"&gt;="&amp;$C70,Dataset!$V:$V,"&lt;"&amp;$D70)=0,"",SUMIFS(Dataset!$P:$P,Dataset!$E:$E,H$54,Dataset!$V:$V,"&gt;="&amp;$C70,Dataset!$V:$V,"&lt;"&amp;$D70))</f>
        <v/>
      </c>
      <c r="I70" s="6" t="str">
        <f>+IF(SUMIFS(Dataset!$P:$P,Dataset!$E:$E,I$54,Dataset!$V:$V,"&gt;="&amp;$C70,Dataset!$V:$V,"&lt;"&amp;$D70)=0,"",SUMIFS(Dataset!$P:$P,Dataset!$E:$E,I$54,Dataset!$V:$V,"&gt;="&amp;$C70,Dataset!$V:$V,"&lt;"&amp;$D70))</f>
        <v/>
      </c>
      <c r="J70" s="6" t="str">
        <f>+IF(SUMIFS(Dataset!$P:$P,Dataset!$E:$E,J$54,Dataset!$V:$V,"&gt;="&amp;$C70,Dataset!$V:$V,"&lt;"&amp;$D70)=0,"",SUMIFS(Dataset!$P:$P,Dataset!$E:$E,J$54,Dataset!$V:$V,"&gt;="&amp;$C70,Dataset!$V:$V,"&lt;"&amp;$D70))</f>
        <v/>
      </c>
      <c r="K70" s="6" t="str">
        <f>+IF(SUMIFS(Dataset!$P:$P,Dataset!$E:$E,K$54,Dataset!$V:$V,"&gt;="&amp;$C70,Dataset!$V:$V,"&lt;"&amp;$D70)=0,"",SUMIFS(Dataset!$P:$P,Dataset!$E:$E,K$54,Dataset!$V:$V,"&gt;="&amp;$C70,Dataset!$V:$V,"&lt;"&amp;$D70))</f>
        <v/>
      </c>
      <c r="L70" s="6" t="str">
        <f>+IF(SUMIFS(Dataset!$P:$P,Dataset!$E:$E,L$54,Dataset!$V:$V,"&gt;="&amp;$C70,Dataset!$V:$V,"&lt;"&amp;$D70)=0,"",SUMIFS(Dataset!$P:$P,Dataset!$E:$E,L$54,Dataset!$V:$V,"&gt;="&amp;$C70,Dataset!$V:$V,"&lt;"&amp;$D70))</f>
        <v/>
      </c>
      <c r="M70" s="72">
        <f t="shared" si="2"/>
        <v>0</v>
      </c>
      <c r="N70" s="65" t="str">
        <f>+IF(SUMIFS(Dataset!$R:$R,Dataset!$E:$E,N$54,Dataset!$V:$V,"&gt;="&amp;$C70,Dataset!$V:$V,"&lt;"&amp;$D70)=0,"",SUMIFS(Dataset!$R:$R,Dataset!$E:$E,N$54,Dataset!$V:$V,"&gt;="&amp;$C70,Dataset!$V:$V,"&lt;"&amp;$D70))</f>
        <v/>
      </c>
      <c r="O70" s="65" t="str">
        <f>+IF(SUMIFS(Dataset!$R:$R,Dataset!$E:$E,O$54,Dataset!$V:$V,"&gt;="&amp;$C70,Dataset!$V:$V,"&lt;"&amp;$D70)=0,"",SUMIFS(Dataset!$R:$R,Dataset!$E:$E,O$54,Dataset!$V:$V,"&gt;="&amp;$C70,Dataset!$V:$V,"&lt;"&amp;$D70))</f>
        <v/>
      </c>
      <c r="P70" s="65" t="str">
        <f>+IF(SUMIFS(Dataset!$R:$R,Dataset!$E:$E,P$54,Dataset!$V:$V,"&gt;="&amp;$C70,Dataset!$V:$V,"&lt;"&amp;$D70)=0,"",SUMIFS(Dataset!$R:$R,Dataset!$E:$E,P$54,Dataset!$V:$V,"&gt;="&amp;$C70,Dataset!$V:$V,"&lt;"&amp;$D70))</f>
        <v/>
      </c>
      <c r="Q70" s="65" t="str">
        <f>+IF(SUMIFS(Dataset!$R:$R,Dataset!$E:$E,Q$54,Dataset!$V:$V,"&gt;="&amp;$C70,Dataset!$V:$V,"&lt;"&amp;$D70)=0,"",SUMIFS(Dataset!$R:$R,Dataset!$E:$E,Q$54,Dataset!$V:$V,"&gt;="&amp;$C70,Dataset!$V:$V,"&lt;"&amp;$D70))</f>
        <v/>
      </c>
      <c r="R70" s="65" t="str">
        <f>+IF(SUMIFS(Dataset!$R:$R,Dataset!$E:$E,R$54,Dataset!$V:$V,"&gt;="&amp;$C70,Dataset!$V:$V,"&lt;"&amp;$D70)=0,"",SUMIFS(Dataset!$R:$R,Dataset!$E:$E,R$54,Dataset!$V:$V,"&gt;="&amp;$C70,Dataset!$V:$V,"&lt;"&amp;$D70))</f>
        <v/>
      </c>
      <c r="S70" s="65" t="str">
        <f>+IF(SUMIFS(Dataset!$R:$R,Dataset!$E:$E,S$54,Dataset!$V:$V,"&gt;="&amp;$C70,Dataset!$V:$V,"&lt;"&amp;$D70)=0,"",SUMIFS(Dataset!$R:$R,Dataset!$E:$E,S$54,Dataset!$V:$V,"&gt;="&amp;$C70,Dataset!$V:$V,"&lt;"&amp;$D70))</f>
        <v/>
      </c>
      <c r="T70" s="65" t="str">
        <f>+IF(SUMIFS(Dataset!$R:$R,Dataset!$E:$E,T$54,Dataset!$V:$V,"&gt;="&amp;$C70,Dataset!$V:$V,"&lt;"&amp;$D70)=0,"",SUMIFS(Dataset!$R:$R,Dataset!$E:$E,T$54,Dataset!$V:$V,"&gt;="&amp;$C70,Dataset!$V:$V,"&lt;"&amp;$D70))</f>
        <v/>
      </c>
      <c r="U70" s="72">
        <f t="shared" si="3"/>
        <v>0</v>
      </c>
    </row>
    <row r="71" spans="3:21" ht="15" x14ac:dyDescent="0.25">
      <c r="C71">
        <f t="shared" si="4"/>
        <v>14.5</v>
      </c>
      <c r="D71" t="s">
        <v>183</v>
      </c>
      <c r="E71" s="35" t="str">
        <f>"+"&amp;C71</f>
        <v>+14.5</v>
      </c>
      <c r="F71" s="6" t="str">
        <f>+IF(SUMIFS(Dataset!$P:$P,Dataset!$E:$E,F$54,Dataset!$V:$V,"&gt;="&amp;$C71,Dataset!$V:$V,"&lt;"&amp;$D71)=0,"",SUMIFS(Dataset!$P:$P,Dataset!$E:$E,F$54,Dataset!$V:$V,"&gt;="&amp;$C71,Dataset!$V:$V,"&lt;"&amp;$D71))</f>
        <v/>
      </c>
      <c r="G71" s="6" t="str">
        <f>+IF(SUMIFS(Dataset!$P:$P,Dataset!$E:$E,G$54,Dataset!$V:$V,"&gt;="&amp;$C71,Dataset!$V:$V,"&lt;"&amp;$D71)=0,"",SUMIFS(Dataset!$P:$P,Dataset!$E:$E,G$54,Dataset!$V:$V,"&gt;="&amp;$C71,Dataset!$V:$V,"&lt;"&amp;$D71))</f>
        <v/>
      </c>
      <c r="H71" s="6" t="str">
        <f>+IF(SUMIFS(Dataset!$P:$P,Dataset!$E:$E,H$54,Dataset!$V:$V,"&gt;="&amp;$C71,Dataset!$V:$V,"&lt;"&amp;$D71)=0,"",SUMIFS(Dataset!$P:$P,Dataset!$E:$E,H$54,Dataset!$V:$V,"&gt;="&amp;$C71,Dataset!$V:$V,"&lt;"&amp;$D71))</f>
        <v/>
      </c>
      <c r="I71" s="6" t="str">
        <f>+IF(SUMIFS(Dataset!$P:$P,Dataset!$E:$E,I$54,Dataset!$V:$V,"&gt;="&amp;$C71,Dataset!$V:$V,"&lt;"&amp;$D71)=0,"",SUMIFS(Dataset!$P:$P,Dataset!$E:$E,I$54,Dataset!$V:$V,"&gt;="&amp;$C71,Dataset!$V:$V,"&lt;"&amp;$D71))</f>
        <v/>
      </c>
      <c r="J71" s="6" t="str">
        <f>+IF(SUMIFS(Dataset!$P:$P,Dataset!$E:$E,J$54,Dataset!$V:$V,"&gt;="&amp;$C71,Dataset!$V:$V,"&lt;"&amp;$D71)=0,"",SUMIFS(Dataset!$P:$P,Dataset!$E:$E,J$54,Dataset!$V:$V,"&gt;="&amp;$C71,Dataset!$V:$V,"&lt;"&amp;$D71))</f>
        <v/>
      </c>
      <c r="K71" s="6" t="str">
        <f>+IF(SUMIFS(Dataset!$P:$P,Dataset!$E:$E,K$54,Dataset!$V:$V,"&gt;="&amp;$C71,Dataset!$V:$V,"&lt;"&amp;$D71)=0,"",SUMIFS(Dataset!$P:$P,Dataset!$E:$E,K$54,Dataset!$V:$V,"&gt;="&amp;$C71,Dataset!$V:$V,"&lt;"&amp;$D71))</f>
        <v/>
      </c>
      <c r="L71" s="6" t="str">
        <f>+IF(SUMIFS(Dataset!$P:$P,Dataset!$E:$E,L$54,Dataset!$V:$V,"&gt;="&amp;$C71,Dataset!$V:$V,"&lt;"&amp;$D71)=0,"",SUMIFS(Dataset!$P:$P,Dataset!$E:$E,L$54,Dataset!$V:$V,"&gt;="&amp;$C71,Dataset!$V:$V,"&lt;"&amp;$D71))</f>
        <v/>
      </c>
      <c r="M71" s="72">
        <f t="shared" si="2"/>
        <v>0</v>
      </c>
      <c r="N71" s="65" t="str">
        <f>+IF(SUMIFS(Dataset!$R:$R,Dataset!$E:$E,N$54,Dataset!$V:$V,"&gt;="&amp;$C71,Dataset!$V:$V,"&lt;"&amp;$D71)=0,"",SUMIFS(Dataset!$R:$R,Dataset!$E:$E,N$54,Dataset!$V:$V,"&gt;="&amp;$C71,Dataset!$V:$V,"&lt;"&amp;$D71))</f>
        <v/>
      </c>
      <c r="O71" s="65" t="str">
        <f>+IF(SUMIFS(Dataset!$R:$R,Dataset!$E:$E,O$54,Dataset!$V:$V,"&gt;="&amp;$C71,Dataset!$V:$V,"&lt;"&amp;$D71)=0,"",SUMIFS(Dataset!$R:$R,Dataset!$E:$E,O$54,Dataset!$V:$V,"&gt;="&amp;$C71,Dataset!$V:$V,"&lt;"&amp;$D71))</f>
        <v/>
      </c>
      <c r="P71" s="65" t="str">
        <f>+IF(SUMIFS(Dataset!$R:$R,Dataset!$E:$E,P$54,Dataset!$V:$V,"&gt;="&amp;$C71,Dataset!$V:$V,"&lt;"&amp;$D71)=0,"",SUMIFS(Dataset!$R:$R,Dataset!$E:$E,P$54,Dataset!$V:$V,"&gt;="&amp;$C71,Dataset!$V:$V,"&lt;"&amp;$D71))</f>
        <v/>
      </c>
      <c r="Q71" s="65" t="str">
        <f>+IF(SUMIFS(Dataset!$R:$R,Dataset!$E:$E,Q$54,Dataset!$V:$V,"&gt;="&amp;$C71,Dataset!$V:$V,"&lt;"&amp;$D71)=0,"",SUMIFS(Dataset!$R:$R,Dataset!$E:$E,Q$54,Dataset!$V:$V,"&gt;="&amp;$C71,Dataset!$V:$V,"&lt;"&amp;$D71))</f>
        <v/>
      </c>
      <c r="R71" s="65" t="str">
        <f>+IF(SUMIFS(Dataset!$R:$R,Dataset!$E:$E,R$54,Dataset!$V:$V,"&gt;="&amp;$C71,Dataset!$V:$V,"&lt;"&amp;$D71)=0,"",SUMIFS(Dataset!$R:$R,Dataset!$E:$E,R$54,Dataset!$V:$V,"&gt;="&amp;$C71,Dataset!$V:$V,"&lt;"&amp;$D71))</f>
        <v/>
      </c>
      <c r="S71" s="65" t="str">
        <f>+IF(SUMIFS(Dataset!$R:$R,Dataset!$E:$E,S$54,Dataset!$V:$V,"&gt;="&amp;$C71,Dataset!$V:$V,"&lt;"&amp;$D71)=0,"",SUMIFS(Dataset!$R:$R,Dataset!$E:$E,S$54,Dataset!$V:$V,"&gt;="&amp;$C71,Dataset!$V:$V,"&lt;"&amp;$D71))</f>
        <v/>
      </c>
      <c r="T71" s="65" t="str">
        <f>+IF(SUMIFS(Dataset!$R:$R,Dataset!$E:$E,T$54,Dataset!$V:$V,"&gt;="&amp;$C71,Dataset!$V:$V,"&lt;"&amp;$D71)=0,"",SUMIFS(Dataset!$R:$R,Dataset!$E:$E,T$54,Dataset!$V:$V,"&gt;="&amp;$C71,Dataset!$V:$V,"&lt;"&amp;$D71))</f>
        <v/>
      </c>
      <c r="U71" s="72">
        <f t="shared" si="3"/>
        <v>0</v>
      </c>
    </row>
    <row r="72" spans="3:21" ht="16.5" x14ac:dyDescent="0.2">
      <c r="E72" s="32" t="s">
        <v>147</v>
      </c>
      <c r="F72" s="33">
        <f>+SUM(F56:F71)</f>
        <v>3.1E-2</v>
      </c>
      <c r="G72" s="33">
        <f t="shared" ref="G72:L72" si="7">+SUM(G56:G71)</f>
        <v>0.2989</v>
      </c>
      <c r="H72" s="33">
        <f t="shared" si="7"/>
        <v>1.5699999999999999E-2</v>
      </c>
      <c r="I72" s="33">
        <f t="shared" si="7"/>
        <v>0.23499999999999999</v>
      </c>
      <c r="J72" s="33">
        <f t="shared" si="7"/>
        <v>0.17469999999999997</v>
      </c>
      <c r="K72" s="33">
        <f t="shared" si="7"/>
        <v>7.8100000000000003E-2</v>
      </c>
      <c r="L72" s="33">
        <f t="shared" si="7"/>
        <v>0.16579999999999995</v>
      </c>
      <c r="M72" s="33">
        <f t="shared" si="2"/>
        <v>0.99919999999999987</v>
      </c>
      <c r="N72" s="33">
        <f>+SUM(N56:N71)</f>
        <v>-0.01</v>
      </c>
      <c r="O72" s="33">
        <f t="shared" ref="O72:T72" si="8">+SUM(O56:O71)</f>
        <v>-5.0000000000000001E-3</v>
      </c>
      <c r="P72" s="33">
        <f t="shared" si="8"/>
        <v>9.9999999999999985E-3</v>
      </c>
      <c r="Q72" s="33">
        <f t="shared" si="8"/>
        <v>4.9999999999999992E-3</v>
      </c>
      <c r="R72" s="33">
        <f t="shared" si="8"/>
        <v>-1.9999999999999997E-2</v>
      </c>
      <c r="S72" s="33">
        <f t="shared" si="8"/>
        <v>-0.03</v>
      </c>
      <c r="T72" s="33">
        <f t="shared" si="8"/>
        <v>9.9999999999999534E-3</v>
      </c>
      <c r="U72" s="33">
        <f t="shared" si="3"/>
        <v>-4.0000000000000042E-2</v>
      </c>
    </row>
    <row r="79" spans="3:21" ht="16.5" x14ac:dyDescent="0.3">
      <c r="D79">
        <v>0.5</v>
      </c>
      <c r="G79" s="37" t="s">
        <v>184</v>
      </c>
      <c r="H79" s="36" t="s">
        <v>121</v>
      </c>
      <c r="I79" s="36" t="s">
        <v>122</v>
      </c>
      <c r="J79" s="36" t="s">
        <v>162</v>
      </c>
      <c r="K79" s="36" t="s">
        <v>163</v>
      </c>
      <c r="L79" s="36" t="s">
        <v>120</v>
      </c>
      <c r="M79" s="36" t="s">
        <v>164</v>
      </c>
      <c r="N79" s="36" t="s">
        <v>165</v>
      </c>
      <c r="O79" s="36" t="s">
        <v>166</v>
      </c>
      <c r="P79" s="36" t="s">
        <v>119</v>
      </c>
      <c r="Q79" s="36" t="s">
        <v>167</v>
      </c>
      <c r="R79" s="36" t="s">
        <v>168</v>
      </c>
      <c r="S79" s="36" t="s">
        <v>169</v>
      </c>
      <c r="T79" s="36" t="s">
        <v>170</v>
      </c>
    </row>
    <row r="80" spans="3:21" ht="15" x14ac:dyDescent="0.25">
      <c r="C80">
        <f>+D79</f>
        <v>0.5</v>
      </c>
      <c r="D80">
        <f>+C80+1</f>
        <v>1.5</v>
      </c>
      <c r="G80" s="35">
        <f>D79</f>
        <v>0.5</v>
      </c>
      <c r="H80" s="15">
        <f>+SUMIFS(Dataset!$P:$P,Dataset!$H:$H,H$79,Dataset!$V:$V,"&gt;="&amp;$C79,Dataset!$V:$V,"&lt;"&amp;$D79)</f>
        <v>0</v>
      </c>
      <c r="I80" s="15">
        <f>+SUMIFS(Dataset!$P:$P,Dataset!$H:$H,I$79,Dataset!$V:$V,"&gt;="&amp;$C79,Dataset!$V:$V,"&lt;"&amp;$D79)</f>
        <v>0</v>
      </c>
      <c r="J80" s="15">
        <f>+SUMIFS(Dataset!$P:$P,Dataset!$H:$H,J$79,Dataset!$V:$V,"&gt;="&amp;$C79,Dataset!$V:$V,"&lt;"&amp;$D79)</f>
        <v>0</v>
      </c>
      <c r="K80" s="15">
        <f>+SUMIFS(Dataset!$P:$P,Dataset!$H:$H,K$79,Dataset!$V:$V,"&gt;="&amp;$C79,Dataset!$V:$V,"&lt;"&amp;$D79)</f>
        <v>0</v>
      </c>
      <c r="L80" s="15">
        <f>+SUMIFS(Dataset!$P:$P,Dataset!$H:$H,L$79,Dataset!$V:$V,"&gt;="&amp;$C79,Dataset!$V:$V,"&lt;"&amp;$D79)</f>
        <v>0</v>
      </c>
      <c r="M80" s="15">
        <f>+SUMIFS(Dataset!$P:$P,Dataset!$H:$H,M$79,Dataset!$V:$V,"&gt;="&amp;$C79,Dataset!$V:$V,"&lt;"&amp;$D79)</f>
        <v>0</v>
      </c>
      <c r="N80" s="15">
        <f>+SUMIFS(Dataset!$P:$P,Dataset!$H:$H,N$79,Dataset!$V:$V,"&gt;="&amp;$C79,Dataset!$V:$V,"&lt;"&amp;$D79)</f>
        <v>0</v>
      </c>
      <c r="O80" s="15">
        <f>+SUMIFS(Dataset!$P:$P,Dataset!$H:$H,O$79,Dataset!$V:$V,"&gt;="&amp;$C79,Dataset!$V:$V,"&lt;"&amp;$D79)</f>
        <v>0</v>
      </c>
      <c r="P80" s="15">
        <f>+SUMIFS(Dataset!$P:$P,Dataset!$H:$H,P$79,Dataset!$V:$V,"&gt;="&amp;$C79,Dataset!$V:$V,"&lt;"&amp;$D79)</f>
        <v>0</v>
      </c>
      <c r="Q80" s="15">
        <f>+SUMIFS(Dataset!$P:$P,Dataset!$H:$H,Q$79,Dataset!$V:$V,"&gt;="&amp;$C79,Dataset!$V:$V,"&lt;"&amp;$D79)</f>
        <v>0</v>
      </c>
      <c r="R80" s="15">
        <f>+SUMIFS(Dataset!$P:$P,Dataset!$H:$H,R$79,Dataset!$V:$V,"&gt;="&amp;$C79,Dataset!$V:$V,"&lt;"&amp;$D79)</f>
        <v>0</v>
      </c>
      <c r="S80" s="15">
        <f>+SUMIFS(Dataset!$P:$P,Dataset!$H:$H,S$79,Dataset!$V:$V,"&gt;="&amp;$C79,Dataset!$V:$V,"&lt;"&amp;$D79)</f>
        <v>0</v>
      </c>
      <c r="T80" s="15">
        <f>+SUMIFS(Dataset!$P:$P,Dataset!$H:$H,T$79,Dataset!$V:$V,"&gt;="&amp;$C79,Dataset!$V:$V,"&lt;"&amp;$D79)</f>
        <v>0</v>
      </c>
    </row>
    <row r="81" spans="3:20" ht="15" x14ac:dyDescent="0.25">
      <c r="C81">
        <f t="shared" ref="C81:C94" si="9">+D80</f>
        <v>1.5</v>
      </c>
      <c r="D81">
        <f t="shared" ref="D81:D93" si="10">+C81+1</f>
        <v>2.5</v>
      </c>
      <c r="G81" s="35" t="str">
        <f t="shared" ref="G81:G94" si="11">C80&amp;" - "&amp;D80</f>
        <v>0.5 - 1.5</v>
      </c>
      <c r="H81" s="15">
        <f>+SUMIFS(Dataset!$P:$P,Dataset!$H:$H,H$79,Dataset!$V:$V,"&gt;="&amp;$C80,Dataset!$V:$V,"&lt;"&amp;$D80)</f>
        <v>0</v>
      </c>
      <c r="I81" s="15">
        <f>+SUMIFS(Dataset!$P:$P,Dataset!$H:$H,I$79,Dataset!$V:$V,"&gt;="&amp;$C80,Dataset!$V:$V,"&lt;"&amp;$D80)</f>
        <v>1.9E-2</v>
      </c>
      <c r="J81" s="15">
        <f>+SUMIFS(Dataset!$P:$P,Dataset!$H:$H,J$79,Dataset!$V:$V,"&gt;="&amp;$C80,Dataset!$V:$V,"&lt;"&amp;$D80)</f>
        <v>0</v>
      </c>
      <c r="K81" s="15">
        <f>+SUMIFS(Dataset!$P:$P,Dataset!$H:$H,K$79,Dataset!$V:$V,"&gt;="&amp;$C80,Dataset!$V:$V,"&lt;"&amp;$D80)</f>
        <v>0</v>
      </c>
      <c r="L81" s="15">
        <f>+SUMIFS(Dataset!$P:$P,Dataset!$H:$H,L$79,Dataset!$V:$V,"&gt;="&amp;$C80,Dataset!$V:$V,"&lt;"&amp;$D80)</f>
        <v>0</v>
      </c>
      <c r="M81" s="15">
        <f>+SUMIFS(Dataset!$P:$P,Dataset!$H:$H,M$79,Dataset!$V:$V,"&gt;="&amp;$C80,Dataset!$V:$V,"&lt;"&amp;$D80)</f>
        <v>0</v>
      </c>
      <c r="N81" s="15">
        <f>+SUMIFS(Dataset!$P:$P,Dataset!$H:$H,N$79,Dataset!$V:$V,"&gt;="&amp;$C80,Dataset!$V:$V,"&lt;"&amp;$D80)</f>
        <v>0</v>
      </c>
      <c r="O81" s="15">
        <f>+SUMIFS(Dataset!$P:$P,Dataset!$H:$H,O$79,Dataset!$V:$V,"&gt;="&amp;$C80,Dataset!$V:$V,"&lt;"&amp;$D80)</f>
        <v>0</v>
      </c>
      <c r="P81" s="15">
        <f>+SUMIFS(Dataset!$P:$P,Dataset!$H:$H,P$79,Dataset!$V:$V,"&gt;="&amp;$C80,Dataset!$V:$V,"&lt;"&amp;$D80)</f>
        <v>0</v>
      </c>
      <c r="Q81" s="15">
        <f>+SUMIFS(Dataset!$P:$P,Dataset!$H:$H,Q$79,Dataset!$V:$V,"&gt;="&amp;$C80,Dataset!$V:$V,"&lt;"&amp;$D80)</f>
        <v>0</v>
      </c>
      <c r="R81" s="15">
        <f>+SUMIFS(Dataset!$P:$P,Dataset!$H:$H,R$79,Dataset!$V:$V,"&gt;="&amp;$C80,Dataset!$V:$V,"&lt;"&amp;$D80)</f>
        <v>0</v>
      </c>
      <c r="S81" s="15">
        <f>+SUMIFS(Dataset!$P:$P,Dataset!$H:$H,S$79,Dataset!$V:$V,"&gt;="&amp;$C80,Dataset!$V:$V,"&lt;"&amp;$D80)</f>
        <v>0</v>
      </c>
      <c r="T81" s="15">
        <f>+SUMIFS(Dataset!$P:$P,Dataset!$H:$H,T$79,Dataset!$V:$V,"&gt;="&amp;$C80,Dataset!$V:$V,"&lt;"&amp;$D80)</f>
        <v>0</v>
      </c>
    </row>
    <row r="82" spans="3:20" ht="15" x14ac:dyDescent="0.25">
      <c r="C82">
        <f t="shared" si="9"/>
        <v>2.5</v>
      </c>
      <c r="D82">
        <f t="shared" si="10"/>
        <v>3.5</v>
      </c>
      <c r="G82" s="35" t="str">
        <f t="shared" si="11"/>
        <v>1.5 - 2.5</v>
      </c>
      <c r="H82" s="15">
        <f>+SUMIFS(Dataset!$P:$P,Dataset!$H:$H,H$79,Dataset!$V:$V,"&gt;="&amp;$C81,Dataset!$V:$V,"&lt;"&amp;$D81)</f>
        <v>1.5699999999999999E-2</v>
      </c>
      <c r="I82" s="15">
        <f>+SUMIFS(Dataset!$P:$P,Dataset!$H:$H,I$79,Dataset!$V:$V,"&gt;="&amp;$C81,Dataset!$V:$V,"&lt;"&amp;$D81)</f>
        <v>5.5099999999999996E-2</v>
      </c>
      <c r="J82" s="15">
        <f>+SUMIFS(Dataset!$P:$P,Dataset!$H:$H,J$79,Dataset!$V:$V,"&gt;="&amp;$C81,Dataset!$V:$V,"&lt;"&amp;$D81)</f>
        <v>0</v>
      </c>
      <c r="K82" s="15">
        <f>+SUMIFS(Dataset!$P:$P,Dataset!$H:$H,K$79,Dataset!$V:$V,"&gt;="&amp;$C81,Dataset!$V:$V,"&lt;"&amp;$D81)</f>
        <v>0</v>
      </c>
      <c r="L82" s="15">
        <f>+SUMIFS(Dataset!$P:$P,Dataset!$H:$H,L$79,Dataset!$V:$V,"&gt;="&amp;$C81,Dataset!$V:$V,"&lt;"&amp;$D81)</f>
        <v>0</v>
      </c>
      <c r="M82" s="15">
        <f>+SUMIFS(Dataset!$P:$P,Dataset!$H:$H,M$79,Dataset!$V:$V,"&gt;="&amp;$C81,Dataset!$V:$V,"&lt;"&amp;$D81)</f>
        <v>0</v>
      </c>
      <c r="N82" s="15">
        <f>+SUMIFS(Dataset!$P:$P,Dataset!$H:$H,N$79,Dataset!$V:$V,"&gt;="&amp;$C81,Dataset!$V:$V,"&lt;"&amp;$D81)</f>
        <v>0</v>
      </c>
      <c r="O82" s="15">
        <f>+SUMIFS(Dataset!$P:$P,Dataset!$H:$H,O$79,Dataset!$V:$V,"&gt;="&amp;$C81,Dataset!$V:$V,"&lt;"&amp;$D81)</f>
        <v>0</v>
      </c>
      <c r="P82" s="15">
        <f>+SUMIFS(Dataset!$P:$P,Dataset!$H:$H,P$79,Dataset!$V:$V,"&gt;="&amp;$C81,Dataset!$V:$V,"&lt;"&amp;$D81)</f>
        <v>0</v>
      </c>
      <c r="Q82" s="15">
        <f>+SUMIFS(Dataset!$P:$P,Dataset!$H:$H,Q$79,Dataset!$V:$V,"&gt;="&amp;$C81,Dataset!$V:$V,"&lt;"&amp;$D81)</f>
        <v>0</v>
      </c>
      <c r="R82" s="15">
        <f>+SUMIFS(Dataset!$P:$P,Dataset!$H:$H,R$79,Dataset!$V:$V,"&gt;="&amp;$C81,Dataset!$V:$V,"&lt;"&amp;$D81)</f>
        <v>0</v>
      </c>
      <c r="S82" s="15">
        <f>+SUMIFS(Dataset!$P:$P,Dataset!$H:$H,S$79,Dataset!$V:$V,"&gt;="&amp;$C81,Dataset!$V:$V,"&lt;"&amp;$D81)</f>
        <v>0</v>
      </c>
      <c r="T82" s="15">
        <f>+SUMIFS(Dataset!$P:$P,Dataset!$H:$H,T$79,Dataset!$V:$V,"&gt;="&amp;$C81,Dataset!$V:$V,"&lt;"&amp;$D81)</f>
        <v>0</v>
      </c>
    </row>
    <row r="83" spans="3:20" ht="15" x14ac:dyDescent="0.25">
      <c r="C83">
        <f t="shared" si="9"/>
        <v>3.5</v>
      </c>
      <c r="D83">
        <f t="shared" si="10"/>
        <v>4.5</v>
      </c>
      <c r="G83" s="35" t="str">
        <f t="shared" si="11"/>
        <v>2.5 - 3.5</v>
      </c>
      <c r="H83" s="15">
        <f>+SUMIFS(Dataset!$P:$P,Dataset!$H:$H,H$79,Dataset!$V:$V,"&gt;="&amp;$C82,Dataset!$V:$V,"&lt;"&amp;$D82)</f>
        <v>0</v>
      </c>
      <c r="I83" s="15">
        <f>+SUMIFS(Dataset!$P:$P,Dataset!$H:$H,I$79,Dataset!$V:$V,"&gt;="&amp;$C82,Dataset!$V:$V,"&lt;"&amp;$D82)</f>
        <v>0</v>
      </c>
      <c r="J83" s="15">
        <f>+SUMIFS(Dataset!$P:$P,Dataset!$H:$H,J$79,Dataset!$V:$V,"&gt;="&amp;$C82,Dataset!$V:$V,"&lt;"&amp;$D82)</f>
        <v>0</v>
      </c>
      <c r="K83" s="15">
        <f>+SUMIFS(Dataset!$P:$P,Dataset!$H:$H,K$79,Dataset!$V:$V,"&gt;="&amp;$C82,Dataset!$V:$V,"&lt;"&amp;$D82)</f>
        <v>0</v>
      </c>
      <c r="L83" s="15">
        <f>+SUMIFS(Dataset!$P:$P,Dataset!$H:$H,L$79,Dataset!$V:$V,"&gt;="&amp;$C82,Dataset!$V:$V,"&lt;"&amp;$D82)</f>
        <v>1.3899999999999999E-2</v>
      </c>
      <c r="M83" s="15">
        <f>+SUMIFS(Dataset!$P:$P,Dataset!$H:$H,M$79,Dataset!$V:$V,"&gt;="&amp;$C82,Dataset!$V:$V,"&lt;"&amp;$D82)</f>
        <v>0</v>
      </c>
      <c r="N83" s="15">
        <f>+SUMIFS(Dataset!$P:$P,Dataset!$H:$H,N$79,Dataset!$V:$V,"&gt;="&amp;$C82,Dataset!$V:$V,"&lt;"&amp;$D82)</f>
        <v>0</v>
      </c>
      <c r="O83" s="15">
        <f>+SUMIFS(Dataset!$P:$P,Dataset!$H:$H,O$79,Dataset!$V:$V,"&gt;="&amp;$C82,Dataset!$V:$V,"&lt;"&amp;$D82)</f>
        <v>0</v>
      </c>
      <c r="P83" s="15">
        <f>+SUMIFS(Dataset!$P:$P,Dataset!$H:$H,P$79,Dataset!$V:$V,"&gt;="&amp;$C82,Dataset!$V:$V,"&lt;"&amp;$D82)</f>
        <v>0</v>
      </c>
      <c r="Q83" s="15">
        <f>+SUMIFS(Dataset!$P:$P,Dataset!$H:$H,Q$79,Dataset!$V:$V,"&gt;="&amp;$C82,Dataset!$V:$V,"&lt;"&amp;$D82)</f>
        <v>0</v>
      </c>
      <c r="R83" s="15">
        <f>+SUMIFS(Dataset!$P:$P,Dataset!$H:$H,R$79,Dataset!$V:$V,"&gt;="&amp;$C82,Dataset!$V:$V,"&lt;"&amp;$D82)</f>
        <v>0</v>
      </c>
      <c r="S83" s="15">
        <f>+SUMIFS(Dataset!$P:$P,Dataset!$H:$H,S$79,Dataset!$V:$V,"&gt;="&amp;$C82,Dataset!$V:$V,"&lt;"&amp;$D82)</f>
        <v>0</v>
      </c>
      <c r="T83" s="15">
        <f>+SUMIFS(Dataset!$P:$P,Dataset!$H:$H,T$79,Dataset!$V:$V,"&gt;="&amp;$C82,Dataset!$V:$V,"&lt;"&amp;$D82)</f>
        <v>0</v>
      </c>
    </row>
    <row r="84" spans="3:20" ht="15" x14ac:dyDescent="0.25">
      <c r="C84">
        <f t="shared" si="9"/>
        <v>4.5</v>
      </c>
      <c r="D84">
        <f t="shared" si="10"/>
        <v>5.5</v>
      </c>
      <c r="G84" s="35" t="str">
        <f t="shared" si="11"/>
        <v>3.5 - 4.5</v>
      </c>
      <c r="H84" s="15">
        <f>+SUMIFS(Dataset!$P:$P,Dataset!$H:$H,H$79,Dataset!$V:$V,"&gt;="&amp;$C83,Dataset!$V:$V,"&lt;"&amp;$D83)</f>
        <v>0</v>
      </c>
      <c r="I84" s="15">
        <f>+SUMIFS(Dataset!$P:$P,Dataset!$H:$H,I$79,Dataset!$V:$V,"&gt;="&amp;$C83,Dataset!$V:$V,"&lt;"&amp;$D83)</f>
        <v>2.0199999999999999E-2</v>
      </c>
      <c r="J84" s="15">
        <f>+SUMIFS(Dataset!$P:$P,Dataset!$H:$H,J$79,Dataset!$V:$V,"&gt;="&amp;$C83,Dataset!$V:$V,"&lt;"&amp;$D83)</f>
        <v>0</v>
      </c>
      <c r="K84" s="15">
        <f>+SUMIFS(Dataset!$P:$P,Dataset!$H:$H,K$79,Dataset!$V:$V,"&gt;="&amp;$C83,Dataset!$V:$V,"&lt;"&amp;$D83)</f>
        <v>0</v>
      </c>
      <c r="L84" s="15">
        <f>+SUMIFS(Dataset!$P:$P,Dataset!$H:$H,L$79,Dataset!$V:$V,"&gt;="&amp;$C83,Dataset!$V:$V,"&lt;"&amp;$D83)</f>
        <v>3.3099999999999997E-2</v>
      </c>
      <c r="M84" s="15">
        <f>+SUMIFS(Dataset!$P:$P,Dataset!$H:$H,M$79,Dataset!$V:$V,"&gt;="&amp;$C83,Dataset!$V:$V,"&lt;"&amp;$D83)</f>
        <v>0</v>
      </c>
      <c r="N84" s="15">
        <f>+SUMIFS(Dataset!$P:$P,Dataset!$H:$H,N$79,Dataset!$V:$V,"&gt;="&amp;$C83,Dataset!$V:$V,"&lt;"&amp;$D83)</f>
        <v>0</v>
      </c>
      <c r="O84" s="15">
        <f>+SUMIFS(Dataset!$P:$P,Dataset!$H:$H,O$79,Dataset!$V:$V,"&gt;="&amp;$C83,Dataset!$V:$V,"&lt;"&amp;$D83)</f>
        <v>0</v>
      </c>
      <c r="P84" s="15">
        <f>+SUMIFS(Dataset!$P:$P,Dataset!$H:$H,P$79,Dataset!$V:$V,"&gt;="&amp;$C83,Dataset!$V:$V,"&lt;"&amp;$D83)</f>
        <v>0</v>
      </c>
      <c r="Q84" s="15">
        <f>+SUMIFS(Dataset!$P:$P,Dataset!$H:$H,Q$79,Dataset!$V:$V,"&gt;="&amp;$C83,Dataset!$V:$V,"&lt;"&amp;$D83)</f>
        <v>0</v>
      </c>
      <c r="R84" s="15">
        <f>+SUMIFS(Dataset!$P:$P,Dataset!$H:$H,R$79,Dataset!$V:$V,"&gt;="&amp;$C83,Dataset!$V:$V,"&lt;"&amp;$D83)</f>
        <v>0</v>
      </c>
      <c r="S84" s="15">
        <f>+SUMIFS(Dataset!$P:$P,Dataset!$H:$H,S$79,Dataset!$V:$V,"&gt;="&amp;$C83,Dataset!$V:$V,"&lt;"&amp;$D83)</f>
        <v>0</v>
      </c>
      <c r="T84" s="15">
        <f>+SUMIFS(Dataset!$P:$P,Dataset!$H:$H,T$79,Dataset!$V:$V,"&gt;="&amp;$C83,Dataset!$V:$V,"&lt;"&amp;$D83)</f>
        <v>0</v>
      </c>
    </row>
    <row r="85" spans="3:20" ht="15" x14ac:dyDescent="0.25">
      <c r="C85">
        <f t="shared" si="9"/>
        <v>5.5</v>
      </c>
      <c r="D85">
        <f t="shared" si="10"/>
        <v>6.5</v>
      </c>
      <c r="G85" s="35" t="str">
        <f t="shared" si="11"/>
        <v>4.5 - 5.5</v>
      </c>
      <c r="H85" s="15">
        <f>+SUMIFS(Dataset!$P:$P,Dataset!$H:$H,H$79,Dataset!$V:$V,"&gt;="&amp;$C84,Dataset!$V:$V,"&lt;"&amp;$D84)</f>
        <v>0</v>
      </c>
      <c r="I85" s="15">
        <f>+SUMIFS(Dataset!$P:$P,Dataset!$H:$H,I$79,Dataset!$V:$V,"&gt;="&amp;$C84,Dataset!$V:$V,"&lt;"&amp;$D84)</f>
        <v>4.9700000000000001E-2</v>
      </c>
      <c r="J85" s="15">
        <f>+SUMIFS(Dataset!$P:$P,Dataset!$H:$H,J$79,Dataset!$V:$V,"&gt;="&amp;$C84,Dataset!$V:$V,"&lt;"&amp;$D84)</f>
        <v>0</v>
      </c>
      <c r="K85" s="15">
        <f>+SUMIFS(Dataset!$P:$P,Dataset!$H:$H,K$79,Dataset!$V:$V,"&gt;="&amp;$C84,Dataset!$V:$V,"&lt;"&amp;$D84)</f>
        <v>0</v>
      </c>
      <c r="L85" s="15">
        <f>+SUMIFS(Dataset!$P:$P,Dataset!$H:$H,L$79,Dataset!$V:$V,"&gt;="&amp;$C84,Dataset!$V:$V,"&lt;"&amp;$D84)</f>
        <v>8.3199999999999996E-2</v>
      </c>
      <c r="M85" s="15">
        <f>+SUMIFS(Dataset!$P:$P,Dataset!$H:$H,M$79,Dataset!$V:$V,"&gt;="&amp;$C84,Dataset!$V:$V,"&lt;"&amp;$D84)</f>
        <v>0</v>
      </c>
      <c r="N85" s="15">
        <f>+SUMIFS(Dataset!$P:$P,Dataset!$H:$H,N$79,Dataset!$V:$V,"&gt;="&amp;$C84,Dataset!$V:$V,"&lt;"&amp;$D84)</f>
        <v>0</v>
      </c>
      <c r="O85" s="15">
        <f>+SUMIFS(Dataset!$P:$P,Dataset!$H:$H,O$79,Dataset!$V:$V,"&gt;="&amp;$C84,Dataset!$V:$V,"&lt;"&amp;$D84)</f>
        <v>0</v>
      </c>
      <c r="P85" s="15">
        <f>+SUMIFS(Dataset!$P:$P,Dataset!$H:$H,P$79,Dataset!$V:$V,"&gt;="&amp;$C84,Dataset!$V:$V,"&lt;"&amp;$D84)</f>
        <v>0</v>
      </c>
      <c r="Q85" s="15">
        <f>+SUMIFS(Dataset!$P:$P,Dataset!$H:$H,Q$79,Dataset!$V:$V,"&gt;="&amp;$C84,Dataset!$V:$V,"&lt;"&amp;$D84)</f>
        <v>0</v>
      </c>
      <c r="R85" s="15">
        <f>+SUMIFS(Dataset!$P:$P,Dataset!$H:$H,R$79,Dataset!$V:$V,"&gt;="&amp;$C84,Dataset!$V:$V,"&lt;"&amp;$D84)</f>
        <v>0</v>
      </c>
      <c r="S85" s="15">
        <f>+SUMIFS(Dataset!$P:$P,Dataset!$H:$H,S$79,Dataset!$V:$V,"&gt;="&amp;$C84,Dataset!$V:$V,"&lt;"&amp;$D84)</f>
        <v>0</v>
      </c>
      <c r="T85" s="15">
        <f>+SUMIFS(Dataset!$P:$P,Dataset!$H:$H,T$79,Dataset!$V:$V,"&gt;="&amp;$C84,Dataset!$V:$V,"&lt;"&amp;$D84)</f>
        <v>0</v>
      </c>
    </row>
    <row r="86" spans="3:20" ht="15" x14ac:dyDescent="0.25">
      <c r="C86">
        <f t="shared" si="9"/>
        <v>6.5</v>
      </c>
      <c r="D86">
        <f t="shared" si="10"/>
        <v>7.5</v>
      </c>
      <c r="G86" s="35" t="str">
        <f t="shared" si="11"/>
        <v>5.5 - 6.5</v>
      </c>
      <c r="H86" s="15">
        <f>+SUMIFS(Dataset!$P:$P,Dataset!$H:$H,H$79,Dataset!$V:$V,"&gt;="&amp;$C85,Dataset!$V:$V,"&lt;"&amp;$D85)</f>
        <v>0</v>
      </c>
      <c r="I86" s="15">
        <f>+SUMIFS(Dataset!$P:$P,Dataset!$H:$H,I$79,Dataset!$V:$V,"&gt;="&amp;$C85,Dataset!$V:$V,"&lt;"&amp;$D85)</f>
        <v>0</v>
      </c>
      <c r="J86" s="15">
        <f>+SUMIFS(Dataset!$P:$P,Dataset!$H:$H,J$79,Dataset!$V:$V,"&gt;="&amp;$C85,Dataset!$V:$V,"&lt;"&amp;$D85)</f>
        <v>0</v>
      </c>
      <c r="K86" s="15">
        <f>+SUMIFS(Dataset!$P:$P,Dataset!$H:$H,K$79,Dataset!$V:$V,"&gt;="&amp;$C85,Dataset!$V:$V,"&lt;"&amp;$D85)</f>
        <v>0</v>
      </c>
      <c r="L86" s="15">
        <f>+SUMIFS(Dataset!$P:$P,Dataset!$H:$H,L$79,Dataset!$V:$V,"&gt;="&amp;$C85,Dataset!$V:$V,"&lt;"&amp;$D85)</f>
        <v>0</v>
      </c>
      <c r="M86" s="15">
        <f>+SUMIFS(Dataset!$P:$P,Dataset!$H:$H,M$79,Dataset!$V:$V,"&gt;="&amp;$C85,Dataset!$V:$V,"&lt;"&amp;$D85)</f>
        <v>0</v>
      </c>
      <c r="N86" s="15">
        <f>+SUMIFS(Dataset!$P:$P,Dataset!$H:$H,N$79,Dataset!$V:$V,"&gt;="&amp;$C85,Dataset!$V:$V,"&lt;"&amp;$D85)</f>
        <v>0</v>
      </c>
      <c r="O86" s="15">
        <f>+SUMIFS(Dataset!$P:$P,Dataset!$H:$H,O$79,Dataset!$V:$V,"&gt;="&amp;$C85,Dataset!$V:$V,"&lt;"&amp;$D85)</f>
        <v>0</v>
      </c>
      <c r="P86" s="15">
        <f>+SUMIFS(Dataset!$P:$P,Dataset!$H:$H,P$79,Dataset!$V:$V,"&gt;="&amp;$C85,Dataset!$V:$V,"&lt;"&amp;$D85)</f>
        <v>0</v>
      </c>
      <c r="Q86" s="15">
        <f>+SUMIFS(Dataset!$P:$P,Dataset!$H:$H,Q$79,Dataset!$V:$V,"&gt;="&amp;$C85,Dataset!$V:$V,"&lt;"&amp;$D85)</f>
        <v>0</v>
      </c>
      <c r="R86" s="15">
        <f>+SUMIFS(Dataset!$P:$P,Dataset!$H:$H,R$79,Dataset!$V:$V,"&gt;="&amp;$C85,Dataset!$V:$V,"&lt;"&amp;$D85)</f>
        <v>0</v>
      </c>
      <c r="S86" s="15">
        <f>+SUMIFS(Dataset!$P:$P,Dataset!$H:$H,S$79,Dataset!$V:$V,"&gt;="&amp;$C85,Dataset!$V:$V,"&lt;"&amp;$D85)</f>
        <v>0</v>
      </c>
      <c r="T86" s="15">
        <f>+SUMIFS(Dataset!$P:$P,Dataset!$H:$H,T$79,Dataset!$V:$V,"&gt;="&amp;$C85,Dataset!$V:$V,"&lt;"&amp;$D85)</f>
        <v>0</v>
      </c>
    </row>
    <row r="87" spans="3:20" ht="15" x14ac:dyDescent="0.25">
      <c r="C87">
        <f t="shared" si="9"/>
        <v>7.5</v>
      </c>
      <c r="D87">
        <f t="shared" si="10"/>
        <v>8.5</v>
      </c>
      <c r="G87" s="35" t="str">
        <f t="shared" si="11"/>
        <v>6.5 - 7.5</v>
      </c>
      <c r="H87" s="15">
        <f>+SUMIFS(Dataset!$P:$P,Dataset!$H:$H,H$79,Dataset!$V:$V,"&gt;="&amp;$C86,Dataset!$V:$V,"&lt;"&amp;$D86)</f>
        <v>0</v>
      </c>
      <c r="I87" s="15">
        <f>+SUMIFS(Dataset!$P:$P,Dataset!$H:$H,I$79,Dataset!$V:$V,"&gt;="&amp;$C86,Dataset!$V:$V,"&lt;"&amp;$D86)</f>
        <v>2.5999999999999999E-3</v>
      </c>
      <c r="J87" s="15">
        <f>+SUMIFS(Dataset!$P:$P,Dataset!$H:$H,J$79,Dataset!$V:$V,"&gt;="&amp;$C86,Dataset!$V:$V,"&lt;"&amp;$D86)</f>
        <v>0</v>
      </c>
      <c r="K87" s="15">
        <f>+SUMIFS(Dataset!$P:$P,Dataset!$H:$H,K$79,Dataset!$V:$V,"&gt;="&amp;$C86,Dataset!$V:$V,"&lt;"&amp;$D86)</f>
        <v>0</v>
      </c>
      <c r="L87" s="15">
        <f>+SUMIFS(Dataset!$P:$P,Dataset!$H:$H,L$79,Dataset!$V:$V,"&gt;="&amp;$C86,Dataset!$V:$V,"&lt;"&amp;$D86)</f>
        <v>4.0899999999999999E-2</v>
      </c>
      <c r="M87" s="15">
        <f>+SUMIFS(Dataset!$P:$P,Dataset!$H:$H,M$79,Dataset!$V:$V,"&gt;="&amp;$C86,Dataset!$V:$V,"&lt;"&amp;$D86)</f>
        <v>0</v>
      </c>
      <c r="N87" s="15">
        <f>+SUMIFS(Dataset!$P:$P,Dataset!$H:$H,N$79,Dataset!$V:$V,"&gt;="&amp;$C86,Dataset!$V:$V,"&lt;"&amp;$D86)</f>
        <v>0</v>
      </c>
      <c r="O87" s="15">
        <f>+SUMIFS(Dataset!$P:$P,Dataset!$H:$H,O$79,Dataset!$V:$V,"&gt;="&amp;$C86,Dataset!$V:$V,"&lt;"&amp;$D86)</f>
        <v>0</v>
      </c>
      <c r="P87" s="15">
        <f>+SUMIFS(Dataset!$P:$P,Dataset!$H:$H,P$79,Dataset!$V:$V,"&gt;="&amp;$C86,Dataset!$V:$V,"&lt;"&amp;$D86)</f>
        <v>0</v>
      </c>
      <c r="Q87" s="15">
        <f>+SUMIFS(Dataset!$P:$P,Dataset!$H:$H,Q$79,Dataset!$V:$V,"&gt;="&amp;$C86,Dataset!$V:$V,"&lt;"&amp;$D86)</f>
        <v>0</v>
      </c>
      <c r="R87" s="15">
        <f>+SUMIFS(Dataset!$P:$P,Dataset!$H:$H,R$79,Dataset!$V:$V,"&gt;="&amp;$C86,Dataset!$V:$V,"&lt;"&amp;$D86)</f>
        <v>0</v>
      </c>
      <c r="S87" s="15">
        <f>+SUMIFS(Dataset!$P:$P,Dataset!$H:$H,S$79,Dataset!$V:$V,"&gt;="&amp;$C86,Dataset!$V:$V,"&lt;"&amp;$D86)</f>
        <v>0</v>
      </c>
      <c r="T87" s="15">
        <f>+SUMIFS(Dataset!$P:$P,Dataset!$H:$H,T$79,Dataset!$V:$V,"&gt;="&amp;$C86,Dataset!$V:$V,"&lt;"&amp;$D86)</f>
        <v>0</v>
      </c>
    </row>
    <row r="88" spans="3:20" ht="15" x14ac:dyDescent="0.25">
      <c r="C88">
        <f t="shared" si="9"/>
        <v>8.5</v>
      </c>
      <c r="D88">
        <f t="shared" si="10"/>
        <v>9.5</v>
      </c>
      <c r="G88" s="35" t="str">
        <f t="shared" si="11"/>
        <v>7.5 - 8.5</v>
      </c>
      <c r="H88" s="15">
        <f>+SUMIFS(Dataset!$P:$P,Dataset!$H:$H,H$79,Dataset!$V:$V,"&gt;="&amp;$C87,Dataset!$V:$V,"&lt;"&amp;$D87)</f>
        <v>0</v>
      </c>
      <c r="I88" s="15">
        <f>+SUMIFS(Dataset!$P:$P,Dataset!$H:$H,I$79,Dataset!$V:$V,"&gt;="&amp;$C87,Dataset!$V:$V,"&lt;"&amp;$D87)</f>
        <v>7.2900000000000006E-2</v>
      </c>
      <c r="J88" s="15">
        <f>+SUMIFS(Dataset!$P:$P,Dataset!$H:$H,J$79,Dataset!$V:$V,"&gt;="&amp;$C87,Dataset!$V:$V,"&lt;"&amp;$D87)</f>
        <v>0</v>
      </c>
      <c r="K88" s="15">
        <f>+SUMIFS(Dataset!$P:$P,Dataset!$H:$H,K$79,Dataset!$V:$V,"&gt;="&amp;$C87,Dataset!$V:$V,"&lt;"&amp;$D87)</f>
        <v>0</v>
      </c>
      <c r="L88" s="15">
        <f>+SUMIFS(Dataset!$P:$P,Dataset!$H:$H,L$79,Dataset!$V:$V,"&gt;="&amp;$C87,Dataset!$V:$V,"&lt;"&amp;$D87)</f>
        <v>3.6299999999999999E-2</v>
      </c>
      <c r="M88" s="15">
        <f>+SUMIFS(Dataset!$P:$P,Dataset!$H:$H,M$79,Dataset!$V:$V,"&gt;="&amp;$C87,Dataset!$V:$V,"&lt;"&amp;$D87)</f>
        <v>0</v>
      </c>
      <c r="N88" s="15">
        <f>+SUMIFS(Dataset!$P:$P,Dataset!$H:$H,N$79,Dataset!$V:$V,"&gt;="&amp;$C87,Dataset!$V:$V,"&lt;"&amp;$D87)</f>
        <v>0</v>
      </c>
      <c r="O88" s="15">
        <f>+SUMIFS(Dataset!$P:$P,Dataset!$H:$H,O$79,Dataset!$V:$V,"&gt;="&amp;$C87,Dataset!$V:$V,"&lt;"&amp;$D87)</f>
        <v>0</v>
      </c>
      <c r="P88" s="15">
        <f>+SUMIFS(Dataset!$P:$P,Dataset!$H:$H,P$79,Dataset!$V:$V,"&gt;="&amp;$C87,Dataset!$V:$V,"&lt;"&amp;$D87)</f>
        <v>0</v>
      </c>
      <c r="Q88" s="15">
        <f>+SUMIFS(Dataset!$P:$P,Dataset!$H:$H,Q$79,Dataset!$V:$V,"&gt;="&amp;$C87,Dataset!$V:$V,"&lt;"&amp;$D87)</f>
        <v>0</v>
      </c>
      <c r="R88" s="15">
        <f>+SUMIFS(Dataset!$P:$P,Dataset!$H:$H,R$79,Dataset!$V:$V,"&gt;="&amp;$C87,Dataset!$V:$V,"&lt;"&amp;$D87)</f>
        <v>0</v>
      </c>
      <c r="S88" s="15">
        <f>+SUMIFS(Dataset!$P:$P,Dataset!$H:$H,S$79,Dataset!$V:$V,"&gt;="&amp;$C87,Dataset!$V:$V,"&lt;"&amp;$D87)</f>
        <v>0</v>
      </c>
      <c r="T88" s="15">
        <f>+SUMIFS(Dataset!$P:$P,Dataset!$H:$H,T$79,Dataset!$V:$V,"&gt;="&amp;$C87,Dataset!$V:$V,"&lt;"&amp;$D87)</f>
        <v>0</v>
      </c>
    </row>
    <row r="89" spans="3:20" ht="15" x14ac:dyDescent="0.25">
      <c r="C89">
        <f t="shared" si="9"/>
        <v>9.5</v>
      </c>
      <c r="D89">
        <f t="shared" si="10"/>
        <v>10.5</v>
      </c>
      <c r="G89" s="35" t="str">
        <f t="shared" si="11"/>
        <v>8.5 - 9.5</v>
      </c>
      <c r="H89" s="15">
        <f>+SUMIFS(Dataset!$P:$P,Dataset!$H:$H,H$79,Dataset!$V:$V,"&gt;="&amp;$C88,Dataset!$V:$V,"&lt;"&amp;$D88)</f>
        <v>0</v>
      </c>
      <c r="I89" s="15">
        <f>+SUMIFS(Dataset!$P:$P,Dataset!$H:$H,I$79,Dataset!$V:$V,"&gt;="&amp;$C88,Dataset!$V:$V,"&lt;"&amp;$D88)</f>
        <v>0</v>
      </c>
      <c r="J89" s="15">
        <f>+SUMIFS(Dataset!$P:$P,Dataset!$H:$H,J$79,Dataset!$V:$V,"&gt;="&amp;$C88,Dataset!$V:$V,"&lt;"&amp;$D88)</f>
        <v>0</v>
      </c>
      <c r="K89" s="15">
        <f>+SUMIFS(Dataset!$P:$P,Dataset!$H:$H,K$79,Dataset!$V:$V,"&gt;="&amp;$C88,Dataset!$V:$V,"&lt;"&amp;$D88)</f>
        <v>0</v>
      </c>
      <c r="L89" s="15">
        <f>+SUMIFS(Dataset!$P:$P,Dataset!$H:$H,L$79,Dataset!$V:$V,"&gt;="&amp;$C88,Dataset!$V:$V,"&lt;"&amp;$D88)</f>
        <v>2.76E-2</v>
      </c>
      <c r="M89" s="15">
        <f>+SUMIFS(Dataset!$P:$P,Dataset!$H:$H,M$79,Dataset!$V:$V,"&gt;="&amp;$C88,Dataset!$V:$V,"&lt;"&amp;$D88)</f>
        <v>0</v>
      </c>
      <c r="N89" s="15">
        <f>+SUMIFS(Dataset!$P:$P,Dataset!$H:$H,N$79,Dataset!$V:$V,"&gt;="&amp;$C88,Dataset!$V:$V,"&lt;"&amp;$D88)</f>
        <v>0</v>
      </c>
      <c r="O89" s="15">
        <f>+SUMIFS(Dataset!$P:$P,Dataset!$H:$H,O$79,Dataset!$V:$V,"&gt;="&amp;$C88,Dataset!$V:$V,"&lt;"&amp;$D88)</f>
        <v>0</v>
      </c>
      <c r="P89" s="15">
        <f>+SUMIFS(Dataset!$P:$P,Dataset!$H:$H,P$79,Dataset!$V:$V,"&gt;="&amp;$C88,Dataset!$V:$V,"&lt;"&amp;$D88)</f>
        <v>1.84E-2</v>
      </c>
      <c r="Q89" s="15">
        <f>+SUMIFS(Dataset!$P:$P,Dataset!$H:$H,Q$79,Dataset!$V:$V,"&gt;="&amp;$C88,Dataset!$V:$V,"&lt;"&amp;$D88)</f>
        <v>0</v>
      </c>
      <c r="R89" s="15">
        <f>+SUMIFS(Dataset!$P:$P,Dataset!$H:$H,R$79,Dataset!$V:$V,"&gt;="&amp;$C88,Dataset!$V:$V,"&lt;"&amp;$D88)</f>
        <v>0</v>
      </c>
      <c r="S89" s="15">
        <f>+SUMIFS(Dataset!$P:$P,Dataset!$H:$H,S$79,Dataset!$V:$V,"&gt;="&amp;$C88,Dataset!$V:$V,"&lt;"&amp;$D88)</f>
        <v>0</v>
      </c>
      <c r="T89" s="15">
        <f>+SUMIFS(Dataset!$P:$P,Dataset!$H:$H,T$79,Dataset!$V:$V,"&gt;="&amp;$C88,Dataset!$V:$V,"&lt;"&amp;$D88)</f>
        <v>0</v>
      </c>
    </row>
    <row r="90" spans="3:20" ht="15" x14ac:dyDescent="0.25">
      <c r="C90">
        <f t="shared" si="9"/>
        <v>10.5</v>
      </c>
      <c r="D90">
        <f t="shared" si="10"/>
        <v>11.5</v>
      </c>
      <c r="G90" s="35" t="str">
        <f t="shared" si="11"/>
        <v>9.5 - 10.5</v>
      </c>
      <c r="H90" s="15">
        <f>+SUMIFS(Dataset!$P:$P,Dataset!$H:$H,H$79,Dataset!$V:$V,"&gt;="&amp;$C89,Dataset!$V:$V,"&lt;"&amp;$D89)</f>
        <v>0</v>
      </c>
      <c r="I90" s="15">
        <f>+SUMIFS(Dataset!$P:$P,Dataset!$H:$H,I$79,Dataset!$V:$V,"&gt;="&amp;$C89,Dataset!$V:$V,"&lt;"&amp;$D89)</f>
        <v>1.55E-2</v>
      </c>
      <c r="J90" s="15">
        <f>+SUMIFS(Dataset!$P:$P,Dataset!$H:$H,J$79,Dataset!$V:$V,"&gt;="&amp;$C89,Dataset!$V:$V,"&lt;"&amp;$D89)</f>
        <v>0</v>
      </c>
      <c r="K90" s="15">
        <f>+SUMIFS(Dataset!$P:$P,Dataset!$H:$H,K$79,Dataset!$V:$V,"&gt;="&amp;$C89,Dataset!$V:$V,"&lt;"&amp;$D89)</f>
        <v>0</v>
      </c>
      <c r="L90" s="15">
        <f>+SUMIFS(Dataset!$P:$P,Dataset!$H:$H,L$79,Dataset!$V:$V,"&gt;="&amp;$C89,Dataset!$V:$V,"&lt;"&amp;$D89)</f>
        <v>6.3899999999999998E-2</v>
      </c>
      <c r="M90" s="15">
        <f>+SUMIFS(Dataset!$P:$P,Dataset!$H:$H,M$79,Dataset!$V:$V,"&gt;="&amp;$C89,Dataset!$V:$V,"&lt;"&amp;$D89)</f>
        <v>0</v>
      </c>
      <c r="N90" s="15">
        <f>+SUMIFS(Dataset!$P:$P,Dataset!$H:$H,N$79,Dataset!$V:$V,"&gt;="&amp;$C89,Dataset!$V:$V,"&lt;"&amp;$D89)</f>
        <v>0</v>
      </c>
      <c r="O90" s="15">
        <f>+SUMIFS(Dataset!$P:$P,Dataset!$H:$H,O$79,Dataset!$V:$V,"&gt;="&amp;$C89,Dataset!$V:$V,"&lt;"&amp;$D89)</f>
        <v>0</v>
      </c>
      <c r="P90" s="15">
        <f>+SUMIFS(Dataset!$P:$P,Dataset!$H:$H,P$79,Dataset!$V:$V,"&gt;="&amp;$C89,Dataset!$V:$V,"&lt;"&amp;$D89)</f>
        <v>1.26E-2</v>
      </c>
      <c r="Q90" s="15">
        <f>+SUMIFS(Dataset!$P:$P,Dataset!$H:$H,Q$79,Dataset!$V:$V,"&gt;="&amp;$C89,Dataset!$V:$V,"&lt;"&amp;$D89)</f>
        <v>0</v>
      </c>
      <c r="R90" s="15">
        <f>+SUMIFS(Dataset!$P:$P,Dataset!$H:$H,R$79,Dataset!$V:$V,"&gt;="&amp;$C89,Dataset!$V:$V,"&lt;"&amp;$D89)</f>
        <v>0</v>
      </c>
      <c r="S90" s="15">
        <f>+SUMIFS(Dataset!$P:$P,Dataset!$H:$H,S$79,Dataset!$V:$V,"&gt;="&amp;$C89,Dataset!$V:$V,"&lt;"&amp;$D89)</f>
        <v>0</v>
      </c>
      <c r="T90" s="15">
        <f>+SUMIFS(Dataset!$P:$P,Dataset!$H:$H,T$79,Dataset!$V:$V,"&gt;="&amp;$C89,Dataset!$V:$V,"&lt;"&amp;$D89)</f>
        <v>0</v>
      </c>
    </row>
    <row r="91" spans="3:20" ht="15" x14ac:dyDescent="0.25">
      <c r="C91">
        <f t="shared" si="9"/>
        <v>11.5</v>
      </c>
      <c r="D91">
        <f t="shared" si="10"/>
        <v>12.5</v>
      </c>
      <c r="G91" s="35" t="str">
        <f t="shared" si="11"/>
        <v>10.5 - 11.5</v>
      </c>
      <c r="H91" s="15">
        <f>+SUMIFS(Dataset!$P:$P,Dataset!$H:$H,H$79,Dataset!$V:$V,"&gt;="&amp;$C90,Dataset!$V:$V,"&lt;"&amp;$D90)</f>
        <v>0</v>
      </c>
      <c r="I91" s="15">
        <f>+SUMIFS(Dataset!$P:$P,Dataset!$H:$H,I$79,Dataset!$V:$V,"&gt;="&amp;$C90,Dataset!$V:$V,"&lt;"&amp;$D90)</f>
        <v>0</v>
      </c>
      <c r="J91" s="15">
        <f>+SUMIFS(Dataset!$P:$P,Dataset!$H:$H,J$79,Dataset!$V:$V,"&gt;="&amp;$C90,Dataset!$V:$V,"&lt;"&amp;$D90)</f>
        <v>0</v>
      </c>
      <c r="K91" s="15">
        <f>+SUMIFS(Dataset!$P:$P,Dataset!$H:$H,K$79,Dataset!$V:$V,"&gt;="&amp;$C90,Dataset!$V:$V,"&lt;"&amp;$D90)</f>
        <v>0</v>
      </c>
      <c r="L91" s="15">
        <f>+SUMIFS(Dataset!$P:$P,Dataset!$H:$H,L$79,Dataset!$V:$V,"&gt;="&amp;$C90,Dataset!$V:$V,"&lt;"&amp;$D90)</f>
        <v>0</v>
      </c>
      <c r="M91" s="15">
        <f>+SUMIFS(Dataset!$P:$P,Dataset!$H:$H,M$79,Dataset!$V:$V,"&gt;="&amp;$C90,Dataset!$V:$V,"&lt;"&amp;$D90)</f>
        <v>0</v>
      </c>
      <c r="N91" s="15">
        <f>+SUMIFS(Dataset!$P:$P,Dataset!$H:$H,N$79,Dataset!$V:$V,"&gt;="&amp;$C90,Dataset!$V:$V,"&lt;"&amp;$D90)</f>
        <v>0</v>
      </c>
      <c r="O91" s="15">
        <f>+SUMIFS(Dataset!$P:$P,Dataset!$H:$H,O$79,Dataset!$V:$V,"&gt;="&amp;$C90,Dataset!$V:$V,"&lt;"&amp;$D90)</f>
        <v>0</v>
      </c>
      <c r="P91" s="15">
        <f>+SUMIFS(Dataset!$P:$P,Dataset!$H:$H,P$79,Dataset!$V:$V,"&gt;="&amp;$C90,Dataset!$V:$V,"&lt;"&amp;$D90)</f>
        <v>0</v>
      </c>
      <c r="Q91" s="15">
        <f>+SUMIFS(Dataset!$P:$P,Dataset!$H:$H,Q$79,Dataset!$V:$V,"&gt;="&amp;$C90,Dataset!$V:$V,"&lt;"&amp;$D90)</f>
        <v>0</v>
      </c>
      <c r="R91" s="15">
        <f>+SUMIFS(Dataset!$P:$P,Dataset!$H:$H,R$79,Dataset!$V:$V,"&gt;="&amp;$C90,Dataset!$V:$V,"&lt;"&amp;$D90)</f>
        <v>0</v>
      </c>
      <c r="S91" s="15">
        <f>+SUMIFS(Dataset!$P:$P,Dataset!$H:$H,S$79,Dataset!$V:$V,"&gt;="&amp;$C90,Dataset!$V:$V,"&lt;"&amp;$D90)</f>
        <v>0</v>
      </c>
      <c r="T91" s="15">
        <f>+SUMIFS(Dataset!$P:$P,Dataset!$H:$H,T$79,Dataset!$V:$V,"&gt;="&amp;$C90,Dataset!$V:$V,"&lt;"&amp;$D90)</f>
        <v>0</v>
      </c>
    </row>
    <row r="92" spans="3:20" ht="15" x14ac:dyDescent="0.25">
      <c r="C92">
        <f t="shared" si="9"/>
        <v>12.5</v>
      </c>
      <c r="D92">
        <f t="shared" si="10"/>
        <v>13.5</v>
      </c>
      <c r="G92" s="35" t="str">
        <f t="shared" si="11"/>
        <v>11.5 - 12.5</v>
      </c>
      <c r="H92" s="15">
        <f>+SUMIFS(Dataset!$P:$P,Dataset!$H:$H,H$79,Dataset!$V:$V,"&gt;="&amp;$C91,Dataset!$V:$V,"&lt;"&amp;$D91)</f>
        <v>0</v>
      </c>
      <c r="I92" s="15">
        <f>+SUMIFS(Dataset!$P:$P,Dataset!$H:$H,I$79,Dataset!$V:$V,"&gt;="&amp;$C91,Dataset!$V:$V,"&lt;"&amp;$D91)</f>
        <v>0</v>
      </c>
      <c r="J92" s="15">
        <f>+SUMIFS(Dataset!$P:$P,Dataset!$H:$H,J$79,Dataset!$V:$V,"&gt;="&amp;$C91,Dataset!$V:$V,"&lt;"&amp;$D91)</f>
        <v>0</v>
      </c>
      <c r="K92" s="15">
        <f>+SUMIFS(Dataset!$P:$P,Dataset!$H:$H,K$79,Dataset!$V:$V,"&gt;="&amp;$C91,Dataset!$V:$V,"&lt;"&amp;$D91)</f>
        <v>0</v>
      </c>
      <c r="L92" s="15">
        <f>+SUMIFS(Dataset!$P:$P,Dataset!$H:$H,L$79,Dataset!$V:$V,"&gt;="&amp;$C91,Dataset!$V:$V,"&lt;"&amp;$D91)</f>
        <v>0</v>
      </c>
      <c r="M92" s="15">
        <f>+SUMIFS(Dataset!$P:$P,Dataset!$H:$H,M$79,Dataset!$V:$V,"&gt;="&amp;$C91,Dataset!$V:$V,"&lt;"&amp;$D91)</f>
        <v>0</v>
      </c>
      <c r="N92" s="15">
        <f>+SUMIFS(Dataset!$P:$P,Dataset!$H:$H,N$79,Dataset!$V:$V,"&gt;="&amp;$C91,Dataset!$V:$V,"&lt;"&amp;$D91)</f>
        <v>0</v>
      </c>
      <c r="O92" s="15">
        <f>+SUMIFS(Dataset!$P:$P,Dataset!$H:$H,O$79,Dataset!$V:$V,"&gt;="&amp;$C91,Dataset!$V:$V,"&lt;"&amp;$D91)</f>
        <v>0</v>
      </c>
      <c r="P92" s="15">
        <f>+SUMIFS(Dataset!$P:$P,Dataset!$H:$H,P$79,Dataset!$V:$V,"&gt;="&amp;$C91,Dataset!$V:$V,"&lt;"&amp;$D91)</f>
        <v>0</v>
      </c>
      <c r="Q92" s="15">
        <f>+SUMIFS(Dataset!$P:$P,Dataset!$H:$H,Q$79,Dataset!$V:$V,"&gt;="&amp;$C91,Dataset!$V:$V,"&lt;"&amp;$D91)</f>
        <v>0</v>
      </c>
      <c r="R92" s="15">
        <f>+SUMIFS(Dataset!$P:$P,Dataset!$H:$H,R$79,Dataset!$V:$V,"&gt;="&amp;$C91,Dataset!$V:$V,"&lt;"&amp;$D91)</f>
        <v>0</v>
      </c>
      <c r="S92" s="15">
        <f>+SUMIFS(Dataset!$P:$P,Dataset!$H:$H,S$79,Dataset!$V:$V,"&gt;="&amp;$C91,Dataset!$V:$V,"&lt;"&amp;$D91)</f>
        <v>0</v>
      </c>
      <c r="T92" s="15">
        <f>+SUMIFS(Dataset!$P:$P,Dataset!$H:$H,T$79,Dataset!$V:$V,"&gt;="&amp;$C91,Dataset!$V:$V,"&lt;"&amp;$D91)</f>
        <v>0</v>
      </c>
    </row>
    <row r="93" spans="3:20" ht="15" x14ac:dyDescent="0.25">
      <c r="C93">
        <f t="shared" si="9"/>
        <v>13.5</v>
      </c>
      <c r="D93">
        <f t="shared" si="10"/>
        <v>14.5</v>
      </c>
      <c r="G93" s="35" t="str">
        <f t="shared" si="11"/>
        <v>12.5 - 13.5</v>
      </c>
      <c r="H93" s="15">
        <f>+SUMIFS(Dataset!$P:$P,Dataset!$H:$H,H$79,Dataset!$V:$V,"&gt;="&amp;$C92,Dataset!$V:$V,"&lt;"&amp;$D92)</f>
        <v>0</v>
      </c>
      <c r="I93" s="15">
        <f>+SUMIFS(Dataset!$P:$P,Dataset!$H:$H,I$79,Dataset!$V:$V,"&gt;="&amp;$C92,Dataset!$V:$V,"&lt;"&amp;$D92)</f>
        <v>0</v>
      </c>
      <c r="J93" s="15">
        <f>+SUMIFS(Dataset!$P:$P,Dataset!$H:$H,J$79,Dataset!$V:$V,"&gt;="&amp;$C92,Dataset!$V:$V,"&lt;"&amp;$D92)</f>
        <v>0</v>
      </c>
      <c r="K93" s="15">
        <f>+SUMIFS(Dataset!$P:$P,Dataset!$H:$H,K$79,Dataset!$V:$V,"&gt;="&amp;$C92,Dataset!$V:$V,"&lt;"&amp;$D92)</f>
        <v>0</v>
      </c>
      <c r="L93" s="15">
        <f>+SUMIFS(Dataset!$P:$P,Dataset!$H:$H,L$79,Dataset!$V:$V,"&gt;="&amp;$C92,Dataset!$V:$V,"&lt;"&amp;$D92)</f>
        <v>0</v>
      </c>
      <c r="M93" s="15">
        <f>+SUMIFS(Dataset!$P:$P,Dataset!$H:$H,M$79,Dataset!$V:$V,"&gt;="&amp;$C92,Dataset!$V:$V,"&lt;"&amp;$D92)</f>
        <v>0</v>
      </c>
      <c r="N93" s="15">
        <f>+SUMIFS(Dataset!$P:$P,Dataset!$H:$H,N$79,Dataset!$V:$V,"&gt;="&amp;$C92,Dataset!$V:$V,"&lt;"&amp;$D92)</f>
        <v>0</v>
      </c>
      <c r="O93" s="15">
        <f>+SUMIFS(Dataset!$P:$P,Dataset!$H:$H,O$79,Dataset!$V:$V,"&gt;="&amp;$C92,Dataset!$V:$V,"&lt;"&amp;$D92)</f>
        <v>0</v>
      </c>
      <c r="P93" s="15">
        <f>+SUMIFS(Dataset!$P:$P,Dataset!$H:$H,P$79,Dataset!$V:$V,"&gt;="&amp;$C92,Dataset!$V:$V,"&lt;"&amp;$D92)</f>
        <v>0</v>
      </c>
      <c r="Q93" s="15">
        <f>+SUMIFS(Dataset!$P:$P,Dataset!$H:$H,Q$79,Dataset!$V:$V,"&gt;="&amp;$C92,Dataset!$V:$V,"&lt;"&amp;$D92)</f>
        <v>0</v>
      </c>
      <c r="R93" s="15">
        <f>+SUMIFS(Dataset!$P:$P,Dataset!$H:$H,R$79,Dataset!$V:$V,"&gt;="&amp;$C92,Dataset!$V:$V,"&lt;"&amp;$D92)</f>
        <v>0</v>
      </c>
      <c r="S93" s="15">
        <f>+SUMIFS(Dataset!$P:$P,Dataset!$H:$H,S$79,Dataset!$V:$V,"&gt;="&amp;$C92,Dataset!$V:$V,"&lt;"&amp;$D92)</f>
        <v>0</v>
      </c>
      <c r="T93" s="15">
        <f>+SUMIFS(Dataset!$P:$P,Dataset!$H:$H,T$79,Dataset!$V:$V,"&gt;="&amp;$C92,Dataset!$V:$V,"&lt;"&amp;$D92)</f>
        <v>0</v>
      </c>
    </row>
    <row r="94" spans="3:20" ht="15" x14ac:dyDescent="0.25">
      <c r="C94">
        <f t="shared" si="9"/>
        <v>14.5</v>
      </c>
      <c r="D94" t="s">
        <v>183</v>
      </c>
      <c r="G94" s="35" t="str">
        <f t="shared" si="11"/>
        <v>13.5 - 14.5</v>
      </c>
      <c r="H94" s="15">
        <f>+SUMIFS(Dataset!$P:$P,Dataset!$H:$H,H$79,Dataset!$V:$V,"&gt;="&amp;$C93,Dataset!$V:$V,"&lt;"&amp;$D93)</f>
        <v>0</v>
      </c>
      <c r="I94" s="15">
        <f>+SUMIFS(Dataset!$P:$P,Dataset!$H:$H,I$79,Dataset!$V:$V,"&gt;="&amp;$C93,Dataset!$V:$V,"&lt;"&amp;$D93)</f>
        <v>0</v>
      </c>
      <c r="J94" s="15">
        <f>+SUMIFS(Dataset!$P:$P,Dataset!$H:$H,J$79,Dataset!$V:$V,"&gt;="&amp;$C93,Dataset!$V:$V,"&lt;"&amp;$D93)</f>
        <v>0</v>
      </c>
      <c r="K94" s="15">
        <f>+SUMIFS(Dataset!$P:$P,Dataset!$H:$H,K$79,Dataset!$V:$V,"&gt;="&amp;$C93,Dataset!$V:$V,"&lt;"&amp;$D93)</f>
        <v>0</v>
      </c>
      <c r="L94" s="15">
        <f>+SUMIFS(Dataset!$P:$P,Dataset!$H:$H,L$79,Dataset!$V:$V,"&gt;="&amp;$C93,Dataset!$V:$V,"&lt;"&amp;$D93)</f>
        <v>0</v>
      </c>
      <c r="M94" s="15">
        <f>+SUMIFS(Dataset!$P:$P,Dataset!$H:$H,M$79,Dataset!$V:$V,"&gt;="&amp;$C93,Dataset!$V:$V,"&lt;"&amp;$D93)</f>
        <v>0</v>
      </c>
      <c r="N94" s="15">
        <f>+SUMIFS(Dataset!$P:$P,Dataset!$H:$H,N$79,Dataset!$V:$V,"&gt;="&amp;$C93,Dataset!$V:$V,"&lt;"&amp;$D93)</f>
        <v>0</v>
      </c>
      <c r="O94" s="15">
        <f>+SUMIFS(Dataset!$P:$P,Dataset!$H:$H,O$79,Dataset!$V:$V,"&gt;="&amp;$C93,Dataset!$V:$V,"&lt;"&amp;$D93)</f>
        <v>0</v>
      </c>
      <c r="P94" s="15">
        <f>+SUMIFS(Dataset!$P:$P,Dataset!$H:$H,P$79,Dataset!$V:$V,"&gt;="&amp;$C93,Dataset!$V:$V,"&lt;"&amp;$D93)</f>
        <v>0</v>
      </c>
      <c r="Q94" s="15">
        <f>+SUMIFS(Dataset!$P:$P,Dataset!$H:$H,Q$79,Dataset!$V:$V,"&gt;="&amp;$C93,Dataset!$V:$V,"&lt;"&amp;$D93)</f>
        <v>0</v>
      </c>
      <c r="R94" s="15">
        <f>+SUMIFS(Dataset!$P:$P,Dataset!$H:$H,R$79,Dataset!$V:$V,"&gt;="&amp;$C93,Dataset!$V:$V,"&lt;"&amp;$D93)</f>
        <v>0</v>
      </c>
      <c r="S94" s="15">
        <f>+SUMIFS(Dataset!$P:$P,Dataset!$H:$H,S$79,Dataset!$V:$V,"&gt;="&amp;$C93,Dataset!$V:$V,"&lt;"&amp;$D93)</f>
        <v>0</v>
      </c>
      <c r="T94" s="15">
        <f>+SUMIFS(Dataset!$P:$P,Dataset!$H:$H,T$79,Dataset!$V:$V,"&gt;="&amp;$C93,Dataset!$V:$V,"&lt;"&amp;$D93)</f>
        <v>0</v>
      </c>
    </row>
    <row r="95" spans="3:20" ht="15" x14ac:dyDescent="0.25">
      <c r="G95" s="35" t="str">
        <f>"+"&amp;C94</f>
        <v>+14.5</v>
      </c>
      <c r="H95" s="15">
        <f>+SUMIFS(Dataset!$P:$P,Dataset!$H:$H,H$79,Dataset!$V:$V,"&gt;="&amp;$C94,Dataset!$V:$V,"&lt;"&amp;$D94)</f>
        <v>0</v>
      </c>
      <c r="I95" s="15">
        <f>+SUMIFS(Dataset!$P:$P,Dataset!$H:$H,I$79,Dataset!$V:$V,"&gt;="&amp;$C94,Dataset!$V:$V,"&lt;"&amp;$D94)</f>
        <v>0</v>
      </c>
      <c r="J95" s="15">
        <f>+SUMIFS(Dataset!$P:$P,Dataset!$H:$H,J$79,Dataset!$V:$V,"&gt;="&amp;$C94,Dataset!$V:$V,"&lt;"&amp;$D94)</f>
        <v>0</v>
      </c>
      <c r="K95" s="15">
        <f>+SUMIFS(Dataset!$P:$P,Dataset!$H:$H,K$79,Dataset!$V:$V,"&gt;="&amp;$C94,Dataset!$V:$V,"&lt;"&amp;$D94)</f>
        <v>0</v>
      </c>
      <c r="L95" s="15">
        <f>+SUMIFS(Dataset!$P:$P,Dataset!$H:$H,L$79,Dataset!$V:$V,"&gt;="&amp;$C94,Dataset!$V:$V,"&lt;"&amp;$D94)</f>
        <v>0</v>
      </c>
      <c r="M95" s="15">
        <f>+SUMIFS(Dataset!$P:$P,Dataset!$H:$H,M$79,Dataset!$V:$V,"&gt;="&amp;$C94,Dataset!$V:$V,"&lt;"&amp;$D94)</f>
        <v>0</v>
      </c>
      <c r="N95" s="15">
        <f>+SUMIFS(Dataset!$P:$P,Dataset!$H:$H,N$79,Dataset!$V:$V,"&gt;="&amp;$C94,Dataset!$V:$V,"&lt;"&amp;$D94)</f>
        <v>0</v>
      </c>
      <c r="O95" s="15">
        <f>+SUMIFS(Dataset!$P:$P,Dataset!$H:$H,O$79,Dataset!$V:$V,"&gt;="&amp;$C94,Dataset!$V:$V,"&lt;"&amp;$D94)</f>
        <v>0</v>
      </c>
      <c r="P95" s="15">
        <f>+SUMIFS(Dataset!$P:$P,Dataset!$H:$H,P$79,Dataset!$V:$V,"&gt;="&amp;$C94,Dataset!$V:$V,"&lt;"&amp;$D94)</f>
        <v>0</v>
      </c>
      <c r="Q95" s="15">
        <f>+SUMIFS(Dataset!$P:$P,Dataset!$H:$H,Q$79,Dataset!$V:$V,"&gt;="&amp;$C94,Dataset!$V:$V,"&lt;"&amp;$D94)</f>
        <v>0</v>
      </c>
      <c r="R95" s="15">
        <f>+SUMIFS(Dataset!$P:$P,Dataset!$H:$H,R$79,Dataset!$V:$V,"&gt;="&amp;$C94,Dataset!$V:$V,"&lt;"&amp;$D94)</f>
        <v>0</v>
      </c>
      <c r="S95" s="15">
        <f>+SUMIFS(Dataset!$P:$P,Dataset!$H:$H,S$79,Dataset!$V:$V,"&gt;="&amp;$C94,Dataset!$V:$V,"&lt;"&amp;$D94)</f>
        <v>0</v>
      </c>
      <c r="T95" s="15">
        <f>+SUMIFS(Dataset!$P:$P,Dataset!$H:$H,T$79,Dataset!$V:$V,"&gt;="&amp;$C94,Dataset!$V:$V,"&lt;"&amp;$D94)</f>
        <v>0</v>
      </c>
    </row>
    <row r="96" spans="3:20" ht="16.5" x14ac:dyDescent="0.2">
      <c r="G96" s="32" t="s">
        <v>147</v>
      </c>
      <c r="H96" s="33">
        <f>+SUM(H80:H95)</f>
        <v>1.5699999999999999E-2</v>
      </c>
      <c r="I96" s="33">
        <f t="shared" ref="I96:T96" si="12">+SUM(I80:I95)</f>
        <v>0.23499999999999999</v>
      </c>
      <c r="J96" s="33">
        <f t="shared" si="12"/>
        <v>0</v>
      </c>
      <c r="K96" s="33">
        <f t="shared" si="12"/>
        <v>0</v>
      </c>
      <c r="L96" s="33">
        <f t="shared" si="12"/>
        <v>0.2989</v>
      </c>
      <c r="M96" s="33">
        <f t="shared" si="12"/>
        <v>0</v>
      </c>
      <c r="N96" s="33">
        <f t="shared" si="12"/>
        <v>0</v>
      </c>
      <c r="O96" s="33">
        <f t="shared" si="12"/>
        <v>0</v>
      </c>
      <c r="P96" s="33">
        <f t="shared" si="12"/>
        <v>3.1E-2</v>
      </c>
      <c r="Q96" s="33">
        <f t="shared" si="12"/>
        <v>0</v>
      </c>
      <c r="R96" s="33">
        <f t="shared" si="12"/>
        <v>0</v>
      </c>
      <c r="S96" s="33">
        <f t="shared" si="12"/>
        <v>0</v>
      </c>
      <c r="T96" s="33">
        <f t="shared" si="12"/>
        <v>0</v>
      </c>
    </row>
  </sheetData>
  <mergeCells count="2">
    <mergeCell ref="N52:U52"/>
    <mergeCell ref="E52:M5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23</xdr:col>
                    <xdr:colOff>742950</xdr:colOff>
                    <xdr:row>4</xdr:row>
                    <xdr:rowOff>123825</xdr:rowOff>
                  </from>
                  <to>
                    <xdr:col>26</xdr:col>
                    <xdr:colOff>114300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C2:W29"/>
  <sheetViews>
    <sheetView showGridLines="0" workbookViewId="0">
      <selection activeCell="P25" sqref="P25"/>
    </sheetView>
  </sheetViews>
  <sheetFormatPr baseColWidth="10" defaultRowHeight="14.25" x14ac:dyDescent="0.2"/>
  <cols>
    <col min="1" max="2" width="9.5" customWidth="1"/>
    <col min="3" max="3" width="9.375" customWidth="1"/>
    <col min="4" max="4" width="23" bestFit="1" customWidth="1"/>
    <col min="5" max="5" width="13.5" bestFit="1" customWidth="1"/>
    <col min="6" max="6" width="7" bestFit="1" customWidth="1"/>
    <col min="7" max="7" width="11.375" bestFit="1" customWidth="1"/>
    <col min="8" max="8" width="11.875" customWidth="1"/>
    <col min="9" max="9" width="7.75" bestFit="1" customWidth="1"/>
    <col min="10" max="10" width="11.375" bestFit="1" customWidth="1"/>
    <col min="11" max="12" width="14.75" bestFit="1" customWidth="1"/>
    <col min="13" max="13" width="11.125" bestFit="1" customWidth="1"/>
    <col min="14" max="14" width="13.5" bestFit="1" customWidth="1"/>
    <col min="15" max="15" width="12.625" bestFit="1" customWidth="1"/>
    <col min="16" max="16" width="16.5" bestFit="1" customWidth="1"/>
    <col min="17" max="17" width="7.5" customWidth="1"/>
    <col min="18" max="18" width="6.25" customWidth="1"/>
    <col min="21" max="21" width="15.25" hidden="1" customWidth="1"/>
    <col min="22" max="22" width="14.875" hidden="1" customWidth="1"/>
    <col min="23" max="23" width="14.25" hidden="1" customWidth="1"/>
  </cols>
  <sheetData>
    <row r="2" spans="3:23" x14ac:dyDescent="0.2">
      <c r="D2" s="62" t="s">
        <v>293</v>
      </c>
      <c r="E2" s="63">
        <f ca="1">+TODAY()</f>
        <v>43095</v>
      </c>
      <c r="K2" s="45"/>
      <c r="M2" s="45"/>
    </row>
    <row r="3" spans="3:23" x14ac:dyDescent="0.2">
      <c r="D3" s="61" t="s">
        <v>199</v>
      </c>
      <c r="E3" s="39">
        <f>+SUM(Dataset!$Y$2:$Y$1048576)</f>
        <v>47000</v>
      </c>
    </row>
    <row r="5" spans="3:23" ht="16.5" x14ac:dyDescent="0.3">
      <c r="C5" s="74" t="s">
        <v>279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U5" t="s">
        <v>202</v>
      </c>
      <c r="V5" t="s">
        <v>206</v>
      </c>
      <c r="W5" t="s">
        <v>203</v>
      </c>
    </row>
    <row r="6" spans="3:23" ht="16.5" x14ac:dyDescent="0.3">
      <c r="C6" s="55" t="s">
        <v>195</v>
      </c>
      <c r="D6" s="55" t="s">
        <v>283</v>
      </c>
      <c r="E6" s="55" t="s">
        <v>280</v>
      </c>
      <c r="F6" s="55" t="s">
        <v>139</v>
      </c>
      <c r="G6" s="55" t="s">
        <v>281</v>
      </c>
      <c r="H6" s="55" t="s">
        <v>276</v>
      </c>
      <c r="I6" s="55" t="s">
        <v>278</v>
      </c>
      <c r="J6" s="55" t="s">
        <v>194</v>
      </c>
      <c r="K6" s="55" t="s">
        <v>184</v>
      </c>
      <c r="L6" s="55" t="s">
        <v>294</v>
      </c>
      <c r="M6" s="55" t="s">
        <v>207</v>
      </c>
      <c r="N6" s="55" t="s">
        <v>288</v>
      </c>
      <c r="O6" s="55" t="s">
        <v>289</v>
      </c>
      <c r="P6" s="55" t="s">
        <v>198</v>
      </c>
      <c r="Q6" s="55" t="s">
        <v>140</v>
      </c>
      <c r="R6" s="55" t="s">
        <v>17</v>
      </c>
      <c r="S6" s="43"/>
    </row>
    <row r="7" spans="3:23" ht="16.5" x14ac:dyDescent="0.3">
      <c r="C7" s="46">
        <v>1</v>
      </c>
      <c r="D7" s="49"/>
      <c r="E7" s="44" t="s">
        <v>201</v>
      </c>
      <c r="F7" s="44"/>
      <c r="G7" s="49" t="s">
        <v>284</v>
      </c>
      <c r="H7" s="49" t="s">
        <v>277</v>
      </c>
      <c r="I7" s="49">
        <v>100</v>
      </c>
      <c r="J7" s="44">
        <v>10</v>
      </c>
      <c r="K7" s="44"/>
      <c r="L7" s="50" t="e">
        <f ca="1">+_xll.BDP(E7&amp;" Corp",L$6)</f>
        <v>#NAME?</v>
      </c>
      <c r="M7" s="44">
        <v>100</v>
      </c>
      <c r="N7" s="51" t="str">
        <f ca="1">IFERROR(BDP($E7 &amp; " Corp",$V$5,$U$5,$L7*100,"SETTLE_DT",TEXT($E2,"yyyymmdd")),"")</f>
        <v/>
      </c>
      <c r="O7" s="52" t="str">
        <f ca="1">IFERROR(BDP($E7 &amp; " Corp",W$5,$U$5,$L7*100,"SETTLE_DT",TEXT($E2,"yyyymmdd")),"")</f>
        <v/>
      </c>
      <c r="P7" s="44" t="str">
        <f ca="1">+IFERROR(IF(H7="NOMINALES",1/J7*(O7*I7/M7),-I7/J7),"")</f>
        <v/>
      </c>
      <c r="Q7" s="53" t="str">
        <f t="shared" ref="Q7:Q16" ca="1" si="0">+IFERROR(P7/$E$3,"")</f>
        <v/>
      </c>
      <c r="R7" t="str">
        <f ca="1">+IFERROR(K7*Q7,"")</f>
        <v/>
      </c>
    </row>
    <row r="8" spans="3:23" ht="16.5" x14ac:dyDescent="0.3">
      <c r="C8" s="46">
        <v>2</v>
      </c>
      <c r="D8" s="49"/>
      <c r="E8" s="44" t="s">
        <v>205</v>
      </c>
      <c r="F8" s="44"/>
      <c r="G8" s="49" t="s">
        <v>285</v>
      </c>
      <c r="H8" s="49" t="s">
        <v>286</v>
      </c>
      <c r="I8" s="49"/>
      <c r="J8" s="44">
        <v>10</v>
      </c>
      <c r="K8" s="44"/>
      <c r="L8" s="50" t="e">
        <f ca="1">+_xll.BDP(E8&amp;" Corp",L$6)</f>
        <v>#NAME?</v>
      </c>
      <c r="M8" s="54">
        <v>100</v>
      </c>
      <c r="N8" s="51" t="str">
        <f t="shared" ref="N8:N15" ca="1" si="1">IFERROR(BDP($E8 &amp; " Corp",$V$5,$U$5,$L8*100,"SETTLE_DT",TEXT($E3,"yyyymmdd")),"")</f>
        <v/>
      </c>
      <c r="O8" s="52" t="str">
        <f t="shared" ref="O8:O15" ca="1" si="2">IFERROR(BDP($E8 &amp; " Corp",W$5,$U$5,$L8*100,"SETTLE_DT",TEXT($E3,"yyyymmdd")),"")</f>
        <v/>
      </c>
      <c r="P8" s="44">
        <f t="shared" ref="P8:P16" si="3">+IFERROR(IF(H8="NOMINALES",1/J8*(O8*I8/M8),-I8/J8),"")</f>
        <v>0</v>
      </c>
      <c r="Q8" s="53">
        <f t="shared" si="0"/>
        <v>0</v>
      </c>
      <c r="R8">
        <f t="shared" ref="R8:R15" si="4">+IFERROR(K8*Q8,"")</f>
        <v>0</v>
      </c>
    </row>
    <row r="9" spans="3:23" ht="16.5" x14ac:dyDescent="0.3">
      <c r="C9" s="46">
        <v>3</v>
      </c>
      <c r="D9" s="49"/>
      <c r="E9" s="49"/>
      <c r="F9" s="49"/>
      <c r="G9" s="49"/>
      <c r="H9" s="49"/>
      <c r="I9" s="49"/>
      <c r="J9" s="44"/>
      <c r="K9" s="44"/>
      <c r="L9" s="44"/>
      <c r="M9" s="49"/>
      <c r="N9" s="51" t="str">
        <f t="shared" ca="1" si="1"/>
        <v/>
      </c>
      <c r="O9" s="52" t="str">
        <f t="shared" ca="1" si="2"/>
        <v/>
      </c>
      <c r="P9" s="44" t="str">
        <f t="shared" si="3"/>
        <v/>
      </c>
      <c r="Q9" s="53" t="str">
        <f t="shared" si="0"/>
        <v/>
      </c>
      <c r="R9" t="str">
        <f t="shared" si="4"/>
        <v/>
      </c>
    </row>
    <row r="10" spans="3:23" ht="16.5" x14ac:dyDescent="0.3">
      <c r="C10" s="46">
        <v>4</v>
      </c>
      <c r="D10" s="49"/>
      <c r="E10" s="49"/>
      <c r="F10" s="49"/>
      <c r="G10" s="49"/>
      <c r="H10" s="49"/>
      <c r="I10" s="49"/>
      <c r="J10" s="44"/>
      <c r="K10" s="44"/>
      <c r="L10" s="44"/>
      <c r="M10" s="49"/>
      <c r="N10" s="51" t="str">
        <f t="shared" ca="1" si="1"/>
        <v/>
      </c>
      <c r="O10" s="52" t="str">
        <f t="shared" ca="1" si="2"/>
        <v/>
      </c>
      <c r="P10" s="44" t="str">
        <f t="shared" si="3"/>
        <v/>
      </c>
      <c r="Q10" s="53" t="str">
        <f t="shared" si="0"/>
        <v/>
      </c>
      <c r="R10" t="str">
        <f t="shared" si="4"/>
        <v/>
      </c>
    </row>
    <row r="11" spans="3:23" ht="16.5" x14ac:dyDescent="0.3">
      <c r="C11" s="46">
        <v>5</v>
      </c>
      <c r="D11" s="49"/>
      <c r="E11" s="49"/>
      <c r="F11" s="49"/>
      <c r="G11" s="49"/>
      <c r="H11" s="49"/>
      <c r="I11" s="49"/>
      <c r="J11" s="44"/>
      <c r="K11" s="44"/>
      <c r="L11" s="44"/>
      <c r="M11" s="49"/>
      <c r="N11" s="51" t="str">
        <f t="shared" ca="1" si="1"/>
        <v/>
      </c>
      <c r="O11" s="52" t="str">
        <f t="shared" ca="1" si="2"/>
        <v/>
      </c>
      <c r="P11" s="44" t="str">
        <f t="shared" si="3"/>
        <v/>
      </c>
      <c r="Q11" s="53" t="str">
        <f t="shared" si="0"/>
        <v/>
      </c>
      <c r="R11" t="str">
        <f t="shared" si="4"/>
        <v/>
      </c>
    </row>
    <row r="12" spans="3:23" ht="16.5" x14ac:dyDescent="0.3">
      <c r="C12" s="46">
        <v>6</v>
      </c>
      <c r="D12" s="49"/>
      <c r="E12" s="49"/>
      <c r="F12" s="49"/>
      <c r="G12" s="49"/>
      <c r="H12" s="49"/>
      <c r="I12" s="49"/>
      <c r="J12" s="44"/>
      <c r="K12" s="44"/>
      <c r="L12" s="44"/>
      <c r="M12" s="49"/>
      <c r="N12" s="51" t="str">
        <f t="shared" ca="1" si="1"/>
        <v/>
      </c>
      <c r="O12" s="52" t="str">
        <f t="shared" ca="1" si="2"/>
        <v/>
      </c>
      <c r="P12" s="44" t="str">
        <f t="shared" si="3"/>
        <v/>
      </c>
      <c r="Q12" s="53" t="str">
        <f t="shared" si="0"/>
        <v/>
      </c>
      <c r="R12" t="str">
        <f t="shared" si="4"/>
        <v/>
      </c>
    </row>
    <row r="13" spans="3:23" ht="16.5" x14ac:dyDescent="0.3">
      <c r="C13" s="46">
        <v>7</v>
      </c>
      <c r="D13" s="49"/>
      <c r="E13" s="49"/>
      <c r="F13" s="49"/>
      <c r="G13" s="49"/>
      <c r="H13" s="49"/>
      <c r="I13" s="49"/>
      <c r="J13" s="44"/>
      <c r="K13" s="44"/>
      <c r="L13" s="44"/>
      <c r="M13" s="49"/>
      <c r="N13" s="51" t="str">
        <f t="shared" ca="1" si="1"/>
        <v/>
      </c>
      <c r="O13" s="52" t="str">
        <f t="shared" ca="1" si="2"/>
        <v/>
      </c>
      <c r="P13" s="44" t="str">
        <f t="shared" si="3"/>
        <v/>
      </c>
      <c r="Q13" s="53" t="str">
        <f t="shared" si="0"/>
        <v/>
      </c>
      <c r="R13" t="str">
        <f t="shared" si="4"/>
        <v/>
      </c>
    </row>
    <row r="14" spans="3:23" ht="16.5" x14ac:dyDescent="0.3">
      <c r="C14" s="46">
        <v>8</v>
      </c>
      <c r="D14" s="49"/>
      <c r="E14" s="49"/>
      <c r="F14" s="49"/>
      <c r="G14" s="49"/>
      <c r="H14" s="49"/>
      <c r="I14" s="49"/>
      <c r="J14" s="44"/>
      <c r="K14" s="44"/>
      <c r="L14" s="44"/>
      <c r="M14" s="49"/>
      <c r="N14" s="51" t="str">
        <f t="shared" ca="1" si="1"/>
        <v/>
      </c>
      <c r="O14" s="52" t="str">
        <f t="shared" ca="1" si="2"/>
        <v/>
      </c>
      <c r="P14" s="44" t="str">
        <f t="shared" si="3"/>
        <v/>
      </c>
      <c r="Q14" s="53" t="str">
        <f t="shared" si="0"/>
        <v/>
      </c>
      <c r="R14" t="str">
        <f t="shared" si="4"/>
        <v/>
      </c>
    </row>
    <row r="15" spans="3:23" ht="16.5" x14ac:dyDescent="0.3">
      <c r="C15" s="46">
        <v>9</v>
      </c>
      <c r="D15" s="49"/>
      <c r="E15" s="49"/>
      <c r="F15" s="49"/>
      <c r="G15" s="49"/>
      <c r="H15" s="49"/>
      <c r="I15" s="49"/>
      <c r="J15" s="44"/>
      <c r="K15" s="44"/>
      <c r="L15" s="44"/>
      <c r="M15" s="49"/>
      <c r="N15" s="51" t="str">
        <f t="shared" ca="1" si="1"/>
        <v/>
      </c>
      <c r="O15" s="52" t="str">
        <f t="shared" ca="1" si="2"/>
        <v/>
      </c>
      <c r="P15" s="44" t="str">
        <f t="shared" si="3"/>
        <v/>
      </c>
      <c r="Q15" s="53" t="str">
        <f t="shared" si="0"/>
        <v/>
      </c>
      <c r="R15" t="str">
        <f t="shared" si="4"/>
        <v/>
      </c>
    </row>
    <row r="16" spans="3:23" ht="16.5" x14ac:dyDescent="0.3">
      <c r="C16" s="40">
        <v>10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 t="str">
        <f ca="1">IFERROR(BDP($E16 &amp; " Corp",$V$5,$U$5,$L16*100,"SETTLE_DT",TEXT($L11,"yyyymmdd")),"")</f>
        <v/>
      </c>
      <c r="O16" s="40" t="str">
        <f ca="1">IFERROR(BDP($E16 &amp; " Corp",W$5,$U$5,$L16*100,"SETTLE_DT",TEXT($L11,"yyyymmdd")),"")</f>
        <v/>
      </c>
      <c r="P16" s="40" t="str">
        <f t="shared" si="3"/>
        <v/>
      </c>
      <c r="Q16" s="40" t="str">
        <f t="shared" si="0"/>
        <v/>
      </c>
      <c r="R16" s="40" t="str">
        <f t="shared" ref="R16" si="5">+IFERROR(K16*Q16,"")</f>
        <v/>
      </c>
    </row>
    <row r="17" spans="3:18" ht="16.5" x14ac:dyDescent="0.3">
      <c r="C17" s="55" t="s">
        <v>151</v>
      </c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>
        <f ca="1">+SUMIF($G$7:$G$16,"Compra",$P$7:$P$16)</f>
        <v>0</v>
      </c>
      <c r="Q17" s="55">
        <f t="shared" ref="Q17:R18" ca="1" si="6">+SUMIF($G$7:$G$16,"Compra",$P$7:$P$16)</f>
        <v>0</v>
      </c>
      <c r="R17" s="55">
        <f t="shared" ca="1" si="6"/>
        <v>0</v>
      </c>
    </row>
    <row r="18" spans="3:18" ht="16.5" x14ac:dyDescent="0.3">
      <c r="C18" s="55" t="s">
        <v>152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>
        <f ca="1">+SUMIF($G$7:$G$16,"Compra",$P$7:$P$16)</f>
        <v>0</v>
      </c>
      <c r="Q18" s="55">
        <f t="shared" ca="1" si="6"/>
        <v>0</v>
      </c>
      <c r="R18" s="55">
        <f t="shared" ca="1" si="6"/>
        <v>0</v>
      </c>
    </row>
    <row r="21" spans="3:18" ht="16.5" x14ac:dyDescent="0.3">
      <c r="G21" s="47" t="s">
        <v>292</v>
      </c>
      <c r="H21" s="38" t="s">
        <v>139</v>
      </c>
      <c r="I21" s="29" t="s">
        <v>196</v>
      </c>
      <c r="J21" s="29" t="s">
        <v>197</v>
      </c>
      <c r="K21" s="29" t="s">
        <v>287</v>
      </c>
      <c r="L21" s="29" t="s">
        <v>155</v>
      </c>
      <c r="M21" s="29" t="s">
        <v>290</v>
      </c>
      <c r="N21" s="29" t="s">
        <v>291</v>
      </c>
    </row>
    <row r="22" spans="3:18" ht="16.5" x14ac:dyDescent="0.2">
      <c r="G22" s="46" t="s">
        <v>125</v>
      </c>
      <c r="H22" s="18" t="s">
        <v>171</v>
      </c>
      <c r="I22" s="20">
        <f>+IR!F10</f>
        <v>3.1E-2</v>
      </c>
      <c r="J22" s="21">
        <f t="shared" ref="J22:J28" si="7">+I22+SUMIFS($Q$7:$Q$16,$F$7:$F$16,$G22)</f>
        <v>3.1E-2</v>
      </c>
      <c r="K22" s="6">
        <f>+SUMIFS(Dataset!Q:Q,Dataset!F:F,'Simulacion trades'!$G22)</f>
        <v>0</v>
      </c>
      <c r="L22" s="56">
        <f>+J22-K22</f>
        <v>3.1E-2</v>
      </c>
      <c r="M22" s="57">
        <f>+IR!I10</f>
        <v>0</v>
      </c>
      <c r="N22" s="58">
        <f t="shared" ref="N22:N28" si="8">+M22*I22+SUMIFS($S$7:$S$16,$F$7:$F$16,$G22)</f>
        <v>0</v>
      </c>
    </row>
    <row r="23" spans="3:18" ht="16.5" x14ac:dyDescent="0.2">
      <c r="G23" s="46" t="s">
        <v>126</v>
      </c>
      <c r="H23" s="18" t="s">
        <v>161</v>
      </c>
      <c r="I23" s="20">
        <f>+IR!F11</f>
        <v>0.29969999999999997</v>
      </c>
      <c r="J23" s="21">
        <f t="shared" si="7"/>
        <v>0.29969999999999997</v>
      </c>
      <c r="K23" s="6">
        <f>+SUMIFS(Dataset!Q:Q,Dataset!F:F,'Simulacion trades'!$G23)</f>
        <v>0</v>
      </c>
      <c r="L23" s="56">
        <f t="shared" ref="L23:L28" si="9">+J23-K23</f>
        <v>0.29969999999999997</v>
      </c>
      <c r="M23" s="57">
        <f>+IR!I11</f>
        <v>0</v>
      </c>
      <c r="N23" s="58">
        <f t="shared" si="8"/>
        <v>0</v>
      </c>
    </row>
    <row r="24" spans="3:18" ht="16.5" x14ac:dyDescent="0.2">
      <c r="G24" s="46" t="s">
        <v>127</v>
      </c>
      <c r="H24" s="18" t="s">
        <v>157</v>
      </c>
      <c r="I24" s="20">
        <f>+IR!F12</f>
        <v>1.5699999999999999E-2</v>
      </c>
      <c r="J24" s="21">
        <f t="shared" si="7"/>
        <v>1.5699999999999999E-2</v>
      </c>
      <c r="K24" s="6">
        <f>+SUMIFS(Dataset!Q:Q,Dataset!F:F,'Simulacion trades'!$G24)</f>
        <v>0</v>
      </c>
      <c r="L24" s="56">
        <f t="shared" si="9"/>
        <v>1.5699999999999999E-2</v>
      </c>
      <c r="M24" s="57">
        <f>+IR!I12</f>
        <v>0</v>
      </c>
      <c r="N24" s="58">
        <f t="shared" si="8"/>
        <v>0</v>
      </c>
    </row>
    <row r="25" spans="3:18" ht="16.5" x14ac:dyDescent="0.2">
      <c r="G25" s="46" t="s">
        <v>128</v>
      </c>
      <c r="H25" s="18" t="s">
        <v>159</v>
      </c>
      <c r="I25" s="20">
        <f>+IR!F13</f>
        <v>0.23499999999999999</v>
      </c>
      <c r="J25" s="21">
        <f t="shared" si="7"/>
        <v>0.23499999999999999</v>
      </c>
      <c r="K25" s="6">
        <f>+SUMIFS(Dataset!Q:Q,Dataset!F:F,'Simulacion trades'!$G25)</f>
        <v>0</v>
      </c>
      <c r="L25" s="56">
        <f t="shared" si="9"/>
        <v>0.23499999999999999</v>
      </c>
      <c r="M25" s="57">
        <f>+IR!I13</f>
        <v>0</v>
      </c>
      <c r="N25" s="58">
        <f t="shared" si="8"/>
        <v>0</v>
      </c>
    </row>
    <row r="26" spans="3:18" ht="16.5" x14ac:dyDescent="0.2">
      <c r="G26" s="46" t="s">
        <v>129</v>
      </c>
      <c r="H26" s="18" t="s">
        <v>158</v>
      </c>
      <c r="I26" s="20">
        <f>+IR!F14</f>
        <v>0.17469999999999999</v>
      </c>
      <c r="J26" s="21">
        <f t="shared" si="7"/>
        <v>0.17469999999999999</v>
      </c>
      <c r="K26" s="6">
        <f>+SUMIFS(Dataset!Q:Q,Dataset!F:F,'Simulacion trades'!$G26)</f>
        <v>0</v>
      </c>
      <c r="L26" s="56">
        <f t="shared" si="9"/>
        <v>0.17469999999999999</v>
      </c>
      <c r="M26" s="57">
        <f>+IR!I14</f>
        <v>0</v>
      </c>
      <c r="N26" s="58">
        <f t="shared" si="8"/>
        <v>0</v>
      </c>
    </row>
    <row r="27" spans="3:18" ht="16.5" x14ac:dyDescent="0.2">
      <c r="G27" s="46" t="s">
        <v>130</v>
      </c>
      <c r="H27" s="18" t="s">
        <v>160</v>
      </c>
      <c r="I27" s="20">
        <f>+IR!F15</f>
        <v>7.8100000000000003E-2</v>
      </c>
      <c r="J27" s="21">
        <f t="shared" si="7"/>
        <v>7.8100000000000003E-2</v>
      </c>
      <c r="K27" s="6">
        <f>+SUMIFS(Dataset!Q:Q,Dataset!F:F,'Simulacion trades'!$G27)</f>
        <v>0</v>
      </c>
      <c r="L27" s="56">
        <f t="shared" si="9"/>
        <v>7.8100000000000003E-2</v>
      </c>
      <c r="M27" s="57">
        <f>+IR!I15</f>
        <v>0</v>
      </c>
      <c r="N27" s="58">
        <f t="shared" si="8"/>
        <v>0</v>
      </c>
    </row>
    <row r="28" spans="3:18" ht="16.5" x14ac:dyDescent="0.2">
      <c r="G28" s="23" t="s">
        <v>131</v>
      </c>
      <c r="H28" s="23" t="s">
        <v>172</v>
      </c>
      <c r="I28" s="23">
        <f>+IR!F16</f>
        <v>0.16579999999999995</v>
      </c>
      <c r="J28" s="23">
        <f t="shared" si="7"/>
        <v>0.16579999999999995</v>
      </c>
      <c r="K28" s="23">
        <f>+SUMIFS(Dataset!Q:Q,Dataset!F:F,'Simulacion trades'!$G28)</f>
        <v>0</v>
      </c>
      <c r="L28" s="23">
        <f t="shared" si="9"/>
        <v>0.16579999999999995</v>
      </c>
      <c r="M28" s="59">
        <f>+IR!I16</f>
        <v>0</v>
      </c>
      <c r="N28" s="59">
        <f t="shared" si="8"/>
        <v>0</v>
      </c>
    </row>
    <row r="29" spans="3:18" ht="16.5" x14ac:dyDescent="0.2">
      <c r="G29" s="75" t="s">
        <v>147</v>
      </c>
      <c r="H29" s="75"/>
      <c r="I29" s="25">
        <f>+SUM(I22:I28)</f>
        <v>0.99999999999999978</v>
      </c>
      <c r="J29" s="25">
        <f t="shared" ref="J29:L29" si="10">+SUM(J22:J28)</f>
        <v>0.99999999999999978</v>
      </c>
      <c r="K29" s="25">
        <f t="shared" si="10"/>
        <v>0</v>
      </c>
      <c r="L29" s="25">
        <f t="shared" si="10"/>
        <v>0.99999999999999978</v>
      </c>
      <c r="M29" s="60">
        <f>+IR!I17</f>
        <v>0</v>
      </c>
      <c r="N29" s="60">
        <f>+SUMPRODUCT(J22:J28,N22:N28)</f>
        <v>0</v>
      </c>
    </row>
  </sheetData>
  <mergeCells count="2">
    <mergeCell ref="C5:R5"/>
    <mergeCell ref="G29:H29"/>
  </mergeCells>
  <dataValidations count="2">
    <dataValidation type="list" allowBlank="1" showInputMessage="1" showErrorMessage="1" sqref="H7:H16" xr:uid="{62ABAAB0-8C4E-4265-A864-3140DAF53C4A}">
      <formula1>"NOMINALES,VPTE"</formula1>
    </dataValidation>
    <dataValidation type="list" allowBlank="1" showInputMessage="1" showErrorMessage="1" sqref="G7:G16" xr:uid="{AD483DFC-9B1B-4AC1-BAA1-65FC59D78661}">
      <formula1>"COMPRA,VENTA"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809A60-6ED9-4BE0-BFAF-9918E8F9696A}">
          <x14:formula1>
            <xm:f>BD_Instrumentos!$B$2:$B$1048576</xm:f>
          </x14:formula1>
          <xm:sqref>D7:D16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C8:O24"/>
  <sheetViews>
    <sheetView showGridLines="0" workbookViewId="0">
      <selection activeCell="F27" sqref="F27"/>
    </sheetView>
  </sheetViews>
  <sheetFormatPr baseColWidth="10" defaultRowHeight="14.25" x14ac:dyDescent="0.2"/>
  <cols>
    <col min="3" max="3" width="7.875" bestFit="1" customWidth="1"/>
    <col min="4" max="4" width="12.125" customWidth="1"/>
    <col min="5" max="5" width="11.75" customWidth="1"/>
    <col min="6" max="6" width="13.25" bestFit="1" customWidth="1"/>
    <col min="7" max="7" width="14.25" bestFit="1" customWidth="1"/>
    <col min="8" max="8" width="14.125" customWidth="1"/>
    <col min="9" max="9" width="19.875" bestFit="1" customWidth="1"/>
    <col min="10" max="10" width="10.25" customWidth="1"/>
    <col min="11" max="11" width="8.625" customWidth="1"/>
    <col min="12" max="12" width="12.125" bestFit="1" customWidth="1"/>
    <col min="15" max="15" width="10.25" customWidth="1"/>
    <col min="16" max="16" width="12.125" customWidth="1"/>
  </cols>
  <sheetData>
    <row r="8" spans="3:15" ht="16.5" x14ac:dyDescent="0.3">
      <c r="F8" s="78" t="s">
        <v>296</v>
      </c>
      <c r="G8" s="78"/>
      <c r="H8" s="78"/>
      <c r="I8" s="78"/>
      <c r="J8" s="78"/>
      <c r="K8" s="78"/>
      <c r="L8" s="78"/>
    </row>
    <row r="9" spans="3:15" ht="15" x14ac:dyDescent="0.25">
      <c r="F9" s="64" t="s">
        <v>141</v>
      </c>
      <c r="G9" s="64" t="s">
        <v>142</v>
      </c>
      <c r="H9" s="64" t="s">
        <v>143</v>
      </c>
      <c r="I9" s="64" t="s">
        <v>145</v>
      </c>
      <c r="J9" s="64" t="s">
        <v>151</v>
      </c>
      <c r="K9" s="64" t="s">
        <v>152</v>
      </c>
      <c r="L9" s="64" t="s">
        <v>144</v>
      </c>
    </row>
    <row r="10" spans="3:15" x14ac:dyDescent="0.2">
      <c r="F10" s="9">
        <f>+Caja!F9</f>
        <v>298669.2985526796</v>
      </c>
      <c r="G10" s="9">
        <v>200000</v>
      </c>
      <c r="H10" s="9">
        <v>0</v>
      </c>
      <c r="I10" s="9">
        <v>26</v>
      </c>
      <c r="L10" s="9">
        <f>+F10+G10-H10+I10</f>
        <v>498695.2985526796</v>
      </c>
    </row>
    <row r="15" spans="3:15" x14ac:dyDescent="0.2">
      <c r="D15" s="76">
        <f>+Dataset!A2</f>
        <v>43060</v>
      </c>
      <c r="E15" s="77"/>
      <c r="F15" s="76">
        <v>43060</v>
      </c>
      <c r="G15" s="77"/>
    </row>
    <row r="16" spans="3:15" ht="16.5" x14ac:dyDescent="0.3">
      <c r="C16" s="66" t="s">
        <v>139</v>
      </c>
      <c r="D16" s="66" t="s">
        <v>150</v>
      </c>
      <c r="E16" s="66" t="s">
        <v>139</v>
      </c>
      <c r="F16" s="66" t="s">
        <v>295</v>
      </c>
      <c r="G16" s="66" t="s">
        <v>146</v>
      </c>
      <c r="H16" s="66" t="s">
        <v>153</v>
      </c>
      <c r="I16" s="8"/>
      <c r="M16" s="66" t="s">
        <v>139</v>
      </c>
      <c r="N16" s="66"/>
      <c r="O16" s="66" t="s">
        <v>150</v>
      </c>
    </row>
    <row r="17" spans="3:15" x14ac:dyDescent="0.2">
      <c r="C17" s="1" t="s">
        <v>125</v>
      </c>
      <c r="D17" s="6">
        <v>1.8999999999999996E-2</v>
      </c>
      <c r="E17" s="9">
        <f>+SUMIFS(Dataset!Y:Y,Dataset!E:E,$C17)</f>
        <v>3000</v>
      </c>
      <c r="F17" s="6">
        <v>1.8999999999999996E-2</v>
      </c>
      <c r="G17" s="9">
        <f>+F17*SUM(Dataset!Y:Y+$L$10)</f>
        <v>9494.2106725009107</v>
      </c>
      <c r="H17" s="9">
        <f>+G17-E17</f>
        <v>6494.2106725009107</v>
      </c>
      <c r="M17" s="65" t="s">
        <v>125</v>
      </c>
      <c r="N17" s="3">
        <v>2E-3</v>
      </c>
      <c r="O17" s="5">
        <f t="shared" ref="O17:O24" si="0">+D17+N17</f>
        <v>2.0999999999999998E-2</v>
      </c>
    </row>
    <row r="18" spans="3:15" x14ac:dyDescent="0.2">
      <c r="C18" s="1" t="s">
        <v>126</v>
      </c>
      <c r="D18" s="6">
        <v>0.30969999999999998</v>
      </c>
      <c r="E18" s="9">
        <f>+SUMIFS(Dataset!Y:Y,Dataset!E:E,$C18)</f>
        <v>15000</v>
      </c>
      <c r="F18" s="6">
        <v>0.30969999999999998</v>
      </c>
      <c r="G18" s="9">
        <f>+F18*SUM(Dataset!Y:Y+$L$10)</f>
        <v>154755.63396176486</v>
      </c>
      <c r="H18" s="9">
        <f t="shared" ref="H18:H23" si="1">+G18-E18</f>
        <v>139755.63396176486</v>
      </c>
      <c r="M18" s="65" t="s">
        <v>126</v>
      </c>
      <c r="N18" s="3"/>
      <c r="O18" s="5">
        <f t="shared" si="0"/>
        <v>0.30969999999999998</v>
      </c>
    </row>
    <row r="19" spans="3:15" x14ac:dyDescent="0.2">
      <c r="C19" s="1" t="s">
        <v>127</v>
      </c>
      <c r="D19" s="6">
        <v>4.7699999999999999E-2</v>
      </c>
      <c r="E19" s="9">
        <f>+SUMIFS(Dataset!Y:Y,Dataset!E:E,$C19)</f>
        <v>1000</v>
      </c>
      <c r="F19" s="6">
        <v>4.7699999999999999E-2</v>
      </c>
      <c r="G19" s="9">
        <f>+F19*SUM(Dataset!Y:Y+$L$10)</f>
        <v>23835.465740962816</v>
      </c>
      <c r="H19" s="9">
        <f t="shared" si="1"/>
        <v>22835.465740962816</v>
      </c>
      <c r="M19" s="65" t="s">
        <v>127</v>
      </c>
      <c r="N19" s="3"/>
      <c r="O19" s="5">
        <f t="shared" si="0"/>
        <v>4.7699999999999999E-2</v>
      </c>
    </row>
    <row r="20" spans="3:15" x14ac:dyDescent="0.2">
      <c r="C20" s="1" t="s">
        <v>128</v>
      </c>
      <c r="D20" s="6">
        <v>0.23299999999999998</v>
      </c>
      <c r="E20" s="9">
        <f>+SUMIFS(Dataset!Y:Y,Dataset!E:E,$C20)</f>
        <v>11000</v>
      </c>
      <c r="F20" s="6">
        <v>0.23299999999999998</v>
      </c>
      <c r="G20" s="9">
        <f>+F20*SUM(Dataset!Y:Y+$L$10)</f>
        <v>116429.00456277434</v>
      </c>
      <c r="H20" s="9">
        <f t="shared" si="1"/>
        <v>105429.00456277434</v>
      </c>
      <c r="M20" s="65" t="s">
        <v>128</v>
      </c>
      <c r="N20" s="3">
        <v>3.0000000000000001E-3</v>
      </c>
      <c r="O20" s="5">
        <f t="shared" si="0"/>
        <v>0.23599999999999999</v>
      </c>
    </row>
    <row r="21" spans="3:15" x14ac:dyDescent="0.2">
      <c r="C21" s="1" t="s">
        <v>129</v>
      </c>
      <c r="D21" s="6">
        <v>0.17469999999999999</v>
      </c>
      <c r="E21" s="9">
        <f>+SUMIFS(Dataset!Y:Y,Dataset!E:E,$C21)</f>
        <v>10000</v>
      </c>
      <c r="F21" s="6">
        <v>0.17469999999999999</v>
      </c>
      <c r="G21" s="9">
        <f>+F21*SUM(Dataset!Y:Y+$L$10)</f>
        <v>87296.768657153123</v>
      </c>
      <c r="H21" s="9">
        <f t="shared" si="1"/>
        <v>77296.768657153123</v>
      </c>
      <c r="M21" s="65" t="s">
        <v>129</v>
      </c>
      <c r="N21" s="3"/>
      <c r="O21" s="5">
        <f t="shared" si="0"/>
        <v>0.17469999999999999</v>
      </c>
    </row>
    <row r="22" spans="3:15" x14ac:dyDescent="0.2">
      <c r="C22" s="1" t="s">
        <v>130</v>
      </c>
      <c r="D22" s="6">
        <v>7.8100000000000003E-2</v>
      </c>
      <c r="E22" s="9">
        <f>+SUMIFS(Dataset!Y:Y,Dataset!E:E,$C22)</f>
        <v>5000</v>
      </c>
      <c r="F22" s="6">
        <v>7.8100000000000003E-2</v>
      </c>
      <c r="G22" s="9">
        <f>+F22*SUM(Dataset!Y:Y+$L$10)</f>
        <v>39026.20281696428</v>
      </c>
      <c r="H22" s="9">
        <f t="shared" si="1"/>
        <v>34026.20281696428</v>
      </c>
      <c r="M22" s="65" t="s">
        <v>130</v>
      </c>
      <c r="N22" s="3"/>
      <c r="O22" s="5">
        <f t="shared" si="0"/>
        <v>7.8100000000000003E-2</v>
      </c>
    </row>
    <row r="23" spans="3:15" x14ac:dyDescent="0.2">
      <c r="C23" s="67" t="s">
        <v>131</v>
      </c>
      <c r="D23" s="68">
        <v>0.16579999999999995</v>
      </c>
      <c r="E23" s="69">
        <f>+SUMIFS(Dataset!Y:Y,Dataset!E:E,$C23)</f>
        <v>2000</v>
      </c>
      <c r="F23" s="68">
        <v>0.16579999999999995</v>
      </c>
      <c r="G23" s="69">
        <f>+F23*SUM(Dataset!Y:Y+$L$10)</f>
        <v>82849.480500034246</v>
      </c>
      <c r="H23" s="69">
        <f t="shared" si="1"/>
        <v>80849.480500034246</v>
      </c>
      <c r="M23" s="67" t="s">
        <v>131</v>
      </c>
      <c r="N23" s="70"/>
      <c r="O23" s="71">
        <f t="shared" si="0"/>
        <v>0.16579999999999995</v>
      </c>
    </row>
    <row r="24" spans="3:15" x14ac:dyDescent="0.2">
      <c r="C24" s="10" t="s">
        <v>147</v>
      </c>
      <c r="D24" s="11">
        <v>0.99799999999999978</v>
      </c>
      <c r="E24" s="12">
        <f>+SUM(E17:E23)</f>
        <v>47000</v>
      </c>
      <c r="F24" s="11">
        <v>0.99799999999999978</v>
      </c>
      <c r="G24" s="13">
        <f>+F24*SUM(Dataset!Y:Y+$L$10)</f>
        <v>498695.9079555741</v>
      </c>
      <c r="H24" s="13">
        <f>D24*(SUM(Dataset!Y:Y)+$L$10-E24)</f>
        <v>497697.9079555741</v>
      </c>
      <c r="M24" s="65" t="s">
        <v>149</v>
      </c>
      <c r="N24" s="3">
        <f>+SUM(N17:N23)</f>
        <v>5.0000000000000001E-3</v>
      </c>
      <c r="O24" s="5">
        <f t="shared" si="0"/>
        <v>1.0029999999999997</v>
      </c>
    </row>
  </sheetData>
  <mergeCells count="3">
    <mergeCell ref="D15:E15"/>
    <mergeCell ref="F15:G15"/>
    <mergeCell ref="F8:L8"/>
  </mergeCells>
  <conditionalFormatting sqref="L10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H17:H22 H24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H23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ClickOnButton1">
                <anchor moveWithCells="1" sizeWithCells="1">
                  <from>
                    <xdr:col>11</xdr:col>
                    <xdr:colOff>647700</xdr:colOff>
                    <xdr:row>12</xdr:row>
                    <xdr:rowOff>152400</xdr:rowOff>
                  </from>
                  <to>
                    <xdr:col>12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reallocate_weights">
                <anchor moveWithCells="1" sizeWithCells="1">
                  <from>
                    <xdr:col>14</xdr:col>
                    <xdr:colOff>57150</xdr:colOff>
                    <xdr:row>12</xdr:row>
                    <xdr:rowOff>142875</xdr:rowOff>
                  </from>
                  <to>
                    <xdr:col>15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lickOnButton1">
                <anchor moveWithCells="1" sizeWithCells="1">
                  <from>
                    <xdr:col>12</xdr:col>
                    <xdr:colOff>714375</xdr:colOff>
                    <xdr:row>12</xdr:row>
                    <xdr:rowOff>142875</xdr:rowOff>
                  </from>
                  <to>
                    <xdr:col>13</xdr:col>
                    <xdr:colOff>723900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14E6-B241-4100-BCD0-3F24D99CF3A0}">
  <sheetPr codeName="Hoja7"/>
  <dimension ref="E8:M22"/>
  <sheetViews>
    <sheetView workbookViewId="0">
      <selection activeCell="G25" sqref="G25"/>
    </sheetView>
  </sheetViews>
  <sheetFormatPr baseColWidth="10" defaultRowHeight="14.25" x14ac:dyDescent="0.2"/>
  <cols>
    <col min="2" max="2" width="7.875" bestFit="1" customWidth="1"/>
    <col min="3" max="3" width="7.875" customWidth="1"/>
    <col min="4" max="4" width="14.125" customWidth="1"/>
    <col min="5" max="5" width="11.75" customWidth="1"/>
    <col min="6" max="6" width="13.25" bestFit="1" customWidth="1"/>
    <col min="7" max="7" width="14.25" bestFit="1" customWidth="1"/>
    <col min="8" max="8" width="14.125" customWidth="1"/>
    <col min="9" max="9" width="19.875" bestFit="1" customWidth="1"/>
    <col min="10" max="10" width="10.25" customWidth="1"/>
    <col min="11" max="11" width="8.625" customWidth="1"/>
    <col min="12" max="12" width="12.125" customWidth="1"/>
    <col min="13" max="13" width="14.25" customWidth="1"/>
    <col min="16" max="16" width="10.25" customWidth="1"/>
    <col min="17" max="17" width="12.125" customWidth="1"/>
  </cols>
  <sheetData>
    <row r="8" spans="6:12" ht="15" x14ac:dyDescent="0.25">
      <c r="F8" s="8" t="s">
        <v>141</v>
      </c>
      <c r="G8" s="8" t="s">
        <v>142</v>
      </c>
      <c r="H8" s="8" t="s">
        <v>143</v>
      </c>
      <c r="I8" s="8" t="s">
        <v>145</v>
      </c>
      <c r="J8" s="8" t="s">
        <v>151</v>
      </c>
      <c r="K8" s="8" t="s">
        <v>152</v>
      </c>
      <c r="L8" s="8" t="s">
        <v>144</v>
      </c>
    </row>
    <row r="9" spans="6:12" x14ac:dyDescent="0.2">
      <c r="F9" s="9">
        <v>298669.2985526796</v>
      </c>
      <c r="G9" s="9">
        <v>200000</v>
      </c>
      <c r="H9" s="9">
        <v>0</v>
      </c>
      <c r="I9" s="9">
        <v>26</v>
      </c>
      <c r="L9" s="9">
        <f>+F9+G9-H9+I9</f>
        <v>498695.2985526796</v>
      </c>
    </row>
    <row r="17" spans="5:13" ht="16.5" x14ac:dyDescent="0.3">
      <c r="E17" s="78" t="s">
        <v>187</v>
      </c>
      <c r="F17" s="78"/>
      <c r="G17" s="78"/>
      <c r="H17" s="78"/>
      <c r="J17" s="78" t="s">
        <v>192</v>
      </c>
      <c r="K17" s="78"/>
      <c r="L17" s="78"/>
      <c r="M17" s="78"/>
    </row>
    <row r="18" spans="5:13" x14ac:dyDescent="0.2">
      <c r="E18" s="79"/>
      <c r="F18" s="79"/>
      <c r="G18" s="79"/>
      <c r="H18" s="79"/>
      <c r="J18" s="79"/>
      <c r="K18" s="79"/>
      <c r="L18" s="79"/>
      <c r="M18" s="79"/>
    </row>
    <row r="19" spans="5:13" x14ac:dyDescent="0.2">
      <c r="E19" t="s">
        <v>188</v>
      </c>
      <c r="F19" s="46"/>
      <c r="G19" s="46"/>
      <c r="H19" s="46"/>
      <c r="J19" t="s">
        <v>188</v>
      </c>
      <c r="K19" s="46"/>
      <c r="L19" s="46"/>
      <c r="M19" s="46"/>
    </row>
    <row r="20" spans="5:13" x14ac:dyDescent="0.2">
      <c r="E20" t="s">
        <v>189</v>
      </c>
      <c r="F20" s="46"/>
      <c r="G20" s="46"/>
      <c r="H20" s="46"/>
      <c r="J20" t="s">
        <v>189</v>
      </c>
      <c r="K20" s="46"/>
      <c r="L20" s="46"/>
      <c r="M20" s="46"/>
    </row>
    <row r="21" spans="5:13" x14ac:dyDescent="0.2">
      <c r="E21" t="s">
        <v>190</v>
      </c>
      <c r="F21" s="46"/>
      <c r="G21" s="46"/>
      <c r="H21" s="46"/>
      <c r="J21" t="s">
        <v>190</v>
      </c>
      <c r="K21" s="46"/>
      <c r="L21" s="46"/>
      <c r="M21" s="46"/>
    </row>
    <row r="22" spans="5:13" x14ac:dyDescent="0.2">
      <c r="E22" t="s">
        <v>191</v>
      </c>
      <c r="F22" s="46"/>
      <c r="G22" s="46"/>
      <c r="H22" s="46"/>
      <c r="J22" t="s">
        <v>191</v>
      </c>
      <c r="K22" s="46"/>
      <c r="L22" s="46"/>
      <c r="M22" s="46"/>
    </row>
  </sheetData>
  <mergeCells count="4">
    <mergeCell ref="E17:H17"/>
    <mergeCell ref="J17:M17"/>
    <mergeCell ref="E18:H18"/>
    <mergeCell ref="J18:M18"/>
  </mergeCells>
  <conditionalFormatting sqref="L9"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>
      <selection activeCell="K3" sqref="K2:M4"/>
    </sheetView>
  </sheetViews>
  <sheetFormatPr baseColWidth="10" defaultRowHeight="14.2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"/>
  <sheetViews>
    <sheetView workbookViewId="0">
      <selection activeCell="E41" sqref="E41"/>
    </sheetView>
  </sheetViews>
  <sheetFormatPr baseColWidth="10" defaultRowHeight="14.25" x14ac:dyDescent="0.2"/>
  <sheetData>
    <row r="1" spans="1:1" x14ac:dyDescent="0.2">
      <c r="A1" t="s">
        <v>193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"/>
  <dimension ref="A1:G65"/>
  <sheetViews>
    <sheetView topLeftCell="A26" workbookViewId="0">
      <selection activeCell="D55" sqref="D55"/>
    </sheetView>
  </sheetViews>
  <sheetFormatPr baseColWidth="10" defaultRowHeight="14.25" x14ac:dyDescent="0.2"/>
  <cols>
    <col min="1" max="1" width="19.875" bestFit="1" customWidth="1"/>
    <col min="2" max="2" width="19.875" customWidth="1"/>
    <col min="3" max="3" width="14.625" bestFit="1" customWidth="1"/>
    <col min="5" max="5" width="14.625" bestFit="1" customWidth="1"/>
    <col min="7" max="7" width="16.875" bestFit="1" customWidth="1"/>
  </cols>
  <sheetData>
    <row r="1" spans="1:7" ht="15" x14ac:dyDescent="0.25">
      <c r="A1" s="48" t="s">
        <v>200</v>
      </c>
      <c r="B1" s="48" t="s">
        <v>282</v>
      </c>
      <c r="C1" s="48" t="s">
        <v>273</v>
      </c>
      <c r="D1" s="48" t="s">
        <v>208</v>
      </c>
      <c r="E1" s="48" t="s">
        <v>272</v>
      </c>
      <c r="F1" s="48" t="s">
        <v>274</v>
      </c>
      <c r="G1" s="48" t="s">
        <v>275</v>
      </c>
    </row>
    <row r="2" spans="1:7" x14ac:dyDescent="0.2">
      <c r="A2" s="42" t="s">
        <v>204</v>
      </c>
      <c r="B2" s="46"/>
      <c r="C2" s="42" t="e">
        <f ca="1">+_xll.BDP($A2,C$1)</f>
        <v>#NAME?</v>
      </c>
      <c r="D2" s="42" t="e">
        <f ca="1">+_xll.BDP($A2,D$1)</f>
        <v>#NAME?</v>
      </c>
      <c r="E2" s="42" t="e">
        <f ca="1">+_xll.BDP($A2,E$1)</f>
        <v>#NAME?</v>
      </c>
      <c r="F2" s="42" t="e">
        <f ca="1">+_xll.BDP($A2,F$1)</f>
        <v>#NAME?</v>
      </c>
      <c r="G2" s="42" t="e">
        <f ca="1">+_xll.BDP($A2,G$1)</f>
        <v>#NAME?</v>
      </c>
    </row>
    <row r="3" spans="1:7" x14ac:dyDescent="0.2">
      <c r="A3" s="42" t="s">
        <v>209</v>
      </c>
      <c r="B3" s="46"/>
      <c r="C3" s="42" t="e">
        <f ca="1">+_xll.BDP($A3,C$1)</f>
        <v>#NAME?</v>
      </c>
      <c r="D3" s="42" t="e">
        <f ca="1">+_xll.BDP($A3,D$1)</f>
        <v>#NAME?</v>
      </c>
      <c r="E3" s="42" t="e">
        <f ca="1">+_xll.BDP($A3,E$1)</f>
        <v>#NAME?</v>
      </c>
      <c r="F3" s="42" t="e">
        <f ca="1">+_xll.BDP($A3,F$1)</f>
        <v>#NAME?</v>
      </c>
      <c r="G3" s="42" t="e">
        <f ca="1">+_xll.BDP($A3,G$1)</f>
        <v>#NAME?</v>
      </c>
    </row>
    <row r="4" spans="1:7" x14ac:dyDescent="0.2">
      <c r="A4" s="42" t="s">
        <v>210</v>
      </c>
      <c r="B4" s="46"/>
      <c r="C4" s="42" t="e">
        <f ca="1">+_xll.BDP($A4,C$1)</f>
        <v>#NAME?</v>
      </c>
      <c r="D4" s="42" t="e">
        <f ca="1">+_xll.BDP($A4,D$1)</f>
        <v>#NAME?</v>
      </c>
      <c r="E4" s="42" t="e">
        <f ca="1">+_xll.BDP($A4,E$1)</f>
        <v>#NAME?</v>
      </c>
      <c r="F4" s="42" t="e">
        <f ca="1">+_xll.BDP($A4,F$1)</f>
        <v>#NAME?</v>
      </c>
      <c r="G4" s="42" t="e">
        <f ca="1">+_xll.BDP($A4,G$1)</f>
        <v>#NAME?</v>
      </c>
    </row>
    <row r="5" spans="1:7" x14ac:dyDescent="0.2">
      <c r="A5" s="42" t="s">
        <v>211</v>
      </c>
      <c r="B5" s="46"/>
      <c r="C5" s="42" t="e">
        <f ca="1">+_xll.BDP($A5,C$1)</f>
        <v>#NAME?</v>
      </c>
      <c r="D5" s="42" t="e">
        <f ca="1">+_xll.BDP($A5,D$1)</f>
        <v>#NAME?</v>
      </c>
      <c r="E5" s="42" t="e">
        <f ca="1">+_xll.BDP($A5,E$1)</f>
        <v>#NAME?</v>
      </c>
      <c r="F5" s="42" t="e">
        <f ca="1">+_xll.BDP($A5,F$1)</f>
        <v>#NAME?</v>
      </c>
      <c r="G5" s="42" t="e">
        <f ca="1">+_xll.BDP($A5,G$1)</f>
        <v>#NAME?</v>
      </c>
    </row>
    <row r="6" spans="1:7" x14ac:dyDescent="0.2">
      <c r="A6" s="42" t="s">
        <v>212</v>
      </c>
      <c r="B6" s="46"/>
      <c r="C6" s="42" t="e">
        <f ca="1">+_xll.BDP($A6,C$1)</f>
        <v>#NAME?</v>
      </c>
      <c r="D6" s="42" t="e">
        <f ca="1">+_xll.BDP($A6,D$1)</f>
        <v>#NAME?</v>
      </c>
      <c r="E6" s="42" t="e">
        <f ca="1">+_xll.BDP($A6,E$1)</f>
        <v>#NAME?</v>
      </c>
      <c r="F6" s="42" t="e">
        <f ca="1">+_xll.BDP($A6,F$1)</f>
        <v>#NAME?</v>
      </c>
      <c r="G6" s="42" t="e">
        <f ca="1">+_xll.BDP($A6,G$1)</f>
        <v>#NAME?</v>
      </c>
    </row>
    <row r="7" spans="1:7" x14ac:dyDescent="0.2">
      <c r="A7" s="42" t="s">
        <v>213</v>
      </c>
      <c r="B7" s="46"/>
      <c r="C7" s="42" t="e">
        <f ca="1">+_xll.BDP($A7,C$1)</f>
        <v>#NAME?</v>
      </c>
      <c r="D7" s="42" t="e">
        <f ca="1">+_xll.BDP($A7,D$1)</f>
        <v>#NAME?</v>
      </c>
      <c r="E7" s="42" t="e">
        <f ca="1">+_xll.BDP($A7,E$1)</f>
        <v>#NAME?</v>
      </c>
      <c r="F7" s="42" t="e">
        <f ca="1">+_xll.BDP($A7,F$1)</f>
        <v>#NAME?</v>
      </c>
      <c r="G7" s="42" t="e">
        <f ca="1">+_xll.BDP($A7,G$1)</f>
        <v>#NAME?</v>
      </c>
    </row>
    <row r="8" spans="1:7" x14ac:dyDescent="0.2">
      <c r="A8" s="42" t="s">
        <v>214</v>
      </c>
      <c r="B8" s="46"/>
      <c r="C8" s="42" t="e">
        <f ca="1">+_xll.BDP($A8,C$1)</f>
        <v>#NAME?</v>
      </c>
      <c r="D8" s="42" t="e">
        <f ca="1">+_xll.BDP($A8,D$1)</f>
        <v>#NAME?</v>
      </c>
      <c r="E8" s="42" t="e">
        <f ca="1">+_xll.BDP($A8,E$1)</f>
        <v>#NAME?</v>
      </c>
      <c r="F8" s="42" t="e">
        <f ca="1">+_xll.BDP($A8,F$1)</f>
        <v>#NAME?</v>
      </c>
      <c r="G8" s="42" t="e">
        <f ca="1">+_xll.BDP($A8,G$1)</f>
        <v>#NAME?</v>
      </c>
    </row>
    <row r="9" spans="1:7" x14ac:dyDescent="0.2">
      <c r="A9" s="42" t="s">
        <v>215</v>
      </c>
      <c r="B9" s="46"/>
      <c r="C9" s="42" t="e">
        <f ca="1">+_xll.BDP($A9,C$1)</f>
        <v>#NAME?</v>
      </c>
      <c r="D9" s="42" t="e">
        <f ca="1">+_xll.BDP($A9,D$1)</f>
        <v>#NAME?</v>
      </c>
      <c r="E9" s="42" t="e">
        <f ca="1">+_xll.BDP($A9,E$1)</f>
        <v>#NAME?</v>
      </c>
      <c r="F9" s="42" t="e">
        <f ca="1">+_xll.BDP($A9,F$1)</f>
        <v>#NAME?</v>
      </c>
      <c r="G9" s="42" t="e">
        <f ca="1">+_xll.BDP($A9,G$1)</f>
        <v>#NAME?</v>
      </c>
    </row>
    <row r="10" spans="1:7" x14ac:dyDescent="0.2">
      <c r="A10" s="42" t="s">
        <v>216</v>
      </c>
      <c r="B10" s="46"/>
      <c r="C10" s="42" t="e">
        <f ca="1">+_xll.BDP($A10,C$1)</f>
        <v>#NAME?</v>
      </c>
      <c r="D10" s="42" t="e">
        <f ca="1">+_xll.BDP($A10,D$1)</f>
        <v>#NAME?</v>
      </c>
      <c r="E10" s="42" t="e">
        <f ca="1">+_xll.BDP($A10,E$1)</f>
        <v>#NAME?</v>
      </c>
      <c r="F10" s="42" t="e">
        <f ca="1">+_xll.BDP($A10,F$1)</f>
        <v>#NAME?</v>
      </c>
      <c r="G10" s="42" t="e">
        <f ca="1">+_xll.BDP($A10,G$1)</f>
        <v>#NAME?</v>
      </c>
    </row>
    <row r="11" spans="1:7" x14ac:dyDescent="0.2">
      <c r="A11" s="42" t="s">
        <v>217</v>
      </c>
      <c r="B11" s="46"/>
      <c r="C11" s="42" t="e">
        <f ca="1">+_xll.BDP($A11,C$1)</f>
        <v>#NAME?</v>
      </c>
      <c r="D11" s="42" t="e">
        <f ca="1">+_xll.BDP($A11,D$1)</f>
        <v>#NAME?</v>
      </c>
      <c r="E11" s="42" t="e">
        <f ca="1">+_xll.BDP($A11,E$1)</f>
        <v>#NAME?</v>
      </c>
      <c r="F11" s="42" t="e">
        <f ca="1">+_xll.BDP($A11,F$1)</f>
        <v>#NAME?</v>
      </c>
      <c r="G11" s="42" t="e">
        <f ca="1">+_xll.BDP($A11,G$1)</f>
        <v>#NAME?</v>
      </c>
    </row>
    <row r="12" spans="1:7" x14ac:dyDescent="0.2">
      <c r="A12" s="42" t="s">
        <v>218</v>
      </c>
      <c r="B12" s="46"/>
      <c r="C12" s="42" t="e">
        <f ca="1">+_xll.BDP($A12,C$1)</f>
        <v>#NAME?</v>
      </c>
      <c r="D12" s="42" t="e">
        <f ca="1">+_xll.BDP($A12,D$1)</f>
        <v>#NAME?</v>
      </c>
      <c r="E12" s="42" t="e">
        <f ca="1">+_xll.BDP($A12,E$1)</f>
        <v>#NAME?</v>
      </c>
      <c r="F12" s="42" t="e">
        <f ca="1">+_xll.BDP($A12,F$1)</f>
        <v>#NAME?</v>
      </c>
      <c r="G12" s="42" t="e">
        <f ca="1">+_xll.BDP($A12,G$1)</f>
        <v>#NAME?</v>
      </c>
    </row>
    <row r="13" spans="1:7" x14ac:dyDescent="0.2">
      <c r="A13" s="42" t="s">
        <v>219</v>
      </c>
      <c r="B13" s="46"/>
      <c r="C13" s="42" t="e">
        <f ca="1">+_xll.BDP($A13,C$1)</f>
        <v>#NAME?</v>
      </c>
      <c r="D13" s="42" t="e">
        <f ca="1">+_xll.BDP($A13,D$1)</f>
        <v>#NAME?</v>
      </c>
      <c r="E13" s="42" t="e">
        <f ca="1">+_xll.BDP($A13,E$1)</f>
        <v>#NAME?</v>
      </c>
      <c r="F13" s="42" t="e">
        <f ca="1">+_xll.BDP($A13,F$1)</f>
        <v>#NAME?</v>
      </c>
      <c r="G13" s="42" t="e">
        <f ca="1">+_xll.BDP($A13,G$1)</f>
        <v>#NAME?</v>
      </c>
    </row>
    <row r="14" spans="1:7" x14ac:dyDescent="0.2">
      <c r="A14" s="42" t="s">
        <v>220</v>
      </c>
      <c r="B14" s="46"/>
      <c r="C14" s="42" t="e">
        <f ca="1">+_xll.BDP($A14,C$1)</f>
        <v>#NAME?</v>
      </c>
      <c r="D14" s="42" t="e">
        <f ca="1">+_xll.BDP($A14,D$1)</f>
        <v>#NAME?</v>
      </c>
      <c r="E14" s="42" t="e">
        <f ca="1">+_xll.BDP($A14,E$1)</f>
        <v>#NAME?</v>
      </c>
      <c r="F14" s="42" t="e">
        <f ca="1">+_xll.BDP($A14,F$1)</f>
        <v>#NAME?</v>
      </c>
      <c r="G14" s="42" t="e">
        <f ca="1">+_xll.BDP($A14,G$1)</f>
        <v>#NAME?</v>
      </c>
    </row>
    <row r="15" spans="1:7" x14ac:dyDescent="0.2">
      <c r="A15" s="42" t="s">
        <v>221</v>
      </c>
      <c r="B15" s="46"/>
      <c r="C15" s="42" t="e">
        <f ca="1">+_xll.BDP($A15,C$1)</f>
        <v>#NAME?</v>
      </c>
      <c r="D15" s="42" t="e">
        <f ca="1">+_xll.BDP($A15,D$1)</f>
        <v>#NAME?</v>
      </c>
      <c r="E15" s="42" t="e">
        <f ca="1">+_xll.BDP($A15,E$1)</f>
        <v>#NAME?</v>
      </c>
      <c r="F15" s="42" t="e">
        <f ca="1">+_xll.BDP($A15,F$1)</f>
        <v>#NAME?</v>
      </c>
      <c r="G15" s="42" t="e">
        <f ca="1">+_xll.BDP($A15,G$1)</f>
        <v>#NAME?</v>
      </c>
    </row>
    <row r="16" spans="1:7" x14ac:dyDescent="0.2">
      <c r="A16" s="42" t="s">
        <v>222</v>
      </c>
      <c r="B16" s="46"/>
      <c r="C16" s="42" t="e">
        <f ca="1">+_xll.BDP($A16,C$1)</f>
        <v>#NAME?</v>
      </c>
      <c r="D16" s="42" t="e">
        <f ca="1">+_xll.BDP($A16,D$1)</f>
        <v>#NAME?</v>
      </c>
      <c r="E16" s="42" t="e">
        <f ca="1">+_xll.BDP($A16,E$1)</f>
        <v>#NAME?</v>
      </c>
      <c r="F16" s="42" t="e">
        <f ca="1">+_xll.BDP($A16,F$1)</f>
        <v>#NAME?</v>
      </c>
      <c r="G16" s="42" t="e">
        <f ca="1">+_xll.BDP($A16,G$1)</f>
        <v>#NAME?</v>
      </c>
    </row>
    <row r="17" spans="1:7" x14ac:dyDescent="0.2">
      <c r="A17" s="42" t="s">
        <v>223</v>
      </c>
      <c r="B17" s="46"/>
      <c r="C17" s="42" t="e">
        <f ca="1">+_xll.BDP($A17,C$1)</f>
        <v>#NAME?</v>
      </c>
      <c r="D17" s="42" t="e">
        <f ca="1">+_xll.BDP($A17,D$1)</f>
        <v>#NAME?</v>
      </c>
      <c r="E17" s="42" t="e">
        <f ca="1">+_xll.BDP($A17,E$1)</f>
        <v>#NAME?</v>
      </c>
      <c r="F17" s="42" t="e">
        <f ca="1">+_xll.BDP($A17,F$1)</f>
        <v>#NAME?</v>
      </c>
      <c r="G17" s="42" t="e">
        <f ca="1">+_xll.BDP($A17,G$1)</f>
        <v>#NAME?</v>
      </c>
    </row>
    <row r="18" spans="1:7" x14ac:dyDescent="0.2">
      <c r="A18" s="42" t="s">
        <v>224</v>
      </c>
      <c r="B18" s="46"/>
      <c r="C18" s="42" t="e">
        <f ca="1">+_xll.BDP($A18,C$1)</f>
        <v>#NAME?</v>
      </c>
      <c r="D18" s="42" t="e">
        <f ca="1">+_xll.BDP($A18,D$1)</f>
        <v>#NAME?</v>
      </c>
      <c r="E18" s="42" t="e">
        <f ca="1">+_xll.BDP($A18,E$1)</f>
        <v>#NAME?</v>
      </c>
      <c r="F18" s="42" t="e">
        <f ca="1">+_xll.BDP($A18,F$1)</f>
        <v>#NAME?</v>
      </c>
      <c r="G18" s="42" t="e">
        <f ca="1">+_xll.BDP($A18,G$1)</f>
        <v>#NAME?</v>
      </c>
    </row>
    <row r="19" spans="1:7" x14ac:dyDescent="0.2">
      <c r="A19" s="42" t="s">
        <v>225</v>
      </c>
      <c r="B19" s="46"/>
      <c r="C19" s="42" t="e">
        <f ca="1">+_xll.BDP($A19,C$1)</f>
        <v>#NAME?</v>
      </c>
      <c r="D19" s="42" t="e">
        <f ca="1">+_xll.BDP($A19,D$1)</f>
        <v>#NAME?</v>
      </c>
      <c r="E19" s="42" t="e">
        <f ca="1">+_xll.BDP($A19,E$1)</f>
        <v>#NAME?</v>
      </c>
      <c r="F19" s="42" t="e">
        <f ca="1">+_xll.BDP($A19,F$1)</f>
        <v>#NAME?</v>
      </c>
      <c r="G19" s="42" t="e">
        <f ca="1">+_xll.BDP($A19,G$1)</f>
        <v>#NAME?</v>
      </c>
    </row>
    <row r="20" spans="1:7" x14ac:dyDescent="0.2">
      <c r="A20" s="42" t="s">
        <v>226</v>
      </c>
      <c r="B20" s="46"/>
      <c r="C20" s="42" t="e">
        <f ca="1">+_xll.BDP($A20,C$1)</f>
        <v>#NAME?</v>
      </c>
      <c r="D20" s="42" t="e">
        <f ca="1">+_xll.BDP($A20,D$1)</f>
        <v>#NAME?</v>
      </c>
      <c r="E20" s="42" t="e">
        <f ca="1">+_xll.BDP($A20,E$1)</f>
        <v>#NAME?</v>
      </c>
      <c r="F20" s="42" t="e">
        <f ca="1">+_xll.BDP($A20,F$1)</f>
        <v>#NAME?</v>
      </c>
      <c r="G20" s="42" t="e">
        <f ca="1">+_xll.BDP($A20,G$1)</f>
        <v>#NAME?</v>
      </c>
    </row>
    <row r="21" spans="1:7" x14ac:dyDescent="0.2">
      <c r="A21" s="42" t="s">
        <v>227</v>
      </c>
      <c r="B21" s="46"/>
      <c r="C21" s="42" t="e">
        <f ca="1">+_xll.BDP($A21,C$1)</f>
        <v>#NAME?</v>
      </c>
      <c r="D21" s="42" t="e">
        <f ca="1">+_xll.BDP($A21,D$1)</f>
        <v>#NAME?</v>
      </c>
      <c r="E21" s="42" t="e">
        <f ca="1">+_xll.BDP($A21,E$1)</f>
        <v>#NAME?</v>
      </c>
      <c r="F21" s="42" t="e">
        <f ca="1">+_xll.BDP($A21,F$1)</f>
        <v>#NAME?</v>
      </c>
      <c r="G21" s="42" t="e">
        <f ca="1">+_xll.BDP($A21,G$1)</f>
        <v>#NAME?</v>
      </c>
    </row>
    <row r="22" spans="1:7" x14ac:dyDescent="0.2">
      <c r="A22" s="42" t="s">
        <v>228</v>
      </c>
      <c r="B22" s="46"/>
      <c r="C22" s="42" t="e">
        <f ca="1">+_xll.BDP($A22,C$1)</f>
        <v>#NAME?</v>
      </c>
      <c r="D22" s="42" t="e">
        <f ca="1">+_xll.BDP($A22,D$1)</f>
        <v>#NAME?</v>
      </c>
      <c r="E22" s="42" t="e">
        <f ca="1">+_xll.BDP($A22,E$1)</f>
        <v>#NAME?</v>
      </c>
      <c r="F22" s="42" t="e">
        <f ca="1">+_xll.BDP($A22,F$1)</f>
        <v>#NAME?</v>
      </c>
      <c r="G22" s="42" t="e">
        <f ca="1">+_xll.BDP($A22,G$1)</f>
        <v>#NAME?</v>
      </c>
    </row>
    <row r="23" spans="1:7" x14ac:dyDescent="0.2">
      <c r="A23" s="42" t="s">
        <v>229</v>
      </c>
      <c r="B23" s="46"/>
      <c r="C23" s="42" t="e">
        <f ca="1">+_xll.BDP($A23,C$1)</f>
        <v>#NAME?</v>
      </c>
      <c r="D23" s="42" t="e">
        <f ca="1">+_xll.BDP($A23,D$1)</f>
        <v>#NAME?</v>
      </c>
      <c r="E23" s="42" t="e">
        <f ca="1">+_xll.BDP($A23,E$1)</f>
        <v>#NAME?</v>
      </c>
      <c r="F23" s="42" t="e">
        <f ca="1">+_xll.BDP($A23,F$1)</f>
        <v>#NAME?</v>
      </c>
      <c r="G23" s="42" t="e">
        <f ca="1">+_xll.BDP($A23,G$1)</f>
        <v>#NAME?</v>
      </c>
    </row>
    <row r="24" spans="1:7" x14ac:dyDescent="0.2">
      <c r="A24" s="42" t="s">
        <v>230</v>
      </c>
      <c r="B24" s="46"/>
      <c r="C24" s="42" t="e">
        <f ca="1">+_xll.BDP($A24,C$1)</f>
        <v>#NAME?</v>
      </c>
      <c r="D24" s="42" t="e">
        <f ca="1">+_xll.BDP($A24,D$1)</f>
        <v>#NAME?</v>
      </c>
      <c r="E24" s="42" t="e">
        <f ca="1">+_xll.BDP($A24,E$1)</f>
        <v>#NAME?</v>
      </c>
      <c r="F24" s="42" t="e">
        <f ca="1">+_xll.BDP($A24,F$1)</f>
        <v>#NAME?</v>
      </c>
      <c r="G24" s="42" t="e">
        <f ca="1">+_xll.BDP($A24,G$1)</f>
        <v>#NAME?</v>
      </c>
    </row>
    <row r="25" spans="1:7" x14ac:dyDescent="0.2">
      <c r="A25" s="42" t="s">
        <v>231</v>
      </c>
      <c r="B25" s="46"/>
      <c r="C25" s="42" t="e">
        <f ca="1">+_xll.BDP($A25,C$1)</f>
        <v>#NAME?</v>
      </c>
      <c r="D25" s="42" t="e">
        <f ca="1">+_xll.BDP($A25,D$1)</f>
        <v>#NAME?</v>
      </c>
      <c r="E25" s="42" t="e">
        <f ca="1">+_xll.BDP($A25,E$1)</f>
        <v>#NAME?</v>
      </c>
      <c r="F25" s="42" t="e">
        <f ca="1">+_xll.BDP($A25,F$1)</f>
        <v>#NAME?</v>
      </c>
      <c r="G25" s="42" t="e">
        <f ca="1">+_xll.BDP($A25,G$1)</f>
        <v>#NAME?</v>
      </c>
    </row>
    <row r="26" spans="1:7" x14ac:dyDescent="0.2">
      <c r="A26" s="42" t="s">
        <v>232</v>
      </c>
      <c r="B26" s="46"/>
      <c r="C26" s="42" t="e">
        <f ca="1">+_xll.BDP($A26,C$1)</f>
        <v>#NAME?</v>
      </c>
      <c r="D26" s="42" t="e">
        <f ca="1">+_xll.BDP($A26,D$1)</f>
        <v>#NAME?</v>
      </c>
      <c r="E26" s="42" t="e">
        <f ca="1">+_xll.BDP($A26,E$1)</f>
        <v>#NAME?</v>
      </c>
      <c r="F26" s="42" t="e">
        <f ca="1">+_xll.BDP($A26,F$1)</f>
        <v>#NAME?</v>
      </c>
      <c r="G26" s="42" t="e">
        <f ca="1">+_xll.BDP($A26,G$1)</f>
        <v>#NAME?</v>
      </c>
    </row>
    <row r="27" spans="1:7" x14ac:dyDescent="0.2">
      <c r="A27" s="42" t="s">
        <v>233</v>
      </c>
      <c r="B27" s="46"/>
      <c r="C27" s="42" t="e">
        <f ca="1">+_xll.BDP($A27,C$1)</f>
        <v>#NAME?</v>
      </c>
      <c r="D27" s="42" t="e">
        <f ca="1">+_xll.BDP($A27,D$1)</f>
        <v>#NAME?</v>
      </c>
      <c r="E27" s="42" t="e">
        <f ca="1">+_xll.BDP($A27,E$1)</f>
        <v>#NAME?</v>
      </c>
      <c r="F27" s="42" t="e">
        <f ca="1">+_xll.BDP($A27,F$1)</f>
        <v>#NAME?</v>
      </c>
      <c r="G27" s="42" t="e">
        <f ca="1">+_xll.BDP($A27,G$1)</f>
        <v>#NAME?</v>
      </c>
    </row>
    <row r="28" spans="1:7" x14ac:dyDescent="0.2">
      <c r="A28" s="42" t="s">
        <v>234</v>
      </c>
      <c r="B28" s="46"/>
      <c r="C28" s="42" t="e">
        <f ca="1">+_xll.BDP($A28,C$1)</f>
        <v>#NAME?</v>
      </c>
      <c r="D28" s="42" t="e">
        <f ca="1">+_xll.BDP($A28,D$1)</f>
        <v>#NAME?</v>
      </c>
      <c r="E28" s="42" t="e">
        <f ca="1">+_xll.BDP($A28,E$1)</f>
        <v>#NAME?</v>
      </c>
      <c r="F28" s="42" t="e">
        <f ca="1">+_xll.BDP($A28,F$1)</f>
        <v>#NAME?</v>
      </c>
      <c r="G28" s="42" t="e">
        <f ca="1">+_xll.BDP($A28,G$1)</f>
        <v>#NAME?</v>
      </c>
    </row>
    <row r="29" spans="1:7" x14ac:dyDescent="0.2">
      <c r="A29" s="42" t="s">
        <v>235</v>
      </c>
      <c r="B29" s="46"/>
      <c r="C29" s="42" t="e">
        <f ca="1">+_xll.BDP($A29,C$1)</f>
        <v>#NAME?</v>
      </c>
      <c r="D29" s="42" t="e">
        <f ca="1">+_xll.BDP($A29,D$1)</f>
        <v>#NAME?</v>
      </c>
      <c r="E29" s="42" t="e">
        <f ca="1">+_xll.BDP($A29,E$1)</f>
        <v>#NAME?</v>
      </c>
      <c r="F29" s="42" t="e">
        <f ca="1">+_xll.BDP($A29,F$1)</f>
        <v>#NAME?</v>
      </c>
      <c r="G29" s="42" t="e">
        <f ca="1">+_xll.BDP($A29,G$1)</f>
        <v>#NAME?</v>
      </c>
    </row>
    <row r="30" spans="1:7" x14ac:dyDescent="0.2">
      <c r="A30" s="42" t="s">
        <v>236</v>
      </c>
      <c r="B30" s="46"/>
      <c r="C30" s="42" t="e">
        <f ca="1">+_xll.BDP($A30,C$1)</f>
        <v>#NAME?</v>
      </c>
      <c r="D30" s="42" t="e">
        <f ca="1">+_xll.BDP($A30,D$1)</f>
        <v>#NAME?</v>
      </c>
      <c r="E30" s="42" t="e">
        <f ca="1">+_xll.BDP($A30,E$1)</f>
        <v>#NAME?</v>
      </c>
      <c r="F30" s="42" t="e">
        <f ca="1">+_xll.BDP($A30,F$1)</f>
        <v>#NAME?</v>
      </c>
      <c r="G30" s="42" t="e">
        <f ca="1">+_xll.BDP($A30,G$1)</f>
        <v>#NAME?</v>
      </c>
    </row>
    <row r="31" spans="1:7" x14ac:dyDescent="0.2">
      <c r="A31" s="42" t="s">
        <v>237</v>
      </c>
      <c r="B31" s="46"/>
      <c r="C31" s="42" t="e">
        <f ca="1">+_xll.BDP($A31,C$1)</f>
        <v>#NAME?</v>
      </c>
      <c r="D31" s="42" t="e">
        <f ca="1">+_xll.BDP($A31,D$1)</f>
        <v>#NAME?</v>
      </c>
      <c r="E31" s="42" t="e">
        <f ca="1">+_xll.BDP($A31,E$1)</f>
        <v>#NAME?</v>
      </c>
      <c r="F31" s="42" t="e">
        <f ca="1">+_xll.BDP($A31,F$1)</f>
        <v>#NAME?</v>
      </c>
      <c r="G31" s="42" t="e">
        <f ca="1">+_xll.BDP($A31,G$1)</f>
        <v>#NAME?</v>
      </c>
    </row>
    <row r="32" spans="1:7" x14ac:dyDescent="0.2">
      <c r="A32" s="42" t="s">
        <v>238</v>
      </c>
      <c r="B32" s="46"/>
      <c r="C32" s="42" t="e">
        <f ca="1">+_xll.BDP($A32,C$1)</f>
        <v>#NAME?</v>
      </c>
      <c r="D32" s="42" t="e">
        <f ca="1">+_xll.BDP($A32,D$1)</f>
        <v>#NAME?</v>
      </c>
      <c r="E32" s="42" t="e">
        <f ca="1">+_xll.BDP($A32,E$1)</f>
        <v>#NAME?</v>
      </c>
      <c r="F32" s="42" t="e">
        <f ca="1">+_xll.BDP($A32,F$1)</f>
        <v>#NAME?</v>
      </c>
      <c r="G32" s="42" t="e">
        <f ca="1">+_xll.BDP($A32,G$1)</f>
        <v>#NAME?</v>
      </c>
    </row>
    <row r="33" spans="1:7" x14ac:dyDescent="0.2">
      <c r="A33" s="42" t="s">
        <v>239</v>
      </c>
      <c r="B33" s="46"/>
      <c r="C33" s="42" t="e">
        <f ca="1">+_xll.BDP($A33,C$1)</f>
        <v>#NAME?</v>
      </c>
      <c r="D33" s="42" t="e">
        <f ca="1">+_xll.BDP($A33,D$1)</f>
        <v>#NAME?</v>
      </c>
      <c r="E33" s="42" t="e">
        <f ca="1">+_xll.BDP($A33,E$1)</f>
        <v>#NAME?</v>
      </c>
      <c r="F33" s="42" t="e">
        <f ca="1">+_xll.BDP($A33,F$1)</f>
        <v>#NAME?</v>
      </c>
      <c r="G33" s="42" t="e">
        <f ca="1">+_xll.BDP($A33,G$1)</f>
        <v>#NAME?</v>
      </c>
    </row>
    <row r="34" spans="1:7" x14ac:dyDescent="0.2">
      <c r="A34" s="42" t="s">
        <v>240</v>
      </c>
      <c r="B34" s="46"/>
      <c r="C34" s="42" t="e">
        <f ca="1">+_xll.BDP($A34,C$1)</f>
        <v>#NAME?</v>
      </c>
      <c r="D34" s="42" t="e">
        <f ca="1">+_xll.BDP($A34,D$1)</f>
        <v>#NAME?</v>
      </c>
      <c r="E34" s="42" t="e">
        <f ca="1">+_xll.BDP($A34,E$1)</f>
        <v>#NAME?</v>
      </c>
      <c r="F34" s="42" t="e">
        <f ca="1">+_xll.BDP($A34,F$1)</f>
        <v>#NAME?</v>
      </c>
      <c r="G34" s="42" t="e">
        <f ca="1">+_xll.BDP($A34,G$1)</f>
        <v>#NAME?</v>
      </c>
    </row>
    <row r="35" spans="1:7" x14ac:dyDescent="0.2">
      <c r="A35" s="42" t="s">
        <v>241</v>
      </c>
      <c r="B35" s="46"/>
      <c r="C35" s="42" t="e">
        <f ca="1">+_xll.BDP($A35,C$1)</f>
        <v>#NAME?</v>
      </c>
      <c r="D35" s="42" t="e">
        <f ca="1">+_xll.BDP($A35,D$1)</f>
        <v>#NAME?</v>
      </c>
      <c r="E35" s="42" t="e">
        <f ca="1">+_xll.BDP($A35,E$1)</f>
        <v>#NAME?</v>
      </c>
      <c r="F35" s="42" t="e">
        <f ca="1">+_xll.BDP($A35,F$1)</f>
        <v>#NAME?</v>
      </c>
      <c r="G35" s="42" t="e">
        <f ca="1">+_xll.BDP($A35,G$1)</f>
        <v>#NAME?</v>
      </c>
    </row>
    <row r="36" spans="1:7" x14ac:dyDescent="0.2">
      <c r="A36" s="42" t="s">
        <v>242</v>
      </c>
      <c r="B36" s="46"/>
      <c r="C36" s="42" t="e">
        <f ca="1">+_xll.BDP($A36,C$1)</f>
        <v>#NAME?</v>
      </c>
      <c r="D36" s="42" t="e">
        <f ca="1">+_xll.BDP($A36,D$1)</f>
        <v>#NAME?</v>
      </c>
      <c r="E36" s="42" t="e">
        <f ca="1">+_xll.BDP($A36,E$1)</f>
        <v>#NAME?</v>
      </c>
      <c r="F36" s="42" t="e">
        <f ca="1">+_xll.BDP($A36,F$1)</f>
        <v>#NAME?</v>
      </c>
      <c r="G36" s="42" t="e">
        <f ca="1">+_xll.BDP($A36,G$1)</f>
        <v>#NAME?</v>
      </c>
    </row>
    <row r="37" spans="1:7" x14ac:dyDescent="0.2">
      <c r="A37" s="42" t="s">
        <v>243</v>
      </c>
      <c r="B37" s="46"/>
      <c r="C37" s="42" t="e">
        <f ca="1">+_xll.BDP($A37,C$1)</f>
        <v>#NAME?</v>
      </c>
      <c r="D37" s="42" t="e">
        <f ca="1">+_xll.BDP($A37,D$1)</f>
        <v>#NAME?</v>
      </c>
      <c r="E37" s="42" t="e">
        <f ca="1">+_xll.BDP($A37,E$1)</f>
        <v>#NAME?</v>
      </c>
      <c r="F37" s="42" t="e">
        <f ca="1">+_xll.BDP($A37,F$1)</f>
        <v>#NAME?</v>
      </c>
      <c r="G37" s="42" t="e">
        <f ca="1">+_xll.BDP($A37,G$1)</f>
        <v>#NAME?</v>
      </c>
    </row>
    <row r="38" spans="1:7" x14ac:dyDescent="0.2">
      <c r="A38" s="42" t="s">
        <v>244</v>
      </c>
      <c r="B38" s="46"/>
      <c r="C38" s="42" t="e">
        <f ca="1">+_xll.BDP($A38,C$1)</f>
        <v>#NAME?</v>
      </c>
      <c r="D38" s="42" t="e">
        <f ca="1">+_xll.BDP($A38,D$1)</f>
        <v>#NAME?</v>
      </c>
      <c r="E38" s="42" t="e">
        <f ca="1">+_xll.BDP($A38,E$1)</f>
        <v>#NAME?</v>
      </c>
      <c r="F38" s="42" t="e">
        <f ca="1">+_xll.BDP($A38,F$1)</f>
        <v>#NAME?</v>
      </c>
      <c r="G38" s="42" t="e">
        <f ca="1">+_xll.BDP($A38,G$1)</f>
        <v>#NAME?</v>
      </c>
    </row>
    <row r="39" spans="1:7" x14ac:dyDescent="0.2">
      <c r="A39" s="42" t="s">
        <v>245</v>
      </c>
      <c r="B39" s="46"/>
      <c r="C39" s="42" t="e">
        <f ca="1">+_xll.BDP($A39,C$1)</f>
        <v>#NAME?</v>
      </c>
      <c r="D39" s="42" t="e">
        <f ca="1">+_xll.BDP($A39,D$1)</f>
        <v>#NAME?</v>
      </c>
      <c r="E39" s="42" t="e">
        <f ca="1">+_xll.BDP($A39,E$1)</f>
        <v>#NAME?</v>
      </c>
      <c r="F39" s="42" t="e">
        <f ca="1">+_xll.BDP($A39,F$1)</f>
        <v>#NAME?</v>
      </c>
      <c r="G39" s="42" t="e">
        <f ca="1">+_xll.BDP($A39,G$1)</f>
        <v>#NAME?</v>
      </c>
    </row>
    <row r="40" spans="1:7" x14ac:dyDescent="0.2">
      <c r="A40" s="42" t="s">
        <v>246</v>
      </c>
      <c r="B40" s="46"/>
      <c r="C40" s="42" t="e">
        <f ca="1">+_xll.BDP($A40,C$1)</f>
        <v>#NAME?</v>
      </c>
      <c r="D40" s="42" t="e">
        <f ca="1">+_xll.BDP($A40,D$1)</f>
        <v>#NAME?</v>
      </c>
      <c r="E40" s="42" t="e">
        <f ca="1">+_xll.BDP($A40,E$1)</f>
        <v>#NAME?</v>
      </c>
      <c r="F40" s="42" t="e">
        <f ca="1">+_xll.BDP($A40,F$1)</f>
        <v>#NAME?</v>
      </c>
      <c r="G40" s="42" t="e">
        <f ca="1">+_xll.BDP($A40,G$1)</f>
        <v>#NAME?</v>
      </c>
    </row>
    <row r="41" spans="1:7" x14ac:dyDescent="0.2">
      <c r="A41" s="42" t="s">
        <v>247</v>
      </c>
      <c r="B41" s="46"/>
      <c r="C41" s="42" t="e">
        <f ca="1">+_xll.BDP($A41,C$1)</f>
        <v>#NAME?</v>
      </c>
      <c r="D41" s="42" t="e">
        <f ca="1">+_xll.BDP($A41,D$1)</f>
        <v>#NAME?</v>
      </c>
      <c r="E41" s="42" t="e">
        <f ca="1">+_xll.BDP($A41,E$1)</f>
        <v>#NAME?</v>
      </c>
      <c r="F41" s="42" t="e">
        <f ca="1">+_xll.BDP($A41,F$1)</f>
        <v>#NAME?</v>
      </c>
      <c r="G41" s="42" t="e">
        <f ca="1">+_xll.BDP($A41,G$1)</f>
        <v>#NAME?</v>
      </c>
    </row>
    <row r="42" spans="1:7" x14ac:dyDescent="0.2">
      <c r="A42" s="42" t="s">
        <v>248</v>
      </c>
      <c r="B42" s="46"/>
      <c r="C42" s="42" t="e">
        <f ca="1">+_xll.BDP($A42,C$1)</f>
        <v>#NAME?</v>
      </c>
      <c r="D42" s="42" t="e">
        <f ca="1">+_xll.BDP($A42,D$1)</f>
        <v>#NAME?</v>
      </c>
      <c r="E42" s="42" t="e">
        <f ca="1">+_xll.BDP($A42,E$1)</f>
        <v>#NAME?</v>
      </c>
      <c r="F42" s="42" t="e">
        <f ca="1">+_xll.BDP($A42,F$1)</f>
        <v>#NAME?</v>
      </c>
      <c r="G42" s="42" t="e">
        <f ca="1">+_xll.BDP($A42,G$1)</f>
        <v>#NAME?</v>
      </c>
    </row>
    <row r="43" spans="1:7" x14ac:dyDescent="0.2">
      <c r="A43" s="42" t="s">
        <v>249</v>
      </c>
      <c r="B43" s="46"/>
      <c r="C43" s="42" t="e">
        <f ca="1">+_xll.BDP($A43,C$1)</f>
        <v>#NAME?</v>
      </c>
      <c r="D43" s="42" t="e">
        <f ca="1">+_xll.BDP($A43,D$1)</f>
        <v>#NAME?</v>
      </c>
      <c r="E43" s="42" t="e">
        <f ca="1">+_xll.BDP($A43,E$1)</f>
        <v>#NAME?</v>
      </c>
      <c r="F43" s="42" t="e">
        <f ca="1">+_xll.BDP($A43,F$1)</f>
        <v>#NAME?</v>
      </c>
      <c r="G43" s="42" t="e">
        <f ca="1">+_xll.BDP($A43,G$1)</f>
        <v>#NAME?</v>
      </c>
    </row>
    <row r="44" spans="1:7" x14ac:dyDescent="0.2">
      <c r="A44" s="42" t="s">
        <v>250</v>
      </c>
      <c r="B44" s="46"/>
      <c r="C44" s="42" t="e">
        <f ca="1">+_xll.BDP($A44,C$1)</f>
        <v>#NAME?</v>
      </c>
      <c r="D44" s="42" t="e">
        <f ca="1">+_xll.BDP($A44,D$1)</f>
        <v>#NAME?</v>
      </c>
      <c r="E44" s="42" t="e">
        <f ca="1">+_xll.BDP($A44,E$1)</f>
        <v>#NAME?</v>
      </c>
      <c r="F44" s="42" t="e">
        <f ca="1">+_xll.BDP($A44,F$1)</f>
        <v>#NAME?</v>
      </c>
      <c r="G44" s="42" t="e">
        <f ca="1">+_xll.BDP($A44,G$1)</f>
        <v>#NAME?</v>
      </c>
    </row>
    <row r="45" spans="1:7" x14ac:dyDescent="0.2">
      <c r="A45" s="42" t="s">
        <v>251</v>
      </c>
      <c r="B45" s="46"/>
      <c r="C45" s="42" t="e">
        <f ca="1">+_xll.BDP($A45,C$1)</f>
        <v>#NAME?</v>
      </c>
      <c r="D45" s="42" t="e">
        <f ca="1">+_xll.BDP($A45,D$1)</f>
        <v>#NAME?</v>
      </c>
      <c r="E45" s="42" t="e">
        <f ca="1">+_xll.BDP($A45,E$1)</f>
        <v>#NAME?</v>
      </c>
      <c r="F45" s="42" t="e">
        <f ca="1">+_xll.BDP($A45,F$1)</f>
        <v>#NAME?</v>
      </c>
      <c r="G45" s="42" t="e">
        <f ca="1">+_xll.BDP($A45,G$1)</f>
        <v>#NAME?</v>
      </c>
    </row>
    <row r="46" spans="1:7" x14ac:dyDescent="0.2">
      <c r="A46" s="42" t="s">
        <v>252</v>
      </c>
      <c r="B46" s="46"/>
      <c r="C46" s="42" t="e">
        <f ca="1">+_xll.BDP($A46,C$1)</f>
        <v>#NAME?</v>
      </c>
      <c r="D46" s="42" t="e">
        <f ca="1">+_xll.BDP($A46,D$1)</f>
        <v>#NAME?</v>
      </c>
      <c r="E46" s="42" t="e">
        <f ca="1">+_xll.BDP($A46,E$1)</f>
        <v>#NAME?</v>
      </c>
      <c r="F46" s="42" t="e">
        <f ca="1">+_xll.BDP($A46,F$1)</f>
        <v>#NAME?</v>
      </c>
      <c r="G46" s="42" t="e">
        <f ca="1">+_xll.BDP($A46,G$1)</f>
        <v>#NAME?</v>
      </c>
    </row>
    <row r="47" spans="1:7" x14ac:dyDescent="0.2">
      <c r="A47" s="42" t="s">
        <v>253</v>
      </c>
      <c r="B47" s="46"/>
      <c r="C47" s="42" t="e">
        <f ca="1">+_xll.BDP($A47,C$1)</f>
        <v>#NAME?</v>
      </c>
      <c r="D47" s="42" t="e">
        <f ca="1">+_xll.BDP($A47,D$1)</f>
        <v>#NAME?</v>
      </c>
      <c r="E47" s="42" t="e">
        <f ca="1">+_xll.BDP($A47,E$1)</f>
        <v>#NAME?</v>
      </c>
      <c r="F47" s="42" t="e">
        <f ca="1">+_xll.BDP($A47,F$1)</f>
        <v>#NAME?</v>
      </c>
      <c r="G47" s="42" t="e">
        <f ca="1">+_xll.BDP($A47,G$1)</f>
        <v>#NAME?</v>
      </c>
    </row>
    <row r="48" spans="1:7" x14ac:dyDescent="0.2">
      <c r="A48" s="42" t="s">
        <v>254</v>
      </c>
      <c r="B48" s="46"/>
      <c r="C48" s="42" t="e">
        <f ca="1">+_xll.BDP($A48,C$1)</f>
        <v>#NAME?</v>
      </c>
      <c r="D48" s="42" t="e">
        <f ca="1">+_xll.BDP($A48,D$1)</f>
        <v>#NAME?</v>
      </c>
      <c r="E48" s="42" t="e">
        <f ca="1">+_xll.BDP($A48,E$1)</f>
        <v>#NAME?</v>
      </c>
      <c r="F48" s="42" t="e">
        <f ca="1">+_xll.BDP($A48,F$1)</f>
        <v>#NAME?</v>
      </c>
      <c r="G48" s="42" t="e">
        <f ca="1">+_xll.BDP($A48,G$1)</f>
        <v>#NAME?</v>
      </c>
    </row>
    <row r="49" spans="1:7" x14ac:dyDescent="0.2">
      <c r="A49" s="42" t="s">
        <v>255</v>
      </c>
      <c r="B49" s="46"/>
      <c r="C49" s="42" t="e">
        <f ca="1">+_xll.BDP($A49,C$1)</f>
        <v>#NAME?</v>
      </c>
      <c r="D49" s="42" t="e">
        <f ca="1">+_xll.BDP($A49,D$1)</f>
        <v>#NAME?</v>
      </c>
      <c r="E49" s="42" t="e">
        <f ca="1">+_xll.BDP($A49,E$1)</f>
        <v>#NAME?</v>
      </c>
      <c r="F49" s="42" t="e">
        <f ca="1">+_xll.BDP($A49,F$1)</f>
        <v>#NAME?</v>
      </c>
      <c r="G49" s="42" t="e">
        <f ca="1">+_xll.BDP($A49,G$1)</f>
        <v>#NAME?</v>
      </c>
    </row>
    <row r="50" spans="1:7" x14ac:dyDescent="0.2">
      <c r="A50" s="42" t="s">
        <v>256</v>
      </c>
      <c r="B50" s="46"/>
      <c r="C50" s="42" t="e">
        <f ca="1">+_xll.BDP($A50,C$1)</f>
        <v>#NAME?</v>
      </c>
      <c r="D50" s="42" t="e">
        <f ca="1">+_xll.BDP($A50,D$1)</f>
        <v>#NAME?</v>
      </c>
      <c r="E50" s="42" t="e">
        <f ca="1">+_xll.BDP($A50,E$1)</f>
        <v>#NAME?</v>
      </c>
      <c r="F50" s="42" t="e">
        <f ca="1">+_xll.BDP($A50,F$1)</f>
        <v>#NAME?</v>
      </c>
      <c r="G50" s="42" t="e">
        <f ca="1">+_xll.BDP($A50,G$1)</f>
        <v>#NAME?</v>
      </c>
    </row>
    <row r="51" spans="1:7" x14ac:dyDescent="0.2">
      <c r="A51" s="42" t="s">
        <v>257</v>
      </c>
      <c r="B51" s="46"/>
      <c r="C51" s="42" t="e">
        <f ca="1">+_xll.BDP($A51,C$1)</f>
        <v>#NAME?</v>
      </c>
      <c r="D51" s="42" t="e">
        <f ca="1">+_xll.BDP($A51,D$1)</f>
        <v>#NAME?</v>
      </c>
      <c r="E51" s="42" t="e">
        <f ca="1">+_xll.BDP($A51,E$1)</f>
        <v>#NAME?</v>
      </c>
      <c r="F51" s="42" t="e">
        <f ca="1">+_xll.BDP($A51,F$1)</f>
        <v>#NAME?</v>
      </c>
      <c r="G51" s="42" t="e">
        <f ca="1">+_xll.BDP($A51,G$1)</f>
        <v>#NAME?</v>
      </c>
    </row>
    <row r="52" spans="1:7" x14ac:dyDescent="0.2">
      <c r="A52" s="42" t="s">
        <v>258</v>
      </c>
      <c r="B52" s="46"/>
      <c r="C52" s="42" t="e">
        <f ca="1">+_xll.BDP($A52,C$1)</f>
        <v>#NAME?</v>
      </c>
      <c r="D52" s="42" t="e">
        <f ca="1">+_xll.BDP($A52,D$1)</f>
        <v>#NAME?</v>
      </c>
      <c r="E52" s="42" t="e">
        <f ca="1">+_xll.BDP($A52,E$1)</f>
        <v>#NAME?</v>
      </c>
      <c r="F52" s="42" t="e">
        <f ca="1">+_xll.BDP($A52,F$1)</f>
        <v>#NAME?</v>
      </c>
      <c r="G52" s="42" t="e">
        <f ca="1">+_xll.BDP($A52,G$1)</f>
        <v>#NAME?</v>
      </c>
    </row>
    <row r="53" spans="1:7" x14ac:dyDescent="0.2">
      <c r="A53" s="42" t="s">
        <v>259</v>
      </c>
      <c r="B53" s="46"/>
      <c r="C53" s="42" t="e">
        <f ca="1">+_xll.BDP($A53,C$1)</f>
        <v>#NAME?</v>
      </c>
      <c r="D53" s="42" t="e">
        <f ca="1">+_xll.BDP($A53,D$1)</f>
        <v>#NAME?</v>
      </c>
      <c r="E53" s="42" t="e">
        <f ca="1">+_xll.BDP($A53,E$1)</f>
        <v>#NAME?</v>
      </c>
      <c r="F53" s="42" t="e">
        <f ca="1">+_xll.BDP($A53,F$1)</f>
        <v>#NAME?</v>
      </c>
      <c r="G53" s="42" t="e">
        <f ca="1">+_xll.BDP($A53,G$1)</f>
        <v>#NAME?</v>
      </c>
    </row>
    <row r="54" spans="1:7" x14ac:dyDescent="0.2">
      <c r="A54" s="42" t="s">
        <v>260</v>
      </c>
      <c r="B54" s="46"/>
      <c r="C54" s="42" t="e">
        <f ca="1">+_xll.BDP($A54,C$1)</f>
        <v>#NAME?</v>
      </c>
      <c r="D54" s="42" t="e">
        <f ca="1">+_xll.BDP($A54,D$1)</f>
        <v>#NAME?</v>
      </c>
      <c r="E54" s="42" t="e">
        <f ca="1">+_xll.BDP($A54,E$1)</f>
        <v>#NAME?</v>
      </c>
      <c r="F54" s="42" t="e">
        <f ca="1">+_xll.BDP($A54,F$1)</f>
        <v>#NAME?</v>
      </c>
      <c r="G54" s="42" t="e">
        <f ca="1">+_xll.BDP($A54,G$1)</f>
        <v>#NAME?</v>
      </c>
    </row>
    <row r="55" spans="1:7" x14ac:dyDescent="0.2">
      <c r="A55" s="42" t="s">
        <v>261</v>
      </c>
      <c r="B55" s="46"/>
      <c r="C55" s="42" t="e">
        <f ca="1">+_xll.BDP($A55,C$1)</f>
        <v>#NAME?</v>
      </c>
      <c r="D55" s="42" t="e">
        <f ca="1">+_xll.BDP($A55,D$1)</f>
        <v>#NAME?</v>
      </c>
      <c r="E55" s="42" t="e">
        <f ca="1">+_xll.BDP($A55,E$1)</f>
        <v>#NAME?</v>
      </c>
      <c r="F55" s="42" t="e">
        <f ca="1">+_xll.BDP($A55,F$1)</f>
        <v>#NAME?</v>
      </c>
      <c r="G55" s="42" t="e">
        <f ca="1">+_xll.BDP($A55,G$1)</f>
        <v>#NAME?</v>
      </c>
    </row>
    <row r="56" spans="1:7" x14ac:dyDescent="0.2">
      <c r="A56" s="42" t="s">
        <v>262</v>
      </c>
      <c r="B56" s="46"/>
      <c r="C56" s="42" t="e">
        <f ca="1">+_xll.BDP($A56,C$1)</f>
        <v>#NAME?</v>
      </c>
      <c r="D56" s="42" t="e">
        <f ca="1">+_xll.BDP($A56,D$1)</f>
        <v>#NAME?</v>
      </c>
      <c r="E56" s="42" t="e">
        <f ca="1">+_xll.BDP($A56,E$1)</f>
        <v>#NAME?</v>
      </c>
      <c r="F56" s="42" t="e">
        <f ca="1">+_xll.BDP($A56,F$1)</f>
        <v>#NAME?</v>
      </c>
      <c r="G56" s="42" t="e">
        <f ca="1">+_xll.BDP($A56,G$1)</f>
        <v>#NAME?</v>
      </c>
    </row>
    <row r="57" spans="1:7" x14ac:dyDescent="0.2">
      <c r="A57" s="42" t="s">
        <v>263</v>
      </c>
      <c r="B57" s="46"/>
      <c r="C57" s="42" t="e">
        <f ca="1">+_xll.BDP($A57,C$1)</f>
        <v>#NAME?</v>
      </c>
      <c r="D57" s="42" t="e">
        <f ca="1">+_xll.BDP($A57,D$1)</f>
        <v>#NAME?</v>
      </c>
      <c r="E57" s="42" t="e">
        <f ca="1">+_xll.BDP($A57,E$1)</f>
        <v>#NAME?</v>
      </c>
      <c r="F57" s="42" t="e">
        <f ca="1">+_xll.BDP($A57,F$1)</f>
        <v>#NAME?</v>
      </c>
      <c r="G57" s="42" t="e">
        <f ca="1">+_xll.BDP($A57,G$1)</f>
        <v>#NAME?</v>
      </c>
    </row>
    <row r="58" spans="1:7" x14ac:dyDescent="0.2">
      <c r="A58" s="42" t="s">
        <v>264</v>
      </c>
      <c r="B58" s="46"/>
      <c r="C58" s="42" t="e">
        <f ca="1">+_xll.BDP($A58,C$1)</f>
        <v>#NAME?</v>
      </c>
      <c r="D58" s="42" t="e">
        <f ca="1">+_xll.BDP($A58,D$1)</f>
        <v>#NAME?</v>
      </c>
      <c r="E58" s="42" t="e">
        <f ca="1">+_xll.BDP($A58,E$1)</f>
        <v>#NAME?</v>
      </c>
      <c r="F58" s="42" t="e">
        <f ca="1">+_xll.BDP($A58,F$1)</f>
        <v>#NAME?</v>
      </c>
      <c r="G58" s="42" t="e">
        <f ca="1">+_xll.BDP($A58,G$1)</f>
        <v>#NAME?</v>
      </c>
    </row>
    <row r="59" spans="1:7" x14ac:dyDescent="0.2">
      <c r="A59" s="42" t="s">
        <v>265</v>
      </c>
      <c r="B59" s="46"/>
      <c r="C59" s="42" t="e">
        <f ca="1">+_xll.BDP($A59,C$1)</f>
        <v>#NAME?</v>
      </c>
      <c r="D59" s="42" t="e">
        <f ca="1">+_xll.BDP($A59,D$1)</f>
        <v>#NAME?</v>
      </c>
      <c r="E59" s="42" t="e">
        <f ca="1">+_xll.BDP($A59,E$1)</f>
        <v>#NAME?</v>
      </c>
      <c r="F59" s="42" t="e">
        <f ca="1">+_xll.BDP($A59,F$1)</f>
        <v>#NAME?</v>
      </c>
      <c r="G59" s="42" t="e">
        <f ca="1">+_xll.BDP($A59,G$1)</f>
        <v>#NAME?</v>
      </c>
    </row>
    <row r="60" spans="1:7" x14ac:dyDescent="0.2">
      <c r="A60" s="42" t="s">
        <v>266</v>
      </c>
      <c r="B60" s="46"/>
      <c r="C60" s="42" t="e">
        <f ca="1">+_xll.BDP($A60,C$1)</f>
        <v>#NAME?</v>
      </c>
      <c r="D60" s="42" t="e">
        <f ca="1">+_xll.BDP($A60,D$1)</f>
        <v>#NAME?</v>
      </c>
      <c r="E60" s="42" t="e">
        <f ca="1">+_xll.BDP($A60,E$1)</f>
        <v>#NAME?</v>
      </c>
      <c r="F60" s="42" t="e">
        <f ca="1">+_xll.BDP($A60,F$1)</f>
        <v>#NAME?</v>
      </c>
      <c r="G60" s="42" t="e">
        <f ca="1">+_xll.BDP($A60,G$1)</f>
        <v>#NAME?</v>
      </c>
    </row>
    <row r="61" spans="1:7" x14ac:dyDescent="0.2">
      <c r="A61" s="42" t="s">
        <v>267</v>
      </c>
      <c r="B61" s="46"/>
      <c r="C61" s="42" t="e">
        <f ca="1">+_xll.BDP($A61,C$1)</f>
        <v>#NAME?</v>
      </c>
      <c r="D61" s="42" t="e">
        <f ca="1">+_xll.BDP($A61,D$1)</f>
        <v>#NAME?</v>
      </c>
      <c r="E61" s="42" t="e">
        <f ca="1">+_xll.BDP($A61,E$1)</f>
        <v>#NAME?</v>
      </c>
      <c r="F61" s="42" t="e">
        <f ca="1">+_xll.BDP($A61,F$1)</f>
        <v>#NAME?</v>
      </c>
      <c r="G61" s="42" t="e">
        <f ca="1">+_xll.BDP($A61,G$1)</f>
        <v>#NAME?</v>
      </c>
    </row>
    <row r="62" spans="1:7" x14ac:dyDescent="0.2">
      <c r="A62" s="42" t="s">
        <v>268</v>
      </c>
      <c r="B62" s="46"/>
      <c r="C62" s="42" t="e">
        <f ca="1">+_xll.BDP($A62,C$1)</f>
        <v>#NAME?</v>
      </c>
      <c r="D62" s="42" t="e">
        <f ca="1">+_xll.BDP($A62,D$1)</f>
        <v>#NAME?</v>
      </c>
      <c r="E62" s="42" t="e">
        <f ca="1">+_xll.BDP($A62,E$1)</f>
        <v>#NAME?</v>
      </c>
      <c r="F62" s="42" t="e">
        <f ca="1">+_xll.BDP($A62,F$1)</f>
        <v>#NAME?</v>
      </c>
      <c r="G62" s="42" t="e">
        <f ca="1">+_xll.BDP($A62,G$1)</f>
        <v>#NAME?</v>
      </c>
    </row>
    <row r="63" spans="1:7" x14ac:dyDescent="0.2">
      <c r="A63" s="42" t="s">
        <v>269</v>
      </c>
      <c r="B63" s="46"/>
      <c r="C63" s="42" t="e">
        <f ca="1">+_xll.BDP($A63,C$1)</f>
        <v>#NAME?</v>
      </c>
      <c r="D63" s="42" t="e">
        <f ca="1">+_xll.BDP($A63,D$1)</f>
        <v>#NAME?</v>
      </c>
      <c r="E63" s="42" t="e">
        <f ca="1">+_xll.BDP($A63,E$1)</f>
        <v>#NAME?</v>
      </c>
      <c r="F63" s="42" t="e">
        <f ca="1">+_xll.BDP($A63,F$1)</f>
        <v>#NAME?</v>
      </c>
      <c r="G63" s="42" t="e">
        <f ca="1">+_xll.BDP($A63,G$1)</f>
        <v>#NAME?</v>
      </c>
    </row>
    <row r="64" spans="1:7" x14ac:dyDescent="0.2">
      <c r="A64" s="42" t="s">
        <v>270</v>
      </c>
      <c r="B64" s="46"/>
      <c r="C64" s="42" t="e">
        <f ca="1">+_xll.BDP($A64,C$1)</f>
        <v>#NAME?</v>
      </c>
      <c r="D64" s="42" t="e">
        <f ca="1">+_xll.BDP($A64,D$1)</f>
        <v>#NAME?</v>
      </c>
      <c r="E64" s="42" t="e">
        <f ca="1">+_xll.BDP($A64,E$1)</f>
        <v>#NAME?</v>
      </c>
      <c r="F64" s="42" t="e">
        <f ca="1">+_xll.BDP($A64,F$1)</f>
        <v>#NAME?</v>
      </c>
      <c r="G64" s="42" t="e">
        <f ca="1">+_xll.BDP($A64,G$1)</f>
        <v>#NAME?</v>
      </c>
    </row>
    <row r="65" spans="1:7" x14ac:dyDescent="0.2">
      <c r="A65" s="42" t="s">
        <v>271</v>
      </c>
      <c r="B65" s="46"/>
      <c r="C65" s="42" t="e">
        <f ca="1">+_xll.BDP($A65,C$1)</f>
        <v>#NAME?</v>
      </c>
      <c r="D65" s="42" t="e">
        <f ca="1">+_xll.BDP($A65,D$1)</f>
        <v>#NAME?</v>
      </c>
      <c r="E65" s="42" t="e">
        <f ca="1">+_xll.BDP($A65,E$1)</f>
        <v>#NAME?</v>
      </c>
      <c r="F65" s="42" t="e">
        <f ca="1">+_xll.BDP($A65,F$1)</f>
        <v>#NAME?</v>
      </c>
      <c r="G65" s="42" t="e">
        <f ca="1">+_xll.BDP($A65,G$1)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621A0-627A-48DC-8F38-1F77133BE9D7}">
  <sheetPr codeName="Hoja8"/>
  <dimension ref="A1"/>
  <sheetViews>
    <sheetView workbookViewId="0">
      <selection activeCell="E29" sqref="E29"/>
    </sheetView>
  </sheetViews>
  <sheetFormatPr baseColWidth="10"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Dataset</vt:lpstr>
      <vt:lpstr>IR</vt:lpstr>
      <vt:lpstr>Simulacion trades</vt:lpstr>
      <vt:lpstr>Allocation</vt:lpstr>
      <vt:lpstr>Caja</vt:lpstr>
      <vt:lpstr>Forwards report</vt:lpstr>
      <vt:lpstr>Transacciones</vt:lpstr>
      <vt:lpstr>BD_Instrumentos</vt:lpstr>
      <vt:lpstr>forward_portfolios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dcterms:created xsi:type="dcterms:W3CDTF">2017-11-21T12:49:36Z</dcterms:created>
  <dcterms:modified xsi:type="dcterms:W3CDTF">2017-12-26T21:32:25Z</dcterms:modified>
</cp:coreProperties>
</file>
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\\vallenevado.imtrust.loc\fmutuo4\Rates &amp; FX\fsb\operacion\"/>
    </mc:Choice>
  </mc:AlternateContent>
  <bookViews>
    <workbookView xWindow="23100" yWindow="0" windowWidth="21570" windowHeight="9375" xr2:uid="{00000000-000D-0000-FFFF-FFFF00000000}"/>
  </bookViews>
  <sheets>
    <sheet name="ResumenFondos" sheetId="6" r:id="rId1"/>
    <sheet name="SubidosIRF" sheetId="7" r:id="rId2"/>
    <sheet name="SubidosIIF" sheetId="8" r:id="rId3"/>
    <sheet name="Aportes" sheetId="10" r:id="rId4"/>
    <sheet name="Feriados" sheetId="5" state="hidden" r:id="rId5"/>
  </sheets>
  <functionGroups builtInGroupCount="19"/>
  <definedNames>
    <definedName name="CIQWBGuid" hidden="1">"Cajas.xlsm"</definedName>
    <definedName name="DatosExternos_1" localSheetId="3" hidden="1">Aportes!$A$1:$C$5</definedName>
    <definedName name="DatosExternos_1" localSheetId="0" hidden="1">ResumenFondos!$B$25:$D$26</definedName>
    <definedName name="FeriadosBCS" localSheetId="0">#REF!</definedName>
    <definedName name="FeriadosBCS" localSheetId="2">#REF!</definedName>
    <definedName name="FeriadosBCS" localSheetId="1">#REF!</definedName>
    <definedName name="FeriadosBCS">Feriados!$A$2:$A$34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"04/29/2016 20:05:17"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UYEHUE_MesaInversiones_TransaccionesIIF" localSheetId="2" hidden="1">SubidosIIF!$A$2:$T$37</definedName>
    <definedName name="PUYEHUE_MesaInversiones_TransaccionesIIF" localSheetId="1" hidden="1">SubidosIRF!$A$2:$S$12</definedName>
    <definedName name="solver_adj" localSheetId="0" hidden="1">ResumenFondos!#REF!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ResumenFondos!#REF!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3157826556</definedName>
    <definedName name="solver_ver" localSheetId="0" hidden="1">3</definedName>
  </definedNames>
  <calcPr calcId="171027"/>
  <fileRecoveryPr autoRecover="0"/>
</workbook>
</file>

<file path=xl/calcChain.xml><?xml version="1.0" encoding="utf-8"?>
<calcChain xmlns="http://schemas.openxmlformats.org/spreadsheetml/2006/main">
  <c r="U3" i="8" l="1"/>
  <c r="U4" i="8"/>
  <c r="U5" i="8"/>
  <c r="U6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7" i="8"/>
  <c r="U8" i="8"/>
  <c r="U9" i="8"/>
  <c r="V3" i="8"/>
  <c r="V4" i="8"/>
  <c r="V5" i="8"/>
  <c r="V6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7" i="8"/>
  <c r="V8" i="8"/>
  <c r="V9" i="8"/>
  <c r="C20" i="6"/>
  <c r="C19" i="6"/>
  <c r="C18" i="6"/>
  <c r="G3" i="6" l="1"/>
  <c r="J19" i="6" l="1"/>
  <c r="I19" i="6"/>
  <c r="H19" i="6"/>
  <c r="G19" i="6"/>
  <c r="G10" i="6" l="1"/>
  <c r="G11" i="6"/>
  <c r="G12" i="6"/>
  <c r="G13" i="6"/>
  <c r="G8" i="6" l="1"/>
  <c r="L19" i="6" l="1"/>
  <c r="G7" i="6" l="1"/>
  <c r="G9" i="6"/>
  <c r="G6" i="6" l="1"/>
  <c r="H8" i="6" l="1"/>
  <c r="K8" i="6" s="1"/>
  <c r="H9" i="6"/>
  <c r="H10" i="6"/>
  <c r="H13" i="6"/>
  <c r="K13" i="6" s="1"/>
  <c r="C2" i="6" l="1"/>
  <c r="I8" i="6" l="1"/>
  <c r="H12" i="6" l="1"/>
  <c r="K20" i="6" l="1"/>
  <c r="K18" i="6"/>
  <c r="K10" i="6" l="1"/>
  <c r="H11" i="6"/>
  <c r="K11" i="6" s="1"/>
  <c r="J6" i="6" l="1"/>
  <c r="J7" i="6"/>
  <c r="J8" i="6"/>
  <c r="J9" i="6"/>
  <c r="J10" i="6"/>
  <c r="J11" i="6"/>
  <c r="J12" i="6"/>
  <c r="J13" i="6"/>
  <c r="I6" i="6"/>
  <c r="I7" i="6"/>
  <c r="I9" i="6"/>
  <c r="I10" i="6"/>
  <c r="I11" i="6"/>
  <c r="I12" i="6"/>
  <c r="I13" i="6"/>
  <c r="H6" i="6"/>
  <c r="H7" i="6"/>
  <c r="G14" i="6" l="1"/>
  <c r="I14" i="6"/>
  <c r="J14" i="6"/>
  <c r="H14" i="6"/>
  <c r="K9" i="6"/>
  <c r="K12" i="6" l="1"/>
  <c r="K6" i="6" l="1"/>
  <c r="K7" i="6" l="1"/>
  <c r="K14" i="6" l="1"/>
  <c r="K19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sulta1" description="Conexión a la consulta 'Consulta1' en el libro." type="5" refreshedVersion="6" background="1" saveData="1">
    <dbPr connection="Provider=Microsoft.Mashup.OleDb.1;Data Source=$Workbook$;Location=Consulta1;Extended Properties=&quot;&quot;" command="SELECT * FROM [Consulta1]"/>
  </connection>
  <connection id="2" xr16:uid="{00000000-0015-0000-FFFF-FFFF01000000}" keepAlive="1" name="Consulta - Consulta1 (2)" description="Conexión a la consulta 'Consulta1 (2)' en el libro." type="5" refreshedVersion="6" background="1" saveData="1">
    <dbPr connection="Provider=Microsoft.Mashup.OleDb.1;Data Source=$Workbook$;Location=Consulta1 (2);Extended Properties=&quot;&quot;" command="SELECT * FROM [Consulta1 (2)]"/>
  </connection>
  <connection id="3" xr16:uid="{00000000-0015-0000-FFFF-FFFF02000000}" keepAlive="1" name="PUYEHUE MesaInversiones TransaccionesIIF" type="5" refreshedVersion="6" background="1" saveData="1">
    <dbPr connection="Provider=SQLOLEDB.1;Integrated Security=SSPI;Persist Security Info=True;Initial Catalog=MesaInversiones;Data Source=PUYEHUE;Use Procedure for Prepare=1;Auto Translate=True;Packet Size=4096;Workstation ID=BCS15432;Use Encryption for Data=False;Tag with column collation when possible=False" command="SELECT [TransaccionesIIF].Fecha, [TransaccionesIIF].V, [TransaccionesIIF].OpV, [TransaccionesIIF].C, [TransaccionesIIF].OpC, [TransaccionesIIF].Rte, [TransaccionesIIF].Folio, [TransaccionesIIF].Instrumento, [TransaccionesIIF].Emisor, [TransaccionesIIF].Liq, [TransaccionesIIF].D, [TransaccionesIIF].Rescate, [TransaccionesIIF].Moneda, [TransaccionesIIF].Dias, [TransaccionesIIF].tasa, [TransaccionesIIF].Captacion, [TransaccionesIIF].Vende, [TransaccionesIIF].Compra, [TransaccionesIIF].NemotecnicoSinFecha, [TransaccionesIIF].Nemotecnico_x000d__x000a_FROM dbo.[TransaccionesIIF]_x000d__x000a_WHERE ([TransaccionesIIF].Fecha=CAST(GETDATE() AS date))_x000d__x000a_ORDER BY [TransaccionesIIF].Rte, [TransaccionesIIF].Instrumento"/>
  </connection>
  <connection id="4" xr16:uid="{00000000-0015-0000-FFFF-FFFF03000000}" keepAlive="1" name="PUYEHUE MesaInversiones TransaccionesIRF" type="5" refreshedVersion="6" background="1" saveData="1">
    <dbPr connection="Provider=SQLOLEDB.1;Integrated Security=SSPI;Persist Security Info=True;Initial Catalog=MesaInversiones;Data Source=PUYEHUE;Use Procedure for Prepare=1;Auto Translate=True;Packet Size=4096;Workstation ID=BCS15432;Use Encryption for Data=False;Tag with column collation when possible=False" command="SELECT [TransaccionesIRF].Fecha, [TransaccionesIRF].V, [TransaccionesIRF].OpV, [TransaccionesIRF].C, [TransaccionesIRF].OpC, [TransaccionesIRF].Rte, [TransaccionesIRF].Folio, [TransaccionesIRF].Instrumento, [TransaccionesIRF].Liq, [TransaccionesIRF].D, [TransaccionesIRF].Cantidad, [TransaccionesIRF].Moneda, [TransaccionesIRF].Plazo, [TransaccionesIRF].Duration, [TransaccionesIRF].Precio, [TransaccionesIRF].Tir, [TransaccionesIRF].Monto, [TransaccionesIRF].Vende, [TransaccionesIRF].Compra_x000d__x000a_FROM dbo.[TransaccionesIRF]_x000d__x000a_WHERE ([TransaccionesIRF].Fecha=CAST(GETDATE() AS date))_x000d__x000a_ORDER BY [TransaccionesIRF].Rte, [TransaccionesIRF].Instrumento"/>
  </connection>
</connections>
</file>

<file path=xl/sharedStrings.xml><?xml version="1.0" encoding="utf-8"?>
<sst xmlns="http://schemas.openxmlformats.org/spreadsheetml/2006/main" count="526" uniqueCount="112">
  <si>
    <t>V</t>
  </si>
  <si>
    <t>C</t>
  </si>
  <si>
    <t>Rte</t>
  </si>
  <si>
    <t>Folio</t>
  </si>
  <si>
    <t>Instrumento</t>
  </si>
  <si>
    <t>D</t>
  </si>
  <si>
    <t>Moneda</t>
  </si>
  <si>
    <t>Compra</t>
  </si>
  <si>
    <t>Vende</t>
  </si>
  <si>
    <t>Liq</t>
  </si>
  <si>
    <t>Cantidad</t>
  </si>
  <si>
    <t>Plazo</t>
  </si>
  <si>
    <t>Fecha</t>
  </si>
  <si>
    <t>OpV</t>
  </si>
  <si>
    <t>OpC</t>
  </si>
  <si>
    <t>Fondo</t>
  </si>
  <si>
    <t>Duration</t>
  </si>
  <si>
    <t>Precio</t>
  </si>
  <si>
    <t>Tir</t>
  </si>
  <si>
    <t>Monto</t>
  </si>
  <si>
    <t xml:space="preserve">Pesos y UF </t>
  </si>
  <si>
    <t>Date</t>
  </si>
  <si>
    <t>LIQUIDEZ</t>
  </si>
  <si>
    <t>M_MARKET</t>
  </si>
  <si>
    <t>DEUDA 360</t>
  </si>
  <si>
    <t>RENTA</t>
  </si>
  <si>
    <t>MACRO 1.5</t>
  </si>
  <si>
    <t>DEUDA CORP</t>
  </si>
  <si>
    <t>SPREADCORP</t>
  </si>
  <si>
    <t>IMT E-PLUS</t>
  </si>
  <si>
    <t>Emisor</t>
  </si>
  <si>
    <t>Rescate</t>
  </si>
  <si>
    <t>Dias</t>
  </si>
  <si>
    <t>tasa</t>
  </si>
  <si>
    <t>Captacion</t>
  </si>
  <si>
    <t>NemotecnicoSinFecha</t>
  </si>
  <si>
    <t>Nemotecnico</t>
  </si>
  <si>
    <t>Saldo Inicial</t>
  </si>
  <si>
    <t>Ingresos</t>
  </si>
  <si>
    <t>Egresos</t>
  </si>
  <si>
    <t>Compras PH</t>
  </si>
  <si>
    <t>Aportes</t>
  </si>
  <si>
    <t>Caja Final PH</t>
  </si>
  <si>
    <t>Ventas PH</t>
  </si>
  <si>
    <t>Money Market</t>
  </si>
  <si>
    <t>Dólares</t>
  </si>
  <si>
    <t>Compras PM</t>
  </si>
  <si>
    <t>Ventas PM</t>
  </si>
  <si>
    <t>MACRO CLP3</t>
  </si>
  <si>
    <t>Total</t>
  </si>
  <si>
    <t>Columna1</t>
  </si>
  <si>
    <t>Columna2</t>
  </si>
  <si>
    <t>fecha</t>
  </si>
  <si>
    <t>codigo_fdo</t>
  </si>
  <si>
    <t>aportes</t>
  </si>
  <si>
    <t>2017-10-26</t>
  </si>
  <si>
    <t>Sintético CLP</t>
  </si>
  <si>
    <t>Sintético USD</t>
  </si>
  <si>
    <t>BSODI-H</t>
  </si>
  <si>
    <t>PH</t>
  </si>
  <si>
    <t>UF</t>
  </si>
  <si>
    <t>2000-01-01</t>
  </si>
  <si>
    <t>T1</t>
  </si>
  <si>
    <t>BTU0150321</t>
  </si>
  <si>
    <t>2017-04-03</t>
  </si>
  <si>
    <t>PAGARE R</t>
  </si>
  <si>
    <t>2017-11-22</t>
  </si>
  <si>
    <t>E6</t>
  </si>
  <si>
    <t>BSECK10108</t>
  </si>
  <si>
    <t>PM</t>
  </si>
  <si>
    <t>2000-02-01</t>
  </si>
  <si>
    <t>BICE</t>
  </si>
  <si>
    <t>FUBIC</t>
  </si>
  <si>
    <t>FUBIC-211217</t>
  </si>
  <si>
    <t>E7</t>
  </si>
  <si>
    <t>BBANM-D</t>
  </si>
  <si>
    <t>2017-06-11</t>
  </si>
  <si>
    <t>LA.CAMPANA</t>
  </si>
  <si>
    <t>FUN_I.ANIN</t>
  </si>
  <si>
    <t>E9</t>
  </si>
  <si>
    <t>BITA-X0613</t>
  </si>
  <si>
    <t>2017-07-06</t>
  </si>
  <si>
    <t>EPIFANIA</t>
  </si>
  <si>
    <t>PAGARE NR</t>
  </si>
  <si>
    <t>SCOTIABANK</t>
  </si>
  <si>
    <t>CH$</t>
  </si>
  <si>
    <t>FNBNS</t>
  </si>
  <si>
    <t>FNBNS-050118</t>
  </si>
  <si>
    <t>E8</t>
  </si>
  <si>
    <t>BCI</t>
  </si>
  <si>
    <t>FNBCI</t>
  </si>
  <si>
    <t>FNBCI-291117</t>
  </si>
  <si>
    <t>FNBCI-100118</t>
  </si>
  <si>
    <t>BBVA</t>
  </si>
  <si>
    <t>FNBBV</t>
  </si>
  <si>
    <t>FNBBV-080218</t>
  </si>
  <si>
    <t>FNBIC</t>
  </si>
  <si>
    <t>FNBIC-160318</t>
  </si>
  <si>
    <t>FALABELLA</t>
  </si>
  <si>
    <t>FNFAL</t>
  </si>
  <si>
    <t>FNFAL-200318</t>
  </si>
  <si>
    <t>CONSORCIO</t>
  </si>
  <si>
    <t>FNCNO</t>
  </si>
  <si>
    <t>FNCNO-190718</t>
  </si>
  <si>
    <t>RIPLEY</t>
  </si>
  <si>
    <t>FNRPL</t>
  </si>
  <si>
    <t>FNRPL-130418</t>
  </si>
  <si>
    <t>T2</t>
  </si>
  <si>
    <t>PHOD</t>
  </si>
  <si>
    <t>FNBNS-011217</t>
  </si>
  <si>
    <t>FNRPL-190318</t>
  </si>
  <si>
    <t>FNBCI-010218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</si>
</sst>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\ &quot;€&quot;;[Red]\-#,##0\ &quot;€&quot;"/>
    <numFmt numFmtId="165" formatCode="_-* #,##0.00\ &quot;€&quot;_-;\-* #,##0.00\ &quot;€&quot;_-;_-* &quot;-&quot;??\ &quot;€&quot;_-;_-@_-"/>
    <numFmt numFmtId="166" formatCode="_-* #,##0.00\ _€_-;\-* #,##0.00\ _€_-;_-* &quot;-&quot;??\ _€_-;_-@_-"/>
    <numFmt numFmtId="167" formatCode="_ * #,##0_ ;_ * \-#,##0_ ;_ * &quot;-&quot;_ ;_ @_ "/>
    <numFmt numFmtId="168" formatCode="mm/dd/yyyy;@"/>
    <numFmt numFmtId="169" formatCode="&quot;Verdadero&quot;;&quot;Verdadero&quot;;&quot;Falso&quot;"/>
    <numFmt numFmtId="170" formatCode="_(* #,##0_);_(* \(#,##0\);_(* &quot;-&quot;??_);_(@_)"/>
    <numFmt numFmtId="171" formatCode="[$-340A]d&quot; de &quot;mmmm&quot; de &quot;yyyy;@"/>
    <numFmt numFmtId="172" formatCode="&quot;€&quot;#,##0.0"/>
    <numFmt numFmtId="173" formatCode="&quot;€&quot;#,##0"/>
    <numFmt numFmtId="174" formatCode="#,##0_ ;[Red]\-#,##0\ "/>
    <numFmt numFmtId="175" formatCode="_ * #,##0.00_ ;_ * \-#,##0.00_ ;_ * &quot;-&quot;??_ ;_ @_ "/>
    <numFmt numFmtId="176" formatCode="_-[$€-2]\ * #,##0.00_-;\-[$€-2]\ * #,##0.00_-;_-[$€-2]\ * &quot;-&quot;??_-"/>
    <numFmt numFmtId="177" formatCode="_-* #,##0_-;\-* #,##0_-;_-* &quot;-&quot;??_-;_-@_-"/>
    <numFmt numFmtId="178" formatCode="_ * #,##0.00_ ;_ * \-#,##0.00_ ;_ * &quot;-&quot;_ ;_ @_ "/>
    <numFmt numFmtId="179" formatCode="&quot;$&quot;\ #,##0"/>
    <numFmt numFmtId="180" formatCode="_-&quot;$&quot;\ * #,##0_-;\-&quot;$&quot;\ * #,##0_-;_-&quot;$&quot;\ * &quot;-&quot;??_-;_-@_-"/>
  </numFmts>
  <fonts count="47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9"/>
      <name val="Arial"/>
      <family val="2"/>
      <scheme val="minor"/>
    </font>
    <font>
      <sz val="10"/>
      <name val="Arial"/>
      <family val="2"/>
    </font>
    <font>
      <u/>
      <sz val="11"/>
      <color rgb="FF00019F"/>
      <name val="Arial"/>
      <family val="2"/>
      <scheme val="minor"/>
    </font>
    <font>
      <u/>
      <sz val="11"/>
      <color rgb="FF400080"/>
      <name val="Arial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1"/>
      <color theme="0" tint="-4.9989318521683403E-2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b/>
      <sz val="11"/>
      <color theme="0" tint="-0.34998626667073579"/>
      <name val="Arial"/>
      <family val="2"/>
      <scheme val="minor"/>
    </font>
    <font>
      <sz val="11"/>
      <color theme="1"/>
      <name val="Arial"/>
      <family val="2"/>
      <scheme val="minor"/>
    </font>
    <font>
      <b/>
      <sz val="16"/>
      <color theme="0" tint="-0.34998626667073579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0"/>
      <color theme="0" tint="-0.34998626667073579"/>
      <name val="Arial"/>
      <family val="2"/>
    </font>
    <font>
      <b/>
      <sz val="11"/>
      <color rgb="FFFFFFFF"/>
      <name val="Calibri"/>
      <family val="2"/>
    </font>
    <font>
      <sz val="10"/>
      <name val="Arial"/>
      <family val="2"/>
    </font>
    <font>
      <sz val="11"/>
      <color theme="1"/>
      <name val="Arial"/>
      <family val="2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8"/>
      <color indexed="12"/>
      <name val="Helv"/>
    </font>
    <font>
      <i/>
      <sz val="11"/>
      <color indexed="23"/>
      <name val="Calibri"/>
      <family val="2"/>
    </font>
    <font>
      <sz val="10"/>
      <name val="Helv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8"/>
      <name val="Arial"/>
      <family val="2"/>
    </font>
    <font>
      <b/>
      <sz val="11"/>
      <color indexed="63"/>
      <name val="Calibri"/>
      <family val="2"/>
    </font>
    <font>
      <sz val="10"/>
      <color indexed="24"/>
      <name val="Arial"/>
      <family val="2"/>
    </font>
    <font>
      <sz val="10"/>
      <name val="GillSans Light"/>
      <family val="2"/>
    </font>
    <font>
      <b/>
      <sz val="10"/>
      <name val="GillSans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1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</fills>
  <borders count="2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double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medium">
        <color indexed="9"/>
      </right>
      <top/>
      <bottom/>
      <diagonal/>
    </border>
    <border>
      <left style="thin">
        <color theme="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340">
    <xf numFmtId="0" fontId="0" fillId="0" borderId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/>
    <xf numFmtId="166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2" fillId="0" borderId="0"/>
    <xf numFmtId="171" fontId="4" fillId="0" borderId="0"/>
    <xf numFmtId="171" fontId="4" fillId="0" borderId="0"/>
    <xf numFmtId="171" fontId="2" fillId="0" borderId="0"/>
    <xf numFmtId="166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1" fontId="2" fillId="0" borderId="0"/>
    <xf numFmtId="171" fontId="2" fillId="0" borderId="0"/>
    <xf numFmtId="171" fontId="2" fillId="0" borderId="0"/>
    <xf numFmtId="171" fontId="2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1" fontId="2" fillId="0" borderId="0"/>
    <xf numFmtId="171" fontId="2" fillId="0" borderId="0"/>
    <xf numFmtId="0" fontId="2" fillId="0" borderId="0"/>
    <xf numFmtId="166" fontId="4" fillId="0" borderId="0" applyFont="0" applyFill="0" applyBorder="0" applyAlignment="0" applyProtection="0"/>
    <xf numFmtId="0" fontId="2" fillId="0" borderId="0"/>
    <xf numFmtId="0" fontId="2" fillId="0" borderId="0"/>
    <xf numFmtId="166" fontId="4" fillId="0" borderId="0" applyFont="0" applyFill="0" applyBorder="0" applyAlignment="0" applyProtection="0"/>
    <xf numFmtId="0" fontId="1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>
      <alignment vertical="top"/>
    </xf>
    <xf numFmtId="0" fontId="9" fillId="0" borderId="0">
      <alignment vertical="top"/>
    </xf>
    <xf numFmtId="0" fontId="9" fillId="0" borderId="0">
      <alignment vertical="top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>
      <alignment vertical="top"/>
    </xf>
    <xf numFmtId="0" fontId="2" fillId="0" borderId="0"/>
    <xf numFmtId="167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0" fillId="0" borderId="0"/>
    <xf numFmtId="167" fontId="4" fillId="0" borderId="0" applyFont="0" applyFill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7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6" borderId="0" applyNumberFormat="0" applyBorder="0" applyAlignment="0" applyProtection="0"/>
    <xf numFmtId="0" fontId="24" fillId="10" borderId="0" applyNumberFormat="0" applyBorder="0" applyAlignment="0" applyProtection="0"/>
    <xf numFmtId="0" fontId="25" fillId="0" borderId="0">
      <alignment vertical="center"/>
    </xf>
    <xf numFmtId="0" fontId="25" fillId="0" borderId="0">
      <alignment vertical="center"/>
    </xf>
    <xf numFmtId="0" fontId="26" fillId="27" borderId="14" applyNumberFormat="0" applyAlignment="0" applyProtection="0"/>
    <xf numFmtId="0" fontId="27" fillId="28" borderId="15" applyNumberFormat="0" applyAlignment="0" applyProtection="0"/>
    <xf numFmtId="38" fontId="28" fillId="0" borderId="0">
      <alignment horizontal="center"/>
      <protection locked="0"/>
    </xf>
    <xf numFmtId="0" fontId="4" fillId="0" borderId="0"/>
    <xf numFmtId="0" fontId="25" fillId="0" borderId="0">
      <alignment vertical="center"/>
    </xf>
    <xf numFmtId="176" fontId="4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2" fillId="11" borderId="0" applyNumberFormat="0" applyBorder="0" applyAlignment="0" applyProtection="0"/>
    <xf numFmtId="0" fontId="33" fillId="0" borderId="17" applyNumberFormat="0" applyFill="0" applyAlignment="0" applyProtection="0"/>
    <xf numFmtId="0" fontId="34" fillId="0" borderId="18" applyNumberFormat="0" applyFill="0" applyAlignment="0" applyProtection="0"/>
    <xf numFmtId="0" fontId="35" fillId="0" borderId="19" applyNumberFormat="0" applyFill="0" applyAlignment="0" applyProtection="0"/>
    <xf numFmtId="0" fontId="35" fillId="0" borderId="0" applyNumberForma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36" fillId="14" borderId="14" applyNumberFormat="0" applyAlignment="0" applyProtection="0"/>
    <xf numFmtId="0" fontId="37" fillId="0" borderId="16" applyNumberFormat="0" applyFill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38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4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 applyNumberFormat="0" applyFill="0" applyBorder="0" applyAlignment="0" applyProtection="0"/>
    <xf numFmtId="0" fontId="21" fillId="0" borderId="0"/>
    <xf numFmtId="0" fontId="4" fillId="0" borderId="0"/>
    <xf numFmtId="0" fontId="10" fillId="0" borderId="0"/>
    <xf numFmtId="0" fontId="21" fillId="0" borderId="0"/>
    <xf numFmtId="0" fontId="21" fillId="0" borderId="0"/>
    <xf numFmtId="175" fontId="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" fillId="29" borderId="20" applyNumberFormat="0" applyFont="0" applyAlignment="0" applyProtection="0"/>
    <xf numFmtId="0" fontId="39" fillId="27" borderId="21" applyNumberFormat="0" applyAlignment="0" applyProtection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30" fillId="0" borderId="0"/>
    <xf numFmtId="0" fontId="41" fillId="0" borderId="0" applyNumberFormat="0" applyFill="0" applyBorder="0" applyProtection="0">
      <alignment horizontal="right" vertical="center"/>
    </xf>
    <xf numFmtId="0" fontId="42" fillId="0" borderId="22" applyNumberFormat="0" applyFill="0" applyProtection="0">
      <alignment horizontal="right" vertical="center"/>
    </xf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5" fontId="2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2" fillId="0" borderId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2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2" fillId="0" borderId="0"/>
    <xf numFmtId="166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6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2" fillId="0" borderId="0"/>
    <xf numFmtId="171" fontId="2" fillId="0" borderId="0"/>
    <xf numFmtId="0" fontId="46" fillId="0" borderId="0"/>
    <xf numFmtId="0" fontId="46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71" fontId="2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66" fontId="4" fillId="0" borderId="0" applyFont="0" applyFill="0" applyBorder="0" applyAlignment="0" applyProtection="0"/>
  </cellStyleXfs>
  <cellXfs count="67">
    <xf numFmtId="0" fontId="0" fillId="0" borderId="0" xfId="0"/>
    <xf numFmtId="0" fontId="3" fillId="0" borderId="0" xfId="0" applyFont="1"/>
    <xf numFmtId="168" fontId="3" fillId="0" borderId="0" xfId="0" applyNumberFormat="1" applyFont="1"/>
    <xf numFmtId="0" fontId="1" fillId="0" borderId="0" xfId="0" applyFont="1"/>
    <xf numFmtId="170" fontId="0" fillId="0" borderId="0" xfId="5" applyNumberFormat="1" applyFont="1"/>
    <xf numFmtId="0" fontId="11" fillId="6" borderId="0" xfId="0" applyFont="1" applyFill="1"/>
    <xf numFmtId="0" fontId="12" fillId="0" borderId="0" xfId="0" applyFont="1"/>
    <xf numFmtId="0" fontId="12" fillId="0" borderId="0" xfId="0" applyFont="1" applyFill="1"/>
    <xf numFmtId="14" fontId="12" fillId="0" borderId="0" xfId="0" applyNumberFormat="1" applyFont="1"/>
    <xf numFmtId="3" fontId="12" fillId="0" borderId="0" xfId="0" applyNumberFormat="1" applyFont="1"/>
    <xf numFmtId="1" fontId="12" fillId="0" borderId="0" xfId="0" applyNumberFormat="1" applyFont="1"/>
    <xf numFmtId="0" fontId="0" fillId="0" borderId="0" xfId="0" applyNumberFormat="1"/>
    <xf numFmtId="167" fontId="0" fillId="4" borderId="12" xfId="2140" applyFont="1" applyFill="1" applyBorder="1"/>
    <xf numFmtId="0" fontId="13" fillId="3" borderId="0" xfId="0" applyFont="1" applyFill="1"/>
    <xf numFmtId="0" fontId="14" fillId="3" borderId="0" xfId="0" applyFont="1" applyFill="1"/>
    <xf numFmtId="0" fontId="14" fillId="3" borderId="0" xfId="0" applyFont="1" applyFill="1" applyAlignment="1">
      <alignment horizontal="center"/>
    </xf>
    <xf numFmtId="0" fontId="15" fillId="7" borderId="11" xfId="0" applyFont="1" applyFill="1" applyBorder="1"/>
    <xf numFmtId="14" fontId="15" fillId="7" borderId="11" xfId="0" applyNumberFormat="1" applyFont="1" applyFill="1" applyBorder="1"/>
    <xf numFmtId="0" fontId="14" fillId="3" borderId="0" xfId="0" applyFont="1" applyFill="1" applyAlignment="1">
      <alignment wrapText="1"/>
    </xf>
    <xf numFmtId="0" fontId="16" fillId="3" borderId="2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3" fillId="3" borderId="0" xfId="0" applyFont="1" applyFill="1" applyAlignment="1">
      <alignment wrapText="1"/>
    </xf>
    <xf numFmtId="0" fontId="17" fillId="5" borderId="6" xfId="0" applyFont="1" applyFill="1" applyBorder="1"/>
    <xf numFmtId="0" fontId="17" fillId="5" borderId="7" xfId="0" applyFont="1" applyFill="1" applyBorder="1"/>
    <xf numFmtId="170" fontId="13" fillId="3" borderId="0" xfId="5" applyNumberFormat="1" applyFont="1" applyFill="1"/>
    <xf numFmtId="0" fontId="15" fillId="4" borderId="6" xfId="0" applyFont="1" applyFill="1" applyBorder="1"/>
    <xf numFmtId="0" fontId="15" fillId="0" borderId="8" xfId="0" applyFont="1" applyBorder="1"/>
    <xf numFmtId="173" fontId="15" fillId="0" borderId="8" xfId="0" applyNumberFormat="1" applyFont="1" applyBorder="1"/>
    <xf numFmtId="0" fontId="15" fillId="4" borderId="8" xfId="0" applyFont="1" applyFill="1" applyBorder="1"/>
    <xf numFmtId="170" fontId="13" fillId="3" borderId="0" xfId="0" applyNumberFormat="1" applyFont="1" applyFill="1"/>
    <xf numFmtId="0" fontId="15" fillId="0" borderId="10" xfId="0" applyFont="1" applyBorder="1"/>
    <xf numFmtId="3" fontId="13" fillId="3" borderId="0" xfId="0" applyNumberFormat="1" applyFont="1" applyFill="1"/>
    <xf numFmtId="0" fontId="17" fillId="5" borderId="3" xfId="0" applyFont="1" applyFill="1" applyBorder="1"/>
    <xf numFmtId="0" fontId="15" fillId="4" borderId="4" xfId="0" applyFont="1" applyFill="1" applyBorder="1"/>
    <xf numFmtId="3" fontId="18" fillId="3" borderId="0" xfId="0" applyNumberFormat="1" applyFont="1" applyFill="1"/>
    <xf numFmtId="0" fontId="15" fillId="0" borderId="4" xfId="0" applyFont="1" applyBorder="1"/>
    <xf numFmtId="0" fontId="15" fillId="0" borderId="5" xfId="0" applyFont="1" applyBorder="1"/>
    <xf numFmtId="172" fontId="15" fillId="0" borderId="5" xfId="0" applyNumberFormat="1" applyFont="1" applyBorder="1"/>
    <xf numFmtId="164" fontId="13" fillId="3" borderId="0" xfId="0" applyNumberFormat="1" applyFont="1" applyFill="1"/>
    <xf numFmtId="14" fontId="13" fillId="3" borderId="0" xfId="0" applyNumberFormat="1" applyFont="1" applyFill="1"/>
    <xf numFmtId="167" fontId="13" fillId="3" borderId="0" xfId="2140" applyFont="1" applyFill="1"/>
    <xf numFmtId="174" fontId="13" fillId="3" borderId="0" xfId="0" applyNumberFormat="1" applyFont="1" applyFill="1"/>
    <xf numFmtId="0" fontId="0" fillId="4" borderId="13" xfId="0" applyNumberFormat="1" applyFont="1" applyFill="1" applyBorder="1"/>
    <xf numFmtId="0" fontId="19" fillId="8" borderId="0" xfId="0" applyFont="1" applyFill="1" applyAlignment="1">
      <alignment vertical="center"/>
    </xf>
    <xf numFmtId="177" fontId="9" fillId="31" borderId="23" xfId="2" applyNumberFormat="1" applyFont="1" applyFill="1" applyBorder="1" applyAlignment="1">
      <alignment vertical="center"/>
    </xf>
    <xf numFmtId="177" fontId="9" fillId="31" borderId="24" xfId="2" applyNumberFormat="1" applyFont="1" applyFill="1" applyBorder="1" applyAlignment="1">
      <alignment vertical="center"/>
    </xf>
    <xf numFmtId="177" fontId="9" fillId="31" borderId="25" xfId="2" applyNumberFormat="1" applyFont="1" applyFill="1" applyBorder="1" applyAlignment="1">
      <alignment vertical="center"/>
    </xf>
    <xf numFmtId="178" fontId="9" fillId="30" borderId="26" xfId="2140" applyNumberFormat="1" applyFont="1" applyFill="1" applyBorder="1" applyAlignment="1">
      <alignment vertical="center"/>
    </xf>
    <xf numFmtId="178" fontId="9" fillId="30" borderId="27" xfId="2140" applyNumberFormat="1" applyFont="1" applyFill="1" applyBorder="1" applyAlignment="1">
      <alignment vertical="center"/>
    </xf>
    <xf numFmtId="166" fontId="9" fillId="30" borderId="24" xfId="2" applyFont="1" applyFill="1" applyBorder="1" applyAlignment="1">
      <alignment vertical="center"/>
    </xf>
    <xf numFmtId="179" fontId="15" fillId="4" borderId="6" xfId="0" applyNumberFormat="1" applyFont="1" applyFill="1" applyBorder="1"/>
    <xf numFmtId="179" fontId="15" fillId="4" borderId="7" xfId="0" applyNumberFormat="1" applyFont="1" applyFill="1" applyBorder="1"/>
    <xf numFmtId="179" fontId="15" fillId="0" borderId="8" xfId="0" applyNumberFormat="1" applyFont="1" applyBorder="1"/>
    <xf numFmtId="179" fontId="15" fillId="4" borderId="8" xfId="0" applyNumberFormat="1" applyFont="1" applyFill="1" applyBorder="1"/>
    <xf numFmtId="179" fontId="15" fillId="0" borderId="9" xfId="0" applyNumberFormat="1" applyFont="1" applyBorder="1"/>
    <xf numFmtId="179" fontId="0" fillId="4" borderId="28" xfId="2140" applyNumberFormat="1" applyFont="1" applyFill="1" applyBorder="1"/>
    <xf numFmtId="179" fontId="15" fillId="4" borderId="9" xfId="0" applyNumberFormat="1" applyFont="1" applyFill="1" applyBorder="1"/>
    <xf numFmtId="179" fontId="15" fillId="0" borderId="10" xfId="0" applyNumberFormat="1" applyFont="1" applyBorder="1"/>
    <xf numFmtId="179" fontId="15" fillId="4" borderId="4" xfId="0" applyNumberFormat="1" applyFont="1" applyFill="1" applyBorder="1"/>
    <xf numFmtId="179" fontId="15" fillId="0" borderId="4" xfId="0" applyNumberFormat="1" applyFont="1" applyBorder="1"/>
    <xf numFmtId="4" fontId="13" fillId="3" borderId="0" xfId="0" applyNumberFormat="1" applyFont="1" applyFill="1"/>
    <xf numFmtId="0" fontId="13" fillId="3" borderId="0" xfId="0" applyNumberFormat="1" applyFont="1" applyFill="1"/>
    <xf numFmtId="0" fontId="0" fillId="0" borderId="0" xfId="0"/>
    <xf numFmtId="44" fontId="15" fillId="0" borderId="8" xfId="2327" applyFont="1" applyBorder="1" applyAlignment="1">
      <alignment horizontal="right"/>
    </xf>
    <xf numFmtId="0" fontId="0" fillId="0" borderId="0" xfId="0" applyFont="1"/>
    <xf numFmtId="0" fontId="0" fillId="0" borderId="0" xfId="0" applyFont="1" applyFill="1"/>
    <xf numFmtId="180" fontId="13" fillId="3" borderId="0" xfId="2327" applyNumberFormat="1" applyFont="1" applyFill="1"/>
  </cellXfs>
  <cellStyles count="2340">
    <cellStyle name="_x000a_386grabber=M" xfId="6" xr:uid="{00000000-0005-0000-0000-000000000000}"/>
    <cellStyle name="20% - Accent1" xfId="2145" xr:uid="{00000000-0005-0000-0000-000001000000}"/>
    <cellStyle name="20% - Accent2" xfId="2146" xr:uid="{00000000-0005-0000-0000-000002000000}"/>
    <cellStyle name="20% - Accent3" xfId="2147" xr:uid="{00000000-0005-0000-0000-000003000000}"/>
    <cellStyle name="20% - Accent4" xfId="2148" xr:uid="{00000000-0005-0000-0000-000004000000}"/>
    <cellStyle name="20% - Accent5" xfId="2149" xr:uid="{00000000-0005-0000-0000-000005000000}"/>
    <cellStyle name="20% - Accent6" xfId="2150" xr:uid="{00000000-0005-0000-0000-000006000000}"/>
    <cellStyle name="40% - Accent1" xfId="2151" xr:uid="{00000000-0005-0000-0000-000007000000}"/>
    <cellStyle name="40% - Accent2" xfId="2152" xr:uid="{00000000-0005-0000-0000-000008000000}"/>
    <cellStyle name="40% - Accent3" xfId="2153" xr:uid="{00000000-0005-0000-0000-000009000000}"/>
    <cellStyle name="40% - Accent4" xfId="2154" xr:uid="{00000000-0005-0000-0000-00000A000000}"/>
    <cellStyle name="40% - Accent5" xfId="2155" xr:uid="{00000000-0005-0000-0000-00000B000000}"/>
    <cellStyle name="40% - Accent6" xfId="2156" xr:uid="{00000000-0005-0000-0000-00000C000000}"/>
    <cellStyle name="60% - Accent1" xfId="2157" xr:uid="{00000000-0005-0000-0000-00000D000000}"/>
    <cellStyle name="60% - Accent2" xfId="2158" xr:uid="{00000000-0005-0000-0000-00000E000000}"/>
    <cellStyle name="60% - Accent3" xfId="2159" xr:uid="{00000000-0005-0000-0000-00000F000000}"/>
    <cellStyle name="60% - Accent4" xfId="2160" xr:uid="{00000000-0005-0000-0000-000010000000}"/>
    <cellStyle name="60% - Accent5" xfId="2161" xr:uid="{00000000-0005-0000-0000-000011000000}"/>
    <cellStyle name="60% - Accent6" xfId="2162" xr:uid="{00000000-0005-0000-0000-000012000000}"/>
    <cellStyle name="Accent1" xfId="2163" xr:uid="{00000000-0005-0000-0000-000013000000}"/>
    <cellStyle name="Accent2" xfId="2164" xr:uid="{00000000-0005-0000-0000-000014000000}"/>
    <cellStyle name="Accent3" xfId="2165" xr:uid="{00000000-0005-0000-0000-000015000000}"/>
    <cellStyle name="Accent4" xfId="2166" xr:uid="{00000000-0005-0000-0000-000016000000}"/>
    <cellStyle name="Accent5" xfId="2167" xr:uid="{00000000-0005-0000-0000-000017000000}"/>
    <cellStyle name="Accent6" xfId="2168" xr:uid="{00000000-0005-0000-0000-000018000000}"/>
    <cellStyle name="Bad" xfId="2169" xr:uid="{00000000-0005-0000-0000-000019000000}"/>
    <cellStyle name="bstitutes]_x000a__x000a_; The following mappings take Word for MS-DOS names, PostScript names, and TrueType_x000a__x000a_; names into account" xfId="2170" xr:uid="{00000000-0005-0000-0000-00001A000000}"/>
    <cellStyle name="bstitutes]_x000d__x000a_; The following mappings take Word for MS-DOS names, PostScript names, and TrueType_x000d__x000a_; names into account" xfId="2171" xr:uid="{00000000-0005-0000-0000-00001B000000}"/>
    <cellStyle name="Calculation" xfId="2172" xr:uid="{00000000-0005-0000-0000-00001C000000}"/>
    <cellStyle name="Check Cell" xfId="2173" xr:uid="{00000000-0005-0000-0000-00001D000000}"/>
    <cellStyle name="Comma [1]" xfId="2174" xr:uid="{00000000-0005-0000-0000-00001E000000}"/>
    <cellStyle name="Diseño" xfId="2175" xr:uid="{00000000-0005-0000-0000-00001F000000}"/>
    <cellStyle name="Estilo 1" xfId="2176" xr:uid="{00000000-0005-0000-0000-000020000000}"/>
    <cellStyle name="Euro" xfId="2177" xr:uid="{00000000-0005-0000-0000-000021000000}"/>
    <cellStyle name="Explanatory Text" xfId="2178" xr:uid="{00000000-0005-0000-0000-000022000000}"/>
    <cellStyle name="F8 - Estilo5" xfId="2179" xr:uid="{00000000-0005-0000-0000-000023000000}"/>
    <cellStyle name="Followed Hyperlink" xfId="2180" xr:uid="{00000000-0005-0000-0000-000024000000}"/>
    <cellStyle name="Good" xfId="2181" xr:uid="{00000000-0005-0000-0000-000025000000}"/>
    <cellStyle name="Heading 1" xfId="2182" xr:uid="{00000000-0005-0000-0000-000026000000}"/>
    <cellStyle name="Heading 2" xfId="2183" xr:uid="{00000000-0005-0000-0000-000027000000}"/>
    <cellStyle name="Heading 3" xfId="2184" xr:uid="{00000000-0005-0000-0000-000028000000}"/>
    <cellStyle name="Heading 4" xfId="2185" xr:uid="{00000000-0005-0000-0000-000029000000}"/>
    <cellStyle name="Hipervínculo 2" xfId="2186" xr:uid="{00000000-0005-0000-0000-00002B000000}"/>
    <cellStyle name="Hipervínculo 2 2" xfId="7" xr:uid="{00000000-0005-0000-0000-000001000000}"/>
    <cellStyle name="Hipervínculo 3 2" xfId="8" xr:uid="{00000000-0005-0000-0000-000002000000}"/>
    <cellStyle name="Hipervínculo visitado 2 2" xfId="9" xr:uid="{00000000-0005-0000-0000-000003000000}"/>
    <cellStyle name="Hipervínculo visitado 3 2" xfId="10" xr:uid="{00000000-0005-0000-0000-000004000000}"/>
    <cellStyle name="Hyperlink" xfId="2187" xr:uid="{00000000-0005-0000-0000-00002C000000}"/>
    <cellStyle name="Input" xfId="2188" xr:uid="{00000000-0005-0000-0000-00002D000000}"/>
    <cellStyle name="Linked Cell" xfId="2189" xr:uid="{00000000-0005-0000-0000-00002E000000}"/>
    <cellStyle name="Millares" xfId="5" builtinId="3"/>
    <cellStyle name="Millares [0]" xfId="2140" builtinId="6"/>
    <cellStyle name="Millares [0] 2" xfId="2144" xr:uid="{00000000-0005-0000-0000-00008B080000}"/>
    <cellStyle name="Millares 10" xfId="11" xr:uid="{00000000-0005-0000-0000-000006000000}"/>
    <cellStyle name="Millares 10 2" xfId="2304" xr:uid="{00000000-0005-0000-0000-000030000000}"/>
    <cellStyle name="Millares 11" xfId="12" xr:uid="{00000000-0005-0000-0000-000007000000}"/>
    <cellStyle name="Millares 11 2" xfId="2142" xr:uid="{00000000-0005-0000-0000-000001000000}"/>
    <cellStyle name="Millares 11 3" xfId="2329" xr:uid="{00000000-0005-0000-0000-000001000000}"/>
    <cellStyle name="Millares 11 4" xfId="2338" xr:uid="{00000000-0005-0000-0000-000001000000}"/>
    <cellStyle name="Millares 12" xfId="121" xr:uid="{00000000-0005-0000-0000-000008000000}"/>
    <cellStyle name="Millares 13" xfId="148" xr:uid="{00000000-0005-0000-0000-0000C1000000}"/>
    <cellStyle name="Millares 14" xfId="2141" xr:uid="{00000000-0005-0000-0000-000089080000}"/>
    <cellStyle name="Millares 15" xfId="2190" xr:uid="{00000000-0005-0000-0000-0000BA080000}"/>
    <cellStyle name="Millares 16" xfId="2234" xr:uid="{00000000-0005-0000-0000-000017090000}"/>
    <cellStyle name="Millares 17" xfId="2284" xr:uid="{00000000-0005-0000-0000-000018090000}"/>
    <cellStyle name="Millares 18" xfId="2285" xr:uid="{00000000-0005-0000-0000-000019090000}"/>
    <cellStyle name="Millares 19" xfId="2286" xr:uid="{00000000-0005-0000-0000-00001A090000}"/>
    <cellStyle name="Millares 2" xfId="2" xr:uid="{00000000-0005-0000-0000-000009000000}"/>
    <cellStyle name="Millares 2 10" xfId="2332" xr:uid="{00000000-0005-0000-0000-000002000000}"/>
    <cellStyle name="Millares 2 2" xfId="13" xr:uid="{00000000-0005-0000-0000-00000A000000}"/>
    <cellStyle name="Millares 2 2 2" xfId="2193" xr:uid="{00000000-0005-0000-0000-000033000000}"/>
    <cellStyle name="Millares 2 2 3" xfId="2192" xr:uid="{00000000-0005-0000-0000-000032000000}"/>
    <cellStyle name="Millares 2 3" xfId="14" xr:uid="{00000000-0005-0000-0000-00000B000000}"/>
    <cellStyle name="Millares 2 3 2" xfId="2195" xr:uid="{00000000-0005-0000-0000-000035000000}"/>
    <cellStyle name="Millares 2 3 3" xfId="2194" xr:uid="{00000000-0005-0000-0000-000034000000}"/>
    <cellStyle name="Millares 2 4" xfId="144" xr:uid="{00000000-0005-0000-0000-00000C000000}"/>
    <cellStyle name="Millares 2 4 2" xfId="2197" xr:uid="{00000000-0005-0000-0000-000037000000}"/>
    <cellStyle name="Millares 2 4 3" xfId="2196" xr:uid="{00000000-0005-0000-0000-000036000000}"/>
    <cellStyle name="Millares 2 5" xfId="151" xr:uid="{00000000-0005-0000-0000-000001000000}"/>
    <cellStyle name="Millares 2 6" xfId="2191" xr:uid="{00000000-0005-0000-0000-000031000000}"/>
    <cellStyle name="Millares 2 7" xfId="2296" xr:uid="{00000000-0005-0000-0000-000002000000}"/>
    <cellStyle name="Millares 2 8" xfId="2310" xr:uid="{00000000-0005-0000-0000-000002000000}"/>
    <cellStyle name="Millares 2 9" xfId="2324" xr:uid="{00000000-0005-0000-0000-000002000000}"/>
    <cellStyle name="Millares 20" xfId="2287" xr:uid="{00000000-0005-0000-0000-00001B090000}"/>
    <cellStyle name="Millares 21" xfId="2289" xr:uid="{00000000-0005-0000-0000-00001C090000}"/>
    <cellStyle name="Millares 22" xfId="2288" xr:uid="{00000000-0005-0000-0000-00001D090000}"/>
    <cellStyle name="Millares 23" xfId="2290" xr:uid="{00000000-0005-0000-0000-00001E090000}"/>
    <cellStyle name="Millares 24" xfId="2291" xr:uid="{00000000-0005-0000-0000-00001F090000}"/>
    <cellStyle name="Millares 25" xfId="2293" xr:uid="{00000000-0005-0000-0000-000020090000}"/>
    <cellStyle name="Millares 26" xfId="2294" xr:uid="{00000000-0005-0000-0000-000021090000}"/>
    <cellStyle name="Millares 27" xfId="2292" xr:uid="{00000000-0005-0000-0000-000022090000}"/>
    <cellStyle name="Millares 28" xfId="2295" xr:uid="{00000000-0005-0000-0000-000023090000}"/>
    <cellStyle name="Millares 29" xfId="2299" xr:uid="{00000000-0005-0000-0000-000027090000}"/>
    <cellStyle name="Millares 3" xfId="15" xr:uid="{00000000-0005-0000-0000-00000D000000}"/>
    <cellStyle name="Millares 3 2" xfId="16" xr:uid="{00000000-0005-0000-0000-00000E000000}"/>
    <cellStyle name="Millares 3 3" xfId="143" xr:uid="{00000000-0005-0000-0000-00000F000000}"/>
    <cellStyle name="Millares 3 4" xfId="2198" xr:uid="{00000000-0005-0000-0000-000038000000}"/>
    <cellStyle name="Millares 3 5" xfId="2297" xr:uid="{00000000-0005-0000-0000-000003000000}"/>
    <cellStyle name="Millares 3 6" xfId="2309" xr:uid="{00000000-0005-0000-0000-000003000000}"/>
    <cellStyle name="Millares 3 7" xfId="2319" xr:uid="{00000000-0005-0000-0000-000003000000}"/>
    <cellStyle name="Millares 3 8" xfId="2331" xr:uid="{00000000-0005-0000-0000-000003000000}"/>
    <cellStyle name="Millares 30" xfId="2301" xr:uid="{00000000-0005-0000-0000-000028090000}"/>
    <cellStyle name="Millares 31" xfId="2302" xr:uid="{00000000-0005-0000-0000-000029090000}"/>
    <cellStyle name="Millares 32" xfId="2300" xr:uid="{00000000-0005-0000-0000-00002A090000}"/>
    <cellStyle name="Millares 33" xfId="2303" xr:uid="{00000000-0005-0000-0000-00002B090000}"/>
    <cellStyle name="Millares 34" xfId="2312" xr:uid="{00000000-0005-0000-0000-000034090000}"/>
    <cellStyle name="Millares 35" xfId="2313" xr:uid="{00000000-0005-0000-0000-000035090000}"/>
    <cellStyle name="Millares 36" xfId="2315" xr:uid="{00000000-0005-0000-0000-000036090000}"/>
    <cellStyle name="Millares 37" xfId="2316" xr:uid="{00000000-0005-0000-0000-000037090000}"/>
    <cellStyle name="Millares 38" xfId="2314" xr:uid="{00000000-0005-0000-0000-000038090000}"/>
    <cellStyle name="Millares 39" xfId="2318" xr:uid="{00000000-0005-0000-0000-000039090000}"/>
    <cellStyle name="Millares 4" xfId="17" xr:uid="{00000000-0005-0000-0000-000010000000}"/>
    <cellStyle name="Millares 4 2" xfId="2200" xr:uid="{00000000-0005-0000-0000-00003A000000}"/>
    <cellStyle name="Millares 4 2 2" xfId="2201" xr:uid="{00000000-0005-0000-0000-00003B000000}"/>
    <cellStyle name="Millares 4 3" xfId="2202" xr:uid="{00000000-0005-0000-0000-00003C000000}"/>
    <cellStyle name="Millares 4 4" xfId="2199" xr:uid="{00000000-0005-0000-0000-000039000000}"/>
    <cellStyle name="Millares 40" xfId="2325" xr:uid="{00000000-0005-0000-0000-00003B090000}"/>
    <cellStyle name="Millares 41" xfId="2326" xr:uid="{00000000-0005-0000-0000-00003D090000}"/>
    <cellStyle name="Millares 42" xfId="2328" xr:uid="{00000000-0005-0000-0000-000043090000}"/>
    <cellStyle name="Millares 43" xfId="2333" xr:uid="{00000000-0005-0000-0000-000048090000}"/>
    <cellStyle name="Millares 44" xfId="2335" xr:uid="{00000000-0005-0000-0000-000049090000}"/>
    <cellStyle name="Millares 45" xfId="2336" xr:uid="{00000000-0005-0000-0000-00004A090000}"/>
    <cellStyle name="Millares 46" xfId="2334" xr:uid="{00000000-0005-0000-0000-00004B090000}"/>
    <cellStyle name="Millares 47" xfId="2337" xr:uid="{00000000-0005-0000-0000-00004C090000}"/>
    <cellStyle name="Millares 48" xfId="2339" xr:uid="{00000000-0005-0000-0000-00004E090000}"/>
    <cellStyle name="Millares 5" xfId="18" xr:uid="{00000000-0005-0000-0000-000011000000}"/>
    <cellStyle name="Millares 5 2" xfId="2203" xr:uid="{00000000-0005-0000-0000-00003D000000}"/>
    <cellStyle name="Millares 5 3" xfId="2305" xr:uid="{00000000-0005-0000-0000-00003D000000}"/>
    <cellStyle name="Millares 6" xfId="19" xr:uid="{00000000-0005-0000-0000-000012000000}"/>
    <cellStyle name="Millares 6 2" xfId="20" xr:uid="{00000000-0005-0000-0000-000013000000}"/>
    <cellStyle name="Millares 6 3" xfId="2306" xr:uid="{00000000-0005-0000-0000-00003E000000}"/>
    <cellStyle name="Millares 7" xfId="21" xr:uid="{00000000-0005-0000-0000-000014000000}"/>
    <cellStyle name="Millares 7 2" xfId="2307" xr:uid="{00000000-0005-0000-0000-00003F000000}"/>
    <cellStyle name="Millares 8" xfId="22" xr:uid="{00000000-0005-0000-0000-000015000000}"/>
    <cellStyle name="Millares 8 2" xfId="2204" xr:uid="{00000000-0005-0000-0000-000040000000}"/>
    <cellStyle name="Millares 9" xfId="23" xr:uid="{00000000-0005-0000-0000-000016000000}"/>
    <cellStyle name="Millares 9 2" xfId="24" xr:uid="{00000000-0005-0000-0000-000017000000}"/>
    <cellStyle name="Moneda" xfId="2327" builtinId="4"/>
    <cellStyle name="Moneda 2" xfId="3" xr:uid="{00000000-0005-0000-0000-000019000000}"/>
    <cellStyle name="Moneda 3" xfId="1" xr:uid="{00000000-0005-0000-0000-00001A000000}"/>
    <cellStyle name="Normal" xfId="0" builtinId="0"/>
    <cellStyle name="Normal 10" xfId="127" xr:uid="{00000000-0005-0000-0000-00001C000000}"/>
    <cellStyle name="Normal 10 2" xfId="147" xr:uid="{00000000-0005-0000-0000-00001D000000}"/>
    <cellStyle name="Normal 10 2 2" xfId="480" xr:uid="{00000000-0005-0000-0000-000005000000}"/>
    <cellStyle name="Normal 10 2 2 2" xfId="978" xr:uid="{00000000-0005-0000-0000-000006000000}"/>
    <cellStyle name="Normal 10 2 2 2 2" xfId="1980" xr:uid="{00000000-0005-0000-0000-000007000000}"/>
    <cellStyle name="Normal 10 2 2 3" xfId="1484" xr:uid="{00000000-0005-0000-0000-000008000000}"/>
    <cellStyle name="Normal 10 2 3" xfId="730" xr:uid="{00000000-0005-0000-0000-000009000000}"/>
    <cellStyle name="Normal 10 2 3 2" xfId="1732" xr:uid="{00000000-0005-0000-0000-00000A000000}"/>
    <cellStyle name="Normal 10 2 4" xfId="1236" xr:uid="{00000000-0005-0000-0000-00000B000000}"/>
    <cellStyle name="Normal 10 3" xfId="279" xr:uid="{00000000-0005-0000-0000-00000C000000}"/>
    <cellStyle name="Normal 10 3 2" xfId="526" xr:uid="{00000000-0005-0000-0000-00000D000000}"/>
    <cellStyle name="Normal 10 3 2 2" xfId="1024" xr:uid="{00000000-0005-0000-0000-00000E000000}"/>
    <cellStyle name="Normal 10 3 2 2 2" xfId="2026" xr:uid="{00000000-0005-0000-0000-00000F000000}"/>
    <cellStyle name="Normal 10 3 2 3" xfId="1530" xr:uid="{00000000-0005-0000-0000-000010000000}"/>
    <cellStyle name="Normal 10 3 3" xfId="776" xr:uid="{00000000-0005-0000-0000-000011000000}"/>
    <cellStyle name="Normal 10 3 3 2" xfId="1778" xr:uid="{00000000-0005-0000-0000-000012000000}"/>
    <cellStyle name="Normal 10 3 4" xfId="1282" xr:uid="{00000000-0005-0000-0000-000013000000}"/>
    <cellStyle name="Normal 10 4" xfId="365" xr:uid="{00000000-0005-0000-0000-000014000000}"/>
    <cellStyle name="Normal 10 4 2" xfId="613" xr:uid="{00000000-0005-0000-0000-000015000000}"/>
    <cellStyle name="Normal 10 4 2 2" xfId="1111" xr:uid="{00000000-0005-0000-0000-000016000000}"/>
    <cellStyle name="Normal 10 4 2 2 2" xfId="2113" xr:uid="{00000000-0005-0000-0000-000017000000}"/>
    <cellStyle name="Normal 10 4 2 3" xfId="1617" xr:uid="{00000000-0005-0000-0000-000018000000}"/>
    <cellStyle name="Normal 10 4 3" xfId="863" xr:uid="{00000000-0005-0000-0000-000019000000}"/>
    <cellStyle name="Normal 10 4 3 2" xfId="1865" xr:uid="{00000000-0005-0000-0000-00001A000000}"/>
    <cellStyle name="Normal 10 4 4" xfId="1369" xr:uid="{00000000-0005-0000-0000-00001B000000}"/>
    <cellStyle name="Normal 10 5" xfId="411" xr:uid="{00000000-0005-0000-0000-00001C000000}"/>
    <cellStyle name="Normal 10 5 2" xfId="910" xr:uid="{00000000-0005-0000-0000-00001D000000}"/>
    <cellStyle name="Normal 10 5 2 2" xfId="1912" xr:uid="{00000000-0005-0000-0000-00001E000000}"/>
    <cellStyle name="Normal 10 5 3" xfId="1416" xr:uid="{00000000-0005-0000-0000-00001F000000}"/>
    <cellStyle name="Normal 10 6" xfId="662" xr:uid="{00000000-0005-0000-0000-000020000000}"/>
    <cellStyle name="Normal 10 6 2" xfId="1664" xr:uid="{00000000-0005-0000-0000-000021000000}"/>
    <cellStyle name="Normal 10 7" xfId="1168" xr:uid="{00000000-0005-0000-0000-000022000000}"/>
    <cellStyle name="Normal 10 8" xfId="2205" xr:uid="{00000000-0005-0000-0000-000042000000}"/>
    <cellStyle name="Normal 11" xfId="128" xr:uid="{00000000-0005-0000-0000-00001E000000}"/>
    <cellStyle name="Normal 11 2" xfId="234" xr:uid="{00000000-0005-0000-0000-000024000000}"/>
    <cellStyle name="Normal 11 2 2" xfId="481" xr:uid="{00000000-0005-0000-0000-000025000000}"/>
    <cellStyle name="Normal 11 2 2 2" xfId="979" xr:uid="{00000000-0005-0000-0000-000026000000}"/>
    <cellStyle name="Normal 11 2 2 2 2" xfId="1981" xr:uid="{00000000-0005-0000-0000-000027000000}"/>
    <cellStyle name="Normal 11 2 2 3" xfId="1485" xr:uid="{00000000-0005-0000-0000-000028000000}"/>
    <cellStyle name="Normal 11 2 3" xfId="731" xr:uid="{00000000-0005-0000-0000-000029000000}"/>
    <cellStyle name="Normal 11 2 3 2" xfId="1733" xr:uid="{00000000-0005-0000-0000-00002A000000}"/>
    <cellStyle name="Normal 11 2 4" xfId="1237" xr:uid="{00000000-0005-0000-0000-00002B000000}"/>
    <cellStyle name="Normal 11 2 5" xfId="2206" xr:uid="{00000000-0005-0000-0000-000044000000}"/>
    <cellStyle name="Normal 11 3" xfId="280" xr:uid="{00000000-0005-0000-0000-00002C000000}"/>
    <cellStyle name="Normal 11 3 2" xfId="527" xr:uid="{00000000-0005-0000-0000-00002D000000}"/>
    <cellStyle name="Normal 11 3 2 2" xfId="1025" xr:uid="{00000000-0005-0000-0000-00002E000000}"/>
    <cellStyle name="Normal 11 3 2 2 2" xfId="2027" xr:uid="{00000000-0005-0000-0000-00002F000000}"/>
    <cellStyle name="Normal 11 3 2 3" xfId="1531" xr:uid="{00000000-0005-0000-0000-000030000000}"/>
    <cellStyle name="Normal 11 3 3" xfId="777" xr:uid="{00000000-0005-0000-0000-000031000000}"/>
    <cellStyle name="Normal 11 3 3 2" xfId="1779" xr:uid="{00000000-0005-0000-0000-000032000000}"/>
    <cellStyle name="Normal 11 3 4" xfId="1283" xr:uid="{00000000-0005-0000-0000-000033000000}"/>
    <cellStyle name="Normal 11 4" xfId="366" xr:uid="{00000000-0005-0000-0000-000034000000}"/>
    <cellStyle name="Normal 11 4 2" xfId="614" xr:uid="{00000000-0005-0000-0000-000035000000}"/>
    <cellStyle name="Normal 11 4 2 2" xfId="1112" xr:uid="{00000000-0005-0000-0000-000036000000}"/>
    <cellStyle name="Normal 11 4 2 2 2" xfId="2114" xr:uid="{00000000-0005-0000-0000-000037000000}"/>
    <cellStyle name="Normal 11 4 2 3" xfId="1618" xr:uid="{00000000-0005-0000-0000-000038000000}"/>
    <cellStyle name="Normal 11 4 3" xfId="864" xr:uid="{00000000-0005-0000-0000-000039000000}"/>
    <cellStyle name="Normal 11 4 3 2" xfId="1866" xr:uid="{00000000-0005-0000-0000-00003A000000}"/>
    <cellStyle name="Normal 11 4 4" xfId="1370" xr:uid="{00000000-0005-0000-0000-00003B000000}"/>
    <cellStyle name="Normal 11 5" xfId="412" xr:uid="{00000000-0005-0000-0000-00003C000000}"/>
    <cellStyle name="Normal 11 5 2" xfId="911" xr:uid="{00000000-0005-0000-0000-00003D000000}"/>
    <cellStyle name="Normal 11 5 2 2" xfId="1913" xr:uid="{00000000-0005-0000-0000-00003E000000}"/>
    <cellStyle name="Normal 11 5 3" xfId="1417" xr:uid="{00000000-0005-0000-0000-00003F000000}"/>
    <cellStyle name="Normal 11 6" xfId="663" xr:uid="{00000000-0005-0000-0000-000040000000}"/>
    <cellStyle name="Normal 11 6 2" xfId="1665" xr:uid="{00000000-0005-0000-0000-000041000000}"/>
    <cellStyle name="Normal 11 7" xfId="1169" xr:uid="{00000000-0005-0000-0000-000042000000}"/>
    <cellStyle name="Normal 12" xfId="129" xr:uid="{00000000-0005-0000-0000-00001F000000}"/>
    <cellStyle name="Normal 12 2" xfId="455" xr:uid="{00000000-0005-0000-0000-000044000000}"/>
    <cellStyle name="Normal 12 2 2" xfId="954" xr:uid="{00000000-0005-0000-0000-000045000000}"/>
    <cellStyle name="Normal 12 2 2 2" xfId="1956" xr:uid="{00000000-0005-0000-0000-000046000000}"/>
    <cellStyle name="Normal 12 2 3" xfId="1460" xr:uid="{00000000-0005-0000-0000-000047000000}"/>
    <cellStyle name="Normal 12 2 4" xfId="2207" xr:uid="{00000000-0005-0000-0000-000046000000}"/>
    <cellStyle name="Normal 12 3" xfId="706" xr:uid="{00000000-0005-0000-0000-000048000000}"/>
    <cellStyle name="Normal 12 3 2" xfId="1708" xr:uid="{00000000-0005-0000-0000-000049000000}"/>
    <cellStyle name="Normal 12 4" xfId="1212" xr:uid="{00000000-0005-0000-0000-00004A000000}"/>
    <cellStyle name="Normal 13" xfId="130" xr:uid="{00000000-0005-0000-0000-000020000000}"/>
    <cellStyle name="Normal 13 2" xfId="456" xr:uid="{00000000-0005-0000-0000-00004C000000}"/>
    <cellStyle name="Normal 13 2 2" xfId="2208" xr:uid="{00000000-0005-0000-0000-000047000000}"/>
    <cellStyle name="Normal 13 3" xfId="211" xr:uid="{00000000-0005-0000-0000-00004B000000}"/>
    <cellStyle name="Normal 14" xfId="131" xr:uid="{00000000-0005-0000-0000-000021000000}"/>
    <cellStyle name="Normal 14 2" xfId="457" xr:uid="{00000000-0005-0000-0000-00004E000000}"/>
    <cellStyle name="Normal 14 2 2" xfId="955" xr:uid="{00000000-0005-0000-0000-00004F000000}"/>
    <cellStyle name="Normal 14 2 2 2" xfId="1957" xr:uid="{00000000-0005-0000-0000-000050000000}"/>
    <cellStyle name="Normal 14 2 3" xfId="1461" xr:uid="{00000000-0005-0000-0000-000051000000}"/>
    <cellStyle name="Normal 14 3" xfId="707" xr:uid="{00000000-0005-0000-0000-000052000000}"/>
    <cellStyle name="Normal 14 3 2" xfId="1709" xr:uid="{00000000-0005-0000-0000-000053000000}"/>
    <cellStyle name="Normal 14 4" xfId="1213" xr:uid="{00000000-0005-0000-0000-000054000000}"/>
    <cellStyle name="Normal 15" xfId="132" xr:uid="{00000000-0005-0000-0000-000022000000}"/>
    <cellStyle name="Normal 15 2" xfId="590" xr:uid="{00000000-0005-0000-0000-000056000000}"/>
    <cellStyle name="Normal 15 2 2" xfId="1088" xr:uid="{00000000-0005-0000-0000-000057000000}"/>
    <cellStyle name="Normal 15 2 2 2" xfId="2090" xr:uid="{00000000-0005-0000-0000-000058000000}"/>
    <cellStyle name="Normal 15 2 3" xfId="1594" xr:uid="{00000000-0005-0000-0000-000059000000}"/>
    <cellStyle name="Normal 15 3" xfId="840" xr:uid="{00000000-0005-0000-0000-00005A000000}"/>
    <cellStyle name="Normal 15 3 2" xfId="1842" xr:uid="{00000000-0005-0000-0000-00005B000000}"/>
    <cellStyle name="Normal 15 4" xfId="1346" xr:uid="{00000000-0005-0000-0000-00005C000000}"/>
    <cellStyle name="Normal 16" xfId="133" xr:uid="{00000000-0005-0000-0000-000023000000}"/>
    <cellStyle name="Normal 16 2" xfId="887" xr:uid="{00000000-0005-0000-0000-00005E000000}"/>
    <cellStyle name="Normal 16 2 2" xfId="1889" xr:uid="{00000000-0005-0000-0000-00005F000000}"/>
    <cellStyle name="Normal 16 3" xfId="1393" xr:uid="{00000000-0005-0000-0000-000060000000}"/>
    <cellStyle name="Normal 17" xfId="134" xr:uid="{00000000-0005-0000-0000-000024000000}"/>
    <cellStyle name="Normal 17 2" xfId="637" xr:uid="{00000000-0005-0000-0000-000061000000}"/>
    <cellStyle name="Normal 18" xfId="135" xr:uid="{00000000-0005-0000-0000-000025000000}"/>
    <cellStyle name="Normal 18 2" xfId="638" xr:uid="{00000000-0005-0000-0000-000062000000}"/>
    <cellStyle name="Normal 19" xfId="136" xr:uid="{00000000-0005-0000-0000-000026000000}"/>
    <cellStyle name="Normal 19 2" xfId="1135" xr:uid="{00000000-0005-0000-0000-000064000000}"/>
    <cellStyle name="Normal 19 2 2" xfId="2137" xr:uid="{00000000-0005-0000-0000-000065000000}"/>
    <cellStyle name="Normal 19 3" xfId="1641" xr:uid="{00000000-0005-0000-0000-000066000000}"/>
    <cellStyle name="Normal 2" xfId="4" xr:uid="{00000000-0005-0000-0000-000027000000}"/>
    <cellStyle name="Normal 2 10" xfId="2209" xr:uid="{00000000-0005-0000-0000-00004A000000}"/>
    <cellStyle name="Normal 2 10 2" xfId="2210" xr:uid="{00000000-0005-0000-0000-00004B000000}"/>
    <cellStyle name="Normal 2 10 3" xfId="2211" xr:uid="{00000000-0005-0000-0000-00004C000000}"/>
    <cellStyle name="Normal 2 11" xfId="2212" xr:uid="{00000000-0005-0000-0000-00004D000000}"/>
    <cellStyle name="Normal 2 12" xfId="2213" xr:uid="{00000000-0005-0000-0000-00004E000000}"/>
    <cellStyle name="Normal 2 13" xfId="2214" xr:uid="{00000000-0005-0000-0000-00004F000000}"/>
    <cellStyle name="Normal 2 14" xfId="2215" xr:uid="{00000000-0005-0000-0000-000050000000}"/>
    <cellStyle name="Normal 2 15" xfId="2216" xr:uid="{00000000-0005-0000-0000-000051000000}"/>
    <cellStyle name="Normal 2 16" xfId="2217" xr:uid="{00000000-0005-0000-0000-000052000000}"/>
    <cellStyle name="Normal 2 2" xfId="25" xr:uid="{00000000-0005-0000-0000-000028000000}"/>
    <cellStyle name="Normal 2 2 2" xfId="120" xr:uid="{00000000-0005-0000-0000-000029000000}"/>
    <cellStyle name="Normal 2 2 3" xfId="152" xr:uid="{00000000-0005-0000-0000-000068000000}"/>
    <cellStyle name="Normal 2 2 4" xfId="2218" xr:uid="{00000000-0005-0000-0000-000053000000}"/>
    <cellStyle name="Normal 2 3" xfId="26" xr:uid="{00000000-0005-0000-0000-00002A000000}"/>
    <cellStyle name="Normal 2 3 2" xfId="1140" xr:uid="{00000000-0005-0000-0000-000069000000}"/>
    <cellStyle name="Normal 2 4" xfId="119" xr:uid="{00000000-0005-0000-0000-00002B000000}"/>
    <cellStyle name="Normal 2 4 2" xfId="2219" xr:uid="{00000000-0005-0000-0000-000055000000}"/>
    <cellStyle name="Normal 2 5" xfId="149" xr:uid="{00000000-0005-0000-0000-000067000000}"/>
    <cellStyle name="Normal 2 5 2" xfId="2221" xr:uid="{00000000-0005-0000-0000-000057000000}"/>
    <cellStyle name="Normal 2 5 2 2" xfId="2222" xr:uid="{00000000-0005-0000-0000-000058000000}"/>
    <cellStyle name="Normal 2 5 3" xfId="2220" xr:uid="{00000000-0005-0000-0000-000056000000}"/>
    <cellStyle name="Normal 2 6" xfId="2223" xr:uid="{00000000-0005-0000-0000-000059000000}"/>
    <cellStyle name="Normal 2 7" xfId="2224" xr:uid="{00000000-0005-0000-0000-00005A000000}"/>
    <cellStyle name="Normal 2 8" xfId="2225" xr:uid="{00000000-0005-0000-0000-00005B000000}"/>
    <cellStyle name="Normal 2 9" xfId="2226" xr:uid="{00000000-0005-0000-0000-00005C000000}"/>
    <cellStyle name="Normal 2 9 2" xfId="2227" xr:uid="{00000000-0005-0000-0000-00005D000000}"/>
    <cellStyle name="Normal 2_2008 11 13 Archivo Maestro" xfId="2228" xr:uid="{00000000-0005-0000-0000-00005E000000}"/>
    <cellStyle name="Normal 20" xfId="137" xr:uid="{00000000-0005-0000-0000-00002C000000}"/>
    <cellStyle name="Normal 20 2" xfId="1136" xr:uid="{00000000-0005-0000-0000-00006B000000}"/>
    <cellStyle name="Normal 20 3" xfId="639" xr:uid="{00000000-0005-0000-0000-00006A000000}"/>
    <cellStyle name="Normal 21" xfId="138" xr:uid="{00000000-0005-0000-0000-00002D000000}"/>
    <cellStyle name="Normal 21 2" xfId="1137" xr:uid="{00000000-0005-0000-0000-00006C000000}"/>
    <cellStyle name="Normal 22" xfId="117" xr:uid="{00000000-0005-0000-0000-00002E000000}"/>
    <cellStyle name="Normal 22 2" xfId="2138" xr:uid="{00000000-0005-0000-0000-00006E000000}"/>
    <cellStyle name="Normal 22 3" xfId="1138" xr:uid="{00000000-0005-0000-0000-00006D000000}"/>
    <cellStyle name="Normal 23" xfId="139" xr:uid="{00000000-0005-0000-0000-00002F000000}"/>
    <cellStyle name="Normal 24" xfId="140" xr:uid="{00000000-0005-0000-0000-000030000000}"/>
    <cellStyle name="Normal 25" xfId="141" xr:uid="{00000000-0005-0000-0000-000031000000}"/>
    <cellStyle name="Normal 26" xfId="142" xr:uid="{00000000-0005-0000-0000-000032000000}"/>
    <cellStyle name="Normal 27" xfId="145" xr:uid="{00000000-0005-0000-0000-000033000000}"/>
    <cellStyle name="Normal 28" xfId="146" xr:uid="{00000000-0005-0000-0000-000034000000}"/>
    <cellStyle name="Normal 29" xfId="2143" xr:uid="{00000000-0005-0000-0000-00008C080000}"/>
    <cellStyle name="Normal 3" xfId="27" xr:uid="{00000000-0005-0000-0000-000035000000}"/>
    <cellStyle name="Normal 3 10" xfId="323" xr:uid="{00000000-0005-0000-0000-000070000000}"/>
    <cellStyle name="Normal 3 10 2" xfId="570" xr:uid="{00000000-0005-0000-0000-000071000000}"/>
    <cellStyle name="Normal 3 10 2 2" xfId="1068" xr:uid="{00000000-0005-0000-0000-000072000000}"/>
    <cellStyle name="Normal 3 10 2 2 2" xfId="2070" xr:uid="{00000000-0005-0000-0000-000073000000}"/>
    <cellStyle name="Normal 3 10 2 3" xfId="1574" xr:uid="{00000000-0005-0000-0000-000074000000}"/>
    <cellStyle name="Normal 3 10 3" xfId="820" xr:uid="{00000000-0005-0000-0000-000075000000}"/>
    <cellStyle name="Normal 3 10 3 2" xfId="1822" xr:uid="{00000000-0005-0000-0000-000076000000}"/>
    <cellStyle name="Normal 3 10 4" xfId="1326" xr:uid="{00000000-0005-0000-0000-000077000000}"/>
    <cellStyle name="Normal 3 11" xfId="343" xr:uid="{00000000-0005-0000-0000-000078000000}"/>
    <cellStyle name="Normal 3 11 2" xfId="591" xr:uid="{00000000-0005-0000-0000-000079000000}"/>
    <cellStyle name="Normal 3 11 2 2" xfId="1089" xr:uid="{00000000-0005-0000-0000-00007A000000}"/>
    <cellStyle name="Normal 3 11 2 2 2" xfId="2091" xr:uid="{00000000-0005-0000-0000-00007B000000}"/>
    <cellStyle name="Normal 3 11 2 3" xfId="1595" xr:uid="{00000000-0005-0000-0000-00007C000000}"/>
    <cellStyle name="Normal 3 11 3" xfId="841" xr:uid="{00000000-0005-0000-0000-00007D000000}"/>
    <cellStyle name="Normal 3 11 3 2" xfId="1843" xr:uid="{00000000-0005-0000-0000-00007E000000}"/>
    <cellStyle name="Normal 3 11 4" xfId="1347" xr:uid="{00000000-0005-0000-0000-00007F000000}"/>
    <cellStyle name="Normal 3 12" xfId="389" xr:uid="{00000000-0005-0000-0000-000080000000}"/>
    <cellStyle name="Normal 3 12 2" xfId="888" xr:uid="{00000000-0005-0000-0000-000081000000}"/>
    <cellStyle name="Normal 3 12 2 2" xfId="1890" xr:uid="{00000000-0005-0000-0000-000082000000}"/>
    <cellStyle name="Normal 3 12 3" xfId="1394" xr:uid="{00000000-0005-0000-0000-000083000000}"/>
    <cellStyle name="Normal 3 13" xfId="153" xr:uid="{00000000-0005-0000-0000-000084000000}"/>
    <cellStyle name="Normal 3 13 2" xfId="1146" xr:uid="{00000000-0005-0000-0000-000085000000}"/>
    <cellStyle name="Normal 3 14" xfId="640" xr:uid="{00000000-0005-0000-0000-000086000000}"/>
    <cellStyle name="Normal 3 14 2" xfId="1642" xr:uid="{00000000-0005-0000-0000-000087000000}"/>
    <cellStyle name="Normal 3 15" xfId="1141" xr:uid="{00000000-0005-0000-0000-000088000000}"/>
    <cellStyle name="Normal 3 16" xfId="150" xr:uid="{00000000-0005-0000-0000-00006F000000}"/>
    <cellStyle name="Normal 3 17" xfId="2229" xr:uid="{00000000-0005-0000-0000-00005F000000}"/>
    <cellStyle name="Normal 3 2" xfId="118" xr:uid="{00000000-0005-0000-0000-000036000000}"/>
    <cellStyle name="Normal 3 2 10" xfId="344" xr:uid="{00000000-0005-0000-0000-00008A000000}"/>
    <cellStyle name="Normal 3 2 10 2" xfId="592" xr:uid="{00000000-0005-0000-0000-00008B000000}"/>
    <cellStyle name="Normal 3 2 10 2 2" xfId="1090" xr:uid="{00000000-0005-0000-0000-00008C000000}"/>
    <cellStyle name="Normal 3 2 10 2 2 2" xfId="2092" xr:uid="{00000000-0005-0000-0000-00008D000000}"/>
    <cellStyle name="Normal 3 2 10 2 3" xfId="1596" xr:uid="{00000000-0005-0000-0000-00008E000000}"/>
    <cellStyle name="Normal 3 2 10 3" xfId="842" xr:uid="{00000000-0005-0000-0000-00008F000000}"/>
    <cellStyle name="Normal 3 2 10 3 2" xfId="1844" xr:uid="{00000000-0005-0000-0000-000090000000}"/>
    <cellStyle name="Normal 3 2 10 4" xfId="1348" xr:uid="{00000000-0005-0000-0000-000091000000}"/>
    <cellStyle name="Normal 3 2 11" xfId="390" xr:uid="{00000000-0005-0000-0000-000092000000}"/>
    <cellStyle name="Normal 3 2 11 2" xfId="889" xr:uid="{00000000-0005-0000-0000-000093000000}"/>
    <cellStyle name="Normal 3 2 11 2 2" xfId="1891" xr:uid="{00000000-0005-0000-0000-000094000000}"/>
    <cellStyle name="Normal 3 2 11 3" xfId="1395" xr:uid="{00000000-0005-0000-0000-000095000000}"/>
    <cellStyle name="Normal 3 2 12" xfId="641" xr:uid="{00000000-0005-0000-0000-000096000000}"/>
    <cellStyle name="Normal 3 2 12 2" xfId="1643" xr:uid="{00000000-0005-0000-0000-000097000000}"/>
    <cellStyle name="Normal 3 2 13" xfId="1147" xr:uid="{00000000-0005-0000-0000-000098000000}"/>
    <cellStyle name="Normal 3 2 14" xfId="154" xr:uid="{00000000-0005-0000-0000-000089000000}"/>
    <cellStyle name="Normal 3 2 15" xfId="2230" xr:uid="{00000000-0005-0000-0000-000060000000}"/>
    <cellStyle name="Normal 3 2 2" xfId="156" xr:uid="{00000000-0005-0000-0000-000099000000}"/>
    <cellStyle name="Normal 3 2 2 10" xfId="392" xr:uid="{00000000-0005-0000-0000-00009A000000}"/>
    <cellStyle name="Normal 3 2 2 10 2" xfId="891" xr:uid="{00000000-0005-0000-0000-00009B000000}"/>
    <cellStyle name="Normal 3 2 2 10 2 2" xfId="1893" xr:uid="{00000000-0005-0000-0000-00009C000000}"/>
    <cellStyle name="Normal 3 2 2 10 3" xfId="1397" xr:uid="{00000000-0005-0000-0000-00009D000000}"/>
    <cellStyle name="Normal 3 2 2 11" xfId="643" xr:uid="{00000000-0005-0000-0000-00009E000000}"/>
    <cellStyle name="Normal 3 2 2 11 2" xfId="1645" xr:uid="{00000000-0005-0000-0000-00009F000000}"/>
    <cellStyle name="Normal 3 2 2 12" xfId="1149" xr:uid="{00000000-0005-0000-0000-0000A0000000}"/>
    <cellStyle name="Normal 3 2 2 2" xfId="160" xr:uid="{00000000-0005-0000-0000-0000A1000000}"/>
    <cellStyle name="Normal 3 2 2 2 10" xfId="647" xr:uid="{00000000-0005-0000-0000-0000A2000000}"/>
    <cellStyle name="Normal 3 2 2 2 10 2" xfId="1649" xr:uid="{00000000-0005-0000-0000-0000A3000000}"/>
    <cellStyle name="Normal 3 2 2 2 11" xfId="1153" xr:uid="{00000000-0005-0000-0000-0000A4000000}"/>
    <cellStyle name="Normal 3 2 2 2 2" xfId="171" xr:uid="{00000000-0005-0000-0000-0000A5000000}"/>
    <cellStyle name="Normal 3 2 2 2 2 10" xfId="1163" xr:uid="{00000000-0005-0000-0000-0000A6000000}"/>
    <cellStyle name="Normal 3 2 2 2 2 2" xfId="189" xr:uid="{00000000-0005-0000-0000-0000A7000000}"/>
    <cellStyle name="Normal 3 2 2 2 2 2 2" xfId="252" xr:uid="{00000000-0005-0000-0000-0000A8000000}"/>
    <cellStyle name="Normal 3 2 2 2 2 2 2 2" xfId="499" xr:uid="{00000000-0005-0000-0000-0000A9000000}"/>
    <cellStyle name="Normal 3 2 2 2 2 2 2 2 2" xfId="997" xr:uid="{00000000-0005-0000-0000-0000AA000000}"/>
    <cellStyle name="Normal 3 2 2 2 2 2 2 2 2 2" xfId="1999" xr:uid="{00000000-0005-0000-0000-0000AB000000}"/>
    <cellStyle name="Normal 3 2 2 2 2 2 2 2 3" xfId="1503" xr:uid="{00000000-0005-0000-0000-0000AC000000}"/>
    <cellStyle name="Normal 3 2 2 2 2 2 2 3" xfId="749" xr:uid="{00000000-0005-0000-0000-0000AD000000}"/>
    <cellStyle name="Normal 3 2 2 2 2 2 2 3 2" xfId="1751" xr:uid="{00000000-0005-0000-0000-0000AE000000}"/>
    <cellStyle name="Normal 3 2 2 2 2 2 2 4" xfId="1255" xr:uid="{00000000-0005-0000-0000-0000AF000000}"/>
    <cellStyle name="Normal 3 2 2 2 2 2 3" xfId="298" xr:uid="{00000000-0005-0000-0000-0000B0000000}"/>
    <cellStyle name="Normal 3 2 2 2 2 2 3 2" xfId="545" xr:uid="{00000000-0005-0000-0000-0000B1000000}"/>
    <cellStyle name="Normal 3 2 2 2 2 2 3 2 2" xfId="1043" xr:uid="{00000000-0005-0000-0000-0000B2000000}"/>
    <cellStyle name="Normal 3 2 2 2 2 2 3 2 2 2" xfId="2045" xr:uid="{00000000-0005-0000-0000-0000B3000000}"/>
    <cellStyle name="Normal 3 2 2 2 2 2 3 2 3" xfId="1549" xr:uid="{00000000-0005-0000-0000-0000B4000000}"/>
    <cellStyle name="Normal 3 2 2 2 2 2 3 3" xfId="795" xr:uid="{00000000-0005-0000-0000-0000B5000000}"/>
    <cellStyle name="Normal 3 2 2 2 2 2 3 3 2" xfId="1797" xr:uid="{00000000-0005-0000-0000-0000B6000000}"/>
    <cellStyle name="Normal 3 2 2 2 2 2 3 4" xfId="1301" xr:uid="{00000000-0005-0000-0000-0000B7000000}"/>
    <cellStyle name="Normal 3 2 2 2 2 2 4" xfId="384" xr:uid="{00000000-0005-0000-0000-0000B8000000}"/>
    <cellStyle name="Normal 3 2 2 2 2 2 4 2" xfId="632" xr:uid="{00000000-0005-0000-0000-0000B9000000}"/>
    <cellStyle name="Normal 3 2 2 2 2 2 4 2 2" xfId="1130" xr:uid="{00000000-0005-0000-0000-0000BA000000}"/>
    <cellStyle name="Normal 3 2 2 2 2 2 4 2 2 2" xfId="2132" xr:uid="{00000000-0005-0000-0000-0000BB000000}"/>
    <cellStyle name="Normal 3 2 2 2 2 2 4 2 3" xfId="1636" xr:uid="{00000000-0005-0000-0000-0000BC000000}"/>
    <cellStyle name="Normal 3 2 2 2 2 2 4 3" xfId="882" xr:uid="{00000000-0005-0000-0000-0000BD000000}"/>
    <cellStyle name="Normal 3 2 2 2 2 2 4 3 2" xfId="1884" xr:uid="{00000000-0005-0000-0000-0000BE000000}"/>
    <cellStyle name="Normal 3 2 2 2 2 2 4 4" xfId="1388" xr:uid="{00000000-0005-0000-0000-0000BF000000}"/>
    <cellStyle name="Normal 3 2 2 2 2 2 5" xfId="430" xr:uid="{00000000-0005-0000-0000-0000C0000000}"/>
    <cellStyle name="Normal 3 2 2 2 2 2 5 2" xfId="929" xr:uid="{00000000-0005-0000-0000-0000C1000000}"/>
    <cellStyle name="Normal 3 2 2 2 2 2 5 2 2" xfId="1931" xr:uid="{00000000-0005-0000-0000-0000C2000000}"/>
    <cellStyle name="Normal 3 2 2 2 2 2 5 3" xfId="1435" xr:uid="{00000000-0005-0000-0000-0000C3000000}"/>
    <cellStyle name="Normal 3 2 2 2 2 2 6" xfId="681" xr:uid="{00000000-0005-0000-0000-0000C4000000}"/>
    <cellStyle name="Normal 3 2 2 2 2 2 6 2" xfId="1683" xr:uid="{00000000-0005-0000-0000-0000C5000000}"/>
    <cellStyle name="Normal 3 2 2 2 2 2 7" xfId="1187" xr:uid="{00000000-0005-0000-0000-0000C6000000}"/>
    <cellStyle name="Normal 3 2 2 2 2 3" xfId="208" xr:uid="{00000000-0005-0000-0000-0000C7000000}"/>
    <cellStyle name="Normal 3 2 2 2 2 3 2" xfId="320" xr:uid="{00000000-0005-0000-0000-0000C8000000}"/>
    <cellStyle name="Normal 3 2 2 2 2 3 2 2" xfId="567" xr:uid="{00000000-0005-0000-0000-0000C9000000}"/>
    <cellStyle name="Normal 3 2 2 2 2 3 2 2 2" xfId="1065" xr:uid="{00000000-0005-0000-0000-0000CA000000}"/>
    <cellStyle name="Normal 3 2 2 2 2 3 2 2 2 2" xfId="2067" xr:uid="{00000000-0005-0000-0000-0000CB000000}"/>
    <cellStyle name="Normal 3 2 2 2 2 3 2 2 3" xfId="1571" xr:uid="{00000000-0005-0000-0000-0000CC000000}"/>
    <cellStyle name="Normal 3 2 2 2 2 3 2 3" xfId="817" xr:uid="{00000000-0005-0000-0000-0000CD000000}"/>
    <cellStyle name="Normal 3 2 2 2 2 3 2 3 2" xfId="1819" xr:uid="{00000000-0005-0000-0000-0000CE000000}"/>
    <cellStyle name="Normal 3 2 2 2 2 3 2 4" xfId="1323" xr:uid="{00000000-0005-0000-0000-0000CF000000}"/>
    <cellStyle name="Normal 3 2 2 2 2 3 3" xfId="452" xr:uid="{00000000-0005-0000-0000-0000D0000000}"/>
    <cellStyle name="Normal 3 2 2 2 2 3 3 2" xfId="951" xr:uid="{00000000-0005-0000-0000-0000D1000000}"/>
    <cellStyle name="Normal 3 2 2 2 2 3 3 2 2" xfId="1953" xr:uid="{00000000-0005-0000-0000-0000D2000000}"/>
    <cellStyle name="Normal 3 2 2 2 2 3 3 3" xfId="1457" xr:uid="{00000000-0005-0000-0000-0000D3000000}"/>
    <cellStyle name="Normal 3 2 2 2 2 3 4" xfId="703" xr:uid="{00000000-0005-0000-0000-0000D4000000}"/>
    <cellStyle name="Normal 3 2 2 2 2 3 4 2" xfId="1705" xr:uid="{00000000-0005-0000-0000-0000D5000000}"/>
    <cellStyle name="Normal 3 2 2 2 2 3 5" xfId="1209" xr:uid="{00000000-0005-0000-0000-0000D6000000}"/>
    <cellStyle name="Normal 3 2 2 2 2 4" xfId="229" xr:uid="{00000000-0005-0000-0000-0000D7000000}"/>
    <cellStyle name="Normal 3 2 2 2 2 4 2" xfId="475" xr:uid="{00000000-0005-0000-0000-0000D8000000}"/>
    <cellStyle name="Normal 3 2 2 2 2 4 2 2" xfId="973" xr:uid="{00000000-0005-0000-0000-0000D9000000}"/>
    <cellStyle name="Normal 3 2 2 2 2 4 2 2 2" xfId="1975" xr:uid="{00000000-0005-0000-0000-0000DA000000}"/>
    <cellStyle name="Normal 3 2 2 2 2 4 2 3" xfId="1479" xr:uid="{00000000-0005-0000-0000-0000DB000000}"/>
    <cellStyle name="Normal 3 2 2 2 2 4 3" xfId="725" xr:uid="{00000000-0005-0000-0000-0000DC000000}"/>
    <cellStyle name="Normal 3 2 2 2 2 4 3 2" xfId="1727" xr:uid="{00000000-0005-0000-0000-0000DD000000}"/>
    <cellStyle name="Normal 3 2 2 2 2 4 4" xfId="1231" xr:uid="{00000000-0005-0000-0000-0000DE000000}"/>
    <cellStyle name="Normal 3 2 2 2 2 5" xfId="274" xr:uid="{00000000-0005-0000-0000-0000DF000000}"/>
    <cellStyle name="Normal 3 2 2 2 2 5 2" xfId="521" xr:uid="{00000000-0005-0000-0000-0000E0000000}"/>
    <cellStyle name="Normal 3 2 2 2 2 5 2 2" xfId="1019" xr:uid="{00000000-0005-0000-0000-0000E1000000}"/>
    <cellStyle name="Normal 3 2 2 2 2 5 2 2 2" xfId="2021" xr:uid="{00000000-0005-0000-0000-0000E2000000}"/>
    <cellStyle name="Normal 3 2 2 2 2 5 2 3" xfId="1525" xr:uid="{00000000-0005-0000-0000-0000E3000000}"/>
    <cellStyle name="Normal 3 2 2 2 2 5 3" xfId="771" xr:uid="{00000000-0005-0000-0000-0000E4000000}"/>
    <cellStyle name="Normal 3 2 2 2 2 5 3 2" xfId="1773" xr:uid="{00000000-0005-0000-0000-0000E5000000}"/>
    <cellStyle name="Normal 3 2 2 2 2 5 4" xfId="1277" xr:uid="{00000000-0005-0000-0000-0000E6000000}"/>
    <cellStyle name="Normal 3 2 2 2 2 6" xfId="340" xr:uid="{00000000-0005-0000-0000-0000E7000000}"/>
    <cellStyle name="Normal 3 2 2 2 2 6 2" xfId="587" xr:uid="{00000000-0005-0000-0000-0000E8000000}"/>
    <cellStyle name="Normal 3 2 2 2 2 6 2 2" xfId="1085" xr:uid="{00000000-0005-0000-0000-0000E9000000}"/>
    <cellStyle name="Normal 3 2 2 2 2 6 2 2 2" xfId="2087" xr:uid="{00000000-0005-0000-0000-0000EA000000}"/>
    <cellStyle name="Normal 3 2 2 2 2 6 2 3" xfId="1591" xr:uid="{00000000-0005-0000-0000-0000EB000000}"/>
    <cellStyle name="Normal 3 2 2 2 2 6 3" xfId="837" xr:uid="{00000000-0005-0000-0000-0000EC000000}"/>
    <cellStyle name="Normal 3 2 2 2 2 6 3 2" xfId="1839" xr:uid="{00000000-0005-0000-0000-0000ED000000}"/>
    <cellStyle name="Normal 3 2 2 2 2 6 4" xfId="1343" xr:uid="{00000000-0005-0000-0000-0000EE000000}"/>
    <cellStyle name="Normal 3 2 2 2 2 7" xfId="360" xr:uid="{00000000-0005-0000-0000-0000EF000000}"/>
    <cellStyle name="Normal 3 2 2 2 2 7 2" xfId="608" xr:uid="{00000000-0005-0000-0000-0000F0000000}"/>
    <cellStyle name="Normal 3 2 2 2 2 7 2 2" xfId="1106" xr:uid="{00000000-0005-0000-0000-0000F1000000}"/>
    <cellStyle name="Normal 3 2 2 2 2 7 2 2 2" xfId="2108" xr:uid="{00000000-0005-0000-0000-0000F2000000}"/>
    <cellStyle name="Normal 3 2 2 2 2 7 2 3" xfId="1612" xr:uid="{00000000-0005-0000-0000-0000F3000000}"/>
    <cellStyle name="Normal 3 2 2 2 2 7 3" xfId="858" xr:uid="{00000000-0005-0000-0000-0000F4000000}"/>
    <cellStyle name="Normal 3 2 2 2 2 7 3 2" xfId="1860" xr:uid="{00000000-0005-0000-0000-0000F5000000}"/>
    <cellStyle name="Normal 3 2 2 2 2 7 4" xfId="1364" xr:uid="{00000000-0005-0000-0000-0000F6000000}"/>
    <cellStyle name="Normal 3 2 2 2 2 8" xfId="406" xr:uid="{00000000-0005-0000-0000-0000F7000000}"/>
    <cellStyle name="Normal 3 2 2 2 2 8 2" xfId="905" xr:uid="{00000000-0005-0000-0000-0000F8000000}"/>
    <cellStyle name="Normal 3 2 2 2 2 8 2 2" xfId="1907" xr:uid="{00000000-0005-0000-0000-0000F9000000}"/>
    <cellStyle name="Normal 3 2 2 2 2 8 3" xfId="1411" xr:uid="{00000000-0005-0000-0000-0000FA000000}"/>
    <cellStyle name="Normal 3 2 2 2 2 9" xfId="657" xr:uid="{00000000-0005-0000-0000-0000FB000000}"/>
    <cellStyle name="Normal 3 2 2 2 2 9 2" xfId="1659" xr:uid="{00000000-0005-0000-0000-0000FC000000}"/>
    <cellStyle name="Normal 3 2 2 2 3" xfId="180" xr:uid="{00000000-0005-0000-0000-0000FD000000}"/>
    <cellStyle name="Normal 3 2 2 2 3 2" xfId="242" xr:uid="{00000000-0005-0000-0000-0000FE000000}"/>
    <cellStyle name="Normal 3 2 2 2 3 2 2" xfId="489" xr:uid="{00000000-0005-0000-0000-0000FF000000}"/>
    <cellStyle name="Normal 3 2 2 2 3 2 2 2" xfId="987" xr:uid="{00000000-0005-0000-0000-000000010000}"/>
    <cellStyle name="Normal 3 2 2 2 3 2 2 2 2" xfId="1989" xr:uid="{00000000-0005-0000-0000-000001010000}"/>
    <cellStyle name="Normal 3 2 2 2 3 2 2 3" xfId="1493" xr:uid="{00000000-0005-0000-0000-000002010000}"/>
    <cellStyle name="Normal 3 2 2 2 3 2 3" xfId="739" xr:uid="{00000000-0005-0000-0000-000003010000}"/>
    <cellStyle name="Normal 3 2 2 2 3 2 3 2" xfId="1741" xr:uid="{00000000-0005-0000-0000-000004010000}"/>
    <cellStyle name="Normal 3 2 2 2 3 2 4" xfId="1245" xr:uid="{00000000-0005-0000-0000-000005010000}"/>
    <cellStyle name="Normal 3 2 2 2 3 3" xfId="288" xr:uid="{00000000-0005-0000-0000-000006010000}"/>
    <cellStyle name="Normal 3 2 2 2 3 3 2" xfId="535" xr:uid="{00000000-0005-0000-0000-000007010000}"/>
    <cellStyle name="Normal 3 2 2 2 3 3 2 2" xfId="1033" xr:uid="{00000000-0005-0000-0000-000008010000}"/>
    <cellStyle name="Normal 3 2 2 2 3 3 2 2 2" xfId="2035" xr:uid="{00000000-0005-0000-0000-000009010000}"/>
    <cellStyle name="Normal 3 2 2 2 3 3 2 3" xfId="1539" xr:uid="{00000000-0005-0000-0000-00000A010000}"/>
    <cellStyle name="Normal 3 2 2 2 3 3 3" xfId="785" xr:uid="{00000000-0005-0000-0000-00000B010000}"/>
    <cellStyle name="Normal 3 2 2 2 3 3 3 2" xfId="1787" xr:uid="{00000000-0005-0000-0000-00000C010000}"/>
    <cellStyle name="Normal 3 2 2 2 3 3 4" xfId="1291" xr:uid="{00000000-0005-0000-0000-00000D010000}"/>
    <cellStyle name="Normal 3 2 2 2 3 4" xfId="374" xr:uid="{00000000-0005-0000-0000-00000E010000}"/>
    <cellStyle name="Normal 3 2 2 2 3 4 2" xfId="622" xr:uid="{00000000-0005-0000-0000-00000F010000}"/>
    <cellStyle name="Normal 3 2 2 2 3 4 2 2" xfId="1120" xr:uid="{00000000-0005-0000-0000-000010010000}"/>
    <cellStyle name="Normal 3 2 2 2 3 4 2 2 2" xfId="2122" xr:uid="{00000000-0005-0000-0000-000011010000}"/>
    <cellStyle name="Normal 3 2 2 2 3 4 2 3" xfId="1626" xr:uid="{00000000-0005-0000-0000-000012010000}"/>
    <cellStyle name="Normal 3 2 2 2 3 4 3" xfId="872" xr:uid="{00000000-0005-0000-0000-000013010000}"/>
    <cellStyle name="Normal 3 2 2 2 3 4 3 2" xfId="1874" xr:uid="{00000000-0005-0000-0000-000014010000}"/>
    <cellStyle name="Normal 3 2 2 2 3 4 4" xfId="1378" xr:uid="{00000000-0005-0000-0000-000015010000}"/>
    <cellStyle name="Normal 3 2 2 2 3 5" xfId="420" xr:uid="{00000000-0005-0000-0000-000016010000}"/>
    <cellStyle name="Normal 3 2 2 2 3 5 2" xfId="919" xr:uid="{00000000-0005-0000-0000-000017010000}"/>
    <cellStyle name="Normal 3 2 2 2 3 5 2 2" xfId="1921" xr:uid="{00000000-0005-0000-0000-000018010000}"/>
    <cellStyle name="Normal 3 2 2 2 3 5 3" xfId="1425" xr:uid="{00000000-0005-0000-0000-000019010000}"/>
    <cellStyle name="Normal 3 2 2 2 3 6" xfId="671" xr:uid="{00000000-0005-0000-0000-00001A010000}"/>
    <cellStyle name="Normal 3 2 2 2 3 6 2" xfId="1673" xr:uid="{00000000-0005-0000-0000-00001B010000}"/>
    <cellStyle name="Normal 3 2 2 2 3 7" xfId="1177" xr:uid="{00000000-0005-0000-0000-00001C010000}"/>
    <cellStyle name="Normal 3 2 2 2 4" xfId="198" xr:uid="{00000000-0005-0000-0000-00001D010000}"/>
    <cellStyle name="Normal 3 2 2 2 4 2" xfId="310" xr:uid="{00000000-0005-0000-0000-00001E010000}"/>
    <cellStyle name="Normal 3 2 2 2 4 2 2" xfId="557" xr:uid="{00000000-0005-0000-0000-00001F010000}"/>
    <cellStyle name="Normal 3 2 2 2 4 2 2 2" xfId="1055" xr:uid="{00000000-0005-0000-0000-000020010000}"/>
    <cellStyle name="Normal 3 2 2 2 4 2 2 2 2" xfId="2057" xr:uid="{00000000-0005-0000-0000-000021010000}"/>
    <cellStyle name="Normal 3 2 2 2 4 2 2 3" xfId="1561" xr:uid="{00000000-0005-0000-0000-000022010000}"/>
    <cellStyle name="Normal 3 2 2 2 4 2 3" xfId="807" xr:uid="{00000000-0005-0000-0000-000023010000}"/>
    <cellStyle name="Normal 3 2 2 2 4 2 3 2" xfId="1809" xr:uid="{00000000-0005-0000-0000-000024010000}"/>
    <cellStyle name="Normal 3 2 2 2 4 2 4" xfId="1313" xr:uid="{00000000-0005-0000-0000-000025010000}"/>
    <cellStyle name="Normal 3 2 2 2 4 3" xfId="442" xr:uid="{00000000-0005-0000-0000-000026010000}"/>
    <cellStyle name="Normal 3 2 2 2 4 3 2" xfId="941" xr:uid="{00000000-0005-0000-0000-000027010000}"/>
    <cellStyle name="Normal 3 2 2 2 4 3 2 2" xfId="1943" xr:uid="{00000000-0005-0000-0000-000028010000}"/>
    <cellStyle name="Normal 3 2 2 2 4 3 3" xfId="1447" xr:uid="{00000000-0005-0000-0000-000029010000}"/>
    <cellStyle name="Normal 3 2 2 2 4 4" xfId="693" xr:uid="{00000000-0005-0000-0000-00002A010000}"/>
    <cellStyle name="Normal 3 2 2 2 4 4 2" xfId="1695" xr:uid="{00000000-0005-0000-0000-00002B010000}"/>
    <cellStyle name="Normal 3 2 2 2 4 5" xfId="1199" xr:uid="{00000000-0005-0000-0000-00002C010000}"/>
    <cellStyle name="Normal 3 2 2 2 5" xfId="219" xr:uid="{00000000-0005-0000-0000-00002D010000}"/>
    <cellStyle name="Normal 3 2 2 2 5 2" xfId="465" xr:uid="{00000000-0005-0000-0000-00002E010000}"/>
    <cellStyle name="Normal 3 2 2 2 5 2 2" xfId="963" xr:uid="{00000000-0005-0000-0000-00002F010000}"/>
    <cellStyle name="Normal 3 2 2 2 5 2 2 2" xfId="1965" xr:uid="{00000000-0005-0000-0000-000030010000}"/>
    <cellStyle name="Normal 3 2 2 2 5 2 3" xfId="1469" xr:uid="{00000000-0005-0000-0000-000031010000}"/>
    <cellStyle name="Normal 3 2 2 2 5 3" xfId="715" xr:uid="{00000000-0005-0000-0000-000032010000}"/>
    <cellStyle name="Normal 3 2 2 2 5 3 2" xfId="1717" xr:uid="{00000000-0005-0000-0000-000033010000}"/>
    <cellStyle name="Normal 3 2 2 2 5 4" xfId="1221" xr:uid="{00000000-0005-0000-0000-000034010000}"/>
    <cellStyle name="Normal 3 2 2 2 6" xfId="264" xr:uid="{00000000-0005-0000-0000-000035010000}"/>
    <cellStyle name="Normal 3 2 2 2 6 2" xfId="511" xr:uid="{00000000-0005-0000-0000-000036010000}"/>
    <cellStyle name="Normal 3 2 2 2 6 2 2" xfId="1009" xr:uid="{00000000-0005-0000-0000-000037010000}"/>
    <cellStyle name="Normal 3 2 2 2 6 2 2 2" xfId="2011" xr:uid="{00000000-0005-0000-0000-000038010000}"/>
    <cellStyle name="Normal 3 2 2 2 6 2 3" xfId="1515" xr:uid="{00000000-0005-0000-0000-000039010000}"/>
    <cellStyle name="Normal 3 2 2 2 6 3" xfId="761" xr:uid="{00000000-0005-0000-0000-00003A010000}"/>
    <cellStyle name="Normal 3 2 2 2 6 3 2" xfId="1763" xr:uid="{00000000-0005-0000-0000-00003B010000}"/>
    <cellStyle name="Normal 3 2 2 2 6 4" xfId="1267" xr:uid="{00000000-0005-0000-0000-00003C010000}"/>
    <cellStyle name="Normal 3 2 2 2 7" xfId="330" xr:uid="{00000000-0005-0000-0000-00003D010000}"/>
    <cellStyle name="Normal 3 2 2 2 7 2" xfId="577" xr:uid="{00000000-0005-0000-0000-00003E010000}"/>
    <cellStyle name="Normal 3 2 2 2 7 2 2" xfId="1075" xr:uid="{00000000-0005-0000-0000-00003F010000}"/>
    <cellStyle name="Normal 3 2 2 2 7 2 2 2" xfId="2077" xr:uid="{00000000-0005-0000-0000-000040010000}"/>
    <cellStyle name="Normal 3 2 2 2 7 2 3" xfId="1581" xr:uid="{00000000-0005-0000-0000-000041010000}"/>
    <cellStyle name="Normal 3 2 2 2 7 3" xfId="827" xr:uid="{00000000-0005-0000-0000-000042010000}"/>
    <cellStyle name="Normal 3 2 2 2 7 3 2" xfId="1829" xr:uid="{00000000-0005-0000-0000-000043010000}"/>
    <cellStyle name="Normal 3 2 2 2 7 4" xfId="1333" xr:uid="{00000000-0005-0000-0000-000044010000}"/>
    <cellStyle name="Normal 3 2 2 2 8" xfId="350" xr:uid="{00000000-0005-0000-0000-000045010000}"/>
    <cellStyle name="Normal 3 2 2 2 8 2" xfId="598" xr:uid="{00000000-0005-0000-0000-000046010000}"/>
    <cellStyle name="Normal 3 2 2 2 8 2 2" xfId="1096" xr:uid="{00000000-0005-0000-0000-000047010000}"/>
    <cellStyle name="Normal 3 2 2 2 8 2 2 2" xfId="2098" xr:uid="{00000000-0005-0000-0000-000048010000}"/>
    <cellStyle name="Normal 3 2 2 2 8 2 3" xfId="1602" xr:uid="{00000000-0005-0000-0000-000049010000}"/>
    <cellStyle name="Normal 3 2 2 2 8 3" xfId="848" xr:uid="{00000000-0005-0000-0000-00004A010000}"/>
    <cellStyle name="Normal 3 2 2 2 8 3 2" xfId="1850" xr:uid="{00000000-0005-0000-0000-00004B010000}"/>
    <cellStyle name="Normal 3 2 2 2 8 4" xfId="1354" xr:uid="{00000000-0005-0000-0000-00004C010000}"/>
    <cellStyle name="Normal 3 2 2 2 9" xfId="396" xr:uid="{00000000-0005-0000-0000-00004D010000}"/>
    <cellStyle name="Normal 3 2 2 2 9 2" xfId="895" xr:uid="{00000000-0005-0000-0000-00004E010000}"/>
    <cellStyle name="Normal 3 2 2 2 9 2 2" xfId="1897" xr:uid="{00000000-0005-0000-0000-00004F010000}"/>
    <cellStyle name="Normal 3 2 2 2 9 3" xfId="1401" xr:uid="{00000000-0005-0000-0000-000050010000}"/>
    <cellStyle name="Normal 3 2 2 3" xfId="167" xr:uid="{00000000-0005-0000-0000-000051010000}"/>
    <cellStyle name="Normal 3 2 2 3 10" xfId="1159" xr:uid="{00000000-0005-0000-0000-000052010000}"/>
    <cellStyle name="Normal 3 2 2 3 2" xfId="185" xr:uid="{00000000-0005-0000-0000-000053010000}"/>
    <cellStyle name="Normal 3 2 2 3 2 2" xfId="248" xr:uid="{00000000-0005-0000-0000-000054010000}"/>
    <cellStyle name="Normal 3 2 2 3 2 2 2" xfId="495" xr:uid="{00000000-0005-0000-0000-000055010000}"/>
    <cellStyle name="Normal 3 2 2 3 2 2 2 2" xfId="993" xr:uid="{00000000-0005-0000-0000-000056010000}"/>
    <cellStyle name="Normal 3 2 2 3 2 2 2 2 2" xfId="1995" xr:uid="{00000000-0005-0000-0000-000057010000}"/>
    <cellStyle name="Normal 3 2 2 3 2 2 2 3" xfId="1499" xr:uid="{00000000-0005-0000-0000-000058010000}"/>
    <cellStyle name="Normal 3 2 2 3 2 2 3" xfId="745" xr:uid="{00000000-0005-0000-0000-000059010000}"/>
    <cellStyle name="Normal 3 2 2 3 2 2 3 2" xfId="1747" xr:uid="{00000000-0005-0000-0000-00005A010000}"/>
    <cellStyle name="Normal 3 2 2 3 2 2 4" xfId="1251" xr:uid="{00000000-0005-0000-0000-00005B010000}"/>
    <cellStyle name="Normal 3 2 2 3 2 3" xfId="294" xr:uid="{00000000-0005-0000-0000-00005C010000}"/>
    <cellStyle name="Normal 3 2 2 3 2 3 2" xfId="541" xr:uid="{00000000-0005-0000-0000-00005D010000}"/>
    <cellStyle name="Normal 3 2 2 3 2 3 2 2" xfId="1039" xr:uid="{00000000-0005-0000-0000-00005E010000}"/>
    <cellStyle name="Normal 3 2 2 3 2 3 2 2 2" xfId="2041" xr:uid="{00000000-0005-0000-0000-00005F010000}"/>
    <cellStyle name="Normal 3 2 2 3 2 3 2 3" xfId="1545" xr:uid="{00000000-0005-0000-0000-000060010000}"/>
    <cellStyle name="Normal 3 2 2 3 2 3 3" xfId="791" xr:uid="{00000000-0005-0000-0000-000061010000}"/>
    <cellStyle name="Normal 3 2 2 3 2 3 3 2" xfId="1793" xr:uid="{00000000-0005-0000-0000-000062010000}"/>
    <cellStyle name="Normal 3 2 2 3 2 3 4" xfId="1297" xr:uid="{00000000-0005-0000-0000-000063010000}"/>
    <cellStyle name="Normal 3 2 2 3 2 4" xfId="380" xr:uid="{00000000-0005-0000-0000-000064010000}"/>
    <cellStyle name="Normal 3 2 2 3 2 4 2" xfId="628" xr:uid="{00000000-0005-0000-0000-000065010000}"/>
    <cellStyle name="Normal 3 2 2 3 2 4 2 2" xfId="1126" xr:uid="{00000000-0005-0000-0000-000066010000}"/>
    <cellStyle name="Normal 3 2 2 3 2 4 2 2 2" xfId="2128" xr:uid="{00000000-0005-0000-0000-000067010000}"/>
    <cellStyle name="Normal 3 2 2 3 2 4 2 3" xfId="1632" xr:uid="{00000000-0005-0000-0000-000068010000}"/>
    <cellStyle name="Normal 3 2 2 3 2 4 3" xfId="878" xr:uid="{00000000-0005-0000-0000-000069010000}"/>
    <cellStyle name="Normal 3 2 2 3 2 4 3 2" xfId="1880" xr:uid="{00000000-0005-0000-0000-00006A010000}"/>
    <cellStyle name="Normal 3 2 2 3 2 4 4" xfId="1384" xr:uid="{00000000-0005-0000-0000-00006B010000}"/>
    <cellStyle name="Normal 3 2 2 3 2 5" xfId="426" xr:uid="{00000000-0005-0000-0000-00006C010000}"/>
    <cellStyle name="Normal 3 2 2 3 2 5 2" xfId="925" xr:uid="{00000000-0005-0000-0000-00006D010000}"/>
    <cellStyle name="Normal 3 2 2 3 2 5 2 2" xfId="1927" xr:uid="{00000000-0005-0000-0000-00006E010000}"/>
    <cellStyle name="Normal 3 2 2 3 2 5 3" xfId="1431" xr:uid="{00000000-0005-0000-0000-00006F010000}"/>
    <cellStyle name="Normal 3 2 2 3 2 6" xfId="677" xr:uid="{00000000-0005-0000-0000-000070010000}"/>
    <cellStyle name="Normal 3 2 2 3 2 6 2" xfId="1679" xr:uid="{00000000-0005-0000-0000-000071010000}"/>
    <cellStyle name="Normal 3 2 2 3 2 7" xfId="1183" xr:uid="{00000000-0005-0000-0000-000072010000}"/>
    <cellStyle name="Normal 3 2 2 3 3" xfId="204" xr:uid="{00000000-0005-0000-0000-000073010000}"/>
    <cellStyle name="Normal 3 2 2 3 3 2" xfId="316" xr:uid="{00000000-0005-0000-0000-000074010000}"/>
    <cellStyle name="Normal 3 2 2 3 3 2 2" xfId="563" xr:uid="{00000000-0005-0000-0000-000075010000}"/>
    <cellStyle name="Normal 3 2 2 3 3 2 2 2" xfId="1061" xr:uid="{00000000-0005-0000-0000-000076010000}"/>
    <cellStyle name="Normal 3 2 2 3 3 2 2 2 2" xfId="2063" xr:uid="{00000000-0005-0000-0000-000077010000}"/>
    <cellStyle name="Normal 3 2 2 3 3 2 2 3" xfId="1567" xr:uid="{00000000-0005-0000-0000-000078010000}"/>
    <cellStyle name="Normal 3 2 2 3 3 2 3" xfId="813" xr:uid="{00000000-0005-0000-0000-000079010000}"/>
    <cellStyle name="Normal 3 2 2 3 3 2 3 2" xfId="1815" xr:uid="{00000000-0005-0000-0000-00007A010000}"/>
    <cellStyle name="Normal 3 2 2 3 3 2 4" xfId="1319" xr:uid="{00000000-0005-0000-0000-00007B010000}"/>
    <cellStyle name="Normal 3 2 2 3 3 3" xfId="448" xr:uid="{00000000-0005-0000-0000-00007C010000}"/>
    <cellStyle name="Normal 3 2 2 3 3 3 2" xfId="947" xr:uid="{00000000-0005-0000-0000-00007D010000}"/>
    <cellStyle name="Normal 3 2 2 3 3 3 2 2" xfId="1949" xr:uid="{00000000-0005-0000-0000-00007E010000}"/>
    <cellStyle name="Normal 3 2 2 3 3 3 3" xfId="1453" xr:uid="{00000000-0005-0000-0000-00007F010000}"/>
    <cellStyle name="Normal 3 2 2 3 3 4" xfId="699" xr:uid="{00000000-0005-0000-0000-000080010000}"/>
    <cellStyle name="Normal 3 2 2 3 3 4 2" xfId="1701" xr:uid="{00000000-0005-0000-0000-000081010000}"/>
    <cellStyle name="Normal 3 2 2 3 3 5" xfId="1205" xr:uid="{00000000-0005-0000-0000-000082010000}"/>
    <cellStyle name="Normal 3 2 2 3 4" xfId="225" xr:uid="{00000000-0005-0000-0000-000083010000}"/>
    <cellStyle name="Normal 3 2 2 3 4 2" xfId="471" xr:uid="{00000000-0005-0000-0000-000084010000}"/>
    <cellStyle name="Normal 3 2 2 3 4 2 2" xfId="969" xr:uid="{00000000-0005-0000-0000-000085010000}"/>
    <cellStyle name="Normal 3 2 2 3 4 2 2 2" xfId="1971" xr:uid="{00000000-0005-0000-0000-000086010000}"/>
    <cellStyle name="Normal 3 2 2 3 4 2 3" xfId="1475" xr:uid="{00000000-0005-0000-0000-000087010000}"/>
    <cellStyle name="Normal 3 2 2 3 4 3" xfId="721" xr:uid="{00000000-0005-0000-0000-000088010000}"/>
    <cellStyle name="Normal 3 2 2 3 4 3 2" xfId="1723" xr:uid="{00000000-0005-0000-0000-000089010000}"/>
    <cellStyle name="Normal 3 2 2 3 4 4" xfId="1227" xr:uid="{00000000-0005-0000-0000-00008A010000}"/>
    <cellStyle name="Normal 3 2 2 3 5" xfId="270" xr:uid="{00000000-0005-0000-0000-00008B010000}"/>
    <cellStyle name="Normal 3 2 2 3 5 2" xfId="517" xr:uid="{00000000-0005-0000-0000-00008C010000}"/>
    <cellStyle name="Normal 3 2 2 3 5 2 2" xfId="1015" xr:uid="{00000000-0005-0000-0000-00008D010000}"/>
    <cellStyle name="Normal 3 2 2 3 5 2 2 2" xfId="2017" xr:uid="{00000000-0005-0000-0000-00008E010000}"/>
    <cellStyle name="Normal 3 2 2 3 5 2 3" xfId="1521" xr:uid="{00000000-0005-0000-0000-00008F010000}"/>
    <cellStyle name="Normal 3 2 2 3 5 3" xfId="767" xr:uid="{00000000-0005-0000-0000-000090010000}"/>
    <cellStyle name="Normal 3 2 2 3 5 3 2" xfId="1769" xr:uid="{00000000-0005-0000-0000-000091010000}"/>
    <cellStyle name="Normal 3 2 2 3 5 4" xfId="1273" xr:uid="{00000000-0005-0000-0000-000092010000}"/>
    <cellStyle name="Normal 3 2 2 3 6" xfId="336" xr:uid="{00000000-0005-0000-0000-000093010000}"/>
    <cellStyle name="Normal 3 2 2 3 6 2" xfId="583" xr:uid="{00000000-0005-0000-0000-000094010000}"/>
    <cellStyle name="Normal 3 2 2 3 6 2 2" xfId="1081" xr:uid="{00000000-0005-0000-0000-000095010000}"/>
    <cellStyle name="Normal 3 2 2 3 6 2 2 2" xfId="2083" xr:uid="{00000000-0005-0000-0000-000096010000}"/>
    <cellStyle name="Normal 3 2 2 3 6 2 3" xfId="1587" xr:uid="{00000000-0005-0000-0000-000097010000}"/>
    <cellStyle name="Normal 3 2 2 3 6 3" xfId="833" xr:uid="{00000000-0005-0000-0000-000098010000}"/>
    <cellStyle name="Normal 3 2 2 3 6 3 2" xfId="1835" xr:uid="{00000000-0005-0000-0000-000099010000}"/>
    <cellStyle name="Normal 3 2 2 3 6 4" xfId="1339" xr:uid="{00000000-0005-0000-0000-00009A010000}"/>
    <cellStyle name="Normal 3 2 2 3 7" xfId="356" xr:uid="{00000000-0005-0000-0000-00009B010000}"/>
    <cellStyle name="Normal 3 2 2 3 7 2" xfId="604" xr:uid="{00000000-0005-0000-0000-00009C010000}"/>
    <cellStyle name="Normal 3 2 2 3 7 2 2" xfId="1102" xr:uid="{00000000-0005-0000-0000-00009D010000}"/>
    <cellStyle name="Normal 3 2 2 3 7 2 2 2" xfId="2104" xr:uid="{00000000-0005-0000-0000-00009E010000}"/>
    <cellStyle name="Normal 3 2 2 3 7 2 3" xfId="1608" xr:uid="{00000000-0005-0000-0000-00009F010000}"/>
    <cellStyle name="Normal 3 2 2 3 7 3" xfId="854" xr:uid="{00000000-0005-0000-0000-0000A0010000}"/>
    <cellStyle name="Normal 3 2 2 3 7 3 2" xfId="1856" xr:uid="{00000000-0005-0000-0000-0000A1010000}"/>
    <cellStyle name="Normal 3 2 2 3 7 4" xfId="1360" xr:uid="{00000000-0005-0000-0000-0000A2010000}"/>
    <cellStyle name="Normal 3 2 2 3 8" xfId="402" xr:uid="{00000000-0005-0000-0000-0000A3010000}"/>
    <cellStyle name="Normal 3 2 2 3 8 2" xfId="901" xr:uid="{00000000-0005-0000-0000-0000A4010000}"/>
    <cellStyle name="Normal 3 2 2 3 8 2 2" xfId="1903" xr:uid="{00000000-0005-0000-0000-0000A5010000}"/>
    <cellStyle name="Normal 3 2 2 3 8 3" xfId="1407" xr:uid="{00000000-0005-0000-0000-0000A6010000}"/>
    <cellStyle name="Normal 3 2 2 3 9" xfId="653" xr:uid="{00000000-0005-0000-0000-0000A7010000}"/>
    <cellStyle name="Normal 3 2 2 3 9 2" xfId="1655" xr:uid="{00000000-0005-0000-0000-0000A8010000}"/>
    <cellStyle name="Normal 3 2 2 4" xfId="176" xr:uid="{00000000-0005-0000-0000-0000A9010000}"/>
    <cellStyle name="Normal 3 2 2 4 2" xfId="238" xr:uid="{00000000-0005-0000-0000-0000AA010000}"/>
    <cellStyle name="Normal 3 2 2 4 2 2" xfId="485" xr:uid="{00000000-0005-0000-0000-0000AB010000}"/>
    <cellStyle name="Normal 3 2 2 4 2 2 2" xfId="983" xr:uid="{00000000-0005-0000-0000-0000AC010000}"/>
    <cellStyle name="Normal 3 2 2 4 2 2 2 2" xfId="1985" xr:uid="{00000000-0005-0000-0000-0000AD010000}"/>
    <cellStyle name="Normal 3 2 2 4 2 2 3" xfId="1489" xr:uid="{00000000-0005-0000-0000-0000AE010000}"/>
    <cellStyle name="Normal 3 2 2 4 2 3" xfId="735" xr:uid="{00000000-0005-0000-0000-0000AF010000}"/>
    <cellStyle name="Normal 3 2 2 4 2 3 2" xfId="1737" xr:uid="{00000000-0005-0000-0000-0000B0010000}"/>
    <cellStyle name="Normal 3 2 2 4 2 4" xfId="1241" xr:uid="{00000000-0005-0000-0000-0000B1010000}"/>
    <cellStyle name="Normal 3 2 2 4 3" xfId="284" xr:uid="{00000000-0005-0000-0000-0000B2010000}"/>
    <cellStyle name="Normal 3 2 2 4 3 2" xfId="531" xr:uid="{00000000-0005-0000-0000-0000B3010000}"/>
    <cellStyle name="Normal 3 2 2 4 3 2 2" xfId="1029" xr:uid="{00000000-0005-0000-0000-0000B4010000}"/>
    <cellStyle name="Normal 3 2 2 4 3 2 2 2" xfId="2031" xr:uid="{00000000-0005-0000-0000-0000B5010000}"/>
    <cellStyle name="Normal 3 2 2 4 3 2 3" xfId="1535" xr:uid="{00000000-0005-0000-0000-0000B6010000}"/>
    <cellStyle name="Normal 3 2 2 4 3 3" xfId="781" xr:uid="{00000000-0005-0000-0000-0000B7010000}"/>
    <cellStyle name="Normal 3 2 2 4 3 3 2" xfId="1783" xr:uid="{00000000-0005-0000-0000-0000B8010000}"/>
    <cellStyle name="Normal 3 2 2 4 3 4" xfId="1287" xr:uid="{00000000-0005-0000-0000-0000B9010000}"/>
    <cellStyle name="Normal 3 2 2 4 4" xfId="370" xr:uid="{00000000-0005-0000-0000-0000BA010000}"/>
    <cellStyle name="Normal 3 2 2 4 4 2" xfId="618" xr:uid="{00000000-0005-0000-0000-0000BB010000}"/>
    <cellStyle name="Normal 3 2 2 4 4 2 2" xfId="1116" xr:uid="{00000000-0005-0000-0000-0000BC010000}"/>
    <cellStyle name="Normal 3 2 2 4 4 2 2 2" xfId="2118" xr:uid="{00000000-0005-0000-0000-0000BD010000}"/>
    <cellStyle name="Normal 3 2 2 4 4 2 3" xfId="1622" xr:uid="{00000000-0005-0000-0000-0000BE010000}"/>
    <cellStyle name="Normal 3 2 2 4 4 3" xfId="868" xr:uid="{00000000-0005-0000-0000-0000BF010000}"/>
    <cellStyle name="Normal 3 2 2 4 4 3 2" xfId="1870" xr:uid="{00000000-0005-0000-0000-0000C0010000}"/>
    <cellStyle name="Normal 3 2 2 4 4 4" xfId="1374" xr:uid="{00000000-0005-0000-0000-0000C1010000}"/>
    <cellStyle name="Normal 3 2 2 4 5" xfId="416" xr:uid="{00000000-0005-0000-0000-0000C2010000}"/>
    <cellStyle name="Normal 3 2 2 4 5 2" xfId="915" xr:uid="{00000000-0005-0000-0000-0000C3010000}"/>
    <cellStyle name="Normal 3 2 2 4 5 2 2" xfId="1917" xr:uid="{00000000-0005-0000-0000-0000C4010000}"/>
    <cellStyle name="Normal 3 2 2 4 5 3" xfId="1421" xr:uid="{00000000-0005-0000-0000-0000C5010000}"/>
    <cellStyle name="Normal 3 2 2 4 6" xfId="667" xr:uid="{00000000-0005-0000-0000-0000C6010000}"/>
    <cellStyle name="Normal 3 2 2 4 6 2" xfId="1669" xr:uid="{00000000-0005-0000-0000-0000C7010000}"/>
    <cellStyle name="Normal 3 2 2 4 7" xfId="1173" xr:uid="{00000000-0005-0000-0000-0000C8010000}"/>
    <cellStyle name="Normal 3 2 2 5" xfId="194" xr:uid="{00000000-0005-0000-0000-0000C9010000}"/>
    <cellStyle name="Normal 3 2 2 5 2" xfId="306" xr:uid="{00000000-0005-0000-0000-0000CA010000}"/>
    <cellStyle name="Normal 3 2 2 5 2 2" xfId="553" xr:uid="{00000000-0005-0000-0000-0000CB010000}"/>
    <cellStyle name="Normal 3 2 2 5 2 2 2" xfId="1051" xr:uid="{00000000-0005-0000-0000-0000CC010000}"/>
    <cellStyle name="Normal 3 2 2 5 2 2 2 2" xfId="2053" xr:uid="{00000000-0005-0000-0000-0000CD010000}"/>
    <cellStyle name="Normal 3 2 2 5 2 2 3" xfId="1557" xr:uid="{00000000-0005-0000-0000-0000CE010000}"/>
    <cellStyle name="Normal 3 2 2 5 2 3" xfId="803" xr:uid="{00000000-0005-0000-0000-0000CF010000}"/>
    <cellStyle name="Normal 3 2 2 5 2 3 2" xfId="1805" xr:uid="{00000000-0005-0000-0000-0000D0010000}"/>
    <cellStyle name="Normal 3 2 2 5 2 4" xfId="1309" xr:uid="{00000000-0005-0000-0000-0000D1010000}"/>
    <cellStyle name="Normal 3 2 2 5 3" xfId="438" xr:uid="{00000000-0005-0000-0000-0000D2010000}"/>
    <cellStyle name="Normal 3 2 2 5 3 2" xfId="937" xr:uid="{00000000-0005-0000-0000-0000D3010000}"/>
    <cellStyle name="Normal 3 2 2 5 3 2 2" xfId="1939" xr:uid="{00000000-0005-0000-0000-0000D4010000}"/>
    <cellStyle name="Normal 3 2 2 5 3 3" xfId="1443" xr:uid="{00000000-0005-0000-0000-0000D5010000}"/>
    <cellStyle name="Normal 3 2 2 5 4" xfId="689" xr:uid="{00000000-0005-0000-0000-0000D6010000}"/>
    <cellStyle name="Normal 3 2 2 5 4 2" xfId="1691" xr:uid="{00000000-0005-0000-0000-0000D7010000}"/>
    <cellStyle name="Normal 3 2 2 5 5" xfId="1195" xr:uid="{00000000-0005-0000-0000-0000D8010000}"/>
    <cellStyle name="Normal 3 2 2 6" xfId="215" xr:uid="{00000000-0005-0000-0000-0000D9010000}"/>
    <cellStyle name="Normal 3 2 2 6 2" xfId="461" xr:uid="{00000000-0005-0000-0000-0000DA010000}"/>
    <cellStyle name="Normal 3 2 2 6 2 2" xfId="959" xr:uid="{00000000-0005-0000-0000-0000DB010000}"/>
    <cellStyle name="Normal 3 2 2 6 2 2 2" xfId="1961" xr:uid="{00000000-0005-0000-0000-0000DC010000}"/>
    <cellStyle name="Normal 3 2 2 6 2 3" xfId="1465" xr:uid="{00000000-0005-0000-0000-0000DD010000}"/>
    <cellStyle name="Normal 3 2 2 6 3" xfId="711" xr:uid="{00000000-0005-0000-0000-0000DE010000}"/>
    <cellStyle name="Normal 3 2 2 6 3 2" xfId="1713" xr:uid="{00000000-0005-0000-0000-0000DF010000}"/>
    <cellStyle name="Normal 3 2 2 6 4" xfId="1217" xr:uid="{00000000-0005-0000-0000-0000E0010000}"/>
    <cellStyle name="Normal 3 2 2 7" xfId="260" xr:uid="{00000000-0005-0000-0000-0000E1010000}"/>
    <cellStyle name="Normal 3 2 2 7 2" xfId="507" xr:uid="{00000000-0005-0000-0000-0000E2010000}"/>
    <cellStyle name="Normal 3 2 2 7 2 2" xfId="1005" xr:uid="{00000000-0005-0000-0000-0000E3010000}"/>
    <cellStyle name="Normal 3 2 2 7 2 2 2" xfId="2007" xr:uid="{00000000-0005-0000-0000-0000E4010000}"/>
    <cellStyle name="Normal 3 2 2 7 2 3" xfId="1511" xr:uid="{00000000-0005-0000-0000-0000E5010000}"/>
    <cellStyle name="Normal 3 2 2 7 3" xfId="757" xr:uid="{00000000-0005-0000-0000-0000E6010000}"/>
    <cellStyle name="Normal 3 2 2 7 3 2" xfId="1759" xr:uid="{00000000-0005-0000-0000-0000E7010000}"/>
    <cellStyle name="Normal 3 2 2 7 4" xfId="1263" xr:uid="{00000000-0005-0000-0000-0000E8010000}"/>
    <cellStyle name="Normal 3 2 2 8" xfId="326" xr:uid="{00000000-0005-0000-0000-0000E9010000}"/>
    <cellStyle name="Normal 3 2 2 8 2" xfId="573" xr:uid="{00000000-0005-0000-0000-0000EA010000}"/>
    <cellStyle name="Normal 3 2 2 8 2 2" xfId="1071" xr:uid="{00000000-0005-0000-0000-0000EB010000}"/>
    <cellStyle name="Normal 3 2 2 8 2 2 2" xfId="2073" xr:uid="{00000000-0005-0000-0000-0000EC010000}"/>
    <cellStyle name="Normal 3 2 2 8 2 3" xfId="1577" xr:uid="{00000000-0005-0000-0000-0000ED010000}"/>
    <cellStyle name="Normal 3 2 2 8 3" xfId="823" xr:uid="{00000000-0005-0000-0000-0000EE010000}"/>
    <cellStyle name="Normal 3 2 2 8 3 2" xfId="1825" xr:uid="{00000000-0005-0000-0000-0000EF010000}"/>
    <cellStyle name="Normal 3 2 2 8 4" xfId="1329" xr:uid="{00000000-0005-0000-0000-0000F0010000}"/>
    <cellStyle name="Normal 3 2 2 9" xfId="346" xr:uid="{00000000-0005-0000-0000-0000F1010000}"/>
    <cellStyle name="Normal 3 2 2 9 2" xfId="594" xr:uid="{00000000-0005-0000-0000-0000F2010000}"/>
    <cellStyle name="Normal 3 2 2 9 2 2" xfId="1092" xr:uid="{00000000-0005-0000-0000-0000F3010000}"/>
    <cellStyle name="Normal 3 2 2 9 2 2 2" xfId="2094" xr:uid="{00000000-0005-0000-0000-0000F4010000}"/>
    <cellStyle name="Normal 3 2 2 9 2 3" xfId="1598" xr:uid="{00000000-0005-0000-0000-0000F5010000}"/>
    <cellStyle name="Normal 3 2 2 9 3" xfId="844" xr:uid="{00000000-0005-0000-0000-0000F6010000}"/>
    <cellStyle name="Normal 3 2 2 9 3 2" xfId="1846" xr:uid="{00000000-0005-0000-0000-0000F7010000}"/>
    <cellStyle name="Normal 3 2 2 9 4" xfId="1350" xr:uid="{00000000-0005-0000-0000-0000F8010000}"/>
    <cellStyle name="Normal 3 2 3" xfId="158" xr:uid="{00000000-0005-0000-0000-0000F9010000}"/>
    <cellStyle name="Normal 3 2 3 10" xfId="645" xr:uid="{00000000-0005-0000-0000-0000FA010000}"/>
    <cellStyle name="Normal 3 2 3 10 2" xfId="1647" xr:uid="{00000000-0005-0000-0000-0000FB010000}"/>
    <cellStyle name="Normal 3 2 3 11" xfId="1151" xr:uid="{00000000-0005-0000-0000-0000FC010000}"/>
    <cellStyle name="Normal 3 2 3 2" xfId="169" xr:uid="{00000000-0005-0000-0000-0000FD010000}"/>
    <cellStyle name="Normal 3 2 3 2 10" xfId="1161" xr:uid="{00000000-0005-0000-0000-0000FE010000}"/>
    <cellStyle name="Normal 3 2 3 2 2" xfId="187" xr:uid="{00000000-0005-0000-0000-0000FF010000}"/>
    <cellStyle name="Normal 3 2 3 2 2 2" xfId="250" xr:uid="{00000000-0005-0000-0000-000000020000}"/>
    <cellStyle name="Normal 3 2 3 2 2 2 2" xfId="497" xr:uid="{00000000-0005-0000-0000-000001020000}"/>
    <cellStyle name="Normal 3 2 3 2 2 2 2 2" xfId="995" xr:uid="{00000000-0005-0000-0000-000002020000}"/>
    <cellStyle name="Normal 3 2 3 2 2 2 2 2 2" xfId="1997" xr:uid="{00000000-0005-0000-0000-000003020000}"/>
    <cellStyle name="Normal 3 2 3 2 2 2 2 3" xfId="1501" xr:uid="{00000000-0005-0000-0000-000004020000}"/>
    <cellStyle name="Normal 3 2 3 2 2 2 3" xfId="747" xr:uid="{00000000-0005-0000-0000-000005020000}"/>
    <cellStyle name="Normal 3 2 3 2 2 2 3 2" xfId="1749" xr:uid="{00000000-0005-0000-0000-000006020000}"/>
    <cellStyle name="Normal 3 2 3 2 2 2 4" xfId="1253" xr:uid="{00000000-0005-0000-0000-000007020000}"/>
    <cellStyle name="Normal 3 2 3 2 2 3" xfId="296" xr:uid="{00000000-0005-0000-0000-000008020000}"/>
    <cellStyle name="Normal 3 2 3 2 2 3 2" xfId="543" xr:uid="{00000000-0005-0000-0000-000009020000}"/>
    <cellStyle name="Normal 3 2 3 2 2 3 2 2" xfId="1041" xr:uid="{00000000-0005-0000-0000-00000A020000}"/>
    <cellStyle name="Normal 3 2 3 2 2 3 2 2 2" xfId="2043" xr:uid="{00000000-0005-0000-0000-00000B020000}"/>
    <cellStyle name="Normal 3 2 3 2 2 3 2 3" xfId="1547" xr:uid="{00000000-0005-0000-0000-00000C020000}"/>
    <cellStyle name="Normal 3 2 3 2 2 3 3" xfId="793" xr:uid="{00000000-0005-0000-0000-00000D020000}"/>
    <cellStyle name="Normal 3 2 3 2 2 3 3 2" xfId="1795" xr:uid="{00000000-0005-0000-0000-00000E020000}"/>
    <cellStyle name="Normal 3 2 3 2 2 3 4" xfId="1299" xr:uid="{00000000-0005-0000-0000-00000F020000}"/>
    <cellStyle name="Normal 3 2 3 2 2 4" xfId="382" xr:uid="{00000000-0005-0000-0000-000010020000}"/>
    <cellStyle name="Normal 3 2 3 2 2 4 2" xfId="630" xr:uid="{00000000-0005-0000-0000-000011020000}"/>
    <cellStyle name="Normal 3 2 3 2 2 4 2 2" xfId="1128" xr:uid="{00000000-0005-0000-0000-000012020000}"/>
    <cellStyle name="Normal 3 2 3 2 2 4 2 2 2" xfId="2130" xr:uid="{00000000-0005-0000-0000-000013020000}"/>
    <cellStyle name="Normal 3 2 3 2 2 4 2 3" xfId="1634" xr:uid="{00000000-0005-0000-0000-000014020000}"/>
    <cellStyle name="Normal 3 2 3 2 2 4 3" xfId="880" xr:uid="{00000000-0005-0000-0000-000015020000}"/>
    <cellStyle name="Normal 3 2 3 2 2 4 3 2" xfId="1882" xr:uid="{00000000-0005-0000-0000-000016020000}"/>
    <cellStyle name="Normal 3 2 3 2 2 4 4" xfId="1386" xr:uid="{00000000-0005-0000-0000-000017020000}"/>
    <cellStyle name="Normal 3 2 3 2 2 5" xfId="428" xr:uid="{00000000-0005-0000-0000-000018020000}"/>
    <cellStyle name="Normal 3 2 3 2 2 5 2" xfId="927" xr:uid="{00000000-0005-0000-0000-000019020000}"/>
    <cellStyle name="Normal 3 2 3 2 2 5 2 2" xfId="1929" xr:uid="{00000000-0005-0000-0000-00001A020000}"/>
    <cellStyle name="Normal 3 2 3 2 2 5 3" xfId="1433" xr:uid="{00000000-0005-0000-0000-00001B020000}"/>
    <cellStyle name="Normal 3 2 3 2 2 6" xfId="679" xr:uid="{00000000-0005-0000-0000-00001C020000}"/>
    <cellStyle name="Normal 3 2 3 2 2 6 2" xfId="1681" xr:uid="{00000000-0005-0000-0000-00001D020000}"/>
    <cellStyle name="Normal 3 2 3 2 2 7" xfId="1185" xr:uid="{00000000-0005-0000-0000-00001E020000}"/>
    <cellStyle name="Normal 3 2 3 2 3" xfId="206" xr:uid="{00000000-0005-0000-0000-00001F020000}"/>
    <cellStyle name="Normal 3 2 3 2 3 2" xfId="318" xr:uid="{00000000-0005-0000-0000-000020020000}"/>
    <cellStyle name="Normal 3 2 3 2 3 2 2" xfId="565" xr:uid="{00000000-0005-0000-0000-000021020000}"/>
    <cellStyle name="Normal 3 2 3 2 3 2 2 2" xfId="1063" xr:uid="{00000000-0005-0000-0000-000022020000}"/>
    <cellStyle name="Normal 3 2 3 2 3 2 2 2 2" xfId="2065" xr:uid="{00000000-0005-0000-0000-000023020000}"/>
    <cellStyle name="Normal 3 2 3 2 3 2 2 3" xfId="1569" xr:uid="{00000000-0005-0000-0000-000024020000}"/>
    <cellStyle name="Normal 3 2 3 2 3 2 3" xfId="815" xr:uid="{00000000-0005-0000-0000-000025020000}"/>
    <cellStyle name="Normal 3 2 3 2 3 2 3 2" xfId="1817" xr:uid="{00000000-0005-0000-0000-000026020000}"/>
    <cellStyle name="Normal 3 2 3 2 3 2 4" xfId="1321" xr:uid="{00000000-0005-0000-0000-000027020000}"/>
    <cellStyle name="Normal 3 2 3 2 3 3" xfId="450" xr:uid="{00000000-0005-0000-0000-000028020000}"/>
    <cellStyle name="Normal 3 2 3 2 3 3 2" xfId="949" xr:uid="{00000000-0005-0000-0000-000029020000}"/>
    <cellStyle name="Normal 3 2 3 2 3 3 2 2" xfId="1951" xr:uid="{00000000-0005-0000-0000-00002A020000}"/>
    <cellStyle name="Normal 3 2 3 2 3 3 3" xfId="1455" xr:uid="{00000000-0005-0000-0000-00002B020000}"/>
    <cellStyle name="Normal 3 2 3 2 3 4" xfId="701" xr:uid="{00000000-0005-0000-0000-00002C020000}"/>
    <cellStyle name="Normal 3 2 3 2 3 4 2" xfId="1703" xr:uid="{00000000-0005-0000-0000-00002D020000}"/>
    <cellStyle name="Normal 3 2 3 2 3 5" xfId="1207" xr:uid="{00000000-0005-0000-0000-00002E020000}"/>
    <cellStyle name="Normal 3 2 3 2 4" xfId="227" xr:uid="{00000000-0005-0000-0000-00002F020000}"/>
    <cellStyle name="Normal 3 2 3 2 4 2" xfId="473" xr:uid="{00000000-0005-0000-0000-000030020000}"/>
    <cellStyle name="Normal 3 2 3 2 4 2 2" xfId="971" xr:uid="{00000000-0005-0000-0000-000031020000}"/>
    <cellStyle name="Normal 3 2 3 2 4 2 2 2" xfId="1973" xr:uid="{00000000-0005-0000-0000-000032020000}"/>
    <cellStyle name="Normal 3 2 3 2 4 2 3" xfId="1477" xr:uid="{00000000-0005-0000-0000-000033020000}"/>
    <cellStyle name="Normal 3 2 3 2 4 3" xfId="723" xr:uid="{00000000-0005-0000-0000-000034020000}"/>
    <cellStyle name="Normal 3 2 3 2 4 3 2" xfId="1725" xr:uid="{00000000-0005-0000-0000-000035020000}"/>
    <cellStyle name="Normal 3 2 3 2 4 4" xfId="1229" xr:uid="{00000000-0005-0000-0000-000036020000}"/>
    <cellStyle name="Normal 3 2 3 2 5" xfId="272" xr:uid="{00000000-0005-0000-0000-000037020000}"/>
    <cellStyle name="Normal 3 2 3 2 5 2" xfId="519" xr:uid="{00000000-0005-0000-0000-000038020000}"/>
    <cellStyle name="Normal 3 2 3 2 5 2 2" xfId="1017" xr:uid="{00000000-0005-0000-0000-000039020000}"/>
    <cellStyle name="Normal 3 2 3 2 5 2 2 2" xfId="2019" xr:uid="{00000000-0005-0000-0000-00003A020000}"/>
    <cellStyle name="Normal 3 2 3 2 5 2 3" xfId="1523" xr:uid="{00000000-0005-0000-0000-00003B020000}"/>
    <cellStyle name="Normal 3 2 3 2 5 3" xfId="769" xr:uid="{00000000-0005-0000-0000-00003C020000}"/>
    <cellStyle name="Normal 3 2 3 2 5 3 2" xfId="1771" xr:uid="{00000000-0005-0000-0000-00003D020000}"/>
    <cellStyle name="Normal 3 2 3 2 5 4" xfId="1275" xr:uid="{00000000-0005-0000-0000-00003E020000}"/>
    <cellStyle name="Normal 3 2 3 2 6" xfId="338" xr:uid="{00000000-0005-0000-0000-00003F020000}"/>
    <cellStyle name="Normal 3 2 3 2 6 2" xfId="585" xr:uid="{00000000-0005-0000-0000-000040020000}"/>
    <cellStyle name="Normal 3 2 3 2 6 2 2" xfId="1083" xr:uid="{00000000-0005-0000-0000-000041020000}"/>
    <cellStyle name="Normal 3 2 3 2 6 2 2 2" xfId="2085" xr:uid="{00000000-0005-0000-0000-000042020000}"/>
    <cellStyle name="Normal 3 2 3 2 6 2 3" xfId="1589" xr:uid="{00000000-0005-0000-0000-000043020000}"/>
    <cellStyle name="Normal 3 2 3 2 6 3" xfId="835" xr:uid="{00000000-0005-0000-0000-000044020000}"/>
    <cellStyle name="Normal 3 2 3 2 6 3 2" xfId="1837" xr:uid="{00000000-0005-0000-0000-000045020000}"/>
    <cellStyle name="Normal 3 2 3 2 6 4" xfId="1341" xr:uid="{00000000-0005-0000-0000-000046020000}"/>
    <cellStyle name="Normal 3 2 3 2 7" xfId="358" xr:uid="{00000000-0005-0000-0000-000047020000}"/>
    <cellStyle name="Normal 3 2 3 2 7 2" xfId="606" xr:uid="{00000000-0005-0000-0000-000048020000}"/>
    <cellStyle name="Normal 3 2 3 2 7 2 2" xfId="1104" xr:uid="{00000000-0005-0000-0000-000049020000}"/>
    <cellStyle name="Normal 3 2 3 2 7 2 2 2" xfId="2106" xr:uid="{00000000-0005-0000-0000-00004A020000}"/>
    <cellStyle name="Normal 3 2 3 2 7 2 3" xfId="1610" xr:uid="{00000000-0005-0000-0000-00004B020000}"/>
    <cellStyle name="Normal 3 2 3 2 7 3" xfId="856" xr:uid="{00000000-0005-0000-0000-00004C020000}"/>
    <cellStyle name="Normal 3 2 3 2 7 3 2" xfId="1858" xr:uid="{00000000-0005-0000-0000-00004D020000}"/>
    <cellStyle name="Normal 3 2 3 2 7 4" xfId="1362" xr:uid="{00000000-0005-0000-0000-00004E020000}"/>
    <cellStyle name="Normal 3 2 3 2 8" xfId="404" xr:uid="{00000000-0005-0000-0000-00004F020000}"/>
    <cellStyle name="Normal 3 2 3 2 8 2" xfId="903" xr:uid="{00000000-0005-0000-0000-000050020000}"/>
    <cellStyle name="Normal 3 2 3 2 8 2 2" xfId="1905" xr:uid="{00000000-0005-0000-0000-000051020000}"/>
    <cellStyle name="Normal 3 2 3 2 8 3" xfId="1409" xr:uid="{00000000-0005-0000-0000-000052020000}"/>
    <cellStyle name="Normal 3 2 3 2 9" xfId="655" xr:uid="{00000000-0005-0000-0000-000053020000}"/>
    <cellStyle name="Normal 3 2 3 2 9 2" xfId="1657" xr:uid="{00000000-0005-0000-0000-000054020000}"/>
    <cellStyle name="Normal 3 2 3 3" xfId="178" xr:uid="{00000000-0005-0000-0000-000055020000}"/>
    <cellStyle name="Normal 3 2 3 3 2" xfId="240" xr:uid="{00000000-0005-0000-0000-000056020000}"/>
    <cellStyle name="Normal 3 2 3 3 2 2" xfId="487" xr:uid="{00000000-0005-0000-0000-000057020000}"/>
    <cellStyle name="Normal 3 2 3 3 2 2 2" xfId="985" xr:uid="{00000000-0005-0000-0000-000058020000}"/>
    <cellStyle name="Normal 3 2 3 3 2 2 2 2" xfId="1987" xr:uid="{00000000-0005-0000-0000-000059020000}"/>
    <cellStyle name="Normal 3 2 3 3 2 2 3" xfId="1491" xr:uid="{00000000-0005-0000-0000-00005A020000}"/>
    <cellStyle name="Normal 3 2 3 3 2 3" xfId="737" xr:uid="{00000000-0005-0000-0000-00005B020000}"/>
    <cellStyle name="Normal 3 2 3 3 2 3 2" xfId="1739" xr:uid="{00000000-0005-0000-0000-00005C020000}"/>
    <cellStyle name="Normal 3 2 3 3 2 4" xfId="1243" xr:uid="{00000000-0005-0000-0000-00005D020000}"/>
    <cellStyle name="Normal 3 2 3 3 3" xfId="286" xr:uid="{00000000-0005-0000-0000-00005E020000}"/>
    <cellStyle name="Normal 3 2 3 3 3 2" xfId="533" xr:uid="{00000000-0005-0000-0000-00005F020000}"/>
    <cellStyle name="Normal 3 2 3 3 3 2 2" xfId="1031" xr:uid="{00000000-0005-0000-0000-000060020000}"/>
    <cellStyle name="Normal 3 2 3 3 3 2 2 2" xfId="2033" xr:uid="{00000000-0005-0000-0000-000061020000}"/>
    <cellStyle name="Normal 3 2 3 3 3 2 3" xfId="1537" xr:uid="{00000000-0005-0000-0000-000062020000}"/>
    <cellStyle name="Normal 3 2 3 3 3 3" xfId="783" xr:uid="{00000000-0005-0000-0000-000063020000}"/>
    <cellStyle name="Normal 3 2 3 3 3 3 2" xfId="1785" xr:uid="{00000000-0005-0000-0000-000064020000}"/>
    <cellStyle name="Normal 3 2 3 3 3 4" xfId="1289" xr:uid="{00000000-0005-0000-0000-000065020000}"/>
    <cellStyle name="Normal 3 2 3 3 4" xfId="372" xr:uid="{00000000-0005-0000-0000-000066020000}"/>
    <cellStyle name="Normal 3 2 3 3 4 2" xfId="620" xr:uid="{00000000-0005-0000-0000-000067020000}"/>
    <cellStyle name="Normal 3 2 3 3 4 2 2" xfId="1118" xr:uid="{00000000-0005-0000-0000-000068020000}"/>
    <cellStyle name="Normal 3 2 3 3 4 2 2 2" xfId="2120" xr:uid="{00000000-0005-0000-0000-000069020000}"/>
    <cellStyle name="Normal 3 2 3 3 4 2 3" xfId="1624" xr:uid="{00000000-0005-0000-0000-00006A020000}"/>
    <cellStyle name="Normal 3 2 3 3 4 3" xfId="870" xr:uid="{00000000-0005-0000-0000-00006B020000}"/>
    <cellStyle name="Normal 3 2 3 3 4 3 2" xfId="1872" xr:uid="{00000000-0005-0000-0000-00006C020000}"/>
    <cellStyle name="Normal 3 2 3 3 4 4" xfId="1376" xr:uid="{00000000-0005-0000-0000-00006D020000}"/>
    <cellStyle name="Normal 3 2 3 3 5" xfId="418" xr:uid="{00000000-0005-0000-0000-00006E020000}"/>
    <cellStyle name="Normal 3 2 3 3 5 2" xfId="917" xr:uid="{00000000-0005-0000-0000-00006F020000}"/>
    <cellStyle name="Normal 3 2 3 3 5 2 2" xfId="1919" xr:uid="{00000000-0005-0000-0000-000070020000}"/>
    <cellStyle name="Normal 3 2 3 3 5 3" xfId="1423" xr:uid="{00000000-0005-0000-0000-000071020000}"/>
    <cellStyle name="Normal 3 2 3 3 6" xfId="669" xr:uid="{00000000-0005-0000-0000-000072020000}"/>
    <cellStyle name="Normal 3 2 3 3 6 2" xfId="1671" xr:uid="{00000000-0005-0000-0000-000073020000}"/>
    <cellStyle name="Normal 3 2 3 3 7" xfId="1175" xr:uid="{00000000-0005-0000-0000-000074020000}"/>
    <cellStyle name="Normal 3 2 3 4" xfId="196" xr:uid="{00000000-0005-0000-0000-000075020000}"/>
    <cellStyle name="Normal 3 2 3 4 2" xfId="308" xr:uid="{00000000-0005-0000-0000-000076020000}"/>
    <cellStyle name="Normal 3 2 3 4 2 2" xfId="555" xr:uid="{00000000-0005-0000-0000-000077020000}"/>
    <cellStyle name="Normal 3 2 3 4 2 2 2" xfId="1053" xr:uid="{00000000-0005-0000-0000-000078020000}"/>
    <cellStyle name="Normal 3 2 3 4 2 2 2 2" xfId="2055" xr:uid="{00000000-0005-0000-0000-000079020000}"/>
    <cellStyle name="Normal 3 2 3 4 2 2 3" xfId="1559" xr:uid="{00000000-0005-0000-0000-00007A020000}"/>
    <cellStyle name="Normal 3 2 3 4 2 3" xfId="805" xr:uid="{00000000-0005-0000-0000-00007B020000}"/>
    <cellStyle name="Normal 3 2 3 4 2 3 2" xfId="1807" xr:uid="{00000000-0005-0000-0000-00007C020000}"/>
    <cellStyle name="Normal 3 2 3 4 2 4" xfId="1311" xr:uid="{00000000-0005-0000-0000-00007D020000}"/>
    <cellStyle name="Normal 3 2 3 4 3" xfId="440" xr:uid="{00000000-0005-0000-0000-00007E020000}"/>
    <cellStyle name="Normal 3 2 3 4 3 2" xfId="939" xr:uid="{00000000-0005-0000-0000-00007F020000}"/>
    <cellStyle name="Normal 3 2 3 4 3 2 2" xfId="1941" xr:uid="{00000000-0005-0000-0000-000080020000}"/>
    <cellStyle name="Normal 3 2 3 4 3 3" xfId="1445" xr:uid="{00000000-0005-0000-0000-000081020000}"/>
    <cellStyle name="Normal 3 2 3 4 4" xfId="691" xr:uid="{00000000-0005-0000-0000-000082020000}"/>
    <cellStyle name="Normal 3 2 3 4 4 2" xfId="1693" xr:uid="{00000000-0005-0000-0000-000083020000}"/>
    <cellStyle name="Normal 3 2 3 4 5" xfId="1197" xr:uid="{00000000-0005-0000-0000-000084020000}"/>
    <cellStyle name="Normal 3 2 3 5" xfId="217" xr:uid="{00000000-0005-0000-0000-000085020000}"/>
    <cellStyle name="Normal 3 2 3 5 2" xfId="463" xr:uid="{00000000-0005-0000-0000-000086020000}"/>
    <cellStyle name="Normal 3 2 3 5 2 2" xfId="961" xr:uid="{00000000-0005-0000-0000-000087020000}"/>
    <cellStyle name="Normal 3 2 3 5 2 2 2" xfId="1963" xr:uid="{00000000-0005-0000-0000-000088020000}"/>
    <cellStyle name="Normal 3 2 3 5 2 3" xfId="1467" xr:uid="{00000000-0005-0000-0000-000089020000}"/>
    <cellStyle name="Normal 3 2 3 5 3" xfId="713" xr:uid="{00000000-0005-0000-0000-00008A020000}"/>
    <cellStyle name="Normal 3 2 3 5 3 2" xfId="1715" xr:uid="{00000000-0005-0000-0000-00008B020000}"/>
    <cellStyle name="Normal 3 2 3 5 4" xfId="1219" xr:uid="{00000000-0005-0000-0000-00008C020000}"/>
    <cellStyle name="Normal 3 2 3 6" xfId="262" xr:uid="{00000000-0005-0000-0000-00008D020000}"/>
    <cellStyle name="Normal 3 2 3 6 2" xfId="509" xr:uid="{00000000-0005-0000-0000-00008E020000}"/>
    <cellStyle name="Normal 3 2 3 6 2 2" xfId="1007" xr:uid="{00000000-0005-0000-0000-00008F020000}"/>
    <cellStyle name="Normal 3 2 3 6 2 2 2" xfId="2009" xr:uid="{00000000-0005-0000-0000-000090020000}"/>
    <cellStyle name="Normal 3 2 3 6 2 3" xfId="1513" xr:uid="{00000000-0005-0000-0000-000091020000}"/>
    <cellStyle name="Normal 3 2 3 6 3" xfId="759" xr:uid="{00000000-0005-0000-0000-000092020000}"/>
    <cellStyle name="Normal 3 2 3 6 3 2" xfId="1761" xr:uid="{00000000-0005-0000-0000-000093020000}"/>
    <cellStyle name="Normal 3 2 3 6 4" xfId="1265" xr:uid="{00000000-0005-0000-0000-000094020000}"/>
    <cellStyle name="Normal 3 2 3 7" xfId="328" xr:uid="{00000000-0005-0000-0000-000095020000}"/>
    <cellStyle name="Normal 3 2 3 7 2" xfId="575" xr:uid="{00000000-0005-0000-0000-000096020000}"/>
    <cellStyle name="Normal 3 2 3 7 2 2" xfId="1073" xr:uid="{00000000-0005-0000-0000-000097020000}"/>
    <cellStyle name="Normal 3 2 3 7 2 2 2" xfId="2075" xr:uid="{00000000-0005-0000-0000-000098020000}"/>
    <cellStyle name="Normal 3 2 3 7 2 3" xfId="1579" xr:uid="{00000000-0005-0000-0000-000099020000}"/>
    <cellStyle name="Normal 3 2 3 7 3" xfId="825" xr:uid="{00000000-0005-0000-0000-00009A020000}"/>
    <cellStyle name="Normal 3 2 3 7 3 2" xfId="1827" xr:uid="{00000000-0005-0000-0000-00009B020000}"/>
    <cellStyle name="Normal 3 2 3 7 4" xfId="1331" xr:uid="{00000000-0005-0000-0000-00009C020000}"/>
    <cellStyle name="Normal 3 2 3 8" xfId="348" xr:uid="{00000000-0005-0000-0000-00009D020000}"/>
    <cellStyle name="Normal 3 2 3 8 2" xfId="596" xr:uid="{00000000-0005-0000-0000-00009E020000}"/>
    <cellStyle name="Normal 3 2 3 8 2 2" xfId="1094" xr:uid="{00000000-0005-0000-0000-00009F020000}"/>
    <cellStyle name="Normal 3 2 3 8 2 2 2" xfId="2096" xr:uid="{00000000-0005-0000-0000-0000A0020000}"/>
    <cellStyle name="Normal 3 2 3 8 2 3" xfId="1600" xr:uid="{00000000-0005-0000-0000-0000A1020000}"/>
    <cellStyle name="Normal 3 2 3 8 3" xfId="846" xr:uid="{00000000-0005-0000-0000-0000A2020000}"/>
    <cellStyle name="Normal 3 2 3 8 3 2" xfId="1848" xr:uid="{00000000-0005-0000-0000-0000A3020000}"/>
    <cellStyle name="Normal 3 2 3 8 4" xfId="1352" xr:uid="{00000000-0005-0000-0000-0000A4020000}"/>
    <cellStyle name="Normal 3 2 3 9" xfId="394" xr:uid="{00000000-0005-0000-0000-0000A5020000}"/>
    <cellStyle name="Normal 3 2 3 9 2" xfId="893" xr:uid="{00000000-0005-0000-0000-0000A6020000}"/>
    <cellStyle name="Normal 3 2 3 9 2 2" xfId="1895" xr:uid="{00000000-0005-0000-0000-0000A7020000}"/>
    <cellStyle name="Normal 3 2 3 9 3" xfId="1399" xr:uid="{00000000-0005-0000-0000-0000A8020000}"/>
    <cellStyle name="Normal 3 2 4" xfId="165" xr:uid="{00000000-0005-0000-0000-0000A9020000}"/>
    <cellStyle name="Normal 3 2 4 10" xfId="1157" xr:uid="{00000000-0005-0000-0000-0000AA020000}"/>
    <cellStyle name="Normal 3 2 4 2" xfId="183" xr:uid="{00000000-0005-0000-0000-0000AB020000}"/>
    <cellStyle name="Normal 3 2 4 2 2" xfId="246" xr:uid="{00000000-0005-0000-0000-0000AC020000}"/>
    <cellStyle name="Normal 3 2 4 2 2 2" xfId="493" xr:uid="{00000000-0005-0000-0000-0000AD020000}"/>
    <cellStyle name="Normal 3 2 4 2 2 2 2" xfId="991" xr:uid="{00000000-0005-0000-0000-0000AE020000}"/>
    <cellStyle name="Normal 3 2 4 2 2 2 2 2" xfId="1993" xr:uid="{00000000-0005-0000-0000-0000AF020000}"/>
    <cellStyle name="Normal 3 2 4 2 2 2 3" xfId="1497" xr:uid="{00000000-0005-0000-0000-0000B0020000}"/>
    <cellStyle name="Normal 3 2 4 2 2 3" xfId="743" xr:uid="{00000000-0005-0000-0000-0000B1020000}"/>
    <cellStyle name="Normal 3 2 4 2 2 3 2" xfId="1745" xr:uid="{00000000-0005-0000-0000-0000B2020000}"/>
    <cellStyle name="Normal 3 2 4 2 2 4" xfId="1249" xr:uid="{00000000-0005-0000-0000-0000B3020000}"/>
    <cellStyle name="Normal 3 2 4 2 3" xfId="292" xr:uid="{00000000-0005-0000-0000-0000B4020000}"/>
    <cellStyle name="Normal 3 2 4 2 3 2" xfId="539" xr:uid="{00000000-0005-0000-0000-0000B5020000}"/>
    <cellStyle name="Normal 3 2 4 2 3 2 2" xfId="1037" xr:uid="{00000000-0005-0000-0000-0000B6020000}"/>
    <cellStyle name="Normal 3 2 4 2 3 2 2 2" xfId="2039" xr:uid="{00000000-0005-0000-0000-0000B7020000}"/>
    <cellStyle name="Normal 3 2 4 2 3 2 3" xfId="1543" xr:uid="{00000000-0005-0000-0000-0000B8020000}"/>
    <cellStyle name="Normal 3 2 4 2 3 3" xfId="789" xr:uid="{00000000-0005-0000-0000-0000B9020000}"/>
    <cellStyle name="Normal 3 2 4 2 3 3 2" xfId="1791" xr:uid="{00000000-0005-0000-0000-0000BA020000}"/>
    <cellStyle name="Normal 3 2 4 2 3 4" xfId="1295" xr:uid="{00000000-0005-0000-0000-0000BB020000}"/>
    <cellStyle name="Normal 3 2 4 2 4" xfId="378" xr:uid="{00000000-0005-0000-0000-0000BC020000}"/>
    <cellStyle name="Normal 3 2 4 2 4 2" xfId="626" xr:uid="{00000000-0005-0000-0000-0000BD020000}"/>
    <cellStyle name="Normal 3 2 4 2 4 2 2" xfId="1124" xr:uid="{00000000-0005-0000-0000-0000BE020000}"/>
    <cellStyle name="Normal 3 2 4 2 4 2 2 2" xfId="2126" xr:uid="{00000000-0005-0000-0000-0000BF020000}"/>
    <cellStyle name="Normal 3 2 4 2 4 2 3" xfId="1630" xr:uid="{00000000-0005-0000-0000-0000C0020000}"/>
    <cellStyle name="Normal 3 2 4 2 4 3" xfId="876" xr:uid="{00000000-0005-0000-0000-0000C1020000}"/>
    <cellStyle name="Normal 3 2 4 2 4 3 2" xfId="1878" xr:uid="{00000000-0005-0000-0000-0000C2020000}"/>
    <cellStyle name="Normal 3 2 4 2 4 4" xfId="1382" xr:uid="{00000000-0005-0000-0000-0000C3020000}"/>
    <cellStyle name="Normal 3 2 4 2 5" xfId="424" xr:uid="{00000000-0005-0000-0000-0000C4020000}"/>
    <cellStyle name="Normal 3 2 4 2 5 2" xfId="923" xr:uid="{00000000-0005-0000-0000-0000C5020000}"/>
    <cellStyle name="Normal 3 2 4 2 5 2 2" xfId="1925" xr:uid="{00000000-0005-0000-0000-0000C6020000}"/>
    <cellStyle name="Normal 3 2 4 2 5 3" xfId="1429" xr:uid="{00000000-0005-0000-0000-0000C7020000}"/>
    <cellStyle name="Normal 3 2 4 2 6" xfId="675" xr:uid="{00000000-0005-0000-0000-0000C8020000}"/>
    <cellStyle name="Normal 3 2 4 2 6 2" xfId="1677" xr:uid="{00000000-0005-0000-0000-0000C9020000}"/>
    <cellStyle name="Normal 3 2 4 2 7" xfId="1181" xr:uid="{00000000-0005-0000-0000-0000CA020000}"/>
    <cellStyle name="Normal 3 2 4 3" xfId="202" xr:uid="{00000000-0005-0000-0000-0000CB020000}"/>
    <cellStyle name="Normal 3 2 4 3 2" xfId="314" xr:uid="{00000000-0005-0000-0000-0000CC020000}"/>
    <cellStyle name="Normal 3 2 4 3 2 2" xfId="561" xr:uid="{00000000-0005-0000-0000-0000CD020000}"/>
    <cellStyle name="Normal 3 2 4 3 2 2 2" xfId="1059" xr:uid="{00000000-0005-0000-0000-0000CE020000}"/>
    <cellStyle name="Normal 3 2 4 3 2 2 2 2" xfId="2061" xr:uid="{00000000-0005-0000-0000-0000CF020000}"/>
    <cellStyle name="Normal 3 2 4 3 2 2 3" xfId="1565" xr:uid="{00000000-0005-0000-0000-0000D0020000}"/>
    <cellStyle name="Normal 3 2 4 3 2 3" xfId="811" xr:uid="{00000000-0005-0000-0000-0000D1020000}"/>
    <cellStyle name="Normal 3 2 4 3 2 3 2" xfId="1813" xr:uid="{00000000-0005-0000-0000-0000D2020000}"/>
    <cellStyle name="Normal 3 2 4 3 2 4" xfId="1317" xr:uid="{00000000-0005-0000-0000-0000D3020000}"/>
    <cellStyle name="Normal 3 2 4 3 3" xfId="446" xr:uid="{00000000-0005-0000-0000-0000D4020000}"/>
    <cellStyle name="Normal 3 2 4 3 3 2" xfId="945" xr:uid="{00000000-0005-0000-0000-0000D5020000}"/>
    <cellStyle name="Normal 3 2 4 3 3 2 2" xfId="1947" xr:uid="{00000000-0005-0000-0000-0000D6020000}"/>
    <cellStyle name="Normal 3 2 4 3 3 3" xfId="1451" xr:uid="{00000000-0005-0000-0000-0000D7020000}"/>
    <cellStyle name="Normal 3 2 4 3 4" xfId="697" xr:uid="{00000000-0005-0000-0000-0000D8020000}"/>
    <cellStyle name="Normal 3 2 4 3 4 2" xfId="1699" xr:uid="{00000000-0005-0000-0000-0000D9020000}"/>
    <cellStyle name="Normal 3 2 4 3 5" xfId="1203" xr:uid="{00000000-0005-0000-0000-0000DA020000}"/>
    <cellStyle name="Normal 3 2 4 4" xfId="223" xr:uid="{00000000-0005-0000-0000-0000DB020000}"/>
    <cellStyle name="Normal 3 2 4 4 2" xfId="469" xr:uid="{00000000-0005-0000-0000-0000DC020000}"/>
    <cellStyle name="Normal 3 2 4 4 2 2" xfId="967" xr:uid="{00000000-0005-0000-0000-0000DD020000}"/>
    <cellStyle name="Normal 3 2 4 4 2 2 2" xfId="1969" xr:uid="{00000000-0005-0000-0000-0000DE020000}"/>
    <cellStyle name="Normal 3 2 4 4 2 3" xfId="1473" xr:uid="{00000000-0005-0000-0000-0000DF020000}"/>
    <cellStyle name="Normal 3 2 4 4 3" xfId="719" xr:uid="{00000000-0005-0000-0000-0000E0020000}"/>
    <cellStyle name="Normal 3 2 4 4 3 2" xfId="1721" xr:uid="{00000000-0005-0000-0000-0000E1020000}"/>
    <cellStyle name="Normal 3 2 4 4 4" xfId="1225" xr:uid="{00000000-0005-0000-0000-0000E2020000}"/>
    <cellStyle name="Normal 3 2 4 5" xfId="268" xr:uid="{00000000-0005-0000-0000-0000E3020000}"/>
    <cellStyle name="Normal 3 2 4 5 2" xfId="515" xr:uid="{00000000-0005-0000-0000-0000E4020000}"/>
    <cellStyle name="Normal 3 2 4 5 2 2" xfId="1013" xr:uid="{00000000-0005-0000-0000-0000E5020000}"/>
    <cellStyle name="Normal 3 2 4 5 2 2 2" xfId="2015" xr:uid="{00000000-0005-0000-0000-0000E6020000}"/>
    <cellStyle name="Normal 3 2 4 5 2 3" xfId="1519" xr:uid="{00000000-0005-0000-0000-0000E7020000}"/>
    <cellStyle name="Normal 3 2 4 5 3" xfId="765" xr:uid="{00000000-0005-0000-0000-0000E8020000}"/>
    <cellStyle name="Normal 3 2 4 5 3 2" xfId="1767" xr:uid="{00000000-0005-0000-0000-0000E9020000}"/>
    <cellStyle name="Normal 3 2 4 5 4" xfId="1271" xr:uid="{00000000-0005-0000-0000-0000EA020000}"/>
    <cellStyle name="Normal 3 2 4 6" xfId="334" xr:uid="{00000000-0005-0000-0000-0000EB020000}"/>
    <cellStyle name="Normal 3 2 4 6 2" xfId="581" xr:uid="{00000000-0005-0000-0000-0000EC020000}"/>
    <cellStyle name="Normal 3 2 4 6 2 2" xfId="1079" xr:uid="{00000000-0005-0000-0000-0000ED020000}"/>
    <cellStyle name="Normal 3 2 4 6 2 2 2" xfId="2081" xr:uid="{00000000-0005-0000-0000-0000EE020000}"/>
    <cellStyle name="Normal 3 2 4 6 2 3" xfId="1585" xr:uid="{00000000-0005-0000-0000-0000EF020000}"/>
    <cellStyle name="Normal 3 2 4 6 3" xfId="831" xr:uid="{00000000-0005-0000-0000-0000F0020000}"/>
    <cellStyle name="Normal 3 2 4 6 3 2" xfId="1833" xr:uid="{00000000-0005-0000-0000-0000F1020000}"/>
    <cellStyle name="Normal 3 2 4 6 4" xfId="1337" xr:uid="{00000000-0005-0000-0000-0000F2020000}"/>
    <cellStyle name="Normal 3 2 4 7" xfId="354" xr:uid="{00000000-0005-0000-0000-0000F3020000}"/>
    <cellStyle name="Normal 3 2 4 7 2" xfId="602" xr:uid="{00000000-0005-0000-0000-0000F4020000}"/>
    <cellStyle name="Normal 3 2 4 7 2 2" xfId="1100" xr:uid="{00000000-0005-0000-0000-0000F5020000}"/>
    <cellStyle name="Normal 3 2 4 7 2 2 2" xfId="2102" xr:uid="{00000000-0005-0000-0000-0000F6020000}"/>
    <cellStyle name="Normal 3 2 4 7 2 3" xfId="1606" xr:uid="{00000000-0005-0000-0000-0000F7020000}"/>
    <cellStyle name="Normal 3 2 4 7 3" xfId="852" xr:uid="{00000000-0005-0000-0000-0000F8020000}"/>
    <cellStyle name="Normal 3 2 4 7 3 2" xfId="1854" xr:uid="{00000000-0005-0000-0000-0000F9020000}"/>
    <cellStyle name="Normal 3 2 4 7 4" xfId="1358" xr:uid="{00000000-0005-0000-0000-0000FA020000}"/>
    <cellStyle name="Normal 3 2 4 8" xfId="400" xr:uid="{00000000-0005-0000-0000-0000FB020000}"/>
    <cellStyle name="Normal 3 2 4 8 2" xfId="899" xr:uid="{00000000-0005-0000-0000-0000FC020000}"/>
    <cellStyle name="Normal 3 2 4 8 2 2" xfId="1901" xr:uid="{00000000-0005-0000-0000-0000FD020000}"/>
    <cellStyle name="Normal 3 2 4 8 3" xfId="1405" xr:uid="{00000000-0005-0000-0000-0000FE020000}"/>
    <cellStyle name="Normal 3 2 4 9" xfId="651" xr:uid="{00000000-0005-0000-0000-0000FF020000}"/>
    <cellStyle name="Normal 3 2 4 9 2" xfId="1653" xr:uid="{00000000-0005-0000-0000-000000030000}"/>
    <cellStyle name="Normal 3 2 5" xfId="174" xr:uid="{00000000-0005-0000-0000-000001030000}"/>
    <cellStyle name="Normal 3 2 5 2" xfId="236" xr:uid="{00000000-0005-0000-0000-000002030000}"/>
    <cellStyle name="Normal 3 2 5 2 2" xfId="483" xr:uid="{00000000-0005-0000-0000-000003030000}"/>
    <cellStyle name="Normal 3 2 5 2 2 2" xfId="981" xr:uid="{00000000-0005-0000-0000-000004030000}"/>
    <cellStyle name="Normal 3 2 5 2 2 2 2" xfId="1983" xr:uid="{00000000-0005-0000-0000-000005030000}"/>
    <cellStyle name="Normal 3 2 5 2 2 3" xfId="1487" xr:uid="{00000000-0005-0000-0000-000006030000}"/>
    <cellStyle name="Normal 3 2 5 2 3" xfId="733" xr:uid="{00000000-0005-0000-0000-000007030000}"/>
    <cellStyle name="Normal 3 2 5 2 3 2" xfId="1735" xr:uid="{00000000-0005-0000-0000-000008030000}"/>
    <cellStyle name="Normal 3 2 5 2 4" xfId="1239" xr:uid="{00000000-0005-0000-0000-000009030000}"/>
    <cellStyle name="Normal 3 2 5 3" xfId="282" xr:uid="{00000000-0005-0000-0000-00000A030000}"/>
    <cellStyle name="Normal 3 2 5 3 2" xfId="529" xr:uid="{00000000-0005-0000-0000-00000B030000}"/>
    <cellStyle name="Normal 3 2 5 3 2 2" xfId="1027" xr:uid="{00000000-0005-0000-0000-00000C030000}"/>
    <cellStyle name="Normal 3 2 5 3 2 2 2" xfId="2029" xr:uid="{00000000-0005-0000-0000-00000D030000}"/>
    <cellStyle name="Normal 3 2 5 3 2 3" xfId="1533" xr:uid="{00000000-0005-0000-0000-00000E030000}"/>
    <cellStyle name="Normal 3 2 5 3 3" xfId="779" xr:uid="{00000000-0005-0000-0000-00000F030000}"/>
    <cellStyle name="Normal 3 2 5 3 3 2" xfId="1781" xr:uid="{00000000-0005-0000-0000-000010030000}"/>
    <cellStyle name="Normal 3 2 5 3 4" xfId="1285" xr:uid="{00000000-0005-0000-0000-000011030000}"/>
    <cellStyle name="Normal 3 2 5 4" xfId="368" xr:uid="{00000000-0005-0000-0000-000012030000}"/>
    <cellStyle name="Normal 3 2 5 4 2" xfId="616" xr:uid="{00000000-0005-0000-0000-000013030000}"/>
    <cellStyle name="Normal 3 2 5 4 2 2" xfId="1114" xr:uid="{00000000-0005-0000-0000-000014030000}"/>
    <cellStyle name="Normal 3 2 5 4 2 2 2" xfId="2116" xr:uid="{00000000-0005-0000-0000-000015030000}"/>
    <cellStyle name="Normal 3 2 5 4 2 3" xfId="1620" xr:uid="{00000000-0005-0000-0000-000016030000}"/>
    <cellStyle name="Normal 3 2 5 4 3" xfId="866" xr:uid="{00000000-0005-0000-0000-000017030000}"/>
    <cellStyle name="Normal 3 2 5 4 3 2" xfId="1868" xr:uid="{00000000-0005-0000-0000-000018030000}"/>
    <cellStyle name="Normal 3 2 5 4 4" xfId="1372" xr:uid="{00000000-0005-0000-0000-000019030000}"/>
    <cellStyle name="Normal 3 2 5 5" xfId="414" xr:uid="{00000000-0005-0000-0000-00001A030000}"/>
    <cellStyle name="Normal 3 2 5 5 2" xfId="913" xr:uid="{00000000-0005-0000-0000-00001B030000}"/>
    <cellStyle name="Normal 3 2 5 5 2 2" xfId="1915" xr:uid="{00000000-0005-0000-0000-00001C030000}"/>
    <cellStyle name="Normal 3 2 5 5 3" xfId="1419" xr:uid="{00000000-0005-0000-0000-00001D030000}"/>
    <cellStyle name="Normal 3 2 5 6" xfId="665" xr:uid="{00000000-0005-0000-0000-00001E030000}"/>
    <cellStyle name="Normal 3 2 5 6 2" xfId="1667" xr:uid="{00000000-0005-0000-0000-00001F030000}"/>
    <cellStyle name="Normal 3 2 5 7" xfId="1171" xr:uid="{00000000-0005-0000-0000-000020030000}"/>
    <cellStyle name="Normal 3 2 6" xfId="192" xr:uid="{00000000-0005-0000-0000-000021030000}"/>
    <cellStyle name="Normal 3 2 6 2" xfId="304" xr:uid="{00000000-0005-0000-0000-000022030000}"/>
    <cellStyle name="Normal 3 2 6 2 2" xfId="551" xr:uid="{00000000-0005-0000-0000-000023030000}"/>
    <cellStyle name="Normal 3 2 6 2 2 2" xfId="1049" xr:uid="{00000000-0005-0000-0000-000024030000}"/>
    <cellStyle name="Normal 3 2 6 2 2 2 2" xfId="2051" xr:uid="{00000000-0005-0000-0000-000025030000}"/>
    <cellStyle name="Normal 3 2 6 2 2 3" xfId="1555" xr:uid="{00000000-0005-0000-0000-000026030000}"/>
    <cellStyle name="Normal 3 2 6 2 3" xfId="801" xr:uid="{00000000-0005-0000-0000-000027030000}"/>
    <cellStyle name="Normal 3 2 6 2 3 2" xfId="1803" xr:uid="{00000000-0005-0000-0000-000028030000}"/>
    <cellStyle name="Normal 3 2 6 2 4" xfId="1307" xr:uid="{00000000-0005-0000-0000-000029030000}"/>
    <cellStyle name="Normal 3 2 6 3" xfId="436" xr:uid="{00000000-0005-0000-0000-00002A030000}"/>
    <cellStyle name="Normal 3 2 6 3 2" xfId="935" xr:uid="{00000000-0005-0000-0000-00002B030000}"/>
    <cellStyle name="Normal 3 2 6 3 2 2" xfId="1937" xr:uid="{00000000-0005-0000-0000-00002C030000}"/>
    <cellStyle name="Normal 3 2 6 3 3" xfId="1441" xr:uid="{00000000-0005-0000-0000-00002D030000}"/>
    <cellStyle name="Normal 3 2 6 4" xfId="687" xr:uid="{00000000-0005-0000-0000-00002E030000}"/>
    <cellStyle name="Normal 3 2 6 4 2" xfId="1689" xr:uid="{00000000-0005-0000-0000-00002F030000}"/>
    <cellStyle name="Normal 3 2 6 5" xfId="1193" xr:uid="{00000000-0005-0000-0000-000030030000}"/>
    <cellStyle name="Normal 3 2 7" xfId="213" xr:uid="{00000000-0005-0000-0000-000031030000}"/>
    <cellStyle name="Normal 3 2 7 2" xfId="459" xr:uid="{00000000-0005-0000-0000-000032030000}"/>
    <cellStyle name="Normal 3 2 7 2 2" xfId="957" xr:uid="{00000000-0005-0000-0000-000033030000}"/>
    <cellStyle name="Normal 3 2 7 2 2 2" xfId="1959" xr:uid="{00000000-0005-0000-0000-000034030000}"/>
    <cellStyle name="Normal 3 2 7 2 3" xfId="1463" xr:uid="{00000000-0005-0000-0000-000035030000}"/>
    <cellStyle name="Normal 3 2 7 3" xfId="709" xr:uid="{00000000-0005-0000-0000-000036030000}"/>
    <cellStyle name="Normal 3 2 7 3 2" xfId="1711" xr:uid="{00000000-0005-0000-0000-000037030000}"/>
    <cellStyle name="Normal 3 2 7 4" xfId="1215" xr:uid="{00000000-0005-0000-0000-000038030000}"/>
    <cellStyle name="Normal 3 2 8" xfId="258" xr:uid="{00000000-0005-0000-0000-000039030000}"/>
    <cellStyle name="Normal 3 2 8 2" xfId="505" xr:uid="{00000000-0005-0000-0000-00003A030000}"/>
    <cellStyle name="Normal 3 2 8 2 2" xfId="1003" xr:uid="{00000000-0005-0000-0000-00003B030000}"/>
    <cellStyle name="Normal 3 2 8 2 2 2" xfId="2005" xr:uid="{00000000-0005-0000-0000-00003C030000}"/>
    <cellStyle name="Normal 3 2 8 2 3" xfId="1509" xr:uid="{00000000-0005-0000-0000-00003D030000}"/>
    <cellStyle name="Normal 3 2 8 3" xfId="755" xr:uid="{00000000-0005-0000-0000-00003E030000}"/>
    <cellStyle name="Normal 3 2 8 3 2" xfId="1757" xr:uid="{00000000-0005-0000-0000-00003F030000}"/>
    <cellStyle name="Normal 3 2 8 4" xfId="1261" xr:uid="{00000000-0005-0000-0000-000040030000}"/>
    <cellStyle name="Normal 3 2 9" xfId="324" xr:uid="{00000000-0005-0000-0000-000041030000}"/>
    <cellStyle name="Normal 3 2 9 2" xfId="571" xr:uid="{00000000-0005-0000-0000-000042030000}"/>
    <cellStyle name="Normal 3 2 9 2 2" xfId="1069" xr:uid="{00000000-0005-0000-0000-000043030000}"/>
    <cellStyle name="Normal 3 2 9 2 2 2" xfId="2071" xr:uid="{00000000-0005-0000-0000-000044030000}"/>
    <cellStyle name="Normal 3 2 9 2 3" xfId="1575" xr:uid="{00000000-0005-0000-0000-000045030000}"/>
    <cellStyle name="Normal 3 2 9 3" xfId="821" xr:uid="{00000000-0005-0000-0000-000046030000}"/>
    <cellStyle name="Normal 3 2 9 3 2" xfId="1823" xr:uid="{00000000-0005-0000-0000-000047030000}"/>
    <cellStyle name="Normal 3 2 9 4" xfId="1327" xr:uid="{00000000-0005-0000-0000-000048030000}"/>
    <cellStyle name="Normal 3 3" xfId="155" xr:uid="{00000000-0005-0000-0000-000049030000}"/>
    <cellStyle name="Normal 3 3 10" xfId="391" xr:uid="{00000000-0005-0000-0000-00004A030000}"/>
    <cellStyle name="Normal 3 3 10 2" xfId="890" xr:uid="{00000000-0005-0000-0000-00004B030000}"/>
    <cellStyle name="Normal 3 3 10 2 2" xfId="1892" xr:uid="{00000000-0005-0000-0000-00004C030000}"/>
    <cellStyle name="Normal 3 3 10 3" xfId="1396" xr:uid="{00000000-0005-0000-0000-00004D030000}"/>
    <cellStyle name="Normal 3 3 11" xfId="642" xr:uid="{00000000-0005-0000-0000-00004E030000}"/>
    <cellStyle name="Normal 3 3 11 2" xfId="1644" xr:uid="{00000000-0005-0000-0000-00004F030000}"/>
    <cellStyle name="Normal 3 3 12" xfId="1148" xr:uid="{00000000-0005-0000-0000-000050030000}"/>
    <cellStyle name="Normal 3 3 13" xfId="2231" xr:uid="{00000000-0005-0000-0000-000061000000}"/>
    <cellStyle name="Normal 3 3 2" xfId="159" xr:uid="{00000000-0005-0000-0000-000051030000}"/>
    <cellStyle name="Normal 3 3 2 10" xfId="646" xr:uid="{00000000-0005-0000-0000-000052030000}"/>
    <cellStyle name="Normal 3 3 2 10 2" xfId="1648" xr:uid="{00000000-0005-0000-0000-000053030000}"/>
    <cellStyle name="Normal 3 3 2 11" xfId="1152" xr:uid="{00000000-0005-0000-0000-000054030000}"/>
    <cellStyle name="Normal 3 3 2 2" xfId="170" xr:uid="{00000000-0005-0000-0000-000055030000}"/>
    <cellStyle name="Normal 3 3 2 2 10" xfId="1162" xr:uid="{00000000-0005-0000-0000-000056030000}"/>
    <cellStyle name="Normal 3 3 2 2 2" xfId="188" xr:uid="{00000000-0005-0000-0000-000057030000}"/>
    <cellStyle name="Normal 3 3 2 2 2 2" xfId="251" xr:uid="{00000000-0005-0000-0000-000058030000}"/>
    <cellStyle name="Normal 3 3 2 2 2 2 2" xfId="498" xr:uid="{00000000-0005-0000-0000-000059030000}"/>
    <cellStyle name="Normal 3 3 2 2 2 2 2 2" xfId="996" xr:uid="{00000000-0005-0000-0000-00005A030000}"/>
    <cellStyle name="Normal 3 3 2 2 2 2 2 2 2" xfId="1998" xr:uid="{00000000-0005-0000-0000-00005B030000}"/>
    <cellStyle name="Normal 3 3 2 2 2 2 2 3" xfId="1502" xr:uid="{00000000-0005-0000-0000-00005C030000}"/>
    <cellStyle name="Normal 3 3 2 2 2 2 3" xfId="748" xr:uid="{00000000-0005-0000-0000-00005D030000}"/>
    <cellStyle name="Normal 3 3 2 2 2 2 3 2" xfId="1750" xr:uid="{00000000-0005-0000-0000-00005E030000}"/>
    <cellStyle name="Normal 3 3 2 2 2 2 4" xfId="1254" xr:uid="{00000000-0005-0000-0000-00005F030000}"/>
    <cellStyle name="Normal 3 3 2 2 2 3" xfId="297" xr:uid="{00000000-0005-0000-0000-000060030000}"/>
    <cellStyle name="Normal 3 3 2 2 2 3 2" xfId="544" xr:uid="{00000000-0005-0000-0000-000061030000}"/>
    <cellStyle name="Normal 3 3 2 2 2 3 2 2" xfId="1042" xr:uid="{00000000-0005-0000-0000-000062030000}"/>
    <cellStyle name="Normal 3 3 2 2 2 3 2 2 2" xfId="2044" xr:uid="{00000000-0005-0000-0000-000063030000}"/>
    <cellStyle name="Normal 3 3 2 2 2 3 2 3" xfId="1548" xr:uid="{00000000-0005-0000-0000-000064030000}"/>
    <cellStyle name="Normal 3 3 2 2 2 3 3" xfId="794" xr:uid="{00000000-0005-0000-0000-000065030000}"/>
    <cellStyle name="Normal 3 3 2 2 2 3 3 2" xfId="1796" xr:uid="{00000000-0005-0000-0000-000066030000}"/>
    <cellStyle name="Normal 3 3 2 2 2 3 4" xfId="1300" xr:uid="{00000000-0005-0000-0000-000067030000}"/>
    <cellStyle name="Normal 3 3 2 2 2 4" xfId="383" xr:uid="{00000000-0005-0000-0000-000068030000}"/>
    <cellStyle name="Normal 3 3 2 2 2 4 2" xfId="631" xr:uid="{00000000-0005-0000-0000-000069030000}"/>
    <cellStyle name="Normal 3 3 2 2 2 4 2 2" xfId="1129" xr:uid="{00000000-0005-0000-0000-00006A030000}"/>
    <cellStyle name="Normal 3 3 2 2 2 4 2 2 2" xfId="2131" xr:uid="{00000000-0005-0000-0000-00006B030000}"/>
    <cellStyle name="Normal 3 3 2 2 2 4 2 3" xfId="1635" xr:uid="{00000000-0005-0000-0000-00006C030000}"/>
    <cellStyle name="Normal 3 3 2 2 2 4 3" xfId="881" xr:uid="{00000000-0005-0000-0000-00006D030000}"/>
    <cellStyle name="Normal 3 3 2 2 2 4 3 2" xfId="1883" xr:uid="{00000000-0005-0000-0000-00006E030000}"/>
    <cellStyle name="Normal 3 3 2 2 2 4 4" xfId="1387" xr:uid="{00000000-0005-0000-0000-00006F030000}"/>
    <cellStyle name="Normal 3 3 2 2 2 5" xfId="429" xr:uid="{00000000-0005-0000-0000-000070030000}"/>
    <cellStyle name="Normal 3 3 2 2 2 5 2" xfId="928" xr:uid="{00000000-0005-0000-0000-000071030000}"/>
    <cellStyle name="Normal 3 3 2 2 2 5 2 2" xfId="1930" xr:uid="{00000000-0005-0000-0000-000072030000}"/>
    <cellStyle name="Normal 3 3 2 2 2 5 3" xfId="1434" xr:uid="{00000000-0005-0000-0000-000073030000}"/>
    <cellStyle name="Normal 3 3 2 2 2 6" xfId="680" xr:uid="{00000000-0005-0000-0000-000074030000}"/>
    <cellStyle name="Normal 3 3 2 2 2 6 2" xfId="1682" xr:uid="{00000000-0005-0000-0000-000075030000}"/>
    <cellStyle name="Normal 3 3 2 2 2 7" xfId="1186" xr:uid="{00000000-0005-0000-0000-000076030000}"/>
    <cellStyle name="Normal 3 3 2 2 3" xfId="207" xr:uid="{00000000-0005-0000-0000-000077030000}"/>
    <cellStyle name="Normal 3 3 2 2 3 2" xfId="319" xr:uid="{00000000-0005-0000-0000-000078030000}"/>
    <cellStyle name="Normal 3 3 2 2 3 2 2" xfId="566" xr:uid="{00000000-0005-0000-0000-000079030000}"/>
    <cellStyle name="Normal 3 3 2 2 3 2 2 2" xfId="1064" xr:uid="{00000000-0005-0000-0000-00007A030000}"/>
    <cellStyle name="Normal 3 3 2 2 3 2 2 2 2" xfId="2066" xr:uid="{00000000-0005-0000-0000-00007B030000}"/>
    <cellStyle name="Normal 3 3 2 2 3 2 2 3" xfId="1570" xr:uid="{00000000-0005-0000-0000-00007C030000}"/>
    <cellStyle name="Normal 3 3 2 2 3 2 3" xfId="816" xr:uid="{00000000-0005-0000-0000-00007D030000}"/>
    <cellStyle name="Normal 3 3 2 2 3 2 3 2" xfId="1818" xr:uid="{00000000-0005-0000-0000-00007E030000}"/>
    <cellStyle name="Normal 3 3 2 2 3 2 4" xfId="1322" xr:uid="{00000000-0005-0000-0000-00007F030000}"/>
    <cellStyle name="Normal 3 3 2 2 3 3" xfId="451" xr:uid="{00000000-0005-0000-0000-000080030000}"/>
    <cellStyle name="Normal 3 3 2 2 3 3 2" xfId="950" xr:uid="{00000000-0005-0000-0000-000081030000}"/>
    <cellStyle name="Normal 3 3 2 2 3 3 2 2" xfId="1952" xr:uid="{00000000-0005-0000-0000-000082030000}"/>
    <cellStyle name="Normal 3 3 2 2 3 3 3" xfId="1456" xr:uid="{00000000-0005-0000-0000-000083030000}"/>
    <cellStyle name="Normal 3 3 2 2 3 4" xfId="702" xr:uid="{00000000-0005-0000-0000-000084030000}"/>
    <cellStyle name="Normal 3 3 2 2 3 4 2" xfId="1704" xr:uid="{00000000-0005-0000-0000-000085030000}"/>
    <cellStyle name="Normal 3 3 2 2 3 5" xfId="1208" xr:uid="{00000000-0005-0000-0000-000086030000}"/>
    <cellStyle name="Normal 3 3 2 2 4" xfId="228" xr:uid="{00000000-0005-0000-0000-000087030000}"/>
    <cellStyle name="Normal 3 3 2 2 4 2" xfId="474" xr:uid="{00000000-0005-0000-0000-000088030000}"/>
    <cellStyle name="Normal 3 3 2 2 4 2 2" xfId="972" xr:uid="{00000000-0005-0000-0000-000089030000}"/>
    <cellStyle name="Normal 3 3 2 2 4 2 2 2" xfId="1974" xr:uid="{00000000-0005-0000-0000-00008A030000}"/>
    <cellStyle name="Normal 3 3 2 2 4 2 3" xfId="1478" xr:uid="{00000000-0005-0000-0000-00008B030000}"/>
    <cellStyle name="Normal 3 3 2 2 4 3" xfId="724" xr:uid="{00000000-0005-0000-0000-00008C030000}"/>
    <cellStyle name="Normal 3 3 2 2 4 3 2" xfId="1726" xr:uid="{00000000-0005-0000-0000-00008D030000}"/>
    <cellStyle name="Normal 3 3 2 2 4 4" xfId="1230" xr:uid="{00000000-0005-0000-0000-00008E030000}"/>
    <cellStyle name="Normal 3 3 2 2 5" xfId="273" xr:uid="{00000000-0005-0000-0000-00008F030000}"/>
    <cellStyle name="Normal 3 3 2 2 5 2" xfId="520" xr:uid="{00000000-0005-0000-0000-000090030000}"/>
    <cellStyle name="Normal 3 3 2 2 5 2 2" xfId="1018" xr:uid="{00000000-0005-0000-0000-000091030000}"/>
    <cellStyle name="Normal 3 3 2 2 5 2 2 2" xfId="2020" xr:uid="{00000000-0005-0000-0000-000092030000}"/>
    <cellStyle name="Normal 3 3 2 2 5 2 3" xfId="1524" xr:uid="{00000000-0005-0000-0000-000093030000}"/>
    <cellStyle name="Normal 3 3 2 2 5 3" xfId="770" xr:uid="{00000000-0005-0000-0000-000094030000}"/>
    <cellStyle name="Normal 3 3 2 2 5 3 2" xfId="1772" xr:uid="{00000000-0005-0000-0000-000095030000}"/>
    <cellStyle name="Normal 3 3 2 2 5 4" xfId="1276" xr:uid="{00000000-0005-0000-0000-000096030000}"/>
    <cellStyle name="Normal 3 3 2 2 6" xfId="339" xr:uid="{00000000-0005-0000-0000-000097030000}"/>
    <cellStyle name="Normal 3 3 2 2 6 2" xfId="586" xr:uid="{00000000-0005-0000-0000-000098030000}"/>
    <cellStyle name="Normal 3 3 2 2 6 2 2" xfId="1084" xr:uid="{00000000-0005-0000-0000-000099030000}"/>
    <cellStyle name="Normal 3 3 2 2 6 2 2 2" xfId="2086" xr:uid="{00000000-0005-0000-0000-00009A030000}"/>
    <cellStyle name="Normal 3 3 2 2 6 2 3" xfId="1590" xr:uid="{00000000-0005-0000-0000-00009B030000}"/>
    <cellStyle name="Normal 3 3 2 2 6 3" xfId="836" xr:uid="{00000000-0005-0000-0000-00009C030000}"/>
    <cellStyle name="Normal 3 3 2 2 6 3 2" xfId="1838" xr:uid="{00000000-0005-0000-0000-00009D030000}"/>
    <cellStyle name="Normal 3 3 2 2 6 4" xfId="1342" xr:uid="{00000000-0005-0000-0000-00009E030000}"/>
    <cellStyle name="Normal 3 3 2 2 7" xfId="359" xr:uid="{00000000-0005-0000-0000-00009F030000}"/>
    <cellStyle name="Normal 3 3 2 2 7 2" xfId="607" xr:uid="{00000000-0005-0000-0000-0000A0030000}"/>
    <cellStyle name="Normal 3 3 2 2 7 2 2" xfId="1105" xr:uid="{00000000-0005-0000-0000-0000A1030000}"/>
    <cellStyle name="Normal 3 3 2 2 7 2 2 2" xfId="2107" xr:uid="{00000000-0005-0000-0000-0000A2030000}"/>
    <cellStyle name="Normal 3 3 2 2 7 2 3" xfId="1611" xr:uid="{00000000-0005-0000-0000-0000A3030000}"/>
    <cellStyle name="Normal 3 3 2 2 7 3" xfId="857" xr:uid="{00000000-0005-0000-0000-0000A4030000}"/>
    <cellStyle name="Normal 3 3 2 2 7 3 2" xfId="1859" xr:uid="{00000000-0005-0000-0000-0000A5030000}"/>
    <cellStyle name="Normal 3 3 2 2 7 4" xfId="1363" xr:uid="{00000000-0005-0000-0000-0000A6030000}"/>
    <cellStyle name="Normal 3 3 2 2 8" xfId="405" xr:uid="{00000000-0005-0000-0000-0000A7030000}"/>
    <cellStyle name="Normal 3 3 2 2 8 2" xfId="904" xr:uid="{00000000-0005-0000-0000-0000A8030000}"/>
    <cellStyle name="Normal 3 3 2 2 8 2 2" xfId="1906" xr:uid="{00000000-0005-0000-0000-0000A9030000}"/>
    <cellStyle name="Normal 3 3 2 2 8 3" xfId="1410" xr:uid="{00000000-0005-0000-0000-0000AA030000}"/>
    <cellStyle name="Normal 3 3 2 2 9" xfId="656" xr:uid="{00000000-0005-0000-0000-0000AB030000}"/>
    <cellStyle name="Normal 3 3 2 2 9 2" xfId="1658" xr:uid="{00000000-0005-0000-0000-0000AC030000}"/>
    <cellStyle name="Normal 3 3 2 3" xfId="179" xr:uid="{00000000-0005-0000-0000-0000AD030000}"/>
    <cellStyle name="Normal 3 3 2 3 2" xfId="241" xr:uid="{00000000-0005-0000-0000-0000AE030000}"/>
    <cellStyle name="Normal 3 3 2 3 2 2" xfId="488" xr:uid="{00000000-0005-0000-0000-0000AF030000}"/>
    <cellStyle name="Normal 3 3 2 3 2 2 2" xfId="986" xr:uid="{00000000-0005-0000-0000-0000B0030000}"/>
    <cellStyle name="Normal 3 3 2 3 2 2 2 2" xfId="1988" xr:uid="{00000000-0005-0000-0000-0000B1030000}"/>
    <cellStyle name="Normal 3 3 2 3 2 2 3" xfId="1492" xr:uid="{00000000-0005-0000-0000-0000B2030000}"/>
    <cellStyle name="Normal 3 3 2 3 2 3" xfId="738" xr:uid="{00000000-0005-0000-0000-0000B3030000}"/>
    <cellStyle name="Normal 3 3 2 3 2 3 2" xfId="1740" xr:uid="{00000000-0005-0000-0000-0000B4030000}"/>
    <cellStyle name="Normal 3 3 2 3 2 4" xfId="1244" xr:uid="{00000000-0005-0000-0000-0000B5030000}"/>
    <cellStyle name="Normal 3 3 2 3 3" xfId="287" xr:uid="{00000000-0005-0000-0000-0000B6030000}"/>
    <cellStyle name="Normal 3 3 2 3 3 2" xfId="534" xr:uid="{00000000-0005-0000-0000-0000B7030000}"/>
    <cellStyle name="Normal 3 3 2 3 3 2 2" xfId="1032" xr:uid="{00000000-0005-0000-0000-0000B8030000}"/>
    <cellStyle name="Normal 3 3 2 3 3 2 2 2" xfId="2034" xr:uid="{00000000-0005-0000-0000-0000B9030000}"/>
    <cellStyle name="Normal 3 3 2 3 3 2 3" xfId="1538" xr:uid="{00000000-0005-0000-0000-0000BA030000}"/>
    <cellStyle name="Normal 3 3 2 3 3 3" xfId="784" xr:uid="{00000000-0005-0000-0000-0000BB030000}"/>
    <cellStyle name="Normal 3 3 2 3 3 3 2" xfId="1786" xr:uid="{00000000-0005-0000-0000-0000BC030000}"/>
    <cellStyle name="Normal 3 3 2 3 3 4" xfId="1290" xr:uid="{00000000-0005-0000-0000-0000BD030000}"/>
    <cellStyle name="Normal 3 3 2 3 4" xfId="373" xr:uid="{00000000-0005-0000-0000-0000BE030000}"/>
    <cellStyle name="Normal 3 3 2 3 4 2" xfId="621" xr:uid="{00000000-0005-0000-0000-0000BF030000}"/>
    <cellStyle name="Normal 3 3 2 3 4 2 2" xfId="1119" xr:uid="{00000000-0005-0000-0000-0000C0030000}"/>
    <cellStyle name="Normal 3 3 2 3 4 2 2 2" xfId="2121" xr:uid="{00000000-0005-0000-0000-0000C1030000}"/>
    <cellStyle name="Normal 3 3 2 3 4 2 3" xfId="1625" xr:uid="{00000000-0005-0000-0000-0000C2030000}"/>
    <cellStyle name="Normal 3 3 2 3 4 3" xfId="871" xr:uid="{00000000-0005-0000-0000-0000C3030000}"/>
    <cellStyle name="Normal 3 3 2 3 4 3 2" xfId="1873" xr:uid="{00000000-0005-0000-0000-0000C4030000}"/>
    <cellStyle name="Normal 3 3 2 3 4 4" xfId="1377" xr:uid="{00000000-0005-0000-0000-0000C5030000}"/>
    <cellStyle name="Normal 3 3 2 3 5" xfId="419" xr:uid="{00000000-0005-0000-0000-0000C6030000}"/>
    <cellStyle name="Normal 3 3 2 3 5 2" xfId="918" xr:uid="{00000000-0005-0000-0000-0000C7030000}"/>
    <cellStyle name="Normal 3 3 2 3 5 2 2" xfId="1920" xr:uid="{00000000-0005-0000-0000-0000C8030000}"/>
    <cellStyle name="Normal 3 3 2 3 5 3" xfId="1424" xr:uid="{00000000-0005-0000-0000-0000C9030000}"/>
    <cellStyle name="Normal 3 3 2 3 6" xfId="670" xr:uid="{00000000-0005-0000-0000-0000CA030000}"/>
    <cellStyle name="Normal 3 3 2 3 6 2" xfId="1672" xr:uid="{00000000-0005-0000-0000-0000CB030000}"/>
    <cellStyle name="Normal 3 3 2 3 7" xfId="1176" xr:uid="{00000000-0005-0000-0000-0000CC030000}"/>
    <cellStyle name="Normal 3 3 2 4" xfId="197" xr:uid="{00000000-0005-0000-0000-0000CD030000}"/>
    <cellStyle name="Normal 3 3 2 4 2" xfId="309" xr:uid="{00000000-0005-0000-0000-0000CE030000}"/>
    <cellStyle name="Normal 3 3 2 4 2 2" xfId="556" xr:uid="{00000000-0005-0000-0000-0000CF030000}"/>
    <cellStyle name="Normal 3 3 2 4 2 2 2" xfId="1054" xr:uid="{00000000-0005-0000-0000-0000D0030000}"/>
    <cellStyle name="Normal 3 3 2 4 2 2 2 2" xfId="2056" xr:uid="{00000000-0005-0000-0000-0000D1030000}"/>
    <cellStyle name="Normal 3 3 2 4 2 2 3" xfId="1560" xr:uid="{00000000-0005-0000-0000-0000D2030000}"/>
    <cellStyle name="Normal 3 3 2 4 2 3" xfId="806" xr:uid="{00000000-0005-0000-0000-0000D3030000}"/>
    <cellStyle name="Normal 3 3 2 4 2 3 2" xfId="1808" xr:uid="{00000000-0005-0000-0000-0000D4030000}"/>
    <cellStyle name="Normal 3 3 2 4 2 4" xfId="1312" xr:uid="{00000000-0005-0000-0000-0000D5030000}"/>
    <cellStyle name="Normal 3 3 2 4 3" xfId="441" xr:uid="{00000000-0005-0000-0000-0000D6030000}"/>
    <cellStyle name="Normal 3 3 2 4 3 2" xfId="940" xr:uid="{00000000-0005-0000-0000-0000D7030000}"/>
    <cellStyle name="Normal 3 3 2 4 3 2 2" xfId="1942" xr:uid="{00000000-0005-0000-0000-0000D8030000}"/>
    <cellStyle name="Normal 3 3 2 4 3 3" xfId="1446" xr:uid="{00000000-0005-0000-0000-0000D9030000}"/>
    <cellStyle name="Normal 3 3 2 4 4" xfId="692" xr:uid="{00000000-0005-0000-0000-0000DA030000}"/>
    <cellStyle name="Normal 3 3 2 4 4 2" xfId="1694" xr:uid="{00000000-0005-0000-0000-0000DB030000}"/>
    <cellStyle name="Normal 3 3 2 4 5" xfId="1198" xr:uid="{00000000-0005-0000-0000-0000DC030000}"/>
    <cellStyle name="Normal 3 3 2 5" xfId="218" xr:uid="{00000000-0005-0000-0000-0000DD030000}"/>
    <cellStyle name="Normal 3 3 2 5 2" xfId="464" xr:uid="{00000000-0005-0000-0000-0000DE030000}"/>
    <cellStyle name="Normal 3 3 2 5 2 2" xfId="962" xr:uid="{00000000-0005-0000-0000-0000DF030000}"/>
    <cellStyle name="Normal 3 3 2 5 2 2 2" xfId="1964" xr:uid="{00000000-0005-0000-0000-0000E0030000}"/>
    <cellStyle name="Normal 3 3 2 5 2 3" xfId="1468" xr:uid="{00000000-0005-0000-0000-0000E1030000}"/>
    <cellStyle name="Normal 3 3 2 5 3" xfId="714" xr:uid="{00000000-0005-0000-0000-0000E2030000}"/>
    <cellStyle name="Normal 3 3 2 5 3 2" xfId="1716" xr:uid="{00000000-0005-0000-0000-0000E3030000}"/>
    <cellStyle name="Normal 3 3 2 5 4" xfId="1220" xr:uid="{00000000-0005-0000-0000-0000E4030000}"/>
    <cellStyle name="Normal 3 3 2 6" xfId="263" xr:uid="{00000000-0005-0000-0000-0000E5030000}"/>
    <cellStyle name="Normal 3 3 2 6 2" xfId="510" xr:uid="{00000000-0005-0000-0000-0000E6030000}"/>
    <cellStyle name="Normal 3 3 2 6 2 2" xfId="1008" xr:uid="{00000000-0005-0000-0000-0000E7030000}"/>
    <cellStyle name="Normal 3 3 2 6 2 2 2" xfId="2010" xr:uid="{00000000-0005-0000-0000-0000E8030000}"/>
    <cellStyle name="Normal 3 3 2 6 2 3" xfId="1514" xr:uid="{00000000-0005-0000-0000-0000E9030000}"/>
    <cellStyle name="Normal 3 3 2 6 3" xfId="760" xr:uid="{00000000-0005-0000-0000-0000EA030000}"/>
    <cellStyle name="Normal 3 3 2 6 3 2" xfId="1762" xr:uid="{00000000-0005-0000-0000-0000EB030000}"/>
    <cellStyle name="Normal 3 3 2 6 4" xfId="1266" xr:uid="{00000000-0005-0000-0000-0000EC030000}"/>
    <cellStyle name="Normal 3 3 2 7" xfId="329" xr:uid="{00000000-0005-0000-0000-0000ED030000}"/>
    <cellStyle name="Normal 3 3 2 7 2" xfId="576" xr:uid="{00000000-0005-0000-0000-0000EE030000}"/>
    <cellStyle name="Normal 3 3 2 7 2 2" xfId="1074" xr:uid="{00000000-0005-0000-0000-0000EF030000}"/>
    <cellStyle name="Normal 3 3 2 7 2 2 2" xfId="2076" xr:uid="{00000000-0005-0000-0000-0000F0030000}"/>
    <cellStyle name="Normal 3 3 2 7 2 3" xfId="1580" xr:uid="{00000000-0005-0000-0000-0000F1030000}"/>
    <cellStyle name="Normal 3 3 2 7 3" xfId="826" xr:uid="{00000000-0005-0000-0000-0000F2030000}"/>
    <cellStyle name="Normal 3 3 2 7 3 2" xfId="1828" xr:uid="{00000000-0005-0000-0000-0000F3030000}"/>
    <cellStyle name="Normal 3 3 2 7 4" xfId="1332" xr:uid="{00000000-0005-0000-0000-0000F4030000}"/>
    <cellStyle name="Normal 3 3 2 8" xfId="349" xr:uid="{00000000-0005-0000-0000-0000F5030000}"/>
    <cellStyle name="Normal 3 3 2 8 2" xfId="597" xr:uid="{00000000-0005-0000-0000-0000F6030000}"/>
    <cellStyle name="Normal 3 3 2 8 2 2" xfId="1095" xr:uid="{00000000-0005-0000-0000-0000F7030000}"/>
    <cellStyle name="Normal 3 3 2 8 2 2 2" xfId="2097" xr:uid="{00000000-0005-0000-0000-0000F8030000}"/>
    <cellStyle name="Normal 3 3 2 8 2 3" xfId="1601" xr:uid="{00000000-0005-0000-0000-0000F9030000}"/>
    <cellStyle name="Normal 3 3 2 8 3" xfId="847" xr:uid="{00000000-0005-0000-0000-0000FA030000}"/>
    <cellStyle name="Normal 3 3 2 8 3 2" xfId="1849" xr:uid="{00000000-0005-0000-0000-0000FB030000}"/>
    <cellStyle name="Normal 3 3 2 8 4" xfId="1353" xr:uid="{00000000-0005-0000-0000-0000FC030000}"/>
    <cellStyle name="Normal 3 3 2 9" xfId="395" xr:uid="{00000000-0005-0000-0000-0000FD030000}"/>
    <cellStyle name="Normal 3 3 2 9 2" xfId="894" xr:uid="{00000000-0005-0000-0000-0000FE030000}"/>
    <cellStyle name="Normal 3 3 2 9 2 2" xfId="1896" xr:uid="{00000000-0005-0000-0000-0000FF030000}"/>
    <cellStyle name="Normal 3 3 2 9 3" xfId="1400" xr:uid="{00000000-0005-0000-0000-000000040000}"/>
    <cellStyle name="Normal 3 3 3" xfId="166" xr:uid="{00000000-0005-0000-0000-000001040000}"/>
    <cellStyle name="Normal 3 3 3 10" xfId="1158" xr:uid="{00000000-0005-0000-0000-000002040000}"/>
    <cellStyle name="Normal 3 3 3 2" xfId="184" xr:uid="{00000000-0005-0000-0000-000003040000}"/>
    <cellStyle name="Normal 3 3 3 2 2" xfId="247" xr:uid="{00000000-0005-0000-0000-000004040000}"/>
    <cellStyle name="Normal 3 3 3 2 2 2" xfId="494" xr:uid="{00000000-0005-0000-0000-000005040000}"/>
    <cellStyle name="Normal 3 3 3 2 2 2 2" xfId="992" xr:uid="{00000000-0005-0000-0000-000006040000}"/>
    <cellStyle name="Normal 3 3 3 2 2 2 2 2" xfId="1994" xr:uid="{00000000-0005-0000-0000-000007040000}"/>
    <cellStyle name="Normal 3 3 3 2 2 2 3" xfId="1498" xr:uid="{00000000-0005-0000-0000-000008040000}"/>
    <cellStyle name="Normal 3 3 3 2 2 3" xfId="744" xr:uid="{00000000-0005-0000-0000-000009040000}"/>
    <cellStyle name="Normal 3 3 3 2 2 3 2" xfId="1746" xr:uid="{00000000-0005-0000-0000-00000A040000}"/>
    <cellStyle name="Normal 3 3 3 2 2 4" xfId="1250" xr:uid="{00000000-0005-0000-0000-00000B040000}"/>
    <cellStyle name="Normal 3 3 3 2 3" xfId="293" xr:uid="{00000000-0005-0000-0000-00000C040000}"/>
    <cellStyle name="Normal 3 3 3 2 3 2" xfId="540" xr:uid="{00000000-0005-0000-0000-00000D040000}"/>
    <cellStyle name="Normal 3 3 3 2 3 2 2" xfId="1038" xr:uid="{00000000-0005-0000-0000-00000E040000}"/>
    <cellStyle name="Normal 3 3 3 2 3 2 2 2" xfId="2040" xr:uid="{00000000-0005-0000-0000-00000F040000}"/>
    <cellStyle name="Normal 3 3 3 2 3 2 3" xfId="1544" xr:uid="{00000000-0005-0000-0000-000010040000}"/>
    <cellStyle name="Normal 3 3 3 2 3 3" xfId="790" xr:uid="{00000000-0005-0000-0000-000011040000}"/>
    <cellStyle name="Normal 3 3 3 2 3 3 2" xfId="1792" xr:uid="{00000000-0005-0000-0000-000012040000}"/>
    <cellStyle name="Normal 3 3 3 2 3 4" xfId="1296" xr:uid="{00000000-0005-0000-0000-000013040000}"/>
    <cellStyle name="Normal 3 3 3 2 4" xfId="379" xr:uid="{00000000-0005-0000-0000-000014040000}"/>
    <cellStyle name="Normal 3 3 3 2 4 2" xfId="627" xr:uid="{00000000-0005-0000-0000-000015040000}"/>
    <cellStyle name="Normal 3 3 3 2 4 2 2" xfId="1125" xr:uid="{00000000-0005-0000-0000-000016040000}"/>
    <cellStyle name="Normal 3 3 3 2 4 2 2 2" xfId="2127" xr:uid="{00000000-0005-0000-0000-000017040000}"/>
    <cellStyle name="Normal 3 3 3 2 4 2 3" xfId="1631" xr:uid="{00000000-0005-0000-0000-000018040000}"/>
    <cellStyle name="Normal 3 3 3 2 4 3" xfId="877" xr:uid="{00000000-0005-0000-0000-000019040000}"/>
    <cellStyle name="Normal 3 3 3 2 4 3 2" xfId="1879" xr:uid="{00000000-0005-0000-0000-00001A040000}"/>
    <cellStyle name="Normal 3 3 3 2 4 4" xfId="1383" xr:uid="{00000000-0005-0000-0000-00001B040000}"/>
    <cellStyle name="Normal 3 3 3 2 5" xfId="425" xr:uid="{00000000-0005-0000-0000-00001C040000}"/>
    <cellStyle name="Normal 3 3 3 2 5 2" xfId="924" xr:uid="{00000000-0005-0000-0000-00001D040000}"/>
    <cellStyle name="Normal 3 3 3 2 5 2 2" xfId="1926" xr:uid="{00000000-0005-0000-0000-00001E040000}"/>
    <cellStyle name="Normal 3 3 3 2 5 3" xfId="1430" xr:uid="{00000000-0005-0000-0000-00001F040000}"/>
    <cellStyle name="Normal 3 3 3 2 6" xfId="676" xr:uid="{00000000-0005-0000-0000-000020040000}"/>
    <cellStyle name="Normal 3 3 3 2 6 2" xfId="1678" xr:uid="{00000000-0005-0000-0000-000021040000}"/>
    <cellStyle name="Normal 3 3 3 2 7" xfId="1182" xr:uid="{00000000-0005-0000-0000-000022040000}"/>
    <cellStyle name="Normal 3 3 3 3" xfId="203" xr:uid="{00000000-0005-0000-0000-000023040000}"/>
    <cellStyle name="Normal 3 3 3 3 2" xfId="315" xr:uid="{00000000-0005-0000-0000-000024040000}"/>
    <cellStyle name="Normal 3 3 3 3 2 2" xfId="562" xr:uid="{00000000-0005-0000-0000-000025040000}"/>
    <cellStyle name="Normal 3 3 3 3 2 2 2" xfId="1060" xr:uid="{00000000-0005-0000-0000-000026040000}"/>
    <cellStyle name="Normal 3 3 3 3 2 2 2 2" xfId="2062" xr:uid="{00000000-0005-0000-0000-000027040000}"/>
    <cellStyle name="Normal 3 3 3 3 2 2 3" xfId="1566" xr:uid="{00000000-0005-0000-0000-000028040000}"/>
    <cellStyle name="Normal 3 3 3 3 2 3" xfId="812" xr:uid="{00000000-0005-0000-0000-000029040000}"/>
    <cellStyle name="Normal 3 3 3 3 2 3 2" xfId="1814" xr:uid="{00000000-0005-0000-0000-00002A040000}"/>
    <cellStyle name="Normal 3 3 3 3 2 4" xfId="1318" xr:uid="{00000000-0005-0000-0000-00002B040000}"/>
    <cellStyle name="Normal 3 3 3 3 3" xfId="447" xr:uid="{00000000-0005-0000-0000-00002C040000}"/>
    <cellStyle name="Normal 3 3 3 3 3 2" xfId="946" xr:uid="{00000000-0005-0000-0000-00002D040000}"/>
    <cellStyle name="Normal 3 3 3 3 3 2 2" xfId="1948" xr:uid="{00000000-0005-0000-0000-00002E040000}"/>
    <cellStyle name="Normal 3 3 3 3 3 3" xfId="1452" xr:uid="{00000000-0005-0000-0000-00002F040000}"/>
    <cellStyle name="Normal 3 3 3 3 4" xfId="698" xr:uid="{00000000-0005-0000-0000-000030040000}"/>
    <cellStyle name="Normal 3 3 3 3 4 2" xfId="1700" xr:uid="{00000000-0005-0000-0000-000031040000}"/>
    <cellStyle name="Normal 3 3 3 3 5" xfId="1204" xr:uid="{00000000-0005-0000-0000-000032040000}"/>
    <cellStyle name="Normal 3 3 3 4" xfId="224" xr:uid="{00000000-0005-0000-0000-000033040000}"/>
    <cellStyle name="Normal 3 3 3 4 2" xfId="470" xr:uid="{00000000-0005-0000-0000-000034040000}"/>
    <cellStyle name="Normal 3 3 3 4 2 2" xfId="968" xr:uid="{00000000-0005-0000-0000-000035040000}"/>
    <cellStyle name="Normal 3 3 3 4 2 2 2" xfId="1970" xr:uid="{00000000-0005-0000-0000-000036040000}"/>
    <cellStyle name="Normal 3 3 3 4 2 3" xfId="1474" xr:uid="{00000000-0005-0000-0000-000037040000}"/>
    <cellStyle name="Normal 3 3 3 4 3" xfId="720" xr:uid="{00000000-0005-0000-0000-000038040000}"/>
    <cellStyle name="Normal 3 3 3 4 3 2" xfId="1722" xr:uid="{00000000-0005-0000-0000-000039040000}"/>
    <cellStyle name="Normal 3 3 3 4 4" xfId="1226" xr:uid="{00000000-0005-0000-0000-00003A040000}"/>
    <cellStyle name="Normal 3 3 3 5" xfId="269" xr:uid="{00000000-0005-0000-0000-00003B040000}"/>
    <cellStyle name="Normal 3 3 3 5 2" xfId="516" xr:uid="{00000000-0005-0000-0000-00003C040000}"/>
    <cellStyle name="Normal 3 3 3 5 2 2" xfId="1014" xr:uid="{00000000-0005-0000-0000-00003D040000}"/>
    <cellStyle name="Normal 3 3 3 5 2 2 2" xfId="2016" xr:uid="{00000000-0005-0000-0000-00003E040000}"/>
    <cellStyle name="Normal 3 3 3 5 2 3" xfId="1520" xr:uid="{00000000-0005-0000-0000-00003F040000}"/>
    <cellStyle name="Normal 3 3 3 5 3" xfId="766" xr:uid="{00000000-0005-0000-0000-000040040000}"/>
    <cellStyle name="Normal 3 3 3 5 3 2" xfId="1768" xr:uid="{00000000-0005-0000-0000-000041040000}"/>
    <cellStyle name="Normal 3 3 3 5 4" xfId="1272" xr:uid="{00000000-0005-0000-0000-000042040000}"/>
    <cellStyle name="Normal 3 3 3 6" xfId="335" xr:uid="{00000000-0005-0000-0000-000043040000}"/>
    <cellStyle name="Normal 3 3 3 6 2" xfId="582" xr:uid="{00000000-0005-0000-0000-000044040000}"/>
    <cellStyle name="Normal 3 3 3 6 2 2" xfId="1080" xr:uid="{00000000-0005-0000-0000-000045040000}"/>
    <cellStyle name="Normal 3 3 3 6 2 2 2" xfId="2082" xr:uid="{00000000-0005-0000-0000-000046040000}"/>
    <cellStyle name="Normal 3 3 3 6 2 3" xfId="1586" xr:uid="{00000000-0005-0000-0000-000047040000}"/>
    <cellStyle name="Normal 3 3 3 6 3" xfId="832" xr:uid="{00000000-0005-0000-0000-000048040000}"/>
    <cellStyle name="Normal 3 3 3 6 3 2" xfId="1834" xr:uid="{00000000-0005-0000-0000-000049040000}"/>
    <cellStyle name="Normal 3 3 3 6 4" xfId="1338" xr:uid="{00000000-0005-0000-0000-00004A040000}"/>
    <cellStyle name="Normal 3 3 3 7" xfId="355" xr:uid="{00000000-0005-0000-0000-00004B040000}"/>
    <cellStyle name="Normal 3 3 3 7 2" xfId="603" xr:uid="{00000000-0005-0000-0000-00004C040000}"/>
    <cellStyle name="Normal 3 3 3 7 2 2" xfId="1101" xr:uid="{00000000-0005-0000-0000-00004D040000}"/>
    <cellStyle name="Normal 3 3 3 7 2 2 2" xfId="2103" xr:uid="{00000000-0005-0000-0000-00004E040000}"/>
    <cellStyle name="Normal 3 3 3 7 2 3" xfId="1607" xr:uid="{00000000-0005-0000-0000-00004F040000}"/>
    <cellStyle name="Normal 3 3 3 7 3" xfId="853" xr:uid="{00000000-0005-0000-0000-000050040000}"/>
    <cellStyle name="Normal 3 3 3 7 3 2" xfId="1855" xr:uid="{00000000-0005-0000-0000-000051040000}"/>
    <cellStyle name="Normal 3 3 3 7 4" xfId="1359" xr:uid="{00000000-0005-0000-0000-000052040000}"/>
    <cellStyle name="Normal 3 3 3 8" xfId="401" xr:uid="{00000000-0005-0000-0000-000053040000}"/>
    <cellStyle name="Normal 3 3 3 8 2" xfId="900" xr:uid="{00000000-0005-0000-0000-000054040000}"/>
    <cellStyle name="Normal 3 3 3 8 2 2" xfId="1902" xr:uid="{00000000-0005-0000-0000-000055040000}"/>
    <cellStyle name="Normal 3 3 3 8 3" xfId="1406" xr:uid="{00000000-0005-0000-0000-000056040000}"/>
    <cellStyle name="Normal 3 3 3 9" xfId="652" xr:uid="{00000000-0005-0000-0000-000057040000}"/>
    <cellStyle name="Normal 3 3 3 9 2" xfId="1654" xr:uid="{00000000-0005-0000-0000-000058040000}"/>
    <cellStyle name="Normal 3 3 4" xfId="175" xr:uid="{00000000-0005-0000-0000-000059040000}"/>
    <cellStyle name="Normal 3 3 4 2" xfId="237" xr:uid="{00000000-0005-0000-0000-00005A040000}"/>
    <cellStyle name="Normal 3 3 4 2 2" xfId="484" xr:uid="{00000000-0005-0000-0000-00005B040000}"/>
    <cellStyle name="Normal 3 3 4 2 2 2" xfId="982" xr:uid="{00000000-0005-0000-0000-00005C040000}"/>
    <cellStyle name="Normal 3 3 4 2 2 2 2" xfId="1984" xr:uid="{00000000-0005-0000-0000-00005D040000}"/>
    <cellStyle name="Normal 3 3 4 2 2 3" xfId="1488" xr:uid="{00000000-0005-0000-0000-00005E040000}"/>
    <cellStyle name="Normal 3 3 4 2 3" xfId="734" xr:uid="{00000000-0005-0000-0000-00005F040000}"/>
    <cellStyle name="Normal 3 3 4 2 3 2" xfId="1736" xr:uid="{00000000-0005-0000-0000-000060040000}"/>
    <cellStyle name="Normal 3 3 4 2 4" xfId="1240" xr:uid="{00000000-0005-0000-0000-000061040000}"/>
    <cellStyle name="Normal 3 3 4 3" xfId="283" xr:uid="{00000000-0005-0000-0000-000062040000}"/>
    <cellStyle name="Normal 3 3 4 3 2" xfId="530" xr:uid="{00000000-0005-0000-0000-000063040000}"/>
    <cellStyle name="Normal 3 3 4 3 2 2" xfId="1028" xr:uid="{00000000-0005-0000-0000-000064040000}"/>
    <cellStyle name="Normal 3 3 4 3 2 2 2" xfId="2030" xr:uid="{00000000-0005-0000-0000-000065040000}"/>
    <cellStyle name="Normal 3 3 4 3 2 3" xfId="1534" xr:uid="{00000000-0005-0000-0000-000066040000}"/>
    <cellStyle name="Normal 3 3 4 3 3" xfId="780" xr:uid="{00000000-0005-0000-0000-000067040000}"/>
    <cellStyle name="Normal 3 3 4 3 3 2" xfId="1782" xr:uid="{00000000-0005-0000-0000-000068040000}"/>
    <cellStyle name="Normal 3 3 4 3 4" xfId="1286" xr:uid="{00000000-0005-0000-0000-000069040000}"/>
    <cellStyle name="Normal 3 3 4 4" xfId="369" xr:uid="{00000000-0005-0000-0000-00006A040000}"/>
    <cellStyle name="Normal 3 3 4 4 2" xfId="617" xr:uid="{00000000-0005-0000-0000-00006B040000}"/>
    <cellStyle name="Normal 3 3 4 4 2 2" xfId="1115" xr:uid="{00000000-0005-0000-0000-00006C040000}"/>
    <cellStyle name="Normal 3 3 4 4 2 2 2" xfId="2117" xr:uid="{00000000-0005-0000-0000-00006D040000}"/>
    <cellStyle name="Normal 3 3 4 4 2 3" xfId="1621" xr:uid="{00000000-0005-0000-0000-00006E040000}"/>
    <cellStyle name="Normal 3 3 4 4 3" xfId="867" xr:uid="{00000000-0005-0000-0000-00006F040000}"/>
    <cellStyle name="Normal 3 3 4 4 3 2" xfId="1869" xr:uid="{00000000-0005-0000-0000-000070040000}"/>
    <cellStyle name="Normal 3 3 4 4 4" xfId="1373" xr:uid="{00000000-0005-0000-0000-000071040000}"/>
    <cellStyle name="Normal 3 3 4 5" xfId="415" xr:uid="{00000000-0005-0000-0000-000072040000}"/>
    <cellStyle name="Normal 3 3 4 5 2" xfId="914" xr:uid="{00000000-0005-0000-0000-000073040000}"/>
    <cellStyle name="Normal 3 3 4 5 2 2" xfId="1916" xr:uid="{00000000-0005-0000-0000-000074040000}"/>
    <cellStyle name="Normal 3 3 4 5 3" xfId="1420" xr:uid="{00000000-0005-0000-0000-000075040000}"/>
    <cellStyle name="Normal 3 3 4 6" xfId="666" xr:uid="{00000000-0005-0000-0000-000076040000}"/>
    <cellStyle name="Normal 3 3 4 6 2" xfId="1668" xr:uid="{00000000-0005-0000-0000-000077040000}"/>
    <cellStyle name="Normal 3 3 4 7" xfId="1172" xr:uid="{00000000-0005-0000-0000-000078040000}"/>
    <cellStyle name="Normal 3 3 5" xfId="193" xr:uid="{00000000-0005-0000-0000-000079040000}"/>
    <cellStyle name="Normal 3 3 5 2" xfId="305" xr:uid="{00000000-0005-0000-0000-00007A040000}"/>
    <cellStyle name="Normal 3 3 5 2 2" xfId="552" xr:uid="{00000000-0005-0000-0000-00007B040000}"/>
    <cellStyle name="Normal 3 3 5 2 2 2" xfId="1050" xr:uid="{00000000-0005-0000-0000-00007C040000}"/>
    <cellStyle name="Normal 3 3 5 2 2 2 2" xfId="2052" xr:uid="{00000000-0005-0000-0000-00007D040000}"/>
    <cellStyle name="Normal 3 3 5 2 2 3" xfId="1556" xr:uid="{00000000-0005-0000-0000-00007E040000}"/>
    <cellStyle name="Normal 3 3 5 2 3" xfId="802" xr:uid="{00000000-0005-0000-0000-00007F040000}"/>
    <cellStyle name="Normal 3 3 5 2 3 2" xfId="1804" xr:uid="{00000000-0005-0000-0000-000080040000}"/>
    <cellStyle name="Normal 3 3 5 2 4" xfId="1308" xr:uid="{00000000-0005-0000-0000-000081040000}"/>
    <cellStyle name="Normal 3 3 5 3" xfId="437" xr:uid="{00000000-0005-0000-0000-000082040000}"/>
    <cellStyle name="Normal 3 3 5 3 2" xfId="936" xr:uid="{00000000-0005-0000-0000-000083040000}"/>
    <cellStyle name="Normal 3 3 5 3 2 2" xfId="1938" xr:uid="{00000000-0005-0000-0000-000084040000}"/>
    <cellStyle name="Normal 3 3 5 3 3" xfId="1442" xr:uid="{00000000-0005-0000-0000-000085040000}"/>
    <cellStyle name="Normal 3 3 5 4" xfId="688" xr:uid="{00000000-0005-0000-0000-000086040000}"/>
    <cellStyle name="Normal 3 3 5 4 2" xfId="1690" xr:uid="{00000000-0005-0000-0000-000087040000}"/>
    <cellStyle name="Normal 3 3 5 5" xfId="1194" xr:uid="{00000000-0005-0000-0000-000088040000}"/>
    <cellStyle name="Normal 3 3 6" xfId="214" xr:uid="{00000000-0005-0000-0000-000089040000}"/>
    <cellStyle name="Normal 3 3 6 2" xfId="460" xr:uid="{00000000-0005-0000-0000-00008A040000}"/>
    <cellStyle name="Normal 3 3 6 2 2" xfId="958" xr:uid="{00000000-0005-0000-0000-00008B040000}"/>
    <cellStyle name="Normal 3 3 6 2 2 2" xfId="1960" xr:uid="{00000000-0005-0000-0000-00008C040000}"/>
    <cellStyle name="Normal 3 3 6 2 3" xfId="1464" xr:uid="{00000000-0005-0000-0000-00008D040000}"/>
    <cellStyle name="Normal 3 3 6 3" xfId="710" xr:uid="{00000000-0005-0000-0000-00008E040000}"/>
    <cellStyle name="Normal 3 3 6 3 2" xfId="1712" xr:uid="{00000000-0005-0000-0000-00008F040000}"/>
    <cellStyle name="Normal 3 3 6 4" xfId="1216" xr:uid="{00000000-0005-0000-0000-000090040000}"/>
    <cellStyle name="Normal 3 3 7" xfId="259" xr:uid="{00000000-0005-0000-0000-000091040000}"/>
    <cellStyle name="Normal 3 3 7 2" xfId="506" xr:uid="{00000000-0005-0000-0000-000092040000}"/>
    <cellStyle name="Normal 3 3 7 2 2" xfId="1004" xr:uid="{00000000-0005-0000-0000-000093040000}"/>
    <cellStyle name="Normal 3 3 7 2 2 2" xfId="2006" xr:uid="{00000000-0005-0000-0000-000094040000}"/>
    <cellStyle name="Normal 3 3 7 2 3" xfId="1510" xr:uid="{00000000-0005-0000-0000-000095040000}"/>
    <cellStyle name="Normal 3 3 7 3" xfId="756" xr:uid="{00000000-0005-0000-0000-000096040000}"/>
    <cellStyle name="Normal 3 3 7 3 2" xfId="1758" xr:uid="{00000000-0005-0000-0000-000097040000}"/>
    <cellStyle name="Normal 3 3 7 4" xfId="1262" xr:uid="{00000000-0005-0000-0000-000098040000}"/>
    <cellStyle name="Normal 3 3 8" xfId="325" xr:uid="{00000000-0005-0000-0000-000099040000}"/>
    <cellStyle name="Normal 3 3 8 2" xfId="572" xr:uid="{00000000-0005-0000-0000-00009A040000}"/>
    <cellStyle name="Normal 3 3 8 2 2" xfId="1070" xr:uid="{00000000-0005-0000-0000-00009B040000}"/>
    <cellStyle name="Normal 3 3 8 2 2 2" xfId="2072" xr:uid="{00000000-0005-0000-0000-00009C040000}"/>
    <cellStyle name="Normal 3 3 8 2 3" xfId="1576" xr:uid="{00000000-0005-0000-0000-00009D040000}"/>
    <cellStyle name="Normal 3 3 8 3" xfId="822" xr:uid="{00000000-0005-0000-0000-00009E040000}"/>
    <cellStyle name="Normal 3 3 8 3 2" xfId="1824" xr:uid="{00000000-0005-0000-0000-00009F040000}"/>
    <cellStyle name="Normal 3 3 8 4" xfId="1328" xr:uid="{00000000-0005-0000-0000-0000A0040000}"/>
    <cellStyle name="Normal 3 3 9" xfId="345" xr:uid="{00000000-0005-0000-0000-0000A1040000}"/>
    <cellStyle name="Normal 3 3 9 2" xfId="593" xr:uid="{00000000-0005-0000-0000-0000A2040000}"/>
    <cellStyle name="Normal 3 3 9 2 2" xfId="1091" xr:uid="{00000000-0005-0000-0000-0000A3040000}"/>
    <cellStyle name="Normal 3 3 9 2 2 2" xfId="2093" xr:uid="{00000000-0005-0000-0000-0000A4040000}"/>
    <cellStyle name="Normal 3 3 9 2 3" xfId="1597" xr:uid="{00000000-0005-0000-0000-0000A5040000}"/>
    <cellStyle name="Normal 3 3 9 3" xfId="843" xr:uid="{00000000-0005-0000-0000-0000A6040000}"/>
    <cellStyle name="Normal 3 3 9 3 2" xfId="1845" xr:uid="{00000000-0005-0000-0000-0000A7040000}"/>
    <cellStyle name="Normal 3 3 9 4" xfId="1349" xr:uid="{00000000-0005-0000-0000-0000A8040000}"/>
    <cellStyle name="Normal 3 4" xfId="157" xr:uid="{00000000-0005-0000-0000-0000A9040000}"/>
    <cellStyle name="Normal 3 4 10" xfId="644" xr:uid="{00000000-0005-0000-0000-0000AA040000}"/>
    <cellStyle name="Normal 3 4 10 2" xfId="1646" xr:uid="{00000000-0005-0000-0000-0000AB040000}"/>
    <cellStyle name="Normal 3 4 11" xfId="1150" xr:uid="{00000000-0005-0000-0000-0000AC040000}"/>
    <cellStyle name="Normal 3 4 2" xfId="168" xr:uid="{00000000-0005-0000-0000-0000AD040000}"/>
    <cellStyle name="Normal 3 4 2 10" xfId="1160" xr:uid="{00000000-0005-0000-0000-0000AE040000}"/>
    <cellStyle name="Normal 3 4 2 2" xfId="186" xr:uid="{00000000-0005-0000-0000-0000AF040000}"/>
    <cellStyle name="Normal 3 4 2 2 2" xfId="249" xr:uid="{00000000-0005-0000-0000-0000B0040000}"/>
    <cellStyle name="Normal 3 4 2 2 2 2" xfId="496" xr:uid="{00000000-0005-0000-0000-0000B1040000}"/>
    <cellStyle name="Normal 3 4 2 2 2 2 2" xfId="994" xr:uid="{00000000-0005-0000-0000-0000B2040000}"/>
    <cellStyle name="Normal 3 4 2 2 2 2 2 2" xfId="1996" xr:uid="{00000000-0005-0000-0000-0000B3040000}"/>
    <cellStyle name="Normal 3 4 2 2 2 2 3" xfId="1500" xr:uid="{00000000-0005-0000-0000-0000B4040000}"/>
    <cellStyle name="Normal 3 4 2 2 2 3" xfId="746" xr:uid="{00000000-0005-0000-0000-0000B5040000}"/>
    <cellStyle name="Normal 3 4 2 2 2 3 2" xfId="1748" xr:uid="{00000000-0005-0000-0000-0000B6040000}"/>
    <cellStyle name="Normal 3 4 2 2 2 4" xfId="1252" xr:uid="{00000000-0005-0000-0000-0000B7040000}"/>
    <cellStyle name="Normal 3 4 2 2 3" xfId="295" xr:uid="{00000000-0005-0000-0000-0000B8040000}"/>
    <cellStyle name="Normal 3 4 2 2 3 2" xfId="542" xr:uid="{00000000-0005-0000-0000-0000B9040000}"/>
    <cellStyle name="Normal 3 4 2 2 3 2 2" xfId="1040" xr:uid="{00000000-0005-0000-0000-0000BA040000}"/>
    <cellStyle name="Normal 3 4 2 2 3 2 2 2" xfId="2042" xr:uid="{00000000-0005-0000-0000-0000BB040000}"/>
    <cellStyle name="Normal 3 4 2 2 3 2 3" xfId="1546" xr:uid="{00000000-0005-0000-0000-0000BC040000}"/>
    <cellStyle name="Normal 3 4 2 2 3 3" xfId="792" xr:uid="{00000000-0005-0000-0000-0000BD040000}"/>
    <cellStyle name="Normal 3 4 2 2 3 3 2" xfId="1794" xr:uid="{00000000-0005-0000-0000-0000BE040000}"/>
    <cellStyle name="Normal 3 4 2 2 3 4" xfId="1298" xr:uid="{00000000-0005-0000-0000-0000BF040000}"/>
    <cellStyle name="Normal 3 4 2 2 4" xfId="381" xr:uid="{00000000-0005-0000-0000-0000C0040000}"/>
    <cellStyle name="Normal 3 4 2 2 4 2" xfId="629" xr:uid="{00000000-0005-0000-0000-0000C1040000}"/>
    <cellStyle name="Normal 3 4 2 2 4 2 2" xfId="1127" xr:uid="{00000000-0005-0000-0000-0000C2040000}"/>
    <cellStyle name="Normal 3 4 2 2 4 2 2 2" xfId="2129" xr:uid="{00000000-0005-0000-0000-0000C3040000}"/>
    <cellStyle name="Normal 3 4 2 2 4 2 3" xfId="1633" xr:uid="{00000000-0005-0000-0000-0000C4040000}"/>
    <cellStyle name="Normal 3 4 2 2 4 3" xfId="879" xr:uid="{00000000-0005-0000-0000-0000C5040000}"/>
    <cellStyle name="Normal 3 4 2 2 4 3 2" xfId="1881" xr:uid="{00000000-0005-0000-0000-0000C6040000}"/>
    <cellStyle name="Normal 3 4 2 2 4 4" xfId="1385" xr:uid="{00000000-0005-0000-0000-0000C7040000}"/>
    <cellStyle name="Normal 3 4 2 2 5" xfId="427" xr:uid="{00000000-0005-0000-0000-0000C8040000}"/>
    <cellStyle name="Normal 3 4 2 2 5 2" xfId="926" xr:uid="{00000000-0005-0000-0000-0000C9040000}"/>
    <cellStyle name="Normal 3 4 2 2 5 2 2" xfId="1928" xr:uid="{00000000-0005-0000-0000-0000CA040000}"/>
    <cellStyle name="Normal 3 4 2 2 5 3" xfId="1432" xr:uid="{00000000-0005-0000-0000-0000CB040000}"/>
    <cellStyle name="Normal 3 4 2 2 6" xfId="678" xr:uid="{00000000-0005-0000-0000-0000CC040000}"/>
    <cellStyle name="Normal 3 4 2 2 6 2" xfId="1680" xr:uid="{00000000-0005-0000-0000-0000CD040000}"/>
    <cellStyle name="Normal 3 4 2 2 7" xfId="1184" xr:uid="{00000000-0005-0000-0000-0000CE040000}"/>
    <cellStyle name="Normal 3 4 2 3" xfId="205" xr:uid="{00000000-0005-0000-0000-0000CF040000}"/>
    <cellStyle name="Normal 3 4 2 3 2" xfId="317" xr:uid="{00000000-0005-0000-0000-0000D0040000}"/>
    <cellStyle name="Normal 3 4 2 3 2 2" xfId="564" xr:uid="{00000000-0005-0000-0000-0000D1040000}"/>
    <cellStyle name="Normal 3 4 2 3 2 2 2" xfId="1062" xr:uid="{00000000-0005-0000-0000-0000D2040000}"/>
    <cellStyle name="Normal 3 4 2 3 2 2 2 2" xfId="2064" xr:uid="{00000000-0005-0000-0000-0000D3040000}"/>
    <cellStyle name="Normal 3 4 2 3 2 2 3" xfId="1568" xr:uid="{00000000-0005-0000-0000-0000D4040000}"/>
    <cellStyle name="Normal 3 4 2 3 2 3" xfId="814" xr:uid="{00000000-0005-0000-0000-0000D5040000}"/>
    <cellStyle name="Normal 3 4 2 3 2 3 2" xfId="1816" xr:uid="{00000000-0005-0000-0000-0000D6040000}"/>
    <cellStyle name="Normal 3 4 2 3 2 4" xfId="1320" xr:uid="{00000000-0005-0000-0000-0000D7040000}"/>
    <cellStyle name="Normal 3 4 2 3 3" xfId="449" xr:uid="{00000000-0005-0000-0000-0000D8040000}"/>
    <cellStyle name="Normal 3 4 2 3 3 2" xfId="948" xr:uid="{00000000-0005-0000-0000-0000D9040000}"/>
    <cellStyle name="Normal 3 4 2 3 3 2 2" xfId="1950" xr:uid="{00000000-0005-0000-0000-0000DA040000}"/>
    <cellStyle name="Normal 3 4 2 3 3 3" xfId="1454" xr:uid="{00000000-0005-0000-0000-0000DB040000}"/>
    <cellStyle name="Normal 3 4 2 3 4" xfId="700" xr:uid="{00000000-0005-0000-0000-0000DC040000}"/>
    <cellStyle name="Normal 3 4 2 3 4 2" xfId="1702" xr:uid="{00000000-0005-0000-0000-0000DD040000}"/>
    <cellStyle name="Normal 3 4 2 3 5" xfId="1206" xr:uid="{00000000-0005-0000-0000-0000DE040000}"/>
    <cellStyle name="Normal 3 4 2 4" xfId="226" xr:uid="{00000000-0005-0000-0000-0000DF040000}"/>
    <cellStyle name="Normal 3 4 2 4 2" xfId="472" xr:uid="{00000000-0005-0000-0000-0000E0040000}"/>
    <cellStyle name="Normal 3 4 2 4 2 2" xfId="970" xr:uid="{00000000-0005-0000-0000-0000E1040000}"/>
    <cellStyle name="Normal 3 4 2 4 2 2 2" xfId="1972" xr:uid="{00000000-0005-0000-0000-0000E2040000}"/>
    <cellStyle name="Normal 3 4 2 4 2 3" xfId="1476" xr:uid="{00000000-0005-0000-0000-0000E3040000}"/>
    <cellStyle name="Normal 3 4 2 4 3" xfId="722" xr:uid="{00000000-0005-0000-0000-0000E4040000}"/>
    <cellStyle name="Normal 3 4 2 4 3 2" xfId="1724" xr:uid="{00000000-0005-0000-0000-0000E5040000}"/>
    <cellStyle name="Normal 3 4 2 4 4" xfId="1228" xr:uid="{00000000-0005-0000-0000-0000E6040000}"/>
    <cellStyle name="Normal 3 4 2 5" xfId="271" xr:uid="{00000000-0005-0000-0000-0000E7040000}"/>
    <cellStyle name="Normal 3 4 2 5 2" xfId="518" xr:uid="{00000000-0005-0000-0000-0000E8040000}"/>
    <cellStyle name="Normal 3 4 2 5 2 2" xfId="1016" xr:uid="{00000000-0005-0000-0000-0000E9040000}"/>
    <cellStyle name="Normal 3 4 2 5 2 2 2" xfId="2018" xr:uid="{00000000-0005-0000-0000-0000EA040000}"/>
    <cellStyle name="Normal 3 4 2 5 2 3" xfId="1522" xr:uid="{00000000-0005-0000-0000-0000EB040000}"/>
    <cellStyle name="Normal 3 4 2 5 3" xfId="768" xr:uid="{00000000-0005-0000-0000-0000EC040000}"/>
    <cellStyle name="Normal 3 4 2 5 3 2" xfId="1770" xr:uid="{00000000-0005-0000-0000-0000ED040000}"/>
    <cellStyle name="Normal 3 4 2 5 4" xfId="1274" xr:uid="{00000000-0005-0000-0000-0000EE040000}"/>
    <cellStyle name="Normal 3 4 2 6" xfId="337" xr:uid="{00000000-0005-0000-0000-0000EF040000}"/>
    <cellStyle name="Normal 3 4 2 6 2" xfId="584" xr:uid="{00000000-0005-0000-0000-0000F0040000}"/>
    <cellStyle name="Normal 3 4 2 6 2 2" xfId="1082" xr:uid="{00000000-0005-0000-0000-0000F1040000}"/>
    <cellStyle name="Normal 3 4 2 6 2 2 2" xfId="2084" xr:uid="{00000000-0005-0000-0000-0000F2040000}"/>
    <cellStyle name="Normal 3 4 2 6 2 3" xfId="1588" xr:uid="{00000000-0005-0000-0000-0000F3040000}"/>
    <cellStyle name="Normal 3 4 2 6 3" xfId="834" xr:uid="{00000000-0005-0000-0000-0000F4040000}"/>
    <cellStyle name="Normal 3 4 2 6 3 2" xfId="1836" xr:uid="{00000000-0005-0000-0000-0000F5040000}"/>
    <cellStyle name="Normal 3 4 2 6 4" xfId="1340" xr:uid="{00000000-0005-0000-0000-0000F6040000}"/>
    <cellStyle name="Normal 3 4 2 7" xfId="357" xr:uid="{00000000-0005-0000-0000-0000F7040000}"/>
    <cellStyle name="Normal 3 4 2 7 2" xfId="605" xr:uid="{00000000-0005-0000-0000-0000F8040000}"/>
    <cellStyle name="Normal 3 4 2 7 2 2" xfId="1103" xr:uid="{00000000-0005-0000-0000-0000F9040000}"/>
    <cellStyle name="Normal 3 4 2 7 2 2 2" xfId="2105" xr:uid="{00000000-0005-0000-0000-0000FA040000}"/>
    <cellStyle name="Normal 3 4 2 7 2 3" xfId="1609" xr:uid="{00000000-0005-0000-0000-0000FB040000}"/>
    <cellStyle name="Normal 3 4 2 7 3" xfId="855" xr:uid="{00000000-0005-0000-0000-0000FC040000}"/>
    <cellStyle name="Normal 3 4 2 7 3 2" xfId="1857" xr:uid="{00000000-0005-0000-0000-0000FD040000}"/>
    <cellStyle name="Normal 3 4 2 7 4" xfId="1361" xr:uid="{00000000-0005-0000-0000-0000FE040000}"/>
    <cellStyle name="Normal 3 4 2 8" xfId="403" xr:uid="{00000000-0005-0000-0000-0000FF040000}"/>
    <cellStyle name="Normal 3 4 2 8 2" xfId="902" xr:uid="{00000000-0005-0000-0000-000000050000}"/>
    <cellStyle name="Normal 3 4 2 8 2 2" xfId="1904" xr:uid="{00000000-0005-0000-0000-000001050000}"/>
    <cellStyle name="Normal 3 4 2 8 3" xfId="1408" xr:uid="{00000000-0005-0000-0000-000002050000}"/>
    <cellStyle name="Normal 3 4 2 9" xfId="654" xr:uid="{00000000-0005-0000-0000-000003050000}"/>
    <cellStyle name="Normal 3 4 2 9 2" xfId="1656" xr:uid="{00000000-0005-0000-0000-000004050000}"/>
    <cellStyle name="Normal 3 4 3" xfId="177" xr:uid="{00000000-0005-0000-0000-000005050000}"/>
    <cellStyle name="Normal 3 4 3 2" xfId="239" xr:uid="{00000000-0005-0000-0000-000006050000}"/>
    <cellStyle name="Normal 3 4 3 2 2" xfId="486" xr:uid="{00000000-0005-0000-0000-000007050000}"/>
    <cellStyle name="Normal 3 4 3 2 2 2" xfId="984" xr:uid="{00000000-0005-0000-0000-000008050000}"/>
    <cellStyle name="Normal 3 4 3 2 2 2 2" xfId="1986" xr:uid="{00000000-0005-0000-0000-000009050000}"/>
    <cellStyle name="Normal 3 4 3 2 2 3" xfId="1490" xr:uid="{00000000-0005-0000-0000-00000A050000}"/>
    <cellStyle name="Normal 3 4 3 2 3" xfId="736" xr:uid="{00000000-0005-0000-0000-00000B050000}"/>
    <cellStyle name="Normal 3 4 3 2 3 2" xfId="1738" xr:uid="{00000000-0005-0000-0000-00000C050000}"/>
    <cellStyle name="Normal 3 4 3 2 4" xfId="1242" xr:uid="{00000000-0005-0000-0000-00000D050000}"/>
    <cellStyle name="Normal 3 4 3 3" xfId="285" xr:uid="{00000000-0005-0000-0000-00000E050000}"/>
    <cellStyle name="Normal 3 4 3 3 2" xfId="532" xr:uid="{00000000-0005-0000-0000-00000F050000}"/>
    <cellStyle name="Normal 3 4 3 3 2 2" xfId="1030" xr:uid="{00000000-0005-0000-0000-000010050000}"/>
    <cellStyle name="Normal 3 4 3 3 2 2 2" xfId="2032" xr:uid="{00000000-0005-0000-0000-000011050000}"/>
    <cellStyle name="Normal 3 4 3 3 2 3" xfId="1536" xr:uid="{00000000-0005-0000-0000-000012050000}"/>
    <cellStyle name="Normal 3 4 3 3 3" xfId="782" xr:uid="{00000000-0005-0000-0000-000013050000}"/>
    <cellStyle name="Normal 3 4 3 3 3 2" xfId="1784" xr:uid="{00000000-0005-0000-0000-000014050000}"/>
    <cellStyle name="Normal 3 4 3 3 4" xfId="1288" xr:uid="{00000000-0005-0000-0000-000015050000}"/>
    <cellStyle name="Normal 3 4 3 4" xfId="371" xr:uid="{00000000-0005-0000-0000-000016050000}"/>
    <cellStyle name="Normal 3 4 3 4 2" xfId="619" xr:uid="{00000000-0005-0000-0000-000017050000}"/>
    <cellStyle name="Normal 3 4 3 4 2 2" xfId="1117" xr:uid="{00000000-0005-0000-0000-000018050000}"/>
    <cellStyle name="Normal 3 4 3 4 2 2 2" xfId="2119" xr:uid="{00000000-0005-0000-0000-000019050000}"/>
    <cellStyle name="Normal 3 4 3 4 2 3" xfId="1623" xr:uid="{00000000-0005-0000-0000-00001A050000}"/>
    <cellStyle name="Normal 3 4 3 4 3" xfId="869" xr:uid="{00000000-0005-0000-0000-00001B050000}"/>
    <cellStyle name="Normal 3 4 3 4 3 2" xfId="1871" xr:uid="{00000000-0005-0000-0000-00001C050000}"/>
    <cellStyle name="Normal 3 4 3 4 4" xfId="1375" xr:uid="{00000000-0005-0000-0000-00001D050000}"/>
    <cellStyle name="Normal 3 4 3 5" xfId="417" xr:uid="{00000000-0005-0000-0000-00001E050000}"/>
    <cellStyle name="Normal 3 4 3 5 2" xfId="916" xr:uid="{00000000-0005-0000-0000-00001F050000}"/>
    <cellStyle name="Normal 3 4 3 5 2 2" xfId="1918" xr:uid="{00000000-0005-0000-0000-000020050000}"/>
    <cellStyle name="Normal 3 4 3 5 3" xfId="1422" xr:uid="{00000000-0005-0000-0000-000021050000}"/>
    <cellStyle name="Normal 3 4 3 6" xfId="668" xr:uid="{00000000-0005-0000-0000-000022050000}"/>
    <cellStyle name="Normal 3 4 3 6 2" xfId="1670" xr:uid="{00000000-0005-0000-0000-000023050000}"/>
    <cellStyle name="Normal 3 4 3 7" xfId="1174" xr:uid="{00000000-0005-0000-0000-000024050000}"/>
    <cellStyle name="Normal 3 4 4" xfId="195" xr:uid="{00000000-0005-0000-0000-000025050000}"/>
    <cellStyle name="Normal 3 4 4 2" xfId="307" xr:uid="{00000000-0005-0000-0000-000026050000}"/>
    <cellStyle name="Normal 3 4 4 2 2" xfId="554" xr:uid="{00000000-0005-0000-0000-000027050000}"/>
    <cellStyle name="Normal 3 4 4 2 2 2" xfId="1052" xr:uid="{00000000-0005-0000-0000-000028050000}"/>
    <cellStyle name="Normal 3 4 4 2 2 2 2" xfId="2054" xr:uid="{00000000-0005-0000-0000-000029050000}"/>
    <cellStyle name="Normal 3 4 4 2 2 3" xfId="1558" xr:uid="{00000000-0005-0000-0000-00002A050000}"/>
    <cellStyle name="Normal 3 4 4 2 3" xfId="804" xr:uid="{00000000-0005-0000-0000-00002B050000}"/>
    <cellStyle name="Normal 3 4 4 2 3 2" xfId="1806" xr:uid="{00000000-0005-0000-0000-00002C050000}"/>
    <cellStyle name="Normal 3 4 4 2 4" xfId="1310" xr:uid="{00000000-0005-0000-0000-00002D050000}"/>
    <cellStyle name="Normal 3 4 4 3" xfId="439" xr:uid="{00000000-0005-0000-0000-00002E050000}"/>
    <cellStyle name="Normal 3 4 4 3 2" xfId="938" xr:uid="{00000000-0005-0000-0000-00002F050000}"/>
    <cellStyle name="Normal 3 4 4 3 2 2" xfId="1940" xr:uid="{00000000-0005-0000-0000-000030050000}"/>
    <cellStyle name="Normal 3 4 4 3 3" xfId="1444" xr:uid="{00000000-0005-0000-0000-000031050000}"/>
    <cellStyle name="Normal 3 4 4 4" xfId="690" xr:uid="{00000000-0005-0000-0000-000032050000}"/>
    <cellStyle name="Normal 3 4 4 4 2" xfId="1692" xr:uid="{00000000-0005-0000-0000-000033050000}"/>
    <cellStyle name="Normal 3 4 4 5" xfId="1196" xr:uid="{00000000-0005-0000-0000-000034050000}"/>
    <cellStyle name="Normal 3 4 5" xfId="216" xr:uid="{00000000-0005-0000-0000-000035050000}"/>
    <cellStyle name="Normal 3 4 5 2" xfId="462" xr:uid="{00000000-0005-0000-0000-000036050000}"/>
    <cellStyle name="Normal 3 4 5 2 2" xfId="960" xr:uid="{00000000-0005-0000-0000-000037050000}"/>
    <cellStyle name="Normal 3 4 5 2 2 2" xfId="1962" xr:uid="{00000000-0005-0000-0000-000038050000}"/>
    <cellStyle name="Normal 3 4 5 2 3" xfId="1466" xr:uid="{00000000-0005-0000-0000-000039050000}"/>
    <cellStyle name="Normal 3 4 5 3" xfId="712" xr:uid="{00000000-0005-0000-0000-00003A050000}"/>
    <cellStyle name="Normal 3 4 5 3 2" xfId="1714" xr:uid="{00000000-0005-0000-0000-00003B050000}"/>
    <cellStyle name="Normal 3 4 5 4" xfId="1218" xr:uid="{00000000-0005-0000-0000-00003C050000}"/>
    <cellStyle name="Normal 3 4 6" xfId="261" xr:uid="{00000000-0005-0000-0000-00003D050000}"/>
    <cellStyle name="Normal 3 4 6 2" xfId="508" xr:uid="{00000000-0005-0000-0000-00003E050000}"/>
    <cellStyle name="Normal 3 4 6 2 2" xfId="1006" xr:uid="{00000000-0005-0000-0000-00003F050000}"/>
    <cellStyle name="Normal 3 4 6 2 2 2" xfId="2008" xr:uid="{00000000-0005-0000-0000-000040050000}"/>
    <cellStyle name="Normal 3 4 6 2 3" xfId="1512" xr:uid="{00000000-0005-0000-0000-000041050000}"/>
    <cellStyle name="Normal 3 4 6 3" xfId="758" xr:uid="{00000000-0005-0000-0000-000042050000}"/>
    <cellStyle name="Normal 3 4 6 3 2" xfId="1760" xr:uid="{00000000-0005-0000-0000-000043050000}"/>
    <cellStyle name="Normal 3 4 6 4" xfId="1264" xr:uid="{00000000-0005-0000-0000-000044050000}"/>
    <cellStyle name="Normal 3 4 7" xfId="327" xr:uid="{00000000-0005-0000-0000-000045050000}"/>
    <cellStyle name="Normal 3 4 7 2" xfId="574" xr:uid="{00000000-0005-0000-0000-000046050000}"/>
    <cellStyle name="Normal 3 4 7 2 2" xfId="1072" xr:uid="{00000000-0005-0000-0000-000047050000}"/>
    <cellStyle name="Normal 3 4 7 2 2 2" xfId="2074" xr:uid="{00000000-0005-0000-0000-000048050000}"/>
    <cellStyle name="Normal 3 4 7 2 3" xfId="1578" xr:uid="{00000000-0005-0000-0000-000049050000}"/>
    <cellStyle name="Normal 3 4 7 3" xfId="824" xr:uid="{00000000-0005-0000-0000-00004A050000}"/>
    <cellStyle name="Normal 3 4 7 3 2" xfId="1826" xr:uid="{00000000-0005-0000-0000-00004B050000}"/>
    <cellStyle name="Normal 3 4 7 4" xfId="1330" xr:uid="{00000000-0005-0000-0000-00004C050000}"/>
    <cellStyle name="Normal 3 4 8" xfId="347" xr:uid="{00000000-0005-0000-0000-00004D050000}"/>
    <cellStyle name="Normal 3 4 8 2" xfId="595" xr:uid="{00000000-0005-0000-0000-00004E050000}"/>
    <cellStyle name="Normal 3 4 8 2 2" xfId="1093" xr:uid="{00000000-0005-0000-0000-00004F050000}"/>
    <cellStyle name="Normal 3 4 8 2 2 2" xfId="2095" xr:uid="{00000000-0005-0000-0000-000050050000}"/>
    <cellStyle name="Normal 3 4 8 2 3" xfId="1599" xr:uid="{00000000-0005-0000-0000-000051050000}"/>
    <cellStyle name="Normal 3 4 8 3" xfId="845" xr:uid="{00000000-0005-0000-0000-000052050000}"/>
    <cellStyle name="Normal 3 4 8 3 2" xfId="1847" xr:uid="{00000000-0005-0000-0000-000053050000}"/>
    <cellStyle name="Normal 3 4 8 4" xfId="1351" xr:uid="{00000000-0005-0000-0000-000054050000}"/>
    <cellStyle name="Normal 3 4 9" xfId="393" xr:uid="{00000000-0005-0000-0000-000055050000}"/>
    <cellStyle name="Normal 3 4 9 2" xfId="892" xr:uid="{00000000-0005-0000-0000-000056050000}"/>
    <cellStyle name="Normal 3 4 9 2 2" xfId="1894" xr:uid="{00000000-0005-0000-0000-000057050000}"/>
    <cellStyle name="Normal 3 4 9 3" xfId="1398" xr:uid="{00000000-0005-0000-0000-000058050000}"/>
    <cellStyle name="Normal 3 5" xfId="164" xr:uid="{00000000-0005-0000-0000-000059050000}"/>
    <cellStyle name="Normal 3 5 10" xfId="1156" xr:uid="{00000000-0005-0000-0000-00005A050000}"/>
    <cellStyle name="Normal 3 5 2" xfId="182" xr:uid="{00000000-0005-0000-0000-00005B050000}"/>
    <cellStyle name="Normal 3 5 2 2" xfId="245" xr:uid="{00000000-0005-0000-0000-00005C050000}"/>
    <cellStyle name="Normal 3 5 2 2 2" xfId="492" xr:uid="{00000000-0005-0000-0000-00005D050000}"/>
    <cellStyle name="Normal 3 5 2 2 2 2" xfId="990" xr:uid="{00000000-0005-0000-0000-00005E050000}"/>
    <cellStyle name="Normal 3 5 2 2 2 2 2" xfId="1992" xr:uid="{00000000-0005-0000-0000-00005F050000}"/>
    <cellStyle name="Normal 3 5 2 2 2 3" xfId="1496" xr:uid="{00000000-0005-0000-0000-000060050000}"/>
    <cellStyle name="Normal 3 5 2 2 3" xfId="742" xr:uid="{00000000-0005-0000-0000-000061050000}"/>
    <cellStyle name="Normal 3 5 2 2 3 2" xfId="1744" xr:uid="{00000000-0005-0000-0000-000062050000}"/>
    <cellStyle name="Normal 3 5 2 2 4" xfId="1248" xr:uid="{00000000-0005-0000-0000-000063050000}"/>
    <cellStyle name="Normal 3 5 2 3" xfId="291" xr:uid="{00000000-0005-0000-0000-000064050000}"/>
    <cellStyle name="Normal 3 5 2 3 2" xfId="538" xr:uid="{00000000-0005-0000-0000-000065050000}"/>
    <cellStyle name="Normal 3 5 2 3 2 2" xfId="1036" xr:uid="{00000000-0005-0000-0000-000066050000}"/>
    <cellStyle name="Normal 3 5 2 3 2 2 2" xfId="2038" xr:uid="{00000000-0005-0000-0000-000067050000}"/>
    <cellStyle name="Normal 3 5 2 3 2 3" xfId="1542" xr:uid="{00000000-0005-0000-0000-000068050000}"/>
    <cellStyle name="Normal 3 5 2 3 3" xfId="788" xr:uid="{00000000-0005-0000-0000-000069050000}"/>
    <cellStyle name="Normal 3 5 2 3 3 2" xfId="1790" xr:uid="{00000000-0005-0000-0000-00006A050000}"/>
    <cellStyle name="Normal 3 5 2 3 4" xfId="1294" xr:uid="{00000000-0005-0000-0000-00006B050000}"/>
    <cellStyle name="Normal 3 5 2 4" xfId="377" xr:uid="{00000000-0005-0000-0000-00006C050000}"/>
    <cellStyle name="Normal 3 5 2 4 2" xfId="625" xr:uid="{00000000-0005-0000-0000-00006D050000}"/>
    <cellStyle name="Normal 3 5 2 4 2 2" xfId="1123" xr:uid="{00000000-0005-0000-0000-00006E050000}"/>
    <cellStyle name="Normal 3 5 2 4 2 2 2" xfId="2125" xr:uid="{00000000-0005-0000-0000-00006F050000}"/>
    <cellStyle name="Normal 3 5 2 4 2 3" xfId="1629" xr:uid="{00000000-0005-0000-0000-000070050000}"/>
    <cellStyle name="Normal 3 5 2 4 3" xfId="875" xr:uid="{00000000-0005-0000-0000-000071050000}"/>
    <cellStyle name="Normal 3 5 2 4 3 2" xfId="1877" xr:uid="{00000000-0005-0000-0000-000072050000}"/>
    <cellStyle name="Normal 3 5 2 4 4" xfId="1381" xr:uid="{00000000-0005-0000-0000-000073050000}"/>
    <cellStyle name="Normal 3 5 2 5" xfId="423" xr:uid="{00000000-0005-0000-0000-000074050000}"/>
    <cellStyle name="Normal 3 5 2 5 2" xfId="922" xr:uid="{00000000-0005-0000-0000-000075050000}"/>
    <cellStyle name="Normal 3 5 2 5 2 2" xfId="1924" xr:uid="{00000000-0005-0000-0000-000076050000}"/>
    <cellStyle name="Normal 3 5 2 5 3" xfId="1428" xr:uid="{00000000-0005-0000-0000-000077050000}"/>
    <cellStyle name="Normal 3 5 2 6" xfId="674" xr:uid="{00000000-0005-0000-0000-000078050000}"/>
    <cellStyle name="Normal 3 5 2 6 2" xfId="1676" xr:uid="{00000000-0005-0000-0000-000079050000}"/>
    <cellStyle name="Normal 3 5 2 7" xfId="1180" xr:uid="{00000000-0005-0000-0000-00007A050000}"/>
    <cellStyle name="Normal 3 5 3" xfId="201" xr:uid="{00000000-0005-0000-0000-00007B050000}"/>
    <cellStyle name="Normal 3 5 3 2" xfId="313" xr:uid="{00000000-0005-0000-0000-00007C050000}"/>
    <cellStyle name="Normal 3 5 3 2 2" xfId="560" xr:uid="{00000000-0005-0000-0000-00007D050000}"/>
    <cellStyle name="Normal 3 5 3 2 2 2" xfId="1058" xr:uid="{00000000-0005-0000-0000-00007E050000}"/>
    <cellStyle name="Normal 3 5 3 2 2 2 2" xfId="2060" xr:uid="{00000000-0005-0000-0000-00007F050000}"/>
    <cellStyle name="Normal 3 5 3 2 2 3" xfId="1564" xr:uid="{00000000-0005-0000-0000-000080050000}"/>
    <cellStyle name="Normal 3 5 3 2 3" xfId="810" xr:uid="{00000000-0005-0000-0000-000081050000}"/>
    <cellStyle name="Normal 3 5 3 2 3 2" xfId="1812" xr:uid="{00000000-0005-0000-0000-000082050000}"/>
    <cellStyle name="Normal 3 5 3 2 4" xfId="1316" xr:uid="{00000000-0005-0000-0000-000083050000}"/>
    <cellStyle name="Normal 3 5 3 3" xfId="445" xr:uid="{00000000-0005-0000-0000-000084050000}"/>
    <cellStyle name="Normal 3 5 3 3 2" xfId="944" xr:uid="{00000000-0005-0000-0000-000085050000}"/>
    <cellStyle name="Normal 3 5 3 3 2 2" xfId="1946" xr:uid="{00000000-0005-0000-0000-000086050000}"/>
    <cellStyle name="Normal 3 5 3 3 3" xfId="1450" xr:uid="{00000000-0005-0000-0000-000087050000}"/>
    <cellStyle name="Normal 3 5 3 4" xfId="696" xr:uid="{00000000-0005-0000-0000-000088050000}"/>
    <cellStyle name="Normal 3 5 3 4 2" xfId="1698" xr:uid="{00000000-0005-0000-0000-000089050000}"/>
    <cellStyle name="Normal 3 5 3 5" xfId="1202" xr:uid="{00000000-0005-0000-0000-00008A050000}"/>
    <cellStyle name="Normal 3 5 4" xfId="222" xr:uid="{00000000-0005-0000-0000-00008B050000}"/>
    <cellStyle name="Normal 3 5 4 2" xfId="468" xr:uid="{00000000-0005-0000-0000-00008C050000}"/>
    <cellStyle name="Normal 3 5 4 2 2" xfId="966" xr:uid="{00000000-0005-0000-0000-00008D050000}"/>
    <cellStyle name="Normal 3 5 4 2 2 2" xfId="1968" xr:uid="{00000000-0005-0000-0000-00008E050000}"/>
    <cellStyle name="Normal 3 5 4 2 3" xfId="1472" xr:uid="{00000000-0005-0000-0000-00008F050000}"/>
    <cellStyle name="Normal 3 5 4 3" xfId="718" xr:uid="{00000000-0005-0000-0000-000090050000}"/>
    <cellStyle name="Normal 3 5 4 3 2" xfId="1720" xr:uid="{00000000-0005-0000-0000-000091050000}"/>
    <cellStyle name="Normal 3 5 4 4" xfId="1224" xr:uid="{00000000-0005-0000-0000-000092050000}"/>
    <cellStyle name="Normal 3 5 5" xfId="267" xr:uid="{00000000-0005-0000-0000-000093050000}"/>
    <cellStyle name="Normal 3 5 5 2" xfId="514" xr:uid="{00000000-0005-0000-0000-000094050000}"/>
    <cellStyle name="Normal 3 5 5 2 2" xfId="1012" xr:uid="{00000000-0005-0000-0000-000095050000}"/>
    <cellStyle name="Normal 3 5 5 2 2 2" xfId="2014" xr:uid="{00000000-0005-0000-0000-000096050000}"/>
    <cellStyle name="Normal 3 5 5 2 3" xfId="1518" xr:uid="{00000000-0005-0000-0000-000097050000}"/>
    <cellStyle name="Normal 3 5 5 3" xfId="764" xr:uid="{00000000-0005-0000-0000-000098050000}"/>
    <cellStyle name="Normal 3 5 5 3 2" xfId="1766" xr:uid="{00000000-0005-0000-0000-000099050000}"/>
    <cellStyle name="Normal 3 5 5 4" xfId="1270" xr:uid="{00000000-0005-0000-0000-00009A050000}"/>
    <cellStyle name="Normal 3 5 6" xfId="333" xr:uid="{00000000-0005-0000-0000-00009B050000}"/>
    <cellStyle name="Normal 3 5 6 2" xfId="580" xr:uid="{00000000-0005-0000-0000-00009C050000}"/>
    <cellStyle name="Normal 3 5 6 2 2" xfId="1078" xr:uid="{00000000-0005-0000-0000-00009D050000}"/>
    <cellStyle name="Normal 3 5 6 2 2 2" xfId="2080" xr:uid="{00000000-0005-0000-0000-00009E050000}"/>
    <cellStyle name="Normal 3 5 6 2 3" xfId="1584" xr:uid="{00000000-0005-0000-0000-00009F050000}"/>
    <cellStyle name="Normal 3 5 6 3" xfId="830" xr:uid="{00000000-0005-0000-0000-0000A0050000}"/>
    <cellStyle name="Normal 3 5 6 3 2" xfId="1832" xr:uid="{00000000-0005-0000-0000-0000A1050000}"/>
    <cellStyle name="Normal 3 5 6 4" xfId="1336" xr:uid="{00000000-0005-0000-0000-0000A2050000}"/>
    <cellStyle name="Normal 3 5 7" xfId="353" xr:uid="{00000000-0005-0000-0000-0000A3050000}"/>
    <cellStyle name="Normal 3 5 7 2" xfId="601" xr:uid="{00000000-0005-0000-0000-0000A4050000}"/>
    <cellStyle name="Normal 3 5 7 2 2" xfId="1099" xr:uid="{00000000-0005-0000-0000-0000A5050000}"/>
    <cellStyle name="Normal 3 5 7 2 2 2" xfId="2101" xr:uid="{00000000-0005-0000-0000-0000A6050000}"/>
    <cellStyle name="Normal 3 5 7 2 3" xfId="1605" xr:uid="{00000000-0005-0000-0000-0000A7050000}"/>
    <cellStyle name="Normal 3 5 7 3" xfId="851" xr:uid="{00000000-0005-0000-0000-0000A8050000}"/>
    <cellStyle name="Normal 3 5 7 3 2" xfId="1853" xr:uid="{00000000-0005-0000-0000-0000A9050000}"/>
    <cellStyle name="Normal 3 5 7 4" xfId="1357" xr:uid="{00000000-0005-0000-0000-0000AA050000}"/>
    <cellStyle name="Normal 3 5 8" xfId="399" xr:uid="{00000000-0005-0000-0000-0000AB050000}"/>
    <cellStyle name="Normal 3 5 8 2" xfId="898" xr:uid="{00000000-0005-0000-0000-0000AC050000}"/>
    <cellStyle name="Normal 3 5 8 2 2" xfId="1900" xr:uid="{00000000-0005-0000-0000-0000AD050000}"/>
    <cellStyle name="Normal 3 5 8 3" xfId="1404" xr:uid="{00000000-0005-0000-0000-0000AE050000}"/>
    <cellStyle name="Normal 3 5 9" xfId="650" xr:uid="{00000000-0005-0000-0000-0000AF050000}"/>
    <cellStyle name="Normal 3 5 9 2" xfId="1652" xr:uid="{00000000-0005-0000-0000-0000B0050000}"/>
    <cellStyle name="Normal 3 6" xfId="173" xr:uid="{00000000-0005-0000-0000-0000B1050000}"/>
    <cellStyle name="Normal 3 6 2" xfId="235" xr:uid="{00000000-0005-0000-0000-0000B2050000}"/>
    <cellStyle name="Normal 3 6 2 2" xfId="482" xr:uid="{00000000-0005-0000-0000-0000B3050000}"/>
    <cellStyle name="Normal 3 6 2 2 2" xfId="980" xr:uid="{00000000-0005-0000-0000-0000B4050000}"/>
    <cellStyle name="Normal 3 6 2 2 2 2" xfId="1982" xr:uid="{00000000-0005-0000-0000-0000B5050000}"/>
    <cellStyle name="Normal 3 6 2 2 3" xfId="1486" xr:uid="{00000000-0005-0000-0000-0000B6050000}"/>
    <cellStyle name="Normal 3 6 2 3" xfId="732" xr:uid="{00000000-0005-0000-0000-0000B7050000}"/>
    <cellStyle name="Normal 3 6 2 3 2" xfId="1734" xr:uid="{00000000-0005-0000-0000-0000B8050000}"/>
    <cellStyle name="Normal 3 6 2 4" xfId="1238" xr:uid="{00000000-0005-0000-0000-0000B9050000}"/>
    <cellStyle name="Normal 3 6 3" xfId="281" xr:uid="{00000000-0005-0000-0000-0000BA050000}"/>
    <cellStyle name="Normal 3 6 3 2" xfId="528" xr:uid="{00000000-0005-0000-0000-0000BB050000}"/>
    <cellStyle name="Normal 3 6 3 2 2" xfId="1026" xr:uid="{00000000-0005-0000-0000-0000BC050000}"/>
    <cellStyle name="Normal 3 6 3 2 2 2" xfId="2028" xr:uid="{00000000-0005-0000-0000-0000BD050000}"/>
    <cellStyle name="Normal 3 6 3 2 3" xfId="1532" xr:uid="{00000000-0005-0000-0000-0000BE050000}"/>
    <cellStyle name="Normal 3 6 3 3" xfId="778" xr:uid="{00000000-0005-0000-0000-0000BF050000}"/>
    <cellStyle name="Normal 3 6 3 3 2" xfId="1780" xr:uid="{00000000-0005-0000-0000-0000C0050000}"/>
    <cellStyle name="Normal 3 6 3 4" xfId="1284" xr:uid="{00000000-0005-0000-0000-0000C1050000}"/>
    <cellStyle name="Normal 3 6 4" xfId="367" xr:uid="{00000000-0005-0000-0000-0000C2050000}"/>
    <cellStyle name="Normal 3 6 4 2" xfId="615" xr:uid="{00000000-0005-0000-0000-0000C3050000}"/>
    <cellStyle name="Normal 3 6 4 2 2" xfId="1113" xr:uid="{00000000-0005-0000-0000-0000C4050000}"/>
    <cellStyle name="Normal 3 6 4 2 2 2" xfId="2115" xr:uid="{00000000-0005-0000-0000-0000C5050000}"/>
    <cellStyle name="Normal 3 6 4 2 3" xfId="1619" xr:uid="{00000000-0005-0000-0000-0000C6050000}"/>
    <cellStyle name="Normal 3 6 4 3" xfId="865" xr:uid="{00000000-0005-0000-0000-0000C7050000}"/>
    <cellStyle name="Normal 3 6 4 3 2" xfId="1867" xr:uid="{00000000-0005-0000-0000-0000C8050000}"/>
    <cellStyle name="Normal 3 6 4 4" xfId="1371" xr:uid="{00000000-0005-0000-0000-0000C9050000}"/>
    <cellStyle name="Normal 3 6 5" xfId="413" xr:uid="{00000000-0005-0000-0000-0000CA050000}"/>
    <cellStyle name="Normal 3 6 5 2" xfId="912" xr:uid="{00000000-0005-0000-0000-0000CB050000}"/>
    <cellStyle name="Normal 3 6 5 2 2" xfId="1914" xr:uid="{00000000-0005-0000-0000-0000CC050000}"/>
    <cellStyle name="Normal 3 6 5 3" xfId="1418" xr:uid="{00000000-0005-0000-0000-0000CD050000}"/>
    <cellStyle name="Normal 3 6 6" xfId="664" xr:uid="{00000000-0005-0000-0000-0000CE050000}"/>
    <cellStyle name="Normal 3 6 6 2" xfId="1666" xr:uid="{00000000-0005-0000-0000-0000CF050000}"/>
    <cellStyle name="Normal 3 6 7" xfId="1170" xr:uid="{00000000-0005-0000-0000-0000D0050000}"/>
    <cellStyle name="Normal 3 7" xfId="191" xr:uid="{00000000-0005-0000-0000-0000D1050000}"/>
    <cellStyle name="Normal 3 7 2" xfId="303" xr:uid="{00000000-0005-0000-0000-0000D2050000}"/>
    <cellStyle name="Normal 3 7 2 2" xfId="550" xr:uid="{00000000-0005-0000-0000-0000D3050000}"/>
    <cellStyle name="Normal 3 7 2 2 2" xfId="1048" xr:uid="{00000000-0005-0000-0000-0000D4050000}"/>
    <cellStyle name="Normal 3 7 2 2 2 2" xfId="2050" xr:uid="{00000000-0005-0000-0000-0000D5050000}"/>
    <cellStyle name="Normal 3 7 2 2 3" xfId="1554" xr:uid="{00000000-0005-0000-0000-0000D6050000}"/>
    <cellStyle name="Normal 3 7 2 3" xfId="800" xr:uid="{00000000-0005-0000-0000-0000D7050000}"/>
    <cellStyle name="Normal 3 7 2 3 2" xfId="1802" xr:uid="{00000000-0005-0000-0000-0000D8050000}"/>
    <cellStyle name="Normal 3 7 2 4" xfId="1306" xr:uid="{00000000-0005-0000-0000-0000D9050000}"/>
    <cellStyle name="Normal 3 7 3" xfId="435" xr:uid="{00000000-0005-0000-0000-0000DA050000}"/>
    <cellStyle name="Normal 3 7 3 2" xfId="934" xr:uid="{00000000-0005-0000-0000-0000DB050000}"/>
    <cellStyle name="Normal 3 7 3 2 2" xfId="1936" xr:uid="{00000000-0005-0000-0000-0000DC050000}"/>
    <cellStyle name="Normal 3 7 3 3" xfId="1440" xr:uid="{00000000-0005-0000-0000-0000DD050000}"/>
    <cellStyle name="Normal 3 7 4" xfId="686" xr:uid="{00000000-0005-0000-0000-0000DE050000}"/>
    <cellStyle name="Normal 3 7 4 2" xfId="1688" xr:uid="{00000000-0005-0000-0000-0000DF050000}"/>
    <cellStyle name="Normal 3 7 5" xfId="1192" xr:uid="{00000000-0005-0000-0000-0000E0050000}"/>
    <cellStyle name="Normal 3 8" xfId="212" xr:uid="{00000000-0005-0000-0000-0000E1050000}"/>
    <cellStyle name="Normal 3 8 2" xfId="458" xr:uid="{00000000-0005-0000-0000-0000E2050000}"/>
    <cellStyle name="Normal 3 8 2 2" xfId="956" xr:uid="{00000000-0005-0000-0000-0000E3050000}"/>
    <cellStyle name="Normal 3 8 2 2 2" xfId="1958" xr:uid="{00000000-0005-0000-0000-0000E4050000}"/>
    <cellStyle name="Normal 3 8 2 3" xfId="1462" xr:uid="{00000000-0005-0000-0000-0000E5050000}"/>
    <cellStyle name="Normal 3 8 3" xfId="708" xr:uid="{00000000-0005-0000-0000-0000E6050000}"/>
    <cellStyle name="Normal 3 8 3 2" xfId="1710" xr:uid="{00000000-0005-0000-0000-0000E7050000}"/>
    <cellStyle name="Normal 3 8 4" xfId="1214" xr:uid="{00000000-0005-0000-0000-0000E8050000}"/>
    <cellStyle name="Normal 3 9" xfId="257" xr:uid="{00000000-0005-0000-0000-0000E9050000}"/>
    <cellStyle name="Normal 3 9 2" xfId="504" xr:uid="{00000000-0005-0000-0000-0000EA050000}"/>
    <cellStyle name="Normal 3 9 2 2" xfId="1002" xr:uid="{00000000-0005-0000-0000-0000EB050000}"/>
    <cellStyle name="Normal 3 9 2 2 2" xfId="2004" xr:uid="{00000000-0005-0000-0000-0000EC050000}"/>
    <cellStyle name="Normal 3 9 2 3" xfId="1508" xr:uid="{00000000-0005-0000-0000-0000ED050000}"/>
    <cellStyle name="Normal 3 9 3" xfId="754" xr:uid="{00000000-0005-0000-0000-0000EE050000}"/>
    <cellStyle name="Normal 3 9 3 2" xfId="1756" xr:uid="{00000000-0005-0000-0000-0000EF050000}"/>
    <cellStyle name="Normal 3 9 4" xfId="1260" xr:uid="{00000000-0005-0000-0000-0000F0050000}"/>
    <cellStyle name="Normal 30" xfId="2298" xr:uid="{00000000-0005-0000-0000-000026090000}"/>
    <cellStyle name="Normal 31" xfId="2308" xr:uid="{00000000-0005-0000-0000-000032090000}"/>
    <cellStyle name="Normal 32" xfId="2311" xr:uid="{00000000-0005-0000-0000-000033090000}"/>
    <cellStyle name="Normal 33" xfId="2317" xr:uid="{00000000-0005-0000-0000-00003A090000}"/>
    <cellStyle name="Normal 34" xfId="2322" xr:uid="{00000000-0005-0000-0000-00003C090000}"/>
    <cellStyle name="Normal 35" xfId="2323" xr:uid="{00000000-0005-0000-0000-00003E090000}"/>
    <cellStyle name="Normal 36" xfId="2320" xr:uid="{00000000-0005-0000-0000-000041090000}"/>
    <cellStyle name="Normal 37" xfId="2321" xr:uid="{00000000-0005-0000-0000-000042090000}"/>
    <cellStyle name="Normal 38" xfId="2330" xr:uid="{00000000-0005-0000-0000-000047090000}"/>
    <cellStyle name="Normal 4" xfId="28" xr:uid="{00000000-0005-0000-0000-000037000000}"/>
    <cellStyle name="Normal 4 10" xfId="161" xr:uid="{00000000-0005-0000-0000-0000F2050000}"/>
    <cellStyle name="Normal 4 10 2" xfId="1154" xr:uid="{00000000-0005-0000-0000-0000F3050000}"/>
    <cellStyle name="Normal 4 11" xfId="648" xr:uid="{00000000-0005-0000-0000-0000F4050000}"/>
    <cellStyle name="Normal 4 11 2" xfId="1650" xr:uid="{00000000-0005-0000-0000-0000F5050000}"/>
    <cellStyle name="Normal 4 12" xfId="1142" xr:uid="{00000000-0005-0000-0000-0000F6050000}"/>
    <cellStyle name="Normal 4 13" xfId="2232" xr:uid="{00000000-0005-0000-0000-000063000000}"/>
    <cellStyle name="Normal 4 2" xfId="29" xr:uid="{00000000-0005-0000-0000-000038000000}"/>
    <cellStyle name="Normal 4 2 10" xfId="1164" xr:uid="{00000000-0005-0000-0000-0000F8050000}"/>
    <cellStyle name="Normal 4 2 11" xfId="2233" xr:uid="{00000000-0005-0000-0000-000064000000}"/>
    <cellStyle name="Normal 4 2 2" xfId="190" xr:uid="{00000000-0005-0000-0000-0000F9050000}"/>
    <cellStyle name="Normal 4 2 2 2" xfId="253" xr:uid="{00000000-0005-0000-0000-0000FA050000}"/>
    <cellStyle name="Normal 4 2 2 2 2" xfId="500" xr:uid="{00000000-0005-0000-0000-0000FB050000}"/>
    <cellStyle name="Normal 4 2 2 2 2 2" xfId="998" xr:uid="{00000000-0005-0000-0000-0000FC050000}"/>
    <cellStyle name="Normal 4 2 2 2 2 2 2" xfId="2000" xr:uid="{00000000-0005-0000-0000-0000FD050000}"/>
    <cellStyle name="Normal 4 2 2 2 2 3" xfId="1504" xr:uid="{00000000-0005-0000-0000-0000FE050000}"/>
    <cellStyle name="Normal 4 2 2 2 3" xfId="750" xr:uid="{00000000-0005-0000-0000-0000FF050000}"/>
    <cellStyle name="Normal 4 2 2 2 3 2" xfId="1752" xr:uid="{00000000-0005-0000-0000-000000060000}"/>
    <cellStyle name="Normal 4 2 2 2 4" xfId="1256" xr:uid="{00000000-0005-0000-0000-000001060000}"/>
    <cellStyle name="Normal 4 2 2 3" xfId="299" xr:uid="{00000000-0005-0000-0000-000002060000}"/>
    <cellStyle name="Normal 4 2 2 3 2" xfId="546" xr:uid="{00000000-0005-0000-0000-000003060000}"/>
    <cellStyle name="Normal 4 2 2 3 2 2" xfId="1044" xr:uid="{00000000-0005-0000-0000-000004060000}"/>
    <cellStyle name="Normal 4 2 2 3 2 2 2" xfId="2046" xr:uid="{00000000-0005-0000-0000-000005060000}"/>
    <cellStyle name="Normal 4 2 2 3 2 3" xfId="1550" xr:uid="{00000000-0005-0000-0000-000006060000}"/>
    <cellStyle name="Normal 4 2 2 3 3" xfId="796" xr:uid="{00000000-0005-0000-0000-000007060000}"/>
    <cellStyle name="Normal 4 2 2 3 3 2" xfId="1798" xr:uid="{00000000-0005-0000-0000-000008060000}"/>
    <cellStyle name="Normal 4 2 2 3 4" xfId="1302" xr:uid="{00000000-0005-0000-0000-000009060000}"/>
    <cellStyle name="Normal 4 2 2 4" xfId="385" xr:uid="{00000000-0005-0000-0000-00000A060000}"/>
    <cellStyle name="Normal 4 2 2 4 2" xfId="633" xr:uid="{00000000-0005-0000-0000-00000B060000}"/>
    <cellStyle name="Normal 4 2 2 4 2 2" xfId="1131" xr:uid="{00000000-0005-0000-0000-00000C060000}"/>
    <cellStyle name="Normal 4 2 2 4 2 2 2" xfId="2133" xr:uid="{00000000-0005-0000-0000-00000D060000}"/>
    <cellStyle name="Normal 4 2 2 4 2 3" xfId="1637" xr:uid="{00000000-0005-0000-0000-00000E060000}"/>
    <cellStyle name="Normal 4 2 2 4 3" xfId="883" xr:uid="{00000000-0005-0000-0000-00000F060000}"/>
    <cellStyle name="Normal 4 2 2 4 3 2" xfId="1885" xr:uid="{00000000-0005-0000-0000-000010060000}"/>
    <cellStyle name="Normal 4 2 2 4 4" xfId="1389" xr:uid="{00000000-0005-0000-0000-000011060000}"/>
    <cellStyle name="Normal 4 2 2 5" xfId="431" xr:uid="{00000000-0005-0000-0000-000012060000}"/>
    <cellStyle name="Normal 4 2 2 5 2" xfId="930" xr:uid="{00000000-0005-0000-0000-000013060000}"/>
    <cellStyle name="Normal 4 2 2 5 2 2" xfId="1932" xr:uid="{00000000-0005-0000-0000-000014060000}"/>
    <cellStyle name="Normal 4 2 2 5 3" xfId="1436" xr:uid="{00000000-0005-0000-0000-000015060000}"/>
    <cellStyle name="Normal 4 2 2 6" xfId="682" xr:uid="{00000000-0005-0000-0000-000016060000}"/>
    <cellStyle name="Normal 4 2 2 6 2" xfId="1684" xr:uid="{00000000-0005-0000-0000-000017060000}"/>
    <cellStyle name="Normal 4 2 2 7" xfId="1188" xr:uid="{00000000-0005-0000-0000-000018060000}"/>
    <cellStyle name="Normal 4 2 3" xfId="209" xr:uid="{00000000-0005-0000-0000-000019060000}"/>
    <cellStyle name="Normal 4 2 3 2" xfId="321" xr:uid="{00000000-0005-0000-0000-00001A060000}"/>
    <cellStyle name="Normal 4 2 3 2 2" xfId="568" xr:uid="{00000000-0005-0000-0000-00001B060000}"/>
    <cellStyle name="Normal 4 2 3 2 2 2" xfId="1066" xr:uid="{00000000-0005-0000-0000-00001C060000}"/>
    <cellStyle name="Normal 4 2 3 2 2 2 2" xfId="2068" xr:uid="{00000000-0005-0000-0000-00001D060000}"/>
    <cellStyle name="Normal 4 2 3 2 2 3" xfId="1572" xr:uid="{00000000-0005-0000-0000-00001E060000}"/>
    <cellStyle name="Normal 4 2 3 2 3" xfId="818" xr:uid="{00000000-0005-0000-0000-00001F060000}"/>
    <cellStyle name="Normal 4 2 3 2 3 2" xfId="1820" xr:uid="{00000000-0005-0000-0000-000020060000}"/>
    <cellStyle name="Normal 4 2 3 2 4" xfId="1324" xr:uid="{00000000-0005-0000-0000-000021060000}"/>
    <cellStyle name="Normal 4 2 3 3" xfId="453" xr:uid="{00000000-0005-0000-0000-000022060000}"/>
    <cellStyle name="Normal 4 2 3 3 2" xfId="952" xr:uid="{00000000-0005-0000-0000-000023060000}"/>
    <cellStyle name="Normal 4 2 3 3 2 2" xfId="1954" xr:uid="{00000000-0005-0000-0000-000024060000}"/>
    <cellStyle name="Normal 4 2 3 3 3" xfId="1458" xr:uid="{00000000-0005-0000-0000-000025060000}"/>
    <cellStyle name="Normal 4 2 3 4" xfId="704" xr:uid="{00000000-0005-0000-0000-000026060000}"/>
    <cellStyle name="Normal 4 2 3 4 2" xfId="1706" xr:uid="{00000000-0005-0000-0000-000027060000}"/>
    <cellStyle name="Normal 4 2 3 5" xfId="1210" xr:uid="{00000000-0005-0000-0000-000028060000}"/>
    <cellStyle name="Normal 4 2 4" xfId="230" xr:uid="{00000000-0005-0000-0000-000029060000}"/>
    <cellStyle name="Normal 4 2 4 2" xfId="476" xr:uid="{00000000-0005-0000-0000-00002A060000}"/>
    <cellStyle name="Normal 4 2 4 2 2" xfId="974" xr:uid="{00000000-0005-0000-0000-00002B060000}"/>
    <cellStyle name="Normal 4 2 4 2 2 2" xfId="1976" xr:uid="{00000000-0005-0000-0000-00002C060000}"/>
    <cellStyle name="Normal 4 2 4 2 3" xfId="1480" xr:uid="{00000000-0005-0000-0000-00002D060000}"/>
    <cellStyle name="Normal 4 2 4 3" xfId="726" xr:uid="{00000000-0005-0000-0000-00002E060000}"/>
    <cellStyle name="Normal 4 2 4 3 2" xfId="1728" xr:uid="{00000000-0005-0000-0000-00002F060000}"/>
    <cellStyle name="Normal 4 2 4 4" xfId="1232" xr:uid="{00000000-0005-0000-0000-000030060000}"/>
    <cellStyle name="Normal 4 2 5" xfId="275" xr:uid="{00000000-0005-0000-0000-000031060000}"/>
    <cellStyle name="Normal 4 2 5 2" xfId="522" xr:uid="{00000000-0005-0000-0000-000032060000}"/>
    <cellStyle name="Normal 4 2 5 2 2" xfId="1020" xr:uid="{00000000-0005-0000-0000-000033060000}"/>
    <cellStyle name="Normal 4 2 5 2 2 2" xfId="2022" xr:uid="{00000000-0005-0000-0000-000034060000}"/>
    <cellStyle name="Normal 4 2 5 2 3" xfId="1526" xr:uid="{00000000-0005-0000-0000-000035060000}"/>
    <cellStyle name="Normal 4 2 5 3" xfId="772" xr:uid="{00000000-0005-0000-0000-000036060000}"/>
    <cellStyle name="Normal 4 2 5 3 2" xfId="1774" xr:uid="{00000000-0005-0000-0000-000037060000}"/>
    <cellStyle name="Normal 4 2 5 4" xfId="1278" xr:uid="{00000000-0005-0000-0000-000038060000}"/>
    <cellStyle name="Normal 4 2 6" xfId="341" xr:uid="{00000000-0005-0000-0000-000039060000}"/>
    <cellStyle name="Normal 4 2 6 2" xfId="588" xr:uid="{00000000-0005-0000-0000-00003A060000}"/>
    <cellStyle name="Normal 4 2 6 2 2" xfId="1086" xr:uid="{00000000-0005-0000-0000-00003B060000}"/>
    <cellStyle name="Normal 4 2 6 2 2 2" xfId="2088" xr:uid="{00000000-0005-0000-0000-00003C060000}"/>
    <cellStyle name="Normal 4 2 6 2 3" xfId="1592" xr:uid="{00000000-0005-0000-0000-00003D060000}"/>
    <cellStyle name="Normal 4 2 6 3" xfId="838" xr:uid="{00000000-0005-0000-0000-00003E060000}"/>
    <cellStyle name="Normal 4 2 6 3 2" xfId="1840" xr:uid="{00000000-0005-0000-0000-00003F060000}"/>
    <cellStyle name="Normal 4 2 6 4" xfId="1344" xr:uid="{00000000-0005-0000-0000-000040060000}"/>
    <cellStyle name="Normal 4 2 7" xfId="361" xr:uid="{00000000-0005-0000-0000-000041060000}"/>
    <cellStyle name="Normal 4 2 7 2" xfId="609" xr:uid="{00000000-0005-0000-0000-000042060000}"/>
    <cellStyle name="Normal 4 2 7 2 2" xfId="1107" xr:uid="{00000000-0005-0000-0000-000043060000}"/>
    <cellStyle name="Normal 4 2 7 2 2 2" xfId="2109" xr:uid="{00000000-0005-0000-0000-000044060000}"/>
    <cellStyle name="Normal 4 2 7 2 3" xfId="1613" xr:uid="{00000000-0005-0000-0000-000045060000}"/>
    <cellStyle name="Normal 4 2 7 3" xfId="859" xr:uid="{00000000-0005-0000-0000-000046060000}"/>
    <cellStyle name="Normal 4 2 7 3 2" xfId="1861" xr:uid="{00000000-0005-0000-0000-000047060000}"/>
    <cellStyle name="Normal 4 2 7 4" xfId="1365" xr:uid="{00000000-0005-0000-0000-000048060000}"/>
    <cellStyle name="Normal 4 2 8" xfId="407" xr:uid="{00000000-0005-0000-0000-000049060000}"/>
    <cellStyle name="Normal 4 2 8 2" xfId="906" xr:uid="{00000000-0005-0000-0000-00004A060000}"/>
    <cellStyle name="Normal 4 2 8 2 2" xfId="1908" xr:uid="{00000000-0005-0000-0000-00004B060000}"/>
    <cellStyle name="Normal 4 2 8 3" xfId="1412" xr:uid="{00000000-0005-0000-0000-00004C060000}"/>
    <cellStyle name="Normal 4 2 9" xfId="658" xr:uid="{00000000-0005-0000-0000-00004D060000}"/>
    <cellStyle name="Normal 4 2 9 2" xfId="1660" xr:uid="{00000000-0005-0000-0000-00004E060000}"/>
    <cellStyle name="Normal 4 3" xfId="30" xr:uid="{00000000-0005-0000-0000-000039000000}"/>
    <cellStyle name="Normal 4 3 2" xfId="243" xr:uid="{00000000-0005-0000-0000-000050060000}"/>
    <cellStyle name="Normal 4 3 2 2" xfId="490" xr:uid="{00000000-0005-0000-0000-000051060000}"/>
    <cellStyle name="Normal 4 3 2 2 2" xfId="988" xr:uid="{00000000-0005-0000-0000-000052060000}"/>
    <cellStyle name="Normal 4 3 2 2 2 2" xfId="1990" xr:uid="{00000000-0005-0000-0000-000053060000}"/>
    <cellStyle name="Normal 4 3 2 2 3" xfId="1494" xr:uid="{00000000-0005-0000-0000-000054060000}"/>
    <cellStyle name="Normal 4 3 2 3" xfId="740" xr:uid="{00000000-0005-0000-0000-000055060000}"/>
    <cellStyle name="Normal 4 3 2 3 2" xfId="1742" xr:uid="{00000000-0005-0000-0000-000056060000}"/>
    <cellStyle name="Normal 4 3 2 4" xfId="1246" xr:uid="{00000000-0005-0000-0000-000057060000}"/>
    <cellStyle name="Normal 4 3 3" xfId="289" xr:uid="{00000000-0005-0000-0000-000058060000}"/>
    <cellStyle name="Normal 4 3 3 2" xfId="536" xr:uid="{00000000-0005-0000-0000-000059060000}"/>
    <cellStyle name="Normal 4 3 3 2 2" xfId="1034" xr:uid="{00000000-0005-0000-0000-00005A060000}"/>
    <cellStyle name="Normal 4 3 3 2 2 2" xfId="2036" xr:uid="{00000000-0005-0000-0000-00005B060000}"/>
    <cellStyle name="Normal 4 3 3 2 3" xfId="1540" xr:uid="{00000000-0005-0000-0000-00005C060000}"/>
    <cellStyle name="Normal 4 3 3 3" xfId="786" xr:uid="{00000000-0005-0000-0000-00005D060000}"/>
    <cellStyle name="Normal 4 3 3 3 2" xfId="1788" xr:uid="{00000000-0005-0000-0000-00005E060000}"/>
    <cellStyle name="Normal 4 3 3 4" xfId="1292" xr:uid="{00000000-0005-0000-0000-00005F060000}"/>
    <cellStyle name="Normal 4 3 4" xfId="375" xr:uid="{00000000-0005-0000-0000-000060060000}"/>
    <cellStyle name="Normal 4 3 4 2" xfId="623" xr:uid="{00000000-0005-0000-0000-000061060000}"/>
    <cellStyle name="Normal 4 3 4 2 2" xfId="1121" xr:uid="{00000000-0005-0000-0000-000062060000}"/>
    <cellStyle name="Normal 4 3 4 2 2 2" xfId="2123" xr:uid="{00000000-0005-0000-0000-000063060000}"/>
    <cellStyle name="Normal 4 3 4 2 3" xfId="1627" xr:uid="{00000000-0005-0000-0000-000064060000}"/>
    <cellStyle name="Normal 4 3 4 3" xfId="873" xr:uid="{00000000-0005-0000-0000-000065060000}"/>
    <cellStyle name="Normal 4 3 4 3 2" xfId="1875" xr:uid="{00000000-0005-0000-0000-000066060000}"/>
    <cellStyle name="Normal 4 3 4 4" xfId="1379" xr:uid="{00000000-0005-0000-0000-000067060000}"/>
    <cellStyle name="Normal 4 3 5" xfId="421" xr:uid="{00000000-0005-0000-0000-000068060000}"/>
    <cellStyle name="Normal 4 3 5 2" xfId="920" xr:uid="{00000000-0005-0000-0000-000069060000}"/>
    <cellStyle name="Normal 4 3 5 2 2" xfId="1922" xr:uid="{00000000-0005-0000-0000-00006A060000}"/>
    <cellStyle name="Normal 4 3 5 3" xfId="1426" xr:uid="{00000000-0005-0000-0000-00006B060000}"/>
    <cellStyle name="Normal 4 3 6" xfId="672" xr:uid="{00000000-0005-0000-0000-00006C060000}"/>
    <cellStyle name="Normal 4 3 6 2" xfId="1674" xr:uid="{00000000-0005-0000-0000-00006D060000}"/>
    <cellStyle name="Normal 4 3 7" xfId="1178" xr:uid="{00000000-0005-0000-0000-00006E060000}"/>
    <cellStyle name="Normal 4 3 8" xfId="181" xr:uid="{00000000-0005-0000-0000-00004F060000}"/>
    <cellStyle name="Normal 4 3 9" xfId="2235" xr:uid="{00000000-0005-0000-0000-000066000000}"/>
    <cellStyle name="Normal 4 4" xfId="199" xr:uid="{00000000-0005-0000-0000-00006F060000}"/>
    <cellStyle name="Normal 4 4 2" xfId="311" xr:uid="{00000000-0005-0000-0000-000070060000}"/>
    <cellStyle name="Normal 4 4 2 2" xfId="558" xr:uid="{00000000-0005-0000-0000-000071060000}"/>
    <cellStyle name="Normal 4 4 2 2 2" xfId="1056" xr:uid="{00000000-0005-0000-0000-000072060000}"/>
    <cellStyle name="Normal 4 4 2 2 2 2" xfId="2058" xr:uid="{00000000-0005-0000-0000-000073060000}"/>
    <cellStyle name="Normal 4 4 2 2 3" xfId="1562" xr:uid="{00000000-0005-0000-0000-000074060000}"/>
    <cellStyle name="Normal 4 4 2 3" xfId="808" xr:uid="{00000000-0005-0000-0000-000075060000}"/>
    <cellStyle name="Normal 4 4 2 3 2" xfId="1810" xr:uid="{00000000-0005-0000-0000-000076060000}"/>
    <cellStyle name="Normal 4 4 2 4" xfId="1314" xr:uid="{00000000-0005-0000-0000-000077060000}"/>
    <cellStyle name="Normal 4 4 3" xfId="443" xr:uid="{00000000-0005-0000-0000-000078060000}"/>
    <cellStyle name="Normal 4 4 3 2" xfId="942" xr:uid="{00000000-0005-0000-0000-000079060000}"/>
    <cellStyle name="Normal 4 4 3 2 2" xfId="1944" xr:uid="{00000000-0005-0000-0000-00007A060000}"/>
    <cellStyle name="Normal 4 4 3 3" xfId="1448" xr:uid="{00000000-0005-0000-0000-00007B060000}"/>
    <cellStyle name="Normal 4 4 4" xfId="694" xr:uid="{00000000-0005-0000-0000-00007C060000}"/>
    <cellStyle name="Normal 4 4 4 2" xfId="1696" xr:uid="{00000000-0005-0000-0000-00007D060000}"/>
    <cellStyle name="Normal 4 4 5" xfId="1200" xr:uid="{00000000-0005-0000-0000-00007E060000}"/>
    <cellStyle name="Normal 4 5" xfId="220" xr:uid="{00000000-0005-0000-0000-00007F060000}"/>
    <cellStyle name="Normal 4 5 2" xfId="466" xr:uid="{00000000-0005-0000-0000-000080060000}"/>
    <cellStyle name="Normal 4 5 2 2" xfId="964" xr:uid="{00000000-0005-0000-0000-000081060000}"/>
    <cellStyle name="Normal 4 5 2 2 2" xfId="1966" xr:uid="{00000000-0005-0000-0000-000082060000}"/>
    <cellStyle name="Normal 4 5 2 3" xfId="1470" xr:uid="{00000000-0005-0000-0000-000083060000}"/>
    <cellStyle name="Normal 4 5 3" xfId="716" xr:uid="{00000000-0005-0000-0000-000084060000}"/>
    <cellStyle name="Normal 4 5 3 2" xfId="1718" xr:uid="{00000000-0005-0000-0000-000085060000}"/>
    <cellStyle name="Normal 4 5 4" xfId="1222" xr:uid="{00000000-0005-0000-0000-000086060000}"/>
    <cellStyle name="Normal 4 6" xfId="265" xr:uid="{00000000-0005-0000-0000-000087060000}"/>
    <cellStyle name="Normal 4 6 2" xfId="512" xr:uid="{00000000-0005-0000-0000-000088060000}"/>
    <cellStyle name="Normal 4 6 2 2" xfId="1010" xr:uid="{00000000-0005-0000-0000-000089060000}"/>
    <cellStyle name="Normal 4 6 2 2 2" xfId="2012" xr:uid="{00000000-0005-0000-0000-00008A060000}"/>
    <cellStyle name="Normal 4 6 2 3" xfId="1516" xr:uid="{00000000-0005-0000-0000-00008B060000}"/>
    <cellStyle name="Normal 4 6 3" xfId="762" xr:uid="{00000000-0005-0000-0000-00008C060000}"/>
    <cellStyle name="Normal 4 6 3 2" xfId="1764" xr:uid="{00000000-0005-0000-0000-00008D060000}"/>
    <cellStyle name="Normal 4 6 4" xfId="1268" xr:uid="{00000000-0005-0000-0000-00008E060000}"/>
    <cellStyle name="Normal 4 7" xfId="331" xr:uid="{00000000-0005-0000-0000-00008F060000}"/>
    <cellStyle name="Normal 4 7 2" xfId="578" xr:uid="{00000000-0005-0000-0000-000090060000}"/>
    <cellStyle name="Normal 4 7 2 2" xfId="1076" xr:uid="{00000000-0005-0000-0000-000091060000}"/>
    <cellStyle name="Normal 4 7 2 2 2" xfId="2078" xr:uid="{00000000-0005-0000-0000-000092060000}"/>
    <cellStyle name="Normal 4 7 2 3" xfId="1582" xr:uid="{00000000-0005-0000-0000-000093060000}"/>
    <cellStyle name="Normal 4 7 3" xfId="828" xr:uid="{00000000-0005-0000-0000-000094060000}"/>
    <cellStyle name="Normal 4 7 3 2" xfId="1830" xr:uid="{00000000-0005-0000-0000-000095060000}"/>
    <cellStyle name="Normal 4 7 4" xfId="1334" xr:uid="{00000000-0005-0000-0000-000096060000}"/>
    <cellStyle name="Normal 4 8" xfId="351" xr:uid="{00000000-0005-0000-0000-000097060000}"/>
    <cellStyle name="Normal 4 8 2" xfId="599" xr:uid="{00000000-0005-0000-0000-000098060000}"/>
    <cellStyle name="Normal 4 8 2 2" xfId="1097" xr:uid="{00000000-0005-0000-0000-000099060000}"/>
    <cellStyle name="Normal 4 8 2 2 2" xfId="2099" xr:uid="{00000000-0005-0000-0000-00009A060000}"/>
    <cellStyle name="Normal 4 8 2 3" xfId="1603" xr:uid="{00000000-0005-0000-0000-00009B060000}"/>
    <cellStyle name="Normal 4 8 3" xfId="849" xr:uid="{00000000-0005-0000-0000-00009C060000}"/>
    <cellStyle name="Normal 4 8 3 2" xfId="1851" xr:uid="{00000000-0005-0000-0000-00009D060000}"/>
    <cellStyle name="Normal 4 8 4" xfId="1355" xr:uid="{00000000-0005-0000-0000-00009E060000}"/>
    <cellStyle name="Normal 4 9" xfId="397" xr:uid="{00000000-0005-0000-0000-00009F060000}"/>
    <cellStyle name="Normal 4 9 2" xfId="896" xr:uid="{00000000-0005-0000-0000-0000A0060000}"/>
    <cellStyle name="Normal 4 9 2 2" xfId="1898" xr:uid="{00000000-0005-0000-0000-0000A1060000}"/>
    <cellStyle name="Normal 4 9 3" xfId="1402" xr:uid="{00000000-0005-0000-0000-0000A2060000}"/>
    <cellStyle name="Normal 451" xfId="1139" xr:uid="{00000000-0005-0000-0000-0000A3060000}"/>
    <cellStyle name="Normal 451 2" xfId="2139" xr:uid="{00000000-0005-0000-0000-0000A4060000}"/>
    <cellStyle name="Normal 5" xfId="31" xr:uid="{00000000-0005-0000-0000-00003A000000}"/>
    <cellStyle name="Normal 5 10" xfId="649" xr:uid="{00000000-0005-0000-0000-0000A6060000}"/>
    <cellStyle name="Normal 5 10 2" xfId="1651" xr:uid="{00000000-0005-0000-0000-0000A7060000}"/>
    <cellStyle name="Normal 5 11" xfId="1143" xr:uid="{00000000-0005-0000-0000-0000A8060000}"/>
    <cellStyle name="Normal 5 2" xfId="122" xr:uid="{00000000-0005-0000-0000-00003B000000}"/>
    <cellStyle name="Normal 5 2 2" xfId="244" xr:uid="{00000000-0005-0000-0000-0000AA060000}"/>
    <cellStyle name="Normal 5 2 2 2" xfId="491" xr:uid="{00000000-0005-0000-0000-0000AB060000}"/>
    <cellStyle name="Normal 5 2 2 2 2" xfId="989" xr:uid="{00000000-0005-0000-0000-0000AC060000}"/>
    <cellStyle name="Normal 5 2 2 2 2 2" xfId="1991" xr:uid="{00000000-0005-0000-0000-0000AD060000}"/>
    <cellStyle name="Normal 5 2 2 2 3" xfId="1495" xr:uid="{00000000-0005-0000-0000-0000AE060000}"/>
    <cellStyle name="Normal 5 2 2 3" xfId="741" xr:uid="{00000000-0005-0000-0000-0000AF060000}"/>
    <cellStyle name="Normal 5 2 2 3 2" xfId="1743" xr:uid="{00000000-0005-0000-0000-0000B0060000}"/>
    <cellStyle name="Normal 5 2 2 4" xfId="1247" xr:uid="{00000000-0005-0000-0000-0000B1060000}"/>
    <cellStyle name="Normal 5 2 3" xfId="290" xr:uid="{00000000-0005-0000-0000-0000B2060000}"/>
    <cellStyle name="Normal 5 2 3 2" xfId="537" xr:uid="{00000000-0005-0000-0000-0000B3060000}"/>
    <cellStyle name="Normal 5 2 3 2 2" xfId="1035" xr:uid="{00000000-0005-0000-0000-0000B4060000}"/>
    <cellStyle name="Normal 5 2 3 2 2 2" xfId="2037" xr:uid="{00000000-0005-0000-0000-0000B5060000}"/>
    <cellStyle name="Normal 5 2 3 2 3" xfId="1541" xr:uid="{00000000-0005-0000-0000-0000B6060000}"/>
    <cellStyle name="Normal 5 2 3 3" xfId="787" xr:uid="{00000000-0005-0000-0000-0000B7060000}"/>
    <cellStyle name="Normal 5 2 3 3 2" xfId="1789" xr:uid="{00000000-0005-0000-0000-0000B8060000}"/>
    <cellStyle name="Normal 5 2 3 4" xfId="1293" xr:uid="{00000000-0005-0000-0000-0000B9060000}"/>
    <cellStyle name="Normal 5 2 4" xfId="376" xr:uid="{00000000-0005-0000-0000-0000BA060000}"/>
    <cellStyle name="Normal 5 2 4 2" xfId="624" xr:uid="{00000000-0005-0000-0000-0000BB060000}"/>
    <cellStyle name="Normal 5 2 4 2 2" xfId="1122" xr:uid="{00000000-0005-0000-0000-0000BC060000}"/>
    <cellStyle name="Normal 5 2 4 2 2 2" xfId="2124" xr:uid="{00000000-0005-0000-0000-0000BD060000}"/>
    <cellStyle name="Normal 5 2 4 2 3" xfId="1628" xr:uid="{00000000-0005-0000-0000-0000BE060000}"/>
    <cellStyle name="Normal 5 2 4 3" xfId="874" xr:uid="{00000000-0005-0000-0000-0000BF060000}"/>
    <cellStyle name="Normal 5 2 4 3 2" xfId="1876" xr:uid="{00000000-0005-0000-0000-0000C0060000}"/>
    <cellStyle name="Normal 5 2 4 4" xfId="1380" xr:uid="{00000000-0005-0000-0000-0000C1060000}"/>
    <cellStyle name="Normal 5 2 5" xfId="422" xr:uid="{00000000-0005-0000-0000-0000C2060000}"/>
    <cellStyle name="Normal 5 2 5 2" xfId="921" xr:uid="{00000000-0005-0000-0000-0000C3060000}"/>
    <cellStyle name="Normal 5 2 5 2 2" xfId="1923" xr:uid="{00000000-0005-0000-0000-0000C4060000}"/>
    <cellStyle name="Normal 5 2 5 3" xfId="1427" xr:uid="{00000000-0005-0000-0000-0000C5060000}"/>
    <cellStyle name="Normal 5 2 6" xfId="673" xr:uid="{00000000-0005-0000-0000-0000C6060000}"/>
    <cellStyle name="Normal 5 2 6 2" xfId="1675" xr:uid="{00000000-0005-0000-0000-0000C7060000}"/>
    <cellStyle name="Normal 5 2 7" xfId="1179" xr:uid="{00000000-0005-0000-0000-0000C8060000}"/>
    <cellStyle name="Normal 5 2 8" xfId="2236" xr:uid="{00000000-0005-0000-0000-000069000000}"/>
    <cellStyle name="Normal 5 3" xfId="200" xr:uid="{00000000-0005-0000-0000-0000C9060000}"/>
    <cellStyle name="Normal 5 3 2" xfId="312" xr:uid="{00000000-0005-0000-0000-0000CA060000}"/>
    <cellStyle name="Normal 5 3 2 2" xfId="559" xr:uid="{00000000-0005-0000-0000-0000CB060000}"/>
    <cellStyle name="Normal 5 3 2 2 2" xfId="1057" xr:uid="{00000000-0005-0000-0000-0000CC060000}"/>
    <cellStyle name="Normal 5 3 2 2 2 2" xfId="2059" xr:uid="{00000000-0005-0000-0000-0000CD060000}"/>
    <cellStyle name="Normal 5 3 2 2 3" xfId="1563" xr:uid="{00000000-0005-0000-0000-0000CE060000}"/>
    <cellStyle name="Normal 5 3 2 3" xfId="809" xr:uid="{00000000-0005-0000-0000-0000CF060000}"/>
    <cellStyle name="Normal 5 3 2 3 2" xfId="1811" xr:uid="{00000000-0005-0000-0000-0000D0060000}"/>
    <cellStyle name="Normal 5 3 2 4" xfId="1315" xr:uid="{00000000-0005-0000-0000-0000D1060000}"/>
    <cellStyle name="Normal 5 3 3" xfId="444" xr:uid="{00000000-0005-0000-0000-0000D2060000}"/>
    <cellStyle name="Normal 5 3 3 2" xfId="943" xr:uid="{00000000-0005-0000-0000-0000D3060000}"/>
    <cellStyle name="Normal 5 3 3 2 2" xfId="1945" xr:uid="{00000000-0005-0000-0000-0000D4060000}"/>
    <cellStyle name="Normal 5 3 3 3" xfId="1449" xr:uid="{00000000-0005-0000-0000-0000D5060000}"/>
    <cellStyle name="Normal 5 3 4" xfId="695" xr:uid="{00000000-0005-0000-0000-0000D6060000}"/>
    <cellStyle name="Normal 5 3 4 2" xfId="1697" xr:uid="{00000000-0005-0000-0000-0000D7060000}"/>
    <cellStyle name="Normal 5 3 5" xfId="1201" xr:uid="{00000000-0005-0000-0000-0000D8060000}"/>
    <cellStyle name="Normal 5 4" xfId="221" xr:uid="{00000000-0005-0000-0000-0000D9060000}"/>
    <cellStyle name="Normal 5 4 2" xfId="467" xr:uid="{00000000-0005-0000-0000-0000DA060000}"/>
    <cellStyle name="Normal 5 4 2 2" xfId="965" xr:uid="{00000000-0005-0000-0000-0000DB060000}"/>
    <cellStyle name="Normal 5 4 2 2 2" xfId="1967" xr:uid="{00000000-0005-0000-0000-0000DC060000}"/>
    <cellStyle name="Normal 5 4 2 3" xfId="1471" xr:uid="{00000000-0005-0000-0000-0000DD060000}"/>
    <cellStyle name="Normal 5 4 3" xfId="717" xr:uid="{00000000-0005-0000-0000-0000DE060000}"/>
    <cellStyle name="Normal 5 4 3 2" xfId="1719" xr:uid="{00000000-0005-0000-0000-0000DF060000}"/>
    <cellStyle name="Normal 5 4 4" xfId="1223" xr:uid="{00000000-0005-0000-0000-0000E0060000}"/>
    <cellStyle name="Normal 5 5" xfId="266" xr:uid="{00000000-0005-0000-0000-0000E1060000}"/>
    <cellStyle name="Normal 5 5 2" xfId="513" xr:uid="{00000000-0005-0000-0000-0000E2060000}"/>
    <cellStyle name="Normal 5 5 2 2" xfId="1011" xr:uid="{00000000-0005-0000-0000-0000E3060000}"/>
    <cellStyle name="Normal 5 5 2 2 2" xfId="2013" xr:uid="{00000000-0005-0000-0000-0000E4060000}"/>
    <cellStyle name="Normal 5 5 2 3" xfId="1517" xr:uid="{00000000-0005-0000-0000-0000E5060000}"/>
    <cellStyle name="Normal 5 5 3" xfId="763" xr:uid="{00000000-0005-0000-0000-0000E6060000}"/>
    <cellStyle name="Normal 5 5 3 2" xfId="1765" xr:uid="{00000000-0005-0000-0000-0000E7060000}"/>
    <cellStyle name="Normal 5 5 4" xfId="1269" xr:uid="{00000000-0005-0000-0000-0000E8060000}"/>
    <cellStyle name="Normal 5 6" xfId="332" xr:uid="{00000000-0005-0000-0000-0000E9060000}"/>
    <cellStyle name="Normal 5 6 2" xfId="579" xr:uid="{00000000-0005-0000-0000-0000EA060000}"/>
    <cellStyle name="Normal 5 6 2 2" xfId="1077" xr:uid="{00000000-0005-0000-0000-0000EB060000}"/>
    <cellStyle name="Normal 5 6 2 2 2" xfId="2079" xr:uid="{00000000-0005-0000-0000-0000EC060000}"/>
    <cellStyle name="Normal 5 6 2 3" xfId="1583" xr:uid="{00000000-0005-0000-0000-0000ED060000}"/>
    <cellStyle name="Normal 5 6 3" xfId="829" xr:uid="{00000000-0005-0000-0000-0000EE060000}"/>
    <cellStyle name="Normal 5 6 3 2" xfId="1831" xr:uid="{00000000-0005-0000-0000-0000EF060000}"/>
    <cellStyle name="Normal 5 6 4" xfId="1335" xr:uid="{00000000-0005-0000-0000-0000F0060000}"/>
    <cellStyle name="Normal 5 7" xfId="352" xr:uid="{00000000-0005-0000-0000-0000F1060000}"/>
    <cellStyle name="Normal 5 7 2" xfId="600" xr:uid="{00000000-0005-0000-0000-0000F2060000}"/>
    <cellStyle name="Normal 5 7 2 2" xfId="1098" xr:uid="{00000000-0005-0000-0000-0000F3060000}"/>
    <cellStyle name="Normal 5 7 2 2 2" xfId="2100" xr:uid="{00000000-0005-0000-0000-0000F4060000}"/>
    <cellStyle name="Normal 5 7 2 3" xfId="1604" xr:uid="{00000000-0005-0000-0000-0000F5060000}"/>
    <cellStyle name="Normal 5 7 3" xfId="850" xr:uid="{00000000-0005-0000-0000-0000F6060000}"/>
    <cellStyle name="Normal 5 7 3 2" xfId="1852" xr:uid="{00000000-0005-0000-0000-0000F7060000}"/>
    <cellStyle name="Normal 5 7 4" xfId="1356" xr:uid="{00000000-0005-0000-0000-0000F8060000}"/>
    <cellStyle name="Normal 5 8" xfId="398" xr:uid="{00000000-0005-0000-0000-0000F9060000}"/>
    <cellStyle name="Normal 5 8 2" xfId="897" xr:uid="{00000000-0005-0000-0000-0000FA060000}"/>
    <cellStyle name="Normal 5 8 2 2" xfId="1899" xr:uid="{00000000-0005-0000-0000-0000FB060000}"/>
    <cellStyle name="Normal 5 8 3" xfId="1403" xr:uid="{00000000-0005-0000-0000-0000FC060000}"/>
    <cellStyle name="Normal 5 9" xfId="162" xr:uid="{00000000-0005-0000-0000-0000FD060000}"/>
    <cellStyle name="Normal 5 9 2" xfId="1155" xr:uid="{00000000-0005-0000-0000-0000FE060000}"/>
    <cellStyle name="Normal 6" xfId="32" xr:uid="{00000000-0005-0000-0000-00003C000000}"/>
    <cellStyle name="Normal 6 2" xfId="123" xr:uid="{00000000-0005-0000-0000-00003D000000}"/>
    <cellStyle name="Normal 6 2 2" xfId="163" xr:uid="{00000000-0005-0000-0000-000000070000}"/>
    <cellStyle name="Normal 6 2 3" xfId="2237" xr:uid="{00000000-0005-0000-0000-00006B000000}"/>
    <cellStyle name="Normal 6 3" xfId="1144" xr:uid="{00000000-0005-0000-0000-000001070000}"/>
    <cellStyle name="Normal 7" xfId="33" xr:uid="{00000000-0005-0000-0000-00003E000000}"/>
    <cellStyle name="Normal 7 10" xfId="659" xr:uid="{00000000-0005-0000-0000-000003070000}"/>
    <cellStyle name="Normal 7 10 2" xfId="1661" xr:uid="{00000000-0005-0000-0000-000004070000}"/>
    <cellStyle name="Normal 7 11" xfId="1145" xr:uid="{00000000-0005-0000-0000-000005070000}"/>
    <cellStyle name="Normal 7 2" xfId="124" xr:uid="{00000000-0005-0000-0000-00003F000000}"/>
    <cellStyle name="Normal 7 2 2" xfId="254" xr:uid="{00000000-0005-0000-0000-000007070000}"/>
    <cellStyle name="Normal 7 2 2 2" xfId="501" xr:uid="{00000000-0005-0000-0000-000008070000}"/>
    <cellStyle name="Normal 7 2 2 2 2" xfId="999" xr:uid="{00000000-0005-0000-0000-000009070000}"/>
    <cellStyle name="Normal 7 2 2 2 2 2" xfId="2001" xr:uid="{00000000-0005-0000-0000-00000A070000}"/>
    <cellStyle name="Normal 7 2 2 2 3" xfId="1505" xr:uid="{00000000-0005-0000-0000-00000B070000}"/>
    <cellStyle name="Normal 7 2 2 3" xfId="751" xr:uid="{00000000-0005-0000-0000-00000C070000}"/>
    <cellStyle name="Normal 7 2 2 3 2" xfId="1753" xr:uid="{00000000-0005-0000-0000-00000D070000}"/>
    <cellStyle name="Normal 7 2 2 4" xfId="1257" xr:uid="{00000000-0005-0000-0000-00000E070000}"/>
    <cellStyle name="Normal 7 2 3" xfId="300" xr:uid="{00000000-0005-0000-0000-00000F070000}"/>
    <cellStyle name="Normal 7 2 3 2" xfId="547" xr:uid="{00000000-0005-0000-0000-000010070000}"/>
    <cellStyle name="Normal 7 2 3 2 2" xfId="1045" xr:uid="{00000000-0005-0000-0000-000011070000}"/>
    <cellStyle name="Normal 7 2 3 2 2 2" xfId="2047" xr:uid="{00000000-0005-0000-0000-000012070000}"/>
    <cellStyle name="Normal 7 2 3 2 3" xfId="1551" xr:uid="{00000000-0005-0000-0000-000013070000}"/>
    <cellStyle name="Normal 7 2 3 3" xfId="797" xr:uid="{00000000-0005-0000-0000-000014070000}"/>
    <cellStyle name="Normal 7 2 3 3 2" xfId="1799" xr:uid="{00000000-0005-0000-0000-000015070000}"/>
    <cellStyle name="Normal 7 2 3 4" xfId="1303" xr:uid="{00000000-0005-0000-0000-000016070000}"/>
    <cellStyle name="Normal 7 2 4" xfId="386" xr:uid="{00000000-0005-0000-0000-000017070000}"/>
    <cellStyle name="Normal 7 2 4 2" xfId="634" xr:uid="{00000000-0005-0000-0000-000018070000}"/>
    <cellStyle name="Normal 7 2 4 2 2" xfId="1132" xr:uid="{00000000-0005-0000-0000-000019070000}"/>
    <cellStyle name="Normal 7 2 4 2 2 2" xfId="2134" xr:uid="{00000000-0005-0000-0000-00001A070000}"/>
    <cellStyle name="Normal 7 2 4 2 3" xfId="1638" xr:uid="{00000000-0005-0000-0000-00001B070000}"/>
    <cellStyle name="Normal 7 2 4 3" xfId="884" xr:uid="{00000000-0005-0000-0000-00001C070000}"/>
    <cellStyle name="Normal 7 2 4 3 2" xfId="1886" xr:uid="{00000000-0005-0000-0000-00001D070000}"/>
    <cellStyle name="Normal 7 2 4 4" xfId="1390" xr:uid="{00000000-0005-0000-0000-00001E070000}"/>
    <cellStyle name="Normal 7 2 5" xfId="432" xr:uid="{00000000-0005-0000-0000-00001F070000}"/>
    <cellStyle name="Normal 7 2 5 2" xfId="931" xr:uid="{00000000-0005-0000-0000-000020070000}"/>
    <cellStyle name="Normal 7 2 5 2 2" xfId="1933" xr:uid="{00000000-0005-0000-0000-000021070000}"/>
    <cellStyle name="Normal 7 2 5 3" xfId="1437" xr:uid="{00000000-0005-0000-0000-000022070000}"/>
    <cellStyle name="Normal 7 2 6" xfId="683" xr:uid="{00000000-0005-0000-0000-000023070000}"/>
    <cellStyle name="Normal 7 2 6 2" xfId="1685" xr:uid="{00000000-0005-0000-0000-000024070000}"/>
    <cellStyle name="Normal 7 2 7" xfId="1189" xr:uid="{00000000-0005-0000-0000-000025070000}"/>
    <cellStyle name="Normal 7 2 8" xfId="2238" xr:uid="{00000000-0005-0000-0000-00006D000000}"/>
    <cellStyle name="Normal 7 3" xfId="210" xr:uid="{00000000-0005-0000-0000-000026070000}"/>
    <cellStyle name="Normal 7 3 2" xfId="322" xr:uid="{00000000-0005-0000-0000-000027070000}"/>
    <cellStyle name="Normal 7 3 2 2" xfId="569" xr:uid="{00000000-0005-0000-0000-000028070000}"/>
    <cellStyle name="Normal 7 3 2 2 2" xfId="1067" xr:uid="{00000000-0005-0000-0000-000029070000}"/>
    <cellStyle name="Normal 7 3 2 2 2 2" xfId="2069" xr:uid="{00000000-0005-0000-0000-00002A070000}"/>
    <cellStyle name="Normal 7 3 2 2 3" xfId="1573" xr:uid="{00000000-0005-0000-0000-00002B070000}"/>
    <cellStyle name="Normal 7 3 2 3" xfId="819" xr:uid="{00000000-0005-0000-0000-00002C070000}"/>
    <cellStyle name="Normal 7 3 2 3 2" xfId="1821" xr:uid="{00000000-0005-0000-0000-00002D070000}"/>
    <cellStyle name="Normal 7 3 2 4" xfId="1325" xr:uid="{00000000-0005-0000-0000-00002E070000}"/>
    <cellStyle name="Normal 7 3 3" xfId="454" xr:uid="{00000000-0005-0000-0000-00002F070000}"/>
    <cellStyle name="Normal 7 3 3 2" xfId="953" xr:uid="{00000000-0005-0000-0000-000030070000}"/>
    <cellStyle name="Normal 7 3 3 2 2" xfId="1955" xr:uid="{00000000-0005-0000-0000-000031070000}"/>
    <cellStyle name="Normal 7 3 3 3" xfId="1459" xr:uid="{00000000-0005-0000-0000-000032070000}"/>
    <cellStyle name="Normal 7 3 4" xfId="705" xr:uid="{00000000-0005-0000-0000-000033070000}"/>
    <cellStyle name="Normal 7 3 4 2" xfId="1707" xr:uid="{00000000-0005-0000-0000-000034070000}"/>
    <cellStyle name="Normal 7 3 5" xfId="1211" xr:uid="{00000000-0005-0000-0000-000035070000}"/>
    <cellStyle name="Normal 7 4" xfId="231" xr:uid="{00000000-0005-0000-0000-000036070000}"/>
    <cellStyle name="Normal 7 4 2" xfId="477" xr:uid="{00000000-0005-0000-0000-000037070000}"/>
    <cellStyle name="Normal 7 4 2 2" xfId="975" xr:uid="{00000000-0005-0000-0000-000038070000}"/>
    <cellStyle name="Normal 7 4 2 2 2" xfId="1977" xr:uid="{00000000-0005-0000-0000-000039070000}"/>
    <cellStyle name="Normal 7 4 2 3" xfId="1481" xr:uid="{00000000-0005-0000-0000-00003A070000}"/>
    <cellStyle name="Normal 7 4 3" xfId="727" xr:uid="{00000000-0005-0000-0000-00003B070000}"/>
    <cellStyle name="Normal 7 4 3 2" xfId="1729" xr:uid="{00000000-0005-0000-0000-00003C070000}"/>
    <cellStyle name="Normal 7 4 4" xfId="1233" xr:uid="{00000000-0005-0000-0000-00003D070000}"/>
    <cellStyle name="Normal 7 5" xfId="276" xr:uid="{00000000-0005-0000-0000-00003E070000}"/>
    <cellStyle name="Normal 7 5 2" xfId="523" xr:uid="{00000000-0005-0000-0000-00003F070000}"/>
    <cellStyle name="Normal 7 5 2 2" xfId="1021" xr:uid="{00000000-0005-0000-0000-000040070000}"/>
    <cellStyle name="Normal 7 5 2 2 2" xfId="2023" xr:uid="{00000000-0005-0000-0000-000041070000}"/>
    <cellStyle name="Normal 7 5 2 3" xfId="1527" xr:uid="{00000000-0005-0000-0000-000042070000}"/>
    <cellStyle name="Normal 7 5 3" xfId="773" xr:uid="{00000000-0005-0000-0000-000043070000}"/>
    <cellStyle name="Normal 7 5 3 2" xfId="1775" xr:uid="{00000000-0005-0000-0000-000044070000}"/>
    <cellStyle name="Normal 7 5 4" xfId="1279" xr:uid="{00000000-0005-0000-0000-000045070000}"/>
    <cellStyle name="Normal 7 6" xfId="342" xr:uid="{00000000-0005-0000-0000-000046070000}"/>
    <cellStyle name="Normal 7 6 2" xfId="589" xr:uid="{00000000-0005-0000-0000-000047070000}"/>
    <cellStyle name="Normal 7 6 2 2" xfId="1087" xr:uid="{00000000-0005-0000-0000-000048070000}"/>
    <cellStyle name="Normal 7 6 2 2 2" xfId="2089" xr:uid="{00000000-0005-0000-0000-000049070000}"/>
    <cellStyle name="Normal 7 6 2 3" xfId="1593" xr:uid="{00000000-0005-0000-0000-00004A070000}"/>
    <cellStyle name="Normal 7 6 3" xfId="839" xr:uid="{00000000-0005-0000-0000-00004B070000}"/>
    <cellStyle name="Normal 7 6 3 2" xfId="1841" xr:uid="{00000000-0005-0000-0000-00004C070000}"/>
    <cellStyle name="Normal 7 6 4" xfId="1345" xr:uid="{00000000-0005-0000-0000-00004D070000}"/>
    <cellStyle name="Normal 7 7" xfId="362" xr:uid="{00000000-0005-0000-0000-00004E070000}"/>
    <cellStyle name="Normal 7 7 2" xfId="610" xr:uid="{00000000-0005-0000-0000-00004F070000}"/>
    <cellStyle name="Normal 7 7 2 2" xfId="1108" xr:uid="{00000000-0005-0000-0000-000050070000}"/>
    <cellStyle name="Normal 7 7 2 2 2" xfId="2110" xr:uid="{00000000-0005-0000-0000-000051070000}"/>
    <cellStyle name="Normal 7 7 2 3" xfId="1614" xr:uid="{00000000-0005-0000-0000-000052070000}"/>
    <cellStyle name="Normal 7 7 3" xfId="860" xr:uid="{00000000-0005-0000-0000-000053070000}"/>
    <cellStyle name="Normal 7 7 3 2" xfId="1862" xr:uid="{00000000-0005-0000-0000-000054070000}"/>
    <cellStyle name="Normal 7 7 4" xfId="1366" xr:uid="{00000000-0005-0000-0000-000055070000}"/>
    <cellStyle name="Normal 7 8" xfId="408" xr:uid="{00000000-0005-0000-0000-000056070000}"/>
    <cellStyle name="Normal 7 8 2" xfId="907" xr:uid="{00000000-0005-0000-0000-000057070000}"/>
    <cellStyle name="Normal 7 8 2 2" xfId="1909" xr:uid="{00000000-0005-0000-0000-000058070000}"/>
    <cellStyle name="Normal 7 8 3" xfId="1413" xr:uid="{00000000-0005-0000-0000-000059070000}"/>
    <cellStyle name="Normal 7 9" xfId="172" xr:uid="{00000000-0005-0000-0000-00005A070000}"/>
    <cellStyle name="Normal 7 9 2" xfId="1165" xr:uid="{00000000-0005-0000-0000-00005B070000}"/>
    <cellStyle name="Normal 8" xfId="34" xr:uid="{00000000-0005-0000-0000-000040000000}"/>
    <cellStyle name="Normal 8 2" xfId="125" xr:uid="{00000000-0005-0000-0000-000041000000}"/>
    <cellStyle name="Normal 8 2 2" xfId="255" xr:uid="{00000000-0005-0000-0000-00005E070000}"/>
    <cellStyle name="Normal 8 2 2 2" xfId="502" xr:uid="{00000000-0005-0000-0000-00005F070000}"/>
    <cellStyle name="Normal 8 2 2 2 2" xfId="1000" xr:uid="{00000000-0005-0000-0000-000060070000}"/>
    <cellStyle name="Normal 8 2 2 2 2 2" xfId="2002" xr:uid="{00000000-0005-0000-0000-000061070000}"/>
    <cellStyle name="Normal 8 2 2 2 3" xfId="1506" xr:uid="{00000000-0005-0000-0000-000062070000}"/>
    <cellStyle name="Normal 8 2 2 3" xfId="752" xr:uid="{00000000-0005-0000-0000-000063070000}"/>
    <cellStyle name="Normal 8 2 2 3 2" xfId="1754" xr:uid="{00000000-0005-0000-0000-000064070000}"/>
    <cellStyle name="Normal 8 2 2 4" xfId="1258" xr:uid="{00000000-0005-0000-0000-000065070000}"/>
    <cellStyle name="Normal 8 2 3" xfId="301" xr:uid="{00000000-0005-0000-0000-000066070000}"/>
    <cellStyle name="Normal 8 2 3 2" xfId="548" xr:uid="{00000000-0005-0000-0000-000067070000}"/>
    <cellStyle name="Normal 8 2 3 2 2" xfId="1046" xr:uid="{00000000-0005-0000-0000-000068070000}"/>
    <cellStyle name="Normal 8 2 3 2 2 2" xfId="2048" xr:uid="{00000000-0005-0000-0000-000069070000}"/>
    <cellStyle name="Normal 8 2 3 2 3" xfId="1552" xr:uid="{00000000-0005-0000-0000-00006A070000}"/>
    <cellStyle name="Normal 8 2 3 3" xfId="798" xr:uid="{00000000-0005-0000-0000-00006B070000}"/>
    <cellStyle name="Normal 8 2 3 3 2" xfId="1800" xr:uid="{00000000-0005-0000-0000-00006C070000}"/>
    <cellStyle name="Normal 8 2 3 4" xfId="1304" xr:uid="{00000000-0005-0000-0000-00006D070000}"/>
    <cellStyle name="Normal 8 2 4" xfId="387" xr:uid="{00000000-0005-0000-0000-00006E070000}"/>
    <cellStyle name="Normal 8 2 4 2" xfId="635" xr:uid="{00000000-0005-0000-0000-00006F070000}"/>
    <cellStyle name="Normal 8 2 4 2 2" xfId="1133" xr:uid="{00000000-0005-0000-0000-000070070000}"/>
    <cellStyle name="Normal 8 2 4 2 2 2" xfId="2135" xr:uid="{00000000-0005-0000-0000-000071070000}"/>
    <cellStyle name="Normal 8 2 4 2 3" xfId="1639" xr:uid="{00000000-0005-0000-0000-000072070000}"/>
    <cellStyle name="Normal 8 2 4 3" xfId="885" xr:uid="{00000000-0005-0000-0000-000073070000}"/>
    <cellStyle name="Normal 8 2 4 3 2" xfId="1887" xr:uid="{00000000-0005-0000-0000-000074070000}"/>
    <cellStyle name="Normal 8 2 4 4" xfId="1391" xr:uid="{00000000-0005-0000-0000-000075070000}"/>
    <cellStyle name="Normal 8 2 5" xfId="433" xr:uid="{00000000-0005-0000-0000-000076070000}"/>
    <cellStyle name="Normal 8 2 5 2" xfId="932" xr:uid="{00000000-0005-0000-0000-000077070000}"/>
    <cellStyle name="Normal 8 2 5 2 2" xfId="1934" xr:uid="{00000000-0005-0000-0000-000078070000}"/>
    <cellStyle name="Normal 8 2 5 3" xfId="1438" xr:uid="{00000000-0005-0000-0000-000079070000}"/>
    <cellStyle name="Normal 8 2 6" xfId="684" xr:uid="{00000000-0005-0000-0000-00007A070000}"/>
    <cellStyle name="Normal 8 2 6 2" xfId="1686" xr:uid="{00000000-0005-0000-0000-00007B070000}"/>
    <cellStyle name="Normal 8 2 7" xfId="1190" xr:uid="{00000000-0005-0000-0000-00007C070000}"/>
    <cellStyle name="Normal 8 2 8" xfId="2239" xr:uid="{00000000-0005-0000-0000-00006F000000}"/>
    <cellStyle name="Normal 8 3" xfId="232" xr:uid="{00000000-0005-0000-0000-00007D070000}"/>
    <cellStyle name="Normal 8 3 2" xfId="478" xr:uid="{00000000-0005-0000-0000-00007E070000}"/>
    <cellStyle name="Normal 8 3 2 2" xfId="976" xr:uid="{00000000-0005-0000-0000-00007F070000}"/>
    <cellStyle name="Normal 8 3 2 2 2" xfId="1978" xr:uid="{00000000-0005-0000-0000-000080070000}"/>
    <cellStyle name="Normal 8 3 2 3" xfId="1482" xr:uid="{00000000-0005-0000-0000-000081070000}"/>
    <cellStyle name="Normal 8 3 3" xfId="728" xr:uid="{00000000-0005-0000-0000-000082070000}"/>
    <cellStyle name="Normal 8 3 3 2" xfId="1730" xr:uid="{00000000-0005-0000-0000-000083070000}"/>
    <cellStyle name="Normal 8 3 4" xfId="1234" xr:uid="{00000000-0005-0000-0000-000084070000}"/>
    <cellStyle name="Normal 8 4" xfId="277" xr:uid="{00000000-0005-0000-0000-000085070000}"/>
    <cellStyle name="Normal 8 4 2" xfId="524" xr:uid="{00000000-0005-0000-0000-000086070000}"/>
    <cellStyle name="Normal 8 4 2 2" xfId="1022" xr:uid="{00000000-0005-0000-0000-000087070000}"/>
    <cellStyle name="Normal 8 4 2 2 2" xfId="2024" xr:uid="{00000000-0005-0000-0000-000088070000}"/>
    <cellStyle name="Normal 8 4 2 3" xfId="1528" xr:uid="{00000000-0005-0000-0000-000089070000}"/>
    <cellStyle name="Normal 8 4 3" xfId="774" xr:uid="{00000000-0005-0000-0000-00008A070000}"/>
    <cellStyle name="Normal 8 4 3 2" xfId="1776" xr:uid="{00000000-0005-0000-0000-00008B070000}"/>
    <cellStyle name="Normal 8 4 4" xfId="1280" xr:uid="{00000000-0005-0000-0000-00008C070000}"/>
    <cellStyle name="Normal 8 5" xfId="363" xr:uid="{00000000-0005-0000-0000-00008D070000}"/>
    <cellStyle name="Normal 8 5 2" xfId="611" xr:uid="{00000000-0005-0000-0000-00008E070000}"/>
    <cellStyle name="Normal 8 5 2 2" xfId="1109" xr:uid="{00000000-0005-0000-0000-00008F070000}"/>
    <cellStyle name="Normal 8 5 2 2 2" xfId="2111" xr:uid="{00000000-0005-0000-0000-000090070000}"/>
    <cellStyle name="Normal 8 5 2 3" xfId="1615" xr:uid="{00000000-0005-0000-0000-000091070000}"/>
    <cellStyle name="Normal 8 5 3" xfId="861" xr:uid="{00000000-0005-0000-0000-000092070000}"/>
    <cellStyle name="Normal 8 5 3 2" xfId="1863" xr:uid="{00000000-0005-0000-0000-000093070000}"/>
    <cellStyle name="Normal 8 5 4" xfId="1367" xr:uid="{00000000-0005-0000-0000-000094070000}"/>
    <cellStyle name="Normal 8 6" xfId="409" xr:uid="{00000000-0005-0000-0000-000095070000}"/>
    <cellStyle name="Normal 8 6 2" xfId="908" xr:uid="{00000000-0005-0000-0000-000096070000}"/>
    <cellStyle name="Normal 8 6 2 2" xfId="1910" xr:uid="{00000000-0005-0000-0000-000097070000}"/>
    <cellStyle name="Normal 8 6 3" xfId="1414" xr:uid="{00000000-0005-0000-0000-000098070000}"/>
    <cellStyle name="Normal 8 7" xfId="660" xr:uid="{00000000-0005-0000-0000-000099070000}"/>
    <cellStyle name="Normal 8 7 2" xfId="1662" xr:uid="{00000000-0005-0000-0000-00009A070000}"/>
    <cellStyle name="Normal 8 8" xfId="1166" xr:uid="{00000000-0005-0000-0000-00009B070000}"/>
    <cellStyle name="Normal 9" xfId="35" xr:uid="{00000000-0005-0000-0000-000042000000}"/>
    <cellStyle name="Normal 9 2" xfId="126" xr:uid="{00000000-0005-0000-0000-000043000000}"/>
    <cellStyle name="Normal 9 2 2" xfId="256" xr:uid="{00000000-0005-0000-0000-00009E070000}"/>
    <cellStyle name="Normal 9 2 2 2" xfId="503" xr:uid="{00000000-0005-0000-0000-00009F070000}"/>
    <cellStyle name="Normal 9 2 2 2 2" xfId="1001" xr:uid="{00000000-0005-0000-0000-0000A0070000}"/>
    <cellStyle name="Normal 9 2 2 2 2 2" xfId="2003" xr:uid="{00000000-0005-0000-0000-0000A1070000}"/>
    <cellStyle name="Normal 9 2 2 2 3" xfId="1507" xr:uid="{00000000-0005-0000-0000-0000A2070000}"/>
    <cellStyle name="Normal 9 2 2 3" xfId="753" xr:uid="{00000000-0005-0000-0000-0000A3070000}"/>
    <cellStyle name="Normal 9 2 2 3 2" xfId="1755" xr:uid="{00000000-0005-0000-0000-0000A4070000}"/>
    <cellStyle name="Normal 9 2 2 4" xfId="1259" xr:uid="{00000000-0005-0000-0000-0000A5070000}"/>
    <cellStyle name="Normal 9 2 3" xfId="302" xr:uid="{00000000-0005-0000-0000-0000A6070000}"/>
    <cellStyle name="Normal 9 2 3 2" xfId="549" xr:uid="{00000000-0005-0000-0000-0000A7070000}"/>
    <cellStyle name="Normal 9 2 3 2 2" xfId="1047" xr:uid="{00000000-0005-0000-0000-0000A8070000}"/>
    <cellStyle name="Normal 9 2 3 2 2 2" xfId="2049" xr:uid="{00000000-0005-0000-0000-0000A9070000}"/>
    <cellStyle name="Normal 9 2 3 2 3" xfId="1553" xr:uid="{00000000-0005-0000-0000-0000AA070000}"/>
    <cellStyle name="Normal 9 2 3 3" xfId="799" xr:uid="{00000000-0005-0000-0000-0000AB070000}"/>
    <cellStyle name="Normal 9 2 3 3 2" xfId="1801" xr:uid="{00000000-0005-0000-0000-0000AC070000}"/>
    <cellStyle name="Normal 9 2 3 4" xfId="1305" xr:uid="{00000000-0005-0000-0000-0000AD070000}"/>
    <cellStyle name="Normal 9 2 4" xfId="388" xr:uid="{00000000-0005-0000-0000-0000AE070000}"/>
    <cellStyle name="Normal 9 2 4 2" xfId="636" xr:uid="{00000000-0005-0000-0000-0000AF070000}"/>
    <cellStyle name="Normal 9 2 4 2 2" xfId="1134" xr:uid="{00000000-0005-0000-0000-0000B0070000}"/>
    <cellStyle name="Normal 9 2 4 2 2 2" xfId="2136" xr:uid="{00000000-0005-0000-0000-0000B1070000}"/>
    <cellStyle name="Normal 9 2 4 2 3" xfId="1640" xr:uid="{00000000-0005-0000-0000-0000B2070000}"/>
    <cellStyle name="Normal 9 2 4 3" xfId="886" xr:uid="{00000000-0005-0000-0000-0000B3070000}"/>
    <cellStyle name="Normal 9 2 4 3 2" xfId="1888" xr:uid="{00000000-0005-0000-0000-0000B4070000}"/>
    <cellStyle name="Normal 9 2 4 4" xfId="1392" xr:uid="{00000000-0005-0000-0000-0000B5070000}"/>
    <cellStyle name="Normal 9 2 5" xfId="434" xr:uid="{00000000-0005-0000-0000-0000B6070000}"/>
    <cellStyle name="Normal 9 2 5 2" xfId="933" xr:uid="{00000000-0005-0000-0000-0000B7070000}"/>
    <cellStyle name="Normal 9 2 5 2 2" xfId="1935" xr:uid="{00000000-0005-0000-0000-0000B8070000}"/>
    <cellStyle name="Normal 9 2 5 3" xfId="1439" xr:uid="{00000000-0005-0000-0000-0000B9070000}"/>
    <cellStyle name="Normal 9 2 6" xfId="685" xr:uid="{00000000-0005-0000-0000-0000BA070000}"/>
    <cellStyle name="Normal 9 2 6 2" xfId="1687" xr:uid="{00000000-0005-0000-0000-0000BB070000}"/>
    <cellStyle name="Normal 9 2 7" xfId="1191" xr:uid="{00000000-0005-0000-0000-0000BC070000}"/>
    <cellStyle name="Normal 9 2 8" xfId="2240" xr:uid="{00000000-0005-0000-0000-000071000000}"/>
    <cellStyle name="Normal 9 3" xfId="233" xr:uid="{00000000-0005-0000-0000-0000BD070000}"/>
    <cellStyle name="Normal 9 3 2" xfId="479" xr:uid="{00000000-0005-0000-0000-0000BE070000}"/>
    <cellStyle name="Normal 9 3 2 2" xfId="977" xr:uid="{00000000-0005-0000-0000-0000BF070000}"/>
    <cellStyle name="Normal 9 3 2 2 2" xfId="1979" xr:uid="{00000000-0005-0000-0000-0000C0070000}"/>
    <cellStyle name="Normal 9 3 2 3" xfId="1483" xr:uid="{00000000-0005-0000-0000-0000C1070000}"/>
    <cellStyle name="Normal 9 3 3" xfId="729" xr:uid="{00000000-0005-0000-0000-0000C2070000}"/>
    <cellStyle name="Normal 9 3 3 2" xfId="1731" xr:uid="{00000000-0005-0000-0000-0000C3070000}"/>
    <cellStyle name="Normal 9 3 4" xfId="1235" xr:uid="{00000000-0005-0000-0000-0000C4070000}"/>
    <cellStyle name="Normal 9 4" xfId="278" xr:uid="{00000000-0005-0000-0000-0000C5070000}"/>
    <cellStyle name="Normal 9 4 2" xfId="525" xr:uid="{00000000-0005-0000-0000-0000C6070000}"/>
    <cellStyle name="Normal 9 4 2 2" xfId="1023" xr:uid="{00000000-0005-0000-0000-0000C7070000}"/>
    <cellStyle name="Normal 9 4 2 2 2" xfId="2025" xr:uid="{00000000-0005-0000-0000-0000C8070000}"/>
    <cellStyle name="Normal 9 4 2 3" xfId="1529" xr:uid="{00000000-0005-0000-0000-0000C9070000}"/>
    <cellStyle name="Normal 9 4 3" xfId="775" xr:uid="{00000000-0005-0000-0000-0000CA070000}"/>
    <cellStyle name="Normal 9 4 3 2" xfId="1777" xr:uid="{00000000-0005-0000-0000-0000CB070000}"/>
    <cellStyle name="Normal 9 4 4" xfId="1281" xr:uid="{00000000-0005-0000-0000-0000CC070000}"/>
    <cellStyle name="Normal 9 5" xfId="364" xr:uid="{00000000-0005-0000-0000-0000CD070000}"/>
    <cellStyle name="Normal 9 5 2" xfId="612" xr:uid="{00000000-0005-0000-0000-0000CE070000}"/>
    <cellStyle name="Normal 9 5 2 2" xfId="1110" xr:uid="{00000000-0005-0000-0000-0000CF070000}"/>
    <cellStyle name="Normal 9 5 2 2 2" xfId="2112" xr:uid="{00000000-0005-0000-0000-0000D0070000}"/>
    <cellStyle name="Normal 9 5 2 3" xfId="1616" xr:uid="{00000000-0005-0000-0000-0000D1070000}"/>
    <cellStyle name="Normal 9 5 3" xfId="862" xr:uid="{00000000-0005-0000-0000-0000D2070000}"/>
    <cellStyle name="Normal 9 5 3 2" xfId="1864" xr:uid="{00000000-0005-0000-0000-0000D3070000}"/>
    <cellStyle name="Normal 9 5 4" xfId="1368" xr:uid="{00000000-0005-0000-0000-0000D4070000}"/>
    <cellStyle name="Normal 9 6" xfId="410" xr:uid="{00000000-0005-0000-0000-0000D5070000}"/>
    <cellStyle name="Normal 9 6 2" xfId="909" xr:uid="{00000000-0005-0000-0000-0000D6070000}"/>
    <cellStyle name="Normal 9 6 2 2" xfId="1911" xr:uid="{00000000-0005-0000-0000-0000D7070000}"/>
    <cellStyle name="Normal 9 6 3" xfId="1415" xr:uid="{00000000-0005-0000-0000-0000D8070000}"/>
    <cellStyle name="Normal 9 7" xfId="661" xr:uid="{00000000-0005-0000-0000-0000D9070000}"/>
    <cellStyle name="Normal 9 7 2" xfId="1663" xr:uid="{00000000-0005-0000-0000-0000DA070000}"/>
    <cellStyle name="Normal 9 8" xfId="1167" xr:uid="{00000000-0005-0000-0000-0000DB070000}"/>
    <cellStyle name="Notas 10" xfId="36" xr:uid="{00000000-0005-0000-0000-000044000000}"/>
    <cellStyle name="Notas 10 2" xfId="37" xr:uid="{00000000-0005-0000-0000-000045000000}"/>
    <cellStyle name="Notas 11" xfId="38" xr:uid="{00000000-0005-0000-0000-000046000000}"/>
    <cellStyle name="Notas 11 2" xfId="39" xr:uid="{00000000-0005-0000-0000-000047000000}"/>
    <cellStyle name="Notas 12" xfId="40" xr:uid="{00000000-0005-0000-0000-000048000000}"/>
    <cellStyle name="Notas 12 2" xfId="41" xr:uid="{00000000-0005-0000-0000-000049000000}"/>
    <cellStyle name="Notas 13" xfId="42" xr:uid="{00000000-0005-0000-0000-00004A000000}"/>
    <cellStyle name="Notas 13 2" xfId="43" xr:uid="{00000000-0005-0000-0000-00004B000000}"/>
    <cellStyle name="Notas 14" xfId="44" xr:uid="{00000000-0005-0000-0000-00004C000000}"/>
    <cellStyle name="Notas 14 2" xfId="45" xr:uid="{00000000-0005-0000-0000-00004D000000}"/>
    <cellStyle name="Notas 15" xfId="46" xr:uid="{00000000-0005-0000-0000-00004E000000}"/>
    <cellStyle name="Notas 15 2" xfId="47" xr:uid="{00000000-0005-0000-0000-00004F000000}"/>
    <cellStyle name="Notas 16" xfId="48" xr:uid="{00000000-0005-0000-0000-000050000000}"/>
    <cellStyle name="Notas 16 2" xfId="49" xr:uid="{00000000-0005-0000-0000-000051000000}"/>
    <cellStyle name="Notas 17" xfId="50" xr:uid="{00000000-0005-0000-0000-000052000000}"/>
    <cellStyle name="Notas 17 2" xfId="51" xr:uid="{00000000-0005-0000-0000-000053000000}"/>
    <cellStyle name="Notas 18" xfId="52" xr:uid="{00000000-0005-0000-0000-000054000000}"/>
    <cellStyle name="Notas 18 2" xfId="53" xr:uid="{00000000-0005-0000-0000-000055000000}"/>
    <cellStyle name="Notas 19" xfId="54" xr:uid="{00000000-0005-0000-0000-000056000000}"/>
    <cellStyle name="Notas 19 2" xfId="55" xr:uid="{00000000-0005-0000-0000-000057000000}"/>
    <cellStyle name="Notas 2 2" xfId="56" xr:uid="{00000000-0005-0000-0000-000058000000}"/>
    <cellStyle name="Notas 2 3" xfId="57" xr:uid="{00000000-0005-0000-0000-000059000000}"/>
    <cellStyle name="Notas 20" xfId="58" xr:uid="{00000000-0005-0000-0000-00005A000000}"/>
    <cellStyle name="Notas 20 2" xfId="59" xr:uid="{00000000-0005-0000-0000-00005B000000}"/>
    <cellStyle name="Notas 21" xfId="60" xr:uid="{00000000-0005-0000-0000-00005C000000}"/>
    <cellStyle name="Notas 21 2" xfId="61" xr:uid="{00000000-0005-0000-0000-00005D000000}"/>
    <cellStyle name="Notas 22" xfId="62" xr:uid="{00000000-0005-0000-0000-00005E000000}"/>
    <cellStyle name="Notas 22 2" xfId="63" xr:uid="{00000000-0005-0000-0000-00005F000000}"/>
    <cellStyle name="Notas 23" xfId="64" xr:uid="{00000000-0005-0000-0000-000060000000}"/>
    <cellStyle name="Notas 23 2" xfId="65" xr:uid="{00000000-0005-0000-0000-000061000000}"/>
    <cellStyle name="Notas 24" xfId="66" xr:uid="{00000000-0005-0000-0000-000062000000}"/>
    <cellStyle name="Notas 24 2" xfId="67" xr:uid="{00000000-0005-0000-0000-000063000000}"/>
    <cellStyle name="Notas 25" xfId="68" xr:uid="{00000000-0005-0000-0000-000064000000}"/>
    <cellStyle name="Notas 25 2" xfId="69" xr:uid="{00000000-0005-0000-0000-000065000000}"/>
    <cellStyle name="Notas 26" xfId="70" xr:uid="{00000000-0005-0000-0000-000066000000}"/>
    <cellStyle name="Notas 3 2" xfId="71" xr:uid="{00000000-0005-0000-0000-000067000000}"/>
    <cellStyle name="Notas 3 3" xfId="72" xr:uid="{00000000-0005-0000-0000-000068000000}"/>
    <cellStyle name="Notas 4 2" xfId="73" xr:uid="{00000000-0005-0000-0000-000069000000}"/>
    <cellStyle name="Notas 4 3" xfId="74" xr:uid="{00000000-0005-0000-0000-00006A000000}"/>
    <cellStyle name="Notas 5 2" xfId="75" xr:uid="{00000000-0005-0000-0000-00006B000000}"/>
    <cellStyle name="Notas 5 3" xfId="76" xr:uid="{00000000-0005-0000-0000-00006C000000}"/>
    <cellStyle name="Notas 5 4" xfId="77" xr:uid="{00000000-0005-0000-0000-00006D000000}"/>
    <cellStyle name="Notas 5 4 2" xfId="78" xr:uid="{00000000-0005-0000-0000-00006E000000}"/>
    <cellStyle name="Notas 6 2" xfId="79" xr:uid="{00000000-0005-0000-0000-00006F000000}"/>
    <cellStyle name="Notas 6 3" xfId="80" xr:uid="{00000000-0005-0000-0000-000070000000}"/>
    <cellStyle name="Notas 6 4" xfId="81" xr:uid="{00000000-0005-0000-0000-000071000000}"/>
    <cellStyle name="Notas 6 4 2" xfId="82" xr:uid="{00000000-0005-0000-0000-000072000000}"/>
    <cellStyle name="Notas 7 2" xfId="83" xr:uid="{00000000-0005-0000-0000-000073000000}"/>
    <cellStyle name="Notas 7 3" xfId="84" xr:uid="{00000000-0005-0000-0000-000074000000}"/>
    <cellStyle name="Notas 7 4" xfId="85" xr:uid="{00000000-0005-0000-0000-000075000000}"/>
    <cellStyle name="Notas 7 4 2" xfId="86" xr:uid="{00000000-0005-0000-0000-000076000000}"/>
    <cellStyle name="Notas 8 2" xfId="87" xr:uid="{00000000-0005-0000-0000-000077000000}"/>
    <cellStyle name="Notas 8 3" xfId="88" xr:uid="{00000000-0005-0000-0000-000078000000}"/>
    <cellStyle name="Notas 8 4" xfId="89" xr:uid="{00000000-0005-0000-0000-000079000000}"/>
    <cellStyle name="Notas 8 4 2" xfId="90" xr:uid="{00000000-0005-0000-0000-00007A000000}"/>
    <cellStyle name="Notas 9" xfId="91" xr:uid="{00000000-0005-0000-0000-00007B000000}"/>
    <cellStyle name="Notas 9 2" xfId="92" xr:uid="{00000000-0005-0000-0000-00007C000000}"/>
    <cellStyle name="Note" xfId="2241" xr:uid="{00000000-0005-0000-0000-000072000000}"/>
    <cellStyle name="Output" xfId="2242" xr:uid="{00000000-0005-0000-0000-000073000000}"/>
    <cellStyle name="Porcentaje 2" xfId="93" xr:uid="{00000000-0005-0000-0000-00007D000000}"/>
    <cellStyle name="Porcentaje 2 2" xfId="2243" xr:uid="{00000000-0005-0000-0000-000075000000}"/>
    <cellStyle name="Porcentaje 3" xfId="94" xr:uid="{00000000-0005-0000-0000-00007E000000}"/>
    <cellStyle name="Porcentaje 4" xfId="95" xr:uid="{00000000-0005-0000-0000-00007F000000}"/>
    <cellStyle name="Porcentaje 4 2" xfId="96" xr:uid="{00000000-0005-0000-0000-000080000000}"/>
    <cellStyle name="Porcentaje 5" xfId="97" xr:uid="{00000000-0005-0000-0000-000081000000}"/>
    <cellStyle name="Porcentaje 5 2" xfId="98" xr:uid="{00000000-0005-0000-0000-000082000000}"/>
    <cellStyle name="Porcentaje 6" xfId="99" xr:uid="{00000000-0005-0000-0000-000083000000}"/>
    <cellStyle name="Porcentaje 7" xfId="100" xr:uid="{00000000-0005-0000-0000-000084000000}"/>
    <cellStyle name="Porcentual 2" xfId="101" xr:uid="{00000000-0005-0000-0000-000085000000}"/>
    <cellStyle name="Porcentual 2 10" xfId="2244" xr:uid="{00000000-0005-0000-0000-000076000000}"/>
    <cellStyle name="Porcentual 2 11" xfId="2245" xr:uid="{00000000-0005-0000-0000-000077000000}"/>
    <cellStyle name="Porcentual 2 12" xfId="2246" xr:uid="{00000000-0005-0000-0000-000078000000}"/>
    <cellStyle name="Porcentual 2 13" xfId="2247" xr:uid="{00000000-0005-0000-0000-000079000000}"/>
    <cellStyle name="Porcentual 2 2" xfId="102" xr:uid="{00000000-0005-0000-0000-000086000000}"/>
    <cellStyle name="Porcentual 2 2 2" xfId="2249" xr:uid="{00000000-0005-0000-0000-00007B000000}"/>
    <cellStyle name="Porcentual 2 2 3" xfId="2250" xr:uid="{00000000-0005-0000-0000-00007C000000}"/>
    <cellStyle name="Porcentual 2 2 4" xfId="2251" xr:uid="{00000000-0005-0000-0000-00007D000000}"/>
    <cellStyle name="Porcentual 2 2 5" xfId="2252" xr:uid="{00000000-0005-0000-0000-00007E000000}"/>
    <cellStyle name="Porcentual 2 2 6" xfId="2253" xr:uid="{00000000-0005-0000-0000-00007F000000}"/>
    <cellStyle name="Porcentual 2 2 7" xfId="2248" xr:uid="{00000000-0005-0000-0000-00007A000000}"/>
    <cellStyle name="Porcentual 2 3" xfId="103" xr:uid="{00000000-0005-0000-0000-000087000000}"/>
    <cellStyle name="Porcentual 2 3 2" xfId="2254" xr:uid="{00000000-0005-0000-0000-000081000000}"/>
    <cellStyle name="Porcentual 2 4" xfId="104" xr:uid="{00000000-0005-0000-0000-000088000000}"/>
    <cellStyle name="Porcentual 2 4 2" xfId="2255" xr:uid="{00000000-0005-0000-0000-000083000000}"/>
    <cellStyle name="Porcentual 2 5" xfId="2256" xr:uid="{00000000-0005-0000-0000-000084000000}"/>
    <cellStyle name="Porcentual 2 5 2" xfId="2257" xr:uid="{00000000-0005-0000-0000-000085000000}"/>
    <cellStyle name="Porcentual 2 6" xfId="2258" xr:uid="{00000000-0005-0000-0000-000086000000}"/>
    <cellStyle name="Porcentual 2 6 2" xfId="2259" xr:uid="{00000000-0005-0000-0000-000087000000}"/>
    <cellStyle name="Porcentual 2 7" xfId="2260" xr:uid="{00000000-0005-0000-0000-000088000000}"/>
    <cellStyle name="Porcentual 2 7 2" xfId="2261" xr:uid="{00000000-0005-0000-0000-000089000000}"/>
    <cellStyle name="Porcentual 2 8" xfId="2262" xr:uid="{00000000-0005-0000-0000-00008A000000}"/>
    <cellStyle name="Porcentual 2 9" xfId="2263" xr:uid="{00000000-0005-0000-0000-00008B000000}"/>
    <cellStyle name="Porcentual 20 2" xfId="2264" xr:uid="{00000000-0005-0000-0000-00008C000000}"/>
    <cellStyle name="Porcentual 21 2" xfId="2265" xr:uid="{00000000-0005-0000-0000-00008D000000}"/>
    <cellStyle name="Porcentual 22" xfId="2266" xr:uid="{00000000-0005-0000-0000-00008E000000}"/>
    <cellStyle name="Porcentual 22 2" xfId="2267" xr:uid="{00000000-0005-0000-0000-00008F000000}"/>
    <cellStyle name="Porcentual 3" xfId="105" xr:uid="{00000000-0005-0000-0000-000089000000}"/>
    <cellStyle name="Porcentual 3 2" xfId="106" xr:uid="{00000000-0005-0000-0000-00008A000000}"/>
    <cellStyle name="Porcentual 3 2 2" xfId="107" xr:uid="{00000000-0005-0000-0000-00008B000000}"/>
    <cellStyle name="Porcentual 3 2 3" xfId="108" xr:uid="{00000000-0005-0000-0000-00008C000000}"/>
    <cellStyle name="Porcentual 3 2 4" xfId="2269" xr:uid="{00000000-0005-0000-0000-000091000000}"/>
    <cellStyle name="Porcentual 3 3" xfId="109" xr:uid="{00000000-0005-0000-0000-00008D000000}"/>
    <cellStyle name="Porcentual 3 4" xfId="110" xr:uid="{00000000-0005-0000-0000-00008E000000}"/>
    <cellStyle name="Porcentual 3 4 2" xfId="2271" xr:uid="{00000000-0005-0000-0000-000094000000}"/>
    <cellStyle name="Porcentual 3 4 3" xfId="2270" xr:uid="{00000000-0005-0000-0000-000093000000}"/>
    <cellStyle name="Porcentual 3 5" xfId="2272" xr:uid="{00000000-0005-0000-0000-000095000000}"/>
    <cellStyle name="Porcentual 3 6" xfId="2268" xr:uid="{00000000-0005-0000-0000-000090000000}"/>
    <cellStyle name="Porcentual 4" xfId="111" xr:uid="{00000000-0005-0000-0000-00008F000000}"/>
    <cellStyle name="Porcentual 4 2" xfId="112" xr:uid="{00000000-0005-0000-0000-000090000000}"/>
    <cellStyle name="Porcentual 4 3" xfId="2273" xr:uid="{00000000-0005-0000-0000-000096000000}"/>
    <cellStyle name="Porcentual 5" xfId="113" xr:uid="{00000000-0005-0000-0000-000091000000}"/>
    <cellStyle name="Porcentual 5 2" xfId="114" xr:uid="{00000000-0005-0000-0000-000092000000}"/>
    <cellStyle name="Porcentual 5 2 2" xfId="2276" xr:uid="{00000000-0005-0000-0000-000099000000}"/>
    <cellStyle name="Porcentual 5 2 3" xfId="2275" xr:uid="{00000000-0005-0000-0000-000098000000}"/>
    <cellStyle name="Porcentual 5 3" xfId="115" xr:uid="{00000000-0005-0000-0000-000093000000}"/>
    <cellStyle name="Porcentual 5 3 2" xfId="2277" xr:uid="{00000000-0005-0000-0000-00009A000000}"/>
    <cellStyle name="Porcentual 5 4" xfId="2274" xr:uid="{00000000-0005-0000-0000-000097000000}"/>
    <cellStyle name="Porcentual 8" xfId="116" xr:uid="{00000000-0005-0000-0000-000094000000}"/>
    <cellStyle name="Punto0" xfId="2278" xr:uid="{00000000-0005-0000-0000-00009B000000}"/>
    <cellStyle name="Punto0 - Estilo6" xfId="2279" xr:uid="{00000000-0005-0000-0000-00009C000000}"/>
    <cellStyle name="Right" xfId="2280" xr:uid="{00000000-0005-0000-0000-00009D000000}"/>
    <cellStyle name="Subtotal_right" xfId="2281" xr:uid="{00000000-0005-0000-0000-00009E000000}"/>
    <cellStyle name="Title" xfId="2282" xr:uid="{00000000-0005-0000-0000-00009F000000}"/>
    <cellStyle name="Warning Text" xfId="2283" xr:uid="{00000000-0005-0000-0000-0000A0000000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ial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ial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0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0" formatCode="_(* #,##0_);_(* \(#,##0\);_(* &quot;-&quot;??_);_(@_)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ial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rial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5</xdr:row>
          <xdr:rowOff>180975</xdr:rowOff>
        </xdr:from>
        <xdr:to>
          <xdr:col>0</xdr:col>
          <xdr:colOff>1495425</xdr:colOff>
          <xdr:row>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47625</xdr:rowOff>
        </xdr:from>
        <xdr:to>
          <xdr:col>0</xdr:col>
          <xdr:colOff>1504950</xdr:colOff>
          <xdr:row>13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Grabar y Enviar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00000000-0016-0000-00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fecha" tableColumnId="1"/>
      <queryTableField id="2" name="codigo_fdo" tableColumnId="2"/>
      <queryTableField id="3" name="aporte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UYEHUE MesaInversiones TransaccionesIIF" connectionId="4" xr16:uid="{00000000-0016-0000-0100-000001000000}" autoFormatId="16" applyNumberFormats="0" applyBorderFormats="0" applyFontFormats="0" applyPatternFormats="0" applyAlignmentFormats="0" applyWidthHeightFormats="0">
  <queryTableRefresh nextId="27">
    <queryTableFields count="19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1" name="Cantidad" tableColumnId="9"/>
      <queryTableField id="22" name="Plazo" tableColumnId="12"/>
      <queryTableField id="23" name="Duration" tableColumnId="14"/>
      <queryTableField id="24" name="Precio" tableColumnId="15"/>
      <queryTableField id="25" name="Tir" tableColumnId="16"/>
      <queryTableField id="26" name="Monto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UYEHUE MesaInversiones TransaccionesIIF" connectionId="3" xr16:uid="{00000000-0016-0000-0200-000002000000}" autoFormatId="16" applyNumberFormats="0" applyBorderFormats="0" applyFontFormats="0" applyPatternFormats="0" applyAlignmentFormats="0" applyWidthHeightFormats="0">
  <queryTableRefresh nextId="37" unboundColumnsRight="2">
    <queryTableFields count="22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7" name="Emisor" tableColumnId="9"/>
      <queryTableField id="28" name="Rescate" tableColumnId="12"/>
      <queryTableField id="29" name="Dias" tableColumnId="14"/>
      <queryTableField id="30" name="tasa" tableColumnId="15"/>
      <queryTableField id="31" name="Captacion" tableColumnId="16"/>
      <queryTableField id="32" name="NemotecnicoSinFecha" tableColumnId="19"/>
      <queryTableField id="33" name="Nemotecnico" tableColumnId="20"/>
      <queryTableField id="35" dataBound="0" tableColumnId="21"/>
      <queryTableField id="36" dataBound="0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300-000003000000}" autoFormatId="16" applyNumberFormats="0" applyBorderFormats="0" applyFontFormats="0" applyPatternFormats="0" applyAlignmentFormats="0" applyWidthHeightFormats="0">
  <queryTableRefresh nextId="4">
    <queryTableFields count="3">
      <queryTableField id="1" name="fecha" tableColumnId="1"/>
      <queryTableField id="2" name="codigo_fdo" tableColumnId="2"/>
      <queryTableField id="3" name="aporte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807B65-4B19-4138-B472-C80791D52D77}" name="Consulta14" displayName="Consulta14" ref="B25:D26" tableType="queryTable" totalsRowShown="0">
  <autoFilter ref="B25:D26" xr:uid="{97B79F89-2FFF-48F8-B8E8-2026D48BDB72}"/>
  <tableColumns count="3">
    <tableColumn id="1" xr3:uid="{088ED66A-5A5B-4B51-859C-D4DA6D3A5459}" uniqueName="1" name="fecha" queryTableFieldId="1" dataDxfId="35"/>
    <tableColumn id="2" xr3:uid="{EBC3D107-FB12-4FF2-B6F9-0D7E932F8C42}" uniqueName="2" name="codigo_fdo" queryTableFieldId="2" dataDxfId="34"/>
    <tableColumn id="3" xr3:uid="{C470CD07-4237-482A-B5A4-CDEF07B256B8}" uniqueName="3" name="aportes" queryTableFieldId="3" dataDxfId="33" dataCellStyle="Millares [0]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_PUYEHUE_MesaInversiones_TransaccionesIIF" displayName="Tabla_PUYEHUE_MesaInversiones_TransaccionesIIF" ref="A2:S12" tableType="queryTable" totalsRowShown="0" dataDxfId="32">
  <autoFilter ref="A2:S12" xr:uid="{4746B8F3-A041-484C-AAA7-F714B4EFA90F}"/>
  <tableColumns count="19">
    <tableColumn id="1" xr3:uid="{00000000-0010-0000-0000-000001000000}" uniqueName="1" name="Fecha" queryTableFieldId="1" dataDxfId="28"/>
    <tableColumn id="2" xr3:uid="{00000000-0010-0000-0000-000002000000}" uniqueName="2" name="V" queryTableFieldId="2" dataDxfId="27"/>
    <tableColumn id="3" xr3:uid="{00000000-0010-0000-0000-000003000000}" uniqueName="3" name="OpV" queryTableFieldId="3" dataDxfId="26"/>
    <tableColumn id="4" xr3:uid="{00000000-0010-0000-0000-000004000000}" uniqueName="4" name="C" queryTableFieldId="4" dataDxfId="25"/>
    <tableColumn id="5" xr3:uid="{00000000-0010-0000-0000-000005000000}" uniqueName="5" name="OpC" queryTableFieldId="5" dataDxfId="24"/>
    <tableColumn id="6" xr3:uid="{00000000-0010-0000-0000-000006000000}" uniqueName="6" name="Rte" queryTableFieldId="6" dataDxfId="23"/>
    <tableColumn id="7" xr3:uid="{00000000-0010-0000-0000-000007000000}" uniqueName="7" name="Folio" queryTableFieldId="7" dataDxfId="22"/>
    <tableColumn id="8" xr3:uid="{00000000-0010-0000-0000-000008000000}" uniqueName="8" name="Instrumento" queryTableFieldId="8" dataDxfId="21"/>
    <tableColumn id="10" xr3:uid="{00000000-0010-0000-0000-00000A000000}" uniqueName="10" name="Liq" queryTableFieldId="10" dataDxfId="20"/>
    <tableColumn id="11" xr3:uid="{00000000-0010-0000-0000-00000B000000}" uniqueName="11" name="D" queryTableFieldId="11" dataDxfId="19"/>
    <tableColumn id="13" xr3:uid="{00000000-0010-0000-0000-00000D000000}" uniqueName="13" name="Moneda" queryTableFieldId="13" dataDxfId="18"/>
    <tableColumn id="17" xr3:uid="{00000000-0010-0000-0000-000011000000}" uniqueName="17" name="Vende" queryTableFieldId="17" dataDxfId="17"/>
    <tableColumn id="18" xr3:uid="{00000000-0010-0000-0000-000012000000}" uniqueName="18" name="Compra" queryTableFieldId="18" dataDxfId="16"/>
    <tableColumn id="9" xr3:uid="{00000000-0010-0000-0000-000009000000}" uniqueName="9" name="Cantidad" queryTableFieldId="21" dataDxfId="15"/>
    <tableColumn id="12" xr3:uid="{00000000-0010-0000-0000-00000C000000}" uniqueName="12" name="Plazo" queryTableFieldId="22" dataDxfId="14"/>
    <tableColumn id="14" xr3:uid="{00000000-0010-0000-0000-00000E000000}" uniqueName="14" name="Duration" queryTableFieldId="23" dataDxfId="13"/>
    <tableColumn id="15" xr3:uid="{00000000-0010-0000-0000-00000F000000}" uniqueName="15" name="Precio" queryTableFieldId="24" dataDxfId="12"/>
    <tableColumn id="16" xr3:uid="{00000000-0010-0000-0000-000010000000}" uniqueName="16" name="Tir" queryTableFieldId="25" dataDxfId="11"/>
    <tableColumn id="19" xr3:uid="{00000000-0010-0000-0000-000013000000}" uniqueName="19" name="Monto" queryTableFieldId="26" dataDxfId="1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_PUYEHUE_MesaInversiones_TransaccionesIIF2" displayName="Tabla_PUYEHUE_MesaInversiones_TransaccionesIIF2" ref="A2:V37" tableType="queryTable" totalsRowShown="0" dataDxfId="31">
  <autoFilter ref="A2:V37" xr:uid="{5224E702-C75B-47EB-8410-EF6D1F5F8947}"/>
  <sortState ref="A3:V37">
    <sortCondition ref="M2:M37"/>
  </sortState>
  <tableColumns count="22">
    <tableColumn id="1" xr3:uid="{00000000-0010-0000-0100-000001000000}" uniqueName="1" name="Fecha" queryTableFieldId="1"/>
    <tableColumn id="2" xr3:uid="{00000000-0010-0000-0100-000002000000}" uniqueName="2" name="V" queryTableFieldId="2"/>
    <tableColumn id="3" xr3:uid="{00000000-0010-0000-0100-000003000000}" uniqueName="3" name="OpV" queryTableFieldId="3"/>
    <tableColumn id="4" xr3:uid="{00000000-0010-0000-0100-000004000000}" uniqueName="4" name="C" queryTableFieldId="4"/>
    <tableColumn id="5" xr3:uid="{00000000-0010-0000-0100-000005000000}" uniqueName="5" name="OpC" queryTableFieldId="5"/>
    <tableColumn id="6" xr3:uid="{00000000-0010-0000-0100-000006000000}" uniqueName="6" name="Rte" queryTableFieldId="6"/>
    <tableColumn id="7" xr3:uid="{00000000-0010-0000-0100-000007000000}" uniqueName="7" name="Folio" queryTableFieldId="7"/>
    <tableColumn id="8" xr3:uid="{00000000-0010-0000-0100-000008000000}" uniqueName="8" name="Instrumento" queryTableFieldId="8"/>
    <tableColumn id="10" xr3:uid="{00000000-0010-0000-0100-00000A000000}" uniqueName="10" name="Liq" queryTableFieldId="10"/>
    <tableColumn id="11" xr3:uid="{00000000-0010-0000-0100-00000B000000}" uniqueName="11" name="D" queryTableFieldId="11"/>
    <tableColumn id="13" xr3:uid="{00000000-0010-0000-0100-00000D000000}" uniqueName="13" name="Moneda" queryTableFieldId="13"/>
    <tableColumn id="17" xr3:uid="{00000000-0010-0000-0100-000011000000}" uniqueName="17" name="Vende" queryTableFieldId="17"/>
    <tableColumn id="18" xr3:uid="{00000000-0010-0000-0100-000012000000}" uniqueName="18" name="Compra" queryTableFieldId="18"/>
    <tableColumn id="9" xr3:uid="{00000000-0010-0000-0100-000009000000}" uniqueName="9" name="Emisor" queryTableFieldId="27"/>
    <tableColumn id="12" xr3:uid="{00000000-0010-0000-0100-00000C000000}" uniqueName="12" name="Rescate" queryTableFieldId="28" dataDxfId="3" dataCellStyle="Millares"/>
    <tableColumn id="14" xr3:uid="{00000000-0010-0000-0100-00000E000000}" uniqueName="14" name="Dias" queryTableFieldId="29"/>
    <tableColumn id="15" xr3:uid="{00000000-0010-0000-0100-00000F000000}" uniqueName="15" name="tasa" queryTableFieldId="30"/>
    <tableColumn id="16" xr3:uid="{00000000-0010-0000-0100-000010000000}" uniqueName="16" name="Captacion" queryTableFieldId="31" dataDxfId="2" dataCellStyle="Millares"/>
    <tableColumn id="19" xr3:uid="{00000000-0010-0000-0100-000013000000}" uniqueName="19" name="NemotecnicoSinFecha" queryTableFieldId="32"/>
    <tableColumn id="20" xr3:uid="{00000000-0010-0000-0100-000014000000}" uniqueName="20" name="Nemotecnico" queryTableFieldId="33"/>
    <tableColumn id="21" xr3:uid="{8D6E1BA8-FD26-4CC7-830C-476181D838CF}" uniqueName="21" name="Columna1" queryTableFieldId="35" dataDxfId="1">
      <calculatedColumnFormula>+Tabla_PUYEHUE_MesaInversiones_TransaccionesIIF2[[#This Row],[Dias]]/365</calculatedColumnFormula>
    </tableColumn>
    <tableColumn id="22" xr3:uid="{B6267C2D-BE61-43BC-B711-67130B888B22}" uniqueName="22" name="Columna2" queryTableFieldId="36" dataDxfId="0">
      <calculatedColumnFormula>+Tabla_PUYEHUE_MesaInversiones_TransaccionesIIF2[[#This Row],[Captacion]]/14000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1F357D-7753-4A76-B57D-A43B010C96E2}" name="Consulta1" displayName="Consulta1" ref="A1:C5" tableType="queryTable" totalsRowShown="0">
  <autoFilter ref="A1:C5" xr:uid="{F6AB1889-DC13-49C5-BF1E-383D2BEEB9E7}"/>
  <tableColumns count="3">
    <tableColumn id="1" xr3:uid="{769C64DF-6555-4F10-B2F6-D79527F90966}" uniqueName="1" name="fecha" queryTableFieldId="1" dataDxfId="30"/>
    <tableColumn id="2" xr3:uid="{92BA5D84-3482-48E5-8F60-84E8CA1E3EA4}" uniqueName="2" name="codigo_fdo" queryTableFieldId="2" dataDxfId="29"/>
    <tableColumn id="3" xr3:uid="{EDB4ACBD-34E6-4043-B923-A62DD739CEA9}" uniqueName="3" name="aporte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Q47"/>
  <sheetViews>
    <sheetView showGridLines="0" tabSelected="1" defaultGridColor="0" colorId="9" zoomScale="85" zoomScaleNormal="85" workbookViewId="0">
      <selection activeCell="C19" sqref="C19"/>
    </sheetView>
  </sheetViews>
  <sheetFormatPr baseColWidth="10" defaultColWidth="11.375" defaultRowHeight="14.25"/>
  <cols>
    <col min="1" max="1" width="24.5" style="13" customWidth="1"/>
    <col min="2" max="2" width="18" style="13" customWidth="1"/>
    <col min="3" max="3" width="18.75" style="13" customWidth="1"/>
    <col min="4" max="4" width="17.875" style="13" customWidth="1"/>
    <col min="5" max="5" width="14.125" style="13" bestFit="1" customWidth="1"/>
    <col min="6" max="6" width="20.625" style="13" customWidth="1"/>
    <col min="7" max="7" width="17.25" style="13" customWidth="1"/>
    <col min="8" max="10" width="18.25" style="13" customWidth="1"/>
    <col min="11" max="11" width="17.25" style="13" customWidth="1"/>
    <col min="12" max="12" width="17.375" style="13" customWidth="1"/>
    <col min="13" max="13" width="22.875" style="13" customWidth="1"/>
    <col min="14" max="14" width="14.5" style="13" customWidth="1"/>
    <col min="15" max="15" width="16.75" style="13" customWidth="1"/>
    <col min="16" max="16" width="11.375" style="13"/>
    <col min="17" max="17" width="13.5" style="13" customWidth="1"/>
    <col min="18" max="16384" width="11.375" style="13"/>
  </cols>
  <sheetData>
    <row r="1" spans="1:17" ht="15">
      <c r="F1" s="14"/>
      <c r="G1" s="15"/>
      <c r="H1" s="15"/>
      <c r="I1" s="15"/>
      <c r="J1" s="15"/>
    </row>
    <row r="2" spans="1:17" ht="15">
      <c r="B2" s="16" t="s">
        <v>21</v>
      </c>
      <c r="C2" s="17">
        <f ca="1">+TODAY()</f>
        <v>43061</v>
      </c>
      <c r="F2" s="14"/>
      <c r="G2" s="15"/>
      <c r="H2" s="15"/>
      <c r="I2" s="15"/>
      <c r="J2" s="15"/>
    </row>
    <row r="3" spans="1:17" ht="15">
      <c r="F3" s="14"/>
      <c r="G3" s="39">
        <f ca="1">+TODAY()+34</f>
        <v>43095</v>
      </c>
    </row>
    <row r="4" spans="1:17" ht="21" customHeight="1" thickBot="1">
      <c r="A4" s="18"/>
      <c r="B4" s="19" t="s">
        <v>20</v>
      </c>
      <c r="C4" s="19"/>
      <c r="D4" s="19"/>
      <c r="E4" s="19"/>
      <c r="F4" s="19"/>
      <c r="G4" s="19"/>
      <c r="H4" s="19"/>
      <c r="I4" s="20"/>
      <c r="J4" s="20"/>
    </row>
    <row r="5" spans="1:17" ht="21" customHeight="1" thickBot="1">
      <c r="A5" s="21"/>
      <c r="B5" s="22" t="s">
        <v>15</v>
      </c>
      <c r="C5" s="22" t="s">
        <v>37</v>
      </c>
      <c r="D5" s="22" t="s">
        <v>38</v>
      </c>
      <c r="E5" s="22" t="s">
        <v>39</v>
      </c>
      <c r="F5" s="22" t="s">
        <v>41</v>
      </c>
      <c r="G5" s="22" t="s">
        <v>40</v>
      </c>
      <c r="H5" s="22" t="s">
        <v>43</v>
      </c>
      <c r="I5" s="22" t="s">
        <v>46</v>
      </c>
      <c r="J5" s="22" t="s">
        <v>47</v>
      </c>
      <c r="K5" s="23" t="s">
        <v>42</v>
      </c>
      <c r="L5" s="24"/>
      <c r="N5" s="24"/>
    </row>
    <row r="6" spans="1:17" ht="21" customHeight="1">
      <c r="B6" s="25" t="s">
        <v>22</v>
      </c>
      <c r="C6" s="50">
        <v>2402448</v>
      </c>
      <c r="D6" s="50">
        <v>0</v>
      </c>
      <c r="E6" s="50">
        <v>328455344</v>
      </c>
      <c r="F6" s="50">
        <v>823973160</v>
      </c>
      <c r="G6" s="50">
        <f>SUMIFS(SubidosIRF!$S:$S,SubidosIRF!$M:$M,B6,SubidosIRF!I:I,"PH")+SUMIFS(SubidosIIF!$R:$R,SubidosIIF!$M:$M,$B6,SubidosIIF!$I:$I,"PH")+SUMIFS(SubidosIRF!$S:$S,SubidosIRF!$M:$M,B6,SubidosIRF!I:I,"PHOD")+SUMIFS(SubidosIIF!$R:$R,SubidosIIF!$M:$M,$B6,SubidosIIF!$I:$I,"PHOD")</f>
        <v>597895407</v>
      </c>
      <c r="H6" s="50">
        <f>SUMIFS(SubidosIRF!$S:$S,SubidosIRF!$L:$L,ResumenFondos!$B6,SubidosIRF!I:I,"PH")+SUMIFS(SubidosIIF!$R:$R,SubidosIIF!$L:$L,ResumenFondos!B6,SubidosIIF!I:I,"PH")+SUMIFS(SubidosIRF!$S:$S,SubidosIRF!$L:$L,ResumenFondos!$B6,SubidosIRF!I:I,"PHOD")+SUMIFS(SubidosIIF!$R:$R,SubidosIIF!$L:$L,ResumenFondos!B6,SubidosIIF!I:I,"PHOD")</f>
        <v>149905559</v>
      </c>
      <c r="I6" s="50">
        <f>SUMIFS(SubidosIRF!$S:$S,SubidosIRF!$M:$M,B6,SubidosIRF!I:I,"PM")+SUMIFS(SubidosIIF!$R:$R,SubidosIIF!$M:$M,$B6,SubidosIIF!$I:$I,"PM")+SUMIFS(SubidosIRF!$S:$S,SubidosIRF!$M:$M,B6,SubidosIRF!I:I,"PMOD")+SUMIFS(SubidosIIF!$R:$R,SubidosIIF!$M:$M,$B6,SubidosIIF!$I:$I,"PMOD")</f>
        <v>135366803</v>
      </c>
      <c r="J6" s="50">
        <f>SUMIFS(SubidosIRF!$S:$S,SubidosIRF!$L:$L,ResumenFondos!$B6,SubidosIRF!$I:$I,"PM")+SUMIFS(SubidosIIF!$R:$R,SubidosIIF!$L:$L,ResumenFondos!B6,SubidosIIF!$I:$I,"PM")+SUMIFS(SubidosIRF!$S:$S,SubidosIRF!$L:$L,ResumenFondos!$B6,SubidosIRF!$I:$I,"PMOD")+SUMIFS(SubidosIIF!$R:$R,SubidosIIF!$L:$L,ResumenFondos!B6,SubidosIIF!$I:$I,"PMOD")</f>
        <v>0</v>
      </c>
      <c r="K6" s="51">
        <f>+ResumenFondos!$C6+ResumenFondos!$D6-ResumenFondos!$E6+ResumenFondos!$F6-ResumenFondos!$G6+ResumenFondos!$H6</f>
        <v>49930416</v>
      </c>
      <c r="L6" s="24"/>
      <c r="M6" s="24"/>
      <c r="N6" s="24"/>
      <c r="O6" s="24"/>
    </row>
    <row r="7" spans="1:17" ht="21" customHeight="1">
      <c r="B7" s="26" t="s">
        <v>24</v>
      </c>
      <c r="C7" s="52">
        <v>18306093.09</v>
      </c>
      <c r="D7" s="52">
        <v>0</v>
      </c>
      <c r="E7" s="52">
        <v>19310787</v>
      </c>
      <c r="F7" s="53">
        <v>92788025</v>
      </c>
      <c r="G7" s="52">
        <f>SUMIFS(SubidosIRF!$S:$S,SubidosIRF!$M:$M,B7,SubidosIRF!I:I,"PH")+SUMIFS(SubidosIIF!$R:$R,SubidosIIF!$M:$M,$B7,SubidosIIF!$I:$I,"PH")+SUMIFS(SubidosIRF!$S:$S,SubidosIRF!$M:$M,B7,SubidosIRF!I:I,"PHOD")+SUMIFS(SubidosIIF!$R:$R,SubidosIIF!$M:$M,$B7,SubidosIIF!$I:$I,"PHOD")</f>
        <v>80065530</v>
      </c>
      <c r="H7" s="52">
        <f>SUMIFS(SubidosIRF!$S:$S,SubidosIRF!$L:$L,ResumenFondos!$B7,SubidosIRF!I:I,"PH")+SUMIFS(SubidosIIF!$R:$R,SubidosIIF!$L:$L,ResumenFondos!B7,SubidosIIF!I:I,"PH")+SUMIFS(SubidosIRF!$S:$S,SubidosIRF!$L:$L,ResumenFondos!$B7,SubidosIRF!I:I,"PHOD")+SUMIFS(SubidosIIF!$R:$R,SubidosIIF!$L:$L,ResumenFondos!B7,SubidosIIF!I:I,"PHOD")</f>
        <v>0</v>
      </c>
      <c r="I7" s="52">
        <f>SUMIFS(SubidosIRF!$S:$S,SubidosIRF!$M:$M,B7,SubidosIRF!I:I,"PM")+SUMIFS(SubidosIIF!$R:$R,SubidosIIF!$M:$M,$B7,SubidosIIF!$I:$I,"PM")+SUMIFS(SubidosIRF!$S:$S,SubidosIRF!$M:$M,B7,SubidosIRF!I:I,"PMOD")+SUMIFS(SubidosIIF!$R:$R,SubidosIIF!$M:$M,$B7,SubidosIIF!$I:$I,"PMOD")</f>
        <v>162472985</v>
      </c>
      <c r="J7" s="52">
        <f>SUMIFS(SubidosIRF!$S:$S,SubidosIRF!$L:$L,ResumenFondos!$B7,SubidosIRF!$I:$I,"PM")+SUMIFS(SubidosIIF!$R:$R,SubidosIIF!$L:$L,ResumenFondos!B7,SubidosIIF!$I:$I,"PM")+SUMIFS(SubidosIRF!$S:$S,SubidosIRF!$L:$L,ResumenFondos!$B7,SubidosIRF!$I:$I,"PMOD")+SUMIFS(SubidosIIF!$R:$R,SubidosIIF!$L:$L,ResumenFondos!B7,SubidosIIF!$I:$I,"PMOD")</f>
        <v>0</v>
      </c>
      <c r="K7" s="54">
        <f>+ResumenFondos!$C7+ResumenFondos!$D7-ResumenFondos!$E7+ResumenFondos!$F7-ResumenFondos!$G7+ResumenFondos!$H7</f>
        <v>11717801.090000004</v>
      </c>
      <c r="L7" s="24"/>
      <c r="M7" s="24"/>
      <c r="N7" s="24"/>
      <c r="O7" s="24"/>
    </row>
    <row r="8" spans="1:17" ht="21" customHeight="1">
      <c r="B8" s="28" t="s">
        <v>25</v>
      </c>
      <c r="C8" s="53">
        <v>6299769</v>
      </c>
      <c r="D8" s="53">
        <v>2240406902</v>
      </c>
      <c r="E8" s="53">
        <v>3141882754</v>
      </c>
      <c r="F8" s="55">
        <v>8250251</v>
      </c>
      <c r="G8" s="52">
        <f>SUMIFS(SubidosIRF!$S:$S,SubidosIRF!$M:$M,B8,SubidosIRF!I:I,"PH")+SUMIFS(SubidosIIF!$R:$R,SubidosIIF!$M:$M,$B8,SubidosIIF!$I:$I,"PH")+SUMIFS(SubidosIRF!$S:$S,SubidosIRF!$M:$M,B8,SubidosIRF!I:I,"PHOD")+SUMIFS(SubidosIIF!$R:$R,SubidosIIF!$M:$M,$B8,SubidosIIF!$I:$I,"PHOD")</f>
        <v>0</v>
      </c>
      <c r="H8" s="53">
        <f>SUMIFS(SubidosIRF!$S:$S,SubidosIRF!$L:$L,ResumenFondos!$B8,SubidosIRF!I:I,"PH")+SUMIFS(SubidosIIF!$R:$R,SubidosIIF!$L:$L,ResumenFondos!B8,SubidosIIF!I:I,"PH")+SUMIFS(SubidosIRF!$S:$S,SubidosIRF!$L:$L,ResumenFondos!$B8,SubidosIRF!I:I,"PHOD")+SUMIFS(SubidosIIF!$R:$R,SubidosIIF!$L:$L,ResumenFondos!B8,SubidosIIF!I:I,"PHOD")</f>
        <v>896485779</v>
      </c>
      <c r="I8" s="53">
        <f>SUMIFS(SubidosIRF!$S:$S,SubidosIRF!$M:$M,B8,SubidosIRF!I:I,"PM")+SUMIFS(SubidosIIF!$R:$R,SubidosIIF!$M:$M,$B8,SubidosIIF!$I:$I,"PM")+SUMIFS(SubidosIRF!$S:$S,SubidosIRF!$M:$M,B8,SubidosIRF!I:I,"PMOD")+SUMIFS(SubidosIIF!$R:$R,SubidosIIF!$M:$M,$B8,SubidosIIF!$I:$I,"PMOD")</f>
        <v>0</v>
      </c>
      <c r="J8" s="53">
        <f>SUMIFS(SubidosIRF!$S:$S,SubidosIRF!$L:$L,ResumenFondos!$B8,SubidosIRF!$I:$I,"PM")+SUMIFS(SubidosIIF!$R:$R,SubidosIIF!$L:$L,ResumenFondos!B8,SubidosIIF!$I:$I,"PM")+SUMIFS(SubidosIRF!$S:$S,SubidosIRF!$L:$L,ResumenFondos!$B8,SubidosIRF!$I:$I,"PMOD")+SUMIFS(SubidosIIF!$R:$R,SubidosIIF!$L:$L,ResumenFondos!B8,SubidosIIF!$I:$I,"PMOD")</f>
        <v>0</v>
      </c>
      <c r="K8" s="56">
        <f>+ResumenFondos!$C8+ResumenFondos!$D8-ResumenFondos!$E8+ResumenFondos!$F8-ResumenFondos!$G8+ResumenFondos!$H8</f>
        <v>9559947</v>
      </c>
      <c r="L8" s="24"/>
      <c r="M8" s="24"/>
      <c r="N8" s="24"/>
      <c r="O8" s="24"/>
    </row>
    <row r="9" spans="1:17" ht="21" customHeight="1">
      <c r="B9" s="26" t="s">
        <v>26</v>
      </c>
      <c r="C9" s="52">
        <v>6011871</v>
      </c>
      <c r="D9" s="52">
        <v>0</v>
      </c>
      <c r="E9" s="52">
        <v>2255406902</v>
      </c>
      <c r="F9" s="52">
        <v>3658874</v>
      </c>
      <c r="G9" s="52">
        <f>SUMIFS(SubidosIRF!$S:$S,SubidosIRF!$M:$M,B9,SubidosIRF!I:I,"PH")+SUMIFS(SubidosIIF!$R:$R,SubidosIIF!$M:$M,$B9,SubidosIIF!$I:$I,"PH")+SUMIFS(SubidosIRF!$S:$S,SubidosIRF!$M:$M,B9,SubidosIRF!I:I,"PHOD")+SUMIFS(SubidosIIF!$R:$R,SubidosIIF!$M:$M,$B9,SubidosIIF!$I:$I,"PHOD")</f>
        <v>0</v>
      </c>
      <c r="H9" s="52">
        <f>SUMIFS(SubidosIRF!$S:$S,SubidosIRF!$L:$L,ResumenFondos!$B9,SubidosIRF!I:I,"PH")+SUMIFS(SubidosIIF!$R:$R,SubidosIIF!$L:$L,ResumenFondos!B9,SubidosIIF!I:I,"PH")+SUMIFS(SubidosIRF!$S:$S,SubidosIRF!$L:$L,ResumenFondos!$B9,SubidosIRF!I:I,"PHOD")+SUMIFS(SubidosIIF!$R:$R,SubidosIIF!$L:$L,ResumenFondos!B9,SubidosIIF!I:I,"PHOD")</f>
        <v>2269195200</v>
      </c>
      <c r="I9" s="52">
        <f>SUMIFS(SubidosIRF!$S:$S,SubidosIRF!$M:$M,B9,SubidosIRF!I:I,"PM")+SUMIFS(SubidosIIF!$R:$R,SubidosIIF!$M:$M,$B9,SubidosIIF!$I:$I,"PM")+SUMIFS(SubidosIRF!$S:$S,SubidosIRF!$M:$M,B9,SubidosIRF!I:I,"PMOD")+SUMIFS(SubidosIIF!$R:$R,SubidosIIF!$M:$M,$B9,SubidosIIF!$I:$I,"PMOD")</f>
        <v>0</v>
      </c>
      <c r="J9" s="52">
        <f>SUMIFS(SubidosIRF!$S:$S,SubidosIRF!$L:$L,ResumenFondos!$B9,SubidosIRF!$I:$I,"PM")+SUMIFS(SubidosIIF!$R:$R,SubidosIIF!$L:$L,ResumenFondos!B9,SubidosIIF!$I:$I,"PM")+SUMIFS(SubidosIRF!$S:$S,SubidosIRF!$L:$L,ResumenFondos!$B9,SubidosIRF!$I:$I,"PMOD")+SUMIFS(SubidosIIF!$R:$R,SubidosIIF!$L:$L,ResumenFondos!B9,SubidosIIF!$I:$I,"PMOD")</f>
        <v>0</v>
      </c>
      <c r="K9" s="54">
        <f>+ResumenFondos!$C9+ResumenFondos!$D9-ResumenFondos!$E9+ResumenFondos!$F9-ResumenFondos!$G9+ResumenFondos!$H9</f>
        <v>23459043</v>
      </c>
      <c r="L9" s="24"/>
      <c r="M9" s="66"/>
      <c r="N9" s="24"/>
      <c r="O9" s="24"/>
    </row>
    <row r="10" spans="1:17" ht="21" customHeight="1">
      <c r="B10" s="28" t="s">
        <v>48</v>
      </c>
      <c r="C10" s="53">
        <v>2506280</v>
      </c>
      <c r="D10" s="53">
        <v>0</v>
      </c>
      <c r="E10" s="53">
        <v>0</v>
      </c>
      <c r="F10" s="53"/>
      <c r="G10" s="52">
        <f>SUMIFS(SubidosIRF!$S:$S,SubidosIRF!$M:$M,B10,SubidosIRF!I:I,"PH")+SUMIFS(SubidosIIF!$R:$R,SubidosIIF!$M:$M,$B10,SubidosIIF!$I:$I,"PH")+SUMIFS(SubidosIRF!$S:$S,SubidosIRF!$M:$M,B10,SubidosIRF!I:I,"PHOD")+SUMIFS(SubidosIIF!$R:$R,SubidosIIF!$M:$M,$B10,SubidosIIF!$I:$I,"PHOD")</f>
        <v>0</v>
      </c>
      <c r="H10" s="53">
        <f>SUMIFS(SubidosIRF!$S:$S,SubidosIRF!$L:$L,ResumenFondos!$B10,SubidosIRF!I:I,"PH")+SUMIFS(SubidosIIF!$R:$R,SubidosIIF!$L:$L,ResumenFondos!B10,SubidosIIF!I:I,"PH")+SUMIFS(SubidosIRF!$S:$S,SubidosIRF!$L:$L,ResumenFondos!$B10,SubidosIRF!I:I,"PHOD")+SUMIFS(SubidosIIF!$R:$R,SubidosIIF!$L:$L,ResumenFondos!B10,SubidosIIF!I:I,"PHOD")</f>
        <v>0</v>
      </c>
      <c r="I10" s="53">
        <f>SUMIFS(SubidosIRF!$S:$S,SubidosIRF!$M:$M,B10,SubidosIRF!I:I,"PM")+SUMIFS(SubidosIIF!$R:$R,SubidosIIF!$M:$M,$B10,SubidosIIF!$I:$I,"PM")+SUMIFS(SubidosIRF!$S:$S,SubidosIRF!$M:$M,B10,SubidosIRF!I:I,"PMOD")+SUMIFS(SubidosIIF!$R:$R,SubidosIIF!$M:$M,$B10,SubidosIIF!$I:$I,"PMOD")</f>
        <v>0</v>
      </c>
      <c r="J10" s="53">
        <f>SUMIFS(SubidosIRF!$S:$S,SubidosIRF!$L:$L,ResumenFondos!$B10,SubidosIRF!$I:$I,"PM")+SUMIFS(SubidosIIF!$R:$R,SubidosIIF!$L:$L,ResumenFondos!B10,SubidosIIF!$I:$I,"PM")+SUMIFS(SubidosIRF!$S:$S,SubidosIRF!$L:$L,ResumenFondos!$B10,SubidosIRF!$I:$I,"PMOD")+SUMIFS(SubidosIIF!$R:$R,SubidosIIF!$L:$L,ResumenFondos!B10,SubidosIIF!$I:$I,"PMOD")</f>
        <v>0</v>
      </c>
      <c r="K10" s="56">
        <f>+ResumenFondos!$C10+ResumenFondos!$D10-ResumenFondos!$E10+ResumenFondos!$F10-ResumenFondos!$G10+ResumenFondos!$H10</f>
        <v>2506280</v>
      </c>
      <c r="L10" s="24"/>
      <c r="M10" s="66"/>
      <c r="N10" s="24"/>
      <c r="O10" s="24"/>
    </row>
    <row r="11" spans="1:17" ht="21" customHeight="1">
      <c r="B11" s="26" t="s">
        <v>27</v>
      </c>
      <c r="C11" s="52">
        <v>60090502</v>
      </c>
      <c r="D11" s="52">
        <v>0</v>
      </c>
      <c r="E11" s="52">
        <v>0</v>
      </c>
      <c r="F11" s="63"/>
      <c r="G11" s="52">
        <f>SUMIFS(SubidosIRF!$S:$S,SubidosIRF!$M:$M,B11,SubidosIRF!I:I,"PH")+SUMIFS(SubidosIIF!$R:$R,SubidosIIF!$M:$M,$B11,SubidosIIF!$I:$I,"PH")+SUMIFS(SubidosIRF!$S:$S,SubidosIRF!$M:$M,B11,SubidosIRF!I:I,"PHOD")+SUMIFS(SubidosIIF!$R:$R,SubidosIIF!$M:$M,$B11,SubidosIIF!$I:$I,"PHOD")</f>
        <v>0</v>
      </c>
      <c r="H11" s="52">
        <f>SUMIFS(SubidosIRF!$S:$S,SubidosIRF!$L:$L,ResumenFondos!$B11,SubidosIRF!I:I,"PH")+SUMIFS(SubidosIIF!$R:$R,SubidosIIF!$L:$L,ResumenFondos!B11,SubidosIIF!I:I,"PH")+SUMIFS(SubidosIRF!$S:$S,SubidosIRF!$L:$L,ResumenFondos!$B11,SubidosIRF!I:I,"PHOD")+SUMIFS(SubidosIIF!$R:$R,SubidosIIF!$L:$L,ResumenFondos!B11,SubidosIIF!I:I,"PHOD")</f>
        <v>0</v>
      </c>
      <c r="I11" s="52">
        <f>SUMIFS(SubidosIRF!$S:$S,SubidosIRF!$M:$M,B11,SubidosIRF!I:I,"PM")+SUMIFS(SubidosIIF!$R:$R,SubidosIIF!$M:$M,$B11,SubidosIIF!$I:$I,"PM")+SUMIFS(SubidosIRF!$S:$S,SubidosIRF!$M:$M,B11,SubidosIRF!I:I,"PMOD")+SUMIFS(SubidosIIF!$R:$R,SubidosIIF!$M:$M,$B11,SubidosIIF!$I:$I,"PMOD")</f>
        <v>0</v>
      </c>
      <c r="J11" s="52">
        <f>SUMIFS(SubidosIRF!$S:$S,SubidosIRF!$L:$L,ResumenFondos!$B11,SubidosIRF!$I:$I,"PM")+SUMIFS(SubidosIIF!$R:$R,SubidosIIF!$L:$L,ResumenFondos!B11,SubidosIIF!$I:$I,"PM")+SUMIFS(SubidosIRF!$S:$S,SubidosIRF!$L:$L,ResumenFondos!$B11,SubidosIRF!$I:$I,"PMOD")+SUMIFS(SubidosIIF!$R:$R,SubidosIIF!$L:$L,ResumenFondos!B11,SubidosIIF!$I:$I,"PMOD")</f>
        <v>0</v>
      </c>
      <c r="K11" s="54">
        <f>+ResumenFondos!$C11+ResumenFondos!$D11-ResumenFondos!$E11+ResumenFondos!$F11-ResumenFondos!$G11+ResumenFondos!$H11</f>
        <v>60090502</v>
      </c>
      <c r="L11" s="24"/>
      <c r="M11" s="29"/>
      <c r="N11" s="24"/>
      <c r="O11" s="24"/>
    </row>
    <row r="12" spans="1:17" ht="21" customHeight="1">
      <c r="B12" s="28" t="s">
        <v>28</v>
      </c>
      <c r="C12" s="53">
        <v>12800895</v>
      </c>
      <c r="D12" s="53">
        <v>517389065</v>
      </c>
      <c r="E12" s="53">
        <v>0</v>
      </c>
      <c r="F12" s="53"/>
      <c r="G12" s="52">
        <f>SUMIFS(SubidosIRF!$S:$S,SubidosIRF!$M:$M,B12,SubidosIRF!I:I,"PH")+SUMIFS(SubidosIIF!$R:$R,SubidosIIF!$M:$M,$B12,SubidosIIF!$I:$I,"PH")+SUMIFS(SubidosIRF!$S:$S,SubidosIRF!$M:$M,B12,SubidosIRF!I:I,"PHOD")+SUMIFS(SubidosIIF!$R:$R,SubidosIIF!$M:$M,$B12,SubidosIIF!$I:$I,"PHOD")</f>
        <v>497155669</v>
      </c>
      <c r="H12" s="53">
        <f>SUMIFS(SubidosIRF!$S:$S,SubidosIRF!$L:$L,ResumenFondos!$B12,SubidosIRF!I:I,"PH")+SUMIFS(SubidosIIF!$R:$R,SubidosIIF!$L:$L,ResumenFondos!B12,SubidosIIF!I:I,"PH")+SUMIFS(SubidosIRF!$S:$S,SubidosIRF!$L:$L,ResumenFondos!$B12,SubidosIRF!I:I,"PHOD")+SUMIFS(SubidosIIF!$R:$R,SubidosIIF!$L:$L,ResumenFondos!B12,SubidosIIF!I:I,"PHOD")</f>
        <v>0</v>
      </c>
      <c r="I12" s="53">
        <f>SUMIFS(SubidosIRF!$S:$S,SubidosIRF!$M:$M,B12,SubidosIRF!I:I,"PM")+SUMIFS(SubidosIIF!$R:$R,SubidosIIF!$M:$M,$B12,SubidosIIF!$I:$I,"PM")+SUMIFS(SubidosIRF!$S:$S,SubidosIRF!$M:$M,B12,SubidosIRF!I:I,"PMOD")+SUMIFS(SubidosIIF!$R:$R,SubidosIIF!$M:$M,$B12,SubidosIIF!$I:$I,"PMOD")</f>
        <v>0</v>
      </c>
      <c r="J12" s="53">
        <f>SUMIFS(SubidosIRF!$S:$S,SubidosIRF!$L:$L,ResumenFondos!$B12,SubidosIRF!$I:$I,"PM")+SUMIFS(SubidosIIF!$R:$R,SubidosIIF!$L:$L,ResumenFondos!B12,SubidosIIF!$I:$I,"PM")+SUMIFS(SubidosIRF!$S:$S,SubidosIRF!$L:$L,ResumenFondos!$B12,SubidosIRF!$I:$I,"PMOD")+SUMIFS(SubidosIIF!$R:$R,SubidosIIF!$L:$L,ResumenFondos!B12,SubidosIIF!$I:$I,"PMOD")</f>
        <v>0</v>
      </c>
      <c r="K12" s="56">
        <f>+ResumenFondos!$C12+ResumenFondos!$D12-ResumenFondos!$E12+ResumenFondos!$F12-ResumenFondos!$G12+ResumenFondos!$H12</f>
        <v>33034291</v>
      </c>
      <c r="L12" s="24"/>
      <c r="N12" s="24"/>
      <c r="O12" s="24"/>
    </row>
    <row r="13" spans="1:17" ht="21" customHeight="1" thickBot="1">
      <c r="B13" s="26" t="s">
        <v>29</v>
      </c>
      <c r="C13" s="52">
        <v>45878600</v>
      </c>
      <c r="D13" s="52">
        <v>0</v>
      </c>
      <c r="E13" s="52">
        <v>0</v>
      </c>
      <c r="F13" s="52"/>
      <c r="G13" s="52">
        <f>SUMIFS(SubidosIRF!$S:$S,SubidosIRF!$M:$M,B13,SubidosIRF!I:I,"PH")+SUMIFS(SubidosIIF!$R:$R,SubidosIIF!$M:$M,$B13,SubidosIIF!$I:$I,"PH")+SUMIFS(SubidosIRF!$S:$S,SubidosIRF!$M:$M,B13,SubidosIRF!I:I,"PHOD")+SUMIFS(SubidosIIF!$R:$R,SubidosIIF!$M:$M,$B13,SubidosIIF!$I:$I,"PHOD")</f>
        <v>0</v>
      </c>
      <c r="H13" s="52">
        <f>SUMIFS(SubidosIRF!$S:$S,SubidosIRF!$L:$L,ResumenFondos!$B13,SubidosIRF!I:I,"PH")+SUMIFS(SubidosIIF!$R:$R,SubidosIIF!$L:$L,ResumenFondos!B13,SubidosIIF!I:I,"PH")+SUMIFS(SubidosIRF!$S:$S,SubidosIRF!$L:$L,ResumenFondos!$B13,SubidosIRF!I:I,"PHOD")+SUMIFS(SubidosIIF!$R:$R,SubidosIIF!$L:$L,ResumenFondos!B13,SubidosIIF!I:I,"PHOD")</f>
        <v>0</v>
      </c>
      <c r="I13" s="52">
        <f>SUMIFS(SubidosIRF!$S:$S,SubidosIRF!$M:$M,B13,SubidosIRF!I:I,"PM")+SUMIFS(SubidosIIF!$R:$R,SubidosIIF!$M:$M,$B13,SubidosIIF!$I:$I,"PM")+SUMIFS(SubidosIRF!$S:$S,SubidosIRF!$M:$M,B13,SubidosIRF!I:I,"PMOD")+SUMIFS(SubidosIIF!$R:$R,SubidosIIF!$M:$M,$B13,SubidosIIF!$I:$I,"PMOD")</f>
        <v>0</v>
      </c>
      <c r="J13" s="52">
        <f>SUMIFS(SubidosIRF!$S:$S,SubidosIRF!$L:$L,ResumenFondos!$B13,SubidosIRF!$I:$I,"PM")+SUMIFS(SubidosIIF!$R:$R,SubidosIIF!$L:$L,ResumenFondos!B13,SubidosIIF!$I:$I,"PM")+SUMIFS(SubidosIRF!$S:$S,SubidosIRF!$L:$L,ResumenFondos!$B13,SubidosIRF!$I:$I,"PMOD")+SUMIFS(SubidosIIF!$R:$R,SubidosIIF!$L:$L,ResumenFondos!B13,SubidosIIF!$I:$I,"PMOD")</f>
        <v>0</v>
      </c>
      <c r="K13" s="54">
        <f>+ResumenFondos!$C13+ResumenFondos!$D13-ResumenFondos!$E13+ResumenFondos!$F13-ResumenFondos!$G13+ResumenFondos!$H13</f>
        <v>45878600</v>
      </c>
      <c r="L13" s="24"/>
      <c r="M13" s="24"/>
      <c r="N13" s="24"/>
      <c r="O13" s="24"/>
    </row>
    <row r="14" spans="1:17" ht="21" customHeight="1" thickTop="1" thickBot="1">
      <c r="B14" s="30" t="s">
        <v>49</v>
      </c>
      <c r="C14" s="57"/>
      <c r="D14" s="57"/>
      <c r="E14" s="57"/>
      <c r="F14" s="57"/>
      <c r="G14" s="57">
        <f t="shared" ref="G14:J14" si="0">+SUM(G6:G13)</f>
        <v>1175116606</v>
      </c>
      <c r="H14" s="57">
        <f t="shared" si="0"/>
        <v>3315586538</v>
      </c>
      <c r="I14" s="57">
        <f t="shared" si="0"/>
        <v>297839788</v>
      </c>
      <c r="J14" s="57">
        <f t="shared" si="0"/>
        <v>0</v>
      </c>
      <c r="K14" s="57">
        <f>+SUM(K6:K13)</f>
        <v>236176880.09</v>
      </c>
      <c r="L14" s="24"/>
    </row>
    <row r="15" spans="1:17">
      <c r="L15" s="24"/>
    </row>
    <row r="16" spans="1:17" ht="21" thickBot="1">
      <c r="B16" s="20" t="s">
        <v>45</v>
      </c>
      <c r="L16" s="24"/>
      <c r="Q16" s="31"/>
    </row>
    <row r="17" spans="2:17" ht="21" customHeight="1" thickBot="1">
      <c r="B17" s="32" t="s">
        <v>15</v>
      </c>
      <c r="C17" s="32" t="s">
        <v>37</v>
      </c>
      <c r="D17" s="32" t="s">
        <v>38</v>
      </c>
      <c r="E17" s="32" t="s">
        <v>39</v>
      </c>
      <c r="F17" s="32" t="s">
        <v>41</v>
      </c>
      <c r="G17" s="32" t="s">
        <v>40</v>
      </c>
      <c r="H17" s="32" t="s">
        <v>43</v>
      </c>
      <c r="I17" s="32" t="s">
        <v>46</v>
      </c>
      <c r="J17" s="32" t="s">
        <v>47</v>
      </c>
      <c r="K17" s="32" t="s">
        <v>42</v>
      </c>
      <c r="L17" s="43" t="s">
        <v>56</v>
      </c>
      <c r="M17" s="43" t="s">
        <v>57</v>
      </c>
    </row>
    <row r="18" spans="2:17" ht="21" customHeight="1">
      <c r="B18" s="33" t="s">
        <v>44</v>
      </c>
      <c r="C18" s="58">
        <f>+B30</f>
        <v>5898301.9178446531</v>
      </c>
      <c r="D18" s="58"/>
      <c r="E18" s="58"/>
      <c r="F18" s="58"/>
      <c r="G18" s="58"/>
      <c r="H18" s="58"/>
      <c r="I18" s="58"/>
      <c r="J18" s="58"/>
      <c r="K18" s="59">
        <f>C18+D18+F18-G18+H18-E18</f>
        <v>5898301.9178446531</v>
      </c>
      <c r="N18" s="34"/>
      <c r="Q18" s="31"/>
    </row>
    <row r="19" spans="2:17" ht="21" customHeight="1">
      <c r="B19" s="35" t="s">
        <v>23</v>
      </c>
      <c r="C19" s="59">
        <f>+B37</f>
        <v>298669.2985526796</v>
      </c>
      <c r="D19" s="59">
        <v>200000</v>
      </c>
      <c r="E19" s="59"/>
      <c r="F19" s="59">
        <v>26</v>
      </c>
      <c r="G19" s="52">
        <f>SUMIFS(SubidosIRF!$S:$S,SubidosIRF!$M:$M,B19,SubidosIRF!I:I,"PH")+SUMIFS(SubidosIIF!$R:$R,SubidosIIF!$M:$M,$B19,SubidosIIF!$I:$I,"PH")+SUMIFS(SubidosIRF!$S:$S,SubidosIRF!$M:$M,B19,SubidosIRF!I:I,"PHOD")+SUMIFS(SubidosIIF!$R:$R,SubidosIIF!$M:$M,$B19,SubidosIIF!$I:$I,"PHOD")</f>
        <v>0</v>
      </c>
      <c r="H19" s="52">
        <f>SUMIFS(SubidosIRF!$S:$S,SubidosIRF!$L:$L,ResumenFondos!$B19,SubidosIRF!I:I,"PH")+SUMIFS(SubidosIIF!$R:$R,SubidosIIF!$L:$L,ResumenFondos!B19,SubidosIIF!I:I,"PH")+SUMIFS(SubidosIRF!$S:$S,SubidosIRF!$L:$L,ResumenFondos!$B19,SubidosIRF!I:I,"PHOD")+SUMIFS(SubidosIIF!$R:$R,SubidosIIF!$L:$L,ResumenFondos!B19,SubidosIIF!I:I,"PHOD")</f>
        <v>0</v>
      </c>
      <c r="I19" s="52">
        <f>SUMIFS(SubidosIRF!$S:$S,SubidosIRF!$M:$M,B19,SubidosIRF!I:I,"PM")+SUMIFS(SubidosIIF!$R:$R,SubidosIIF!$M:$M,$B19,SubidosIIF!$I:$I,"PM")+SUMIFS(SubidosIRF!$S:$S,SubidosIRF!$M:$M,B19,SubidosIRF!I:I,"PMOD")+SUMIFS(SubidosIIF!$R:$R,SubidosIIF!$M:$M,$B19,SubidosIIF!$I:$I,"PMOD")</f>
        <v>0</v>
      </c>
      <c r="J19" s="52">
        <f>SUMIFS(SubidosIRF!$S:$S,SubidosIRF!$L:$L,ResumenFondos!$B19,SubidosIRF!$I:$I,"PM")+SUMIFS(SubidosIIF!$R:$R,SubidosIIF!$L:$L,ResumenFondos!B19,SubidosIIF!$I:$I,"PM")+SUMIFS(SubidosIRF!$S:$S,SubidosIRF!$L:$L,ResumenFondos!$B19,SubidosIRF!$I:$I,"PMOD")+SUMIFS(SubidosIIF!$R:$R,SubidosIIF!$L:$L,ResumenFondos!B19,SubidosIIF!$I:$I,"PMOD")</f>
        <v>0</v>
      </c>
      <c r="K19" s="59">
        <f>C19+D19+F19-G19+H19-E19</f>
        <v>498695.2985526796</v>
      </c>
      <c r="L19" s="27">
        <f>+SUMIFS(SubidosIIF!R:R,SubidosIIF!M:M,"M_MARKET",SubidosIIF!K:K,"CH$")</f>
        <v>0</v>
      </c>
      <c r="M19" s="27"/>
      <c r="N19" s="34"/>
    </row>
    <row r="20" spans="2:17" ht="21" customHeight="1" thickBot="1">
      <c r="B20" s="33"/>
      <c r="C20" s="58">
        <f>+B45</f>
        <v>55801.093000001507</v>
      </c>
      <c r="D20" s="58"/>
      <c r="E20" s="58"/>
      <c r="F20" s="58"/>
      <c r="G20" s="58"/>
      <c r="H20" s="58"/>
      <c r="I20" s="58"/>
      <c r="J20" s="58"/>
      <c r="K20" s="59">
        <f>C20+D20+F20-G20+H20-E20</f>
        <v>55801.093000001507</v>
      </c>
      <c r="N20" s="31"/>
    </row>
    <row r="21" spans="2:17" ht="21" customHeight="1" thickTop="1" thickBot="1">
      <c r="B21" s="36"/>
      <c r="C21" s="37"/>
      <c r="D21" s="37"/>
      <c r="E21" s="37"/>
      <c r="F21" s="37"/>
      <c r="G21" s="37"/>
      <c r="H21" s="37"/>
      <c r="I21" s="37"/>
      <c r="J21" s="37"/>
      <c r="K21" s="37"/>
      <c r="Q21" s="31"/>
    </row>
    <row r="22" spans="2:17">
      <c r="G22" s="34"/>
    </row>
    <row r="23" spans="2:17">
      <c r="G23" s="38"/>
      <c r="H23" s="38"/>
      <c r="I23" s="38"/>
      <c r="J23" s="38"/>
      <c r="K23" s="38"/>
    </row>
    <row r="24" spans="2:17" ht="15" thickBot="1">
      <c r="D24" s="38"/>
      <c r="E24" s="38"/>
      <c r="F24" s="31"/>
      <c r="G24" s="61"/>
      <c r="H24" s="61"/>
      <c r="I24" s="61"/>
    </row>
    <row r="25" spans="2:17" ht="15.75" thickBot="1">
      <c r="B25" s="32" t="s">
        <v>52</v>
      </c>
      <c r="C25" s="32" t="s">
        <v>53</v>
      </c>
      <c r="D25" s="22" t="s">
        <v>54</v>
      </c>
      <c r="F25" s="38"/>
      <c r="G25" s="31"/>
      <c r="H25" s="61"/>
      <c r="I25" s="31"/>
    </row>
    <row r="26" spans="2:17">
      <c r="B26" s="42" t="s">
        <v>66</v>
      </c>
      <c r="C26" s="42" t="s">
        <v>22</v>
      </c>
      <c r="D26" s="12">
        <v>59762159</v>
      </c>
      <c r="F26" s="31"/>
      <c r="G26" s="31"/>
      <c r="H26" s="61"/>
    </row>
    <row r="27" spans="2:17">
      <c r="B27" s="39"/>
      <c r="D27" s="40"/>
      <c r="F27" s="31"/>
      <c r="G27" s="31"/>
      <c r="H27" s="61"/>
    </row>
    <row r="28" spans="2:17">
      <c r="F28" s="31"/>
      <c r="G28" s="31"/>
    </row>
    <row r="29" spans="2:17" ht="15" thickBot="1">
      <c r="B29" s="41"/>
      <c r="F29" s="31"/>
      <c r="G29" s="31"/>
    </row>
    <row r="30" spans="2:17">
      <c r="B30" s="44">
        <v>5898301.9178446531</v>
      </c>
      <c r="D30" s="31"/>
      <c r="F30" s="31"/>
      <c r="G30" s="38"/>
      <c r="H30" s="38"/>
      <c r="I30" s="38"/>
    </row>
    <row r="31" spans="2:17">
      <c r="B31" s="45"/>
      <c r="F31" s="31"/>
      <c r="G31" s="31"/>
    </row>
    <row r="32" spans="2:17">
      <c r="B32" s="45"/>
      <c r="G32" s="31"/>
      <c r="H32" s="31"/>
    </row>
    <row r="33" spans="2:9">
      <c r="B33" s="45"/>
    </row>
    <row r="34" spans="2:9">
      <c r="B34" s="45"/>
      <c r="G34" s="31"/>
    </row>
    <row r="35" spans="2:9">
      <c r="B35" s="45"/>
      <c r="D35" s="60"/>
      <c r="G35" s="60"/>
    </row>
    <row r="36" spans="2:9" ht="15" thickBot="1">
      <c r="B36" s="46"/>
      <c r="H36" s="60"/>
      <c r="I36" s="60"/>
    </row>
    <row r="37" spans="2:9">
      <c r="B37" s="47">
        <v>298669.2985526796</v>
      </c>
      <c r="H37" s="60"/>
    </row>
    <row r="38" spans="2:9">
      <c r="B38" s="48"/>
      <c r="H38" s="60"/>
    </row>
    <row r="39" spans="2:9">
      <c r="B39" s="48"/>
      <c r="G39" s="60"/>
    </row>
    <row r="40" spans="2:9">
      <c r="B40" s="48"/>
    </row>
    <row r="41" spans="2:9">
      <c r="B41" s="48"/>
    </row>
    <row r="42" spans="2:9">
      <c r="B42" s="48"/>
    </row>
    <row r="43" spans="2:9">
      <c r="B43" s="48"/>
      <c r="D43" s="60"/>
    </row>
    <row r="44" spans="2:9">
      <c r="B44" s="49"/>
    </row>
    <row r="45" spans="2:9">
      <c r="B45" s="49">
        <v>55801.093000001507</v>
      </c>
    </row>
    <row r="46" spans="2:9">
      <c r="B46" s="49"/>
    </row>
    <row r="47" spans="2:9">
      <c r="B47" s="49"/>
    </row>
  </sheetData>
  <conditionalFormatting sqref="K6:K13">
    <cfRule type="cellIs" dxfId="9" priority="8" operator="greaterThan">
      <formula>100000000</formula>
    </cfRule>
    <cfRule type="cellIs" dxfId="8" priority="9" operator="between">
      <formula>100000000</formula>
      <formula>0</formula>
    </cfRule>
    <cfRule type="cellIs" dxfId="7" priority="12" operator="lessThan">
      <formula>0</formula>
    </cfRule>
  </conditionalFormatting>
  <conditionalFormatting sqref="K18:K20">
    <cfRule type="cellIs" dxfId="6" priority="1" operator="greaterThan">
      <formula>100000000</formula>
    </cfRule>
    <cfRule type="cellIs" dxfId="5" priority="2" operator="between">
      <formula>100000000</formula>
      <formula>0</formula>
    </cfRule>
    <cfRule type="cellIs" dxfId="4" priority="3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ctualizarYaSubidos">
                <anchor moveWithCells="1" sizeWithCells="1">
                  <from>
                    <xdr:col>0</xdr:col>
                    <xdr:colOff>85725</xdr:colOff>
                    <xdr:row>5</xdr:row>
                    <xdr:rowOff>180975</xdr:rowOff>
                  </from>
                  <to>
                    <xdr:col>0</xdr:col>
                    <xdr:colOff>1495425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rabarEnviar">
                <anchor moveWithCells="1" sizeWithCells="1">
                  <from>
                    <xdr:col>0</xdr:col>
                    <xdr:colOff>95250</xdr:colOff>
                    <xdr:row>10</xdr:row>
                    <xdr:rowOff>47625</xdr:rowOff>
                  </from>
                  <to>
                    <xdr:col>0</xdr:col>
                    <xdr:colOff>1504950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2:S58"/>
  <sheetViews>
    <sheetView workbookViewId="0">
      <selection activeCell="C3" sqref="C3"/>
    </sheetView>
  </sheetViews>
  <sheetFormatPr baseColWidth="10" defaultRowHeight="14.25"/>
  <cols>
    <col min="1" max="1" width="10.125" style="6" bestFit="1" customWidth="1"/>
    <col min="2" max="2" width="4" style="6" bestFit="1" customWidth="1"/>
    <col min="3" max="3" width="6.625" style="6" customWidth="1"/>
    <col min="4" max="4" width="4.25" style="6" bestFit="1" customWidth="1"/>
    <col min="5" max="5" width="6.875" style="6" customWidth="1"/>
    <col min="6" max="6" width="6" style="6" customWidth="1"/>
    <col min="7" max="7" width="7.25" style="6" bestFit="1" customWidth="1"/>
    <col min="8" max="8" width="13.5" style="6" customWidth="1"/>
    <col min="9" max="9" width="5.625" style="6" bestFit="1" customWidth="1"/>
    <col min="10" max="10" width="4.25" style="6" customWidth="1"/>
    <col min="11" max="11" width="10" style="6" customWidth="1"/>
    <col min="12" max="12" width="10.625" style="6" bestFit="1" customWidth="1"/>
    <col min="13" max="13" width="12.125" style="6" bestFit="1" customWidth="1"/>
    <col min="14" max="14" width="10.75" style="6" bestFit="1" customWidth="1"/>
    <col min="15" max="15" width="10.125" style="6" bestFit="1" customWidth="1"/>
    <col min="16" max="16" width="10.5" style="6" customWidth="1"/>
    <col min="17" max="17" width="8.625" style="6" customWidth="1"/>
    <col min="18" max="18" width="5.375" style="6" bestFit="1" customWidth="1"/>
    <col min="19" max="19" width="11.875" style="6" bestFit="1" customWidth="1"/>
    <col min="20" max="20" width="6.875" style="6" customWidth="1"/>
    <col min="21" max="21" width="6" style="6" customWidth="1"/>
    <col min="22" max="22" width="10.5" style="6" customWidth="1"/>
    <col min="23" max="23" width="11.375" style="6" customWidth="1"/>
    <col min="24" max="24" width="10.875" style="6" customWidth="1"/>
    <col min="25" max="25" width="20.25" style="6" customWidth="1"/>
    <col min="26" max="26" width="13.25" style="6" customWidth="1"/>
    <col min="27" max="16384" width="11" style="6"/>
  </cols>
  <sheetData>
    <row r="2" spans="1:19">
      <c r="A2" s="6" t="s">
        <v>12</v>
      </c>
      <c r="B2" s="6" t="s">
        <v>0</v>
      </c>
      <c r="C2" s="6" t="s">
        <v>13</v>
      </c>
      <c r="D2" s="6" t="s">
        <v>1</v>
      </c>
      <c r="E2" s="6" t="s">
        <v>14</v>
      </c>
      <c r="F2" s="6" t="s">
        <v>2</v>
      </c>
      <c r="G2" s="6" t="s">
        <v>3</v>
      </c>
      <c r="H2" s="6" t="s">
        <v>4</v>
      </c>
      <c r="I2" s="6" t="s">
        <v>9</v>
      </c>
      <c r="J2" s="6" t="s">
        <v>5</v>
      </c>
      <c r="K2" s="6" t="s">
        <v>6</v>
      </c>
      <c r="L2" s="6" t="s">
        <v>8</v>
      </c>
      <c r="M2" s="6" t="s">
        <v>7</v>
      </c>
      <c r="N2" s="6" t="s">
        <v>10</v>
      </c>
      <c r="O2" s="6" t="s">
        <v>11</v>
      </c>
      <c r="P2" s="6" t="s">
        <v>16</v>
      </c>
      <c r="Q2" s="6" t="s">
        <v>17</v>
      </c>
      <c r="R2" s="6" t="s">
        <v>18</v>
      </c>
      <c r="S2" s="6" t="s">
        <v>19</v>
      </c>
    </row>
    <row r="3" spans="1:19">
      <c r="A3" s="6" t="s">
        <v>66</v>
      </c>
      <c r="B3" s="6">
        <v>82</v>
      </c>
      <c r="D3" s="6">
        <v>66</v>
      </c>
      <c r="E3" s="6">
        <v>4</v>
      </c>
      <c r="F3" s="6" t="s">
        <v>67</v>
      </c>
      <c r="G3" s="6">
        <v>20204</v>
      </c>
      <c r="H3" s="6" t="s">
        <v>68</v>
      </c>
      <c r="I3" s="6" t="s">
        <v>69</v>
      </c>
      <c r="J3" s="6" t="s">
        <v>5</v>
      </c>
      <c r="K3" s="6" t="s">
        <v>60</v>
      </c>
      <c r="M3" s="6" t="s">
        <v>24</v>
      </c>
      <c r="N3" s="6">
        <v>500</v>
      </c>
      <c r="O3" s="7" t="s">
        <v>70</v>
      </c>
      <c r="P3" s="6">
        <v>0.11</v>
      </c>
      <c r="Q3" s="6">
        <v>100.23</v>
      </c>
      <c r="R3" s="6">
        <v>0.7</v>
      </c>
      <c r="S3" s="6">
        <v>13536680</v>
      </c>
    </row>
    <row r="4" spans="1:19">
      <c r="A4" s="64" t="s">
        <v>66</v>
      </c>
      <c r="B4" s="64">
        <v>35</v>
      </c>
      <c r="C4" s="64"/>
      <c r="D4" s="64">
        <v>66</v>
      </c>
      <c r="E4" s="64">
        <v>4</v>
      </c>
      <c r="F4" s="64" t="s">
        <v>67</v>
      </c>
      <c r="G4" s="64">
        <v>20168</v>
      </c>
      <c r="H4" s="64" t="s">
        <v>58</v>
      </c>
      <c r="I4" s="64" t="s">
        <v>69</v>
      </c>
      <c r="J4" s="64" t="s">
        <v>5</v>
      </c>
      <c r="K4" s="64" t="s">
        <v>60</v>
      </c>
      <c r="L4" s="64"/>
      <c r="M4" s="64" t="s">
        <v>24</v>
      </c>
      <c r="N4" s="64">
        <v>500</v>
      </c>
      <c r="O4" s="65" t="s">
        <v>61</v>
      </c>
      <c r="P4" s="64">
        <v>0.03</v>
      </c>
      <c r="Q4" s="64">
        <v>100.07</v>
      </c>
      <c r="R4" s="64">
        <v>0.61</v>
      </c>
      <c r="S4" s="64">
        <v>13569502</v>
      </c>
    </row>
    <row r="5" spans="1:19">
      <c r="A5" s="64" t="s">
        <v>66</v>
      </c>
      <c r="B5" s="64">
        <v>35</v>
      </c>
      <c r="C5" s="64"/>
      <c r="D5" s="64">
        <v>66</v>
      </c>
      <c r="E5" s="64">
        <v>3</v>
      </c>
      <c r="F5" s="64" t="s">
        <v>74</v>
      </c>
      <c r="G5" s="64">
        <v>202311</v>
      </c>
      <c r="H5" s="64" t="s">
        <v>75</v>
      </c>
      <c r="I5" s="64" t="s">
        <v>69</v>
      </c>
      <c r="J5" s="64" t="s">
        <v>5</v>
      </c>
      <c r="K5" s="64" t="s">
        <v>60</v>
      </c>
      <c r="L5" s="64"/>
      <c r="M5" s="64" t="s">
        <v>77</v>
      </c>
      <c r="N5" s="64">
        <v>500</v>
      </c>
      <c r="O5" s="65" t="s">
        <v>76</v>
      </c>
      <c r="P5" s="64">
        <v>5.34</v>
      </c>
      <c r="Q5" s="64">
        <v>104.3</v>
      </c>
      <c r="R5" s="64">
        <v>2.4300000000000002</v>
      </c>
      <c r="S5" s="64">
        <v>8951373.6666666698</v>
      </c>
    </row>
    <row r="6" spans="1:19">
      <c r="A6" s="64" t="s">
        <v>66</v>
      </c>
      <c r="B6" s="64">
        <v>35</v>
      </c>
      <c r="C6" s="64"/>
      <c r="D6" s="64">
        <v>66</v>
      </c>
      <c r="E6" s="64">
        <v>3</v>
      </c>
      <c r="F6" s="64" t="s">
        <v>74</v>
      </c>
      <c r="G6" s="64">
        <v>202312</v>
      </c>
      <c r="H6" s="64" t="s">
        <v>75</v>
      </c>
      <c r="I6" s="64" t="s">
        <v>69</v>
      </c>
      <c r="J6" s="64" t="s">
        <v>5</v>
      </c>
      <c r="K6" s="64" t="s">
        <v>60</v>
      </c>
      <c r="L6" s="64"/>
      <c r="M6" s="64" t="s">
        <v>78</v>
      </c>
      <c r="N6" s="64">
        <v>500</v>
      </c>
      <c r="O6" s="65" t="s">
        <v>76</v>
      </c>
      <c r="P6" s="64">
        <v>5.34</v>
      </c>
      <c r="Q6" s="64">
        <v>104.3</v>
      </c>
      <c r="R6" s="64">
        <v>2.4300000000000002</v>
      </c>
      <c r="S6" s="64">
        <v>8951373.6666666698</v>
      </c>
    </row>
    <row r="7" spans="1:19">
      <c r="A7" s="64" t="s">
        <v>66</v>
      </c>
      <c r="B7" s="64">
        <v>35</v>
      </c>
      <c r="C7" s="64"/>
      <c r="D7" s="64">
        <v>66</v>
      </c>
      <c r="E7" s="64">
        <v>3</v>
      </c>
      <c r="F7" s="64" t="s">
        <v>74</v>
      </c>
      <c r="G7" s="64">
        <v>20231</v>
      </c>
      <c r="H7" s="64" t="s">
        <v>75</v>
      </c>
      <c r="I7" s="64" t="s">
        <v>69</v>
      </c>
      <c r="J7" s="64" t="s">
        <v>5</v>
      </c>
      <c r="K7" s="64" t="s">
        <v>60</v>
      </c>
      <c r="L7" s="64"/>
      <c r="M7" s="64" t="s">
        <v>77</v>
      </c>
      <c r="N7" s="64">
        <v>500</v>
      </c>
      <c r="O7" s="65" t="s">
        <v>76</v>
      </c>
      <c r="P7" s="64">
        <v>5.34</v>
      </c>
      <c r="Q7" s="64">
        <v>104.3</v>
      </c>
      <c r="R7" s="64">
        <v>2.4300000000000002</v>
      </c>
      <c r="S7" s="64">
        <v>8951373.6666666698</v>
      </c>
    </row>
    <row r="8" spans="1:19">
      <c r="A8" s="64" t="s">
        <v>66</v>
      </c>
      <c r="B8" s="64">
        <v>54</v>
      </c>
      <c r="C8" s="64"/>
      <c r="D8" s="64">
        <v>66</v>
      </c>
      <c r="E8" s="64">
        <v>4</v>
      </c>
      <c r="F8" s="64" t="s">
        <v>74</v>
      </c>
      <c r="G8" s="64">
        <v>20257</v>
      </c>
      <c r="H8" s="64" t="s">
        <v>68</v>
      </c>
      <c r="I8" s="64" t="s">
        <v>69</v>
      </c>
      <c r="J8" s="64" t="s">
        <v>5</v>
      </c>
      <c r="K8" s="64" t="s">
        <v>60</v>
      </c>
      <c r="L8" s="64"/>
      <c r="M8" s="64" t="s">
        <v>24</v>
      </c>
      <c r="N8" s="64">
        <v>5000</v>
      </c>
      <c r="O8" s="65" t="s">
        <v>70</v>
      </c>
      <c r="P8" s="64">
        <v>0.11</v>
      </c>
      <c r="Q8" s="64">
        <v>100.23</v>
      </c>
      <c r="R8" s="64">
        <v>0.76</v>
      </c>
      <c r="S8" s="64">
        <v>135366803</v>
      </c>
    </row>
    <row r="9" spans="1:19">
      <c r="A9" s="64" t="s">
        <v>66</v>
      </c>
      <c r="B9" s="64">
        <v>54</v>
      </c>
      <c r="C9" s="64"/>
      <c r="D9" s="64">
        <v>66</v>
      </c>
      <c r="E9" s="64">
        <v>4</v>
      </c>
      <c r="F9" s="64" t="s">
        <v>74</v>
      </c>
      <c r="G9" s="64">
        <v>20258</v>
      </c>
      <c r="H9" s="64" t="s">
        <v>68</v>
      </c>
      <c r="I9" s="64" t="s">
        <v>69</v>
      </c>
      <c r="J9" s="64" t="s">
        <v>5</v>
      </c>
      <c r="K9" s="64" t="s">
        <v>60</v>
      </c>
      <c r="L9" s="64"/>
      <c r="M9" s="64" t="s">
        <v>22</v>
      </c>
      <c r="N9" s="64">
        <v>5000</v>
      </c>
      <c r="O9" s="65" t="s">
        <v>70</v>
      </c>
      <c r="P9" s="64">
        <v>0.11</v>
      </c>
      <c r="Q9" s="64">
        <v>100.23</v>
      </c>
      <c r="R9" s="64">
        <v>0.76</v>
      </c>
      <c r="S9" s="64">
        <v>135366803</v>
      </c>
    </row>
    <row r="10" spans="1:19">
      <c r="A10" s="64" t="s">
        <v>66</v>
      </c>
      <c r="B10" s="64">
        <v>66</v>
      </c>
      <c r="C10" s="64">
        <v>3</v>
      </c>
      <c r="D10" s="64">
        <v>86</v>
      </c>
      <c r="E10" s="64"/>
      <c r="F10" s="64" t="s">
        <v>79</v>
      </c>
      <c r="G10" s="64">
        <v>20374</v>
      </c>
      <c r="H10" s="64" t="s">
        <v>80</v>
      </c>
      <c r="I10" s="64" t="s">
        <v>69</v>
      </c>
      <c r="J10" s="64" t="s">
        <v>5</v>
      </c>
      <c r="K10" s="64" t="s">
        <v>60</v>
      </c>
      <c r="L10" s="64" t="s">
        <v>82</v>
      </c>
      <c r="M10" s="64"/>
      <c r="N10" s="64">
        <v>1000</v>
      </c>
      <c r="O10" s="65" t="s">
        <v>81</v>
      </c>
      <c r="P10" s="64">
        <v>5.79</v>
      </c>
      <c r="Q10" s="64">
        <v>109.35</v>
      </c>
      <c r="R10" s="64">
        <v>2.2000000000000002</v>
      </c>
      <c r="S10" s="64">
        <v>29715981</v>
      </c>
    </row>
    <row r="11" spans="1:19">
      <c r="A11" s="64" t="s">
        <v>66</v>
      </c>
      <c r="B11" s="64">
        <v>66</v>
      </c>
      <c r="C11" s="64">
        <v>1</v>
      </c>
      <c r="D11" s="64">
        <v>86</v>
      </c>
      <c r="E11" s="64"/>
      <c r="F11" s="64" t="s">
        <v>62</v>
      </c>
      <c r="G11" s="64">
        <v>161073</v>
      </c>
      <c r="H11" s="64" t="s">
        <v>63</v>
      </c>
      <c r="I11" s="64" t="s">
        <v>59</v>
      </c>
      <c r="J11" s="64" t="s">
        <v>5</v>
      </c>
      <c r="K11" s="64" t="s">
        <v>60</v>
      </c>
      <c r="L11" s="64" t="s">
        <v>26</v>
      </c>
      <c r="M11" s="64"/>
      <c r="N11" s="64">
        <v>10000</v>
      </c>
      <c r="O11" s="65" t="s">
        <v>64</v>
      </c>
      <c r="P11" s="64">
        <v>3.2</v>
      </c>
      <c r="Q11" s="64">
        <v>100.75</v>
      </c>
      <c r="R11" s="64">
        <v>1.27</v>
      </c>
      <c r="S11" s="64">
        <v>269790135</v>
      </c>
    </row>
    <row r="12" spans="1:19">
      <c r="A12" s="64" t="s">
        <v>66</v>
      </c>
      <c r="B12" s="64">
        <v>66</v>
      </c>
      <c r="C12" s="64">
        <v>1</v>
      </c>
      <c r="D12" s="64">
        <v>58</v>
      </c>
      <c r="E12" s="64"/>
      <c r="F12" s="64" t="s">
        <v>62</v>
      </c>
      <c r="G12" s="64">
        <v>161111</v>
      </c>
      <c r="H12" s="64" t="s">
        <v>63</v>
      </c>
      <c r="I12" s="64" t="s">
        <v>59</v>
      </c>
      <c r="J12" s="64" t="s">
        <v>5</v>
      </c>
      <c r="K12" s="64" t="s">
        <v>60</v>
      </c>
      <c r="L12" s="64" t="s">
        <v>26</v>
      </c>
      <c r="M12" s="64"/>
      <c r="N12" s="64">
        <v>8000</v>
      </c>
      <c r="O12" s="65" t="s">
        <v>64</v>
      </c>
      <c r="P12" s="64">
        <v>3.2</v>
      </c>
      <c r="Q12" s="64">
        <v>100.72</v>
      </c>
      <c r="R12" s="64">
        <v>1.28</v>
      </c>
      <c r="S12" s="64">
        <v>215767840</v>
      </c>
    </row>
    <row r="13" spans="1:19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19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</row>
    <row r="30" spans="1:19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</row>
    <row r="31" spans="1:19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</row>
    <row r="32" spans="1:19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</row>
    <row r="33" spans="1:19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</row>
    <row r="34" spans="1:19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</row>
    <row r="35" spans="1:19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</row>
    <row r="36" spans="1:19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</row>
    <row r="37" spans="1:19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</row>
    <row r="38" spans="1:19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</row>
    <row r="39" spans="1:19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</row>
    <row r="40" spans="1:19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</row>
    <row r="41" spans="1:19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</row>
    <row r="42" spans="1:19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</row>
    <row r="43" spans="1:19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</row>
    <row r="44" spans="1:19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</row>
    <row r="45" spans="1:19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</row>
    <row r="46" spans="1:19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</row>
    <row r="47" spans="1:19">
      <c r="A47" s="8"/>
      <c r="P47" s="9"/>
      <c r="R47" s="9"/>
      <c r="S47" s="10"/>
    </row>
    <row r="48" spans="1:19">
      <c r="A48" s="8"/>
      <c r="P48" s="9"/>
      <c r="R48" s="9"/>
      <c r="S48" s="10"/>
    </row>
    <row r="49" spans="1:19">
      <c r="A49" s="8"/>
      <c r="P49" s="9"/>
      <c r="R49" s="9"/>
      <c r="S49" s="10"/>
    </row>
    <row r="50" spans="1:19">
      <c r="A50" s="8"/>
      <c r="P50" s="9"/>
      <c r="R50" s="9"/>
      <c r="S50" s="10"/>
    </row>
    <row r="51" spans="1:19">
      <c r="A51" s="8"/>
      <c r="P51" s="9"/>
      <c r="R51" s="9"/>
      <c r="S51" s="10"/>
    </row>
    <row r="52" spans="1:19">
      <c r="A52" s="8"/>
      <c r="P52" s="9"/>
      <c r="R52" s="9"/>
      <c r="S52" s="10"/>
    </row>
    <row r="53" spans="1:19">
      <c r="A53" s="8"/>
      <c r="P53" s="9"/>
      <c r="R53" s="9"/>
      <c r="S53" s="10"/>
    </row>
    <row r="54" spans="1:19">
      <c r="A54" s="8"/>
      <c r="P54" s="9"/>
      <c r="R54" s="9"/>
      <c r="S54" s="10"/>
    </row>
    <row r="55" spans="1:19">
      <c r="A55" s="8"/>
      <c r="P55" s="9"/>
      <c r="R55" s="9"/>
      <c r="S55" s="10"/>
    </row>
    <row r="56" spans="1:19">
      <c r="A56" s="8"/>
    </row>
    <row r="57" spans="1:19">
      <c r="A57" s="8"/>
    </row>
    <row r="58" spans="1:19">
      <c r="A58" s="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2:V37"/>
  <sheetViews>
    <sheetView workbookViewId="0">
      <selection activeCell="C3" sqref="C3"/>
    </sheetView>
  </sheetViews>
  <sheetFormatPr baseColWidth="10" defaultRowHeight="14.25"/>
  <cols>
    <col min="1" max="1" width="10.125" bestFit="1" customWidth="1"/>
    <col min="2" max="2" width="4" bestFit="1" customWidth="1"/>
    <col min="3" max="3" width="6.625" bestFit="1" customWidth="1"/>
    <col min="4" max="4" width="4.25" bestFit="1" customWidth="1"/>
    <col min="5" max="5" width="6.875" bestFit="1" customWidth="1"/>
    <col min="6" max="6" width="6" bestFit="1" customWidth="1"/>
    <col min="7" max="7" width="7.25" bestFit="1" customWidth="1"/>
    <col min="8" max="8" width="13.5" bestFit="1" customWidth="1"/>
    <col min="9" max="9" width="6.25" bestFit="1" customWidth="1"/>
    <col min="10" max="10" width="4.25" bestFit="1" customWidth="1"/>
    <col min="11" max="11" width="10" bestFit="1" customWidth="1"/>
    <col min="12" max="12" width="10.625" bestFit="1" customWidth="1"/>
    <col min="13" max="13" width="14" bestFit="1" customWidth="1"/>
    <col min="14" max="14" width="12.5" bestFit="1" customWidth="1"/>
    <col min="15" max="15" width="12.125" style="4" bestFit="1" customWidth="1"/>
    <col min="16" max="16" width="6.75" bestFit="1" customWidth="1"/>
    <col min="17" max="17" width="6.5" bestFit="1" customWidth="1"/>
    <col min="18" max="18" width="13" style="4" bestFit="1" customWidth="1"/>
    <col min="19" max="19" width="22.875" bestFit="1" customWidth="1"/>
    <col min="20" max="20" width="14.5" bestFit="1" customWidth="1"/>
    <col min="21" max="22" width="11.875" bestFit="1" customWidth="1"/>
    <col min="23" max="23" width="7.75" customWidth="1"/>
    <col min="24" max="24" width="4.875" customWidth="1"/>
    <col min="25" max="25" width="8.75" customWidth="1"/>
    <col min="26" max="26" width="6.125" customWidth="1"/>
    <col min="27" max="27" width="6" customWidth="1"/>
    <col min="28" max="28" width="10.5" customWidth="1"/>
    <col min="29" max="29" width="11.375" customWidth="1"/>
    <col min="30" max="30" width="10.875" customWidth="1"/>
    <col min="31" max="31" width="20.25" customWidth="1"/>
    <col min="32" max="32" width="13.25" customWidth="1"/>
  </cols>
  <sheetData>
    <row r="2" spans="1:22">
      <c r="A2" t="s">
        <v>12</v>
      </c>
      <c r="B2" t="s">
        <v>0</v>
      </c>
      <c r="C2" t="s">
        <v>13</v>
      </c>
      <c r="D2" t="s">
        <v>1</v>
      </c>
      <c r="E2" t="s">
        <v>14</v>
      </c>
      <c r="F2" t="s">
        <v>2</v>
      </c>
      <c r="G2" t="s">
        <v>3</v>
      </c>
      <c r="H2" t="s">
        <v>4</v>
      </c>
      <c r="I2" t="s">
        <v>9</v>
      </c>
      <c r="J2" t="s">
        <v>5</v>
      </c>
      <c r="K2" t="s">
        <v>6</v>
      </c>
      <c r="L2" t="s">
        <v>8</v>
      </c>
      <c r="M2" t="s">
        <v>7</v>
      </c>
      <c r="N2" t="s">
        <v>30</v>
      </c>
      <c r="O2" s="4" t="s">
        <v>31</v>
      </c>
      <c r="P2" t="s">
        <v>32</v>
      </c>
      <c r="Q2" t="s">
        <v>33</v>
      </c>
      <c r="R2" s="4" t="s">
        <v>34</v>
      </c>
      <c r="S2" t="s">
        <v>35</v>
      </c>
      <c r="T2" t="s">
        <v>36</v>
      </c>
      <c r="U2" t="s">
        <v>50</v>
      </c>
      <c r="V2" t="s">
        <v>51</v>
      </c>
    </row>
    <row r="3" spans="1:22">
      <c r="A3" s="62" t="s">
        <v>66</v>
      </c>
      <c r="B3" s="62">
        <v>82</v>
      </c>
      <c r="C3" s="62"/>
      <c r="D3" s="62">
        <v>66</v>
      </c>
      <c r="E3" s="62">
        <v>4</v>
      </c>
      <c r="F3" s="62" t="s">
        <v>67</v>
      </c>
      <c r="G3" s="62">
        <v>70503</v>
      </c>
      <c r="H3" s="62" t="s">
        <v>65</v>
      </c>
      <c r="I3" s="62" t="s">
        <v>59</v>
      </c>
      <c r="J3" s="62" t="s">
        <v>5</v>
      </c>
      <c r="K3" s="62" t="s">
        <v>60</v>
      </c>
      <c r="L3" s="62"/>
      <c r="M3" s="62" t="s">
        <v>24</v>
      </c>
      <c r="N3" s="62" t="s">
        <v>71</v>
      </c>
      <c r="O3" s="4">
        <v>3000</v>
      </c>
      <c r="P3" s="62">
        <v>29</v>
      </c>
      <c r="Q3" s="62">
        <v>0</v>
      </c>
      <c r="R3" s="4">
        <v>80065530</v>
      </c>
      <c r="S3" s="62" t="s">
        <v>72</v>
      </c>
      <c r="T3" s="62" t="s">
        <v>73</v>
      </c>
      <c r="U3" s="5">
        <f>+Tabla_PUYEHUE_MesaInversiones_TransaccionesIIF2[[#This Row],[Dias]]/365</f>
        <v>7.9452054794520555E-2</v>
      </c>
      <c r="V3" s="5">
        <f>+Tabla_PUYEHUE_MesaInversiones_TransaccionesIIF2[[#This Row],[Captacion]]/14000</f>
        <v>5718.9664285714289</v>
      </c>
    </row>
    <row r="4" spans="1:22">
      <c r="A4" s="62" t="s">
        <v>66</v>
      </c>
      <c r="B4" s="62">
        <v>54</v>
      </c>
      <c r="C4" s="62"/>
      <c r="D4" s="62">
        <v>66</v>
      </c>
      <c r="E4" s="62">
        <v>4</v>
      </c>
      <c r="F4" s="62" t="s">
        <v>74</v>
      </c>
      <c r="G4" s="62">
        <v>70603</v>
      </c>
      <c r="H4" s="62" t="s">
        <v>83</v>
      </c>
      <c r="I4" s="62" t="s">
        <v>59</v>
      </c>
      <c r="J4" s="62" t="s">
        <v>5</v>
      </c>
      <c r="K4" s="62" t="s">
        <v>85</v>
      </c>
      <c r="L4" s="62"/>
      <c r="M4" s="62" t="s">
        <v>22</v>
      </c>
      <c r="N4" s="62" t="s">
        <v>84</v>
      </c>
      <c r="O4" s="4">
        <v>200000000</v>
      </c>
      <c r="P4" s="62">
        <v>44</v>
      </c>
      <c r="Q4" s="62">
        <v>0.24</v>
      </c>
      <c r="R4" s="4">
        <v>199298469</v>
      </c>
      <c r="S4" s="62" t="s">
        <v>86</v>
      </c>
      <c r="T4" s="62" t="s">
        <v>87</v>
      </c>
      <c r="U4" s="5">
        <f>+Tabla_PUYEHUE_MesaInversiones_TransaccionesIIF2[[#This Row],[Dias]]/365</f>
        <v>0.12054794520547946</v>
      </c>
      <c r="V4" s="5">
        <f>+Tabla_PUYEHUE_MesaInversiones_TransaccionesIIF2[[#This Row],[Captacion]]/14000</f>
        <v>14235.604928571429</v>
      </c>
    </row>
    <row r="5" spans="1:22">
      <c r="A5" s="62" t="s">
        <v>66</v>
      </c>
      <c r="B5" s="62">
        <v>54</v>
      </c>
      <c r="C5" s="62"/>
      <c r="D5" s="62">
        <v>66</v>
      </c>
      <c r="E5" s="62">
        <v>4</v>
      </c>
      <c r="F5" s="62" t="s">
        <v>74</v>
      </c>
      <c r="G5" s="62">
        <v>70604</v>
      </c>
      <c r="H5" s="62" t="s">
        <v>83</v>
      </c>
      <c r="I5" s="62" t="s">
        <v>59</v>
      </c>
      <c r="J5" s="62" t="s">
        <v>5</v>
      </c>
      <c r="K5" s="62" t="s">
        <v>85</v>
      </c>
      <c r="L5" s="62"/>
      <c r="M5" s="62" t="s">
        <v>22</v>
      </c>
      <c r="N5" s="62" t="s">
        <v>84</v>
      </c>
      <c r="O5" s="4">
        <v>200000000</v>
      </c>
      <c r="P5" s="62">
        <v>44</v>
      </c>
      <c r="Q5" s="62">
        <v>0.24</v>
      </c>
      <c r="R5" s="4">
        <v>199298469</v>
      </c>
      <c r="S5" s="62" t="s">
        <v>86</v>
      </c>
      <c r="T5" s="62" t="s">
        <v>87</v>
      </c>
      <c r="U5" s="5">
        <f>+Tabla_PUYEHUE_MesaInversiones_TransaccionesIIF2[[#This Row],[Dias]]/365</f>
        <v>0.12054794520547946</v>
      </c>
      <c r="V5" s="5">
        <f>+Tabla_PUYEHUE_MesaInversiones_TransaccionesIIF2[[#This Row],[Captacion]]/14000</f>
        <v>14235.604928571429</v>
      </c>
    </row>
    <row r="6" spans="1:22">
      <c r="A6" s="62" t="s">
        <v>66</v>
      </c>
      <c r="B6" s="62">
        <v>54</v>
      </c>
      <c r="C6" s="62"/>
      <c r="D6" s="62">
        <v>66</v>
      </c>
      <c r="E6" s="62">
        <v>4</v>
      </c>
      <c r="F6" s="62" t="s">
        <v>74</v>
      </c>
      <c r="G6" s="62">
        <v>70605</v>
      </c>
      <c r="H6" s="62" t="s">
        <v>83</v>
      </c>
      <c r="I6" s="62" t="s">
        <v>59</v>
      </c>
      <c r="J6" s="62" t="s">
        <v>5</v>
      </c>
      <c r="K6" s="62" t="s">
        <v>85</v>
      </c>
      <c r="L6" s="62"/>
      <c r="M6" s="62" t="s">
        <v>22</v>
      </c>
      <c r="N6" s="62" t="s">
        <v>84</v>
      </c>
      <c r="O6" s="4">
        <v>200000000</v>
      </c>
      <c r="P6" s="62">
        <v>44</v>
      </c>
      <c r="Q6" s="62">
        <v>0.24</v>
      </c>
      <c r="R6" s="4">
        <v>199298469</v>
      </c>
      <c r="S6" s="62" t="s">
        <v>86</v>
      </c>
      <c r="T6" s="62" t="s">
        <v>87</v>
      </c>
      <c r="U6" s="5">
        <f>+Tabla_PUYEHUE_MesaInversiones_TransaccionesIIF2[[#This Row],[Dias]]/365</f>
        <v>0.12054794520547946</v>
      </c>
      <c r="V6" s="5">
        <f>+Tabla_PUYEHUE_MesaInversiones_TransaccionesIIF2[[#This Row],[Captacion]]/14000</f>
        <v>14235.604928571429</v>
      </c>
    </row>
    <row r="7" spans="1:22">
      <c r="A7" s="62" t="s">
        <v>66</v>
      </c>
      <c r="B7" s="62">
        <v>66</v>
      </c>
      <c r="C7" s="62">
        <v>4</v>
      </c>
      <c r="D7" s="62">
        <v>66</v>
      </c>
      <c r="E7" s="62">
        <v>4</v>
      </c>
      <c r="F7" s="62" t="s">
        <v>107</v>
      </c>
      <c r="G7" s="62">
        <v>160083</v>
      </c>
      <c r="H7" s="62" t="s">
        <v>83</v>
      </c>
      <c r="I7" s="62" t="s">
        <v>108</v>
      </c>
      <c r="J7" s="62" t="s">
        <v>5</v>
      </c>
      <c r="K7" s="62" t="s">
        <v>85</v>
      </c>
      <c r="L7" s="62" t="s">
        <v>22</v>
      </c>
      <c r="M7" s="62" t="s">
        <v>28</v>
      </c>
      <c r="N7" s="62" t="s">
        <v>84</v>
      </c>
      <c r="O7" s="4">
        <v>150000000</v>
      </c>
      <c r="P7" s="62">
        <v>9</v>
      </c>
      <c r="Q7" s="62">
        <v>0.21</v>
      </c>
      <c r="R7" s="4">
        <v>149905559</v>
      </c>
      <c r="S7" s="62" t="s">
        <v>86</v>
      </c>
      <c r="T7" s="62" t="s">
        <v>109</v>
      </c>
      <c r="U7" s="5">
        <f>+Tabla_PUYEHUE_MesaInversiones_TransaccionesIIF2[[#This Row],[Dias]]/365</f>
        <v>2.4657534246575342E-2</v>
      </c>
      <c r="V7" s="5">
        <f>+Tabla_PUYEHUE_MesaInversiones_TransaccionesIIF2[[#This Row],[Captacion]]/14000</f>
        <v>10707.539928571428</v>
      </c>
    </row>
    <row r="8" spans="1:22">
      <c r="A8" s="62" t="s">
        <v>66</v>
      </c>
      <c r="B8" s="62">
        <v>66</v>
      </c>
      <c r="C8" s="62">
        <v>1</v>
      </c>
      <c r="D8" s="62">
        <v>66</v>
      </c>
      <c r="E8" s="62">
        <v>1</v>
      </c>
      <c r="F8" s="62" t="s">
        <v>107</v>
      </c>
      <c r="G8" s="62">
        <v>160091</v>
      </c>
      <c r="H8" s="62" t="s">
        <v>83</v>
      </c>
      <c r="I8" s="62" t="s">
        <v>108</v>
      </c>
      <c r="J8" s="62" t="s">
        <v>5</v>
      </c>
      <c r="K8" s="62" t="s">
        <v>85</v>
      </c>
      <c r="L8" s="62" t="s">
        <v>26</v>
      </c>
      <c r="M8" s="62" t="s">
        <v>28</v>
      </c>
      <c r="N8" s="62" t="s">
        <v>104</v>
      </c>
      <c r="O8" s="4">
        <v>150000000</v>
      </c>
      <c r="P8" s="62">
        <v>117</v>
      </c>
      <c r="Q8" s="62">
        <v>0.28000000000000003</v>
      </c>
      <c r="R8" s="4">
        <v>148379694</v>
      </c>
      <c r="S8" s="62" t="s">
        <v>105</v>
      </c>
      <c r="T8" s="62" t="s">
        <v>110</v>
      </c>
      <c r="U8" s="5">
        <f>+Tabla_PUYEHUE_MesaInversiones_TransaccionesIIF2[[#This Row],[Dias]]/365</f>
        <v>0.32054794520547947</v>
      </c>
      <c r="V8" s="5">
        <f>+Tabla_PUYEHUE_MesaInversiones_TransaccionesIIF2[[#This Row],[Captacion]]/14000</f>
        <v>10598.549571428572</v>
      </c>
    </row>
    <row r="9" spans="1:22">
      <c r="A9" s="62" t="s">
        <v>66</v>
      </c>
      <c r="B9" s="62">
        <v>85</v>
      </c>
      <c r="C9" s="62"/>
      <c r="D9" s="62">
        <v>66</v>
      </c>
      <c r="E9" s="62">
        <v>4</v>
      </c>
      <c r="F9" s="62" t="s">
        <v>107</v>
      </c>
      <c r="G9" s="62">
        <v>161307</v>
      </c>
      <c r="H9" s="62" t="s">
        <v>83</v>
      </c>
      <c r="I9" s="62" t="s">
        <v>59</v>
      </c>
      <c r="J9" s="62" t="s">
        <v>5</v>
      </c>
      <c r="K9" s="62" t="s">
        <v>85</v>
      </c>
      <c r="L9" s="62"/>
      <c r="M9" s="62" t="s">
        <v>28</v>
      </c>
      <c r="N9" s="62" t="s">
        <v>89</v>
      </c>
      <c r="O9" s="4">
        <v>200000000</v>
      </c>
      <c r="P9" s="62">
        <v>71</v>
      </c>
      <c r="Q9" s="62">
        <v>0.24</v>
      </c>
      <c r="R9" s="4">
        <v>198870416</v>
      </c>
      <c r="S9" s="62" t="s">
        <v>90</v>
      </c>
      <c r="T9" s="62" t="s">
        <v>111</v>
      </c>
      <c r="U9" s="5">
        <f>+Tabla_PUYEHUE_MesaInversiones_TransaccionesIIF2[[#This Row],[Dias]]/365</f>
        <v>0.19452054794520549</v>
      </c>
      <c r="V9" s="5">
        <f>+Tabla_PUYEHUE_MesaInversiones_TransaccionesIIF2[[#This Row],[Captacion]]/14000</f>
        <v>14205.029714285714</v>
      </c>
    </row>
    <row r="10" spans="1:22">
      <c r="A10" s="62" t="s">
        <v>66</v>
      </c>
      <c r="B10" s="62">
        <v>66</v>
      </c>
      <c r="C10" s="62">
        <v>1</v>
      </c>
      <c r="D10" s="62">
        <v>85</v>
      </c>
      <c r="E10" s="62"/>
      <c r="F10" s="62" t="s">
        <v>88</v>
      </c>
      <c r="G10" s="62">
        <v>70723</v>
      </c>
      <c r="H10" s="62" t="s">
        <v>83</v>
      </c>
      <c r="I10" s="62" t="s">
        <v>59</v>
      </c>
      <c r="J10" s="62" t="s">
        <v>5</v>
      </c>
      <c r="K10" s="62" t="s">
        <v>85</v>
      </c>
      <c r="L10" s="62" t="s">
        <v>26</v>
      </c>
      <c r="M10" s="62"/>
      <c r="N10" s="62" t="s">
        <v>89</v>
      </c>
      <c r="O10" s="4">
        <v>100000000</v>
      </c>
      <c r="P10" s="62">
        <v>7</v>
      </c>
      <c r="Q10" s="62">
        <v>0.22</v>
      </c>
      <c r="R10" s="4">
        <v>99948693</v>
      </c>
      <c r="S10" s="62" t="s">
        <v>90</v>
      </c>
      <c r="T10" s="62" t="s">
        <v>91</v>
      </c>
      <c r="U10" s="5">
        <f>+Tabla_PUYEHUE_MesaInversiones_TransaccionesIIF2[[#This Row],[Dias]]/365</f>
        <v>1.9178082191780823E-2</v>
      </c>
      <c r="V10" s="5">
        <f>+Tabla_PUYEHUE_MesaInversiones_TransaccionesIIF2[[#This Row],[Captacion]]/14000</f>
        <v>7139.192357142857</v>
      </c>
    </row>
    <row r="11" spans="1:22">
      <c r="A11" s="62" t="s">
        <v>66</v>
      </c>
      <c r="B11" s="62">
        <v>66</v>
      </c>
      <c r="C11" s="62">
        <v>1</v>
      </c>
      <c r="D11" s="62">
        <v>85</v>
      </c>
      <c r="E11" s="62"/>
      <c r="F11" s="62" t="s">
        <v>88</v>
      </c>
      <c r="G11" s="62">
        <v>70724</v>
      </c>
      <c r="H11" s="62" t="s">
        <v>83</v>
      </c>
      <c r="I11" s="62" t="s">
        <v>59</v>
      </c>
      <c r="J11" s="62" t="s">
        <v>5</v>
      </c>
      <c r="K11" s="62" t="s">
        <v>85</v>
      </c>
      <c r="L11" s="62" t="s">
        <v>26</v>
      </c>
      <c r="M11" s="62"/>
      <c r="N11" s="62" t="s">
        <v>89</v>
      </c>
      <c r="O11" s="4">
        <v>100000000</v>
      </c>
      <c r="P11" s="62">
        <v>7</v>
      </c>
      <c r="Q11" s="62">
        <v>0.22</v>
      </c>
      <c r="R11" s="4">
        <v>99948693</v>
      </c>
      <c r="S11" s="62" t="s">
        <v>90</v>
      </c>
      <c r="T11" s="62" t="s">
        <v>91</v>
      </c>
      <c r="U11" s="5">
        <f>+Tabla_PUYEHUE_MesaInversiones_TransaccionesIIF2[[#This Row],[Dias]]/365</f>
        <v>1.9178082191780823E-2</v>
      </c>
      <c r="V11" s="5">
        <f>+Tabla_PUYEHUE_MesaInversiones_TransaccionesIIF2[[#This Row],[Captacion]]/14000</f>
        <v>7139.192357142857</v>
      </c>
    </row>
    <row r="12" spans="1:22">
      <c r="A12" s="62" t="s">
        <v>66</v>
      </c>
      <c r="B12" s="62">
        <v>66</v>
      </c>
      <c r="C12" s="62">
        <v>1</v>
      </c>
      <c r="D12" s="62">
        <v>58</v>
      </c>
      <c r="E12" s="62"/>
      <c r="F12" s="62" t="s">
        <v>88</v>
      </c>
      <c r="G12" s="62">
        <v>70725</v>
      </c>
      <c r="H12" s="62" t="s">
        <v>83</v>
      </c>
      <c r="I12" s="62" t="s">
        <v>59</v>
      </c>
      <c r="J12" s="62" t="s">
        <v>5</v>
      </c>
      <c r="K12" s="62" t="s">
        <v>85</v>
      </c>
      <c r="L12" s="62" t="s">
        <v>26</v>
      </c>
      <c r="M12" s="62"/>
      <c r="N12" s="62" t="s">
        <v>89</v>
      </c>
      <c r="O12" s="4">
        <v>100000000</v>
      </c>
      <c r="P12" s="62">
        <v>7</v>
      </c>
      <c r="Q12" s="62">
        <v>0.21</v>
      </c>
      <c r="R12" s="4">
        <v>99951024</v>
      </c>
      <c r="S12" s="62" t="s">
        <v>90</v>
      </c>
      <c r="T12" s="62" t="s">
        <v>91</v>
      </c>
      <c r="U12" s="5">
        <f>+Tabla_PUYEHUE_MesaInversiones_TransaccionesIIF2[[#This Row],[Dias]]/365</f>
        <v>1.9178082191780823E-2</v>
      </c>
      <c r="V12" s="5">
        <f>+Tabla_PUYEHUE_MesaInversiones_TransaccionesIIF2[[#This Row],[Captacion]]/14000</f>
        <v>7139.3588571428572</v>
      </c>
    </row>
    <row r="13" spans="1:22">
      <c r="A13" s="62" t="s">
        <v>66</v>
      </c>
      <c r="B13" s="62">
        <v>66</v>
      </c>
      <c r="C13" s="62">
        <v>1</v>
      </c>
      <c r="D13" s="62">
        <v>58</v>
      </c>
      <c r="E13" s="62"/>
      <c r="F13" s="62" t="s">
        <v>88</v>
      </c>
      <c r="G13" s="62">
        <v>70726</v>
      </c>
      <c r="H13" s="62" t="s">
        <v>83</v>
      </c>
      <c r="I13" s="62" t="s">
        <v>59</v>
      </c>
      <c r="J13" s="62" t="s">
        <v>5</v>
      </c>
      <c r="K13" s="62" t="s">
        <v>85</v>
      </c>
      <c r="L13" s="62" t="s">
        <v>26</v>
      </c>
      <c r="M13" s="62"/>
      <c r="N13" s="62" t="s">
        <v>89</v>
      </c>
      <c r="O13" s="4">
        <v>100000000</v>
      </c>
      <c r="P13" s="62">
        <v>7</v>
      </c>
      <c r="Q13" s="62">
        <v>0.21</v>
      </c>
      <c r="R13" s="4">
        <v>99951024</v>
      </c>
      <c r="S13" s="62" t="s">
        <v>90</v>
      </c>
      <c r="T13" s="62" t="s">
        <v>91</v>
      </c>
      <c r="U13" s="5">
        <f>+Tabla_PUYEHUE_MesaInversiones_TransaccionesIIF2[[#This Row],[Dias]]/365</f>
        <v>1.9178082191780823E-2</v>
      </c>
      <c r="V13" s="5">
        <f>+Tabla_PUYEHUE_MesaInversiones_TransaccionesIIF2[[#This Row],[Captacion]]/14000</f>
        <v>7139.3588571428572</v>
      </c>
    </row>
    <row r="14" spans="1:22">
      <c r="A14" s="62" t="s">
        <v>66</v>
      </c>
      <c r="B14" s="62">
        <v>66</v>
      </c>
      <c r="C14" s="62">
        <v>1</v>
      </c>
      <c r="D14" s="62">
        <v>85</v>
      </c>
      <c r="E14" s="62"/>
      <c r="F14" s="62" t="s">
        <v>88</v>
      </c>
      <c r="G14" s="62">
        <v>70826</v>
      </c>
      <c r="H14" s="62" t="s">
        <v>83</v>
      </c>
      <c r="I14" s="62" t="s">
        <v>59</v>
      </c>
      <c r="J14" s="62" t="s">
        <v>5</v>
      </c>
      <c r="K14" s="62" t="s">
        <v>85</v>
      </c>
      <c r="L14" s="62" t="s">
        <v>25</v>
      </c>
      <c r="M14" s="62"/>
      <c r="N14" s="62" t="s">
        <v>89</v>
      </c>
      <c r="O14" s="4">
        <v>100000000</v>
      </c>
      <c r="P14" s="62">
        <v>49</v>
      </c>
      <c r="Q14" s="62">
        <v>0.24</v>
      </c>
      <c r="R14" s="4">
        <v>99609531</v>
      </c>
      <c r="S14" s="62" t="s">
        <v>90</v>
      </c>
      <c r="T14" s="62" t="s">
        <v>92</v>
      </c>
      <c r="U14" s="5">
        <f>+Tabla_PUYEHUE_MesaInversiones_TransaccionesIIF2[[#This Row],[Dias]]/365</f>
        <v>0.13424657534246576</v>
      </c>
      <c r="V14" s="5">
        <f>+Tabla_PUYEHUE_MesaInversiones_TransaccionesIIF2[[#This Row],[Captacion]]/14000</f>
        <v>7114.9665000000005</v>
      </c>
    </row>
    <row r="15" spans="1:22">
      <c r="A15" s="62" t="s">
        <v>66</v>
      </c>
      <c r="B15" s="62">
        <v>66</v>
      </c>
      <c r="C15" s="62">
        <v>1</v>
      </c>
      <c r="D15" s="62">
        <v>85</v>
      </c>
      <c r="E15" s="62"/>
      <c r="F15" s="62" t="s">
        <v>88</v>
      </c>
      <c r="G15" s="62">
        <v>70827</v>
      </c>
      <c r="H15" s="62" t="s">
        <v>83</v>
      </c>
      <c r="I15" s="62" t="s">
        <v>59</v>
      </c>
      <c r="J15" s="62" t="s">
        <v>5</v>
      </c>
      <c r="K15" s="62" t="s">
        <v>85</v>
      </c>
      <c r="L15" s="62" t="s">
        <v>25</v>
      </c>
      <c r="M15" s="62"/>
      <c r="N15" s="62" t="s">
        <v>89</v>
      </c>
      <c r="O15" s="4">
        <v>100000000</v>
      </c>
      <c r="P15" s="62">
        <v>49</v>
      </c>
      <c r="Q15" s="62">
        <v>0.24</v>
      </c>
      <c r="R15" s="4">
        <v>99609531</v>
      </c>
      <c r="S15" s="62" t="s">
        <v>90</v>
      </c>
      <c r="T15" s="62" t="s">
        <v>92</v>
      </c>
      <c r="U15" s="5">
        <f>+Tabla_PUYEHUE_MesaInversiones_TransaccionesIIF2[[#This Row],[Dias]]/365</f>
        <v>0.13424657534246576</v>
      </c>
      <c r="V15" s="5">
        <f>+Tabla_PUYEHUE_MesaInversiones_TransaccionesIIF2[[#This Row],[Captacion]]/14000</f>
        <v>7114.9665000000005</v>
      </c>
    </row>
    <row r="16" spans="1:22">
      <c r="A16" s="62" t="s">
        <v>66</v>
      </c>
      <c r="B16" s="62">
        <v>66</v>
      </c>
      <c r="C16" s="62">
        <v>1</v>
      </c>
      <c r="D16" s="62">
        <v>85</v>
      </c>
      <c r="E16" s="62"/>
      <c r="F16" s="62" t="s">
        <v>88</v>
      </c>
      <c r="G16" s="62">
        <v>70828</v>
      </c>
      <c r="H16" s="62" t="s">
        <v>83</v>
      </c>
      <c r="I16" s="62" t="s">
        <v>59</v>
      </c>
      <c r="J16" s="62" t="s">
        <v>5</v>
      </c>
      <c r="K16" s="62" t="s">
        <v>85</v>
      </c>
      <c r="L16" s="62" t="s">
        <v>25</v>
      </c>
      <c r="M16" s="62"/>
      <c r="N16" s="62" t="s">
        <v>89</v>
      </c>
      <c r="O16" s="4">
        <v>100000000</v>
      </c>
      <c r="P16" s="62">
        <v>49</v>
      </c>
      <c r="Q16" s="62">
        <v>0.24</v>
      </c>
      <c r="R16" s="4">
        <v>99609531</v>
      </c>
      <c r="S16" s="62" t="s">
        <v>90</v>
      </c>
      <c r="T16" s="62" t="s">
        <v>92</v>
      </c>
      <c r="U16" s="5">
        <f>+Tabla_PUYEHUE_MesaInversiones_TransaccionesIIF2[[#This Row],[Dias]]/365</f>
        <v>0.13424657534246576</v>
      </c>
      <c r="V16" s="5">
        <f>+Tabla_PUYEHUE_MesaInversiones_TransaccionesIIF2[[#This Row],[Captacion]]/14000</f>
        <v>7114.9665000000005</v>
      </c>
    </row>
    <row r="17" spans="1:22">
      <c r="A17" s="62" t="s">
        <v>66</v>
      </c>
      <c r="B17" s="62">
        <v>66</v>
      </c>
      <c r="C17" s="62">
        <v>1</v>
      </c>
      <c r="D17" s="62">
        <v>85</v>
      </c>
      <c r="E17" s="62"/>
      <c r="F17" s="62" t="s">
        <v>88</v>
      </c>
      <c r="G17" s="62">
        <v>70829</v>
      </c>
      <c r="H17" s="62" t="s">
        <v>83</v>
      </c>
      <c r="I17" s="62" t="s">
        <v>59</v>
      </c>
      <c r="J17" s="62" t="s">
        <v>5</v>
      </c>
      <c r="K17" s="62" t="s">
        <v>85</v>
      </c>
      <c r="L17" s="62" t="s">
        <v>25</v>
      </c>
      <c r="M17" s="62"/>
      <c r="N17" s="62" t="s">
        <v>89</v>
      </c>
      <c r="O17" s="4">
        <v>100000000</v>
      </c>
      <c r="P17" s="62">
        <v>49</v>
      </c>
      <c r="Q17" s="62">
        <v>0.24</v>
      </c>
      <c r="R17" s="4">
        <v>99609531</v>
      </c>
      <c r="S17" s="62" t="s">
        <v>90</v>
      </c>
      <c r="T17" s="62" t="s">
        <v>92</v>
      </c>
      <c r="U17" s="5">
        <f>+Tabla_PUYEHUE_MesaInversiones_TransaccionesIIF2[[#This Row],[Dias]]/365</f>
        <v>0.13424657534246576</v>
      </c>
      <c r="V17" s="5">
        <f>+Tabla_PUYEHUE_MesaInversiones_TransaccionesIIF2[[#This Row],[Captacion]]/14000</f>
        <v>7114.9665000000005</v>
      </c>
    </row>
    <row r="18" spans="1:22">
      <c r="A18" s="62" t="s">
        <v>66</v>
      </c>
      <c r="B18" s="62">
        <v>66</v>
      </c>
      <c r="C18" s="62">
        <v>1</v>
      </c>
      <c r="D18" s="62">
        <v>85</v>
      </c>
      <c r="E18" s="62"/>
      <c r="F18" s="62" t="s">
        <v>88</v>
      </c>
      <c r="G18" s="62">
        <v>70830</v>
      </c>
      <c r="H18" s="62" t="s">
        <v>83</v>
      </c>
      <c r="I18" s="62" t="s">
        <v>59</v>
      </c>
      <c r="J18" s="62" t="s">
        <v>5</v>
      </c>
      <c r="K18" s="62" t="s">
        <v>85</v>
      </c>
      <c r="L18" s="62" t="s">
        <v>25</v>
      </c>
      <c r="M18" s="62"/>
      <c r="N18" s="62" t="s">
        <v>89</v>
      </c>
      <c r="O18" s="4">
        <v>100000000</v>
      </c>
      <c r="P18" s="62">
        <v>49</v>
      </c>
      <c r="Q18" s="62">
        <v>0.24</v>
      </c>
      <c r="R18" s="4">
        <v>99609531</v>
      </c>
      <c r="S18" s="62" t="s">
        <v>90</v>
      </c>
      <c r="T18" s="62" t="s">
        <v>92</v>
      </c>
      <c r="U18" s="5">
        <f>+Tabla_PUYEHUE_MesaInversiones_TransaccionesIIF2[[#This Row],[Dias]]/365</f>
        <v>0.13424657534246576</v>
      </c>
      <c r="V18" s="5">
        <f>+Tabla_PUYEHUE_MesaInversiones_TransaccionesIIF2[[#This Row],[Captacion]]/14000</f>
        <v>7114.9665000000005</v>
      </c>
    </row>
    <row r="19" spans="1:22">
      <c r="A19" s="62" t="s">
        <v>66</v>
      </c>
      <c r="B19" s="62">
        <v>66</v>
      </c>
      <c r="C19" s="62">
        <v>1</v>
      </c>
      <c r="D19" s="62">
        <v>85</v>
      </c>
      <c r="E19" s="62"/>
      <c r="F19" s="62" t="s">
        <v>88</v>
      </c>
      <c r="G19" s="62">
        <v>70831</v>
      </c>
      <c r="H19" s="62" t="s">
        <v>83</v>
      </c>
      <c r="I19" s="62" t="s">
        <v>59</v>
      </c>
      <c r="J19" s="62" t="s">
        <v>5</v>
      </c>
      <c r="K19" s="62" t="s">
        <v>85</v>
      </c>
      <c r="L19" s="62" t="s">
        <v>25</v>
      </c>
      <c r="M19" s="62"/>
      <c r="N19" s="62" t="s">
        <v>89</v>
      </c>
      <c r="O19" s="4">
        <v>100000000</v>
      </c>
      <c r="P19" s="62">
        <v>49</v>
      </c>
      <c r="Q19" s="62">
        <v>0.24</v>
      </c>
      <c r="R19" s="4">
        <v>99609531</v>
      </c>
      <c r="S19" s="62" t="s">
        <v>90</v>
      </c>
      <c r="T19" s="62" t="s">
        <v>92</v>
      </c>
      <c r="U19" s="5">
        <f>+Tabla_PUYEHUE_MesaInversiones_TransaccionesIIF2[[#This Row],[Dias]]/365</f>
        <v>0.13424657534246576</v>
      </c>
      <c r="V19" s="5">
        <f>+Tabla_PUYEHUE_MesaInversiones_TransaccionesIIF2[[#This Row],[Captacion]]/14000</f>
        <v>7114.9665000000005</v>
      </c>
    </row>
    <row r="20" spans="1:22">
      <c r="A20" s="62" t="s">
        <v>66</v>
      </c>
      <c r="B20" s="62">
        <v>66</v>
      </c>
      <c r="C20" s="62">
        <v>1</v>
      </c>
      <c r="D20" s="62">
        <v>85</v>
      </c>
      <c r="E20" s="62"/>
      <c r="F20" s="62" t="s">
        <v>88</v>
      </c>
      <c r="G20" s="62">
        <v>70832</v>
      </c>
      <c r="H20" s="62" t="s">
        <v>83</v>
      </c>
      <c r="I20" s="62" t="s">
        <v>59</v>
      </c>
      <c r="J20" s="62" t="s">
        <v>5</v>
      </c>
      <c r="K20" s="62" t="s">
        <v>85</v>
      </c>
      <c r="L20" s="62" t="s">
        <v>25</v>
      </c>
      <c r="M20" s="62"/>
      <c r="N20" s="62" t="s">
        <v>89</v>
      </c>
      <c r="O20" s="4">
        <v>100000000</v>
      </c>
      <c r="P20" s="62">
        <v>49</v>
      </c>
      <c r="Q20" s="62">
        <v>0.24</v>
      </c>
      <c r="R20" s="4">
        <v>99609531</v>
      </c>
      <c r="S20" s="62" t="s">
        <v>90</v>
      </c>
      <c r="T20" s="62" t="s">
        <v>92</v>
      </c>
      <c r="U20" s="5">
        <f>+Tabla_PUYEHUE_MesaInversiones_TransaccionesIIF2[[#This Row],[Dias]]/365</f>
        <v>0.13424657534246576</v>
      </c>
      <c r="V20" s="5">
        <f>+Tabla_PUYEHUE_MesaInversiones_TransaccionesIIF2[[#This Row],[Captacion]]/14000</f>
        <v>7114.9665000000005</v>
      </c>
    </row>
    <row r="21" spans="1:22">
      <c r="A21" s="62" t="s">
        <v>66</v>
      </c>
      <c r="B21" s="62">
        <v>66</v>
      </c>
      <c r="C21" s="62">
        <v>1</v>
      </c>
      <c r="D21" s="62">
        <v>85</v>
      </c>
      <c r="E21" s="62"/>
      <c r="F21" s="62" t="s">
        <v>88</v>
      </c>
      <c r="G21" s="62">
        <v>70833</v>
      </c>
      <c r="H21" s="62" t="s">
        <v>83</v>
      </c>
      <c r="I21" s="62" t="s">
        <v>59</v>
      </c>
      <c r="J21" s="62" t="s">
        <v>5</v>
      </c>
      <c r="K21" s="62" t="s">
        <v>85</v>
      </c>
      <c r="L21" s="62" t="s">
        <v>25</v>
      </c>
      <c r="M21" s="62"/>
      <c r="N21" s="62" t="s">
        <v>89</v>
      </c>
      <c r="O21" s="4">
        <v>100000000</v>
      </c>
      <c r="P21" s="62">
        <v>49</v>
      </c>
      <c r="Q21" s="62">
        <v>0.24</v>
      </c>
      <c r="R21" s="4">
        <v>99609531</v>
      </c>
      <c r="S21" s="62" t="s">
        <v>90</v>
      </c>
      <c r="T21" s="62" t="s">
        <v>92</v>
      </c>
      <c r="U21" s="5">
        <f>+Tabla_PUYEHUE_MesaInversiones_TransaccionesIIF2[[#This Row],[Dias]]/365</f>
        <v>0.13424657534246576</v>
      </c>
      <c r="V21" s="5">
        <f>+Tabla_PUYEHUE_MesaInversiones_TransaccionesIIF2[[#This Row],[Captacion]]/14000</f>
        <v>7114.9665000000005</v>
      </c>
    </row>
    <row r="22" spans="1:22">
      <c r="A22" s="62" t="s">
        <v>66</v>
      </c>
      <c r="B22" s="62">
        <v>66</v>
      </c>
      <c r="C22" s="62">
        <v>1</v>
      </c>
      <c r="D22" s="62">
        <v>85</v>
      </c>
      <c r="E22" s="62"/>
      <c r="F22" s="62" t="s">
        <v>88</v>
      </c>
      <c r="G22" s="62">
        <v>70834</v>
      </c>
      <c r="H22" s="62" t="s">
        <v>83</v>
      </c>
      <c r="I22" s="62" t="s">
        <v>59</v>
      </c>
      <c r="J22" s="62" t="s">
        <v>5</v>
      </c>
      <c r="K22" s="62" t="s">
        <v>85</v>
      </c>
      <c r="L22" s="62" t="s">
        <v>25</v>
      </c>
      <c r="M22" s="62"/>
      <c r="N22" s="62" t="s">
        <v>89</v>
      </c>
      <c r="O22" s="4">
        <v>100000000</v>
      </c>
      <c r="P22" s="62">
        <v>49</v>
      </c>
      <c r="Q22" s="62">
        <v>0.24</v>
      </c>
      <c r="R22" s="4">
        <v>99609531</v>
      </c>
      <c r="S22" s="62" t="s">
        <v>90</v>
      </c>
      <c r="T22" s="62" t="s">
        <v>92</v>
      </c>
      <c r="U22" s="5">
        <f>+Tabla_PUYEHUE_MesaInversiones_TransaccionesIIF2[[#This Row],[Dias]]/365</f>
        <v>0.13424657534246576</v>
      </c>
      <c r="V22" s="5">
        <f>+Tabla_PUYEHUE_MesaInversiones_TransaccionesIIF2[[#This Row],[Captacion]]/14000</f>
        <v>7114.9665000000005</v>
      </c>
    </row>
    <row r="23" spans="1:22">
      <c r="A23" s="62" t="s">
        <v>66</v>
      </c>
      <c r="B23" s="62">
        <v>66</v>
      </c>
      <c r="C23" s="62">
        <v>1</v>
      </c>
      <c r="D23" s="62">
        <v>58</v>
      </c>
      <c r="E23" s="62"/>
      <c r="F23" s="62" t="s">
        <v>88</v>
      </c>
      <c r="G23" s="62">
        <v>70855</v>
      </c>
      <c r="H23" s="62" t="s">
        <v>83</v>
      </c>
      <c r="I23" s="62" t="s">
        <v>59</v>
      </c>
      <c r="J23" s="62" t="s">
        <v>5</v>
      </c>
      <c r="K23" s="62" t="s">
        <v>85</v>
      </c>
      <c r="L23" s="62" t="s">
        <v>26</v>
      </c>
      <c r="M23" s="62"/>
      <c r="N23" s="62" t="s">
        <v>93</v>
      </c>
      <c r="O23" s="4">
        <v>100000000</v>
      </c>
      <c r="P23" s="62">
        <v>78</v>
      </c>
      <c r="Q23" s="62">
        <v>0.25</v>
      </c>
      <c r="R23" s="4">
        <v>99354198</v>
      </c>
      <c r="S23" s="62" t="s">
        <v>94</v>
      </c>
      <c r="T23" s="62" t="s">
        <v>95</v>
      </c>
      <c r="U23" s="5">
        <f>+Tabla_PUYEHUE_MesaInversiones_TransaccionesIIF2[[#This Row],[Dias]]/365</f>
        <v>0.21369863013698631</v>
      </c>
      <c r="V23" s="5">
        <f>+Tabla_PUYEHUE_MesaInversiones_TransaccionesIIF2[[#This Row],[Captacion]]/14000</f>
        <v>7096.7284285714286</v>
      </c>
    </row>
    <row r="24" spans="1:22">
      <c r="A24" s="62" t="s">
        <v>66</v>
      </c>
      <c r="B24" s="62">
        <v>66</v>
      </c>
      <c r="C24" s="62">
        <v>1</v>
      </c>
      <c r="D24" s="62">
        <v>58</v>
      </c>
      <c r="E24" s="62"/>
      <c r="F24" s="62" t="s">
        <v>88</v>
      </c>
      <c r="G24" s="62">
        <v>70856</v>
      </c>
      <c r="H24" s="62" t="s">
        <v>83</v>
      </c>
      <c r="I24" s="62" t="s">
        <v>59</v>
      </c>
      <c r="J24" s="62" t="s">
        <v>5</v>
      </c>
      <c r="K24" s="62" t="s">
        <v>85</v>
      </c>
      <c r="L24" s="62" t="s">
        <v>26</v>
      </c>
      <c r="M24" s="62"/>
      <c r="N24" s="62" t="s">
        <v>93</v>
      </c>
      <c r="O24" s="4">
        <v>100000000</v>
      </c>
      <c r="P24" s="62">
        <v>78</v>
      </c>
      <c r="Q24" s="62">
        <v>0.25</v>
      </c>
      <c r="R24" s="4">
        <v>99354198</v>
      </c>
      <c r="S24" s="62" t="s">
        <v>94</v>
      </c>
      <c r="T24" s="62" t="s">
        <v>95</v>
      </c>
      <c r="U24" s="5">
        <f>+Tabla_PUYEHUE_MesaInversiones_TransaccionesIIF2[[#This Row],[Dias]]/365</f>
        <v>0.21369863013698631</v>
      </c>
      <c r="V24" s="5">
        <f>+Tabla_PUYEHUE_MesaInversiones_TransaccionesIIF2[[#This Row],[Captacion]]/14000</f>
        <v>7096.7284285714286</v>
      </c>
    </row>
    <row r="25" spans="1:22">
      <c r="A25" s="62" t="s">
        <v>66</v>
      </c>
      <c r="B25" s="62">
        <v>66</v>
      </c>
      <c r="C25" s="62">
        <v>1</v>
      </c>
      <c r="D25" s="62">
        <v>58</v>
      </c>
      <c r="E25" s="62"/>
      <c r="F25" s="62" t="s">
        <v>88</v>
      </c>
      <c r="G25" s="62">
        <v>70857</v>
      </c>
      <c r="H25" s="62" t="s">
        <v>83</v>
      </c>
      <c r="I25" s="62" t="s">
        <v>59</v>
      </c>
      <c r="J25" s="62" t="s">
        <v>5</v>
      </c>
      <c r="K25" s="62" t="s">
        <v>85</v>
      </c>
      <c r="L25" s="62" t="s">
        <v>26</v>
      </c>
      <c r="M25" s="62"/>
      <c r="N25" s="62" t="s">
        <v>93</v>
      </c>
      <c r="O25" s="4">
        <v>100000000</v>
      </c>
      <c r="P25" s="62">
        <v>78</v>
      </c>
      <c r="Q25" s="62">
        <v>0.25</v>
      </c>
      <c r="R25" s="4">
        <v>99354198</v>
      </c>
      <c r="S25" s="62" t="s">
        <v>94</v>
      </c>
      <c r="T25" s="62" t="s">
        <v>95</v>
      </c>
      <c r="U25" s="5">
        <f>+Tabla_PUYEHUE_MesaInversiones_TransaccionesIIF2[[#This Row],[Dias]]/365</f>
        <v>0.21369863013698631</v>
      </c>
      <c r="V25" s="5">
        <f>+Tabla_PUYEHUE_MesaInversiones_TransaccionesIIF2[[#This Row],[Captacion]]/14000</f>
        <v>7096.7284285714286</v>
      </c>
    </row>
    <row r="26" spans="1:22">
      <c r="A26" s="62" t="s">
        <v>66</v>
      </c>
      <c r="B26" s="62">
        <v>66</v>
      </c>
      <c r="C26" s="62">
        <v>1</v>
      </c>
      <c r="D26" s="62">
        <v>58</v>
      </c>
      <c r="E26" s="62"/>
      <c r="F26" s="62" t="s">
        <v>88</v>
      </c>
      <c r="G26" s="62">
        <v>70858</v>
      </c>
      <c r="H26" s="62" t="s">
        <v>83</v>
      </c>
      <c r="I26" s="62" t="s">
        <v>59</v>
      </c>
      <c r="J26" s="62" t="s">
        <v>5</v>
      </c>
      <c r="K26" s="62" t="s">
        <v>85</v>
      </c>
      <c r="L26" s="62" t="s">
        <v>26</v>
      </c>
      <c r="M26" s="62"/>
      <c r="N26" s="62" t="s">
        <v>71</v>
      </c>
      <c r="O26" s="4">
        <v>100000000</v>
      </c>
      <c r="P26" s="62">
        <v>114</v>
      </c>
      <c r="Q26" s="62">
        <v>0.25</v>
      </c>
      <c r="R26" s="4">
        <v>99058940</v>
      </c>
      <c r="S26" s="62" t="s">
        <v>96</v>
      </c>
      <c r="T26" s="62" t="s">
        <v>97</v>
      </c>
      <c r="U26" s="5">
        <f>+Tabla_PUYEHUE_MesaInversiones_TransaccionesIIF2[[#This Row],[Dias]]/365</f>
        <v>0.31232876712328766</v>
      </c>
      <c r="V26" s="5">
        <f>+Tabla_PUYEHUE_MesaInversiones_TransaccionesIIF2[[#This Row],[Captacion]]/14000</f>
        <v>7075.6385714285716</v>
      </c>
    </row>
    <row r="27" spans="1:22">
      <c r="A27" s="62" t="s">
        <v>66</v>
      </c>
      <c r="B27" s="62">
        <v>66</v>
      </c>
      <c r="C27" s="62">
        <v>1</v>
      </c>
      <c r="D27" s="62">
        <v>58</v>
      </c>
      <c r="E27" s="62"/>
      <c r="F27" s="62" t="s">
        <v>88</v>
      </c>
      <c r="G27" s="62">
        <v>70859</v>
      </c>
      <c r="H27" s="62" t="s">
        <v>83</v>
      </c>
      <c r="I27" s="62" t="s">
        <v>59</v>
      </c>
      <c r="J27" s="62" t="s">
        <v>5</v>
      </c>
      <c r="K27" s="62" t="s">
        <v>85</v>
      </c>
      <c r="L27" s="62" t="s">
        <v>26</v>
      </c>
      <c r="M27" s="62"/>
      <c r="N27" s="62" t="s">
        <v>71</v>
      </c>
      <c r="O27" s="4">
        <v>100000000</v>
      </c>
      <c r="P27" s="62">
        <v>114</v>
      </c>
      <c r="Q27" s="62">
        <v>0.25</v>
      </c>
      <c r="R27" s="4">
        <v>99058940</v>
      </c>
      <c r="S27" s="62" t="s">
        <v>96</v>
      </c>
      <c r="T27" s="62" t="s">
        <v>97</v>
      </c>
      <c r="U27" s="5">
        <f>+Tabla_PUYEHUE_MesaInversiones_TransaccionesIIF2[[#This Row],[Dias]]/365</f>
        <v>0.31232876712328766</v>
      </c>
      <c r="V27" s="5">
        <f>+Tabla_PUYEHUE_MesaInversiones_TransaccionesIIF2[[#This Row],[Captacion]]/14000</f>
        <v>7075.6385714285716</v>
      </c>
    </row>
    <row r="28" spans="1:22">
      <c r="A28" s="62" t="s">
        <v>66</v>
      </c>
      <c r="B28" s="62">
        <v>66</v>
      </c>
      <c r="C28" s="62">
        <v>1</v>
      </c>
      <c r="D28" s="62">
        <v>58</v>
      </c>
      <c r="E28" s="62"/>
      <c r="F28" s="62" t="s">
        <v>88</v>
      </c>
      <c r="G28" s="62">
        <v>70870</v>
      </c>
      <c r="H28" s="62" t="s">
        <v>83</v>
      </c>
      <c r="I28" s="62" t="s">
        <v>59</v>
      </c>
      <c r="J28" s="62" t="s">
        <v>5</v>
      </c>
      <c r="K28" s="62" t="s">
        <v>85</v>
      </c>
      <c r="L28" s="62" t="s">
        <v>26</v>
      </c>
      <c r="M28" s="62"/>
      <c r="N28" s="62" t="s">
        <v>98</v>
      </c>
      <c r="O28" s="4">
        <v>50000000</v>
      </c>
      <c r="P28" s="62">
        <v>118</v>
      </c>
      <c r="Q28" s="62">
        <v>0.25</v>
      </c>
      <c r="R28" s="4">
        <v>49513121</v>
      </c>
      <c r="S28" s="62" t="s">
        <v>99</v>
      </c>
      <c r="T28" s="62" t="s">
        <v>100</v>
      </c>
      <c r="U28" s="5">
        <f>+Tabla_PUYEHUE_MesaInversiones_TransaccionesIIF2[[#This Row],[Dias]]/365</f>
        <v>0.32328767123287672</v>
      </c>
      <c r="V28" s="5">
        <f>+Tabla_PUYEHUE_MesaInversiones_TransaccionesIIF2[[#This Row],[Captacion]]/14000</f>
        <v>3536.6514999999999</v>
      </c>
    </row>
    <row r="29" spans="1:22">
      <c r="A29" s="62" t="s">
        <v>66</v>
      </c>
      <c r="B29" s="62">
        <v>66</v>
      </c>
      <c r="C29" s="62">
        <v>1</v>
      </c>
      <c r="D29" s="62">
        <v>58</v>
      </c>
      <c r="E29" s="62"/>
      <c r="F29" s="62" t="s">
        <v>88</v>
      </c>
      <c r="G29" s="62">
        <v>70871</v>
      </c>
      <c r="H29" s="62" t="s">
        <v>83</v>
      </c>
      <c r="I29" s="62" t="s">
        <v>59</v>
      </c>
      <c r="J29" s="62" t="s">
        <v>5</v>
      </c>
      <c r="K29" s="62" t="s">
        <v>85</v>
      </c>
      <c r="L29" s="62" t="s">
        <v>26</v>
      </c>
      <c r="M29" s="62"/>
      <c r="N29" s="62" t="s">
        <v>98</v>
      </c>
      <c r="O29" s="4">
        <v>50000000</v>
      </c>
      <c r="P29" s="62">
        <v>118</v>
      </c>
      <c r="Q29" s="62">
        <v>0.25</v>
      </c>
      <c r="R29" s="4">
        <v>49513121</v>
      </c>
      <c r="S29" s="62" t="s">
        <v>99</v>
      </c>
      <c r="T29" s="62" t="s">
        <v>100</v>
      </c>
      <c r="U29" s="5">
        <f>+Tabla_PUYEHUE_MesaInversiones_TransaccionesIIF2[[#This Row],[Dias]]/365</f>
        <v>0.32328767123287672</v>
      </c>
      <c r="V29" s="5">
        <f>+Tabla_PUYEHUE_MesaInversiones_TransaccionesIIF2[[#This Row],[Captacion]]/14000</f>
        <v>3536.6514999999999</v>
      </c>
    </row>
    <row r="30" spans="1:22">
      <c r="A30" s="62" t="s">
        <v>66</v>
      </c>
      <c r="B30" s="62">
        <v>66</v>
      </c>
      <c r="C30" s="62">
        <v>1</v>
      </c>
      <c r="D30" s="62">
        <v>58</v>
      </c>
      <c r="E30" s="62"/>
      <c r="F30" s="62" t="s">
        <v>88</v>
      </c>
      <c r="G30" s="62">
        <v>70872</v>
      </c>
      <c r="H30" s="62" t="s">
        <v>83</v>
      </c>
      <c r="I30" s="62" t="s">
        <v>59</v>
      </c>
      <c r="J30" s="62" t="s">
        <v>5</v>
      </c>
      <c r="K30" s="62" t="s">
        <v>85</v>
      </c>
      <c r="L30" s="62" t="s">
        <v>26</v>
      </c>
      <c r="M30" s="62"/>
      <c r="N30" s="62" t="s">
        <v>98</v>
      </c>
      <c r="O30" s="4">
        <v>50000000</v>
      </c>
      <c r="P30" s="62">
        <v>118</v>
      </c>
      <c r="Q30" s="62">
        <v>0.25</v>
      </c>
      <c r="R30" s="4">
        <v>49513121</v>
      </c>
      <c r="S30" s="62" t="s">
        <v>99</v>
      </c>
      <c r="T30" s="62" t="s">
        <v>100</v>
      </c>
      <c r="U30" s="5">
        <f>+Tabla_PUYEHUE_MesaInversiones_TransaccionesIIF2[[#This Row],[Dias]]/365</f>
        <v>0.32328767123287672</v>
      </c>
      <c r="V30" s="5">
        <f>+Tabla_PUYEHUE_MesaInversiones_TransaccionesIIF2[[#This Row],[Captacion]]/14000</f>
        <v>3536.6514999999999</v>
      </c>
    </row>
    <row r="31" spans="1:22">
      <c r="A31" s="62" t="s">
        <v>66</v>
      </c>
      <c r="B31" s="62">
        <v>66</v>
      </c>
      <c r="C31" s="62">
        <v>1</v>
      </c>
      <c r="D31" s="62">
        <v>58</v>
      </c>
      <c r="E31" s="62"/>
      <c r="F31" s="62" t="s">
        <v>88</v>
      </c>
      <c r="G31" s="62">
        <v>70873</v>
      </c>
      <c r="H31" s="62" t="s">
        <v>83</v>
      </c>
      <c r="I31" s="62" t="s">
        <v>59</v>
      </c>
      <c r="J31" s="62" t="s">
        <v>5</v>
      </c>
      <c r="K31" s="62" t="s">
        <v>85</v>
      </c>
      <c r="L31" s="62" t="s">
        <v>26</v>
      </c>
      <c r="M31" s="62"/>
      <c r="N31" s="62" t="s">
        <v>98</v>
      </c>
      <c r="O31" s="4">
        <v>50000000</v>
      </c>
      <c r="P31" s="62">
        <v>118</v>
      </c>
      <c r="Q31" s="62">
        <v>0.25</v>
      </c>
      <c r="R31" s="4">
        <v>49513121</v>
      </c>
      <c r="S31" s="62" t="s">
        <v>99</v>
      </c>
      <c r="T31" s="62" t="s">
        <v>100</v>
      </c>
      <c r="U31" s="5">
        <f>+Tabla_PUYEHUE_MesaInversiones_TransaccionesIIF2[[#This Row],[Dias]]/365</f>
        <v>0.32328767123287672</v>
      </c>
      <c r="V31" s="5">
        <f>+Tabla_PUYEHUE_MesaInversiones_TransaccionesIIF2[[#This Row],[Captacion]]/14000</f>
        <v>3536.6514999999999</v>
      </c>
    </row>
    <row r="32" spans="1:22">
      <c r="A32" s="62" t="s">
        <v>66</v>
      </c>
      <c r="B32" s="62">
        <v>66</v>
      </c>
      <c r="C32" s="62">
        <v>1</v>
      </c>
      <c r="D32" s="62">
        <v>58</v>
      </c>
      <c r="E32" s="62"/>
      <c r="F32" s="62" t="s">
        <v>88</v>
      </c>
      <c r="G32" s="62">
        <v>70874</v>
      </c>
      <c r="H32" s="62" t="s">
        <v>83</v>
      </c>
      <c r="I32" s="62" t="s">
        <v>59</v>
      </c>
      <c r="J32" s="62" t="s">
        <v>5</v>
      </c>
      <c r="K32" s="62" t="s">
        <v>85</v>
      </c>
      <c r="L32" s="62" t="s">
        <v>26</v>
      </c>
      <c r="M32" s="62"/>
      <c r="N32" s="62" t="s">
        <v>98</v>
      </c>
      <c r="O32" s="4">
        <v>50000000</v>
      </c>
      <c r="P32" s="62">
        <v>118</v>
      </c>
      <c r="Q32" s="62">
        <v>0.25</v>
      </c>
      <c r="R32" s="4">
        <v>49513121</v>
      </c>
      <c r="S32" s="62" t="s">
        <v>99</v>
      </c>
      <c r="T32" s="62" t="s">
        <v>100</v>
      </c>
      <c r="U32" s="5">
        <f>+Tabla_PUYEHUE_MesaInversiones_TransaccionesIIF2[[#This Row],[Dias]]/365</f>
        <v>0.32328767123287672</v>
      </c>
      <c r="V32" s="5">
        <f>+Tabla_PUYEHUE_MesaInversiones_TransaccionesIIF2[[#This Row],[Captacion]]/14000</f>
        <v>3536.6514999999999</v>
      </c>
    </row>
    <row r="33" spans="1:22">
      <c r="A33" s="62" t="s">
        <v>66</v>
      </c>
      <c r="B33" s="62">
        <v>66</v>
      </c>
      <c r="C33" s="62">
        <v>1</v>
      </c>
      <c r="D33" s="62">
        <v>54</v>
      </c>
      <c r="E33" s="62"/>
      <c r="F33" s="62" t="s">
        <v>88</v>
      </c>
      <c r="G33" s="62">
        <v>70902</v>
      </c>
      <c r="H33" s="62" t="s">
        <v>83</v>
      </c>
      <c r="I33" s="62" t="s">
        <v>59</v>
      </c>
      <c r="J33" s="62" t="s">
        <v>5</v>
      </c>
      <c r="K33" s="62" t="s">
        <v>85</v>
      </c>
      <c r="L33" s="62" t="s">
        <v>26</v>
      </c>
      <c r="M33" s="62"/>
      <c r="N33" s="62" t="s">
        <v>101</v>
      </c>
      <c r="O33" s="4">
        <v>100000000</v>
      </c>
      <c r="P33" s="62">
        <v>239</v>
      </c>
      <c r="Q33" s="62">
        <v>0.28000000000000003</v>
      </c>
      <c r="R33" s="4">
        <v>97818006</v>
      </c>
      <c r="S33" s="62" t="s">
        <v>102</v>
      </c>
      <c r="T33" s="62" t="s">
        <v>103</v>
      </c>
      <c r="U33" s="5">
        <f>+Tabla_PUYEHUE_MesaInversiones_TransaccionesIIF2[[#This Row],[Dias]]/365</f>
        <v>0.65479452054794518</v>
      </c>
      <c r="V33" s="5">
        <f>+Tabla_PUYEHUE_MesaInversiones_TransaccionesIIF2[[#This Row],[Captacion]]/14000</f>
        <v>6987.0004285714285</v>
      </c>
    </row>
    <row r="34" spans="1:22">
      <c r="A34" s="62" t="s">
        <v>66</v>
      </c>
      <c r="B34" s="62">
        <v>66</v>
      </c>
      <c r="C34" s="62">
        <v>1</v>
      </c>
      <c r="D34" s="62">
        <v>54</v>
      </c>
      <c r="E34" s="62"/>
      <c r="F34" s="62" t="s">
        <v>88</v>
      </c>
      <c r="G34" s="62">
        <v>70903</v>
      </c>
      <c r="H34" s="62" t="s">
        <v>83</v>
      </c>
      <c r="I34" s="62" t="s">
        <v>59</v>
      </c>
      <c r="J34" s="62" t="s">
        <v>5</v>
      </c>
      <c r="K34" s="62" t="s">
        <v>85</v>
      </c>
      <c r="L34" s="62" t="s">
        <v>26</v>
      </c>
      <c r="M34" s="62"/>
      <c r="N34" s="62" t="s">
        <v>101</v>
      </c>
      <c r="O34" s="4">
        <v>100000000</v>
      </c>
      <c r="P34" s="62">
        <v>239</v>
      </c>
      <c r="Q34" s="62">
        <v>0.28000000000000003</v>
      </c>
      <c r="R34" s="4">
        <v>97818006</v>
      </c>
      <c r="S34" s="62" t="s">
        <v>102</v>
      </c>
      <c r="T34" s="62" t="s">
        <v>103</v>
      </c>
      <c r="U34" s="5">
        <f>+Tabla_PUYEHUE_MesaInversiones_TransaccionesIIF2[[#This Row],[Dias]]/365</f>
        <v>0.65479452054794518</v>
      </c>
      <c r="V34" s="5">
        <f>+Tabla_PUYEHUE_MesaInversiones_TransaccionesIIF2[[#This Row],[Captacion]]/14000</f>
        <v>6987.0004285714285</v>
      </c>
    </row>
    <row r="35" spans="1:22">
      <c r="A35" s="62" t="s">
        <v>66</v>
      </c>
      <c r="B35" s="62">
        <v>66</v>
      </c>
      <c r="C35" s="62">
        <v>1</v>
      </c>
      <c r="D35" s="62">
        <v>54</v>
      </c>
      <c r="E35" s="62"/>
      <c r="F35" s="62" t="s">
        <v>79</v>
      </c>
      <c r="G35" s="62">
        <v>71233</v>
      </c>
      <c r="H35" s="62" t="s">
        <v>83</v>
      </c>
      <c r="I35" s="62" t="s">
        <v>59</v>
      </c>
      <c r="J35" s="62" t="s">
        <v>5</v>
      </c>
      <c r="K35" s="62" t="s">
        <v>85</v>
      </c>
      <c r="L35" s="62" t="s">
        <v>26</v>
      </c>
      <c r="M35" s="62"/>
      <c r="N35" s="62" t="s">
        <v>104</v>
      </c>
      <c r="O35" s="4">
        <v>100000000</v>
      </c>
      <c r="P35" s="62">
        <v>142</v>
      </c>
      <c r="Q35" s="62">
        <v>0.28000000000000003</v>
      </c>
      <c r="R35" s="4">
        <v>98692002</v>
      </c>
      <c r="S35" s="62" t="s">
        <v>105</v>
      </c>
      <c r="T35" s="62" t="s">
        <v>106</v>
      </c>
      <c r="U35" s="5">
        <f>+Tabla_PUYEHUE_MesaInversiones_TransaccionesIIF2[[#This Row],[Dias]]/365</f>
        <v>0.38904109589041097</v>
      </c>
      <c r="V35" s="5">
        <f>+Tabla_PUYEHUE_MesaInversiones_TransaccionesIIF2[[#This Row],[Captacion]]/14000</f>
        <v>7049.4287142857147</v>
      </c>
    </row>
    <row r="36" spans="1:22">
      <c r="A36" s="62" t="s">
        <v>66</v>
      </c>
      <c r="B36" s="62">
        <v>66</v>
      </c>
      <c r="C36" s="62">
        <v>1</v>
      </c>
      <c r="D36" s="62">
        <v>54</v>
      </c>
      <c r="E36" s="62"/>
      <c r="F36" s="62" t="s">
        <v>79</v>
      </c>
      <c r="G36" s="62">
        <v>71234</v>
      </c>
      <c r="H36" s="62" t="s">
        <v>83</v>
      </c>
      <c r="I36" s="62" t="s">
        <v>59</v>
      </c>
      <c r="J36" s="62" t="s">
        <v>5</v>
      </c>
      <c r="K36" s="62" t="s">
        <v>85</v>
      </c>
      <c r="L36" s="62" t="s">
        <v>26</v>
      </c>
      <c r="M36" s="62"/>
      <c r="N36" s="62" t="s">
        <v>104</v>
      </c>
      <c r="O36" s="4">
        <v>100000000</v>
      </c>
      <c r="P36" s="62">
        <v>142</v>
      </c>
      <c r="Q36" s="62">
        <v>0.28000000000000003</v>
      </c>
      <c r="R36" s="4">
        <v>98692002</v>
      </c>
      <c r="S36" s="62" t="s">
        <v>105</v>
      </c>
      <c r="T36" s="62" t="s">
        <v>106</v>
      </c>
      <c r="U36" s="5">
        <f>+Tabla_PUYEHUE_MesaInversiones_TransaccionesIIF2[[#This Row],[Dias]]/365</f>
        <v>0.38904109589041097</v>
      </c>
      <c r="V36" s="5">
        <f>+Tabla_PUYEHUE_MesaInversiones_TransaccionesIIF2[[#This Row],[Captacion]]/14000</f>
        <v>7049.4287142857147</v>
      </c>
    </row>
    <row r="37" spans="1:22">
      <c r="A37" s="62" t="s">
        <v>66</v>
      </c>
      <c r="B37" s="62">
        <v>66</v>
      </c>
      <c r="C37" s="62">
        <v>1</v>
      </c>
      <c r="D37" s="62">
        <v>54</v>
      </c>
      <c r="E37" s="62"/>
      <c r="F37" s="62" t="s">
        <v>79</v>
      </c>
      <c r="G37" s="62">
        <v>71235</v>
      </c>
      <c r="H37" s="62" t="s">
        <v>83</v>
      </c>
      <c r="I37" s="62" t="s">
        <v>59</v>
      </c>
      <c r="J37" s="62" t="s">
        <v>5</v>
      </c>
      <c r="K37" s="62" t="s">
        <v>85</v>
      </c>
      <c r="L37" s="62" t="s">
        <v>26</v>
      </c>
      <c r="M37" s="62"/>
      <c r="N37" s="62" t="s">
        <v>104</v>
      </c>
      <c r="O37" s="4">
        <v>100000000</v>
      </c>
      <c r="P37" s="62">
        <v>142</v>
      </c>
      <c r="Q37" s="62">
        <v>0.28000000000000003</v>
      </c>
      <c r="R37" s="4">
        <v>98692002</v>
      </c>
      <c r="S37" s="62" t="s">
        <v>105</v>
      </c>
      <c r="T37" s="62" t="s">
        <v>106</v>
      </c>
      <c r="U37" s="5">
        <f>+Tabla_PUYEHUE_MesaInversiones_TransaccionesIIF2[[#This Row],[Dias]]/365</f>
        <v>0.38904109589041097</v>
      </c>
      <c r="V37" s="5">
        <f>+Tabla_PUYEHUE_MesaInversiones_TransaccionesIIF2[[#This Row],[Captacion]]/14000</f>
        <v>7049.4287142857147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9D70-364A-4AAA-B81D-70EEC2C5F259}">
  <sheetPr codeName="Hoja3"/>
  <dimension ref="A1:C5"/>
  <sheetViews>
    <sheetView workbookViewId="0">
      <selection activeCell="B2" sqref="B2"/>
    </sheetView>
  </sheetViews>
  <sheetFormatPr baseColWidth="10" defaultRowHeight="14.25"/>
  <cols>
    <col min="1" max="1" width="10.125" bestFit="1" customWidth="1"/>
    <col min="2" max="2" width="12.75" bestFit="1" customWidth="1"/>
    <col min="3" max="3" width="10.875" bestFit="1" customWidth="1"/>
  </cols>
  <sheetData>
    <row r="1" spans="1:3">
      <c r="A1" t="s">
        <v>52</v>
      </c>
      <c r="B1" t="s">
        <v>53</v>
      </c>
      <c r="C1" t="s">
        <v>54</v>
      </c>
    </row>
    <row r="2" spans="1:3">
      <c r="A2" s="11" t="s">
        <v>55</v>
      </c>
      <c r="B2" s="11" t="s">
        <v>24</v>
      </c>
      <c r="C2">
        <v>402700003</v>
      </c>
    </row>
    <row r="3" spans="1:3">
      <c r="A3" s="11" t="s">
        <v>55</v>
      </c>
      <c r="B3" s="11" t="s">
        <v>22</v>
      </c>
      <c r="C3">
        <v>2011021135</v>
      </c>
    </row>
    <row r="4" spans="1:3">
      <c r="A4" s="11" t="s">
        <v>55</v>
      </c>
      <c r="B4" s="11" t="s">
        <v>23</v>
      </c>
      <c r="C4">
        <v>1813640.98</v>
      </c>
    </row>
    <row r="5" spans="1:3">
      <c r="A5" s="11" t="s">
        <v>55</v>
      </c>
      <c r="B5" s="11" t="s">
        <v>25</v>
      </c>
      <c r="C5">
        <v>122491946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34"/>
  <sheetViews>
    <sheetView workbookViewId="0">
      <selection activeCell="A2" sqref="A2:A34"/>
    </sheetView>
  </sheetViews>
  <sheetFormatPr baseColWidth="10" defaultRowHeight="12"/>
  <cols>
    <col min="1" max="1" width="8.875" style="3" customWidth="1"/>
    <col min="2" max="16384" width="11" style="3"/>
  </cols>
  <sheetData>
    <row r="1" spans="1:1">
      <c r="A1" s="1" t="s">
        <v>21</v>
      </c>
    </row>
    <row r="2" spans="1:1">
      <c r="A2" s="2">
        <v>41275</v>
      </c>
    </row>
    <row r="3" spans="1:1">
      <c r="A3" s="2">
        <v>41362</v>
      </c>
    </row>
    <row r="4" spans="1:1">
      <c r="A4" s="2">
        <v>41363</v>
      </c>
    </row>
    <row r="5" spans="1:1">
      <c r="A5" s="2">
        <v>41395</v>
      </c>
    </row>
    <row r="6" spans="1:1">
      <c r="A6" s="2">
        <v>41415</v>
      </c>
    </row>
    <row r="7" spans="1:1">
      <c r="A7" s="2">
        <v>41454</v>
      </c>
    </row>
    <row r="8" spans="1:1">
      <c r="A8" s="2">
        <v>41471</v>
      </c>
    </row>
    <row r="9" spans="1:1">
      <c r="A9" s="2">
        <v>41501</v>
      </c>
    </row>
    <row r="10" spans="1:1">
      <c r="A10" s="2">
        <v>41535</v>
      </c>
    </row>
    <row r="11" spans="1:1">
      <c r="A11" s="2">
        <v>41536</v>
      </c>
    </row>
    <row r="12" spans="1:1">
      <c r="A12" s="2">
        <v>41537</v>
      </c>
    </row>
    <row r="13" spans="1:1">
      <c r="A13" s="2">
        <v>41559</v>
      </c>
    </row>
    <row r="14" spans="1:1">
      <c r="A14" s="2">
        <v>41578</v>
      </c>
    </row>
    <row r="15" spans="1:1">
      <c r="A15" s="2">
        <v>41579</v>
      </c>
    </row>
    <row r="16" spans="1:1">
      <c r="A16" s="2">
        <v>41616</v>
      </c>
    </row>
    <row r="17" spans="1:1">
      <c r="A17" s="2">
        <v>41633</v>
      </c>
    </row>
    <row r="18" spans="1:1">
      <c r="A18" s="2">
        <v>41639</v>
      </c>
    </row>
    <row r="19" spans="1:1">
      <c r="A19" s="2">
        <v>41640</v>
      </c>
    </row>
    <row r="20" spans="1:1">
      <c r="A20" s="2">
        <v>41747</v>
      </c>
    </row>
    <row r="21" spans="1:1">
      <c r="A21" s="2">
        <v>41748</v>
      </c>
    </row>
    <row r="22" spans="1:1">
      <c r="A22" s="2">
        <v>41760</v>
      </c>
    </row>
    <row r="23" spans="1:1">
      <c r="A23" s="2">
        <v>41780</v>
      </c>
    </row>
    <row r="24" spans="1:1">
      <c r="A24" s="2">
        <v>41819</v>
      </c>
    </row>
    <row r="25" spans="1:1">
      <c r="A25" s="2">
        <v>41836</v>
      </c>
    </row>
    <row r="26" spans="1:1">
      <c r="A26" s="2">
        <v>41866</v>
      </c>
    </row>
    <row r="27" spans="1:1">
      <c r="A27" s="2">
        <v>41900</v>
      </c>
    </row>
    <row r="28" spans="1:1">
      <c r="A28" s="2">
        <v>41901</v>
      </c>
    </row>
    <row r="29" spans="1:1">
      <c r="A29" s="2">
        <v>41924</v>
      </c>
    </row>
    <row r="30" spans="1:1">
      <c r="A30" s="2">
        <v>41943</v>
      </c>
    </row>
    <row r="31" spans="1:1">
      <c r="A31" s="2">
        <v>41944</v>
      </c>
    </row>
    <row r="32" spans="1:1">
      <c r="A32" s="2">
        <v>41981</v>
      </c>
    </row>
    <row r="33" spans="1:1">
      <c r="A33" s="2">
        <v>41998</v>
      </c>
    </row>
    <row r="34" spans="1:1">
      <c r="A34" s="2">
        <v>42004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3A7C68-3197-448A-B92A-134AD29DF8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ResumenFondos</vt:lpstr>
      <vt:lpstr>SubidosIRF</vt:lpstr>
      <vt:lpstr>SubidosIIF</vt:lpstr>
      <vt:lpstr>Aportes</vt:lpstr>
      <vt:lpstr>Feriados</vt:lpstr>
      <vt:lpstr>FeriadosBCS</vt:lpstr>
    </vt:vector>
  </TitlesOfParts>
  <Company>Banco Itaú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CJAG7136</dc:creator>
  <cp:lastModifiedBy>Fernando Suarez B.</cp:lastModifiedBy>
  <cp:lastPrinted>2017-11-15T16:25:14Z</cp:lastPrinted>
  <dcterms:created xsi:type="dcterms:W3CDTF">2012-03-27T21:22:26Z</dcterms:created>
  <dcterms:modified xsi:type="dcterms:W3CDTF">2017-11-22T16:40:02Z</dcterms:modified>
</cp:coreProperties>
</file>
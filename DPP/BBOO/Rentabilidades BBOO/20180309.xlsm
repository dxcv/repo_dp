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Rentabilidades Fondos\ENVIABLES\"/>
    </mc:Choice>
  </mc:AlternateContent>
  <xr:revisionPtr revIDLastSave="0" documentId="13_ncr:1_{8F470517-A37A-4F8B-B8BB-3CDE6C5FE353}" xr6:coauthVersionLast="28" xr6:coauthVersionMax="28" xr10:uidLastSave="{00000000-0000-0000-0000-000000000000}"/>
  <bookViews>
    <workbookView xWindow="0" yWindow="0" windowWidth="19200" windowHeight="11460" activeTab="1" xr2:uid="{00000000-000D-0000-FFFF-FFFF00000000}"/>
  </bookViews>
  <sheets>
    <sheet name="FM" sheetId="2" r:id="rId1"/>
    <sheet name="FI" sheetId="16" r:id="rId2"/>
    <sheet name="A" sheetId="10" state="hidden" r:id="rId3"/>
    <sheet name="B" sheetId="11" state="hidden" r:id="rId4"/>
    <sheet name="C" sheetId="12" state="hidden" r:id="rId5"/>
    <sheet name="D" sheetId="13" state="hidden" r:id="rId6"/>
    <sheet name="E" sheetId="14" state="hidden" r:id="rId7"/>
    <sheet name="F" sheetId="15" state="hidden" r:id="rId8"/>
  </sheets>
  <externalReferences>
    <externalReference r:id="rId9"/>
  </externalReferenc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6" i="16" l="1"/>
  <c r="C55" i="16"/>
  <c r="C54" i="16"/>
  <c r="H40" i="16" s="1"/>
  <c r="C51" i="16"/>
  <c r="D28" i="16" s="1"/>
  <c r="C49" i="16"/>
  <c r="B49" i="16"/>
  <c r="G45" i="16"/>
  <c r="H45" i="16" s="1"/>
  <c r="D45" i="16"/>
  <c r="H44" i="16"/>
  <c r="D44" i="16"/>
  <c r="D43" i="16"/>
  <c r="H42" i="16"/>
  <c r="D42" i="16"/>
  <c r="C41" i="16"/>
  <c r="D41" i="16" s="1"/>
  <c r="D40" i="16"/>
  <c r="H39" i="16"/>
  <c r="D39" i="16"/>
  <c r="C39" i="16"/>
  <c r="C38" i="16"/>
  <c r="D38" i="16" s="1"/>
  <c r="D37" i="16"/>
  <c r="H36" i="16"/>
  <c r="D36" i="16"/>
  <c r="D35" i="16"/>
  <c r="L31" i="16"/>
  <c r="H31" i="16"/>
  <c r="D31" i="16"/>
  <c r="L30" i="16"/>
  <c r="H30" i="16"/>
  <c r="L29" i="16"/>
  <c r="H29" i="16"/>
  <c r="L28" i="16"/>
  <c r="H28" i="16"/>
  <c r="L27" i="16"/>
  <c r="G27" i="16"/>
  <c r="H27" i="16" s="1"/>
  <c r="C27" i="16"/>
  <c r="D27" i="16" s="1"/>
  <c r="L26" i="16"/>
  <c r="H26" i="16"/>
  <c r="L25" i="16"/>
  <c r="G25" i="16"/>
  <c r="H25" i="16" s="1"/>
  <c r="C25" i="16"/>
  <c r="D25" i="16" s="1"/>
  <c r="L24" i="16"/>
  <c r="H24" i="16"/>
  <c r="L23" i="16"/>
  <c r="H23" i="16"/>
  <c r="D23" i="16"/>
  <c r="K22" i="16"/>
  <c r="L22" i="16" s="1"/>
  <c r="L32" i="16" s="1"/>
  <c r="H22" i="16"/>
  <c r="D22" i="16"/>
  <c r="L21" i="16"/>
  <c r="H21" i="16"/>
  <c r="L17" i="16"/>
  <c r="H17" i="16"/>
  <c r="D17" i="16"/>
  <c r="L16" i="16"/>
  <c r="H16" i="16"/>
  <c r="D16" i="16"/>
  <c r="L15" i="16"/>
  <c r="H15" i="16"/>
  <c r="D15" i="16"/>
  <c r="L14" i="16"/>
  <c r="H14" i="16"/>
  <c r="D14" i="16"/>
  <c r="L13" i="16"/>
  <c r="H13" i="16"/>
  <c r="D13" i="16"/>
  <c r="L12" i="16"/>
  <c r="H12" i="16"/>
  <c r="D12" i="16"/>
  <c r="L11" i="16"/>
  <c r="G11" i="16"/>
  <c r="H11" i="16" s="1"/>
  <c r="D11" i="16"/>
  <c r="L10" i="16"/>
  <c r="H10" i="16"/>
  <c r="D10" i="16"/>
  <c r="L9" i="16"/>
  <c r="L18" i="16" s="1"/>
  <c r="H9" i="16"/>
  <c r="D9" i="16"/>
  <c r="L8" i="16"/>
  <c r="H8" i="16"/>
  <c r="D8" i="16"/>
  <c r="L7" i="16"/>
  <c r="H7" i="16"/>
  <c r="H18" i="16" s="1"/>
  <c r="D7" i="16"/>
  <c r="D18" i="16" s="1"/>
  <c r="H32" i="16" l="1"/>
  <c r="D46" i="16"/>
  <c r="D21" i="16"/>
  <c r="D30" i="16"/>
  <c r="D29" i="16"/>
  <c r="H38" i="16"/>
  <c r="H41" i="16"/>
  <c r="H43" i="16"/>
  <c r="D24" i="16"/>
  <c r="D26" i="16"/>
  <c r="H35" i="16"/>
  <c r="H37" i="16"/>
  <c r="H46" i="16" l="1"/>
  <c r="D32" i="16"/>
</calcChain>
</file>

<file path=xl/sharedStrings.xml><?xml version="1.0" encoding="utf-8"?>
<sst xmlns="http://schemas.openxmlformats.org/spreadsheetml/2006/main" count="843" uniqueCount="72">
  <si>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</si>
  <si>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</si>
  <si>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</si>
  <si>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</si>
  <si>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</si>
  <si>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</si>
  <si>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</si>
  <si>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</si>
  <si>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/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</si>
  <si>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</si>
  <si>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</si>
  <si>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</si>
  <si>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</si>
  <si>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</si>
  <si>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</si>
  <si>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</si>
  <si>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</si>
  <si>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</si>
  <si>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</si>
  <si>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</si>
  <si>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</si>
  <si>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>Devengo Intereses</t>
  </si>
  <si>
    <t>Devengo Reajustes</t>
  </si>
  <si>
    <t>Ajuste Sintetico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</si>
  <si>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</si>
  <si>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</si>
  <si>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</si>
  <si>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</si>
  <si>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</si>
  <si>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</si>
  <si>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</si>
  <si>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</si>
  <si>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</si>
  <si>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</si>
  <si>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</si>
  <si>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</si>
  <si>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</si>
  <si>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</si>
  <si>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</si>
  <si>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</si>
  <si>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</si>
  <si>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</si>
  <si>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</si>
  <si>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</si>
  <si>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</si>
  <si>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</si>
  <si>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</si>
  <si>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FI Acciones US</t>
  </si>
  <si>
    <t>Deuda Corp</t>
  </si>
  <si>
    <t>FI Spreadcorp</t>
  </si>
  <si>
    <t>Macro 3</t>
  </si>
  <si>
    <t>IMT E-Plus</t>
  </si>
  <si>
    <t>SMALL CAP</t>
  </si>
  <si>
    <t xml:space="preserve"> </t>
  </si>
  <si>
    <t>Spreadcorp</t>
  </si>
  <si>
    <t>MACRO 3</t>
  </si>
  <si>
    <t xml:space="preserve">Devengo Intereses </t>
  </si>
  <si>
    <t xml:space="preserve">Devengo Reajustes </t>
  </si>
  <si>
    <t>Devengo pacto</t>
  </si>
  <si>
    <t>A FM</t>
  </si>
  <si>
    <t>BFM</t>
  </si>
  <si>
    <t>A</t>
  </si>
  <si>
    <t>Ajuste Devengo diario x prima</t>
  </si>
  <si>
    <t>Ajuste precio vta. Corta</t>
  </si>
  <si>
    <t>ARGENTINA LIQUIDEZ</t>
  </si>
  <si>
    <t>Patrimonios Netos (cierre dia anterior)</t>
  </si>
  <si>
    <t>LIQUIDEZ ARGENTINA</t>
  </si>
  <si>
    <t>PACIFIC_AL</t>
  </si>
  <si>
    <t>Comisiones</t>
  </si>
  <si>
    <t>LATAM</t>
  </si>
  <si>
    <t>Small Cap</t>
  </si>
  <si>
    <t>Pacific_AL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</si>
</sst>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(* #,##0.00_);_(* \(#,##0.00\);_(* &quot;-&quot;??_);_(@_)"/>
    <numFmt numFmtId="165" formatCode="[$-F800]dddd\,\ mmmm\ dd\,\ yyyy"/>
    <numFmt numFmtId="166" formatCode="_-* #,##0_-;\-* #,##0_-;_-* &quot;-&quot;??_-;_-@_-"/>
    <numFmt numFmtId="167" formatCode="0.000%"/>
    <numFmt numFmtId="168" formatCode="0.00000%"/>
    <numFmt numFmtId="169" formatCode="0.0000%"/>
    <numFmt numFmtId="170" formatCode="#,##0.000000"/>
    <numFmt numFmtId="173" formatCode="_-* #,##0.0000_-;\-* #,##0.0000_-;_-* &quot;-&quot;??_-;_-@_-"/>
    <numFmt numFmtId="174" formatCode="#,##0.00000;[Red]\-#,##0.00000"/>
    <numFmt numFmtId="175" formatCode="#,##0.0000;[Red]\-#,##0.0000"/>
    <numFmt numFmtId="176" formatCode="_-* #,##0\ _p_t_a_-;\-* #,##0\ _p_t_a_-;_-* &quot;-&quot;??\ _p_t_a_-;_-@_-"/>
    <numFmt numFmtId="177" formatCode="_-* #,##0.000_-;\-* #,##0.0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rgb="FFFF0000"/>
      <name val="Arial"/>
      <family val="2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</borders>
  <cellStyleXfs count="1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49">
    <xf numFmtId="0" fontId="0" fillId="0" borderId="0" xfId="0"/>
    <xf numFmtId="0" fontId="2" fillId="2" borderId="0" xfId="0" applyFont="1" applyFill="1"/>
    <xf numFmtId="0" fontId="2" fillId="2" borderId="0" xfId="0" applyFont="1" applyFill="1" applyBorder="1"/>
    <xf numFmtId="14" fontId="3" fillId="2" borderId="0" xfId="0" applyNumberFormat="1" applyFont="1" applyFill="1"/>
    <xf numFmtId="14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wrapText="1"/>
    </xf>
    <xf numFmtId="0" fontId="3" fillId="4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wrapText="1"/>
    </xf>
    <xf numFmtId="0" fontId="2" fillId="2" borderId="1" xfId="0" applyFont="1" applyFill="1" applyBorder="1"/>
    <xf numFmtId="166" fontId="2" fillId="2" borderId="1" xfId="1" applyNumberFormat="1" applyFont="1" applyFill="1" applyBorder="1"/>
    <xf numFmtId="167" fontId="2" fillId="2" borderId="1" xfId="2" applyNumberFormat="1" applyFont="1" applyFill="1" applyBorder="1"/>
    <xf numFmtId="167" fontId="2" fillId="2" borderId="3" xfId="2" applyNumberFormat="1" applyFont="1" applyFill="1" applyBorder="1"/>
    <xf numFmtId="167" fontId="2" fillId="2" borderId="4" xfId="2" applyNumberFormat="1" applyFont="1" applyFill="1" applyBorder="1"/>
    <xf numFmtId="167" fontId="2" fillId="2" borderId="0" xfId="2" applyNumberFormat="1" applyFont="1" applyFill="1"/>
    <xf numFmtId="164" fontId="2" fillId="2" borderId="1" xfId="1" applyFont="1" applyFill="1" applyBorder="1"/>
    <xf numFmtId="3" fontId="2" fillId="2" borderId="1" xfId="0" applyNumberFormat="1" applyFont="1" applyFill="1" applyBorder="1"/>
    <xf numFmtId="3" fontId="4" fillId="2" borderId="1" xfId="0" applyNumberFormat="1" applyFont="1" applyFill="1" applyBorder="1"/>
    <xf numFmtId="164" fontId="2" fillId="2" borderId="0" xfId="1" applyFont="1" applyFill="1"/>
    <xf numFmtId="167" fontId="2" fillId="2" borderId="0" xfId="2" applyNumberFormat="1" applyFont="1" applyFill="1" applyBorder="1"/>
    <xf numFmtId="0" fontId="3" fillId="2" borderId="5" xfId="0" applyFont="1" applyFill="1" applyBorder="1"/>
    <xf numFmtId="3" fontId="3" fillId="2" borderId="1" xfId="0" applyNumberFormat="1" applyFont="1" applyFill="1" applyBorder="1"/>
    <xf numFmtId="167" fontId="3" fillId="2" borderId="6" xfId="2" applyNumberFormat="1" applyFont="1" applyFill="1" applyBorder="1"/>
    <xf numFmtId="167" fontId="3" fillId="2" borderId="0" xfId="2" applyNumberFormat="1" applyFont="1" applyFill="1" applyBorder="1"/>
    <xf numFmtId="0" fontId="3" fillId="2" borderId="0" xfId="0" applyFont="1" applyFill="1"/>
    <xf numFmtId="0" fontId="3" fillId="2" borderId="0" xfId="0" applyFont="1" applyFill="1" applyBorder="1" applyAlignment="1">
      <alignment horizontal="center"/>
    </xf>
    <xf numFmtId="38" fontId="2" fillId="2" borderId="0" xfId="0" applyNumberFormat="1" applyFont="1" applyFill="1"/>
    <xf numFmtId="0" fontId="3" fillId="2" borderId="2" xfId="0" applyFont="1" applyFill="1" applyBorder="1" applyAlignment="1">
      <alignment horizontal="center"/>
    </xf>
    <xf numFmtId="168" fontId="2" fillId="2" borderId="0" xfId="0" applyNumberFormat="1" applyFont="1" applyFill="1"/>
    <xf numFmtId="10" fontId="2" fillId="2" borderId="0" xfId="0" applyNumberFormat="1" applyFont="1" applyFill="1"/>
    <xf numFmtId="0" fontId="4" fillId="2" borderId="0" xfId="0" applyFont="1" applyFill="1"/>
    <xf numFmtId="3" fontId="3" fillId="2" borderId="0" xfId="0" applyNumberFormat="1" applyFont="1" applyFill="1"/>
    <xf numFmtId="40" fontId="2" fillId="2" borderId="0" xfId="0" applyNumberFormat="1" applyFont="1" applyFill="1"/>
    <xf numFmtId="4" fontId="2" fillId="2" borderId="1" xfId="0" applyNumberFormat="1" applyFont="1" applyFill="1" applyBorder="1"/>
    <xf numFmtId="0" fontId="2" fillId="2" borderId="7" xfId="0" applyFont="1" applyFill="1" applyBorder="1"/>
    <xf numFmtId="40" fontId="2" fillId="2" borderId="8" xfId="0" applyNumberFormat="1" applyFont="1" applyFill="1" applyBorder="1"/>
    <xf numFmtId="0" fontId="2" fillId="2" borderId="9" xfId="0" applyFont="1" applyFill="1" applyBorder="1"/>
    <xf numFmtId="40" fontId="2" fillId="2" borderId="10" xfId="1" applyNumberFormat="1" applyFont="1" applyFill="1" applyBorder="1"/>
    <xf numFmtId="166" fontId="2" fillId="2" borderId="10" xfId="1" applyNumberFormat="1" applyFont="1" applyFill="1" applyBorder="1"/>
    <xf numFmtId="4" fontId="3" fillId="2" borderId="11" xfId="0" applyNumberFormat="1" applyFont="1" applyFill="1" applyBorder="1"/>
    <xf numFmtId="0" fontId="3" fillId="2" borderId="0" xfId="0" applyFont="1" applyFill="1" applyBorder="1"/>
    <xf numFmtId="40" fontId="3" fillId="2" borderId="0" xfId="0" applyNumberFormat="1" applyFont="1" applyFill="1"/>
    <xf numFmtId="38" fontId="2" fillId="2" borderId="8" xfId="0" applyNumberFormat="1" applyFont="1" applyFill="1" applyBorder="1"/>
    <xf numFmtId="3" fontId="2" fillId="2" borderId="0" xfId="0" applyNumberFormat="1" applyFont="1" applyFill="1" applyBorder="1"/>
    <xf numFmtId="167" fontId="2" fillId="2" borderId="0" xfId="0" applyNumberFormat="1" applyFont="1" applyFill="1" applyBorder="1"/>
    <xf numFmtId="38" fontId="2" fillId="2" borderId="12" xfId="0" applyNumberFormat="1" applyFont="1" applyFill="1" applyBorder="1"/>
    <xf numFmtId="38" fontId="2" fillId="5" borderId="12" xfId="0" applyNumberFormat="1" applyFont="1" applyFill="1" applyBorder="1"/>
    <xf numFmtId="38" fontId="2" fillId="2" borderId="0" xfId="0" applyNumberFormat="1" applyFont="1" applyFill="1" applyBorder="1"/>
    <xf numFmtId="38" fontId="4" fillId="2" borderId="12" xfId="0" applyNumberFormat="1" applyFont="1" applyFill="1" applyBorder="1" applyAlignment="1">
      <alignment wrapText="1"/>
    </xf>
    <xf numFmtId="40" fontId="2" fillId="2" borderId="12" xfId="0" applyNumberFormat="1" applyFont="1" applyFill="1" applyBorder="1"/>
    <xf numFmtId="164" fontId="4" fillId="2" borderId="12" xfId="1" applyFont="1" applyFill="1" applyBorder="1" applyAlignment="1">
      <alignment wrapText="1"/>
    </xf>
    <xf numFmtId="166" fontId="2" fillId="2" borderId="0" xfId="1" applyNumberFormat="1" applyFont="1" applyFill="1"/>
    <xf numFmtId="3" fontId="2" fillId="2" borderId="0" xfId="0" applyNumberFormat="1" applyFont="1" applyFill="1"/>
    <xf numFmtId="166" fontId="2" fillId="2" borderId="8" xfId="1" applyNumberFormat="1" applyFont="1" applyFill="1" applyBorder="1"/>
    <xf numFmtId="166" fontId="2" fillId="0" borderId="8" xfId="1" applyNumberFormat="1" applyFont="1" applyFill="1" applyBorder="1"/>
    <xf numFmtId="3" fontId="5" fillId="2" borderId="11" xfId="0" applyNumberFormat="1" applyFont="1" applyFill="1" applyBorder="1"/>
    <xf numFmtId="166" fontId="5" fillId="2" borderId="10" xfId="1" applyNumberFormat="1" applyFont="1" applyFill="1" applyBorder="1"/>
    <xf numFmtId="4" fontId="3" fillId="2" borderId="1" xfId="0" applyNumberFormat="1" applyFont="1" applyFill="1" applyBorder="1"/>
    <xf numFmtId="166" fontId="5" fillId="0" borderId="8" xfId="1" applyNumberFormat="1" applyFont="1" applyFill="1" applyBorder="1"/>
    <xf numFmtId="0" fontId="4" fillId="2" borderId="0" xfId="0" applyFont="1" applyFill="1" applyBorder="1"/>
    <xf numFmtId="0" fontId="4" fillId="2" borderId="0" xfId="0" applyFont="1" applyFill="1" applyAlignment="1">
      <alignment wrapText="1"/>
    </xf>
    <xf numFmtId="0" fontId="4" fillId="2" borderId="7" xfId="0" applyFont="1" applyFill="1" applyBorder="1"/>
    <xf numFmtId="167" fontId="4" fillId="2" borderId="12" xfId="2" applyNumberFormat="1" applyFont="1" applyFill="1" applyBorder="1"/>
    <xf numFmtId="167" fontId="4" fillId="2" borderId="3" xfId="2" applyNumberFormat="1" applyFont="1" applyFill="1" applyBorder="1"/>
    <xf numFmtId="166" fontId="4" fillId="0" borderId="8" xfId="1" applyNumberFormat="1" applyFont="1" applyFill="1" applyBorder="1"/>
    <xf numFmtId="167" fontId="4" fillId="2" borderId="4" xfId="2" applyNumberFormat="1" applyFont="1" applyFill="1" applyBorder="1"/>
    <xf numFmtId="167" fontId="4" fillId="2" borderId="0" xfId="2" applyNumberFormat="1" applyFont="1" applyFill="1"/>
    <xf numFmtId="0" fontId="4" fillId="2" borderId="9" xfId="0" applyFont="1" applyFill="1" applyBorder="1"/>
    <xf numFmtId="0" fontId="4" fillId="2" borderId="13" xfId="0" applyFont="1" applyFill="1" applyBorder="1"/>
    <xf numFmtId="3" fontId="4" fillId="2" borderId="11" xfId="0" applyNumberFormat="1" applyFont="1" applyFill="1" applyBorder="1"/>
    <xf numFmtId="167" fontId="4" fillId="2" borderId="6" xfId="2" applyNumberFormat="1" applyFont="1" applyFill="1" applyBorder="1"/>
    <xf numFmtId="164" fontId="4" fillId="2" borderId="0" xfId="1" applyFont="1" applyFill="1"/>
    <xf numFmtId="167" fontId="4" fillId="2" borderId="0" xfId="2" applyNumberFormat="1" applyFont="1" applyFill="1" applyBorder="1"/>
    <xf numFmtId="38" fontId="4" fillId="2" borderId="0" xfId="0" applyNumberFormat="1" applyFont="1" applyFill="1"/>
    <xf numFmtId="10" fontId="4" fillId="2" borderId="0" xfId="0" applyNumberFormat="1" applyFont="1" applyFill="1"/>
    <xf numFmtId="166" fontId="4" fillId="2" borderId="10" xfId="1" applyNumberFormat="1" applyFont="1" applyFill="1" applyBorder="1"/>
    <xf numFmtId="3" fontId="4" fillId="2" borderId="0" xfId="0" applyNumberFormat="1" applyFont="1" applyFill="1"/>
    <xf numFmtId="167" fontId="4" fillId="2" borderId="0" xfId="0" applyNumberFormat="1" applyFont="1" applyFill="1" applyBorder="1"/>
    <xf numFmtId="0" fontId="4" fillId="2" borderId="0" xfId="0" applyFont="1" applyFill="1" applyBorder="1" applyAlignment="1">
      <alignment wrapText="1"/>
    </xf>
    <xf numFmtId="38" fontId="4" fillId="2" borderId="0" xfId="0" applyNumberFormat="1" applyFont="1" applyFill="1" applyBorder="1"/>
    <xf numFmtId="38" fontId="4" fillId="2" borderId="12" xfId="0" applyNumberFormat="1" applyFont="1" applyFill="1" applyBorder="1"/>
    <xf numFmtId="164" fontId="2" fillId="2" borderId="0" xfId="0" applyNumberFormat="1" applyFont="1" applyFill="1"/>
    <xf numFmtId="164" fontId="3" fillId="2" borderId="0" xfId="0" applyNumberFormat="1" applyFont="1" applyFill="1"/>
    <xf numFmtId="164" fontId="2" fillId="2" borderId="1" xfId="1" applyNumberFormat="1" applyFont="1" applyFill="1" applyBorder="1"/>
    <xf numFmtId="164" fontId="2" fillId="2" borderId="8" xfId="1" applyNumberFormat="1" applyFont="1" applyFill="1" applyBorder="1"/>
    <xf numFmtId="0" fontId="4" fillId="0" borderId="0" xfId="0" applyFont="1"/>
    <xf numFmtId="173" fontId="2" fillId="2" borderId="0" xfId="1" applyNumberFormat="1" applyFont="1" applyFill="1"/>
    <xf numFmtId="174" fontId="2" fillId="2" borderId="0" xfId="0" applyNumberFormat="1" applyFont="1" applyFill="1"/>
    <xf numFmtId="164" fontId="2" fillId="2" borderId="1" xfId="0" applyNumberFormat="1" applyFont="1" applyFill="1" applyBorder="1"/>
    <xf numFmtId="175" fontId="3" fillId="2" borderId="0" xfId="0" applyNumberFormat="1" applyFont="1" applyFill="1"/>
    <xf numFmtId="169" fontId="3" fillId="2" borderId="6" xfId="2" applyNumberFormat="1" applyFont="1" applyFill="1" applyBorder="1"/>
    <xf numFmtId="177" fontId="2" fillId="2" borderId="0" xfId="1" applyNumberFormat="1" applyFont="1" applyFill="1"/>
    <xf numFmtId="4" fontId="3" fillId="2" borderId="0" xfId="0" applyNumberFormat="1" applyFont="1" applyFill="1" applyBorder="1"/>
    <xf numFmtId="0" fontId="6" fillId="0" borderId="1" xfId="3" applyFont="1" applyBorder="1" applyAlignment="1">
      <alignment horizontal="left"/>
    </xf>
    <xf numFmtId="166" fontId="4" fillId="0" borderId="1" xfId="4" applyNumberFormat="1" applyFont="1" applyFill="1" applyBorder="1" applyAlignment="1">
      <alignment horizontal="left"/>
    </xf>
    <xf numFmtId="0" fontId="6" fillId="0" borderId="1" xfId="6" applyFont="1" applyBorder="1" applyAlignment="1">
      <alignment horizontal="left"/>
    </xf>
    <xf numFmtId="176" fontId="2" fillId="2" borderId="1" xfId="1" applyNumberFormat="1" applyFont="1" applyFill="1" applyBorder="1" applyAlignment="1" applyProtection="1">
      <alignment vertical="center"/>
      <protection locked="0"/>
    </xf>
    <xf numFmtId="176" fontId="2" fillId="2" borderId="1" xfId="8" applyNumberFormat="1" applyFont="1" applyFill="1" applyBorder="1" applyAlignment="1" applyProtection="1">
      <alignment vertical="center"/>
      <protection locked="0"/>
    </xf>
    <xf numFmtId="164" fontId="2" fillId="2" borderId="0" xfId="0" applyNumberFormat="1" applyFont="1" applyFill="1"/>
    <xf numFmtId="164" fontId="3" fillId="2" borderId="0" xfId="0" applyNumberFormat="1" applyFont="1" applyFill="1"/>
    <xf numFmtId="164" fontId="2" fillId="2" borderId="1" xfId="1" applyNumberFormat="1" applyFont="1" applyFill="1" applyBorder="1"/>
    <xf numFmtId="164" fontId="2" fillId="2" borderId="8" xfId="1" applyNumberFormat="1" applyFont="1" applyFill="1" applyBorder="1"/>
    <xf numFmtId="164" fontId="2" fillId="2" borderId="0" xfId="1" applyFont="1" applyFill="1" applyBorder="1"/>
    <xf numFmtId="166" fontId="2" fillId="2" borderId="0" xfId="0" applyNumberFormat="1" applyFont="1" applyFill="1"/>
    <xf numFmtId="164" fontId="2" fillId="2" borderId="0" xfId="1" applyFont="1" applyFill="1" applyAlignment="1">
      <alignment wrapText="1"/>
    </xf>
    <xf numFmtId="164" fontId="4" fillId="0" borderId="1" xfId="4" applyNumberFormat="1" applyFont="1" applyFill="1" applyBorder="1" applyAlignment="1">
      <alignment horizontal="left"/>
    </xf>
    <xf numFmtId="166" fontId="4" fillId="6" borderId="1" xfId="4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center" vertical="top" wrapText="1"/>
    </xf>
    <xf numFmtId="165" fontId="3" fillId="2" borderId="0" xfId="0" applyNumberFormat="1" applyFont="1" applyFill="1" applyAlignment="1">
      <alignment horizontal="center"/>
    </xf>
    <xf numFmtId="0" fontId="7" fillId="2" borderId="0" xfId="9" applyFont="1" applyFill="1"/>
    <xf numFmtId="0" fontId="8" fillId="3" borderId="0" xfId="9" applyFont="1" applyFill="1" applyBorder="1" applyAlignment="1">
      <alignment horizontal="center" vertical="top" wrapText="1"/>
    </xf>
    <xf numFmtId="0" fontId="7" fillId="2" borderId="0" xfId="9" applyFont="1" applyFill="1" applyBorder="1"/>
    <xf numFmtId="14" fontId="9" fillId="2" borderId="0" xfId="9" applyNumberFormat="1" applyFont="1" applyFill="1"/>
    <xf numFmtId="165" fontId="9" fillId="2" borderId="0" xfId="9" applyNumberFormat="1" applyFont="1" applyFill="1" applyAlignment="1">
      <alignment horizontal="center"/>
    </xf>
    <xf numFmtId="0" fontId="7" fillId="2" borderId="0" xfId="9" applyFont="1" applyFill="1" applyAlignment="1">
      <alignment wrapText="1"/>
    </xf>
    <xf numFmtId="0" fontId="9" fillId="4" borderId="1" xfId="9" applyFont="1" applyFill="1" applyBorder="1" applyAlignment="1">
      <alignment horizontal="center" vertical="center" wrapText="1"/>
    </xf>
    <xf numFmtId="0" fontId="9" fillId="2" borderId="2" xfId="9" applyFont="1" applyFill="1" applyBorder="1" applyAlignment="1">
      <alignment horizontal="center" wrapText="1"/>
    </xf>
    <xf numFmtId="0" fontId="7" fillId="2" borderId="7" xfId="9" applyFont="1" applyFill="1" applyBorder="1"/>
    <xf numFmtId="166" fontId="7" fillId="2" borderId="8" xfId="10" applyNumberFormat="1" applyFont="1" applyFill="1" applyBorder="1"/>
    <xf numFmtId="167" fontId="7" fillId="2" borderId="12" xfId="11" applyNumberFormat="1" applyFont="1" applyFill="1" applyBorder="1"/>
    <xf numFmtId="167" fontId="7" fillId="2" borderId="3" xfId="11" applyNumberFormat="1" applyFont="1" applyFill="1" applyBorder="1"/>
    <xf numFmtId="166" fontId="7" fillId="0" borderId="8" xfId="10" applyNumberFormat="1" applyFont="1" applyFill="1" applyBorder="1"/>
    <xf numFmtId="167" fontId="7" fillId="2" borderId="4" xfId="11" applyNumberFormat="1" applyFont="1" applyFill="1" applyBorder="1"/>
    <xf numFmtId="167" fontId="7" fillId="2" borderId="0" xfId="11" applyNumberFormat="1" applyFont="1" applyFill="1"/>
    <xf numFmtId="0" fontId="7" fillId="2" borderId="9" xfId="9" applyFont="1" applyFill="1" applyBorder="1"/>
    <xf numFmtId="166" fontId="10" fillId="0" borderId="8" xfId="10" applyNumberFormat="1" applyFont="1" applyFill="1" applyBorder="1"/>
    <xf numFmtId="0" fontId="7" fillId="2" borderId="13" xfId="9" applyFont="1" applyFill="1" applyBorder="1"/>
    <xf numFmtId="0" fontId="9" fillId="2" borderId="5" xfId="9" applyFont="1" applyFill="1" applyBorder="1"/>
    <xf numFmtId="3" fontId="7" fillId="2" borderId="11" xfId="9" applyNumberFormat="1" applyFont="1" applyFill="1" applyBorder="1"/>
    <xf numFmtId="167" fontId="7" fillId="2" borderId="6" xfId="11" applyNumberFormat="1" applyFont="1" applyFill="1" applyBorder="1"/>
    <xf numFmtId="3" fontId="10" fillId="2" borderId="11" xfId="9" applyNumberFormat="1" applyFont="1" applyFill="1" applyBorder="1"/>
    <xf numFmtId="43" fontId="7" fillId="2" borderId="0" xfId="10" applyFont="1" applyFill="1"/>
    <xf numFmtId="0" fontId="9" fillId="2" borderId="0" xfId="9" applyFont="1" applyFill="1" applyBorder="1" applyAlignment="1">
      <alignment horizontal="center"/>
    </xf>
    <xf numFmtId="167" fontId="7" fillId="2" borderId="0" xfId="11" applyNumberFormat="1" applyFont="1" applyFill="1" applyBorder="1"/>
    <xf numFmtId="166" fontId="7" fillId="2" borderId="10" xfId="10" applyNumberFormat="1" applyFont="1" applyFill="1" applyBorder="1"/>
    <xf numFmtId="166" fontId="0" fillId="0" borderId="8" xfId="10" applyNumberFormat="1" applyFont="1" applyFill="1" applyBorder="1"/>
    <xf numFmtId="170" fontId="7" fillId="2" borderId="0" xfId="9" applyNumberFormat="1" applyFont="1" applyFill="1"/>
    <xf numFmtId="38" fontId="7" fillId="2" borderId="0" xfId="9" applyNumberFormat="1" applyFont="1" applyFill="1"/>
    <xf numFmtId="0" fontId="9" fillId="2" borderId="2" xfId="9" applyFont="1" applyFill="1" applyBorder="1" applyAlignment="1">
      <alignment horizontal="center"/>
    </xf>
    <xf numFmtId="166" fontId="7" fillId="7" borderId="8" xfId="10" applyNumberFormat="1" applyFont="1" applyFill="1" applyBorder="1"/>
    <xf numFmtId="166" fontId="7" fillId="7" borderId="10" xfId="10" applyNumberFormat="1" applyFont="1" applyFill="1" applyBorder="1"/>
    <xf numFmtId="166" fontId="0" fillId="7" borderId="10" xfId="10" applyNumberFormat="1" applyFont="1" applyFill="1" applyBorder="1"/>
    <xf numFmtId="166" fontId="0" fillId="7" borderId="8" xfId="10" applyNumberFormat="1" applyFont="1" applyFill="1" applyBorder="1"/>
    <xf numFmtId="173" fontId="7" fillId="2" borderId="0" xfId="9" applyNumberFormat="1" applyFont="1" applyFill="1"/>
    <xf numFmtId="3" fontId="7" fillId="2" borderId="0" xfId="9" applyNumberFormat="1" applyFont="1" applyFill="1"/>
    <xf numFmtId="167" fontId="7" fillId="2" borderId="0" xfId="9" applyNumberFormat="1" applyFont="1" applyFill="1"/>
    <xf numFmtId="167" fontId="7" fillId="2" borderId="0" xfId="9" applyNumberFormat="1" applyFont="1" applyFill="1" applyBorder="1"/>
    <xf numFmtId="0" fontId="7" fillId="2" borderId="0" xfId="9" applyFont="1" applyFill="1" applyBorder="1" applyAlignment="1">
      <alignment wrapText="1"/>
    </xf>
    <xf numFmtId="38" fontId="7" fillId="2" borderId="0" xfId="9" applyNumberFormat="1" applyFont="1" applyFill="1" applyBorder="1"/>
    <xf numFmtId="38" fontId="7" fillId="2" borderId="12" xfId="9" applyNumberFormat="1" applyFont="1" applyFill="1" applyBorder="1"/>
  </cellXfs>
  <cellStyles count="12">
    <cellStyle name="Millares" xfId="1" builtinId="3"/>
    <cellStyle name="Millares 2" xfId="8" xr:uid="{00000000-0005-0000-0000-000002000000}"/>
    <cellStyle name="Millares 3" xfId="10" xr:uid="{9D056D9A-5C97-4989-81B7-2754F75F936F}"/>
    <cellStyle name="Millares 6" xfId="4" xr:uid="{00000000-0005-0000-0000-000003000000}"/>
    <cellStyle name="Millares 6 2" xfId="7" xr:uid="{00000000-0005-0000-0000-000004000000}"/>
    <cellStyle name="Millares 7" xfId="5" xr:uid="{00000000-0005-0000-0000-000005000000}"/>
    <cellStyle name="Normal" xfId="0" builtinId="0"/>
    <cellStyle name="Normal 2" xfId="9" xr:uid="{01019A96-4545-43B9-B9A0-9F7448EAC817}"/>
    <cellStyle name="Normal 5" xfId="3" xr:uid="{00000000-0005-0000-0000-000007000000}"/>
    <cellStyle name="Normal 5 2" xfId="6" xr:uid="{00000000-0005-0000-0000-000008000000}"/>
    <cellStyle name="Porcentaje" xfId="2" builtinId="5"/>
    <cellStyle name="Porcentaje 2" xfId="11" xr:uid="{5AF5C6A6-625C-4C1E-9EDA-0948A58A2E8E}"/>
  </cellStyles>
  <dxfs count="278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211667</xdr:colOff>
      <xdr:row>1</xdr:row>
      <xdr:rowOff>0</xdr:rowOff>
    </xdr:from>
    <xdr:to>
      <xdr:col>9</xdr:col>
      <xdr:colOff>1428750</xdr:colOff>
      <xdr:row>3</xdr:row>
      <xdr:rowOff>63500</xdr:rowOff>
    </xdr:to>
    <xdr:sp macro="[1]!BORRARDATOS" textlink="">
      <xdr:nvSpPr>
        <xdr:cNvPr id="2" name="Rectángulo 1">
          <a:extLst>
            <a:ext uri="{FF2B5EF4-FFF2-40B4-BE49-F238E27FC236}">
              <a16:creationId xmlns:a16="http://schemas.microsoft.com/office/drawing/2014/main" id="{6B479BCD-9504-48CF-8C14-77B9BFAEFC11}"/>
            </a:ext>
          </a:extLst>
        </xdr:cNvPr>
        <xdr:cNvSpPr/>
      </xdr:nvSpPr>
      <xdr:spPr>
        <a:xfrm>
          <a:off x="9250892" y="161925"/>
          <a:ext cx="1217083" cy="339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LIMPIAR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entabilidades%20Fondos/Rentabilidad%2010-2017%20FI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-10-17 (2)"/>
      <sheetName val="NO BORRAR"/>
      <sheetName val="01-09-17"/>
      <sheetName val="02-09-17"/>
      <sheetName val="03-09-17"/>
      <sheetName val="04-09-17"/>
      <sheetName val="05-09-17"/>
      <sheetName val="06-09-17"/>
      <sheetName val="07-09-17"/>
      <sheetName val="08-09-17"/>
      <sheetName val="09-09-17"/>
      <sheetName val="10-09-17"/>
      <sheetName val="11-09-17"/>
      <sheetName val="12-09-17"/>
      <sheetName val="13-09-17"/>
      <sheetName val="14-09-17"/>
      <sheetName val="15-09-17"/>
      <sheetName val="20-09-17"/>
      <sheetName val="21-09-17"/>
      <sheetName val="22-09-17"/>
      <sheetName val="25-09-17"/>
      <sheetName val="26-09-17"/>
      <sheetName val="27-09-17"/>
      <sheetName val="28-09-17"/>
      <sheetName val="29-09-17"/>
      <sheetName val="02-10-17"/>
      <sheetName val="03-10-17"/>
      <sheetName val="04-10-17"/>
      <sheetName val="05-10-17"/>
      <sheetName val="06-10-17"/>
      <sheetName val="10-10-17"/>
      <sheetName val="11-10-17"/>
      <sheetName val="12-10-17"/>
      <sheetName val="13-10-17"/>
      <sheetName val="16-10-17"/>
      <sheetName val="17-10-17"/>
      <sheetName val="18-10-17"/>
      <sheetName val="19-10-17"/>
      <sheetName val="20-10-17"/>
      <sheetName val="23-10-17"/>
      <sheetName val="24-10-17"/>
      <sheetName val="25-10-17"/>
      <sheetName val="26-10-17"/>
      <sheetName val="30-10-17"/>
      <sheetName val="31-10-17"/>
      <sheetName val="02-11-17"/>
      <sheetName val="03-11-17"/>
      <sheetName val="06-11-17"/>
      <sheetName val="07-11-17"/>
      <sheetName val="08-11-17"/>
      <sheetName val="09-11-17"/>
      <sheetName val="10-11-17"/>
      <sheetName val="13-11-17"/>
      <sheetName val="15-11-17"/>
      <sheetName val="16-11-17"/>
      <sheetName val="17-11-17"/>
      <sheetName val="20-11-17"/>
      <sheetName val="21-11-17"/>
      <sheetName val="22-11-17"/>
      <sheetName val="23-11-17"/>
      <sheetName val="24-11-17"/>
      <sheetName val="27-11-17"/>
      <sheetName val="28-11-17"/>
      <sheetName val="29-11-17"/>
      <sheetName val="30-11-17"/>
      <sheetName val="01-12-17"/>
      <sheetName val="04-12-17"/>
      <sheetName val="05-12-17"/>
      <sheetName val="06-12-17"/>
      <sheetName val="07-12-17"/>
      <sheetName val="11-12-17"/>
      <sheetName val="12-12-17"/>
      <sheetName val="13-12-17"/>
      <sheetName val="14-12-17"/>
      <sheetName val="15-12-17"/>
      <sheetName val="18-12-17"/>
      <sheetName val="19-12-17"/>
      <sheetName val="20-12-17"/>
      <sheetName val="21-12-17"/>
      <sheetName val="22-12-17"/>
      <sheetName val="26-12-17"/>
      <sheetName val="27-12-17"/>
      <sheetName val="28-12-17"/>
      <sheetName val="29-12-17"/>
      <sheetName val="02-01-18"/>
      <sheetName val="03-02-18"/>
      <sheetName val="04-02-18"/>
      <sheetName val="05-01-18"/>
      <sheetName val="08-01-18"/>
      <sheetName val="09-01-18"/>
      <sheetName val="10-01-18"/>
      <sheetName val="11-01-18"/>
      <sheetName val="12-01-18"/>
      <sheetName val="15-01-18"/>
      <sheetName val="17-01-18"/>
      <sheetName val="18-01-18"/>
      <sheetName val="19-01-18"/>
      <sheetName val="22-01-18"/>
      <sheetName val="23-01-18"/>
      <sheetName val="24-01-18"/>
      <sheetName val="25-01-18"/>
      <sheetName val="26-01-18"/>
      <sheetName val="29-01-18"/>
      <sheetName val="30-01-18"/>
      <sheetName val="31-01-18"/>
      <sheetName val="01-02-18"/>
      <sheetName val="02-02-18"/>
      <sheetName val="05-02-18"/>
      <sheetName val="06-02-18"/>
      <sheetName val="07-02-18"/>
      <sheetName val="08-02-18"/>
      <sheetName val="09-02-18"/>
      <sheetName val="12-02-18"/>
      <sheetName val="13-02-18"/>
      <sheetName val="14-02-18"/>
      <sheetName val="15-02-18"/>
      <sheetName val="16-02-18"/>
      <sheetName val="19-02-18"/>
      <sheetName val="20-02-18 "/>
      <sheetName val="21-02-18  "/>
      <sheetName val="22-02-18"/>
      <sheetName val="23-02-18"/>
      <sheetName val="26-02-18"/>
      <sheetName val="27-02-18"/>
      <sheetName val="28-02-18"/>
      <sheetName val="01-03-18"/>
      <sheetName val="02-03-18"/>
      <sheetName val="05-03-18"/>
      <sheetName val="06-03-18"/>
      <sheetName val="07-03-18"/>
      <sheetName val="08-03-18"/>
      <sheetName val="09-03-18"/>
    </sheetNames>
    <definedNames>
      <definedName name="BORRARDATO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M130"/>
  <sheetViews>
    <sheetView zoomScale="90" zoomScaleNormal="90" workbookViewId="0"/>
  </sheetViews>
  <sheetFormatPr baseColWidth="10" defaultRowHeight="12" x14ac:dyDescent="0.2"/>
  <cols>
    <col min="1" max="1" width="3" style="1" customWidth="1"/>
    <col min="2" max="2" width="35.28515625" style="1" customWidth="1"/>
    <col min="3" max="3" width="20.5703125" style="1" customWidth="1"/>
    <col min="4" max="4" width="16.5703125" style="1" customWidth="1"/>
    <col min="5" max="5" width="4.28515625" style="2" customWidth="1"/>
    <col min="6" max="6" width="35.28515625" style="1" customWidth="1"/>
    <col min="7" max="7" width="15.7109375" style="1" customWidth="1"/>
    <col min="8" max="8" width="19.140625" style="1" bestFit="1" customWidth="1"/>
    <col min="9" max="9" width="13" style="1" customWidth="1"/>
    <col min="10" max="10" width="14.42578125" style="1" customWidth="1"/>
    <col min="11" max="16384" width="11.42578125" style="1"/>
  </cols>
  <sheetData>
    <row r="2" spans="1:10" ht="14.25" customHeight="1" x14ac:dyDescent="0.2">
      <c r="B2" s="106" t="s">
        <v>0</v>
      </c>
      <c r="C2" s="106"/>
      <c r="D2" s="106"/>
      <c r="E2" s="106"/>
      <c r="F2" s="106"/>
      <c r="G2" s="106"/>
      <c r="H2" s="106"/>
    </row>
    <row r="3" spans="1:10" ht="7.5" customHeight="1" x14ac:dyDescent="0.2"/>
    <row r="4" spans="1:10" x14ac:dyDescent="0.2">
      <c r="A4" s="3"/>
      <c r="B4" s="107">
        <v>43168</v>
      </c>
      <c r="C4" s="107"/>
      <c r="D4" s="107"/>
      <c r="E4" s="107"/>
      <c r="F4" s="107"/>
      <c r="G4" s="107"/>
      <c r="H4" s="107"/>
    </row>
    <row r="5" spans="1:10" x14ac:dyDescent="0.2">
      <c r="A5" s="3"/>
      <c r="B5" s="4"/>
      <c r="C5" s="4"/>
      <c r="D5" s="4"/>
      <c r="E5" s="4"/>
      <c r="F5" s="4"/>
      <c r="G5" s="4"/>
      <c r="H5" s="4"/>
    </row>
    <row r="6" spans="1:10" s="5" customFormat="1" ht="24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10" x14ac:dyDescent="0.2">
      <c r="B7" s="8" t="s">
        <v>5</v>
      </c>
      <c r="C7" s="95">
        <v>5367146</v>
      </c>
      <c r="D7" s="10">
        <v>6.924664945730851E-5</v>
      </c>
      <c r="E7" s="11"/>
      <c r="F7" s="8" t="s">
        <v>5</v>
      </c>
      <c r="G7" s="95">
        <v>455625</v>
      </c>
      <c r="H7" s="12">
        <v>6.6163299949732326E-5</v>
      </c>
    </row>
    <row r="8" spans="1:10" x14ac:dyDescent="0.2">
      <c r="B8" s="8" t="s">
        <v>6</v>
      </c>
      <c r="C8" s="95"/>
      <c r="D8" s="10" t="s">
        <v>8</v>
      </c>
      <c r="E8" s="11"/>
      <c r="F8" s="8" t="s">
        <v>6</v>
      </c>
      <c r="G8" s="95">
        <v>366301</v>
      </c>
      <c r="H8" s="12">
        <v>5.3192171050506233E-5</v>
      </c>
    </row>
    <row r="9" spans="1:10" x14ac:dyDescent="0.2">
      <c r="B9" s="8" t="s">
        <v>7</v>
      </c>
      <c r="C9" s="95"/>
      <c r="D9" s="10" t="s">
        <v>8</v>
      </c>
      <c r="E9" s="11"/>
      <c r="F9" s="8" t="s">
        <v>7</v>
      </c>
      <c r="G9" s="95"/>
      <c r="H9" s="12" t="s">
        <v>8</v>
      </c>
    </row>
    <row r="10" spans="1:10" x14ac:dyDescent="0.2">
      <c r="B10" s="8" t="s">
        <v>9</v>
      </c>
      <c r="C10" s="95"/>
      <c r="D10" s="10" t="s">
        <v>8</v>
      </c>
      <c r="E10" s="11"/>
      <c r="F10" s="8" t="s">
        <v>9</v>
      </c>
      <c r="G10" s="95"/>
      <c r="H10" s="12" t="s">
        <v>8</v>
      </c>
    </row>
    <row r="11" spans="1:10" x14ac:dyDescent="0.2">
      <c r="B11" s="8" t="s">
        <v>10</v>
      </c>
      <c r="C11" s="95"/>
      <c r="D11" s="10" t="s">
        <v>8</v>
      </c>
      <c r="E11" s="11"/>
      <c r="F11" s="8" t="s">
        <v>10</v>
      </c>
      <c r="G11" s="95">
        <v>-3821</v>
      </c>
      <c r="H11" s="12">
        <v>-5.5486412972933272E-7</v>
      </c>
    </row>
    <row r="12" spans="1:10" x14ac:dyDescent="0.2">
      <c r="B12" s="8" t="s">
        <v>11</v>
      </c>
      <c r="C12" s="95">
        <v>721008.19765257835</v>
      </c>
      <c r="D12" s="10">
        <v>9.3024117321745861E-6</v>
      </c>
      <c r="E12" s="11"/>
      <c r="F12" s="8" t="s">
        <v>11</v>
      </c>
      <c r="G12" s="95">
        <v>111200</v>
      </c>
      <c r="H12" s="12">
        <v>1.6147838583067732E-5</v>
      </c>
    </row>
    <row r="13" spans="1:10" x14ac:dyDescent="0.2">
      <c r="B13" s="8" t="s">
        <v>12</v>
      </c>
      <c r="C13" s="95"/>
      <c r="D13" s="10" t="s">
        <v>8</v>
      </c>
      <c r="E13" s="11"/>
      <c r="F13" s="8" t="s">
        <v>12</v>
      </c>
      <c r="G13" s="95"/>
      <c r="H13" s="12" t="s">
        <v>8</v>
      </c>
    </row>
    <row r="14" spans="1:10" x14ac:dyDescent="0.2">
      <c r="B14" s="8" t="s">
        <v>13</v>
      </c>
      <c r="C14" s="96"/>
      <c r="D14" s="10" t="s">
        <v>8</v>
      </c>
      <c r="E14" s="11"/>
      <c r="F14" s="8" t="s">
        <v>13</v>
      </c>
      <c r="G14" s="96">
        <v>-148128</v>
      </c>
      <c r="H14" s="12">
        <v>-2.1510315050653391E-5</v>
      </c>
      <c r="J14" s="17"/>
    </row>
    <row r="15" spans="1:10" x14ac:dyDescent="0.2">
      <c r="B15" s="8" t="s">
        <v>14</v>
      </c>
      <c r="C15" s="95"/>
      <c r="D15" s="10" t="s">
        <v>8</v>
      </c>
      <c r="E15" s="11"/>
      <c r="F15" s="8" t="s">
        <v>14</v>
      </c>
      <c r="G15" s="95"/>
      <c r="H15" s="12" t="s">
        <v>8</v>
      </c>
    </row>
    <row r="16" spans="1:10" x14ac:dyDescent="0.2">
      <c r="B16" s="8" t="s">
        <v>15</v>
      </c>
      <c r="C16" s="95"/>
      <c r="D16" s="10" t="s">
        <v>8</v>
      </c>
      <c r="E16" s="11"/>
      <c r="F16" s="8" t="s">
        <v>15</v>
      </c>
      <c r="G16" s="95">
        <v>-165557</v>
      </c>
      <c r="H16" s="12">
        <v>-2.4041256405548061E-5</v>
      </c>
    </row>
    <row r="17" spans="2:9" x14ac:dyDescent="0.2">
      <c r="B17" s="8" t="s">
        <v>16</v>
      </c>
      <c r="C17" s="95">
        <v>3998</v>
      </c>
      <c r="D17" s="10">
        <v>5.1581996191331373E-8</v>
      </c>
      <c r="E17" s="11"/>
      <c r="F17" s="8" t="s">
        <v>16</v>
      </c>
      <c r="G17" s="95"/>
      <c r="H17" s="12" t="s">
        <v>8</v>
      </c>
    </row>
    <row r="18" spans="2:9" x14ac:dyDescent="0.2">
      <c r="B18" s="8" t="s">
        <v>17</v>
      </c>
      <c r="C18" s="95">
        <v>-366219</v>
      </c>
      <c r="D18" s="10">
        <v>-4.7249392354160037E-6</v>
      </c>
      <c r="E18" s="18"/>
      <c r="F18" s="8" t="s">
        <v>17</v>
      </c>
      <c r="G18" s="95">
        <v>-31352</v>
      </c>
      <c r="H18" s="12">
        <v>-4.5527611084203196E-6</v>
      </c>
    </row>
    <row r="19" spans="2:9" s="23" customFormat="1" x14ac:dyDescent="0.2">
      <c r="B19" s="19" t="s">
        <v>18</v>
      </c>
      <c r="C19" s="20">
        <v>5725933.1976525784</v>
      </c>
      <c r="D19" s="21">
        <v>7.3875703950258416E-5</v>
      </c>
      <c r="E19" s="22"/>
      <c r="F19" s="19" t="s">
        <v>18</v>
      </c>
      <c r="G19" s="20">
        <v>584268</v>
      </c>
      <c r="H19" s="21">
        <v>8.4844112888955199E-5</v>
      </c>
    </row>
    <row r="20" spans="2:9" ht="6" customHeight="1" x14ac:dyDescent="0.2"/>
    <row r="21" spans="2:9" ht="24" x14ac:dyDescent="0.2">
      <c r="B21" s="6" t="s">
        <v>19</v>
      </c>
      <c r="C21" s="6" t="s">
        <v>2</v>
      </c>
      <c r="D21" s="6" t="s">
        <v>3</v>
      </c>
      <c r="E21" s="24"/>
      <c r="F21" s="6" t="s">
        <v>20</v>
      </c>
      <c r="G21" s="6" t="s">
        <v>2</v>
      </c>
      <c r="H21" s="6" t="s">
        <v>3</v>
      </c>
    </row>
    <row r="22" spans="2:9" x14ac:dyDescent="0.2">
      <c r="B22" s="8" t="s">
        <v>21</v>
      </c>
      <c r="C22" s="14">
        <v>1779.5820000000001</v>
      </c>
      <c r="D22" s="12">
        <v>5.0686162982206943E-5</v>
      </c>
      <c r="E22" s="18"/>
      <c r="F22" s="8" t="s">
        <v>5</v>
      </c>
      <c r="G22" s="95">
        <v>2619704</v>
      </c>
      <c r="H22" s="12">
        <v>7.0624740512420026E-5</v>
      </c>
      <c r="I22" s="97"/>
    </row>
    <row r="23" spans="2:9" x14ac:dyDescent="0.2">
      <c r="B23" s="8" t="s">
        <v>22</v>
      </c>
      <c r="C23" s="14"/>
      <c r="D23" s="12" t="s">
        <v>8</v>
      </c>
      <c r="E23" s="18"/>
      <c r="F23" s="8" t="s">
        <v>6</v>
      </c>
      <c r="G23" s="95">
        <v>1886699</v>
      </c>
      <c r="H23" s="12">
        <v>5.0863619439464292E-5</v>
      </c>
      <c r="I23" s="97"/>
    </row>
    <row r="24" spans="2:9" x14ac:dyDescent="0.2">
      <c r="B24" s="8" t="s">
        <v>23</v>
      </c>
      <c r="C24" s="14"/>
      <c r="D24" s="12" t="s">
        <v>8</v>
      </c>
      <c r="E24" s="18"/>
      <c r="F24" s="8" t="s">
        <v>7</v>
      </c>
      <c r="G24" s="95"/>
      <c r="H24" s="12" t="s">
        <v>8</v>
      </c>
      <c r="I24" s="97"/>
    </row>
    <row r="25" spans="2:9" x14ac:dyDescent="0.2">
      <c r="B25" s="8" t="s">
        <v>9</v>
      </c>
      <c r="C25" s="14"/>
      <c r="D25" s="12" t="s">
        <v>8</v>
      </c>
      <c r="E25" s="18"/>
      <c r="F25" s="8" t="s">
        <v>9</v>
      </c>
      <c r="G25" s="95"/>
      <c r="H25" s="12" t="s">
        <v>8</v>
      </c>
      <c r="I25" s="97"/>
    </row>
    <row r="26" spans="2:9" x14ac:dyDescent="0.2">
      <c r="B26" s="8" t="s">
        <v>10</v>
      </c>
      <c r="C26" s="14">
        <v>-12127.560898667696</v>
      </c>
      <c r="D26" s="12">
        <v>-3.45417928640833E-4</v>
      </c>
      <c r="E26" s="18"/>
      <c r="F26" s="8" t="s">
        <v>10</v>
      </c>
      <c r="G26" s="95"/>
      <c r="H26" s="12" t="s">
        <v>8</v>
      </c>
      <c r="I26" s="97"/>
    </row>
    <row r="27" spans="2:9" x14ac:dyDescent="0.2">
      <c r="B27" s="8" t="s">
        <v>11</v>
      </c>
      <c r="C27" s="14">
        <v>-1718.6596062443436</v>
      </c>
      <c r="D27" s="12">
        <v>-4.8950967650288894E-5</v>
      </c>
      <c r="E27" s="18"/>
      <c r="F27" s="8" t="s">
        <v>11</v>
      </c>
      <c r="G27" s="95">
        <v>-320000</v>
      </c>
      <c r="H27" s="12">
        <v>-8.6268971471488426E-6</v>
      </c>
      <c r="I27" s="97"/>
    </row>
    <row r="28" spans="2:9" x14ac:dyDescent="0.2">
      <c r="B28" s="8" t="s">
        <v>12</v>
      </c>
      <c r="C28" s="14"/>
      <c r="D28" s="12" t="s">
        <v>8</v>
      </c>
      <c r="E28" s="18"/>
      <c r="F28" s="8" t="s">
        <v>12</v>
      </c>
      <c r="G28" s="95"/>
      <c r="H28" s="12" t="s">
        <v>8</v>
      </c>
      <c r="I28" s="97"/>
    </row>
    <row r="29" spans="2:9" x14ac:dyDescent="0.2">
      <c r="B29" s="8" t="s">
        <v>13</v>
      </c>
      <c r="C29" s="14"/>
      <c r="D29" s="12" t="s">
        <v>8</v>
      </c>
      <c r="E29" s="18"/>
      <c r="F29" s="8" t="s">
        <v>13</v>
      </c>
      <c r="G29" s="96">
        <v>-4325339</v>
      </c>
      <c r="H29" s="12">
        <v>-1.1660704587359883E-4</v>
      </c>
      <c r="I29" s="97"/>
    </row>
    <row r="30" spans="2:9" x14ac:dyDescent="0.2">
      <c r="B30" s="8" t="s">
        <v>14</v>
      </c>
      <c r="C30" s="14"/>
      <c r="D30" s="12" t="s">
        <v>8</v>
      </c>
      <c r="E30" s="18"/>
      <c r="F30" s="8" t="s">
        <v>14</v>
      </c>
      <c r="G30" s="95"/>
      <c r="H30" s="12" t="s">
        <v>8</v>
      </c>
      <c r="I30" s="97"/>
    </row>
    <row r="31" spans="2:9" x14ac:dyDescent="0.2">
      <c r="B31" s="8" t="s">
        <v>15</v>
      </c>
      <c r="C31" s="14">
        <v>13609.1944</v>
      </c>
      <c r="D31" s="12">
        <v>3.8761790432525052E-4</v>
      </c>
      <c r="E31" s="18"/>
      <c r="F31" s="8" t="s">
        <v>15</v>
      </c>
      <c r="G31" s="95"/>
      <c r="H31" s="12" t="s">
        <v>8</v>
      </c>
    </row>
    <row r="32" spans="2:9" x14ac:dyDescent="0.2">
      <c r="B32" s="8" t="s">
        <v>16</v>
      </c>
      <c r="C32" s="14"/>
      <c r="D32" s="12" t="s">
        <v>8</v>
      </c>
      <c r="E32" s="18"/>
      <c r="F32" s="8" t="s">
        <v>16</v>
      </c>
      <c r="G32" s="95"/>
      <c r="H32" s="12" t="s">
        <v>8</v>
      </c>
    </row>
    <row r="33" spans="1:13" x14ac:dyDescent="0.2">
      <c r="B33" s="8" t="s">
        <v>17</v>
      </c>
      <c r="C33" s="14">
        <v>-191.51</v>
      </c>
      <c r="D33" s="12">
        <v>-5.4545994917471917E-6</v>
      </c>
      <c r="E33" s="18"/>
      <c r="F33" s="8" t="s">
        <v>17</v>
      </c>
      <c r="G33" s="95">
        <v>-82270</v>
      </c>
      <c r="H33" s="12">
        <v>-2.2179213384247977E-6</v>
      </c>
    </row>
    <row r="34" spans="1:13" s="23" customFormat="1" x14ac:dyDescent="0.2">
      <c r="B34" s="19" t="s">
        <v>18</v>
      </c>
      <c r="C34" s="56">
        <v>1351.0458950879604</v>
      </c>
      <c r="D34" s="21">
        <v>3.8480571524588334E-5</v>
      </c>
      <c r="E34" s="22"/>
      <c r="F34" s="19" t="s">
        <v>18</v>
      </c>
      <c r="G34" s="56">
        <v>-221206</v>
      </c>
      <c r="H34" s="21">
        <v>-5.963504407288143E-6</v>
      </c>
      <c r="I34" s="98"/>
    </row>
    <row r="35" spans="1:13" ht="6.75" customHeight="1" x14ac:dyDescent="0.2">
      <c r="C35" s="25"/>
      <c r="G35" s="25"/>
      <c r="H35" s="12"/>
    </row>
    <row r="36" spans="1:13" ht="24" x14ac:dyDescent="0.2">
      <c r="A36" s="1" t="s">
        <v>24</v>
      </c>
      <c r="B36" s="6" t="s">
        <v>25</v>
      </c>
      <c r="C36" s="6" t="s">
        <v>2</v>
      </c>
      <c r="D36" s="6" t="s">
        <v>3</v>
      </c>
      <c r="E36" s="26"/>
      <c r="F36" s="6" t="s">
        <v>26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2935193</v>
      </c>
      <c r="D37" s="12">
        <v>4.6187600018074475E-5</v>
      </c>
      <c r="E37" s="11"/>
      <c r="F37" s="8" t="s">
        <v>5</v>
      </c>
      <c r="G37" s="9"/>
      <c r="H37" s="12" t="s">
        <v>8</v>
      </c>
      <c r="K37" s="27"/>
      <c r="M37" s="28"/>
    </row>
    <row r="38" spans="1:13" x14ac:dyDescent="0.2">
      <c r="B38" s="8" t="s">
        <v>6</v>
      </c>
      <c r="C38" s="9">
        <v>6296557</v>
      </c>
      <c r="D38" s="12">
        <v>9.9081340207273237E-5</v>
      </c>
      <c r="E38" s="11"/>
      <c r="F38" s="8" t="s">
        <v>6</v>
      </c>
      <c r="G38" s="9"/>
      <c r="H38" s="12" t="s">
        <v>8</v>
      </c>
    </row>
    <row r="39" spans="1:13" x14ac:dyDescent="0.2">
      <c r="B39" s="8" t="s">
        <v>7</v>
      </c>
      <c r="C39" s="14"/>
      <c r="D39" s="12" t="s">
        <v>8</v>
      </c>
      <c r="E39" s="11"/>
      <c r="F39" s="8" t="s">
        <v>7</v>
      </c>
      <c r="G39" s="14"/>
      <c r="H39" s="12" t="s">
        <v>8</v>
      </c>
    </row>
    <row r="40" spans="1:13" x14ac:dyDescent="0.2">
      <c r="B40" s="8" t="s">
        <v>9</v>
      </c>
      <c r="C40" s="9"/>
      <c r="D40" s="12" t="s">
        <v>8</v>
      </c>
      <c r="E40" s="11"/>
      <c r="F40" s="8" t="s">
        <v>9</v>
      </c>
      <c r="G40" s="9"/>
      <c r="H40" s="12" t="s">
        <v>8</v>
      </c>
    </row>
    <row r="41" spans="1:13" x14ac:dyDescent="0.2">
      <c r="B41" s="8" t="s">
        <v>10</v>
      </c>
      <c r="C41" s="9"/>
      <c r="D41" s="12" t="s">
        <v>8</v>
      </c>
      <c r="E41" s="11"/>
      <c r="F41" s="8" t="s">
        <v>10</v>
      </c>
      <c r="G41" s="9"/>
      <c r="H41" s="12" t="s">
        <v>8</v>
      </c>
    </row>
    <row r="42" spans="1:13" x14ac:dyDescent="0.2">
      <c r="B42" s="8" t="s">
        <v>11</v>
      </c>
      <c r="C42" s="9">
        <v>0</v>
      </c>
      <c r="D42" s="12" t="s">
        <v>8</v>
      </c>
      <c r="E42" s="11"/>
      <c r="F42" s="8" t="s">
        <v>11</v>
      </c>
      <c r="G42" s="9"/>
      <c r="H42" s="12" t="s">
        <v>8</v>
      </c>
    </row>
    <row r="43" spans="1:13" x14ac:dyDescent="0.2">
      <c r="B43" s="8" t="s">
        <v>12</v>
      </c>
      <c r="C43" s="9"/>
      <c r="D43" s="12" t="s">
        <v>8</v>
      </c>
      <c r="E43" s="11"/>
      <c r="F43" s="8" t="s">
        <v>12</v>
      </c>
      <c r="G43" s="9"/>
      <c r="H43" s="12" t="s">
        <v>8</v>
      </c>
    </row>
    <row r="44" spans="1:13" x14ac:dyDescent="0.2">
      <c r="B44" s="8" t="s">
        <v>13</v>
      </c>
      <c r="C44" s="15">
        <v>-37831622</v>
      </c>
      <c r="D44" s="12">
        <v>-5.9531070868967958E-4</v>
      </c>
      <c r="E44" s="11"/>
      <c r="F44" s="8" t="s">
        <v>13</v>
      </c>
      <c r="G44" s="15"/>
      <c r="H44" s="12" t="s">
        <v>8</v>
      </c>
    </row>
    <row r="45" spans="1:13" x14ac:dyDescent="0.2">
      <c r="B45" s="8" t="s">
        <v>14</v>
      </c>
      <c r="C45" s="15">
        <v>-26594199</v>
      </c>
      <c r="D45" s="12">
        <v>-4.1848090609819397E-4</v>
      </c>
      <c r="E45" s="11"/>
      <c r="F45" s="8" t="s">
        <v>14</v>
      </c>
      <c r="G45" s="9">
        <v>45659336</v>
      </c>
      <c r="H45" s="12">
        <v>9.4793672714257506E-3</v>
      </c>
    </row>
    <row r="46" spans="1:13" x14ac:dyDescent="0.2">
      <c r="B46" s="8" t="s">
        <v>15</v>
      </c>
      <c r="C46" s="9"/>
      <c r="D46" s="12" t="s">
        <v>8</v>
      </c>
      <c r="E46" s="11"/>
      <c r="F46" s="8" t="s">
        <v>15</v>
      </c>
      <c r="G46" s="9"/>
      <c r="H46" s="12" t="s">
        <v>8</v>
      </c>
    </row>
    <row r="47" spans="1:13" x14ac:dyDescent="0.2">
      <c r="B47" s="8" t="s">
        <v>16</v>
      </c>
      <c r="C47" s="15">
        <v>-8807673</v>
      </c>
      <c r="D47" s="12">
        <v>-1.3859575081229551E-4</v>
      </c>
      <c r="E47" s="11"/>
      <c r="F47" s="8" t="s">
        <v>16</v>
      </c>
      <c r="G47" s="15"/>
      <c r="H47" s="12" t="s">
        <v>8</v>
      </c>
    </row>
    <row r="48" spans="1:13" x14ac:dyDescent="0.2">
      <c r="B48" s="8" t="s">
        <v>17</v>
      </c>
      <c r="C48" s="15">
        <v>-520280</v>
      </c>
      <c r="D48" s="12">
        <v>-8.1870202529795452E-6</v>
      </c>
      <c r="E48" s="11"/>
      <c r="F48" s="8" t="s">
        <v>17</v>
      </c>
      <c r="G48" s="9">
        <v>-25965</v>
      </c>
      <c r="H48" s="12">
        <v>-5.3906121456205499E-6</v>
      </c>
    </row>
    <row r="49" spans="2:10" s="23" customFormat="1" x14ac:dyDescent="0.2">
      <c r="B49" s="19" t="s">
        <v>18</v>
      </c>
      <c r="C49" s="20">
        <v>-64522024</v>
      </c>
      <c r="D49" s="21">
        <v>-1.0153054456278009E-3</v>
      </c>
      <c r="E49" s="22"/>
      <c r="F49" s="19" t="s">
        <v>18</v>
      </c>
      <c r="G49" s="20">
        <v>45633371</v>
      </c>
      <c r="H49" s="21">
        <v>9.4739766592801308E-3</v>
      </c>
      <c r="I49" s="30"/>
    </row>
    <row r="50" spans="2:10" ht="4.5" customHeight="1" x14ac:dyDescent="0.2">
      <c r="C50" s="25"/>
      <c r="G50" s="31"/>
    </row>
    <row r="51" spans="2:10" ht="4.5" customHeight="1" x14ac:dyDescent="0.2">
      <c r="C51" s="25"/>
      <c r="G51" s="31"/>
    </row>
    <row r="52" spans="2:10" ht="24" x14ac:dyDescent="0.2">
      <c r="B52" s="6" t="s">
        <v>28</v>
      </c>
      <c r="C52" s="6" t="s">
        <v>2</v>
      </c>
      <c r="D52" s="6" t="s">
        <v>3</v>
      </c>
      <c r="E52" s="26"/>
      <c r="F52" s="6" t="s">
        <v>29</v>
      </c>
      <c r="G52" s="6" t="s">
        <v>2</v>
      </c>
      <c r="H52" s="6" t="s">
        <v>3</v>
      </c>
    </row>
    <row r="53" spans="2:10" x14ac:dyDescent="0.2">
      <c r="B53" s="8" t="s">
        <v>5</v>
      </c>
      <c r="C53" s="9"/>
      <c r="D53" s="12" t="s">
        <v>8</v>
      </c>
      <c r="E53" s="11"/>
      <c r="F53" s="8" t="s">
        <v>5</v>
      </c>
      <c r="G53" s="99">
        <v>13048.519700000001</v>
      </c>
      <c r="H53" s="12">
        <v>1.3088140565425249E-4</v>
      </c>
    </row>
    <row r="54" spans="2:10" x14ac:dyDescent="0.2">
      <c r="B54" s="8" t="s">
        <v>6</v>
      </c>
      <c r="C54" s="9"/>
      <c r="D54" s="12" t="s">
        <v>8</v>
      </c>
      <c r="E54" s="11"/>
      <c r="F54" s="8" t="s">
        <v>6</v>
      </c>
      <c r="G54" s="99"/>
      <c r="H54" s="12" t="s">
        <v>8</v>
      </c>
    </row>
    <row r="55" spans="2:10" x14ac:dyDescent="0.2">
      <c r="B55" s="8" t="s">
        <v>7</v>
      </c>
      <c r="C55" s="14"/>
      <c r="D55" s="12" t="s">
        <v>8</v>
      </c>
      <c r="E55" s="11"/>
      <c r="F55" s="8" t="s">
        <v>7</v>
      </c>
      <c r="G55" s="99"/>
      <c r="H55" s="12" t="s">
        <v>8</v>
      </c>
    </row>
    <row r="56" spans="2:10" x14ac:dyDescent="0.2">
      <c r="B56" s="8" t="s">
        <v>9</v>
      </c>
      <c r="C56" s="9"/>
      <c r="D56" s="12" t="s">
        <v>8</v>
      </c>
      <c r="E56" s="11"/>
      <c r="F56" s="8" t="s">
        <v>9</v>
      </c>
      <c r="G56" s="99"/>
      <c r="H56" s="12" t="s">
        <v>8</v>
      </c>
    </row>
    <row r="57" spans="2:10" x14ac:dyDescent="0.2">
      <c r="B57" s="8" t="s">
        <v>62</v>
      </c>
      <c r="C57" s="9"/>
      <c r="D57" s="12" t="s">
        <v>8</v>
      </c>
      <c r="E57" s="11"/>
      <c r="F57" s="8" t="s">
        <v>10</v>
      </c>
      <c r="G57" s="99"/>
      <c r="H57" s="12" t="s">
        <v>8</v>
      </c>
      <c r="J57" s="17"/>
    </row>
    <row r="58" spans="2:10" x14ac:dyDescent="0.2">
      <c r="B58" s="8" t="s">
        <v>63</v>
      </c>
      <c r="C58" s="9"/>
      <c r="D58" s="12" t="s">
        <v>8</v>
      </c>
      <c r="E58" s="11"/>
      <c r="F58" s="8" t="s">
        <v>11</v>
      </c>
      <c r="G58" s="99"/>
      <c r="H58" s="12" t="s">
        <v>8</v>
      </c>
    </row>
    <row r="59" spans="2:10" x14ac:dyDescent="0.2">
      <c r="B59" s="8" t="s">
        <v>12</v>
      </c>
      <c r="C59" s="9"/>
      <c r="D59" s="12" t="s">
        <v>8</v>
      </c>
      <c r="E59" s="11"/>
      <c r="F59" s="8" t="s">
        <v>12</v>
      </c>
      <c r="G59" s="99"/>
      <c r="H59" s="12" t="s">
        <v>8</v>
      </c>
    </row>
    <row r="60" spans="2:10" x14ac:dyDescent="0.2">
      <c r="B60" s="8" t="s">
        <v>13</v>
      </c>
      <c r="C60" s="15"/>
      <c r="D60" s="12" t="s">
        <v>8</v>
      </c>
      <c r="E60" s="11"/>
      <c r="F60" s="8" t="s">
        <v>13</v>
      </c>
      <c r="G60" s="87">
        <v>-36663.294999999998</v>
      </c>
      <c r="H60" s="12">
        <v>-3.6774620384843549E-4</v>
      </c>
    </row>
    <row r="61" spans="2:10" x14ac:dyDescent="0.2">
      <c r="B61" s="8" t="s">
        <v>14</v>
      </c>
      <c r="C61" s="15">
        <v>291442958</v>
      </c>
      <c r="D61" s="12">
        <v>9.5744726011326147E-3</v>
      </c>
      <c r="E61" s="11"/>
      <c r="F61" s="8" t="s">
        <v>14</v>
      </c>
      <c r="G61" s="87"/>
      <c r="H61" s="12" t="s">
        <v>8</v>
      </c>
    </row>
    <row r="62" spans="2:10" x14ac:dyDescent="0.2">
      <c r="B62" s="8" t="s">
        <v>15</v>
      </c>
      <c r="C62" s="9"/>
      <c r="D62" s="12" t="s">
        <v>8</v>
      </c>
      <c r="E62" s="11"/>
      <c r="F62" s="8" t="s">
        <v>15</v>
      </c>
      <c r="G62" s="99"/>
      <c r="H62" s="12" t="s">
        <v>8</v>
      </c>
    </row>
    <row r="63" spans="2:10" x14ac:dyDescent="0.2">
      <c r="B63" s="8" t="s">
        <v>16</v>
      </c>
      <c r="C63" s="15"/>
      <c r="D63" s="12" t="s">
        <v>8</v>
      </c>
      <c r="E63" s="11"/>
      <c r="F63" s="8" t="s">
        <v>16</v>
      </c>
      <c r="G63" s="87"/>
      <c r="H63" s="12" t="s">
        <v>8</v>
      </c>
    </row>
    <row r="64" spans="2:10" x14ac:dyDescent="0.2">
      <c r="B64" s="8" t="s">
        <v>17</v>
      </c>
      <c r="C64" s="15">
        <v>-250188</v>
      </c>
      <c r="D64" s="12">
        <v>-8.2191663424311204E-6</v>
      </c>
      <c r="E64" s="11"/>
      <c r="F64" s="8" t="s">
        <v>17</v>
      </c>
      <c r="G64" s="87">
        <v>-122.66</v>
      </c>
      <c r="H64" s="12">
        <v>-1.2303244802205885E-6</v>
      </c>
    </row>
    <row r="65" spans="2:8" s="23" customFormat="1" x14ac:dyDescent="0.2">
      <c r="B65" s="19" t="s">
        <v>18</v>
      </c>
      <c r="C65" s="20">
        <v>291192770</v>
      </c>
      <c r="D65" s="21">
        <v>9.5662534347901833E-3</v>
      </c>
      <c r="E65" s="22"/>
      <c r="F65" s="19" t="s">
        <v>18</v>
      </c>
      <c r="G65" s="56">
        <v>-23737.435299999997</v>
      </c>
      <c r="H65" s="21">
        <v>-2.3809512267440358E-4</v>
      </c>
    </row>
    <row r="66" spans="2:8" ht="13.5" customHeight="1" x14ac:dyDescent="0.2">
      <c r="C66" s="25"/>
      <c r="G66" s="31"/>
    </row>
    <row r="67" spans="2:8" ht="24" x14ac:dyDescent="0.2">
      <c r="B67" s="6" t="s">
        <v>30</v>
      </c>
      <c r="C67" s="6" t="s">
        <v>2</v>
      </c>
      <c r="D67" s="6" t="s">
        <v>3</v>
      </c>
      <c r="E67" s="26"/>
      <c r="F67" s="6" t="s">
        <v>31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">
        <v>8</v>
      </c>
      <c r="E68" s="11"/>
      <c r="F68" s="8" t="s">
        <v>5</v>
      </c>
      <c r="G68" s="9"/>
      <c r="H68" s="12" t="s">
        <v>8</v>
      </c>
    </row>
    <row r="69" spans="2:8" x14ac:dyDescent="0.2">
      <c r="B69" s="8" t="s">
        <v>6</v>
      </c>
      <c r="C69" s="9"/>
      <c r="D69" s="12" t="s">
        <v>8</v>
      </c>
      <c r="E69" s="11"/>
      <c r="F69" s="8" t="s">
        <v>6</v>
      </c>
      <c r="G69" s="9"/>
      <c r="H69" s="12" t="s">
        <v>8</v>
      </c>
    </row>
    <row r="70" spans="2:8" x14ac:dyDescent="0.2">
      <c r="B70" s="8" t="s">
        <v>7</v>
      </c>
      <c r="C70" s="14"/>
      <c r="D70" s="12" t="s">
        <v>8</v>
      </c>
      <c r="E70" s="11"/>
      <c r="F70" s="8" t="s">
        <v>7</v>
      </c>
      <c r="G70" s="14"/>
      <c r="H70" s="12" t="s">
        <v>8</v>
      </c>
    </row>
    <row r="71" spans="2:8" x14ac:dyDescent="0.2">
      <c r="B71" s="8" t="s">
        <v>9</v>
      </c>
      <c r="C71" s="9"/>
      <c r="D71" s="12" t="s">
        <v>8</v>
      </c>
      <c r="E71" s="11"/>
      <c r="F71" s="8" t="s">
        <v>9</v>
      </c>
      <c r="G71" s="9"/>
      <c r="H71" s="12" t="s">
        <v>8</v>
      </c>
    </row>
    <row r="72" spans="2:8" x14ac:dyDescent="0.2">
      <c r="B72" s="8" t="s">
        <v>10</v>
      </c>
      <c r="C72" s="9">
        <v>-15700</v>
      </c>
      <c r="D72" s="12">
        <v>-8.7334004877168277E-7</v>
      </c>
      <c r="E72" s="11"/>
      <c r="F72" s="8" t="s">
        <v>10</v>
      </c>
      <c r="G72" s="9">
        <v>373757</v>
      </c>
      <c r="H72" s="12">
        <v>5.8332014131093786E-5</v>
      </c>
    </row>
    <row r="73" spans="2:8" x14ac:dyDescent="0.2">
      <c r="B73" s="8" t="s">
        <v>11</v>
      </c>
      <c r="C73" s="9"/>
      <c r="D73" s="12" t="s">
        <v>8</v>
      </c>
      <c r="E73" s="11"/>
      <c r="F73" s="8" t="s">
        <v>11</v>
      </c>
      <c r="G73" s="9"/>
      <c r="H73" s="12" t="s">
        <v>8</v>
      </c>
    </row>
    <row r="74" spans="2:8" x14ac:dyDescent="0.2">
      <c r="B74" s="8" t="s">
        <v>12</v>
      </c>
      <c r="C74" s="9"/>
      <c r="D74" s="12" t="s">
        <v>8</v>
      </c>
      <c r="E74" s="11"/>
      <c r="F74" s="8" t="s">
        <v>12</v>
      </c>
      <c r="G74" s="9"/>
      <c r="H74" s="12" t="s">
        <v>8</v>
      </c>
    </row>
    <row r="75" spans="2:8" x14ac:dyDescent="0.2">
      <c r="B75" s="8" t="s">
        <v>13</v>
      </c>
      <c r="C75" s="15"/>
      <c r="D75" s="12" t="s">
        <v>8</v>
      </c>
      <c r="E75" s="11"/>
      <c r="F75" s="8" t="s">
        <v>13</v>
      </c>
      <c r="G75" s="15"/>
      <c r="H75" s="12" t="s">
        <v>8</v>
      </c>
    </row>
    <row r="76" spans="2:8" x14ac:dyDescent="0.2">
      <c r="B76" s="8" t="s">
        <v>14</v>
      </c>
      <c r="C76" s="15">
        <v>250981978</v>
      </c>
      <c r="D76" s="12">
        <v>1.3961312924033976E-2</v>
      </c>
      <c r="E76" s="11"/>
      <c r="F76" s="8" t="s">
        <v>14</v>
      </c>
      <c r="G76" s="15">
        <v>3488101</v>
      </c>
      <c r="H76" s="12">
        <v>5.4438567524536634E-4</v>
      </c>
    </row>
    <row r="77" spans="2:8" x14ac:dyDescent="0.2">
      <c r="B77" s="8" t="s">
        <v>15</v>
      </c>
      <c r="C77" s="9">
        <v>-48351393</v>
      </c>
      <c r="D77" s="12">
        <v>-2.6896310777578857E-3</v>
      </c>
      <c r="E77" s="11"/>
      <c r="F77" s="8" t="s">
        <v>15</v>
      </c>
      <c r="G77" s="9">
        <v>-17903295</v>
      </c>
      <c r="H77" s="12">
        <v>-2.7941557132927031E-3</v>
      </c>
    </row>
    <row r="78" spans="2:8" x14ac:dyDescent="0.2">
      <c r="B78" s="8" t="s">
        <v>16</v>
      </c>
      <c r="C78" s="15"/>
      <c r="D78" s="12" t="s">
        <v>8</v>
      </c>
      <c r="E78" s="11"/>
      <c r="F78" s="8" t="s">
        <v>16</v>
      </c>
      <c r="G78" s="15"/>
      <c r="H78" s="12" t="s">
        <v>8</v>
      </c>
    </row>
    <row r="79" spans="2:8" x14ac:dyDescent="0.2">
      <c r="B79" s="8" t="s">
        <v>17</v>
      </c>
      <c r="C79" s="15">
        <v>-21315</v>
      </c>
      <c r="D79" s="12">
        <v>-1.1856842764056319E-6</v>
      </c>
      <c r="E79" s="11"/>
      <c r="F79" s="8" t="s">
        <v>17</v>
      </c>
      <c r="G79" s="15">
        <v>-16233</v>
      </c>
      <c r="H79" s="12">
        <v>-2.5334738490250229E-6</v>
      </c>
    </row>
    <row r="80" spans="2:8" s="23" customFormat="1" x14ac:dyDescent="0.2">
      <c r="B80" s="19" t="s">
        <v>18</v>
      </c>
      <c r="C80" s="20">
        <v>202593570</v>
      </c>
      <c r="D80" s="21">
        <v>1.1269622821950912E-2</v>
      </c>
      <c r="E80" s="22"/>
      <c r="F80" s="19" t="s">
        <v>18</v>
      </c>
      <c r="G80" s="20">
        <v>-14057670</v>
      </c>
      <c r="H80" s="21">
        <v>-2.1939714977652681E-3</v>
      </c>
    </row>
    <row r="81" spans="2:7" ht="4.5" customHeight="1" x14ac:dyDescent="0.2">
      <c r="C81" s="25"/>
      <c r="G81" s="31"/>
    </row>
    <row r="82" spans="2:7" ht="25.5" customHeight="1" x14ac:dyDescent="0.2">
      <c r="B82" s="6" t="s">
        <v>64</v>
      </c>
      <c r="C82" s="6" t="s">
        <v>2</v>
      </c>
      <c r="D82" s="6" t="s">
        <v>3</v>
      </c>
      <c r="G82" s="31"/>
    </row>
    <row r="83" spans="2:7" ht="12.75" customHeight="1" x14ac:dyDescent="0.2">
      <c r="B83" s="8" t="s">
        <v>5</v>
      </c>
      <c r="C83" s="99"/>
      <c r="D83" s="12" t="s">
        <v>8</v>
      </c>
      <c r="G83" s="31" t="s">
        <v>8</v>
      </c>
    </row>
    <row r="84" spans="2:7" ht="12.75" customHeight="1" x14ac:dyDescent="0.2">
      <c r="B84" s="8" t="s">
        <v>6</v>
      </c>
      <c r="C84" s="99"/>
      <c r="D84" s="12" t="s">
        <v>8</v>
      </c>
      <c r="G84" s="31" t="s">
        <v>8</v>
      </c>
    </row>
    <row r="85" spans="2:7" ht="12.75" customHeight="1" x14ac:dyDescent="0.2">
      <c r="B85" s="8" t="s">
        <v>7</v>
      </c>
      <c r="C85" s="99"/>
      <c r="D85" s="12" t="s">
        <v>8</v>
      </c>
      <c r="G85" s="31"/>
    </row>
    <row r="86" spans="2:7" ht="12.75" customHeight="1" x14ac:dyDescent="0.2">
      <c r="B86" s="8" t="s">
        <v>9</v>
      </c>
      <c r="C86" s="99"/>
      <c r="D86" s="12" t="s">
        <v>8</v>
      </c>
      <c r="G86" s="31"/>
    </row>
    <row r="87" spans="2:7" ht="12.75" customHeight="1" x14ac:dyDescent="0.2">
      <c r="B87" s="8" t="s">
        <v>10</v>
      </c>
      <c r="C87" s="99">
        <v>11.1</v>
      </c>
      <c r="D87" s="12">
        <v>1.5739931074487374E-7</v>
      </c>
      <c r="G87" s="31"/>
    </row>
    <row r="88" spans="2:7" ht="12.75" customHeight="1" x14ac:dyDescent="0.2">
      <c r="B88" s="8" t="s">
        <v>11</v>
      </c>
      <c r="C88" s="99"/>
      <c r="D88" s="12" t="s">
        <v>8</v>
      </c>
      <c r="G88" s="85"/>
    </row>
    <row r="89" spans="2:7" ht="12.75" customHeight="1" x14ac:dyDescent="0.2">
      <c r="B89" s="8" t="s">
        <v>12</v>
      </c>
      <c r="C89" s="99"/>
      <c r="D89" s="12" t="s">
        <v>8</v>
      </c>
      <c r="G89" s="86"/>
    </row>
    <row r="90" spans="2:7" s="23" customFormat="1" ht="12.75" customHeight="1" x14ac:dyDescent="0.2">
      <c r="B90" s="8" t="s">
        <v>13</v>
      </c>
      <c r="C90" s="87">
        <v>153660.12460000001</v>
      </c>
      <c r="D90" s="12">
        <v>2.1789187118028308E-3</v>
      </c>
      <c r="E90" s="39"/>
      <c r="G90" s="88"/>
    </row>
    <row r="91" spans="2:7" ht="12.75" customHeight="1" x14ac:dyDescent="0.2">
      <c r="B91" s="8" t="s">
        <v>14</v>
      </c>
      <c r="C91" s="87"/>
      <c r="D91" s="12" t="s">
        <v>8</v>
      </c>
      <c r="G91" s="31"/>
    </row>
    <row r="92" spans="2:7" ht="12.75" customHeight="1" x14ac:dyDescent="0.2">
      <c r="B92" s="8" t="s">
        <v>15</v>
      </c>
      <c r="C92" s="99">
        <v>401126.55290000001</v>
      </c>
      <c r="D92" s="12">
        <v>5.6880218872006434E-3</v>
      </c>
      <c r="G92" s="31"/>
    </row>
    <row r="93" spans="2:7" ht="12.75" customHeight="1" x14ac:dyDescent="0.2">
      <c r="B93" s="8" t="s">
        <v>16</v>
      </c>
      <c r="C93" s="87"/>
      <c r="D93" s="12" t="s">
        <v>8</v>
      </c>
      <c r="G93" s="31"/>
    </row>
    <row r="94" spans="2:7" ht="12.75" customHeight="1" x14ac:dyDescent="0.2">
      <c r="B94" s="8" t="s">
        <v>17</v>
      </c>
      <c r="C94" s="87"/>
      <c r="D94" s="12" t="s">
        <v>8</v>
      </c>
      <c r="G94" s="31"/>
    </row>
    <row r="95" spans="2:7" ht="12.75" customHeight="1" x14ac:dyDescent="0.2">
      <c r="B95" s="19" t="s">
        <v>18</v>
      </c>
      <c r="C95" s="56">
        <v>554797.77750000008</v>
      </c>
      <c r="D95" s="89">
        <v>7.8670979983142195E-3</v>
      </c>
      <c r="F95" s="90"/>
      <c r="G95" s="13"/>
    </row>
    <row r="96" spans="2:7" ht="15" customHeight="1" x14ac:dyDescent="0.2">
      <c r="C96" s="25"/>
      <c r="G96" s="31"/>
    </row>
    <row r="97" spans="2:7" ht="4.5" hidden="1" customHeight="1" x14ac:dyDescent="0.2">
      <c r="C97" s="25"/>
      <c r="G97" s="31"/>
    </row>
    <row r="98" spans="2:7" ht="25.5" hidden="1" customHeight="1" x14ac:dyDescent="0.2">
      <c r="B98" s="6" t="s">
        <v>29</v>
      </c>
      <c r="C98" s="6"/>
      <c r="D98" s="6" t="s">
        <v>3</v>
      </c>
      <c r="E98" s="24"/>
      <c r="F98" s="2"/>
    </row>
    <row r="99" spans="2:7" ht="12.75" hidden="1" customHeight="1" x14ac:dyDescent="0.2">
      <c r="B99" s="33"/>
      <c r="C99" s="41"/>
      <c r="D99" s="12" t="s">
        <v>8</v>
      </c>
      <c r="E99" s="18"/>
      <c r="F99" s="2"/>
    </row>
    <row r="100" spans="2:7" ht="12.75" hidden="1" customHeight="1" x14ac:dyDescent="0.2">
      <c r="B100" s="35" t="s">
        <v>38</v>
      </c>
      <c r="C100" s="100"/>
      <c r="D100" s="12" t="s">
        <v>8</v>
      </c>
      <c r="E100" s="18"/>
      <c r="F100" s="2"/>
    </row>
    <row r="101" spans="2:7" ht="12.75" hidden="1" customHeight="1" x14ac:dyDescent="0.2">
      <c r="B101" s="35" t="s">
        <v>39</v>
      </c>
      <c r="C101" s="100"/>
      <c r="D101" s="12" t="s">
        <v>8</v>
      </c>
      <c r="E101" s="18"/>
      <c r="F101" s="2"/>
    </row>
    <row r="102" spans="2:7" ht="12.75" hidden="1" customHeight="1" x14ac:dyDescent="0.2">
      <c r="B102" s="35" t="s">
        <v>40</v>
      </c>
      <c r="C102" s="100"/>
      <c r="D102" s="12" t="s">
        <v>8</v>
      </c>
      <c r="E102" s="18"/>
      <c r="F102" s="2"/>
    </row>
    <row r="103" spans="2:7" ht="12.75" hidden="1" customHeight="1" x14ac:dyDescent="0.2">
      <c r="B103" s="35" t="s">
        <v>41</v>
      </c>
      <c r="C103" s="100"/>
      <c r="D103" s="12" t="s">
        <v>8</v>
      </c>
      <c r="E103" s="18"/>
      <c r="F103" s="2"/>
    </row>
    <row r="104" spans="2:7" ht="12.75" hidden="1" customHeight="1" x14ac:dyDescent="0.2">
      <c r="B104" s="35" t="s">
        <v>42</v>
      </c>
      <c r="C104" s="37"/>
      <c r="D104" s="12" t="s">
        <v>8</v>
      </c>
      <c r="E104" s="18"/>
      <c r="F104" s="2"/>
    </row>
    <row r="105" spans="2:7" ht="12.75" hidden="1" customHeight="1" x14ac:dyDescent="0.2">
      <c r="B105" s="35"/>
      <c r="C105" s="41"/>
      <c r="D105" s="12" t="s">
        <v>8</v>
      </c>
      <c r="E105" s="18"/>
      <c r="F105" s="2"/>
    </row>
    <row r="106" spans="2:7" s="23" customFormat="1" ht="12.75" hidden="1" customHeight="1" x14ac:dyDescent="0.2">
      <c r="B106" s="19" t="s">
        <v>18</v>
      </c>
      <c r="C106" s="38"/>
      <c r="D106" s="21">
        <v>0</v>
      </c>
      <c r="E106" s="22"/>
    </row>
    <row r="107" spans="2:7" s="23" customFormat="1" ht="12.75" hidden="1" customHeight="1" x14ac:dyDescent="0.2">
      <c r="B107" s="39"/>
      <c r="C107" s="91"/>
      <c r="D107" s="22"/>
      <c r="E107" s="22"/>
    </row>
    <row r="108" spans="2:7" s="23" customFormat="1" ht="12.75" hidden="1" customHeight="1" x14ac:dyDescent="0.2">
      <c r="B108" s="39"/>
      <c r="C108" s="91"/>
      <c r="D108" s="22"/>
      <c r="E108" s="22"/>
    </row>
    <row r="109" spans="2:7" s="23" customFormat="1" ht="12.75" hidden="1" customHeight="1" x14ac:dyDescent="0.2">
      <c r="B109" s="39"/>
      <c r="C109" s="91"/>
      <c r="D109" s="22"/>
      <c r="E109" s="22"/>
    </row>
    <row r="110" spans="2:7" s="23" customFormat="1" ht="12.75" hidden="1" customHeight="1" x14ac:dyDescent="0.2">
      <c r="B110" s="39"/>
      <c r="C110" s="91"/>
      <c r="D110" s="22"/>
      <c r="E110" s="22"/>
    </row>
    <row r="111" spans="2:7" s="23" customFormat="1" ht="12.75" hidden="1" customHeight="1" x14ac:dyDescent="0.2">
      <c r="B111" s="39"/>
      <c r="C111" s="91"/>
      <c r="D111" s="22"/>
      <c r="E111" s="22"/>
    </row>
    <row r="112" spans="2:7" s="23" customFormat="1" ht="12.75" hidden="1" customHeight="1" x14ac:dyDescent="0.2">
      <c r="B112" s="39"/>
      <c r="C112" s="91"/>
      <c r="D112" s="22"/>
      <c r="E112" s="22"/>
    </row>
    <row r="113" spans="1:13" x14ac:dyDescent="0.2">
      <c r="B113" s="2"/>
      <c r="C113" s="42"/>
      <c r="D113" s="18"/>
      <c r="E113" s="43"/>
      <c r="F113" s="2"/>
      <c r="H113" s="18"/>
    </row>
    <row r="114" spans="1:13" s="5" customFormat="1" ht="41.25" customHeight="1" x14ac:dyDescent="0.2">
      <c r="B114" s="6" t="s">
        <v>65</v>
      </c>
      <c r="C114" s="6"/>
      <c r="D114" s="6" t="s">
        <v>45</v>
      </c>
      <c r="F114" s="6" t="s">
        <v>46</v>
      </c>
    </row>
    <row r="115" spans="1:13" x14ac:dyDescent="0.2">
      <c r="B115" s="92" t="s">
        <v>20</v>
      </c>
      <c r="C115" s="93">
        <v>37093290269</v>
      </c>
      <c r="D115" s="45"/>
      <c r="E115" s="1"/>
      <c r="F115" s="44"/>
      <c r="G115" s="17"/>
      <c r="H115" s="101"/>
      <c r="I115" s="102"/>
    </row>
    <row r="116" spans="1:13" x14ac:dyDescent="0.2">
      <c r="B116" s="92" t="s">
        <v>28</v>
      </c>
      <c r="C116" s="93">
        <v>30439583478</v>
      </c>
      <c r="D116" s="45"/>
      <c r="E116" s="46"/>
      <c r="F116" s="44"/>
      <c r="G116" s="103"/>
      <c r="H116" s="103"/>
      <c r="I116" s="102"/>
    </row>
    <row r="117" spans="1:13" x14ac:dyDescent="0.2">
      <c r="B117" s="92" t="s">
        <v>30</v>
      </c>
      <c r="C117" s="93">
        <v>17976961004</v>
      </c>
      <c r="D117" s="45"/>
      <c r="E117" s="46"/>
      <c r="F117" s="44"/>
      <c r="G117" s="17"/>
      <c r="H117" s="101"/>
      <c r="I117" s="102"/>
    </row>
    <row r="118" spans="1:13" x14ac:dyDescent="0.2">
      <c r="B118" s="92" t="s">
        <v>26</v>
      </c>
      <c r="C118" s="93">
        <v>4816707138</v>
      </c>
      <c r="D118" s="45"/>
      <c r="E118" s="46"/>
      <c r="F118" s="44"/>
      <c r="G118" s="103"/>
      <c r="H118" s="103"/>
      <c r="I118" s="102"/>
    </row>
    <row r="119" spans="1:13" x14ac:dyDescent="0.2">
      <c r="B119" s="92" t="s">
        <v>31</v>
      </c>
      <c r="C119" s="93">
        <v>6407407760</v>
      </c>
      <c r="D119" s="45"/>
      <c r="E119" s="46"/>
      <c r="F119" s="44"/>
      <c r="G119" s="17"/>
      <c r="H119" s="101"/>
      <c r="I119" s="102"/>
    </row>
    <row r="120" spans="1:13" x14ac:dyDescent="0.2">
      <c r="B120" s="92" t="s">
        <v>1</v>
      </c>
      <c r="C120" s="93">
        <v>72382986366</v>
      </c>
      <c r="D120" s="44">
        <v>5124677067</v>
      </c>
      <c r="F120" s="44">
        <v>77507663433</v>
      </c>
      <c r="G120" s="103"/>
      <c r="H120" s="103"/>
      <c r="I120" s="102"/>
    </row>
    <row r="121" spans="1:13" x14ac:dyDescent="0.2">
      <c r="B121" s="92" t="s">
        <v>19</v>
      </c>
      <c r="C121" s="104">
        <v>34951033.5</v>
      </c>
      <c r="D121" s="48">
        <v>158785.34</v>
      </c>
      <c r="F121" s="44">
        <v>35109818.840000004</v>
      </c>
      <c r="G121" s="17"/>
      <c r="H121" s="101"/>
      <c r="I121" s="102"/>
    </row>
    <row r="122" spans="1:13" x14ac:dyDescent="0.2">
      <c r="B122" s="92" t="s">
        <v>4</v>
      </c>
      <c r="C122" s="93">
        <v>6886370546</v>
      </c>
      <c r="D122" s="45"/>
      <c r="F122" s="44"/>
      <c r="G122" s="103"/>
      <c r="H122" s="103"/>
      <c r="I122" s="102"/>
    </row>
    <row r="123" spans="1:13" x14ac:dyDescent="0.2">
      <c r="B123" s="92" t="s">
        <v>25</v>
      </c>
      <c r="C123" s="93">
        <v>63549372534</v>
      </c>
      <c r="D123" s="45"/>
      <c r="F123" s="44"/>
      <c r="G123" s="17"/>
      <c r="H123" s="101"/>
      <c r="I123" s="102"/>
    </row>
    <row r="124" spans="1:13" x14ac:dyDescent="0.2">
      <c r="B124" s="92" t="s">
        <v>29</v>
      </c>
      <c r="C124" s="104">
        <v>99697276.590000004</v>
      </c>
      <c r="D124" s="45"/>
      <c r="E124" s="46"/>
      <c r="F124" s="44"/>
      <c r="G124" s="103"/>
      <c r="H124" s="103"/>
      <c r="I124" s="102"/>
    </row>
    <row r="125" spans="1:13" x14ac:dyDescent="0.2">
      <c r="B125" s="94" t="s">
        <v>66</v>
      </c>
      <c r="C125" s="105">
        <v>70521274.505400017</v>
      </c>
      <c r="D125" s="45"/>
      <c r="E125" s="46"/>
      <c r="F125" s="44"/>
      <c r="G125" s="5"/>
    </row>
    <row r="126" spans="1:13" x14ac:dyDescent="0.2">
      <c r="C126" s="50"/>
    </row>
    <row r="128" spans="1:13" s="2" customFormat="1" x14ac:dyDescent="0.2">
      <c r="A128" s="1"/>
      <c r="B128" s="1"/>
      <c r="C128" s="1"/>
      <c r="D128" s="51"/>
      <c r="F128" s="1"/>
      <c r="G128" s="1"/>
      <c r="H128" s="1"/>
      <c r="I128" s="1"/>
      <c r="J128" s="1"/>
      <c r="K128" s="1"/>
      <c r="L128" s="1"/>
      <c r="M128" s="1"/>
    </row>
    <row r="129" spans="1:13" s="2" customFormat="1" x14ac:dyDescent="0.2">
      <c r="A129" s="1"/>
      <c r="B129" s="1"/>
      <c r="C129" s="1"/>
      <c r="D129" s="51"/>
      <c r="F129" s="1"/>
      <c r="G129" s="1"/>
      <c r="H129" s="1"/>
      <c r="I129" s="1"/>
      <c r="J129" s="1"/>
      <c r="K129" s="1"/>
      <c r="L129" s="1"/>
      <c r="M129" s="1"/>
    </row>
    <row r="130" spans="1:13" s="2" customFormat="1" x14ac:dyDescent="0.2">
      <c r="A130" s="1"/>
      <c r="B130" s="1"/>
      <c r="C130" s="1"/>
      <c r="D130" s="51"/>
      <c r="F130" s="1"/>
      <c r="G130" s="1"/>
      <c r="H130" s="1"/>
      <c r="I130" s="1"/>
      <c r="J130" s="1"/>
      <c r="K130" s="1"/>
      <c r="L130" s="1"/>
      <c r="M130" s="1"/>
    </row>
  </sheetData>
  <mergeCells count="2">
    <mergeCell ref="B2:H2"/>
    <mergeCell ref="B4:H4"/>
  </mergeCells>
  <conditionalFormatting sqref="C104">
    <cfRule type="cellIs" dxfId="277" priority="48" stopIfTrue="1" operator="lessThan">
      <formula>0</formula>
    </cfRule>
  </conditionalFormatting>
  <conditionalFormatting sqref="C29:C33">
    <cfRule type="cellIs" dxfId="276" priority="47" stopIfTrue="1" operator="lessThan">
      <formula>0</formula>
    </cfRule>
  </conditionalFormatting>
  <conditionalFormatting sqref="C22">
    <cfRule type="cellIs" dxfId="275" priority="45" stopIfTrue="1" operator="lessThan">
      <formula>0</formula>
    </cfRule>
  </conditionalFormatting>
  <conditionalFormatting sqref="C25:C28">
    <cfRule type="cellIs" dxfId="274" priority="44" stopIfTrue="1" operator="lessThan">
      <formula>0</formula>
    </cfRule>
  </conditionalFormatting>
  <conditionalFormatting sqref="C22:C24">
    <cfRule type="cellIs" dxfId="273" priority="46" stopIfTrue="1" operator="lessThan">
      <formula>0</formula>
    </cfRule>
  </conditionalFormatting>
  <conditionalFormatting sqref="C40:C43">
    <cfRule type="cellIs" dxfId="272" priority="40" stopIfTrue="1" operator="lessThan">
      <formula>0</formula>
    </cfRule>
  </conditionalFormatting>
  <conditionalFormatting sqref="G44 G46:G48">
    <cfRule type="cellIs" dxfId="271" priority="39" stopIfTrue="1" operator="lessThan">
      <formula>0</formula>
    </cfRule>
  </conditionalFormatting>
  <conditionalFormatting sqref="G37">
    <cfRule type="cellIs" dxfId="270" priority="37" stopIfTrue="1" operator="lessThan">
      <formula>0</formula>
    </cfRule>
  </conditionalFormatting>
  <conditionalFormatting sqref="C44:C48">
    <cfRule type="cellIs" dxfId="269" priority="43" stopIfTrue="1" operator="lessThan">
      <formula>0</formula>
    </cfRule>
  </conditionalFormatting>
  <conditionalFormatting sqref="C37:C39">
    <cfRule type="cellIs" dxfId="268" priority="42" stopIfTrue="1" operator="lessThan">
      <formula>0</formula>
    </cfRule>
  </conditionalFormatting>
  <conditionalFormatting sqref="C37">
    <cfRule type="cellIs" dxfId="267" priority="41" stopIfTrue="1" operator="lessThan">
      <formula>0</formula>
    </cfRule>
  </conditionalFormatting>
  <conditionalFormatting sqref="C56:C59">
    <cfRule type="cellIs" dxfId="266" priority="32" stopIfTrue="1" operator="lessThan">
      <formula>0</formula>
    </cfRule>
  </conditionalFormatting>
  <conditionalFormatting sqref="G37:G39">
    <cfRule type="cellIs" dxfId="265" priority="38" stopIfTrue="1" operator="lessThan">
      <formula>0</formula>
    </cfRule>
  </conditionalFormatting>
  <conditionalFormatting sqref="G40:G43">
    <cfRule type="cellIs" dxfId="264" priority="36" stopIfTrue="1" operator="lessThan">
      <formula>0</formula>
    </cfRule>
  </conditionalFormatting>
  <conditionalFormatting sqref="C60:C64">
    <cfRule type="cellIs" dxfId="263" priority="35" stopIfTrue="1" operator="lessThan">
      <formula>0</formula>
    </cfRule>
  </conditionalFormatting>
  <conditionalFormatting sqref="C53:C55">
    <cfRule type="cellIs" dxfId="262" priority="34" stopIfTrue="1" operator="lessThan">
      <formula>0</formula>
    </cfRule>
  </conditionalFormatting>
  <conditionalFormatting sqref="C53">
    <cfRule type="cellIs" dxfId="261" priority="33" stopIfTrue="1" operator="lessThan">
      <formula>0</formula>
    </cfRule>
  </conditionalFormatting>
  <conditionalFormatting sqref="C75:C78">
    <cfRule type="cellIs" dxfId="260" priority="31" stopIfTrue="1" operator="lessThan">
      <formula>0</formula>
    </cfRule>
  </conditionalFormatting>
  <conditionalFormatting sqref="C68:C70">
    <cfRule type="cellIs" dxfId="259" priority="30" stopIfTrue="1" operator="lessThan">
      <formula>0</formula>
    </cfRule>
  </conditionalFormatting>
  <conditionalFormatting sqref="C68">
    <cfRule type="cellIs" dxfId="258" priority="29" stopIfTrue="1" operator="lessThan">
      <formula>0</formula>
    </cfRule>
  </conditionalFormatting>
  <conditionalFormatting sqref="C71:C74">
    <cfRule type="cellIs" dxfId="257" priority="28" stopIfTrue="1" operator="lessThan">
      <formula>0</formula>
    </cfRule>
  </conditionalFormatting>
  <conditionalFormatting sqref="G75:G79">
    <cfRule type="cellIs" dxfId="256" priority="27" stopIfTrue="1" operator="lessThan">
      <formula>0</formula>
    </cfRule>
  </conditionalFormatting>
  <conditionalFormatting sqref="G68:G70">
    <cfRule type="cellIs" dxfId="255" priority="26" stopIfTrue="1" operator="lessThan">
      <formula>0</formula>
    </cfRule>
  </conditionalFormatting>
  <conditionalFormatting sqref="G68">
    <cfRule type="cellIs" dxfId="254" priority="25" stopIfTrue="1" operator="lessThan">
      <formula>0</formula>
    </cfRule>
  </conditionalFormatting>
  <conditionalFormatting sqref="G71:G74">
    <cfRule type="cellIs" dxfId="253" priority="24" stopIfTrue="1" operator="lessThan">
      <formula>0</formula>
    </cfRule>
  </conditionalFormatting>
  <conditionalFormatting sqref="C79">
    <cfRule type="cellIs" dxfId="252" priority="23" stopIfTrue="1" operator="lessThan">
      <formula>0</formula>
    </cfRule>
  </conditionalFormatting>
  <conditionalFormatting sqref="G56:G59">
    <cfRule type="cellIs" dxfId="251" priority="19" stopIfTrue="1" operator="lessThan">
      <formula>0</formula>
    </cfRule>
  </conditionalFormatting>
  <conditionalFormatting sqref="G60:G64">
    <cfRule type="cellIs" dxfId="250" priority="22" stopIfTrue="1" operator="lessThan">
      <formula>0</formula>
    </cfRule>
  </conditionalFormatting>
  <conditionalFormatting sqref="G53:G55">
    <cfRule type="cellIs" dxfId="249" priority="21" stopIfTrue="1" operator="lessThan">
      <formula>0</formula>
    </cfRule>
  </conditionalFormatting>
  <conditionalFormatting sqref="G53">
    <cfRule type="cellIs" dxfId="248" priority="20" stopIfTrue="1" operator="lessThan">
      <formula>0</formula>
    </cfRule>
  </conditionalFormatting>
  <conditionalFormatting sqref="C90:C93">
    <cfRule type="cellIs" dxfId="247" priority="18" stopIfTrue="1" operator="lessThan">
      <formula>0</formula>
    </cfRule>
  </conditionalFormatting>
  <conditionalFormatting sqref="C83:C85">
    <cfRule type="cellIs" dxfId="246" priority="17" stopIfTrue="1" operator="lessThan">
      <formula>0</formula>
    </cfRule>
  </conditionalFormatting>
  <conditionalFormatting sqref="C83">
    <cfRule type="cellIs" dxfId="245" priority="16" stopIfTrue="1" operator="lessThan">
      <formula>0</formula>
    </cfRule>
  </conditionalFormatting>
  <conditionalFormatting sqref="C86:C89">
    <cfRule type="cellIs" dxfId="244" priority="15" stopIfTrue="1" operator="lessThan">
      <formula>0</formula>
    </cfRule>
  </conditionalFormatting>
  <conditionalFormatting sqref="C94">
    <cfRule type="cellIs" dxfId="243" priority="14" stopIfTrue="1" operator="lessThan">
      <formula>0</formula>
    </cfRule>
  </conditionalFormatting>
  <conditionalFormatting sqref="G29:G33">
    <cfRule type="cellIs" dxfId="242" priority="13" stopIfTrue="1" operator="lessThan">
      <formula>0</formula>
    </cfRule>
  </conditionalFormatting>
  <conditionalFormatting sqref="G22:G24">
    <cfRule type="cellIs" dxfId="241" priority="12" stopIfTrue="1" operator="lessThan">
      <formula>0</formula>
    </cfRule>
  </conditionalFormatting>
  <conditionalFormatting sqref="G25:G28">
    <cfRule type="cellIs" dxfId="240" priority="10" stopIfTrue="1" operator="lessThan">
      <formula>0</formula>
    </cfRule>
  </conditionalFormatting>
  <conditionalFormatting sqref="G22">
    <cfRule type="cellIs" dxfId="239" priority="11" stopIfTrue="1" operator="lessThan">
      <formula>0</formula>
    </cfRule>
  </conditionalFormatting>
  <conditionalFormatting sqref="G45">
    <cfRule type="cellIs" dxfId="238" priority="9" stopIfTrue="1" operator="lessThan">
      <formula>0</formula>
    </cfRule>
  </conditionalFormatting>
  <conditionalFormatting sqref="G14:G18">
    <cfRule type="cellIs" dxfId="237" priority="8" stopIfTrue="1" operator="lessThan">
      <formula>0</formula>
    </cfRule>
  </conditionalFormatting>
  <conditionalFormatting sqref="G7:G9">
    <cfRule type="cellIs" dxfId="236" priority="7" stopIfTrue="1" operator="lessThan">
      <formula>0</formula>
    </cfRule>
  </conditionalFormatting>
  <conditionalFormatting sqref="G10:G13">
    <cfRule type="cellIs" dxfId="235" priority="5" stopIfTrue="1" operator="lessThan">
      <formula>0</formula>
    </cfRule>
  </conditionalFormatting>
  <conditionalFormatting sqref="G7">
    <cfRule type="cellIs" dxfId="234" priority="6" stopIfTrue="1" operator="lessThan">
      <formula>0</formula>
    </cfRule>
  </conditionalFormatting>
  <conditionalFormatting sqref="C14:C18">
    <cfRule type="cellIs" dxfId="233" priority="4" stopIfTrue="1" operator="lessThan">
      <formula>0</formula>
    </cfRule>
  </conditionalFormatting>
  <conditionalFormatting sqref="C7:C9">
    <cfRule type="cellIs" dxfId="232" priority="3" stopIfTrue="1" operator="lessThan">
      <formula>0</formula>
    </cfRule>
  </conditionalFormatting>
  <conditionalFormatting sqref="C10:C13">
    <cfRule type="cellIs" dxfId="231" priority="1" stopIfTrue="1" operator="lessThan">
      <formula>0</formula>
    </cfRule>
  </conditionalFormatting>
  <conditionalFormatting sqref="C7">
    <cfRule type="cellIs" dxfId="230" priority="2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2C6C7-6AF6-469C-AE37-624346D4B91B}">
  <dimension ref="A2:L56"/>
  <sheetViews>
    <sheetView tabSelected="1" zoomScale="90" zoomScaleNormal="90" workbookViewId="0">
      <selection activeCell="B4" sqref="B4:H4"/>
    </sheetView>
  </sheetViews>
  <sheetFormatPr baseColWidth="10" defaultRowHeight="12.75" x14ac:dyDescent="0.2"/>
  <cols>
    <col min="1" max="1" width="3" style="108" customWidth="1"/>
    <col min="2" max="2" width="31.85546875" style="108" customWidth="1"/>
    <col min="3" max="3" width="20.5703125" style="108" customWidth="1"/>
    <col min="4" max="4" width="12.85546875" style="108" customWidth="1"/>
    <col min="5" max="5" width="1.5703125" style="110" customWidth="1"/>
    <col min="6" max="6" width="31.85546875" style="108" customWidth="1"/>
    <col min="7" max="7" width="15.7109375" style="108" customWidth="1"/>
    <col min="8" max="8" width="16.42578125" style="108" customWidth="1"/>
    <col min="9" max="9" width="1.7109375" style="108" customWidth="1"/>
    <col min="10" max="10" width="35.28515625" style="108" bestFit="1" customWidth="1"/>
    <col min="11" max="11" width="16.85546875" style="108" customWidth="1"/>
    <col min="12" max="12" width="11" style="108" bestFit="1" customWidth="1"/>
    <col min="13" max="16384" width="11.42578125" style="108"/>
  </cols>
  <sheetData>
    <row r="2" spans="1:12" ht="14.25" customHeight="1" x14ac:dyDescent="0.2">
      <c r="B2" s="109" t="s">
        <v>0</v>
      </c>
      <c r="C2" s="109"/>
      <c r="D2" s="109"/>
      <c r="E2" s="109"/>
      <c r="F2" s="109"/>
      <c r="G2" s="109"/>
      <c r="H2" s="109"/>
    </row>
    <row r="3" spans="1:12" ht="7.5" customHeight="1" x14ac:dyDescent="0.2"/>
    <row r="4" spans="1:12" x14ac:dyDescent="0.2">
      <c r="A4" s="111"/>
      <c r="B4" s="112">
        <v>43168</v>
      </c>
      <c r="C4" s="112"/>
      <c r="D4" s="112"/>
      <c r="E4" s="112"/>
      <c r="F4" s="112"/>
      <c r="G4" s="112"/>
      <c r="H4" s="112"/>
    </row>
    <row r="5" spans="1:12" ht="14.1" customHeight="1" x14ac:dyDescent="0.2">
      <c r="A5" s="111"/>
      <c r="B5" s="111"/>
    </row>
    <row r="6" spans="1:12" s="113" customFormat="1" ht="25.5" x14ac:dyDescent="0.2">
      <c r="B6" s="114" t="s">
        <v>47</v>
      </c>
      <c r="C6" s="114" t="s">
        <v>2</v>
      </c>
      <c r="D6" s="114" t="s">
        <v>3</v>
      </c>
      <c r="E6" s="115"/>
      <c r="F6" s="114" t="s">
        <v>48</v>
      </c>
      <c r="G6" s="114" t="s">
        <v>2</v>
      </c>
      <c r="H6" s="114" t="s">
        <v>3</v>
      </c>
      <c r="J6" s="114" t="s">
        <v>67</v>
      </c>
      <c r="K6" s="114" t="s">
        <v>2</v>
      </c>
      <c r="L6" s="114" t="s">
        <v>3</v>
      </c>
    </row>
    <row r="7" spans="1:12" ht="14.1" customHeight="1" x14ac:dyDescent="0.2">
      <c r="B7" s="116" t="s">
        <v>56</v>
      </c>
      <c r="C7" s="117"/>
      <c r="D7" s="118" t="str">
        <f t="shared" ref="D7:D17" si="0">+IF(C7/$C$49=0,"",C7/$C$49)</f>
        <v/>
      </c>
      <c r="E7" s="119"/>
      <c r="F7" s="116" t="s">
        <v>56</v>
      </c>
      <c r="G7" s="120">
        <v>13460991</v>
      </c>
      <c r="H7" s="121">
        <f t="shared" ref="H7:H17" si="1">+IF(G7/$C$50=0,"",G7/$C$50)</f>
        <v>2.1793408860880511E-4</v>
      </c>
      <c r="I7" s="122"/>
      <c r="J7" s="116" t="s">
        <v>56</v>
      </c>
      <c r="K7" s="120"/>
      <c r="L7" s="121" t="str">
        <f>+IF(K7/$C$55=0,"",K7/$C$55)</f>
        <v/>
      </c>
    </row>
    <row r="8" spans="1:12" ht="14.1" customHeight="1" x14ac:dyDescent="0.2">
      <c r="B8" s="123" t="s">
        <v>57</v>
      </c>
      <c r="C8" s="117">
        <v>-6187353</v>
      </c>
      <c r="D8" s="118">
        <f t="shared" si="0"/>
        <v>-2.6946569283387155E-3</v>
      </c>
      <c r="E8" s="119"/>
      <c r="F8" s="123" t="s">
        <v>57</v>
      </c>
      <c r="G8" s="120">
        <v>-2369148</v>
      </c>
      <c r="H8" s="121">
        <f t="shared" si="1"/>
        <v>-3.8356619520759905E-5</v>
      </c>
      <c r="J8" s="123" t="s">
        <v>57</v>
      </c>
      <c r="K8" s="120">
        <v>-21411001</v>
      </c>
      <c r="L8" s="121">
        <f t="shared" ref="L8:L17" si="2">+IF(K8/$C$55=0,"",K8/$C$55)</f>
        <v>-2.7408089857088262E-3</v>
      </c>
    </row>
    <row r="9" spans="1:12" ht="14.1" customHeight="1" x14ac:dyDescent="0.2">
      <c r="B9" s="123" t="s">
        <v>7</v>
      </c>
      <c r="C9" s="117"/>
      <c r="D9" s="118" t="str">
        <f t="shared" si="0"/>
        <v/>
      </c>
      <c r="E9" s="119"/>
      <c r="F9" s="123" t="s">
        <v>7</v>
      </c>
      <c r="G9" s="120"/>
      <c r="H9" s="121" t="str">
        <f t="shared" si="1"/>
        <v/>
      </c>
      <c r="J9" s="123" t="s">
        <v>7</v>
      </c>
      <c r="K9" s="120"/>
      <c r="L9" s="121" t="str">
        <f t="shared" si="2"/>
        <v/>
      </c>
    </row>
    <row r="10" spans="1:12" ht="14.1" customHeight="1" x14ac:dyDescent="0.2">
      <c r="B10" s="116" t="s">
        <v>10</v>
      </c>
      <c r="C10" s="117">
        <v>-28990</v>
      </c>
      <c r="D10" s="118">
        <f t="shared" si="0"/>
        <v>-1.262544812822856E-5</v>
      </c>
      <c r="E10" s="119"/>
      <c r="F10" s="123" t="s">
        <v>10</v>
      </c>
      <c r="G10" s="120">
        <v>-154728</v>
      </c>
      <c r="H10" s="121">
        <f t="shared" si="1"/>
        <v>-2.5050537261530894E-6</v>
      </c>
      <c r="J10" s="123" t="s">
        <v>10</v>
      </c>
      <c r="K10" s="120">
        <v>3299</v>
      </c>
      <c r="L10" s="121">
        <f t="shared" si="2"/>
        <v>4.223029480897889E-7</v>
      </c>
    </row>
    <row r="11" spans="1:12" ht="14.1" customHeight="1" x14ac:dyDescent="0.2">
      <c r="B11" s="116" t="s">
        <v>11</v>
      </c>
      <c r="C11" s="117"/>
      <c r="D11" s="118" t="str">
        <f t="shared" si="0"/>
        <v/>
      </c>
      <c r="E11" s="119"/>
      <c r="F11" s="123" t="s">
        <v>11</v>
      </c>
      <c r="G11" s="120">
        <f>-46649200+47502400</f>
        <v>853200</v>
      </c>
      <c r="H11" s="121">
        <f t="shared" si="1"/>
        <v>1.3813348838954913E-5</v>
      </c>
      <c r="J11" s="123" t="s">
        <v>11</v>
      </c>
      <c r="K11" s="120"/>
      <c r="L11" s="121" t="str">
        <f t="shared" si="2"/>
        <v/>
      </c>
    </row>
    <row r="12" spans="1:12" ht="14.1" customHeight="1" x14ac:dyDescent="0.2">
      <c r="B12" s="123" t="s">
        <v>27</v>
      </c>
      <c r="C12" s="117"/>
      <c r="D12" s="118" t="str">
        <f t="shared" si="0"/>
        <v/>
      </c>
      <c r="E12" s="119"/>
      <c r="F12" s="123" t="s">
        <v>27</v>
      </c>
      <c r="G12" s="120"/>
      <c r="H12" s="121" t="str">
        <f t="shared" si="1"/>
        <v/>
      </c>
      <c r="J12" s="123" t="s">
        <v>27</v>
      </c>
      <c r="K12" s="120"/>
      <c r="L12" s="121" t="str">
        <f t="shared" si="2"/>
        <v/>
      </c>
    </row>
    <row r="13" spans="1:12" ht="14.1" customHeight="1" x14ac:dyDescent="0.2">
      <c r="B13" s="123" t="s">
        <v>13</v>
      </c>
      <c r="C13" s="117"/>
      <c r="D13" s="118" t="str">
        <f t="shared" si="0"/>
        <v/>
      </c>
      <c r="E13" s="119"/>
      <c r="F13" s="123" t="s">
        <v>13</v>
      </c>
      <c r="G13" s="120">
        <v>-90268585</v>
      </c>
      <c r="H13" s="121">
        <f t="shared" si="1"/>
        <v>-1.4614527119126263E-3</v>
      </c>
      <c r="J13" s="123" t="s">
        <v>13</v>
      </c>
      <c r="K13" s="120"/>
      <c r="L13" s="121" t="str">
        <f t="shared" si="2"/>
        <v/>
      </c>
    </row>
    <row r="14" spans="1:12" ht="14.1" customHeight="1" x14ac:dyDescent="0.2">
      <c r="B14" s="123" t="s">
        <v>14</v>
      </c>
      <c r="C14" s="117">
        <v>38736284</v>
      </c>
      <c r="D14" s="118">
        <f t="shared" si="0"/>
        <v>1.6870056720328732E-2</v>
      </c>
      <c r="E14" s="119"/>
      <c r="F14" s="123" t="s">
        <v>14</v>
      </c>
      <c r="G14" s="120"/>
      <c r="H14" s="121" t="str">
        <f t="shared" si="1"/>
        <v/>
      </c>
      <c r="J14" s="123" t="s">
        <v>14</v>
      </c>
      <c r="K14" s="120">
        <v>45221947</v>
      </c>
      <c r="L14" s="121">
        <f t="shared" si="2"/>
        <v>5.7888334454259428E-3</v>
      </c>
    </row>
    <row r="15" spans="1:12" ht="14.1" customHeight="1" x14ac:dyDescent="0.2">
      <c r="B15" s="123" t="s">
        <v>68</v>
      </c>
      <c r="C15" s="117"/>
      <c r="D15" s="118" t="str">
        <f t="shared" si="0"/>
        <v/>
      </c>
      <c r="E15" s="119"/>
      <c r="F15" s="123" t="s">
        <v>15</v>
      </c>
      <c r="G15" s="120"/>
      <c r="H15" s="121" t="str">
        <f t="shared" si="1"/>
        <v/>
      </c>
      <c r="J15" s="123" t="s">
        <v>15</v>
      </c>
      <c r="K15" s="120"/>
      <c r="L15" s="121" t="str">
        <f t="shared" si="2"/>
        <v/>
      </c>
    </row>
    <row r="16" spans="1:12" ht="14.1" customHeight="1" x14ac:dyDescent="0.2">
      <c r="B16" s="123" t="s">
        <v>16</v>
      </c>
      <c r="C16" s="117"/>
      <c r="D16" s="118" t="str">
        <f t="shared" si="0"/>
        <v/>
      </c>
      <c r="E16" s="119"/>
      <c r="F16" s="123" t="s">
        <v>16</v>
      </c>
      <c r="G16" s="120"/>
      <c r="H16" s="121" t="str">
        <f t="shared" si="1"/>
        <v/>
      </c>
      <c r="J16" s="123" t="s">
        <v>16</v>
      </c>
      <c r="K16" s="120"/>
      <c r="L16" s="121" t="str">
        <f t="shared" si="2"/>
        <v/>
      </c>
    </row>
    <row r="17" spans="1:12" ht="14.1" customHeight="1" x14ac:dyDescent="0.2">
      <c r="B17" s="123" t="s">
        <v>17</v>
      </c>
      <c r="C17" s="124"/>
      <c r="D17" s="118" t="str">
        <f t="shared" si="0"/>
        <v/>
      </c>
      <c r="E17" s="119"/>
      <c r="F17" s="125" t="s">
        <v>17</v>
      </c>
      <c r="G17" s="120">
        <v>-143186</v>
      </c>
      <c r="H17" s="121">
        <f t="shared" si="1"/>
        <v>-2.3181881936879961E-6</v>
      </c>
      <c r="J17" s="125" t="s">
        <v>17</v>
      </c>
      <c r="K17" s="120">
        <v>-17113</v>
      </c>
      <c r="L17" s="121">
        <f t="shared" si="2"/>
        <v>-2.1906245379389384E-6</v>
      </c>
    </row>
    <row r="18" spans="1:12" ht="14.1" customHeight="1" x14ac:dyDescent="0.2">
      <c r="B18" s="126" t="s">
        <v>18</v>
      </c>
      <c r="C18" s="127"/>
      <c r="D18" s="128">
        <f>SUM(D7:D17)</f>
        <v>1.4162774343861788E-2</v>
      </c>
      <c r="E18" s="119"/>
      <c r="F18" s="126" t="s">
        <v>18</v>
      </c>
      <c r="G18" s="129"/>
      <c r="H18" s="128">
        <f>SUM(H7:H17)</f>
        <v>-1.2728851359054671E-3</v>
      </c>
      <c r="I18" s="130"/>
      <c r="J18" s="126" t="s">
        <v>18</v>
      </c>
      <c r="K18" s="129"/>
      <c r="L18" s="128">
        <f>SUM(L7:L17)</f>
        <v>3.0462561381272677E-3</v>
      </c>
    </row>
    <row r="19" spans="1:12" ht="14.1" customHeight="1" x14ac:dyDescent="0.2">
      <c r="E19" s="119"/>
    </row>
    <row r="20" spans="1:12" ht="25.5" x14ac:dyDescent="0.2">
      <c r="B20" s="114" t="s">
        <v>49</v>
      </c>
      <c r="C20" s="114" t="s">
        <v>2</v>
      </c>
      <c r="D20" s="114" t="s">
        <v>3</v>
      </c>
      <c r="E20" s="131"/>
      <c r="F20" s="114" t="s">
        <v>50</v>
      </c>
      <c r="G20" s="114" t="s">
        <v>2</v>
      </c>
      <c r="H20" s="114" t="s">
        <v>3</v>
      </c>
      <c r="J20" s="114" t="s">
        <v>69</v>
      </c>
      <c r="K20" s="114" t="s">
        <v>2</v>
      </c>
      <c r="L20" s="114" t="s">
        <v>3</v>
      </c>
    </row>
    <row r="21" spans="1:12" ht="14.1" customHeight="1" x14ac:dyDescent="0.2">
      <c r="B21" s="116" t="s">
        <v>56</v>
      </c>
      <c r="C21" s="120">
        <v>34386722</v>
      </c>
      <c r="D21" s="121">
        <f t="shared" ref="D21:D31" si="3">+IF(C21/$C$51=0,"",C21/$C$51)</f>
        <v>2.3175047874623978E-4</v>
      </c>
      <c r="E21" s="132"/>
      <c r="F21" s="116" t="s">
        <v>56</v>
      </c>
      <c r="G21" s="120">
        <v>2550317</v>
      </c>
      <c r="H21" s="121">
        <f t="shared" ref="H21:H31" si="4">+IF(G21/$C$52=0,"",G21/$C$52)</f>
        <v>1.6381453108787612E-4</v>
      </c>
      <c r="J21" s="116" t="s">
        <v>56</v>
      </c>
      <c r="K21" s="120"/>
      <c r="L21" s="121" t="str">
        <f>+IF(K21/$C$56=0,"",K21/$C$56)</f>
        <v/>
      </c>
    </row>
    <row r="22" spans="1:12" ht="14.1" customHeight="1" x14ac:dyDescent="0.2">
      <c r="B22" s="123" t="s">
        <v>57</v>
      </c>
      <c r="C22" s="120">
        <v>-12505039</v>
      </c>
      <c r="D22" s="121">
        <f t="shared" si="3"/>
        <v>-8.4278134304002566E-5</v>
      </c>
      <c r="E22" s="132"/>
      <c r="F22" s="123" t="s">
        <v>57</v>
      </c>
      <c r="G22" s="133">
        <v>-877121</v>
      </c>
      <c r="H22" s="121">
        <f t="shared" si="4"/>
        <v>-5.6340119805627691E-5</v>
      </c>
      <c r="J22" s="123" t="s">
        <v>57</v>
      </c>
      <c r="K22" s="120">
        <f>-44200445+1262363</f>
        <v>-42938082</v>
      </c>
      <c r="L22" s="121">
        <f t="shared" ref="L22:L31" si="5">+IF(K22/$C$56=0,"",K22/$C$56)</f>
        <v>-2.6998940481428764E-3</v>
      </c>
    </row>
    <row r="23" spans="1:12" ht="14.1" customHeight="1" x14ac:dyDescent="0.2">
      <c r="B23" s="123" t="s">
        <v>7</v>
      </c>
      <c r="C23" s="120"/>
      <c r="D23" s="121" t="str">
        <f t="shared" si="3"/>
        <v/>
      </c>
      <c r="E23" s="132"/>
      <c r="F23" s="123" t="s">
        <v>7</v>
      </c>
      <c r="G23" s="133"/>
      <c r="H23" s="121" t="str">
        <f t="shared" si="4"/>
        <v/>
      </c>
      <c r="J23" s="123" t="s">
        <v>7</v>
      </c>
      <c r="K23" s="120"/>
      <c r="L23" s="121" t="str">
        <f t="shared" si="5"/>
        <v/>
      </c>
    </row>
    <row r="24" spans="1:12" ht="14.1" customHeight="1" x14ac:dyDescent="0.2">
      <c r="B24" s="123" t="s">
        <v>10</v>
      </c>
      <c r="C24" s="120">
        <v>-1554284</v>
      </c>
      <c r="D24" s="121">
        <f t="shared" si="3"/>
        <v>-1.0475149713532467E-5</v>
      </c>
      <c r="E24" s="132"/>
      <c r="F24" s="123" t="s">
        <v>10</v>
      </c>
      <c r="G24" s="120">
        <v>-45277</v>
      </c>
      <c r="H24" s="121">
        <f t="shared" si="4"/>
        <v>-2.9082778823439468E-6</v>
      </c>
      <c r="J24" s="123" t="s">
        <v>10</v>
      </c>
      <c r="K24" s="120"/>
      <c r="L24" s="121" t="str">
        <f t="shared" si="5"/>
        <v/>
      </c>
    </row>
    <row r="25" spans="1:12" ht="14.1" customHeight="1" x14ac:dyDescent="0.2">
      <c r="B25" s="123" t="s">
        <v>11</v>
      </c>
      <c r="C25" s="120">
        <f>-454469120+464085200</f>
        <v>9616080</v>
      </c>
      <c r="D25" s="121">
        <f t="shared" si="3"/>
        <v>6.4807897177932266E-5</v>
      </c>
      <c r="E25" s="132"/>
      <c r="F25" s="123" t="s">
        <v>11</v>
      </c>
      <c r="G25" s="120">
        <f>-49575000+50131000</f>
        <v>556000</v>
      </c>
      <c r="H25" s="121">
        <f t="shared" si="4"/>
        <v>3.5713552191691909E-5</v>
      </c>
      <c r="J25" s="123" t="s">
        <v>11</v>
      </c>
      <c r="K25" s="120"/>
      <c r="L25" s="121" t="str">
        <f t="shared" si="5"/>
        <v/>
      </c>
    </row>
    <row r="26" spans="1:12" ht="14.1" customHeight="1" x14ac:dyDescent="0.25">
      <c r="B26" s="123" t="s">
        <v>27</v>
      </c>
      <c r="C26" s="134"/>
      <c r="D26" s="121" t="str">
        <f t="shared" si="3"/>
        <v/>
      </c>
      <c r="E26" s="132"/>
      <c r="F26" s="123" t="s">
        <v>27</v>
      </c>
      <c r="G26" s="120"/>
      <c r="H26" s="121" t="str">
        <f t="shared" si="4"/>
        <v/>
      </c>
      <c r="J26" s="123" t="s">
        <v>27</v>
      </c>
      <c r="K26" s="120"/>
      <c r="L26" s="121" t="str">
        <f t="shared" si="5"/>
        <v/>
      </c>
    </row>
    <row r="27" spans="1:12" ht="14.1" customHeight="1" x14ac:dyDescent="0.2">
      <c r="B27" s="123" t="s">
        <v>13</v>
      </c>
      <c r="C27" s="120">
        <f>-13153415-101488065+715465-33429460+56173-1557848</f>
        <v>-148857150</v>
      </c>
      <c r="D27" s="121">
        <f t="shared" si="3"/>
        <v>-1.0032278091904436E-3</v>
      </c>
      <c r="E27" s="132"/>
      <c r="F27" s="123" t="s">
        <v>13</v>
      </c>
      <c r="G27" s="120">
        <f>-55565-31699+42366-5-75338+139463</f>
        <v>19222</v>
      </c>
      <c r="H27" s="121">
        <f t="shared" si="4"/>
        <v>1.2346868709149313E-6</v>
      </c>
      <c r="J27" s="123" t="s">
        <v>13</v>
      </c>
      <c r="K27" s="120"/>
      <c r="L27" s="121" t="str">
        <f t="shared" si="5"/>
        <v/>
      </c>
    </row>
    <row r="28" spans="1:12" ht="14.1" customHeight="1" x14ac:dyDescent="0.2">
      <c r="B28" s="123" t="s">
        <v>14</v>
      </c>
      <c r="C28" s="120">
        <v>376451</v>
      </c>
      <c r="D28" s="121">
        <f t="shared" si="3"/>
        <v>2.5371042774737502E-6</v>
      </c>
      <c r="E28" s="132"/>
      <c r="F28" s="123" t="s">
        <v>14</v>
      </c>
      <c r="G28" s="133">
        <v>140400</v>
      </c>
      <c r="H28" s="121">
        <f t="shared" si="4"/>
        <v>9.0183142584775974E-6</v>
      </c>
      <c r="J28" s="123" t="s">
        <v>14</v>
      </c>
      <c r="K28" s="120">
        <v>1521381</v>
      </c>
      <c r="L28" s="121">
        <f t="shared" si="5"/>
        <v>9.5662575400029672E-5</v>
      </c>
    </row>
    <row r="29" spans="1:12" ht="14.1" customHeight="1" x14ac:dyDescent="0.2">
      <c r="B29" s="123" t="s">
        <v>7</v>
      </c>
      <c r="C29" s="120"/>
      <c r="D29" s="121" t="str">
        <f t="shared" si="3"/>
        <v/>
      </c>
      <c r="E29" s="132"/>
      <c r="F29" s="123" t="s">
        <v>58</v>
      </c>
      <c r="G29" s="133"/>
      <c r="H29" s="121" t="str">
        <f t="shared" si="4"/>
        <v/>
      </c>
      <c r="J29" s="123" t="s">
        <v>15</v>
      </c>
      <c r="K29" s="120"/>
      <c r="L29" s="121" t="str">
        <f t="shared" si="5"/>
        <v/>
      </c>
    </row>
    <row r="30" spans="1:12" ht="14.1" customHeight="1" x14ac:dyDescent="0.2">
      <c r="B30" s="123" t="s">
        <v>16</v>
      </c>
      <c r="C30" s="120">
        <v>372265</v>
      </c>
      <c r="D30" s="121">
        <f t="shared" si="3"/>
        <v>2.5088925885540633E-6</v>
      </c>
      <c r="E30" s="132"/>
      <c r="F30" s="123" t="s">
        <v>16</v>
      </c>
      <c r="G30" s="120"/>
      <c r="H30" s="121" t="str">
        <f t="shared" si="4"/>
        <v/>
      </c>
      <c r="J30" s="123" t="s">
        <v>16</v>
      </c>
      <c r="K30" s="120"/>
      <c r="L30" s="121" t="str">
        <f t="shared" si="5"/>
        <v/>
      </c>
    </row>
    <row r="31" spans="1:12" s="135" customFormat="1" ht="14.1" customHeight="1" x14ac:dyDescent="0.2">
      <c r="A31" s="108"/>
      <c r="B31" s="123" t="s">
        <v>17</v>
      </c>
      <c r="C31" s="120"/>
      <c r="D31" s="121" t="str">
        <f t="shared" si="3"/>
        <v/>
      </c>
      <c r="E31" s="132"/>
      <c r="F31" s="123" t="s">
        <v>17</v>
      </c>
      <c r="G31" s="133">
        <v>-25232</v>
      </c>
      <c r="H31" s="121">
        <f t="shared" si="4"/>
        <v>-1.6207272462244067E-6</v>
      </c>
      <c r="I31" s="108"/>
      <c r="J31" s="125" t="s">
        <v>17</v>
      </c>
      <c r="K31" s="120">
        <v>-65439</v>
      </c>
      <c r="L31" s="121">
        <f t="shared" si="5"/>
        <v>-4.1147242351538124E-6</v>
      </c>
    </row>
    <row r="32" spans="1:12" s="135" customFormat="1" ht="14.1" customHeight="1" x14ac:dyDescent="0.2">
      <c r="A32" s="108"/>
      <c r="B32" s="126" t="s">
        <v>18</v>
      </c>
      <c r="C32" s="127"/>
      <c r="D32" s="128">
        <f>SUM(D21:D31)</f>
        <v>-7.9637672041777872E-4</v>
      </c>
      <c r="E32" s="132"/>
      <c r="F32" s="126" t="s">
        <v>18</v>
      </c>
      <c r="G32" s="127"/>
      <c r="H32" s="128">
        <f>SUM(H21:H31)</f>
        <v>1.4891195947476453E-4</v>
      </c>
      <c r="I32" s="108"/>
      <c r="J32" s="126" t="s">
        <v>18</v>
      </c>
      <c r="K32" s="129"/>
      <c r="L32" s="128">
        <f>SUM(L21:L31)</f>
        <v>-2.6083461969780009E-3</v>
      </c>
    </row>
    <row r="33" spans="1:11" s="135" customFormat="1" ht="12.75" customHeight="1" x14ac:dyDescent="0.2">
      <c r="A33" s="108"/>
      <c r="B33" s="108"/>
      <c r="C33" s="136"/>
      <c r="D33" s="108"/>
      <c r="E33" s="110"/>
      <c r="F33" s="108"/>
      <c r="G33" s="108"/>
      <c r="H33" s="108"/>
      <c r="I33" s="108"/>
      <c r="J33" s="108"/>
      <c r="K33" s="108"/>
    </row>
    <row r="34" spans="1:11" s="135" customFormat="1" ht="25.5" x14ac:dyDescent="0.2">
      <c r="A34" s="108" t="s">
        <v>24</v>
      </c>
      <c r="B34" s="114" t="s">
        <v>51</v>
      </c>
      <c r="C34" s="114" t="s">
        <v>2</v>
      </c>
      <c r="D34" s="114" t="s">
        <v>3</v>
      </c>
      <c r="E34" s="137"/>
      <c r="F34" s="114" t="s">
        <v>52</v>
      </c>
      <c r="G34" s="114"/>
      <c r="H34" s="114" t="s">
        <v>3</v>
      </c>
      <c r="I34" s="108"/>
      <c r="J34" s="108"/>
      <c r="K34" s="108"/>
    </row>
    <row r="35" spans="1:11" s="135" customFormat="1" ht="14.1" customHeight="1" x14ac:dyDescent="0.2">
      <c r="A35" s="108"/>
      <c r="B35" s="116" t="s">
        <v>56</v>
      </c>
      <c r="C35" s="138">
        <v>5619291</v>
      </c>
      <c r="D35" s="121">
        <f t="shared" ref="D35:D45" si="6">+IF(C35/$C$53=0,"",C35/$C$53)</f>
        <v>1.7109285775896005E-4</v>
      </c>
      <c r="E35" s="119"/>
      <c r="F35" s="116" t="s">
        <v>56</v>
      </c>
      <c r="G35" s="139"/>
      <c r="H35" s="121" t="str">
        <f t="shared" ref="H35:H45" si="7">+IF(G35/$C$54=0,"",G35/$C$54)</f>
        <v/>
      </c>
      <c r="I35" s="108"/>
      <c r="J35" s="108"/>
      <c r="K35" s="108"/>
    </row>
    <row r="36" spans="1:11" s="135" customFormat="1" ht="14.1" customHeight="1" x14ac:dyDescent="0.2">
      <c r="A36" s="108"/>
      <c r="B36" s="116" t="s">
        <v>57</v>
      </c>
      <c r="C36" s="139">
        <v>1049863</v>
      </c>
      <c r="D36" s="121">
        <f t="shared" si="6"/>
        <v>3.1965609349185703E-5</v>
      </c>
      <c r="E36" s="119"/>
      <c r="F36" s="116" t="s">
        <v>57</v>
      </c>
      <c r="G36" s="139"/>
      <c r="H36" s="121" t="str">
        <f>+IF(G36/$C$54=0,"",G36/$C$54)</f>
        <v/>
      </c>
      <c r="I36" s="108"/>
      <c r="J36" s="108"/>
      <c r="K36" s="108"/>
    </row>
    <row r="37" spans="1:11" s="135" customFormat="1" ht="14.1" customHeight="1" x14ac:dyDescent="0.2">
      <c r="A37" s="108"/>
      <c r="B37" s="116" t="s">
        <v>7</v>
      </c>
      <c r="C37" s="139"/>
      <c r="D37" s="121" t="str">
        <f t="shared" si="6"/>
        <v/>
      </c>
      <c r="E37" s="119"/>
      <c r="F37" s="116" t="s">
        <v>7</v>
      </c>
      <c r="G37" s="139"/>
      <c r="H37" s="121" t="str">
        <f t="shared" si="7"/>
        <v/>
      </c>
      <c r="I37" s="108"/>
      <c r="J37" s="108"/>
      <c r="K37" s="108"/>
    </row>
    <row r="38" spans="1:11" s="135" customFormat="1" ht="14.1" customHeight="1" x14ac:dyDescent="0.2">
      <c r="A38" s="108"/>
      <c r="B38" s="123" t="s">
        <v>10</v>
      </c>
      <c r="C38" s="139">
        <f>-22597-415000</f>
        <v>-437597</v>
      </c>
      <c r="D38" s="121">
        <f t="shared" si="6"/>
        <v>-1.3323695333939396E-5</v>
      </c>
      <c r="E38" s="119"/>
      <c r="F38" s="123" t="s">
        <v>10</v>
      </c>
      <c r="G38" s="139"/>
      <c r="H38" s="121" t="str">
        <f t="shared" si="7"/>
        <v/>
      </c>
      <c r="I38" s="108"/>
      <c r="J38" s="108"/>
      <c r="K38" s="108"/>
    </row>
    <row r="39" spans="1:11" s="135" customFormat="1" ht="14.1" customHeight="1" x14ac:dyDescent="0.25">
      <c r="A39" s="108"/>
      <c r="B39" s="123" t="s">
        <v>11</v>
      </c>
      <c r="C39" s="140">
        <f>91135040-93836340</f>
        <v>-2701300</v>
      </c>
      <c r="D39" s="121">
        <f t="shared" si="6"/>
        <v>-8.2247589004427561E-5</v>
      </c>
      <c r="E39" s="119"/>
      <c r="F39" s="123" t="s">
        <v>11</v>
      </c>
      <c r="G39" s="139"/>
      <c r="H39" s="121" t="str">
        <f t="shared" si="7"/>
        <v/>
      </c>
      <c r="I39" s="108"/>
      <c r="J39" s="108"/>
      <c r="K39" s="108"/>
    </row>
    <row r="40" spans="1:11" s="135" customFormat="1" ht="14.1" customHeight="1" x14ac:dyDescent="0.25">
      <c r="A40" s="108"/>
      <c r="B40" s="123" t="s">
        <v>27</v>
      </c>
      <c r="C40" s="140"/>
      <c r="D40" s="121" t="str">
        <f t="shared" si="6"/>
        <v/>
      </c>
      <c r="E40" s="119"/>
      <c r="F40" s="123" t="s">
        <v>27</v>
      </c>
      <c r="G40" s="141"/>
      <c r="H40" s="121" t="str">
        <f t="shared" si="7"/>
        <v/>
      </c>
      <c r="I40" s="108"/>
      <c r="J40" s="142"/>
      <c r="K40" s="108"/>
    </row>
    <row r="41" spans="1:11" s="135" customFormat="1" ht="14.1" customHeight="1" x14ac:dyDescent="0.25">
      <c r="A41" s="108"/>
      <c r="B41" s="123" t="s">
        <v>13</v>
      </c>
      <c r="C41" s="139">
        <f>-2771648-12555678+462824-3041360+86614-4726910</f>
        <v>-22546158</v>
      </c>
      <c r="D41" s="121">
        <f t="shared" si="6"/>
        <v>-6.8647211965086683E-4</v>
      </c>
      <c r="E41" s="119"/>
      <c r="F41" s="123" t="s">
        <v>68</v>
      </c>
      <c r="G41" s="141"/>
      <c r="H41" s="121" t="str">
        <f t="shared" si="7"/>
        <v/>
      </c>
      <c r="I41" s="108"/>
      <c r="J41" s="142"/>
      <c r="K41" s="108"/>
    </row>
    <row r="42" spans="1:11" s="135" customFormat="1" ht="14.1" customHeight="1" x14ac:dyDescent="0.25">
      <c r="A42" s="108"/>
      <c r="B42" s="123" t="s">
        <v>14</v>
      </c>
      <c r="C42" s="140">
        <v>-5284418</v>
      </c>
      <c r="D42" s="121">
        <f t="shared" si="6"/>
        <v>-1.6089684218398517E-4</v>
      </c>
      <c r="E42" s="132"/>
      <c r="F42" s="123" t="s">
        <v>14</v>
      </c>
      <c r="G42" s="139">
        <v>177402007</v>
      </c>
      <c r="H42" s="121">
        <f t="shared" si="7"/>
        <v>1.6044646070863127E-2</v>
      </c>
      <c r="I42" s="143"/>
      <c r="J42" s="142"/>
      <c r="K42" s="108"/>
    </row>
    <row r="43" spans="1:11" s="135" customFormat="1" ht="14.1" customHeight="1" x14ac:dyDescent="0.2">
      <c r="A43" s="108"/>
      <c r="B43" s="123" t="s">
        <v>58</v>
      </c>
      <c r="C43" s="138"/>
      <c r="D43" s="121" t="str">
        <f t="shared" si="6"/>
        <v/>
      </c>
      <c r="E43" s="132"/>
      <c r="F43" s="123" t="s">
        <v>15</v>
      </c>
      <c r="G43" s="139"/>
      <c r="H43" s="121" t="str">
        <f t="shared" si="7"/>
        <v/>
      </c>
      <c r="I43" s="143"/>
      <c r="J43" s="142"/>
      <c r="K43" s="108"/>
    </row>
    <row r="44" spans="1:11" s="135" customFormat="1" ht="14.1" customHeight="1" x14ac:dyDescent="0.2">
      <c r="A44" s="108"/>
      <c r="B44" s="123" t="s">
        <v>16</v>
      </c>
      <c r="C44" s="139"/>
      <c r="D44" s="121" t="str">
        <f t="shared" si="6"/>
        <v/>
      </c>
      <c r="E44" s="132"/>
      <c r="F44" s="123" t="s">
        <v>16</v>
      </c>
      <c r="G44" s="138"/>
      <c r="H44" s="121" t="str">
        <f t="shared" si="7"/>
        <v/>
      </c>
      <c r="I44" s="143"/>
      <c r="J44" s="142"/>
      <c r="K44" s="108"/>
    </row>
    <row r="45" spans="1:11" s="135" customFormat="1" ht="14.1" customHeight="1" x14ac:dyDescent="0.25">
      <c r="A45" s="108"/>
      <c r="B45" s="123" t="s">
        <v>17</v>
      </c>
      <c r="C45" s="138">
        <v>-90742</v>
      </c>
      <c r="D45" s="121">
        <f t="shared" si="6"/>
        <v>-2.7628588906969853E-6</v>
      </c>
      <c r="E45" s="110"/>
      <c r="F45" s="123" t="s">
        <v>17</v>
      </c>
      <c r="G45" s="140">
        <f>-43886-39357</f>
        <v>-83243</v>
      </c>
      <c r="H45" s="121">
        <f t="shared" si="7"/>
        <v>-7.5286886290799359E-6</v>
      </c>
      <c r="I45" s="108"/>
      <c r="J45" s="142"/>
      <c r="K45" s="144"/>
    </row>
    <row r="46" spans="1:11" ht="14.1" customHeight="1" x14ac:dyDescent="0.2">
      <c r="B46" s="126" t="s">
        <v>18</v>
      </c>
      <c r="C46" s="127"/>
      <c r="D46" s="128">
        <f>SUM(D35:D45)</f>
        <v>-7.4264463795577023E-4</v>
      </c>
      <c r="E46" s="145"/>
      <c r="F46" s="126" t="s">
        <v>18</v>
      </c>
      <c r="G46" s="127"/>
      <c r="H46" s="128">
        <f>SUM(H35:H45)</f>
        <v>1.6037117382234047E-2</v>
      </c>
      <c r="J46" s="142"/>
    </row>
    <row r="47" spans="1:11" s="113" customFormat="1" ht="9.75" customHeight="1" x14ac:dyDescent="0.2">
      <c r="B47" s="108"/>
      <c r="C47" s="136"/>
      <c r="D47" s="108"/>
    </row>
    <row r="48" spans="1:11" ht="41.25" customHeight="1" x14ac:dyDescent="0.2">
      <c r="B48" s="114" t="s">
        <v>43</v>
      </c>
      <c r="C48" s="114" t="s">
        <v>44</v>
      </c>
      <c r="D48" s="146"/>
      <c r="E48" s="147"/>
      <c r="F48" s="136"/>
    </row>
    <row r="49" spans="2:9" ht="14.1" customHeight="1" x14ac:dyDescent="0.2">
      <c r="B49" s="116" t="str">
        <f>+B6</f>
        <v>FI Acciones US</v>
      </c>
      <c r="C49" s="148">
        <f>462394947+1114222551+257914112+461624511</f>
        <v>2296156121</v>
      </c>
      <c r="D49" s="110"/>
      <c r="E49" s="147"/>
      <c r="F49" s="136"/>
      <c r="I49" s="108" t="s">
        <v>53</v>
      </c>
    </row>
    <row r="50" spans="2:9" ht="14.1" customHeight="1" x14ac:dyDescent="0.2">
      <c r="B50" s="123" t="s">
        <v>48</v>
      </c>
      <c r="C50" s="148">
        <v>61766339933</v>
      </c>
      <c r="D50" s="110"/>
      <c r="E50" s="147"/>
      <c r="F50" s="136"/>
    </row>
    <row r="51" spans="2:9" ht="14.1" customHeight="1" x14ac:dyDescent="0.2">
      <c r="B51" s="123" t="s">
        <v>54</v>
      </c>
      <c r="C51" s="148">
        <f>10459325752+14279744423+13809389293+95109145297+14720608674</f>
        <v>148378213439</v>
      </c>
      <c r="D51" s="110"/>
      <c r="F51" s="136"/>
    </row>
    <row r="52" spans="2:9" ht="14.1" customHeight="1" x14ac:dyDescent="0.2">
      <c r="B52" s="123" t="s">
        <v>50</v>
      </c>
      <c r="C52" s="148">
        <v>15568319752</v>
      </c>
      <c r="D52" s="110"/>
      <c r="E52" s="147"/>
      <c r="F52" s="136"/>
    </row>
    <row r="53" spans="2:9" ht="14.1" customHeight="1" x14ac:dyDescent="0.2">
      <c r="B53" s="123" t="s">
        <v>51</v>
      </c>
      <c r="C53" s="148">
        <v>32843515934</v>
      </c>
      <c r="D53" s="110"/>
      <c r="E53" s="147"/>
      <c r="F53" s="136"/>
    </row>
    <row r="54" spans="2:9" ht="14.1" customHeight="1" x14ac:dyDescent="0.2">
      <c r="B54" s="123" t="s">
        <v>70</v>
      </c>
      <c r="C54" s="148">
        <f>11056772846</f>
        <v>11056772846</v>
      </c>
      <c r="D54" s="110"/>
      <c r="E54" s="108"/>
    </row>
    <row r="55" spans="2:9" x14ac:dyDescent="0.2">
      <c r="B55" s="123" t="s">
        <v>71</v>
      </c>
      <c r="C55" s="148">
        <f>2354248524+3422056327+2035622617</f>
        <v>7811927468</v>
      </c>
    </row>
    <row r="56" spans="2:9" x14ac:dyDescent="0.2">
      <c r="B56" s="123" t="s">
        <v>69</v>
      </c>
      <c r="C56" s="148">
        <f>721938795+5108845750+10072832869</f>
        <v>15903617414</v>
      </c>
    </row>
  </sheetData>
  <mergeCells count="2">
    <mergeCell ref="B2:H2"/>
    <mergeCell ref="B4:H4"/>
  </mergeCells>
  <conditionalFormatting sqref="C18 C44 C7:C16 C37:C41">
    <cfRule type="cellIs" dxfId="34" priority="35" stopIfTrue="1" operator="lessThan">
      <formula>0</formula>
    </cfRule>
  </conditionalFormatting>
  <conditionalFormatting sqref="G23 G31 G28:G29">
    <cfRule type="cellIs" dxfId="33" priority="34" stopIfTrue="1" operator="lessThan">
      <formula>0</formula>
    </cfRule>
  </conditionalFormatting>
  <conditionalFormatting sqref="G35:G37">
    <cfRule type="cellIs" dxfId="32" priority="33" stopIfTrue="1" operator="lessThan">
      <formula>0</formula>
    </cfRule>
  </conditionalFormatting>
  <conditionalFormatting sqref="G38:G39">
    <cfRule type="cellIs" dxfId="31" priority="32" stopIfTrue="1" operator="lessThan">
      <formula>0</formula>
    </cfRule>
  </conditionalFormatting>
  <conditionalFormatting sqref="C29:C31 C21:C23">
    <cfRule type="cellIs" dxfId="30" priority="31" stopIfTrue="1" operator="lessThan">
      <formula>0</formula>
    </cfRule>
  </conditionalFormatting>
  <conditionalFormatting sqref="G18">
    <cfRule type="cellIs" dxfId="29" priority="30" stopIfTrue="1" operator="lessThan">
      <formula>0</formula>
    </cfRule>
  </conditionalFormatting>
  <conditionalFormatting sqref="C24:C26">
    <cfRule type="cellIs" dxfId="28" priority="29" stopIfTrue="1" operator="lessThan">
      <formula>0</formula>
    </cfRule>
  </conditionalFormatting>
  <conditionalFormatting sqref="G30">
    <cfRule type="cellIs" dxfId="27" priority="28" stopIfTrue="1" operator="lessThan">
      <formula>0</formula>
    </cfRule>
  </conditionalFormatting>
  <conditionalFormatting sqref="G24:G26">
    <cfRule type="cellIs" dxfId="26" priority="27" stopIfTrue="1" operator="lessThan">
      <formula>0</formula>
    </cfRule>
  </conditionalFormatting>
  <conditionalFormatting sqref="G27">
    <cfRule type="cellIs" dxfId="25" priority="26" stopIfTrue="1" operator="lessThan">
      <formula>0</formula>
    </cfRule>
  </conditionalFormatting>
  <conditionalFormatting sqref="G21">
    <cfRule type="cellIs" dxfId="24" priority="25" stopIfTrue="1" operator="lessThan">
      <formula>0</formula>
    </cfRule>
  </conditionalFormatting>
  <conditionalFormatting sqref="C17">
    <cfRule type="cellIs" dxfId="23" priority="24" stopIfTrue="1" operator="lessThan">
      <formula>0</formula>
    </cfRule>
  </conditionalFormatting>
  <conditionalFormatting sqref="C28">
    <cfRule type="cellIs" dxfId="22" priority="23" stopIfTrue="1" operator="lessThan">
      <formula>0</formula>
    </cfRule>
  </conditionalFormatting>
  <conditionalFormatting sqref="G15:G17 G13 G7:G9">
    <cfRule type="cellIs" dxfId="21" priority="22" stopIfTrue="1" operator="lessThan">
      <formula>0</formula>
    </cfRule>
  </conditionalFormatting>
  <conditionalFormatting sqref="G10:G12">
    <cfRule type="cellIs" dxfId="20" priority="21" stopIfTrue="1" operator="lessThan">
      <formula>0</formula>
    </cfRule>
  </conditionalFormatting>
  <conditionalFormatting sqref="G14">
    <cfRule type="cellIs" dxfId="19" priority="20" stopIfTrue="1" operator="lessThan">
      <formula>0</formula>
    </cfRule>
  </conditionalFormatting>
  <conditionalFormatting sqref="C27">
    <cfRule type="cellIs" dxfId="18" priority="19" stopIfTrue="1" operator="lessThan">
      <formula>0</formula>
    </cfRule>
  </conditionalFormatting>
  <conditionalFormatting sqref="G45 G42:G43">
    <cfRule type="cellIs" dxfId="17" priority="18" stopIfTrue="1" operator="lessThan">
      <formula>0</formula>
    </cfRule>
  </conditionalFormatting>
  <conditionalFormatting sqref="G44">
    <cfRule type="cellIs" dxfId="16" priority="17" stopIfTrue="1" operator="lessThan">
      <formula>0</formula>
    </cfRule>
  </conditionalFormatting>
  <conditionalFormatting sqref="G40">
    <cfRule type="cellIs" dxfId="15" priority="16" stopIfTrue="1" operator="lessThan">
      <formula>0</formula>
    </cfRule>
  </conditionalFormatting>
  <conditionalFormatting sqref="G41">
    <cfRule type="cellIs" dxfId="14" priority="15" stopIfTrue="1" operator="lessThan">
      <formula>0</formula>
    </cfRule>
  </conditionalFormatting>
  <conditionalFormatting sqref="C35">
    <cfRule type="cellIs" dxfId="13" priority="14" stopIfTrue="1" operator="lessThan">
      <formula>0</formula>
    </cfRule>
  </conditionalFormatting>
  <conditionalFormatting sqref="C45">
    <cfRule type="cellIs" dxfId="12" priority="13" stopIfTrue="1" operator="lessThan">
      <formula>0</formula>
    </cfRule>
  </conditionalFormatting>
  <conditionalFormatting sqref="C43">
    <cfRule type="cellIs" dxfId="11" priority="12" stopIfTrue="1" operator="lessThan">
      <formula>0</formula>
    </cfRule>
  </conditionalFormatting>
  <conditionalFormatting sqref="C42">
    <cfRule type="cellIs" dxfId="10" priority="11" stopIfTrue="1" operator="lessThan">
      <formula>0</formula>
    </cfRule>
  </conditionalFormatting>
  <conditionalFormatting sqref="C36">
    <cfRule type="cellIs" dxfId="9" priority="10" stopIfTrue="1" operator="lessThan">
      <formula>0</formula>
    </cfRule>
  </conditionalFormatting>
  <conditionalFormatting sqref="G22">
    <cfRule type="cellIs" dxfId="8" priority="9" stopIfTrue="1" operator="lessThan">
      <formula>0</formula>
    </cfRule>
  </conditionalFormatting>
  <conditionalFormatting sqref="K18">
    <cfRule type="cellIs" dxfId="7" priority="8" stopIfTrue="1" operator="lessThan">
      <formula>0</formula>
    </cfRule>
  </conditionalFormatting>
  <conditionalFormatting sqref="K15:K17 K13 K7:K9">
    <cfRule type="cellIs" dxfId="6" priority="7" stopIfTrue="1" operator="lessThan">
      <formula>0</formula>
    </cfRule>
  </conditionalFormatting>
  <conditionalFormatting sqref="K10:K12">
    <cfRule type="cellIs" dxfId="5" priority="6" stopIfTrue="1" operator="lessThan">
      <formula>0</formula>
    </cfRule>
  </conditionalFormatting>
  <conditionalFormatting sqref="K14">
    <cfRule type="cellIs" dxfId="4" priority="5" stopIfTrue="1" operator="lessThan">
      <formula>0</formula>
    </cfRule>
  </conditionalFormatting>
  <conditionalFormatting sqref="K32">
    <cfRule type="cellIs" dxfId="3" priority="4" stopIfTrue="1" operator="lessThan">
      <formula>0</formula>
    </cfRule>
  </conditionalFormatting>
  <conditionalFormatting sqref="K29:K31 K27 K21:K23">
    <cfRule type="cellIs" dxfId="2" priority="3" stopIfTrue="1" operator="lessThan">
      <formula>0</formula>
    </cfRule>
  </conditionalFormatting>
  <conditionalFormatting sqref="K24:K26">
    <cfRule type="cellIs" dxfId="1" priority="2" stopIfTrue="1" operator="lessThan">
      <formula>0</formula>
    </cfRule>
  </conditionalFormatting>
  <conditionalFormatting sqref="K28">
    <cfRule type="cellIs" dxfId="0" priority="1" stopIfTrue="1" operator="lessThan">
      <formula>0</formula>
    </cfRule>
  </conditionalFormatting>
  <pageMargins left="0.75" right="0.75" top="1" bottom="1" header="0" footer="0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M121"/>
  <sheetViews>
    <sheetView zoomScale="90" zoomScaleNormal="90" workbookViewId="0"/>
  </sheetViews>
  <sheetFormatPr baseColWidth="10" defaultRowHeight="12" x14ac:dyDescent="0.2"/>
  <cols>
    <col min="1" max="1" width="3" style="1" customWidth="1"/>
    <col min="2" max="2" width="35.28515625" style="1" customWidth="1"/>
    <col min="3" max="3" width="20.5703125" style="1" customWidth="1"/>
    <col min="4" max="4" width="16.5703125" style="1" customWidth="1"/>
    <col min="5" max="5" width="4.28515625" style="2" customWidth="1"/>
    <col min="6" max="6" width="35.28515625" style="1" customWidth="1"/>
    <col min="7" max="7" width="15.7109375" style="1" customWidth="1"/>
    <col min="8" max="8" width="16.42578125" style="1" customWidth="1"/>
    <col min="9" max="9" width="13" style="1" customWidth="1"/>
    <col min="10" max="10" width="14.42578125" style="1" customWidth="1"/>
    <col min="11" max="16384" width="11.42578125" style="1"/>
  </cols>
  <sheetData>
    <row r="2" spans="1:9" ht="14.25" customHeight="1" x14ac:dyDescent="0.2">
      <c r="B2" s="106" t="s">
        <v>0</v>
      </c>
      <c r="C2" s="106"/>
      <c r="D2" s="106"/>
      <c r="E2" s="106"/>
      <c r="F2" s="106"/>
      <c r="G2" s="106"/>
      <c r="H2" s="106"/>
    </row>
    <row r="3" spans="1:9" ht="7.5" customHeight="1" x14ac:dyDescent="0.2"/>
    <row r="4" spans="1:9" x14ac:dyDescent="0.2">
      <c r="A4" s="3"/>
      <c r="B4" s="107">
        <v>42989</v>
      </c>
      <c r="C4" s="107"/>
      <c r="D4" s="107"/>
      <c r="E4" s="107"/>
      <c r="F4" s="107"/>
      <c r="G4" s="107"/>
      <c r="H4" s="107"/>
    </row>
    <row r="5" spans="1:9" x14ac:dyDescent="0.2">
      <c r="A5" s="3"/>
      <c r="B5" s="4"/>
      <c r="C5" s="4"/>
      <c r="D5" s="4"/>
      <c r="E5" s="4"/>
      <c r="F5" s="4"/>
      <c r="G5" s="4"/>
      <c r="H5" s="4"/>
    </row>
    <row r="6" spans="1:9" s="5" customFormat="1" ht="24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v>7.8952326873509257E-5</v>
      </c>
      <c r="E7" s="11"/>
      <c r="F7" s="8" t="s">
        <v>5</v>
      </c>
      <c r="G7" s="9">
        <v>381413</v>
      </c>
      <c r="H7" s="12"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v>1.2407533768071854E-7</v>
      </c>
      <c r="E8" s="11"/>
      <c r="F8" s="8" t="s">
        <v>6</v>
      </c>
      <c r="G8" s="9">
        <v>129505</v>
      </c>
      <c r="H8" s="12">
        <v>1.3688509508649733E-5</v>
      </c>
    </row>
    <row r="9" spans="1:9" x14ac:dyDescent="0.2">
      <c r="B9" s="8" t="s">
        <v>7</v>
      </c>
      <c r="C9" s="14"/>
      <c r="D9" s="10" t="s">
        <v>8</v>
      </c>
      <c r="E9" s="11"/>
      <c r="F9" s="8" t="s">
        <v>7</v>
      </c>
      <c r="G9" s="9"/>
      <c r="H9" s="12" t="s">
        <v>8</v>
      </c>
    </row>
    <row r="10" spans="1:9" x14ac:dyDescent="0.2">
      <c r="B10" s="8" t="s">
        <v>9</v>
      </c>
      <c r="C10" s="9"/>
      <c r="D10" s="10" t="s">
        <v>8</v>
      </c>
      <c r="E10" s="11"/>
      <c r="F10" s="8" t="s">
        <v>9</v>
      </c>
      <c r="G10" s="9"/>
      <c r="H10" s="12" t="s">
        <v>8</v>
      </c>
    </row>
    <row r="11" spans="1:9" x14ac:dyDescent="0.2">
      <c r="B11" s="8" t="s">
        <v>10</v>
      </c>
      <c r="C11" s="9"/>
      <c r="D11" s="10" t="s">
        <v>8</v>
      </c>
      <c r="E11" s="11"/>
      <c r="F11" s="8" t="s">
        <v>10</v>
      </c>
      <c r="G11" s="9">
        <v>80608</v>
      </c>
      <c r="H11" s="12">
        <v>8.5201604144491544E-6</v>
      </c>
    </row>
    <row r="12" spans="1:9" x14ac:dyDescent="0.2">
      <c r="B12" s="8" t="s">
        <v>11</v>
      </c>
      <c r="C12" s="9"/>
      <c r="D12" s="10" t="s">
        <v>8</v>
      </c>
      <c r="E12" s="11"/>
      <c r="F12" s="8" t="s">
        <v>11</v>
      </c>
      <c r="G12" s="9"/>
      <c r="H12" s="12" t="s">
        <v>8</v>
      </c>
    </row>
    <row r="13" spans="1:9" x14ac:dyDescent="0.2">
      <c r="B13" s="8" t="s">
        <v>12</v>
      </c>
      <c r="C13" s="9"/>
      <c r="D13" s="10" t="s">
        <v>8</v>
      </c>
      <c r="E13" s="11"/>
      <c r="F13" s="8" t="s">
        <v>12</v>
      </c>
      <c r="G13" s="9"/>
      <c r="H13" s="12" t="s">
        <v>8</v>
      </c>
    </row>
    <row r="14" spans="1:9" x14ac:dyDescent="0.2">
      <c r="B14" s="8" t="s">
        <v>13</v>
      </c>
      <c r="C14" s="15"/>
      <c r="D14" s="10" t="s">
        <v>8</v>
      </c>
      <c r="E14" s="11"/>
      <c r="F14" s="8" t="s">
        <v>13</v>
      </c>
      <c r="G14" s="16">
        <v>-7198946</v>
      </c>
      <c r="H14" s="12">
        <v>-7.6091919828003528E-4</v>
      </c>
      <c r="I14" s="17"/>
    </row>
    <row r="15" spans="1:9" x14ac:dyDescent="0.2">
      <c r="B15" s="8" t="s">
        <v>14</v>
      </c>
      <c r="C15" s="15"/>
      <c r="D15" s="10" t="s">
        <v>8</v>
      </c>
      <c r="E15" s="11"/>
      <c r="F15" s="8" t="s">
        <v>14</v>
      </c>
      <c r="G15" s="15"/>
      <c r="H15" s="12" t="s">
        <v>8</v>
      </c>
      <c r="I15" s="17"/>
    </row>
    <row r="16" spans="1:9" x14ac:dyDescent="0.2">
      <c r="B16" s="8" t="s">
        <v>15</v>
      </c>
      <c r="C16" s="9"/>
      <c r="D16" s="10" t="s">
        <v>8</v>
      </c>
      <c r="E16" s="11"/>
      <c r="F16" s="8" t="s">
        <v>15</v>
      </c>
      <c r="G16" s="9"/>
      <c r="H16" s="12" t="s">
        <v>8</v>
      </c>
    </row>
    <row r="17" spans="2:9" x14ac:dyDescent="0.2">
      <c r="B17" s="8" t="s">
        <v>16</v>
      </c>
      <c r="C17" s="15">
        <v>-15992</v>
      </c>
      <c r="D17" s="10">
        <v>-2.8025604522458342E-7</v>
      </c>
      <c r="E17" s="11"/>
      <c r="F17" s="8" t="s">
        <v>16</v>
      </c>
      <c r="G17" s="15"/>
      <c r="H17" s="12" t="s">
        <v>8</v>
      </c>
    </row>
    <row r="18" spans="2:9" x14ac:dyDescent="0.2">
      <c r="B18" s="8" t="s">
        <v>17</v>
      </c>
      <c r="C18" s="15">
        <v>-77555</v>
      </c>
      <c r="D18" s="10">
        <v>-1.359133165794933E-6</v>
      </c>
      <c r="E18" s="18"/>
      <c r="F18" s="8" t="s">
        <v>17</v>
      </c>
      <c r="G18" s="15">
        <v>-36946</v>
      </c>
      <c r="H18" s="12">
        <v>-3.9051439890859276E-6</v>
      </c>
    </row>
    <row r="19" spans="2:9" s="23" customFormat="1" x14ac:dyDescent="0.2">
      <c r="B19" s="19" t="s">
        <v>18</v>
      </c>
      <c r="C19" s="20">
        <v>4418719</v>
      </c>
      <c r="D19" s="21">
        <v>7.7437013000170463E-5</v>
      </c>
      <c r="E19" s="22"/>
      <c r="F19" s="19" t="s">
        <v>18</v>
      </c>
      <c r="G19" s="20">
        <v>-6644366</v>
      </c>
      <c r="H19" s="21">
        <v>-7.0230081595265819E-4</v>
      </c>
    </row>
    <row r="20" spans="2:9" ht="6" customHeight="1" x14ac:dyDescent="0.2"/>
    <row r="21" spans="2:9" ht="24" x14ac:dyDescent="0.2">
      <c r="B21" s="6" t="s">
        <v>19</v>
      </c>
      <c r="C21" s="6"/>
      <c r="D21" s="6" t="s">
        <v>3</v>
      </c>
      <c r="E21" s="24"/>
      <c r="F21" s="6" t="s">
        <v>20</v>
      </c>
      <c r="G21" s="6"/>
      <c r="H21" s="6" t="s">
        <v>3</v>
      </c>
    </row>
    <row r="22" spans="2:9" x14ac:dyDescent="0.2">
      <c r="B22" s="8" t="s">
        <v>21</v>
      </c>
      <c r="C22" s="14">
        <v>3052.7709</v>
      </c>
      <c r="D22" s="12">
        <v>7.7288834276616862E-5</v>
      </c>
      <c r="E22" s="18"/>
      <c r="F22" s="8" t="s">
        <v>5</v>
      </c>
      <c r="G22" s="9">
        <v>1577466</v>
      </c>
      <c r="H22" s="12">
        <v>6.8989901297656462E-5</v>
      </c>
      <c r="I22" s="80"/>
    </row>
    <row r="23" spans="2:9" x14ac:dyDescent="0.2">
      <c r="B23" s="8" t="s">
        <v>22</v>
      </c>
      <c r="C23" s="14"/>
      <c r="D23" s="12" t="s">
        <v>8</v>
      </c>
      <c r="E23" s="18"/>
      <c r="F23" s="8" t="s">
        <v>6</v>
      </c>
      <c r="G23" s="9">
        <v>374461</v>
      </c>
      <c r="H23" s="12">
        <v>1.6376915527701858E-5</v>
      </c>
      <c r="I23" s="80"/>
    </row>
    <row r="24" spans="2:9" x14ac:dyDescent="0.2">
      <c r="B24" s="8" t="s">
        <v>23</v>
      </c>
      <c r="C24" s="14">
        <v>-6037.77</v>
      </c>
      <c r="D24" s="12">
        <v>-1.5286184919095273E-4</v>
      </c>
      <c r="E24" s="18"/>
      <c r="F24" s="8" t="s">
        <v>7</v>
      </c>
      <c r="G24" s="14"/>
      <c r="H24" s="12" t="s">
        <v>8</v>
      </c>
      <c r="I24" s="80"/>
    </row>
    <row r="25" spans="2:9" x14ac:dyDescent="0.2">
      <c r="B25" s="8" t="s">
        <v>9</v>
      </c>
      <c r="C25" s="14"/>
      <c r="D25" s="12" t="s">
        <v>8</v>
      </c>
      <c r="E25" s="18"/>
      <c r="F25" s="8" t="s">
        <v>9</v>
      </c>
      <c r="G25" s="9"/>
      <c r="H25" s="12" t="s">
        <v>8</v>
      </c>
      <c r="I25" s="80"/>
    </row>
    <row r="26" spans="2:9" x14ac:dyDescent="0.2">
      <c r="B26" s="8" t="s">
        <v>10</v>
      </c>
      <c r="C26" s="14">
        <v>4697.53</v>
      </c>
      <c r="D26" s="12">
        <v>1.1893018820358777E-4</v>
      </c>
      <c r="E26" s="18"/>
      <c r="F26" s="8" t="s">
        <v>10</v>
      </c>
      <c r="G26" s="9"/>
      <c r="H26" s="12" t="s">
        <v>8</v>
      </c>
      <c r="I26" s="80"/>
    </row>
    <row r="27" spans="2:9" x14ac:dyDescent="0.2">
      <c r="B27" s="8" t="s">
        <v>11</v>
      </c>
      <c r="C27" s="14">
        <v>127410.07999999996</v>
      </c>
      <c r="D27" s="12">
        <v>3.2257175139773818E-3</v>
      </c>
      <c r="E27" s="18"/>
      <c r="F27" s="8" t="s">
        <v>11</v>
      </c>
      <c r="G27" s="9"/>
      <c r="H27" s="12" t="s">
        <v>8</v>
      </c>
      <c r="I27" s="80"/>
    </row>
    <row r="28" spans="2:9" x14ac:dyDescent="0.2">
      <c r="B28" s="8" t="s">
        <v>12</v>
      </c>
      <c r="C28" s="14"/>
      <c r="D28" s="12" t="s">
        <v>8</v>
      </c>
      <c r="E28" s="18"/>
      <c r="F28" s="8" t="s">
        <v>12</v>
      </c>
      <c r="G28" s="9"/>
      <c r="H28" s="12" t="s">
        <v>8</v>
      </c>
      <c r="I28" s="80"/>
    </row>
    <row r="29" spans="2:9" x14ac:dyDescent="0.2">
      <c r="B29" s="8" t="s">
        <v>13</v>
      </c>
      <c r="C29" s="14"/>
      <c r="D29" s="12" t="s">
        <v>8</v>
      </c>
      <c r="E29" s="18"/>
      <c r="F29" s="8" t="s">
        <v>13</v>
      </c>
      <c r="G29" s="16">
        <v>-3679248</v>
      </c>
      <c r="H29" s="12">
        <v>-1.6091057199939647E-4</v>
      </c>
      <c r="I29" s="80"/>
    </row>
    <row r="30" spans="2:9" x14ac:dyDescent="0.2">
      <c r="B30" s="8" t="s">
        <v>14</v>
      </c>
      <c r="C30" s="14"/>
      <c r="D30" s="12" t="s">
        <v>8</v>
      </c>
      <c r="E30" s="18"/>
      <c r="F30" s="8" t="s">
        <v>14</v>
      </c>
      <c r="G30" s="15"/>
      <c r="H30" s="12" t="s">
        <v>8</v>
      </c>
      <c r="I30" s="80"/>
    </row>
    <row r="31" spans="2:9" x14ac:dyDescent="0.2">
      <c r="B31" s="8" t="s">
        <v>15</v>
      </c>
      <c r="C31" s="14">
        <v>-126508.0604</v>
      </c>
      <c r="D31" s="12">
        <v>-3.2028805420386565E-3</v>
      </c>
      <c r="E31" s="18"/>
      <c r="F31" s="8" t="s">
        <v>15</v>
      </c>
      <c r="G31" s="9"/>
      <c r="H31" s="12" t="s">
        <v>8</v>
      </c>
    </row>
    <row r="32" spans="2:9" x14ac:dyDescent="0.2">
      <c r="B32" s="8" t="s">
        <v>16</v>
      </c>
      <c r="C32" s="14"/>
      <c r="D32" s="12" t="s">
        <v>8</v>
      </c>
      <c r="E32" s="18"/>
      <c r="F32" s="8" t="s">
        <v>16</v>
      </c>
      <c r="G32" s="15"/>
      <c r="H32" s="12" t="s">
        <v>8</v>
      </c>
    </row>
    <row r="33" spans="1:13" x14ac:dyDescent="0.2">
      <c r="B33" s="8" t="s">
        <v>17</v>
      </c>
      <c r="C33" s="14">
        <v>-52.98</v>
      </c>
      <c r="D33" s="12">
        <v>-1.3413264781759947E-6</v>
      </c>
      <c r="E33" s="18"/>
      <c r="F33" s="8" t="s">
        <v>17</v>
      </c>
      <c r="G33" s="15">
        <v>-54340</v>
      </c>
      <c r="H33" s="12">
        <v>-2.3765401197329465E-6</v>
      </c>
    </row>
    <row r="34" spans="1:13" s="23" customFormat="1" x14ac:dyDescent="0.2">
      <c r="B34" s="19" t="s">
        <v>18</v>
      </c>
      <c r="C34" s="20">
        <v>2561.5704999999539</v>
      </c>
      <c r="D34" s="21">
        <v>6.4852818749801106E-5</v>
      </c>
      <c r="E34" s="22"/>
      <c r="F34" s="19" t="s">
        <v>18</v>
      </c>
      <c r="G34" s="20">
        <v>-1781661</v>
      </c>
      <c r="H34" s="21">
        <v>-7.7920295293771097E-5</v>
      </c>
      <c r="I34" s="81"/>
    </row>
    <row r="35" spans="1:13" ht="6.75" customHeight="1" x14ac:dyDescent="0.2">
      <c r="C35" s="25"/>
      <c r="G35" s="25"/>
    </row>
    <row r="36" spans="1:13" ht="24" x14ac:dyDescent="0.2">
      <c r="A36" s="1" t="s">
        <v>24</v>
      </c>
      <c r="B36" s="6" t="s">
        <v>25</v>
      </c>
      <c r="C36" s="6"/>
      <c r="D36" s="6" t="s">
        <v>3</v>
      </c>
      <c r="E36" s="26"/>
      <c r="F36" s="6" t="s">
        <v>26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v>4.4007678463428594E-5</v>
      </c>
      <c r="E37" s="11"/>
      <c r="F37" s="8" t="s">
        <v>5</v>
      </c>
      <c r="G37" s="9"/>
      <c r="H37" s="12" t="s">
        <v>8</v>
      </c>
      <c r="K37" s="27"/>
      <c r="M37" s="28"/>
    </row>
    <row r="38" spans="1:13" x14ac:dyDescent="0.2">
      <c r="B38" s="8" t="s">
        <v>6</v>
      </c>
      <c r="C38" s="9">
        <v>2756731</v>
      </c>
      <c r="D38" s="12">
        <v>3.1958488734375962E-5</v>
      </c>
      <c r="E38" s="11"/>
      <c r="F38" s="8" t="s">
        <v>6</v>
      </c>
      <c r="G38" s="9"/>
      <c r="H38" s="12" t="s">
        <v>8</v>
      </c>
    </row>
    <row r="39" spans="1:13" x14ac:dyDescent="0.2">
      <c r="B39" s="8" t="s">
        <v>7</v>
      </c>
      <c r="C39" s="14"/>
      <c r="D39" s="12" t="s">
        <v>8</v>
      </c>
      <c r="E39" s="11"/>
      <c r="F39" s="8" t="s">
        <v>7</v>
      </c>
      <c r="G39" s="14"/>
      <c r="H39" s="12" t="s">
        <v>8</v>
      </c>
    </row>
    <row r="40" spans="1:13" x14ac:dyDescent="0.2">
      <c r="B40" s="8" t="s">
        <v>9</v>
      </c>
      <c r="C40" s="9"/>
      <c r="D40" s="12" t="s">
        <v>8</v>
      </c>
      <c r="E40" s="11"/>
      <c r="F40" s="8" t="s">
        <v>9</v>
      </c>
      <c r="G40" s="9"/>
      <c r="H40" s="12" t="s">
        <v>8</v>
      </c>
    </row>
    <row r="41" spans="1:13" x14ac:dyDescent="0.2">
      <c r="B41" s="8" t="s">
        <v>10</v>
      </c>
      <c r="C41" s="9"/>
      <c r="D41" s="12" t="s">
        <v>8</v>
      </c>
      <c r="E41" s="11"/>
      <c r="F41" s="8" t="s">
        <v>10</v>
      </c>
      <c r="G41" s="9"/>
      <c r="H41" s="12" t="s">
        <v>8</v>
      </c>
    </row>
    <row r="42" spans="1:13" x14ac:dyDescent="0.2">
      <c r="B42" s="8" t="s">
        <v>11</v>
      </c>
      <c r="C42" s="9"/>
      <c r="D42" s="12" t="s">
        <v>8</v>
      </c>
      <c r="E42" s="11"/>
      <c r="F42" s="8" t="s">
        <v>11</v>
      </c>
      <c r="G42" s="9"/>
      <c r="H42" s="12" t="s">
        <v>8</v>
      </c>
    </row>
    <row r="43" spans="1:13" x14ac:dyDescent="0.2">
      <c r="B43" s="8" t="s">
        <v>12</v>
      </c>
      <c r="C43" s="9"/>
      <c r="D43" s="12" t="s">
        <v>8</v>
      </c>
      <c r="E43" s="11"/>
      <c r="F43" s="8" t="s">
        <v>27</v>
      </c>
      <c r="G43" s="9"/>
      <c r="H43" s="12" t="s">
        <v>8</v>
      </c>
      <c r="I43" s="29"/>
    </row>
    <row r="44" spans="1:13" x14ac:dyDescent="0.2">
      <c r="B44" s="8" t="s">
        <v>13</v>
      </c>
      <c r="C44" s="15">
        <v>-42173783</v>
      </c>
      <c r="D44" s="12">
        <v>-4.8891617241272954E-4</v>
      </c>
      <c r="E44" s="11"/>
      <c r="F44" s="8" t="s">
        <v>13</v>
      </c>
      <c r="G44" s="15"/>
      <c r="H44" s="12" t="s">
        <v>8</v>
      </c>
    </row>
    <row r="45" spans="1:13" x14ac:dyDescent="0.2">
      <c r="B45" s="8" t="s">
        <v>14</v>
      </c>
      <c r="C45" s="15">
        <v>-8996571</v>
      </c>
      <c r="D45" s="12">
        <v>-1.0429628895656249E-4</v>
      </c>
      <c r="E45" s="11"/>
      <c r="F45" s="8" t="s">
        <v>14</v>
      </c>
      <c r="G45" s="15">
        <v>40995502</v>
      </c>
      <c r="H45" s="12">
        <v>8.662741159540745E-3</v>
      </c>
    </row>
    <row r="46" spans="1:13" x14ac:dyDescent="0.2">
      <c r="B46" s="8" t="s">
        <v>15</v>
      </c>
      <c r="C46" s="9"/>
      <c r="D46" s="12" t="s">
        <v>8</v>
      </c>
      <c r="E46" s="11"/>
      <c r="F46" s="8" t="s">
        <v>15</v>
      </c>
      <c r="G46" s="9"/>
      <c r="H46" s="12" t="s">
        <v>8</v>
      </c>
    </row>
    <row r="47" spans="1:13" x14ac:dyDescent="0.2">
      <c r="B47" s="8" t="s">
        <v>16</v>
      </c>
      <c r="C47" s="15"/>
      <c r="D47" s="12" t="s">
        <v>8</v>
      </c>
      <c r="E47" s="11"/>
      <c r="F47" s="8" t="s">
        <v>16</v>
      </c>
      <c r="G47" s="15"/>
      <c r="H47" s="12" t="s">
        <v>8</v>
      </c>
    </row>
    <row r="48" spans="1:13" x14ac:dyDescent="0.2">
      <c r="B48" s="8" t="s">
        <v>17</v>
      </c>
      <c r="C48" s="15">
        <v>-102854</v>
      </c>
      <c r="D48" s="12">
        <v>-1.1923754621997957E-6</v>
      </c>
      <c r="E48" s="11"/>
      <c r="F48" s="8" t="s">
        <v>17</v>
      </c>
      <c r="G48" s="15">
        <v>-38896</v>
      </c>
      <c r="H48" s="12">
        <v>-8.2190963326048997E-6</v>
      </c>
    </row>
    <row r="49" spans="2:9" s="23" customFormat="1" x14ac:dyDescent="0.2">
      <c r="B49" s="19" t="s">
        <v>18</v>
      </c>
      <c r="C49" s="20">
        <v>-44720386</v>
      </c>
      <c r="D49" s="21">
        <v>-5.1843866963368723E-4</v>
      </c>
      <c r="E49" s="22"/>
      <c r="F49" s="19" t="s">
        <v>18</v>
      </c>
      <c r="G49" s="20">
        <v>-17610970</v>
      </c>
      <c r="H49" s="21">
        <v>8.6545220632081397E-3</v>
      </c>
      <c r="I49" s="30"/>
    </row>
    <row r="50" spans="2:9" ht="4.5" customHeight="1" x14ac:dyDescent="0.2">
      <c r="C50" s="25"/>
      <c r="G50" s="31"/>
    </row>
    <row r="51" spans="2:9" ht="4.5" customHeight="1" x14ac:dyDescent="0.2">
      <c r="C51" s="25"/>
      <c r="G51" s="31"/>
    </row>
    <row r="52" spans="2:9" ht="24" x14ac:dyDescent="0.2">
      <c r="B52" s="6" t="s">
        <v>28</v>
      </c>
      <c r="C52" s="6"/>
      <c r="D52" s="6" t="s">
        <v>3</v>
      </c>
      <c r="E52" s="26"/>
      <c r="F52" s="6" t="s">
        <v>29</v>
      </c>
      <c r="G52" s="6"/>
      <c r="H52" s="6" t="s">
        <v>3</v>
      </c>
    </row>
    <row r="53" spans="2:9" x14ac:dyDescent="0.2">
      <c r="B53" s="8" t="s">
        <v>5</v>
      </c>
      <c r="C53" s="9"/>
      <c r="D53" s="12" t="s">
        <v>8</v>
      </c>
      <c r="E53" s="11"/>
      <c r="F53" s="8" t="s">
        <v>5</v>
      </c>
      <c r="G53" s="82">
        <v>15413.695100000001</v>
      </c>
      <c r="H53" s="12">
        <v>1.2668341852358628E-4</v>
      </c>
    </row>
    <row r="54" spans="2:9" x14ac:dyDescent="0.2">
      <c r="B54" s="8" t="s">
        <v>6</v>
      </c>
      <c r="C54" s="9"/>
      <c r="D54" s="12" t="s">
        <v>8</v>
      </c>
      <c r="E54" s="11"/>
      <c r="F54" s="8" t="s">
        <v>6</v>
      </c>
      <c r="G54" s="9"/>
      <c r="H54" s="12" t="s">
        <v>8</v>
      </c>
    </row>
    <row r="55" spans="2:9" x14ac:dyDescent="0.2">
      <c r="B55" s="8" t="s">
        <v>7</v>
      </c>
      <c r="C55" s="14"/>
      <c r="D55" s="12" t="s">
        <v>8</v>
      </c>
      <c r="E55" s="11"/>
      <c r="F55" s="8" t="s">
        <v>7</v>
      </c>
      <c r="G55" s="14"/>
      <c r="H55" s="12" t="s">
        <v>8</v>
      </c>
    </row>
    <row r="56" spans="2:9" x14ac:dyDescent="0.2">
      <c r="B56" s="8" t="s">
        <v>9</v>
      </c>
      <c r="C56" s="9"/>
      <c r="D56" s="12" t="s">
        <v>8</v>
      </c>
      <c r="E56" s="11"/>
      <c r="F56" s="8" t="s">
        <v>9</v>
      </c>
      <c r="G56" s="9"/>
      <c r="H56" s="12" t="s">
        <v>8</v>
      </c>
    </row>
    <row r="57" spans="2:9" x14ac:dyDescent="0.2">
      <c r="B57" s="8" t="s">
        <v>10</v>
      </c>
      <c r="C57" s="9"/>
      <c r="D57" s="12" t="s">
        <v>8</v>
      </c>
      <c r="E57" s="11"/>
      <c r="F57" s="8" t="s">
        <v>10</v>
      </c>
      <c r="G57" s="9"/>
      <c r="H57" s="12" t="s">
        <v>8</v>
      </c>
    </row>
    <row r="58" spans="2:9" x14ac:dyDescent="0.2">
      <c r="B58" s="8" t="s">
        <v>11</v>
      </c>
      <c r="C58" s="9"/>
      <c r="D58" s="12" t="s">
        <v>8</v>
      </c>
      <c r="E58" s="11"/>
      <c r="F58" s="8" t="s">
        <v>11</v>
      </c>
      <c r="G58" s="9"/>
      <c r="H58" s="12" t="s">
        <v>8</v>
      </c>
    </row>
    <row r="59" spans="2:9" x14ac:dyDescent="0.2">
      <c r="B59" s="8" t="s">
        <v>12</v>
      </c>
      <c r="C59" s="9"/>
      <c r="D59" s="12" t="s">
        <v>8</v>
      </c>
      <c r="E59" s="11"/>
      <c r="F59" s="8" t="s">
        <v>12</v>
      </c>
      <c r="G59" s="9"/>
      <c r="H59" s="12" t="s">
        <v>8</v>
      </c>
    </row>
    <row r="60" spans="2:9" x14ac:dyDescent="0.2">
      <c r="B60" s="8" t="s">
        <v>13</v>
      </c>
      <c r="C60" s="15"/>
      <c r="D60" s="12" t="s">
        <v>8</v>
      </c>
      <c r="E60" s="11"/>
      <c r="F60" s="8" t="s">
        <v>13</v>
      </c>
      <c r="G60" s="32">
        <v>-182026.8033</v>
      </c>
      <c r="H60" s="12">
        <v>-1.4960577301781721E-3</v>
      </c>
    </row>
    <row r="61" spans="2:9" x14ac:dyDescent="0.2">
      <c r="B61" s="8" t="s">
        <v>14</v>
      </c>
      <c r="C61" s="15">
        <v>102075034</v>
      </c>
      <c r="D61" s="12">
        <v>6.433751497900703E-3</v>
      </c>
      <c r="E61" s="11"/>
      <c r="F61" s="8" t="s">
        <v>14</v>
      </c>
      <c r="G61" s="15"/>
      <c r="H61" s="12" t="s">
        <v>8</v>
      </c>
    </row>
    <row r="62" spans="2:9" x14ac:dyDescent="0.2">
      <c r="B62" s="8" t="s">
        <v>15</v>
      </c>
      <c r="C62" s="9"/>
      <c r="D62" s="12" t="s">
        <v>8</v>
      </c>
      <c r="E62" s="11"/>
      <c r="F62" s="8" t="s">
        <v>15</v>
      </c>
      <c r="G62" s="9"/>
      <c r="H62" s="12" t="s">
        <v>8</v>
      </c>
    </row>
    <row r="63" spans="2:9" x14ac:dyDescent="0.2">
      <c r="B63" s="8" t="s">
        <v>16</v>
      </c>
      <c r="C63" s="15"/>
      <c r="D63" s="12" t="s">
        <v>8</v>
      </c>
      <c r="E63" s="11"/>
      <c r="F63" s="8" t="s">
        <v>16</v>
      </c>
      <c r="G63" s="32"/>
      <c r="H63" s="12" t="s">
        <v>8</v>
      </c>
    </row>
    <row r="64" spans="2:9" x14ac:dyDescent="0.2">
      <c r="B64" s="8" t="s">
        <v>17</v>
      </c>
      <c r="C64" s="15">
        <v>-130402</v>
      </c>
      <c r="D64" s="12">
        <v>-8.2191896485603671E-6</v>
      </c>
      <c r="E64" s="11"/>
      <c r="F64" s="8" t="s">
        <v>17</v>
      </c>
      <c r="G64" s="32">
        <v>-43.35</v>
      </c>
      <c r="H64" s="12">
        <v>-3.5628875213688798E-7</v>
      </c>
    </row>
    <row r="65" spans="2:8" s="23" customFormat="1" x14ac:dyDescent="0.2">
      <c r="B65" s="19" t="s">
        <v>18</v>
      </c>
      <c r="C65" s="20">
        <v>101944632</v>
      </c>
      <c r="D65" s="21">
        <v>6.4255323082521429E-3</v>
      </c>
      <c r="E65" s="22"/>
      <c r="F65" s="19" t="s">
        <v>18</v>
      </c>
      <c r="G65" s="56">
        <v>-166656.45819999999</v>
      </c>
      <c r="H65" s="21">
        <v>-1.3697306004067228E-3</v>
      </c>
    </row>
    <row r="66" spans="2:8" ht="13.5" customHeight="1" x14ac:dyDescent="0.2">
      <c r="C66" s="25"/>
      <c r="G66" s="31"/>
    </row>
    <row r="67" spans="2:8" ht="24" x14ac:dyDescent="0.2">
      <c r="B67" s="6" t="s">
        <v>30</v>
      </c>
      <c r="C67" s="6"/>
      <c r="D67" s="6" t="s">
        <v>3</v>
      </c>
      <c r="E67" s="26"/>
      <c r="F67" s="6" t="s">
        <v>31</v>
      </c>
      <c r="G67" s="6"/>
      <c r="H67" s="6" t="s">
        <v>3</v>
      </c>
    </row>
    <row r="68" spans="2:8" x14ac:dyDescent="0.2">
      <c r="B68" s="8" t="s">
        <v>5</v>
      </c>
      <c r="C68" s="9"/>
      <c r="D68" s="12" t="s">
        <v>8</v>
      </c>
      <c r="E68" s="11"/>
      <c r="F68" s="8" t="s">
        <v>5</v>
      </c>
      <c r="G68" s="9"/>
      <c r="H68" s="12" t="s">
        <v>8</v>
      </c>
    </row>
    <row r="69" spans="2:8" x14ac:dyDescent="0.2">
      <c r="B69" s="8" t="s">
        <v>6</v>
      </c>
      <c r="C69" s="9"/>
      <c r="D69" s="12" t="s">
        <v>8</v>
      </c>
      <c r="E69" s="11"/>
      <c r="F69" s="8" t="s">
        <v>6</v>
      </c>
      <c r="G69" s="9"/>
      <c r="H69" s="12" t="s">
        <v>8</v>
      </c>
    </row>
    <row r="70" spans="2:8" x14ac:dyDescent="0.2">
      <c r="B70" s="8" t="s">
        <v>7</v>
      </c>
      <c r="C70" s="14"/>
      <c r="D70" s="12" t="s">
        <v>8</v>
      </c>
      <c r="E70" s="11"/>
      <c r="F70" s="8" t="s">
        <v>7</v>
      </c>
      <c r="G70" s="14">
        <v>451508</v>
      </c>
      <c r="H70" s="12">
        <v>7.6160971531178873E-5</v>
      </c>
    </row>
    <row r="71" spans="2:8" x14ac:dyDescent="0.2">
      <c r="B71" s="8" t="s">
        <v>9</v>
      </c>
      <c r="C71" s="9"/>
      <c r="D71" s="12" t="s">
        <v>8</v>
      </c>
      <c r="E71" s="11"/>
      <c r="F71" s="8" t="s">
        <v>9</v>
      </c>
      <c r="G71" s="9"/>
      <c r="H71" s="12" t="s">
        <v>8</v>
      </c>
    </row>
    <row r="72" spans="2:8" x14ac:dyDescent="0.2">
      <c r="B72" s="8" t="s">
        <v>10</v>
      </c>
      <c r="C72" s="9">
        <v>39762</v>
      </c>
      <c r="D72" s="12">
        <v>3.837786666623753E-6</v>
      </c>
      <c r="E72" s="11"/>
      <c r="F72" s="8" t="s">
        <v>10</v>
      </c>
      <c r="G72" s="9">
        <v>38031</v>
      </c>
      <c r="H72" s="12">
        <v>6.4151197947816287E-6</v>
      </c>
    </row>
    <row r="73" spans="2:8" x14ac:dyDescent="0.2">
      <c r="B73" s="8" t="s">
        <v>11</v>
      </c>
      <c r="C73" s="9"/>
      <c r="D73" s="12" t="s">
        <v>8</v>
      </c>
      <c r="E73" s="11"/>
      <c r="F73" s="8" t="s">
        <v>32</v>
      </c>
      <c r="G73" s="9"/>
      <c r="H73" s="12" t="s">
        <v>8</v>
      </c>
    </row>
    <row r="74" spans="2:8" x14ac:dyDescent="0.2">
      <c r="B74" s="8" t="s">
        <v>12</v>
      </c>
      <c r="C74" s="9"/>
      <c r="D74" s="12" t="s">
        <v>8</v>
      </c>
      <c r="E74" s="11"/>
      <c r="F74" s="8" t="s">
        <v>12</v>
      </c>
      <c r="G74" s="9"/>
      <c r="H74" s="12" t="s">
        <v>8</v>
      </c>
    </row>
    <row r="75" spans="2:8" x14ac:dyDescent="0.2">
      <c r="B75" s="8" t="s">
        <v>13</v>
      </c>
      <c r="C75" s="15"/>
      <c r="D75" s="12" t="s">
        <v>8</v>
      </c>
      <c r="E75" s="11"/>
      <c r="F75" s="8" t="s">
        <v>13</v>
      </c>
      <c r="G75" s="15"/>
      <c r="H75" s="12" t="s">
        <v>8</v>
      </c>
    </row>
    <row r="76" spans="2:8" x14ac:dyDescent="0.2">
      <c r="B76" s="8" t="s">
        <v>14</v>
      </c>
      <c r="C76" s="15">
        <v>101997019</v>
      </c>
      <c r="D76" s="12">
        <v>9.8446456303397621E-3</v>
      </c>
      <c r="E76" s="11"/>
      <c r="F76" s="8" t="s">
        <v>14</v>
      </c>
      <c r="G76" s="15">
        <v>-2133998</v>
      </c>
      <c r="H76" s="12">
        <v>-3.5996562835119786E-4</v>
      </c>
    </row>
    <row r="77" spans="2:8" x14ac:dyDescent="0.2">
      <c r="B77" s="8" t="s">
        <v>15</v>
      </c>
      <c r="C77" s="9">
        <v>55794298</v>
      </c>
      <c r="D77" s="12">
        <v>5.3852073069270241E-3</v>
      </c>
      <c r="E77" s="11"/>
      <c r="F77" s="8" t="s">
        <v>15</v>
      </c>
      <c r="G77" s="9">
        <v>31777170</v>
      </c>
      <c r="H77" s="12">
        <v>5.3602154108264551E-3</v>
      </c>
    </row>
    <row r="78" spans="2:8" x14ac:dyDescent="0.2">
      <c r="B78" s="8" t="s">
        <v>16</v>
      </c>
      <c r="C78" s="15"/>
      <c r="D78" s="12" t="s">
        <v>8</v>
      </c>
      <c r="E78" s="11"/>
      <c r="F78" s="8" t="s">
        <v>16</v>
      </c>
      <c r="G78" s="15">
        <v>144000</v>
      </c>
      <c r="H78" s="12">
        <v>2.4290112025677854E-5</v>
      </c>
    </row>
    <row r="79" spans="2:8" x14ac:dyDescent="0.2">
      <c r="B79" s="8" t="s">
        <v>17</v>
      </c>
      <c r="C79" s="15">
        <v>-12397</v>
      </c>
      <c r="D79" s="12">
        <v>-1.196545478248948E-6</v>
      </c>
      <c r="E79" s="11"/>
      <c r="F79" s="8" t="s">
        <v>17</v>
      </c>
      <c r="G79" s="15">
        <v>-2397</v>
      </c>
      <c r="H79" s="12">
        <v>-4.0432915642742927E-7</v>
      </c>
    </row>
    <row r="80" spans="2:8" s="23" customFormat="1" x14ac:dyDescent="0.2">
      <c r="B80" s="19" t="s">
        <v>18</v>
      </c>
      <c r="C80" s="20">
        <v>157818682</v>
      </c>
      <c r="D80" s="21">
        <v>1.5232494178455161E-2</v>
      </c>
      <c r="E80" s="22"/>
      <c r="F80" s="19" t="s">
        <v>18</v>
      </c>
      <c r="G80" s="20">
        <v>30274314</v>
      </c>
      <c r="H80" s="21">
        <v>5.1067116566704679E-3</v>
      </c>
    </row>
    <row r="81" spans="2:7" ht="4.5" customHeight="1" x14ac:dyDescent="0.2">
      <c r="C81" s="25"/>
      <c r="G81" s="31"/>
    </row>
    <row r="82" spans="2:7" ht="25.5" hidden="1" customHeight="1" x14ac:dyDescent="0.2">
      <c r="B82" s="6" t="s">
        <v>33</v>
      </c>
      <c r="C82" s="6"/>
      <c r="D82" s="6" t="s">
        <v>3</v>
      </c>
      <c r="G82" s="31"/>
    </row>
    <row r="83" spans="2:7" ht="12.75" hidden="1" customHeight="1" x14ac:dyDescent="0.2">
      <c r="B83" s="33" t="s">
        <v>34</v>
      </c>
      <c r="C83" s="34"/>
      <c r="D83" s="12" t="e">
        <v>#REF!</v>
      </c>
      <c r="G83" s="31"/>
    </row>
    <row r="84" spans="2:7" ht="12.75" hidden="1" customHeight="1" x14ac:dyDescent="0.2">
      <c r="B84" s="35" t="s">
        <v>35</v>
      </c>
      <c r="C84" s="34"/>
      <c r="D84" s="12" t="e">
        <v>#REF!</v>
      </c>
      <c r="G84" s="31"/>
    </row>
    <row r="85" spans="2:7" ht="12.75" hidden="1" customHeight="1" x14ac:dyDescent="0.2">
      <c r="B85" s="35" t="s">
        <v>36</v>
      </c>
      <c r="C85" s="36"/>
      <c r="D85" s="12" t="e">
        <v>#REF!</v>
      </c>
      <c r="G85" s="31"/>
    </row>
    <row r="86" spans="2:7" ht="12.75" hidden="1" customHeight="1" x14ac:dyDescent="0.2">
      <c r="B86" s="35" t="s">
        <v>37</v>
      </c>
      <c r="C86" s="34"/>
      <c r="D86" s="12" t="e">
        <v>#REF!</v>
      </c>
      <c r="G86" s="31"/>
    </row>
    <row r="87" spans="2:7" ht="12.75" hidden="1" customHeight="1" x14ac:dyDescent="0.2">
      <c r="B87" s="35" t="s">
        <v>7</v>
      </c>
      <c r="C87" s="34"/>
      <c r="D87" s="12" t="e">
        <v>#REF!</v>
      </c>
      <c r="G87" s="31"/>
    </row>
    <row r="88" spans="2:7" ht="12.75" hidden="1" customHeight="1" x14ac:dyDescent="0.2">
      <c r="B88" s="35"/>
      <c r="C88" s="37"/>
      <c r="D88" s="12"/>
      <c r="G88" s="31"/>
    </row>
    <row r="89" spans="2:7" ht="12.75" hidden="1" customHeight="1" x14ac:dyDescent="0.2">
      <c r="B89" s="35"/>
      <c r="C89" s="37"/>
      <c r="D89" s="12"/>
      <c r="G89" s="31"/>
    </row>
    <row r="90" spans="2:7" s="23" customFormat="1" ht="12.75" hidden="1" customHeight="1" x14ac:dyDescent="0.2">
      <c r="B90" s="19" t="s">
        <v>18</v>
      </c>
      <c r="C90" s="38"/>
      <c r="D90" s="21" t="e">
        <v>#REF!</v>
      </c>
      <c r="E90" s="39"/>
      <c r="G90" s="40"/>
    </row>
    <row r="91" spans="2:7" ht="4.5" hidden="1" customHeight="1" x14ac:dyDescent="0.2">
      <c r="C91" s="25"/>
      <c r="G91" s="31"/>
    </row>
    <row r="92" spans="2:7" ht="4.5" hidden="1" customHeight="1" x14ac:dyDescent="0.2">
      <c r="C92" s="25"/>
      <c r="G92" s="31"/>
    </row>
    <row r="93" spans="2:7" ht="4.5" hidden="1" customHeight="1" x14ac:dyDescent="0.2">
      <c r="C93" s="25"/>
      <c r="G93" s="31"/>
    </row>
    <row r="94" spans="2:7" ht="4.5" customHeight="1" x14ac:dyDescent="0.2">
      <c r="C94" s="25"/>
      <c r="G94" s="31"/>
    </row>
    <row r="95" spans="2:7" ht="25.5" hidden="1" customHeight="1" x14ac:dyDescent="0.2">
      <c r="B95" s="6" t="s">
        <v>29</v>
      </c>
      <c r="C95" s="6"/>
      <c r="D95" s="6" t="s">
        <v>3</v>
      </c>
      <c r="E95" s="24"/>
      <c r="F95" s="2"/>
    </row>
    <row r="96" spans="2:7" ht="12.75" hidden="1" customHeight="1" x14ac:dyDescent="0.2">
      <c r="B96" s="33"/>
      <c r="C96" s="41"/>
      <c r="D96" s="12" t="s">
        <v>8</v>
      </c>
      <c r="E96" s="18"/>
      <c r="F96" s="2"/>
    </row>
    <row r="97" spans="2:8" ht="12.75" hidden="1" customHeight="1" x14ac:dyDescent="0.2">
      <c r="B97" s="35" t="s">
        <v>38</v>
      </c>
      <c r="C97" s="83"/>
      <c r="D97" s="12" t="s">
        <v>8</v>
      </c>
      <c r="E97" s="18"/>
      <c r="F97" s="2"/>
    </row>
    <row r="98" spans="2:8" ht="12.75" hidden="1" customHeight="1" x14ac:dyDescent="0.2">
      <c r="B98" s="35" t="s">
        <v>39</v>
      </c>
      <c r="C98" s="83"/>
      <c r="D98" s="12" t="s">
        <v>8</v>
      </c>
      <c r="E98" s="18"/>
      <c r="F98" s="2"/>
    </row>
    <row r="99" spans="2:8" ht="12.75" hidden="1" customHeight="1" x14ac:dyDescent="0.2">
      <c r="B99" s="35" t="s">
        <v>40</v>
      </c>
      <c r="C99" s="83"/>
      <c r="D99" s="12" t="s">
        <v>8</v>
      </c>
      <c r="E99" s="18"/>
      <c r="F99" s="2"/>
    </row>
    <row r="100" spans="2:8" ht="12.75" hidden="1" customHeight="1" x14ac:dyDescent="0.2">
      <c r="B100" s="35" t="s">
        <v>41</v>
      </c>
      <c r="C100" s="83"/>
      <c r="D100" s="12" t="s">
        <v>8</v>
      </c>
      <c r="E100" s="18"/>
      <c r="F100" s="2"/>
    </row>
    <row r="101" spans="2:8" ht="12.75" hidden="1" customHeight="1" x14ac:dyDescent="0.2">
      <c r="B101" s="35" t="s">
        <v>42</v>
      </c>
      <c r="C101" s="37"/>
      <c r="D101" s="12" t="s">
        <v>8</v>
      </c>
      <c r="E101" s="18"/>
      <c r="F101" s="2"/>
    </row>
    <row r="102" spans="2:8" ht="12.75" hidden="1" customHeight="1" x14ac:dyDescent="0.2">
      <c r="B102" s="35"/>
      <c r="C102" s="41"/>
      <c r="D102" s="12" t="s">
        <v>8</v>
      </c>
      <c r="E102" s="18"/>
      <c r="F102" s="2"/>
    </row>
    <row r="103" spans="2:8" s="23" customFormat="1" ht="12.75" hidden="1" customHeight="1" x14ac:dyDescent="0.2">
      <c r="B103" s="19" t="s">
        <v>18</v>
      </c>
      <c r="C103" s="38">
        <v>0</v>
      </c>
      <c r="D103" s="21">
        <v>0</v>
      </c>
      <c r="E103" s="22"/>
    </row>
    <row r="104" spans="2:8" x14ac:dyDescent="0.2">
      <c r="B104" s="2"/>
      <c r="C104" s="42"/>
      <c r="D104" s="18"/>
      <c r="E104" s="43"/>
      <c r="F104" s="2"/>
      <c r="H104" s="18"/>
    </row>
    <row r="105" spans="2:8" s="5" customFormat="1" ht="41.25" customHeight="1" x14ac:dyDescent="0.2">
      <c r="B105" s="6" t="s">
        <v>43</v>
      </c>
      <c r="C105" s="6" t="s">
        <v>44</v>
      </c>
      <c r="D105" s="6" t="s">
        <v>45</v>
      </c>
      <c r="F105" s="6" t="s">
        <v>46</v>
      </c>
    </row>
    <row r="106" spans="2:8" x14ac:dyDescent="0.2">
      <c r="B106" s="33" t="s">
        <v>20</v>
      </c>
      <c r="C106" s="44">
        <v>22865172587.999996</v>
      </c>
      <c r="D106" s="45"/>
      <c r="E106" s="1"/>
      <c r="F106" s="44"/>
      <c r="H106" s="18"/>
    </row>
    <row r="107" spans="2:8" x14ac:dyDescent="0.2">
      <c r="B107" s="35" t="s">
        <v>28</v>
      </c>
      <c r="C107" s="44">
        <v>15865554340</v>
      </c>
      <c r="D107" s="45"/>
      <c r="E107" s="46"/>
      <c r="F107" s="44"/>
      <c r="G107" s="5"/>
      <c r="H107" s="5"/>
    </row>
    <row r="108" spans="2:8" x14ac:dyDescent="0.2">
      <c r="B108" s="35" t="s">
        <v>30</v>
      </c>
      <c r="C108" s="44">
        <v>10360659269</v>
      </c>
      <c r="D108" s="45"/>
      <c r="E108" s="46"/>
      <c r="F108" s="44"/>
      <c r="H108" s="18"/>
    </row>
    <row r="109" spans="2:8" x14ac:dyDescent="0.2">
      <c r="B109" s="35" t="s">
        <v>26</v>
      </c>
      <c r="C109" s="44">
        <v>4732393736</v>
      </c>
      <c r="D109" s="45"/>
      <c r="E109" s="46"/>
      <c r="F109" s="44"/>
      <c r="G109" s="5"/>
      <c r="H109" s="5"/>
    </row>
    <row r="110" spans="2:8" x14ac:dyDescent="0.2">
      <c r="B110" s="35" t="s">
        <v>31</v>
      </c>
      <c r="C110" s="44">
        <v>5928338241</v>
      </c>
      <c r="D110" s="45"/>
      <c r="E110" s="46"/>
      <c r="F110" s="44"/>
      <c r="H110" s="18"/>
    </row>
    <row r="111" spans="2:8" x14ac:dyDescent="0.2">
      <c r="B111" s="35" t="s">
        <v>1</v>
      </c>
      <c r="C111" s="44">
        <v>55894128209.999901</v>
      </c>
      <c r="D111" s="47">
        <v>1167977220</v>
      </c>
      <c r="F111" s="44">
        <v>57062105429.999901</v>
      </c>
      <c r="G111" s="5"/>
      <c r="H111" s="5"/>
    </row>
    <row r="112" spans="2:8" x14ac:dyDescent="0.2">
      <c r="B112" s="35" t="s">
        <v>19</v>
      </c>
      <c r="C112" s="48">
        <v>39497316.112100005</v>
      </c>
      <c r="D112" s="49">
        <v>897.68000000000006</v>
      </c>
      <c r="F112" s="44">
        <v>39498213.792100005</v>
      </c>
      <c r="H112" s="18"/>
    </row>
    <row r="113" spans="1:13" x14ac:dyDescent="0.2">
      <c r="B113" s="35" t="s">
        <v>4</v>
      </c>
      <c r="C113" s="44">
        <v>9460854734.9999008</v>
      </c>
      <c r="D113" s="45"/>
      <c r="F113" s="44"/>
      <c r="G113" s="5"/>
      <c r="H113" s="5"/>
    </row>
    <row r="114" spans="1:13" x14ac:dyDescent="0.2">
      <c r="B114" s="35" t="s">
        <v>25</v>
      </c>
      <c r="C114" s="44">
        <v>86259742220.999908</v>
      </c>
      <c r="D114" s="45"/>
      <c r="F114" s="44"/>
      <c r="H114" s="18"/>
    </row>
    <row r="115" spans="1:13" x14ac:dyDescent="0.2">
      <c r="B115" s="35" t="s">
        <v>29</v>
      </c>
      <c r="C115" s="48">
        <v>121670975.40970001</v>
      </c>
      <c r="D115" s="45"/>
      <c r="E115" s="46"/>
      <c r="F115" s="44"/>
      <c r="G115" s="5"/>
      <c r="H115" s="5"/>
    </row>
    <row r="116" spans="1:13" x14ac:dyDescent="0.2">
      <c r="E116" s="1"/>
    </row>
    <row r="117" spans="1:13" x14ac:dyDescent="0.2">
      <c r="C117" s="50"/>
    </row>
    <row r="119" spans="1:13" s="2" customFormat="1" x14ac:dyDescent="0.2">
      <c r="A119" s="1"/>
      <c r="B119" s="1"/>
      <c r="C119" s="1"/>
      <c r="D119" s="51"/>
      <c r="F119" s="1"/>
      <c r="G119" s="1"/>
      <c r="H119" s="1"/>
      <c r="I119" s="1"/>
      <c r="J119" s="1"/>
      <c r="K119" s="1"/>
      <c r="L119" s="1"/>
      <c r="M119" s="1"/>
    </row>
    <row r="120" spans="1:13" s="2" customFormat="1" x14ac:dyDescent="0.2">
      <c r="A120" s="1"/>
      <c r="B120" s="1"/>
      <c r="C120" s="1"/>
      <c r="D120" s="51"/>
      <c r="F120" s="1"/>
      <c r="G120" s="1"/>
      <c r="H120" s="1"/>
      <c r="I120" s="1"/>
      <c r="J120" s="1"/>
      <c r="K120" s="1"/>
      <c r="L120" s="1"/>
      <c r="M120" s="1"/>
    </row>
    <row r="121" spans="1:13" s="2" customFormat="1" x14ac:dyDescent="0.2">
      <c r="A121" s="1"/>
      <c r="B121" s="1"/>
      <c r="C121" s="1"/>
      <c r="D121" s="51"/>
      <c r="F121" s="1"/>
      <c r="G121" s="1"/>
      <c r="H121" s="1"/>
      <c r="I121" s="1"/>
      <c r="J121" s="1"/>
      <c r="K121" s="1"/>
      <c r="L121" s="1"/>
      <c r="M121" s="1"/>
    </row>
  </sheetData>
  <mergeCells count="2">
    <mergeCell ref="B2:H2"/>
    <mergeCell ref="B4:H4"/>
  </mergeCells>
  <conditionalFormatting sqref="C14:C18">
    <cfRule type="cellIs" dxfId="229" priority="46" stopIfTrue="1" operator="lessThan">
      <formula>0</formula>
    </cfRule>
  </conditionalFormatting>
  <conditionalFormatting sqref="C89">
    <cfRule type="cellIs" dxfId="228" priority="43" stopIfTrue="1" operator="lessThan">
      <formula>0</formula>
    </cfRule>
  </conditionalFormatting>
  <conditionalFormatting sqref="C85">
    <cfRule type="cellIs" dxfId="227" priority="45" stopIfTrue="1" operator="lessThan">
      <formula>0</formula>
    </cfRule>
  </conditionalFormatting>
  <conditionalFormatting sqref="C7:C9">
    <cfRule type="cellIs" dxfId="226" priority="42" stopIfTrue="1" operator="lessThan">
      <formula>0</formula>
    </cfRule>
  </conditionalFormatting>
  <conditionalFormatting sqref="C10:C13">
    <cfRule type="cellIs" dxfId="225" priority="40" stopIfTrue="1" operator="lessThan">
      <formula>0</formula>
    </cfRule>
  </conditionalFormatting>
  <conditionalFormatting sqref="C88">
    <cfRule type="cellIs" dxfId="224" priority="44" stopIfTrue="1" operator="lessThan">
      <formula>0</formula>
    </cfRule>
  </conditionalFormatting>
  <conditionalFormatting sqref="C101">
    <cfRule type="cellIs" dxfId="223" priority="39" stopIfTrue="1" operator="lessThan">
      <formula>0</formula>
    </cfRule>
  </conditionalFormatting>
  <conditionalFormatting sqref="C7">
    <cfRule type="cellIs" dxfId="222" priority="41" stopIfTrue="1" operator="lessThan">
      <formula>0</formula>
    </cfRule>
  </conditionalFormatting>
  <conditionalFormatting sqref="C29:C33">
    <cfRule type="cellIs" dxfId="221" priority="34" stopIfTrue="1" operator="lessThan">
      <formula>0</formula>
    </cfRule>
  </conditionalFormatting>
  <conditionalFormatting sqref="G7:G9">
    <cfRule type="cellIs" dxfId="220" priority="37" stopIfTrue="1" operator="lessThan">
      <formula>0</formula>
    </cfRule>
  </conditionalFormatting>
  <conditionalFormatting sqref="C22">
    <cfRule type="cellIs" dxfId="219" priority="32" stopIfTrue="1" operator="lessThan">
      <formula>0</formula>
    </cfRule>
  </conditionalFormatting>
  <conditionalFormatting sqref="C25:C28">
    <cfRule type="cellIs" dxfId="218" priority="31" stopIfTrue="1" operator="lessThan">
      <formula>0</formula>
    </cfRule>
  </conditionalFormatting>
  <conditionalFormatting sqref="G14:G18">
    <cfRule type="cellIs" dxfId="217" priority="38" stopIfTrue="1" operator="lessThan">
      <formula>0</formula>
    </cfRule>
  </conditionalFormatting>
  <conditionalFormatting sqref="G7">
    <cfRule type="cellIs" dxfId="216" priority="36" stopIfTrue="1" operator="lessThan">
      <formula>0</formula>
    </cfRule>
  </conditionalFormatting>
  <conditionalFormatting sqref="G10:G13">
    <cfRule type="cellIs" dxfId="215" priority="35" stopIfTrue="1" operator="lessThan">
      <formula>0</formula>
    </cfRule>
  </conditionalFormatting>
  <conditionalFormatting sqref="C22:C24">
    <cfRule type="cellIs" dxfId="214" priority="33" stopIfTrue="1" operator="lessThan">
      <formula>0</formula>
    </cfRule>
  </conditionalFormatting>
  <conditionalFormatting sqref="G22">
    <cfRule type="cellIs" dxfId="213" priority="28" stopIfTrue="1" operator="lessThan">
      <formula>0</formula>
    </cfRule>
  </conditionalFormatting>
  <conditionalFormatting sqref="G29:G33">
    <cfRule type="cellIs" dxfId="212" priority="30" stopIfTrue="1" operator="lessThan">
      <formula>0</formula>
    </cfRule>
  </conditionalFormatting>
  <conditionalFormatting sqref="G22:G24">
    <cfRule type="cellIs" dxfId="211" priority="29" stopIfTrue="1" operator="lessThan">
      <formula>0</formula>
    </cfRule>
  </conditionalFormatting>
  <conditionalFormatting sqref="G25:G28">
    <cfRule type="cellIs" dxfId="210" priority="27" stopIfTrue="1" operator="lessThan">
      <formula>0</formula>
    </cfRule>
  </conditionalFormatting>
  <conditionalFormatting sqref="C40:C43">
    <cfRule type="cellIs" dxfId="209" priority="23" stopIfTrue="1" operator="lessThan">
      <formula>0</formula>
    </cfRule>
  </conditionalFormatting>
  <conditionalFormatting sqref="G44:G48">
    <cfRule type="cellIs" dxfId="208" priority="22" stopIfTrue="1" operator="lessThan">
      <formula>0</formula>
    </cfRule>
  </conditionalFormatting>
  <conditionalFormatting sqref="G37">
    <cfRule type="cellIs" dxfId="207" priority="20" stopIfTrue="1" operator="lessThan">
      <formula>0</formula>
    </cfRule>
  </conditionalFormatting>
  <conditionalFormatting sqref="C44:C48">
    <cfRule type="cellIs" dxfId="206" priority="26" stopIfTrue="1" operator="lessThan">
      <formula>0</formula>
    </cfRule>
  </conditionalFormatting>
  <conditionalFormatting sqref="C37:C39">
    <cfRule type="cellIs" dxfId="205" priority="25" stopIfTrue="1" operator="lessThan">
      <formula>0</formula>
    </cfRule>
  </conditionalFormatting>
  <conditionalFormatting sqref="C37">
    <cfRule type="cellIs" dxfId="204" priority="24" stopIfTrue="1" operator="lessThan">
      <formula>0</formula>
    </cfRule>
  </conditionalFormatting>
  <conditionalFormatting sqref="C56:C59">
    <cfRule type="cellIs" dxfId="203" priority="15" stopIfTrue="1" operator="lessThan">
      <formula>0</formula>
    </cfRule>
  </conditionalFormatting>
  <conditionalFormatting sqref="G60:G63">
    <cfRule type="cellIs" dxfId="202" priority="14" stopIfTrue="1" operator="lessThan">
      <formula>0</formula>
    </cfRule>
  </conditionalFormatting>
  <conditionalFormatting sqref="G37:G39">
    <cfRule type="cellIs" dxfId="201" priority="21" stopIfTrue="1" operator="lessThan">
      <formula>0</formula>
    </cfRule>
  </conditionalFormatting>
  <conditionalFormatting sqref="G53">
    <cfRule type="cellIs" dxfId="200" priority="12" stopIfTrue="1" operator="lessThan">
      <formula>0</formula>
    </cfRule>
  </conditionalFormatting>
  <conditionalFormatting sqref="G40:G43">
    <cfRule type="cellIs" dxfId="199" priority="19" stopIfTrue="1" operator="lessThan">
      <formula>0</formula>
    </cfRule>
  </conditionalFormatting>
  <conditionalFormatting sqref="C60:C64">
    <cfRule type="cellIs" dxfId="198" priority="18" stopIfTrue="1" operator="lessThan">
      <formula>0</formula>
    </cfRule>
  </conditionalFormatting>
  <conditionalFormatting sqref="C53:C55">
    <cfRule type="cellIs" dxfId="197" priority="17" stopIfTrue="1" operator="lessThan">
      <formula>0</formula>
    </cfRule>
  </conditionalFormatting>
  <conditionalFormatting sqref="C53">
    <cfRule type="cellIs" dxfId="196" priority="16" stopIfTrue="1" operator="lessThan">
      <formula>0</formula>
    </cfRule>
  </conditionalFormatting>
  <conditionalFormatting sqref="G53:G55">
    <cfRule type="cellIs" dxfId="195" priority="13" stopIfTrue="1" operator="lessThan">
      <formula>0</formula>
    </cfRule>
  </conditionalFormatting>
  <conditionalFormatting sqref="G56:G59">
    <cfRule type="cellIs" dxfId="194" priority="11" stopIfTrue="1" operator="lessThan">
      <formula>0</formula>
    </cfRule>
  </conditionalFormatting>
  <conditionalFormatting sqref="C75:C78">
    <cfRule type="cellIs" dxfId="193" priority="10" stopIfTrue="1" operator="lessThan">
      <formula>0</formula>
    </cfRule>
  </conditionalFormatting>
  <conditionalFormatting sqref="C68:C70">
    <cfRule type="cellIs" dxfId="192" priority="9" stopIfTrue="1" operator="lessThan">
      <formula>0</formula>
    </cfRule>
  </conditionalFormatting>
  <conditionalFormatting sqref="C68">
    <cfRule type="cellIs" dxfId="191" priority="8" stopIfTrue="1" operator="lessThan">
      <formula>0</formula>
    </cfRule>
  </conditionalFormatting>
  <conditionalFormatting sqref="C71:C74">
    <cfRule type="cellIs" dxfId="190" priority="7" stopIfTrue="1" operator="lessThan">
      <formula>0</formula>
    </cfRule>
  </conditionalFormatting>
  <conditionalFormatting sqref="G75:G79">
    <cfRule type="cellIs" dxfId="189" priority="6" stopIfTrue="1" operator="lessThan">
      <formula>0</formula>
    </cfRule>
  </conditionalFormatting>
  <conditionalFormatting sqref="G68:G70">
    <cfRule type="cellIs" dxfId="188" priority="5" stopIfTrue="1" operator="lessThan">
      <formula>0</formula>
    </cfRule>
  </conditionalFormatting>
  <conditionalFormatting sqref="G68">
    <cfRule type="cellIs" dxfId="187" priority="4" stopIfTrue="1" operator="lessThan">
      <formula>0</formula>
    </cfRule>
  </conditionalFormatting>
  <conditionalFormatting sqref="G71:G74">
    <cfRule type="cellIs" dxfId="186" priority="3" stopIfTrue="1" operator="lessThan">
      <formula>0</formula>
    </cfRule>
  </conditionalFormatting>
  <conditionalFormatting sqref="G64">
    <cfRule type="cellIs" dxfId="185" priority="2" stopIfTrue="1" operator="lessThan">
      <formula>0</formula>
    </cfRule>
  </conditionalFormatting>
  <conditionalFormatting sqref="C79">
    <cfRule type="cellIs" dxfId="184" priority="1" stopIfTrue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zoomScale="90" zoomScaleNormal="90" workbookViewId="0"/>
  </sheetViews>
  <sheetFormatPr baseColWidth="10" defaultRowHeight="12" x14ac:dyDescent="0.2"/>
  <cols>
    <col min="1" max="16384" width="11.42578125" style="84"/>
  </cols>
  <sheetData>
    <row r="1" spans="1:1" x14ac:dyDescent="0.2">
      <c r="A1" s="84" t="s">
        <v>59</v>
      </c>
    </row>
  </sheetData>
  <conditionalFormatting sqref="C14:C18">
    <cfRule type="cellIs" dxfId="183" priority="46" stopIfTrue="1" operator="lessThan">
      <formula>0</formula>
    </cfRule>
  </conditionalFormatting>
  <conditionalFormatting sqref="C89">
    <cfRule type="cellIs" dxfId="182" priority="43" stopIfTrue="1" operator="lessThan">
      <formula>0</formula>
    </cfRule>
  </conditionalFormatting>
  <conditionalFormatting sqref="C85">
    <cfRule type="cellIs" dxfId="181" priority="45" stopIfTrue="1" operator="lessThan">
      <formula>0</formula>
    </cfRule>
  </conditionalFormatting>
  <conditionalFormatting sqref="C7:C9">
    <cfRule type="cellIs" dxfId="180" priority="42" stopIfTrue="1" operator="lessThan">
      <formula>0</formula>
    </cfRule>
  </conditionalFormatting>
  <conditionalFormatting sqref="C10:C13">
    <cfRule type="cellIs" dxfId="179" priority="40" stopIfTrue="1" operator="lessThan">
      <formula>0</formula>
    </cfRule>
  </conditionalFormatting>
  <conditionalFormatting sqref="C88">
    <cfRule type="cellIs" dxfId="178" priority="44" stopIfTrue="1" operator="lessThan">
      <formula>0</formula>
    </cfRule>
  </conditionalFormatting>
  <conditionalFormatting sqref="C101">
    <cfRule type="cellIs" dxfId="177" priority="39" stopIfTrue="1" operator="lessThan">
      <formula>0</formula>
    </cfRule>
  </conditionalFormatting>
  <conditionalFormatting sqref="C7">
    <cfRule type="cellIs" dxfId="176" priority="41" stopIfTrue="1" operator="lessThan">
      <formula>0</formula>
    </cfRule>
  </conditionalFormatting>
  <conditionalFormatting sqref="C29:C33">
    <cfRule type="cellIs" dxfId="175" priority="34" stopIfTrue="1" operator="lessThan">
      <formula>0</formula>
    </cfRule>
  </conditionalFormatting>
  <conditionalFormatting sqref="G7:G9">
    <cfRule type="cellIs" dxfId="174" priority="37" stopIfTrue="1" operator="lessThan">
      <formula>0</formula>
    </cfRule>
  </conditionalFormatting>
  <conditionalFormatting sqref="C22">
    <cfRule type="cellIs" dxfId="173" priority="32" stopIfTrue="1" operator="lessThan">
      <formula>0</formula>
    </cfRule>
  </conditionalFormatting>
  <conditionalFormatting sqref="C25:C28">
    <cfRule type="cellIs" dxfId="172" priority="31" stopIfTrue="1" operator="lessThan">
      <formula>0</formula>
    </cfRule>
  </conditionalFormatting>
  <conditionalFormatting sqref="G14:G18">
    <cfRule type="cellIs" dxfId="171" priority="38" stopIfTrue="1" operator="lessThan">
      <formula>0</formula>
    </cfRule>
  </conditionalFormatting>
  <conditionalFormatting sqref="G7">
    <cfRule type="cellIs" dxfId="170" priority="36" stopIfTrue="1" operator="lessThan">
      <formula>0</formula>
    </cfRule>
  </conditionalFormatting>
  <conditionalFormatting sqref="G10:G13">
    <cfRule type="cellIs" dxfId="169" priority="35" stopIfTrue="1" operator="lessThan">
      <formula>0</formula>
    </cfRule>
  </conditionalFormatting>
  <conditionalFormatting sqref="C22:C24">
    <cfRule type="cellIs" dxfId="168" priority="33" stopIfTrue="1" operator="lessThan">
      <formula>0</formula>
    </cfRule>
  </conditionalFormatting>
  <conditionalFormatting sqref="G22">
    <cfRule type="cellIs" dxfId="167" priority="28" stopIfTrue="1" operator="lessThan">
      <formula>0</formula>
    </cfRule>
  </conditionalFormatting>
  <conditionalFormatting sqref="G29:G33">
    <cfRule type="cellIs" dxfId="166" priority="30" stopIfTrue="1" operator="lessThan">
      <formula>0</formula>
    </cfRule>
  </conditionalFormatting>
  <conditionalFormatting sqref="G22:G24">
    <cfRule type="cellIs" dxfId="165" priority="29" stopIfTrue="1" operator="lessThan">
      <formula>0</formula>
    </cfRule>
  </conditionalFormatting>
  <conditionalFormatting sqref="G25:G28">
    <cfRule type="cellIs" dxfId="164" priority="27" stopIfTrue="1" operator="lessThan">
      <formula>0</formula>
    </cfRule>
  </conditionalFormatting>
  <conditionalFormatting sqref="C40:C43">
    <cfRule type="cellIs" dxfId="163" priority="23" stopIfTrue="1" operator="lessThan">
      <formula>0</formula>
    </cfRule>
  </conditionalFormatting>
  <conditionalFormatting sqref="G44:G48">
    <cfRule type="cellIs" dxfId="162" priority="22" stopIfTrue="1" operator="lessThan">
      <formula>0</formula>
    </cfRule>
  </conditionalFormatting>
  <conditionalFormatting sqref="G37">
    <cfRule type="cellIs" dxfId="161" priority="20" stopIfTrue="1" operator="lessThan">
      <formula>0</formula>
    </cfRule>
  </conditionalFormatting>
  <conditionalFormatting sqref="C44:C48">
    <cfRule type="cellIs" dxfId="160" priority="26" stopIfTrue="1" operator="lessThan">
      <formula>0</formula>
    </cfRule>
  </conditionalFormatting>
  <conditionalFormatting sqref="C37:C39">
    <cfRule type="cellIs" dxfId="159" priority="25" stopIfTrue="1" operator="lessThan">
      <formula>0</formula>
    </cfRule>
  </conditionalFormatting>
  <conditionalFormatting sqref="C37">
    <cfRule type="cellIs" dxfId="158" priority="24" stopIfTrue="1" operator="lessThan">
      <formula>0</formula>
    </cfRule>
  </conditionalFormatting>
  <conditionalFormatting sqref="C56:C59">
    <cfRule type="cellIs" dxfId="157" priority="15" stopIfTrue="1" operator="lessThan">
      <formula>0</formula>
    </cfRule>
  </conditionalFormatting>
  <conditionalFormatting sqref="G60:G63">
    <cfRule type="cellIs" dxfId="156" priority="14" stopIfTrue="1" operator="lessThan">
      <formula>0</formula>
    </cfRule>
  </conditionalFormatting>
  <conditionalFormatting sqref="G37:G39">
    <cfRule type="cellIs" dxfId="155" priority="21" stopIfTrue="1" operator="lessThan">
      <formula>0</formula>
    </cfRule>
  </conditionalFormatting>
  <conditionalFormatting sqref="G53">
    <cfRule type="cellIs" dxfId="154" priority="12" stopIfTrue="1" operator="lessThan">
      <formula>0</formula>
    </cfRule>
  </conditionalFormatting>
  <conditionalFormatting sqref="G40:G43">
    <cfRule type="cellIs" dxfId="153" priority="19" stopIfTrue="1" operator="lessThan">
      <formula>0</formula>
    </cfRule>
  </conditionalFormatting>
  <conditionalFormatting sqref="C60:C64">
    <cfRule type="cellIs" dxfId="152" priority="18" stopIfTrue="1" operator="lessThan">
      <formula>0</formula>
    </cfRule>
  </conditionalFormatting>
  <conditionalFormatting sqref="C53:C55">
    <cfRule type="cellIs" dxfId="151" priority="17" stopIfTrue="1" operator="lessThan">
      <formula>0</formula>
    </cfRule>
  </conditionalFormatting>
  <conditionalFormatting sqref="C53">
    <cfRule type="cellIs" dxfId="150" priority="16" stopIfTrue="1" operator="lessThan">
      <formula>0</formula>
    </cfRule>
  </conditionalFormatting>
  <conditionalFormatting sqref="G53:G55">
    <cfRule type="cellIs" dxfId="149" priority="13" stopIfTrue="1" operator="lessThan">
      <formula>0</formula>
    </cfRule>
  </conditionalFormatting>
  <conditionalFormatting sqref="G56:G59">
    <cfRule type="cellIs" dxfId="148" priority="11" stopIfTrue="1" operator="lessThan">
      <formula>0</formula>
    </cfRule>
  </conditionalFormatting>
  <conditionalFormatting sqref="C75:C78">
    <cfRule type="cellIs" dxfId="147" priority="10" stopIfTrue="1" operator="lessThan">
      <formula>0</formula>
    </cfRule>
  </conditionalFormatting>
  <conditionalFormatting sqref="C68:C70">
    <cfRule type="cellIs" dxfId="146" priority="9" stopIfTrue="1" operator="lessThan">
      <formula>0</formula>
    </cfRule>
  </conditionalFormatting>
  <conditionalFormatting sqref="C68">
    <cfRule type="cellIs" dxfId="145" priority="8" stopIfTrue="1" operator="lessThan">
      <formula>0</formula>
    </cfRule>
  </conditionalFormatting>
  <conditionalFormatting sqref="C71:C74">
    <cfRule type="cellIs" dxfId="144" priority="7" stopIfTrue="1" operator="lessThan">
      <formula>0</formula>
    </cfRule>
  </conditionalFormatting>
  <conditionalFormatting sqref="G75:G79">
    <cfRule type="cellIs" dxfId="143" priority="6" stopIfTrue="1" operator="lessThan">
      <formula>0</formula>
    </cfRule>
  </conditionalFormatting>
  <conditionalFormatting sqref="G68:G70">
    <cfRule type="cellIs" dxfId="142" priority="5" stopIfTrue="1" operator="lessThan">
      <formula>0</formula>
    </cfRule>
  </conditionalFormatting>
  <conditionalFormatting sqref="G68">
    <cfRule type="cellIs" dxfId="141" priority="4" stopIfTrue="1" operator="lessThan">
      <formula>0</formula>
    </cfRule>
  </conditionalFormatting>
  <conditionalFormatting sqref="G71:G74">
    <cfRule type="cellIs" dxfId="140" priority="3" stopIfTrue="1" operator="lessThan">
      <formula>0</formula>
    </cfRule>
  </conditionalFormatting>
  <conditionalFormatting sqref="G64">
    <cfRule type="cellIs" dxfId="139" priority="2" stopIfTrue="1" operator="lessThan">
      <formula>0</formula>
    </cfRule>
  </conditionalFormatting>
  <conditionalFormatting sqref="C79">
    <cfRule type="cellIs" dxfId="138" priority="1" stopIfTrue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zoomScale="90" zoomScaleNormal="90" workbookViewId="0"/>
  </sheetViews>
  <sheetFormatPr baseColWidth="10" defaultRowHeight="12" x14ac:dyDescent="0.2"/>
  <cols>
    <col min="1" max="16384" width="11.42578125" style="84"/>
  </cols>
  <sheetData>
    <row r="1" spans="1:1" x14ac:dyDescent="0.2">
      <c r="A1" s="84" t="s">
        <v>60</v>
      </c>
    </row>
  </sheetData>
  <conditionalFormatting sqref="C14:C18">
    <cfRule type="cellIs" dxfId="137" priority="46" stopIfTrue="1" operator="lessThan">
      <formula>0</formula>
    </cfRule>
  </conditionalFormatting>
  <conditionalFormatting sqref="C89">
    <cfRule type="cellIs" dxfId="136" priority="43" stopIfTrue="1" operator="lessThan">
      <formula>0</formula>
    </cfRule>
  </conditionalFormatting>
  <conditionalFormatting sqref="C85">
    <cfRule type="cellIs" dxfId="135" priority="45" stopIfTrue="1" operator="lessThan">
      <formula>0</formula>
    </cfRule>
  </conditionalFormatting>
  <conditionalFormatting sqref="C7:C9">
    <cfRule type="cellIs" dxfId="134" priority="42" stopIfTrue="1" operator="lessThan">
      <formula>0</formula>
    </cfRule>
  </conditionalFormatting>
  <conditionalFormatting sqref="C10:C13">
    <cfRule type="cellIs" dxfId="133" priority="40" stopIfTrue="1" operator="lessThan">
      <formula>0</formula>
    </cfRule>
  </conditionalFormatting>
  <conditionalFormatting sqref="C88">
    <cfRule type="cellIs" dxfId="132" priority="44" stopIfTrue="1" operator="lessThan">
      <formula>0</formula>
    </cfRule>
  </conditionalFormatting>
  <conditionalFormatting sqref="C101">
    <cfRule type="cellIs" dxfId="131" priority="39" stopIfTrue="1" operator="lessThan">
      <formula>0</formula>
    </cfRule>
  </conditionalFormatting>
  <conditionalFormatting sqref="C7">
    <cfRule type="cellIs" dxfId="130" priority="41" stopIfTrue="1" operator="lessThan">
      <formula>0</formula>
    </cfRule>
  </conditionalFormatting>
  <conditionalFormatting sqref="C29:C33">
    <cfRule type="cellIs" dxfId="129" priority="34" stopIfTrue="1" operator="lessThan">
      <formula>0</formula>
    </cfRule>
  </conditionalFormatting>
  <conditionalFormatting sqref="G7:G9">
    <cfRule type="cellIs" dxfId="128" priority="37" stopIfTrue="1" operator="lessThan">
      <formula>0</formula>
    </cfRule>
  </conditionalFormatting>
  <conditionalFormatting sqref="C22">
    <cfRule type="cellIs" dxfId="127" priority="32" stopIfTrue="1" operator="lessThan">
      <formula>0</formula>
    </cfRule>
  </conditionalFormatting>
  <conditionalFormatting sqref="C25:C28">
    <cfRule type="cellIs" dxfId="126" priority="31" stopIfTrue="1" operator="lessThan">
      <formula>0</formula>
    </cfRule>
  </conditionalFormatting>
  <conditionalFormatting sqref="G14:G18">
    <cfRule type="cellIs" dxfId="125" priority="38" stopIfTrue="1" operator="lessThan">
      <formula>0</formula>
    </cfRule>
  </conditionalFormatting>
  <conditionalFormatting sqref="G7">
    <cfRule type="cellIs" dxfId="124" priority="36" stopIfTrue="1" operator="lessThan">
      <formula>0</formula>
    </cfRule>
  </conditionalFormatting>
  <conditionalFormatting sqref="G10:G13">
    <cfRule type="cellIs" dxfId="123" priority="35" stopIfTrue="1" operator="lessThan">
      <formula>0</formula>
    </cfRule>
  </conditionalFormatting>
  <conditionalFormatting sqref="C22:C24">
    <cfRule type="cellIs" dxfId="122" priority="33" stopIfTrue="1" operator="lessThan">
      <formula>0</formula>
    </cfRule>
  </conditionalFormatting>
  <conditionalFormatting sqref="G22">
    <cfRule type="cellIs" dxfId="121" priority="28" stopIfTrue="1" operator="lessThan">
      <formula>0</formula>
    </cfRule>
  </conditionalFormatting>
  <conditionalFormatting sqref="G29:G33">
    <cfRule type="cellIs" dxfId="120" priority="30" stopIfTrue="1" operator="lessThan">
      <formula>0</formula>
    </cfRule>
  </conditionalFormatting>
  <conditionalFormatting sqref="G22:G24">
    <cfRule type="cellIs" dxfId="119" priority="29" stopIfTrue="1" operator="lessThan">
      <formula>0</formula>
    </cfRule>
  </conditionalFormatting>
  <conditionalFormatting sqref="G25:G28">
    <cfRule type="cellIs" dxfId="118" priority="27" stopIfTrue="1" operator="lessThan">
      <formula>0</formula>
    </cfRule>
  </conditionalFormatting>
  <conditionalFormatting sqref="C40:C43">
    <cfRule type="cellIs" dxfId="117" priority="23" stopIfTrue="1" operator="lessThan">
      <formula>0</formula>
    </cfRule>
  </conditionalFormatting>
  <conditionalFormatting sqref="G44:G48">
    <cfRule type="cellIs" dxfId="116" priority="22" stopIfTrue="1" operator="lessThan">
      <formula>0</formula>
    </cfRule>
  </conditionalFormatting>
  <conditionalFormatting sqref="G37">
    <cfRule type="cellIs" dxfId="115" priority="20" stopIfTrue="1" operator="lessThan">
      <formula>0</formula>
    </cfRule>
  </conditionalFormatting>
  <conditionalFormatting sqref="C44:C48">
    <cfRule type="cellIs" dxfId="114" priority="26" stopIfTrue="1" operator="lessThan">
      <formula>0</formula>
    </cfRule>
  </conditionalFormatting>
  <conditionalFormatting sqref="C37:C39">
    <cfRule type="cellIs" dxfId="113" priority="25" stopIfTrue="1" operator="lessThan">
      <formula>0</formula>
    </cfRule>
  </conditionalFormatting>
  <conditionalFormatting sqref="C37">
    <cfRule type="cellIs" dxfId="112" priority="24" stopIfTrue="1" operator="lessThan">
      <formula>0</formula>
    </cfRule>
  </conditionalFormatting>
  <conditionalFormatting sqref="C56:C59">
    <cfRule type="cellIs" dxfId="111" priority="15" stopIfTrue="1" operator="lessThan">
      <formula>0</formula>
    </cfRule>
  </conditionalFormatting>
  <conditionalFormatting sqref="G60:G63">
    <cfRule type="cellIs" dxfId="110" priority="14" stopIfTrue="1" operator="lessThan">
      <formula>0</formula>
    </cfRule>
  </conditionalFormatting>
  <conditionalFormatting sqref="G37:G39">
    <cfRule type="cellIs" dxfId="109" priority="21" stopIfTrue="1" operator="lessThan">
      <formula>0</formula>
    </cfRule>
  </conditionalFormatting>
  <conditionalFormatting sqref="G53">
    <cfRule type="cellIs" dxfId="108" priority="12" stopIfTrue="1" operator="lessThan">
      <formula>0</formula>
    </cfRule>
  </conditionalFormatting>
  <conditionalFormatting sqref="G40:G43">
    <cfRule type="cellIs" dxfId="107" priority="19" stopIfTrue="1" operator="lessThan">
      <formula>0</formula>
    </cfRule>
  </conditionalFormatting>
  <conditionalFormatting sqref="C60:C64">
    <cfRule type="cellIs" dxfId="106" priority="18" stopIfTrue="1" operator="lessThan">
      <formula>0</formula>
    </cfRule>
  </conditionalFormatting>
  <conditionalFormatting sqref="C53:C55">
    <cfRule type="cellIs" dxfId="105" priority="17" stopIfTrue="1" operator="lessThan">
      <formula>0</formula>
    </cfRule>
  </conditionalFormatting>
  <conditionalFormatting sqref="C53">
    <cfRule type="cellIs" dxfId="104" priority="16" stopIfTrue="1" operator="lessThan">
      <formula>0</formula>
    </cfRule>
  </conditionalFormatting>
  <conditionalFormatting sqref="G53:G55">
    <cfRule type="cellIs" dxfId="103" priority="13" stopIfTrue="1" operator="lessThan">
      <formula>0</formula>
    </cfRule>
  </conditionalFormatting>
  <conditionalFormatting sqref="G56:G59">
    <cfRule type="cellIs" dxfId="102" priority="11" stopIfTrue="1" operator="lessThan">
      <formula>0</formula>
    </cfRule>
  </conditionalFormatting>
  <conditionalFormatting sqref="C75:C78">
    <cfRule type="cellIs" dxfId="101" priority="10" stopIfTrue="1" operator="lessThan">
      <formula>0</formula>
    </cfRule>
  </conditionalFormatting>
  <conditionalFormatting sqref="C68:C70">
    <cfRule type="cellIs" dxfId="100" priority="9" stopIfTrue="1" operator="lessThan">
      <formula>0</formula>
    </cfRule>
  </conditionalFormatting>
  <conditionalFormatting sqref="C68">
    <cfRule type="cellIs" dxfId="99" priority="8" stopIfTrue="1" operator="lessThan">
      <formula>0</formula>
    </cfRule>
  </conditionalFormatting>
  <conditionalFormatting sqref="C71:C74">
    <cfRule type="cellIs" dxfId="98" priority="7" stopIfTrue="1" operator="lessThan">
      <formula>0</formula>
    </cfRule>
  </conditionalFormatting>
  <conditionalFormatting sqref="G75:G79">
    <cfRule type="cellIs" dxfId="97" priority="6" stopIfTrue="1" operator="lessThan">
      <formula>0</formula>
    </cfRule>
  </conditionalFormatting>
  <conditionalFormatting sqref="G68:G70">
    <cfRule type="cellIs" dxfId="96" priority="5" stopIfTrue="1" operator="lessThan">
      <formula>0</formula>
    </cfRule>
  </conditionalFormatting>
  <conditionalFormatting sqref="G68">
    <cfRule type="cellIs" dxfId="95" priority="4" stopIfTrue="1" operator="lessThan">
      <formula>0</formula>
    </cfRule>
  </conditionalFormatting>
  <conditionalFormatting sqref="G71:G74">
    <cfRule type="cellIs" dxfId="94" priority="3" stopIfTrue="1" operator="lessThan">
      <formula>0</formula>
    </cfRule>
  </conditionalFormatting>
  <conditionalFormatting sqref="G64">
    <cfRule type="cellIs" dxfId="93" priority="2" stopIfTrue="1" operator="lessThan">
      <formula>0</formula>
    </cfRule>
  </conditionalFormatting>
  <conditionalFormatting sqref="C79">
    <cfRule type="cellIs" dxfId="92" priority="1" stopIfTrue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J58"/>
  <sheetViews>
    <sheetView zoomScale="90" zoomScaleNormal="90" workbookViewId="0"/>
  </sheetViews>
  <sheetFormatPr baseColWidth="10" defaultRowHeight="12" x14ac:dyDescent="0.2"/>
  <cols>
    <col min="1" max="1" width="3" style="29" customWidth="1"/>
    <col min="2" max="2" width="33.140625" style="29" customWidth="1"/>
    <col min="3" max="3" width="20.5703125" style="29" customWidth="1"/>
    <col min="4" max="4" width="12.85546875" style="29" customWidth="1"/>
    <col min="5" max="5" width="4.28515625" style="58" customWidth="1"/>
    <col min="6" max="6" width="31.85546875" style="29" customWidth="1"/>
    <col min="7" max="7" width="15.7109375" style="29" customWidth="1"/>
    <col min="8" max="8" width="16.42578125" style="29" customWidth="1"/>
    <col min="9" max="9" width="4.42578125" style="29" customWidth="1"/>
    <col min="10" max="16384" width="11.42578125" style="29"/>
  </cols>
  <sheetData>
    <row r="1" spans="1:9" s="1" customFormat="1" x14ac:dyDescent="0.2">
      <c r="E1" s="2"/>
    </row>
    <row r="2" spans="1:9" s="1" customFormat="1" ht="14.25" customHeight="1" x14ac:dyDescent="0.2">
      <c r="B2" s="106" t="s">
        <v>0</v>
      </c>
      <c r="C2" s="106"/>
      <c r="D2" s="106"/>
      <c r="E2" s="106"/>
      <c r="F2" s="106"/>
      <c r="G2" s="106"/>
      <c r="H2" s="106"/>
    </row>
    <row r="3" spans="1:9" s="1" customFormat="1" ht="7.5" customHeight="1" x14ac:dyDescent="0.2">
      <c r="E3" s="2"/>
    </row>
    <row r="4" spans="1:9" s="1" customFormat="1" x14ac:dyDescent="0.2">
      <c r="A4" s="3"/>
      <c r="B4" s="107">
        <v>42989</v>
      </c>
      <c r="C4" s="107"/>
      <c r="D4" s="107"/>
      <c r="E4" s="107"/>
      <c r="F4" s="107"/>
      <c r="G4" s="107"/>
      <c r="H4" s="107"/>
    </row>
    <row r="5" spans="1:9" ht="14.1" customHeight="1" x14ac:dyDescent="0.2">
      <c r="A5" s="3"/>
      <c r="B5" s="3"/>
    </row>
    <row r="6" spans="1:9" s="59" customFormat="1" ht="24" x14ac:dyDescent="0.2">
      <c r="B6" s="6" t="s">
        <v>47</v>
      </c>
      <c r="C6" s="6" t="s">
        <v>2</v>
      </c>
      <c r="D6" s="6" t="s">
        <v>3</v>
      </c>
      <c r="E6" s="7"/>
      <c r="F6" s="6" t="s">
        <v>48</v>
      </c>
      <c r="G6" s="6" t="s">
        <v>2</v>
      </c>
      <c r="H6" s="6" t="s">
        <v>3</v>
      </c>
    </row>
    <row r="7" spans="1:9" ht="14.1" customHeight="1" x14ac:dyDescent="0.2">
      <c r="B7" s="60" t="s">
        <v>56</v>
      </c>
      <c r="C7" s="52"/>
      <c r="D7" s="61" t="s">
        <v>8</v>
      </c>
      <c r="E7" s="62"/>
      <c r="F7" s="60" t="s">
        <v>56</v>
      </c>
      <c r="G7" s="63">
        <v>6519070</v>
      </c>
      <c r="H7" s="64">
        <v>1.1341636140853771E-4</v>
      </c>
      <c r="I7" s="65"/>
    </row>
    <row r="8" spans="1:9" ht="14.1" customHeight="1" x14ac:dyDescent="0.2">
      <c r="B8" s="66" t="s">
        <v>57</v>
      </c>
      <c r="C8" s="52">
        <v>15135755</v>
      </c>
      <c r="D8" s="61">
        <v>5.3183875220220991E-3</v>
      </c>
      <c r="E8" s="62"/>
      <c r="F8" s="66" t="s">
        <v>57</v>
      </c>
      <c r="G8" s="53">
        <v>-27186567</v>
      </c>
      <c r="H8" s="64">
        <v>-4.729818069647089E-4</v>
      </c>
    </row>
    <row r="9" spans="1:9" ht="14.1" customHeight="1" x14ac:dyDescent="0.2">
      <c r="B9" s="66" t="s">
        <v>7</v>
      </c>
      <c r="C9" s="52"/>
      <c r="D9" s="61" t="s">
        <v>8</v>
      </c>
      <c r="E9" s="62"/>
      <c r="F9" s="66" t="s">
        <v>7</v>
      </c>
      <c r="G9" s="53"/>
      <c r="H9" s="64" t="s">
        <v>8</v>
      </c>
    </row>
    <row r="10" spans="1:9" ht="14.1" customHeight="1" x14ac:dyDescent="0.2">
      <c r="B10" s="60" t="s">
        <v>9</v>
      </c>
      <c r="C10" s="52"/>
      <c r="D10" s="61" t="s">
        <v>8</v>
      </c>
      <c r="E10" s="62"/>
      <c r="F10" s="66" t="s">
        <v>9</v>
      </c>
      <c r="G10" s="63"/>
      <c r="H10" s="64" t="s">
        <v>8</v>
      </c>
    </row>
    <row r="11" spans="1:9" ht="14.1" customHeight="1" x14ac:dyDescent="0.2">
      <c r="B11" s="60" t="s">
        <v>10</v>
      </c>
      <c r="C11" s="52">
        <v>49951</v>
      </c>
      <c r="D11" s="61">
        <v>1.7551735946606287E-5</v>
      </c>
      <c r="E11" s="62"/>
      <c r="F11" s="66" t="s">
        <v>10</v>
      </c>
      <c r="G11" s="53">
        <v>98024</v>
      </c>
      <c r="H11" s="64"/>
    </row>
    <row r="12" spans="1:9" ht="14.1" customHeight="1" x14ac:dyDescent="0.2">
      <c r="B12" s="60" t="s">
        <v>11</v>
      </c>
      <c r="C12" s="52"/>
      <c r="D12" s="61" t="s">
        <v>8</v>
      </c>
      <c r="E12" s="62"/>
      <c r="F12" s="66" t="s">
        <v>11</v>
      </c>
      <c r="G12" s="53">
        <v>-5575600</v>
      </c>
      <c r="H12" s="64">
        <v>-9.7002220358033108E-5</v>
      </c>
    </row>
    <row r="13" spans="1:9" ht="14.1" customHeight="1" x14ac:dyDescent="0.2">
      <c r="B13" s="66" t="s">
        <v>27</v>
      </c>
      <c r="C13" s="52"/>
      <c r="D13" s="61" t="s">
        <v>8</v>
      </c>
      <c r="E13" s="62"/>
      <c r="F13" s="66" t="s">
        <v>27</v>
      </c>
      <c r="G13" s="53"/>
      <c r="H13" s="64" t="s">
        <v>8</v>
      </c>
    </row>
    <row r="14" spans="1:9" ht="14.1" customHeight="1" x14ac:dyDescent="0.2">
      <c r="B14" s="66" t="s">
        <v>13</v>
      </c>
      <c r="C14" s="52"/>
      <c r="D14" s="61" t="s">
        <v>8</v>
      </c>
      <c r="E14" s="62"/>
      <c r="F14" s="66" t="s">
        <v>13</v>
      </c>
      <c r="G14" s="53"/>
      <c r="H14" s="64" t="s">
        <v>8</v>
      </c>
    </row>
    <row r="15" spans="1:9" ht="14.1" customHeight="1" x14ac:dyDescent="0.2">
      <c r="B15" s="66" t="s">
        <v>14</v>
      </c>
      <c r="C15" s="52">
        <v>30033862</v>
      </c>
      <c r="D15" s="61">
        <v>1.0553270510716755E-2</v>
      </c>
      <c r="E15" s="62"/>
      <c r="F15" s="66" t="s">
        <v>14</v>
      </c>
      <c r="G15" s="53"/>
      <c r="H15" s="64" t="s">
        <v>8</v>
      </c>
    </row>
    <row r="16" spans="1:9" ht="14.1" customHeight="1" x14ac:dyDescent="0.2">
      <c r="B16" s="66" t="s">
        <v>15</v>
      </c>
      <c r="C16" s="52"/>
      <c r="D16" s="61" t="s">
        <v>8</v>
      </c>
      <c r="E16" s="62"/>
      <c r="F16" s="66" t="s">
        <v>15</v>
      </c>
      <c r="G16" s="53">
        <v>5102936</v>
      </c>
      <c r="H16" s="64">
        <v>8.8778987435422202E-5</v>
      </c>
    </row>
    <row r="17" spans="2:9" ht="14.1" customHeight="1" x14ac:dyDescent="0.2">
      <c r="B17" s="66" t="s">
        <v>16</v>
      </c>
      <c r="C17" s="52"/>
      <c r="D17" s="61" t="s">
        <v>8</v>
      </c>
      <c r="E17" s="62"/>
      <c r="F17" s="66" t="s">
        <v>16</v>
      </c>
      <c r="G17" s="63"/>
      <c r="H17" s="64" t="s">
        <v>8</v>
      </c>
    </row>
    <row r="18" spans="2:9" ht="14.1" customHeight="1" x14ac:dyDescent="0.2">
      <c r="B18" s="66" t="s">
        <v>17</v>
      </c>
      <c r="C18" s="57">
        <v>-62479</v>
      </c>
      <c r="D18" s="61">
        <v>-2.1953812940842313E-5</v>
      </c>
      <c r="E18" s="62"/>
      <c r="F18" s="67" t="s">
        <v>17</v>
      </c>
      <c r="G18" s="53"/>
      <c r="H18" s="64" t="s">
        <v>8</v>
      </c>
    </row>
    <row r="19" spans="2:9" ht="14.1" customHeight="1" x14ac:dyDescent="0.2">
      <c r="B19" s="19" t="s">
        <v>18</v>
      </c>
      <c r="C19" s="68"/>
      <c r="D19" s="69">
        <v>1.5867255955744619E-2</v>
      </c>
      <c r="E19" s="62"/>
      <c r="F19" s="19" t="s">
        <v>18</v>
      </c>
      <c r="G19" s="54"/>
      <c r="H19" s="69">
        <v>-3.6778867847878208E-4</v>
      </c>
      <c r="I19" s="70"/>
    </row>
    <row r="20" spans="2:9" ht="14.1" customHeight="1" x14ac:dyDescent="0.2">
      <c r="E20" s="62"/>
    </row>
    <row r="21" spans="2:9" ht="24" x14ac:dyDescent="0.2">
      <c r="B21" s="6" t="s">
        <v>49</v>
      </c>
      <c r="C21" s="6" t="s">
        <v>2</v>
      </c>
      <c r="D21" s="6" t="s">
        <v>3</v>
      </c>
      <c r="E21" s="24"/>
      <c r="F21" s="6" t="s">
        <v>50</v>
      </c>
      <c r="G21" s="6" t="s">
        <v>2</v>
      </c>
      <c r="H21" s="6" t="s">
        <v>3</v>
      </c>
    </row>
    <row r="22" spans="2:9" ht="14.1" customHeight="1" x14ac:dyDescent="0.2">
      <c r="B22" s="60" t="s">
        <v>56</v>
      </c>
      <c r="C22" s="63">
        <v>19890998</v>
      </c>
      <c r="D22" s="64">
        <v>1.3875990254299037E-4</v>
      </c>
      <c r="E22" s="71"/>
      <c r="F22" s="60" t="s">
        <v>56</v>
      </c>
      <c r="G22" s="63">
        <v>1254053</v>
      </c>
      <c r="H22" s="64">
        <v>8.7133351187216874E-5</v>
      </c>
    </row>
    <row r="23" spans="2:9" ht="14.1" customHeight="1" x14ac:dyDescent="0.2">
      <c r="B23" s="66" t="s">
        <v>57</v>
      </c>
      <c r="C23" s="53">
        <v>32493363</v>
      </c>
      <c r="D23" s="64">
        <v>2.2667419116798512E-4</v>
      </c>
      <c r="E23" s="71"/>
      <c r="F23" s="66" t="s">
        <v>57</v>
      </c>
      <c r="G23" s="37"/>
      <c r="H23" s="64" t="s">
        <v>8</v>
      </c>
    </row>
    <row r="24" spans="2:9" ht="14.1" customHeight="1" x14ac:dyDescent="0.2">
      <c r="B24" s="66" t="s">
        <v>7</v>
      </c>
      <c r="C24" s="53"/>
      <c r="D24" s="64" t="s">
        <v>8</v>
      </c>
      <c r="E24" s="71"/>
      <c r="F24" s="66" t="s">
        <v>7</v>
      </c>
      <c r="G24" s="37"/>
      <c r="H24" s="64" t="s">
        <v>8</v>
      </c>
    </row>
    <row r="25" spans="2:9" ht="14.1" customHeight="1" x14ac:dyDescent="0.2">
      <c r="B25" s="66" t="s">
        <v>9</v>
      </c>
      <c r="C25" s="63"/>
      <c r="D25" s="64" t="s">
        <v>8</v>
      </c>
      <c r="E25" s="71"/>
      <c r="F25" s="66" t="s">
        <v>9</v>
      </c>
      <c r="G25" s="63"/>
      <c r="H25" s="64" t="s">
        <v>8</v>
      </c>
    </row>
    <row r="26" spans="2:9" ht="14.1" customHeight="1" x14ac:dyDescent="0.2">
      <c r="B26" s="66" t="s">
        <v>10</v>
      </c>
      <c r="C26" s="53">
        <v>63571</v>
      </c>
      <c r="D26" s="64">
        <v>4.4347225637247773E-7</v>
      </c>
      <c r="E26" s="71"/>
      <c r="F26" s="66" t="s">
        <v>10</v>
      </c>
      <c r="G26" s="63">
        <v>96088</v>
      </c>
      <c r="H26" s="64">
        <v>6.6763282324409694E-6</v>
      </c>
    </row>
    <row r="27" spans="2:9" ht="14.1" customHeight="1" x14ac:dyDescent="0.2">
      <c r="B27" s="66" t="s">
        <v>11</v>
      </c>
      <c r="C27" s="53">
        <v>-38735350</v>
      </c>
      <c r="D27" s="64">
        <v>-2.7021838677821104E-4</v>
      </c>
      <c r="E27" s="71"/>
      <c r="F27" s="66" t="s">
        <v>11</v>
      </c>
      <c r="G27" s="63"/>
      <c r="H27" s="64"/>
    </row>
    <row r="28" spans="2:9" ht="14.1" customHeight="1" x14ac:dyDescent="0.2">
      <c r="B28" s="66" t="s">
        <v>27</v>
      </c>
      <c r="C28" s="53">
        <v>448532</v>
      </c>
      <c r="D28" s="64">
        <v>3.1289660080108881E-6</v>
      </c>
      <c r="E28" s="71"/>
      <c r="F28" s="66" t="s">
        <v>27</v>
      </c>
      <c r="G28" s="63"/>
      <c r="H28" s="64"/>
    </row>
    <row r="29" spans="2:9" ht="14.1" customHeight="1" x14ac:dyDescent="0.2">
      <c r="B29" s="66" t="s">
        <v>13</v>
      </c>
      <c r="C29" s="53">
        <v>-49225851</v>
      </c>
      <c r="D29" s="64">
        <v>-3.434002802350976E-4</v>
      </c>
      <c r="E29" s="71"/>
      <c r="F29" s="66" t="s">
        <v>13</v>
      </c>
      <c r="G29" s="63">
        <v>-19748419</v>
      </c>
      <c r="H29" s="64">
        <v>-1.3721476908227215E-3</v>
      </c>
    </row>
    <row r="30" spans="2:9" ht="14.1" customHeight="1" x14ac:dyDescent="0.2">
      <c r="B30" s="66" t="s">
        <v>14</v>
      </c>
      <c r="C30" s="53">
        <v>493500</v>
      </c>
      <c r="D30" s="64">
        <v>3.4426634553462702E-6</v>
      </c>
      <c r="E30" s="71"/>
      <c r="F30" s="66" t="s">
        <v>14</v>
      </c>
      <c r="G30" s="37"/>
      <c r="H30" s="64" t="s">
        <v>8</v>
      </c>
    </row>
    <row r="31" spans="2:9" ht="14.1" customHeight="1" x14ac:dyDescent="0.2">
      <c r="B31" s="66" t="s">
        <v>15</v>
      </c>
      <c r="C31" s="53"/>
      <c r="D31" s="64" t="s">
        <v>8</v>
      </c>
      <c r="E31" s="71"/>
      <c r="F31" s="66" t="s">
        <v>58</v>
      </c>
      <c r="G31" s="37">
        <v>-734821</v>
      </c>
      <c r="H31" s="64">
        <v>-5.1056387770486484E-5</v>
      </c>
    </row>
    <row r="32" spans="2:9" ht="14.1" customHeight="1" x14ac:dyDescent="0.2">
      <c r="B32" s="66" t="s">
        <v>16</v>
      </c>
      <c r="C32" s="63"/>
      <c r="D32" s="64" t="s">
        <v>8</v>
      </c>
      <c r="E32" s="71"/>
      <c r="F32" s="66" t="s">
        <v>16</v>
      </c>
      <c r="G32" s="63"/>
      <c r="H32" s="64" t="s">
        <v>8</v>
      </c>
    </row>
    <row r="33" spans="1:10" ht="14.1" customHeight="1" x14ac:dyDescent="0.2">
      <c r="B33" s="66" t="s">
        <v>17</v>
      </c>
      <c r="C33" s="53"/>
      <c r="D33" s="64" t="s">
        <v>8</v>
      </c>
      <c r="E33" s="71"/>
      <c r="F33" s="66" t="s">
        <v>17</v>
      </c>
      <c r="G33" s="37"/>
      <c r="H33" s="64" t="s">
        <v>8</v>
      </c>
    </row>
    <row r="34" spans="1:10" ht="14.1" customHeight="1" x14ac:dyDescent="0.2">
      <c r="B34" s="19" t="s">
        <v>18</v>
      </c>
      <c r="C34" s="68"/>
      <c r="D34" s="69">
        <v>-2.4116947158260346E-4</v>
      </c>
      <c r="E34" s="71"/>
      <c r="F34" s="19" t="s">
        <v>18</v>
      </c>
      <c r="G34" s="68"/>
      <c r="H34" s="69">
        <v>-1.3293943991735501E-3</v>
      </c>
    </row>
    <row r="35" spans="1:10" ht="12.75" customHeight="1" x14ac:dyDescent="0.2">
      <c r="C35" s="72"/>
    </row>
    <row r="36" spans="1:10" ht="24" x14ac:dyDescent="0.2">
      <c r="A36" s="29" t="s">
        <v>24</v>
      </c>
      <c r="B36" s="6" t="s">
        <v>51</v>
      </c>
      <c r="C36" s="6"/>
      <c r="D36" s="6" t="s">
        <v>3</v>
      </c>
      <c r="E36" s="26"/>
      <c r="F36" s="6" t="s">
        <v>52</v>
      </c>
      <c r="G36" s="6"/>
      <c r="H36" s="6" t="s">
        <v>3</v>
      </c>
    </row>
    <row r="37" spans="1:10" ht="14.1" customHeight="1" x14ac:dyDescent="0.2">
      <c r="B37" s="60" t="s">
        <v>56</v>
      </c>
      <c r="C37" s="37">
        <v>4953695</v>
      </c>
      <c r="D37" s="64">
        <v>1.1242480357340429E-4</v>
      </c>
      <c r="E37" s="62"/>
      <c r="F37" s="60" t="s">
        <v>56</v>
      </c>
      <c r="G37" s="37"/>
      <c r="H37" s="64" t="s">
        <v>8</v>
      </c>
      <c r="J37" s="73"/>
    </row>
    <row r="38" spans="1:10" ht="14.1" customHeight="1" x14ac:dyDescent="0.2">
      <c r="B38" s="60" t="s">
        <v>57</v>
      </c>
      <c r="C38" s="37">
        <v>15698381</v>
      </c>
      <c r="D38" s="64">
        <v>3.5627696100495936E-4</v>
      </c>
      <c r="E38" s="62"/>
      <c r="F38" s="60" t="s">
        <v>57</v>
      </c>
      <c r="G38" s="37"/>
      <c r="H38" s="64" t="s">
        <v>8</v>
      </c>
    </row>
    <row r="39" spans="1:10" ht="14.1" customHeight="1" x14ac:dyDescent="0.2">
      <c r="B39" s="60" t="s">
        <v>7</v>
      </c>
      <c r="C39" s="74"/>
      <c r="D39" s="64" t="s">
        <v>8</v>
      </c>
      <c r="E39" s="62"/>
      <c r="F39" s="60" t="s">
        <v>7</v>
      </c>
      <c r="G39" s="37"/>
      <c r="H39" s="64" t="s">
        <v>8</v>
      </c>
    </row>
    <row r="40" spans="1:10" ht="14.1" customHeight="1" x14ac:dyDescent="0.2">
      <c r="B40" s="60" t="s">
        <v>9</v>
      </c>
      <c r="C40" s="37"/>
      <c r="D40" s="64" t="s">
        <v>8</v>
      </c>
      <c r="E40" s="62"/>
      <c r="F40" s="60" t="s">
        <v>9</v>
      </c>
      <c r="G40" s="37"/>
      <c r="H40" s="64" t="s">
        <v>8</v>
      </c>
    </row>
    <row r="41" spans="1:10" ht="14.1" customHeight="1" x14ac:dyDescent="0.2">
      <c r="B41" s="66" t="s">
        <v>10</v>
      </c>
      <c r="C41" s="37">
        <v>134452</v>
      </c>
      <c r="D41" s="64">
        <v>3.0514070184077447E-6</v>
      </c>
      <c r="E41" s="62"/>
      <c r="F41" s="66" t="s">
        <v>10</v>
      </c>
      <c r="G41" s="37"/>
      <c r="H41" s="64" t="s">
        <v>8</v>
      </c>
    </row>
    <row r="42" spans="1:10" ht="14.1" customHeight="1" x14ac:dyDescent="0.2">
      <c r="B42" s="66" t="s">
        <v>11</v>
      </c>
      <c r="C42" s="37">
        <v>-10076000</v>
      </c>
      <c r="D42" s="64">
        <v>-2.2867623477134172E-4</v>
      </c>
      <c r="E42" s="62"/>
      <c r="F42" s="66" t="s">
        <v>11</v>
      </c>
      <c r="G42" s="37"/>
      <c r="H42" s="64"/>
    </row>
    <row r="43" spans="1:10" ht="14.1" customHeight="1" x14ac:dyDescent="0.2">
      <c r="B43" s="66" t="s">
        <v>27</v>
      </c>
      <c r="C43" s="74">
        <v>-40049</v>
      </c>
      <c r="D43" s="64">
        <v>-9.0891767828081224E-7</v>
      </c>
      <c r="E43" s="62"/>
      <c r="F43" s="66" t="s">
        <v>27</v>
      </c>
      <c r="G43" s="55"/>
      <c r="H43" s="64" t="s">
        <v>8</v>
      </c>
    </row>
    <row r="44" spans="1:10" ht="14.1" customHeight="1" x14ac:dyDescent="0.2">
      <c r="B44" s="66" t="s">
        <v>13</v>
      </c>
      <c r="C44" s="37">
        <v>-40302961</v>
      </c>
      <c r="D44" s="64">
        <v>-9.1468135883448088E-4</v>
      </c>
      <c r="E44" s="62"/>
      <c r="F44" s="66" t="s">
        <v>13</v>
      </c>
      <c r="G44" s="37"/>
      <c r="H44" s="64" t="s">
        <v>8</v>
      </c>
    </row>
    <row r="45" spans="1:10" ht="14.1" customHeight="1" x14ac:dyDescent="0.2">
      <c r="B45" s="66" t="s">
        <v>14</v>
      </c>
      <c r="C45" s="37">
        <v>-4558733</v>
      </c>
      <c r="D45" s="64">
        <v>-1.0346108552678275E-4</v>
      </c>
      <c r="E45" s="71"/>
      <c r="F45" s="66" t="s">
        <v>14</v>
      </c>
      <c r="G45" s="37">
        <v>92302904</v>
      </c>
      <c r="H45" s="64">
        <v>9.3016321306685322E-3</v>
      </c>
      <c r="I45" s="75"/>
    </row>
    <row r="46" spans="1:10" ht="14.1" customHeight="1" x14ac:dyDescent="0.2">
      <c r="B46" s="66" t="s">
        <v>58</v>
      </c>
      <c r="C46" s="37">
        <v>-493638</v>
      </c>
      <c r="D46" s="64">
        <v>-1.1203183721720482E-5</v>
      </c>
      <c r="E46" s="71"/>
      <c r="F46" s="66" t="s">
        <v>15</v>
      </c>
      <c r="G46" s="37"/>
      <c r="H46" s="64" t="s">
        <v>8</v>
      </c>
      <c r="I46" s="75"/>
    </row>
    <row r="47" spans="1:10" ht="14.1" customHeight="1" x14ac:dyDescent="0.2">
      <c r="B47" s="66" t="s">
        <v>16</v>
      </c>
      <c r="C47" s="37"/>
      <c r="D47" s="64" t="s">
        <v>8</v>
      </c>
      <c r="E47" s="71"/>
      <c r="F47" s="66" t="s">
        <v>16</v>
      </c>
      <c r="G47" s="37"/>
      <c r="H47" s="64" t="s">
        <v>8</v>
      </c>
      <c r="I47" s="75"/>
    </row>
    <row r="48" spans="1:10" ht="14.1" customHeight="1" x14ac:dyDescent="0.2">
      <c r="B48" s="66" t="s">
        <v>17</v>
      </c>
      <c r="C48" s="37">
        <v>-122735</v>
      </c>
      <c r="D48" s="64">
        <v>-2.7854880582235637E-6</v>
      </c>
      <c r="F48" s="66" t="s">
        <v>17</v>
      </c>
      <c r="G48" s="37">
        <v>-22230</v>
      </c>
      <c r="H48" s="64">
        <v>-2.2401817635635977E-6</v>
      </c>
    </row>
    <row r="49" spans="1:10" ht="14.1" customHeight="1" x14ac:dyDescent="0.2">
      <c r="B49" s="19" t="s">
        <v>18</v>
      </c>
      <c r="C49" s="68"/>
      <c r="D49" s="69">
        <v>-7.899630969940587E-4</v>
      </c>
      <c r="E49" s="76"/>
      <c r="F49" s="19" t="s">
        <v>18</v>
      </c>
      <c r="G49" s="68"/>
      <c r="H49" s="69">
        <v>9.2993919489049691E-3</v>
      </c>
    </row>
    <row r="50" spans="1:10" s="59" customFormat="1" ht="9.75" customHeight="1" x14ac:dyDescent="0.2">
      <c r="B50" s="29"/>
      <c r="C50" s="72"/>
      <c r="D50" s="29"/>
    </row>
    <row r="51" spans="1:10" ht="41.25" customHeight="1" x14ac:dyDescent="0.2">
      <c r="B51" s="6" t="s">
        <v>43</v>
      </c>
      <c r="C51" s="6" t="s">
        <v>44</v>
      </c>
      <c r="D51" s="77"/>
      <c r="E51" s="78"/>
      <c r="F51" s="72"/>
    </row>
    <row r="52" spans="1:10" ht="14.1" customHeight="1" x14ac:dyDescent="0.2">
      <c r="B52" s="33" t="s">
        <v>47</v>
      </c>
      <c r="C52" s="44">
        <v>2845929323</v>
      </c>
      <c r="D52" s="58"/>
      <c r="E52" s="78"/>
      <c r="F52" s="72"/>
      <c r="I52" s="29" t="s">
        <v>53</v>
      </c>
    </row>
    <row r="53" spans="1:10" ht="14.1" customHeight="1" x14ac:dyDescent="0.2">
      <c r="B53" s="66" t="s">
        <v>48</v>
      </c>
      <c r="C53" s="79">
        <v>57479096658</v>
      </c>
      <c r="D53" s="58"/>
      <c r="E53" s="78"/>
      <c r="F53" s="72"/>
    </row>
    <row r="54" spans="1:10" ht="14.1" customHeight="1" x14ac:dyDescent="0.2">
      <c r="B54" s="66" t="s">
        <v>54</v>
      </c>
      <c r="C54" s="79">
        <v>143348313421</v>
      </c>
      <c r="D54" s="58"/>
      <c r="F54" s="72"/>
    </row>
    <row r="55" spans="1:10" ht="14.1" customHeight="1" x14ac:dyDescent="0.2">
      <c r="B55" s="66" t="s">
        <v>55</v>
      </c>
      <c r="C55" s="44">
        <v>14392342116</v>
      </c>
      <c r="D55" s="58"/>
      <c r="E55" s="78"/>
      <c r="F55" s="72"/>
    </row>
    <row r="56" spans="1:10" ht="14.1" customHeight="1" x14ac:dyDescent="0.2">
      <c r="B56" s="66" t="s">
        <v>51</v>
      </c>
      <c r="C56" s="44">
        <v>44062296242</v>
      </c>
      <c r="D56" s="58"/>
      <c r="E56" s="78"/>
      <c r="F56" s="72"/>
    </row>
    <row r="57" spans="1:10" ht="14.1" customHeight="1" x14ac:dyDescent="0.2">
      <c r="B57" s="66" t="s">
        <v>52</v>
      </c>
      <c r="C57" s="44">
        <v>9923301922</v>
      </c>
      <c r="D57" s="58"/>
      <c r="E57" s="29"/>
    </row>
    <row r="58" spans="1:10" s="58" customFormat="1" x14ac:dyDescent="0.2">
      <c r="A58" s="29"/>
      <c r="B58" s="72"/>
      <c r="C58" s="29"/>
      <c r="F58" s="29"/>
      <c r="G58" s="29"/>
      <c r="H58" s="29"/>
      <c r="I58" s="29"/>
      <c r="J58" s="29"/>
    </row>
  </sheetData>
  <mergeCells count="2">
    <mergeCell ref="B2:H2"/>
    <mergeCell ref="B4:H4"/>
  </mergeCells>
  <conditionalFormatting sqref="C19 C7:C17 C37:C48">
    <cfRule type="cellIs" dxfId="91" priority="19" stopIfTrue="1" operator="lessThan">
      <formula>0</formula>
    </cfRule>
  </conditionalFormatting>
  <conditionalFormatting sqref="G23:G24 G33 G30:G31">
    <cfRule type="cellIs" dxfId="90" priority="18" stopIfTrue="1" operator="lessThan">
      <formula>0</formula>
    </cfRule>
  </conditionalFormatting>
  <conditionalFormatting sqref="G37:G39 G44:G48">
    <cfRule type="cellIs" dxfId="89" priority="17" stopIfTrue="1" operator="lessThan">
      <formula>0</formula>
    </cfRule>
  </conditionalFormatting>
  <conditionalFormatting sqref="G40">
    <cfRule type="cellIs" dxfId="88" priority="16" stopIfTrue="1" operator="lessThan">
      <formula>0</formula>
    </cfRule>
  </conditionalFormatting>
  <conditionalFormatting sqref="G41:G42">
    <cfRule type="cellIs" dxfId="87" priority="15" stopIfTrue="1" operator="lessThan">
      <formula>0</formula>
    </cfRule>
  </conditionalFormatting>
  <conditionalFormatting sqref="C31:C33 C22:C25 C29">
    <cfRule type="cellIs" dxfId="86" priority="14" stopIfTrue="1" operator="lessThan">
      <formula>0</formula>
    </cfRule>
  </conditionalFormatting>
  <conditionalFormatting sqref="G19">
    <cfRule type="cellIs" dxfId="85" priority="13" stopIfTrue="1" operator="lessThan">
      <formula>0</formula>
    </cfRule>
  </conditionalFormatting>
  <conditionalFormatting sqref="C26:C28">
    <cfRule type="cellIs" dxfId="84" priority="12" stopIfTrue="1" operator="lessThan">
      <formula>0</formula>
    </cfRule>
  </conditionalFormatting>
  <conditionalFormatting sqref="G43">
    <cfRule type="cellIs" dxfId="83" priority="11" stopIfTrue="1" operator="lessThan">
      <formula>0</formula>
    </cfRule>
  </conditionalFormatting>
  <conditionalFormatting sqref="G32">
    <cfRule type="cellIs" dxfId="82" priority="10" stopIfTrue="1" operator="lessThan">
      <formula>0</formula>
    </cfRule>
  </conditionalFormatting>
  <conditionalFormatting sqref="G26:G28">
    <cfRule type="cellIs" dxfId="81" priority="9" stopIfTrue="1" operator="lessThan">
      <formula>0</formula>
    </cfRule>
  </conditionalFormatting>
  <conditionalFormatting sqref="G29">
    <cfRule type="cellIs" dxfId="80" priority="8" stopIfTrue="1" operator="lessThan">
      <formula>0</formula>
    </cfRule>
  </conditionalFormatting>
  <conditionalFormatting sqref="G22">
    <cfRule type="cellIs" dxfId="79" priority="7" stopIfTrue="1" operator="lessThan">
      <formula>0</formula>
    </cfRule>
  </conditionalFormatting>
  <conditionalFormatting sqref="C18">
    <cfRule type="cellIs" dxfId="78" priority="6" stopIfTrue="1" operator="lessThan">
      <formula>0</formula>
    </cfRule>
  </conditionalFormatting>
  <conditionalFormatting sqref="C30">
    <cfRule type="cellIs" dxfId="77" priority="5" stopIfTrue="1" operator="lessThan">
      <formula>0</formula>
    </cfRule>
  </conditionalFormatting>
  <conditionalFormatting sqref="G25">
    <cfRule type="cellIs" dxfId="76" priority="4" stopIfTrue="1" operator="lessThan">
      <formula>0</formula>
    </cfRule>
  </conditionalFormatting>
  <conditionalFormatting sqref="G16:G18 G14 G7:G10">
    <cfRule type="cellIs" dxfId="75" priority="3" stopIfTrue="1" operator="lessThan">
      <formula>0</formula>
    </cfRule>
  </conditionalFormatting>
  <conditionalFormatting sqref="G11:G13">
    <cfRule type="cellIs" dxfId="74" priority="2" stopIfTrue="1" operator="lessThan">
      <formula>0</formula>
    </cfRule>
  </conditionalFormatting>
  <conditionalFormatting sqref="G15">
    <cfRule type="cellIs" dxfId="73" priority="1" stopIfTrue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"/>
  <sheetViews>
    <sheetView zoomScale="90" zoomScaleNormal="90" workbookViewId="0"/>
  </sheetViews>
  <sheetFormatPr baseColWidth="10" defaultRowHeight="12" x14ac:dyDescent="0.2"/>
  <cols>
    <col min="1" max="16384" width="11.42578125" style="84"/>
  </cols>
  <sheetData>
    <row r="1" spans="1:1" x14ac:dyDescent="0.2">
      <c r="A1" s="84" t="s">
        <v>61</v>
      </c>
    </row>
  </sheetData>
  <conditionalFormatting sqref="C19 C37:C48 C7:C17">
    <cfRule type="cellIs" dxfId="72" priority="19" stopIfTrue="1" operator="lessThan">
      <formula>0</formula>
    </cfRule>
  </conditionalFormatting>
  <conditionalFormatting sqref="G23:G24 G33 G30:G31">
    <cfRule type="cellIs" dxfId="71" priority="18" stopIfTrue="1" operator="lessThan">
      <formula>0</formula>
    </cfRule>
  </conditionalFormatting>
  <conditionalFormatting sqref="G37:G39 G44:G48">
    <cfRule type="cellIs" dxfId="70" priority="17" stopIfTrue="1" operator="lessThan">
      <formula>0</formula>
    </cfRule>
  </conditionalFormatting>
  <conditionalFormatting sqref="G40">
    <cfRule type="cellIs" dxfId="69" priority="16" stopIfTrue="1" operator="lessThan">
      <formula>0</formula>
    </cfRule>
  </conditionalFormatting>
  <conditionalFormatting sqref="G41:G42">
    <cfRule type="cellIs" dxfId="68" priority="15" stopIfTrue="1" operator="lessThan">
      <formula>0</formula>
    </cfRule>
  </conditionalFormatting>
  <conditionalFormatting sqref="C31:C33 C29 C22:C25">
    <cfRule type="cellIs" dxfId="67" priority="14" stopIfTrue="1" operator="lessThan">
      <formula>0</formula>
    </cfRule>
  </conditionalFormatting>
  <conditionalFormatting sqref="G19">
    <cfRule type="cellIs" dxfId="66" priority="13" stopIfTrue="1" operator="lessThan">
      <formula>0</formula>
    </cfRule>
  </conditionalFormatting>
  <conditionalFormatting sqref="C26:C28">
    <cfRule type="cellIs" dxfId="65" priority="12" stopIfTrue="1" operator="lessThan">
      <formula>0</formula>
    </cfRule>
  </conditionalFormatting>
  <conditionalFormatting sqref="G43">
    <cfRule type="cellIs" dxfId="64" priority="11" stopIfTrue="1" operator="lessThan">
      <formula>0</formula>
    </cfRule>
  </conditionalFormatting>
  <conditionalFormatting sqref="G32">
    <cfRule type="cellIs" dxfId="63" priority="10" stopIfTrue="1" operator="lessThan">
      <formula>0</formula>
    </cfRule>
  </conditionalFormatting>
  <conditionalFormatting sqref="G26:G28">
    <cfRule type="cellIs" dxfId="62" priority="9" stopIfTrue="1" operator="lessThan">
      <formula>0</formula>
    </cfRule>
  </conditionalFormatting>
  <conditionalFormatting sqref="G29">
    <cfRule type="cellIs" dxfId="61" priority="8" stopIfTrue="1" operator="lessThan">
      <formula>0</formula>
    </cfRule>
  </conditionalFormatting>
  <conditionalFormatting sqref="G22">
    <cfRule type="cellIs" dxfId="60" priority="7" stopIfTrue="1" operator="lessThan">
      <formula>0</formula>
    </cfRule>
  </conditionalFormatting>
  <conditionalFormatting sqref="C18">
    <cfRule type="cellIs" dxfId="59" priority="6" stopIfTrue="1" operator="lessThan">
      <formula>0</formula>
    </cfRule>
  </conditionalFormatting>
  <conditionalFormatting sqref="C30">
    <cfRule type="cellIs" dxfId="58" priority="5" stopIfTrue="1" operator="lessThan">
      <formula>0</formula>
    </cfRule>
  </conditionalFormatting>
  <conditionalFormatting sqref="G25">
    <cfRule type="cellIs" dxfId="57" priority="4" stopIfTrue="1" operator="lessThan">
      <formula>0</formula>
    </cfRule>
  </conditionalFormatting>
  <conditionalFormatting sqref="G16:G18 G14 G7:G10">
    <cfRule type="cellIs" dxfId="56" priority="3" stopIfTrue="1" operator="lessThan">
      <formula>0</formula>
    </cfRule>
  </conditionalFormatting>
  <conditionalFormatting sqref="G11:G13">
    <cfRule type="cellIs" dxfId="55" priority="2" stopIfTrue="1" operator="lessThan">
      <formula>0</formula>
    </cfRule>
  </conditionalFormatting>
  <conditionalFormatting sqref="G15">
    <cfRule type="cellIs" dxfId="54" priority="1" stopIfTrue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"/>
  <sheetViews>
    <sheetView zoomScale="90" zoomScaleNormal="90" workbookViewId="0"/>
  </sheetViews>
  <sheetFormatPr baseColWidth="10" defaultRowHeight="12" x14ac:dyDescent="0.2"/>
  <cols>
    <col min="1" max="16384" width="11.42578125" style="84"/>
  </cols>
  <sheetData>
    <row r="1" spans="1:1" x14ac:dyDescent="0.2">
      <c r="A1" s="84">
        <v>3</v>
      </c>
    </row>
  </sheetData>
  <conditionalFormatting sqref="C19 C37:C48 C7:C17">
    <cfRule type="cellIs" dxfId="53" priority="19" stopIfTrue="1" operator="lessThan">
      <formula>0</formula>
    </cfRule>
  </conditionalFormatting>
  <conditionalFormatting sqref="G23:G24 G33 G30:G31">
    <cfRule type="cellIs" dxfId="52" priority="18" stopIfTrue="1" operator="lessThan">
      <formula>0</formula>
    </cfRule>
  </conditionalFormatting>
  <conditionalFormatting sqref="G37:G39 G44:G48">
    <cfRule type="cellIs" dxfId="51" priority="17" stopIfTrue="1" operator="lessThan">
      <formula>0</formula>
    </cfRule>
  </conditionalFormatting>
  <conditionalFormatting sqref="G40">
    <cfRule type="cellIs" dxfId="50" priority="16" stopIfTrue="1" operator="lessThan">
      <formula>0</formula>
    </cfRule>
  </conditionalFormatting>
  <conditionalFormatting sqref="G41:G42">
    <cfRule type="cellIs" dxfId="49" priority="15" stopIfTrue="1" operator="lessThan">
      <formula>0</formula>
    </cfRule>
  </conditionalFormatting>
  <conditionalFormatting sqref="C31:C33 C29 C22:C25">
    <cfRule type="cellIs" dxfId="48" priority="14" stopIfTrue="1" operator="lessThan">
      <formula>0</formula>
    </cfRule>
  </conditionalFormatting>
  <conditionalFormatting sqref="G19">
    <cfRule type="cellIs" dxfId="47" priority="13" stopIfTrue="1" operator="lessThan">
      <formula>0</formula>
    </cfRule>
  </conditionalFormatting>
  <conditionalFormatting sqref="C26:C28">
    <cfRule type="cellIs" dxfId="46" priority="12" stopIfTrue="1" operator="lessThan">
      <formula>0</formula>
    </cfRule>
  </conditionalFormatting>
  <conditionalFormatting sqref="G43">
    <cfRule type="cellIs" dxfId="45" priority="11" stopIfTrue="1" operator="lessThan">
      <formula>0</formula>
    </cfRule>
  </conditionalFormatting>
  <conditionalFormatting sqref="G32">
    <cfRule type="cellIs" dxfId="44" priority="10" stopIfTrue="1" operator="lessThan">
      <formula>0</formula>
    </cfRule>
  </conditionalFormatting>
  <conditionalFormatting sqref="G26:G28">
    <cfRule type="cellIs" dxfId="43" priority="9" stopIfTrue="1" operator="lessThan">
      <formula>0</formula>
    </cfRule>
  </conditionalFormatting>
  <conditionalFormatting sqref="G29">
    <cfRule type="cellIs" dxfId="42" priority="8" stopIfTrue="1" operator="lessThan">
      <formula>0</formula>
    </cfRule>
  </conditionalFormatting>
  <conditionalFormatting sqref="G22">
    <cfRule type="cellIs" dxfId="41" priority="7" stopIfTrue="1" operator="lessThan">
      <formula>0</formula>
    </cfRule>
  </conditionalFormatting>
  <conditionalFormatting sqref="C18">
    <cfRule type="cellIs" dxfId="40" priority="6" stopIfTrue="1" operator="lessThan">
      <formula>0</formula>
    </cfRule>
  </conditionalFormatting>
  <conditionalFormatting sqref="C30">
    <cfRule type="cellIs" dxfId="39" priority="5" stopIfTrue="1" operator="lessThan">
      <formula>0</formula>
    </cfRule>
  </conditionalFormatting>
  <conditionalFormatting sqref="G25">
    <cfRule type="cellIs" dxfId="38" priority="4" stopIfTrue="1" operator="lessThan">
      <formula>0</formula>
    </cfRule>
  </conditionalFormatting>
  <conditionalFormatting sqref="G16:G18 G14 G7:G10">
    <cfRule type="cellIs" dxfId="37" priority="3" stopIfTrue="1" operator="lessThan">
      <formula>0</formula>
    </cfRule>
  </conditionalFormatting>
  <conditionalFormatting sqref="G11:G13">
    <cfRule type="cellIs" dxfId="36" priority="2" stopIfTrue="1" operator="lessThan">
      <formula>0</formula>
    </cfRule>
  </conditionalFormatting>
  <conditionalFormatting sqref="G15">
    <cfRule type="cellIs" dxfId="35" priority="1" stopIfTrue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FM</vt:lpstr>
      <vt:lpstr>FI</vt:lpstr>
      <vt:lpstr>A</vt:lpstr>
      <vt:lpstr>B</vt:lpstr>
      <vt:lpstr>C</vt:lpstr>
      <vt:lpstr>D</vt:lpstr>
      <vt:lpstr>E</vt:lpstr>
      <vt:lpstr>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SOLEDAD LAVIN</dc:creator>
  <cp:lastModifiedBy>Valentin Muñoz Ale</cp:lastModifiedBy>
  <dcterms:created xsi:type="dcterms:W3CDTF">2017-08-22T19:59:10Z</dcterms:created>
  <dcterms:modified xsi:type="dcterms:W3CDTF">2018-03-10T02:52:48Z</dcterms:modified>
</cp:coreProperties>
</file>
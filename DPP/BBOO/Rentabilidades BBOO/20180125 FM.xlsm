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drawings/drawing22.xml" ContentType="application/vnd.openxmlformats-officedocument.drawing+xml"/>
  <Override PartName="/xl/ctrlProps/ctrlProp22.xml" ContentType="application/vnd.ms-excel.controlproperties+xml"/>
  <Override PartName="/xl/drawings/drawing23.xml" ContentType="application/vnd.openxmlformats-officedocument.drawing+xml"/>
  <Override PartName="/xl/ctrlProps/ctrlProp23.xml" ContentType="application/vnd.ms-excel.controlproperties+xml"/>
  <Override PartName="/xl/drawings/drawing24.xml" ContentType="application/vnd.openxmlformats-officedocument.drawing+xml"/>
  <Override PartName="/xl/ctrlProps/ctrlProp24.xml" ContentType="application/vnd.ms-excel.controlproperties+xml"/>
  <Override PartName="/xl/drawings/drawing25.xml" ContentType="application/vnd.openxmlformats-officedocument.drawing+xml"/>
  <Override PartName="/xl/ctrlProps/ctrlProp25.xml" ContentType="application/vnd.ms-excel.controlproperties+xml"/>
  <Override PartName="/xl/drawings/drawing26.xml" ContentType="application/vnd.openxmlformats-officedocument.drawing+xml"/>
  <Override PartName="/xl/ctrlProps/ctrlProp26.xml" ContentType="application/vnd.ms-excel.controlproperties+xml"/>
  <Override PartName="/xl/drawings/drawing27.xml" ContentType="application/vnd.openxmlformats-officedocument.drawing+xml"/>
  <Override PartName="/xl/ctrlProps/ctrlProp27.xml" ContentType="application/vnd.ms-excel.controlproperties+xml"/>
  <Override PartName="/xl/drawings/drawing28.xml" ContentType="application/vnd.openxmlformats-officedocument.drawing+xml"/>
  <Override PartName="/xl/ctrlProps/ctrlProp28.xml" ContentType="application/vnd.ms-excel.controlproperties+xml"/>
  <Override PartName="/xl/drawings/drawing29.xml" ContentType="application/vnd.openxmlformats-officedocument.drawing+xml"/>
  <Override PartName="/xl/ctrlProps/ctrlProp29.xml" ContentType="application/vnd.ms-excel.controlproperties+xml"/>
  <Override PartName="/xl/drawings/drawing30.xml" ContentType="application/vnd.openxmlformats-officedocument.drawing+xml"/>
  <Override PartName="/xl/ctrlProps/ctrlProp30.xml" ContentType="application/vnd.ms-excel.controlproperties+xml"/>
  <Override PartName="/xl/drawings/drawing31.xml" ContentType="application/vnd.openxmlformats-officedocument.drawing+xml"/>
  <Override PartName="/xl/ctrlProps/ctrlProp31.xml" ContentType="application/vnd.ms-excel.controlproperties+xml"/>
  <Override PartName="/xl/drawings/drawing32.xml" ContentType="application/vnd.openxmlformats-officedocument.drawing+xml"/>
  <Override PartName="/xl/ctrlProps/ctrlProp32.xml" ContentType="application/vnd.ms-excel.controlproperties+xml"/>
  <Override PartName="/xl/drawings/drawing33.xml" ContentType="application/vnd.openxmlformats-officedocument.drawing+xml"/>
  <Override PartName="/xl/ctrlProps/ctrlProp33.xml" ContentType="application/vnd.ms-excel.controlproperties+xml"/>
  <Override PartName="/xl/drawings/drawing34.xml" ContentType="application/vnd.openxmlformats-officedocument.drawing+xml"/>
  <Override PartName="/xl/ctrlProps/ctrlProp34.xml" ContentType="application/vnd.ms-excel.controlproperties+xml"/>
  <Override PartName="/xl/drawings/drawing35.xml" ContentType="application/vnd.openxmlformats-officedocument.drawing+xml"/>
  <Override PartName="/xl/ctrlProps/ctrlProp35.xml" ContentType="application/vnd.ms-excel.controlproperties+xml"/>
  <Override PartName="/xl/drawings/drawing36.xml" ContentType="application/vnd.openxmlformats-officedocument.drawing+xml"/>
  <Override PartName="/xl/ctrlProps/ctrlProp36.xml" ContentType="application/vnd.ms-excel.controlproperties+xml"/>
  <Override PartName="/xl/drawings/drawing37.xml" ContentType="application/vnd.openxmlformats-officedocument.drawing+xml"/>
  <Override PartName="/xl/ctrlProps/ctrlProp37.xml" ContentType="application/vnd.ms-excel.controlproperties+xml"/>
  <Override PartName="/xl/drawings/drawing38.xml" ContentType="application/vnd.openxmlformats-officedocument.drawing+xml"/>
  <Override PartName="/xl/ctrlProps/ctrlProp38.xml" ContentType="application/vnd.ms-excel.controlproperties+xml"/>
  <Override PartName="/xl/drawings/drawing39.xml" ContentType="application/vnd.openxmlformats-officedocument.drawing+xml"/>
  <Override PartName="/xl/ctrlProps/ctrlProp39.xml" ContentType="application/vnd.ms-excel.controlproperties+xml"/>
  <Override PartName="/xl/drawings/drawing40.xml" ContentType="application/vnd.openxmlformats-officedocument.drawing+xml"/>
  <Override PartName="/xl/ctrlProps/ctrlProp40.xml" ContentType="application/vnd.ms-excel.controlproperties+xml"/>
  <Override PartName="/xl/drawings/drawing41.xml" ContentType="application/vnd.openxmlformats-officedocument.drawing+xml"/>
  <Override PartName="/xl/ctrlProps/ctrlProp41.xml" ContentType="application/vnd.ms-excel.controlproperties+xml"/>
  <Override PartName="/xl/drawings/drawing42.xml" ContentType="application/vnd.openxmlformats-officedocument.drawing+xml"/>
  <Override PartName="/xl/ctrlProps/ctrlProp42.xml" ContentType="application/vnd.ms-excel.controlproperties+xml"/>
  <Override PartName="/xl/drawings/drawing43.xml" ContentType="application/vnd.openxmlformats-officedocument.drawing+xml"/>
  <Override PartName="/xl/ctrlProps/ctrlProp43.xml" ContentType="application/vnd.ms-excel.controlproperties+xml"/>
  <Override PartName="/xl/drawings/drawing44.xml" ContentType="application/vnd.openxmlformats-officedocument.drawing+xml"/>
  <Override PartName="/xl/ctrlProps/ctrlProp44.xml" ContentType="application/vnd.ms-excel.controlproperties+xml"/>
  <Override PartName="/xl/drawings/drawing45.xml" ContentType="application/vnd.openxmlformats-officedocument.drawing+xml"/>
  <Override PartName="/xl/ctrlProps/ctrlProp45.xml" ContentType="application/vnd.ms-excel.controlproperties+xml"/>
  <Override PartName="/xl/drawings/drawing46.xml" ContentType="application/vnd.openxmlformats-officedocument.drawing+xml"/>
  <Override PartName="/xl/ctrlProps/ctrlProp46.xml" ContentType="application/vnd.ms-excel.controlproperties+xml"/>
  <Override PartName="/xl/drawings/drawing47.xml" ContentType="application/vnd.openxmlformats-officedocument.drawing+xml"/>
  <Override PartName="/xl/ctrlProps/ctrlProp47.xml" ContentType="application/vnd.ms-excel.controlproperties+xml"/>
  <Override PartName="/xl/drawings/drawing48.xml" ContentType="application/vnd.openxmlformats-officedocument.drawing+xml"/>
  <Override PartName="/xl/ctrlProps/ctrlProp48.xml" ContentType="application/vnd.ms-excel.controlproperties+xml"/>
  <Override PartName="/xl/drawings/drawing49.xml" ContentType="application/vnd.openxmlformats-officedocument.drawing+xml"/>
  <Override PartName="/xl/ctrlProps/ctrlProp49.xml" ContentType="application/vnd.ms-excel.controlproperties+xml"/>
  <Override PartName="/xl/drawings/drawing50.xml" ContentType="application/vnd.openxmlformats-officedocument.drawing+xml"/>
  <Override PartName="/xl/ctrlProps/ctrlProp50.xml" ContentType="application/vnd.ms-excel.controlproperties+xml"/>
  <Override PartName="/xl/drawings/drawing51.xml" ContentType="application/vnd.openxmlformats-officedocument.drawing+xml"/>
  <Override PartName="/xl/ctrlProps/ctrlProp51.xml" ContentType="application/vnd.ms-excel.controlproperties+xml"/>
  <Override PartName="/xl/drawings/drawing52.xml" ContentType="application/vnd.openxmlformats-officedocument.drawing+xml"/>
  <Override PartName="/xl/ctrlProps/ctrlProp52.xml" ContentType="application/vnd.ms-excel.controlproperties+xml"/>
  <Override PartName="/xl/drawings/drawing53.xml" ContentType="application/vnd.openxmlformats-officedocument.drawing+xml"/>
  <Override PartName="/xl/ctrlProps/ctrlProp53.xml" ContentType="application/vnd.ms-excel.controlproperties+xml"/>
  <Override PartName="/xl/drawings/drawing54.xml" ContentType="application/vnd.openxmlformats-officedocument.drawing+xml"/>
  <Override PartName="/xl/ctrlProps/ctrlProp5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51196F13-6AD0-C1B8-E2B4-A1F9AE17003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L:\Rates &amp; FX\DPP\Rentabilidades BBOO\"/>
    </mc:Choice>
  </mc:AlternateContent>
  <xr:revisionPtr revIDLastSave="0" documentId="8_{CBA17E91-4FBE-4C95-8B6B-CBA2DC48B12F}" xr6:coauthVersionLast="28" xr6:coauthVersionMax="28" xr10:uidLastSave="{00000000-0000-0000-0000-000000000000}"/>
  <bookViews>
    <workbookView xWindow="0" yWindow="0" windowWidth="19200" windowHeight="10995" firstSheet="92" activeTab="101" xr2:uid="{00000000-000D-0000-FFFF-FFFF00000000}"/>
  </bookViews>
  <sheets>
    <sheet name="NO BORRAR" sheetId="66" r:id="rId1"/>
    <sheet name="01-09" sheetId="67" r:id="rId2"/>
    <sheet name="02-09" sheetId="68" r:id="rId3"/>
    <sheet name="03-09" sheetId="69" r:id="rId4"/>
    <sheet name="04-09" sheetId="70" r:id="rId5"/>
    <sheet name="05-09" sheetId="71" r:id="rId6"/>
    <sheet name="06-09" sheetId="72" r:id="rId7"/>
    <sheet name="07-09" sheetId="73" r:id="rId8"/>
    <sheet name="08-09" sheetId="74" r:id="rId9"/>
    <sheet name="09-09" sheetId="75" r:id="rId10"/>
    <sheet name="10-09" sheetId="76" r:id="rId11"/>
    <sheet name="11-09" sheetId="77" r:id="rId12"/>
    <sheet name="12-09" sheetId="78" r:id="rId13"/>
    <sheet name="13-09" sheetId="79" r:id="rId14"/>
    <sheet name="14-09" sheetId="80" r:id="rId15"/>
    <sheet name="15-09" sheetId="81" r:id="rId16"/>
    <sheet name="20-09" sheetId="82" r:id="rId17"/>
    <sheet name="21-09" sheetId="83" r:id="rId18"/>
    <sheet name="22-09" sheetId="84" r:id="rId19"/>
    <sheet name="25-09" sheetId="85" r:id="rId20"/>
    <sheet name="26-09" sheetId="86" r:id="rId21"/>
    <sheet name="27-09" sheetId="87" r:id="rId22"/>
    <sheet name="28-09" sheetId="88" r:id="rId23"/>
    <sheet name="29-09" sheetId="89" r:id="rId24"/>
    <sheet name="02-10" sheetId="90" r:id="rId25"/>
    <sheet name="03-10" sheetId="91" r:id="rId26"/>
    <sheet name="04-10" sheetId="92" r:id="rId27"/>
    <sheet name="05-10" sheetId="93" r:id="rId28"/>
    <sheet name="06-10" sheetId="94" r:id="rId29"/>
    <sheet name="09-10" sheetId="95" r:id="rId30"/>
    <sheet name="10-10" sheetId="96" r:id="rId31"/>
    <sheet name="11-10" sheetId="97" r:id="rId32"/>
    <sheet name="12-10" sheetId="98" r:id="rId33"/>
    <sheet name="13-10" sheetId="99" r:id="rId34"/>
    <sheet name="16-10" sheetId="100" r:id="rId35"/>
    <sheet name="17-10" sheetId="101" r:id="rId36"/>
    <sheet name="18-10" sheetId="102" r:id="rId37"/>
    <sheet name="19-10" sheetId="103" r:id="rId38"/>
    <sheet name="20-10" sheetId="104" r:id="rId39"/>
    <sheet name="23-10" sheetId="105" r:id="rId40"/>
    <sheet name="24-10" sheetId="106" r:id="rId41"/>
    <sheet name="25-10" sheetId="107" r:id="rId42"/>
    <sheet name="26-10" sheetId="108" r:id="rId43"/>
    <sheet name="30-10" sheetId="109" r:id="rId44"/>
    <sheet name="31-10" sheetId="110" r:id="rId45"/>
    <sheet name="02-11" sheetId="111" r:id="rId46"/>
    <sheet name="03-11" sheetId="112" r:id="rId47"/>
    <sheet name="06-11" sheetId="113" r:id="rId48"/>
    <sheet name="07-11" sheetId="114" r:id="rId49"/>
    <sheet name="08-11" sheetId="115" r:id="rId50"/>
    <sheet name="09-11" sheetId="116" r:id="rId51"/>
    <sheet name="10-11" sheetId="117" r:id="rId52"/>
    <sheet name="13-11" sheetId="118" r:id="rId53"/>
    <sheet name="14-11" sheetId="120" r:id="rId54"/>
    <sheet name="15-11" sheetId="119" r:id="rId55"/>
    <sheet name="16-11" sheetId="121" r:id="rId56"/>
    <sheet name="17-11" sheetId="122" r:id="rId57"/>
    <sheet name="20-11" sheetId="123" r:id="rId58"/>
    <sheet name="21-11" sheetId="124" r:id="rId59"/>
    <sheet name="22-11" sheetId="125" r:id="rId60"/>
    <sheet name="23-11" sheetId="126" r:id="rId61"/>
    <sheet name="24-11" sheetId="127" r:id="rId62"/>
    <sheet name="27-11" sheetId="128" r:id="rId63"/>
    <sheet name="28-11" sheetId="129" r:id="rId64"/>
    <sheet name="29-11" sheetId="130" r:id="rId65"/>
    <sheet name="30-11" sheetId="131" r:id="rId66"/>
    <sheet name="01-12" sheetId="132" r:id="rId67"/>
    <sheet name="04-12" sheetId="133" r:id="rId68"/>
    <sheet name="05-12" sheetId="134" r:id="rId69"/>
    <sheet name="06-12" sheetId="135" r:id="rId70"/>
    <sheet name="07-12" sheetId="136" r:id="rId71"/>
    <sheet name="11-12" sheetId="137" r:id="rId72"/>
    <sheet name="12-12" sheetId="138" r:id="rId73"/>
    <sheet name="13-12" sheetId="139" r:id="rId74"/>
    <sheet name="14-12" sheetId="140" r:id="rId75"/>
    <sheet name="15-12" sheetId="141" r:id="rId76"/>
    <sheet name="18-12" sheetId="142" r:id="rId77"/>
    <sheet name="19-12" sheetId="143" r:id="rId78"/>
    <sheet name="20-12" sheetId="144" r:id="rId79"/>
    <sheet name="21-12" sheetId="145" r:id="rId80"/>
    <sheet name="22-12" sheetId="146" r:id="rId81"/>
    <sheet name="26-12" sheetId="147" r:id="rId82"/>
    <sheet name="27-12" sheetId="148" r:id="rId83"/>
    <sheet name="28-12" sheetId="149" r:id="rId84"/>
    <sheet name="29-12" sheetId="150" r:id="rId85"/>
    <sheet name="02-01-2018" sheetId="151" r:id="rId86"/>
    <sheet name="03-01-2018" sheetId="152" r:id="rId87"/>
    <sheet name="04-01-2018" sheetId="153" r:id="rId88"/>
    <sheet name="05-01" sheetId="154" r:id="rId89"/>
    <sheet name="08-01" sheetId="155" r:id="rId90"/>
    <sheet name="09-01-2018" sheetId="156" r:id="rId91"/>
    <sheet name="10-01" sheetId="157" r:id="rId92"/>
    <sheet name="11-01" sheetId="158" r:id="rId93"/>
    <sheet name="12-01" sheetId="159" r:id="rId94"/>
    <sheet name="15-01" sheetId="160" r:id="rId95"/>
    <sheet name="17-01" sheetId="161" r:id="rId96"/>
    <sheet name="18-01" sheetId="162" r:id="rId97"/>
    <sheet name="19-01" sheetId="163" r:id="rId98"/>
    <sheet name="22-01" sheetId="164" r:id="rId99"/>
    <sheet name="23-01" sheetId="165" r:id="rId100"/>
    <sheet name="24-01" sheetId="166" r:id="rId101"/>
    <sheet name="25-01" sheetId="167" r:id="rId102"/>
  </sheets>
  <calcPr calcId="171027" calcMode="autoNoTable" calcOnSave="0"/>
</workbook>
</file>

<file path=xl/calcChain.xml><?xml version="1.0" encoding="utf-8"?>
<calcChain xmlns="http://schemas.openxmlformats.org/spreadsheetml/2006/main">
  <c r="F121" i="167" l="1"/>
  <c r="D33" i="167" s="1"/>
  <c r="D105" i="167"/>
  <c r="D104" i="167"/>
  <c r="D103" i="167"/>
  <c r="D102" i="167"/>
  <c r="D101" i="167"/>
  <c r="D100" i="167"/>
  <c r="D99" i="167"/>
  <c r="C95" i="167"/>
  <c r="D94" i="167"/>
  <c r="D93" i="167"/>
  <c r="D92" i="167"/>
  <c r="D91" i="167"/>
  <c r="D90" i="167"/>
  <c r="D89" i="167"/>
  <c r="D88" i="167"/>
  <c r="D87" i="167"/>
  <c r="D86" i="167"/>
  <c r="D85" i="167"/>
  <c r="D84" i="167"/>
  <c r="D83" i="167"/>
  <c r="G80" i="167"/>
  <c r="C80" i="167"/>
  <c r="H79" i="167"/>
  <c r="D79" i="167"/>
  <c r="H78" i="167"/>
  <c r="D78" i="167"/>
  <c r="H77" i="167"/>
  <c r="D77" i="167"/>
  <c r="H76" i="167"/>
  <c r="D76" i="167"/>
  <c r="H75" i="167"/>
  <c r="D75" i="167"/>
  <c r="H74" i="167"/>
  <c r="D74" i="167"/>
  <c r="H73" i="167"/>
  <c r="D73" i="167"/>
  <c r="H72" i="167"/>
  <c r="D72" i="167"/>
  <c r="H71" i="167"/>
  <c r="D71" i="167"/>
  <c r="H70" i="167"/>
  <c r="D70" i="167"/>
  <c r="H69" i="167"/>
  <c r="D69" i="167"/>
  <c r="H68" i="167"/>
  <c r="D68" i="167"/>
  <c r="G65" i="167"/>
  <c r="C65" i="167"/>
  <c r="H64" i="167"/>
  <c r="D64" i="167"/>
  <c r="H63" i="167"/>
  <c r="D63" i="167"/>
  <c r="H62" i="167"/>
  <c r="D62" i="167"/>
  <c r="H61" i="167"/>
  <c r="D61" i="167"/>
  <c r="H60" i="167"/>
  <c r="D60" i="167"/>
  <c r="H59" i="167"/>
  <c r="D59" i="167"/>
  <c r="H58" i="167"/>
  <c r="D58" i="167"/>
  <c r="H57" i="167"/>
  <c r="D57" i="167"/>
  <c r="H56" i="167"/>
  <c r="D56" i="167"/>
  <c r="H55" i="167"/>
  <c r="D55" i="167"/>
  <c r="H54" i="167"/>
  <c r="D54" i="167"/>
  <c r="H53" i="167"/>
  <c r="D53" i="167"/>
  <c r="G49" i="167"/>
  <c r="C49" i="167"/>
  <c r="H48" i="167"/>
  <c r="D48" i="167"/>
  <c r="H47" i="167"/>
  <c r="D47" i="167"/>
  <c r="H46" i="167"/>
  <c r="D46" i="167"/>
  <c r="H45" i="167"/>
  <c r="D45" i="167"/>
  <c r="H44" i="167"/>
  <c r="D44" i="167"/>
  <c r="H43" i="167"/>
  <c r="D43" i="167"/>
  <c r="H42" i="167"/>
  <c r="D42" i="167"/>
  <c r="H41" i="167"/>
  <c r="D41" i="167"/>
  <c r="H40" i="167"/>
  <c r="D40" i="167"/>
  <c r="H39" i="167"/>
  <c r="D39" i="167"/>
  <c r="H38" i="167"/>
  <c r="D38" i="167"/>
  <c r="H37" i="167"/>
  <c r="D37" i="167"/>
  <c r="G34" i="167"/>
  <c r="C34" i="167"/>
  <c r="H33" i="167"/>
  <c r="H32" i="167"/>
  <c r="H31" i="167"/>
  <c r="H30" i="167"/>
  <c r="H29" i="167"/>
  <c r="H28" i="167"/>
  <c r="H27" i="167"/>
  <c r="H26" i="167"/>
  <c r="D26" i="167"/>
  <c r="H25" i="167"/>
  <c r="H24" i="167"/>
  <c r="H23" i="167"/>
  <c r="H22" i="167"/>
  <c r="G19" i="167"/>
  <c r="C19" i="167"/>
  <c r="H18" i="167"/>
  <c r="H17" i="167"/>
  <c r="H16" i="167"/>
  <c r="H15" i="167"/>
  <c r="H14" i="167"/>
  <c r="H13" i="167"/>
  <c r="H12" i="167"/>
  <c r="H11" i="167"/>
  <c r="H10" i="167"/>
  <c r="H9" i="167"/>
  <c r="H8" i="167"/>
  <c r="H7" i="167"/>
  <c r="H65" i="167" l="1"/>
  <c r="D22" i="167"/>
  <c r="D30" i="167"/>
  <c r="D80" i="167"/>
  <c r="D24" i="167"/>
  <c r="D32" i="167"/>
  <c r="H34" i="167"/>
  <c r="D28" i="167"/>
  <c r="D23" i="167"/>
  <c r="D25" i="167"/>
  <c r="D27" i="167"/>
  <c r="D29" i="167"/>
  <c r="D31" i="167"/>
  <c r="H49" i="167"/>
  <c r="H80" i="167"/>
  <c r="H19" i="167"/>
  <c r="D106" i="167"/>
  <c r="D95" i="167"/>
  <c r="D65" i="167"/>
  <c r="D49" i="167"/>
  <c r="F121" i="166"/>
  <c r="D33" i="166" s="1"/>
  <c r="F120" i="166"/>
  <c r="D17" i="166" s="1"/>
  <c r="D105" i="166"/>
  <c r="D104" i="166"/>
  <c r="D103" i="166"/>
  <c r="D102" i="166"/>
  <c r="D101" i="166"/>
  <c r="D100" i="166"/>
  <c r="D99" i="166"/>
  <c r="C95" i="166"/>
  <c r="D94" i="166"/>
  <c r="D93" i="166"/>
  <c r="D92" i="166"/>
  <c r="D91" i="166"/>
  <c r="D90" i="166"/>
  <c r="D89" i="166"/>
  <c r="D88" i="166"/>
  <c r="D87" i="166"/>
  <c r="D86" i="166"/>
  <c r="D85" i="166"/>
  <c r="D84" i="166"/>
  <c r="D83" i="166"/>
  <c r="G80" i="166"/>
  <c r="C80" i="166"/>
  <c r="H79" i="166"/>
  <c r="D79" i="166"/>
  <c r="H78" i="166"/>
  <c r="D78" i="166"/>
  <c r="H77" i="166"/>
  <c r="D77" i="166"/>
  <c r="H76" i="166"/>
  <c r="D76" i="166"/>
  <c r="H75" i="166"/>
  <c r="D75" i="166"/>
  <c r="H74" i="166"/>
  <c r="D74" i="166"/>
  <c r="H73" i="166"/>
  <c r="D73" i="166"/>
  <c r="H72" i="166"/>
  <c r="D72" i="166"/>
  <c r="H71" i="166"/>
  <c r="D71" i="166"/>
  <c r="H70" i="166"/>
  <c r="D70" i="166"/>
  <c r="H69" i="166"/>
  <c r="D69" i="166"/>
  <c r="H68" i="166"/>
  <c r="D68" i="166"/>
  <c r="G65" i="166"/>
  <c r="C65" i="166"/>
  <c r="H64" i="166"/>
  <c r="D64" i="166"/>
  <c r="H63" i="166"/>
  <c r="D63" i="166"/>
  <c r="H62" i="166"/>
  <c r="D62" i="166"/>
  <c r="H61" i="166"/>
  <c r="D61" i="166"/>
  <c r="H60" i="166"/>
  <c r="D60" i="166"/>
  <c r="H59" i="166"/>
  <c r="D59" i="166"/>
  <c r="H58" i="166"/>
  <c r="D58" i="166"/>
  <c r="H57" i="166"/>
  <c r="D57" i="166"/>
  <c r="H56" i="166"/>
  <c r="D56" i="166"/>
  <c r="H55" i="166"/>
  <c r="D55" i="166"/>
  <c r="H54" i="166"/>
  <c r="D54" i="166"/>
  <c r="H53" i="166"/>
  <c r="D53" i="166"/>
  <c r="G49" i="166"/>
  <c r="C49" i="166"/>
  <c r="H48" i="166"/>
  <c r="D48" i="166"/>
  <c r="H47" i="166"/>
  <c r="D47" i="166"/>
  <c r="H46" i="166"/>
  <c r="D46" i="166"/>
  <c r="H45" i="166"/>
  <c r="D45" i="166"/>
  <c r="H44" i="166"/>
  <c r="D44" i="166"/>
  <c r="H43" i="166"/>
  <c r="D43" i="166"/>
  <c r="H42" i="166"/>
  <c r="D42" i="166"/>
  <c r="H41" i="166"/>
  <c r="D41" i="166"/>
  <c r="H40" i="166"/>
  <c r="D40" i="166"/>
  <c r="H39" i="166"/>
  <c r="D39" i="166"/>
  <c r="H38" i="166"/>
  <c r="D38" i="166"/>
  <c r="H37" i="166"/>
  <c r="D37" i="166"/>
  <c r="G34" i="166"/>
  <c r="C34" i="166"/>
  <c r="H33" i="166"/>
  <c r="H32" i="166"/>
  <c r="D32" i="166"/>
  <c r="H31" i="166"/>
  <c r="H30" i="166"/>
  <c r="D30" i="166"/>
  <c r="H29" i="166"/>
  <c r="H28" i="166"/>
  <c r="D28" i="166"/>
  <c r="H27" i="166"/>
  <c r="H26" i="166"/>
  <c r="D26" i="166"/>
  <c r="H25" i="166"/>
  <c r="H24" i="166"/>
  <c r="D24" i="166"/>
  <c r="H23" i="166"/>
  <c r="H22" i="166"/>
  <c r="D22" i="166"/>
  <c r="G19" i="166"/>
  <c r="C19" i="166"/>
  <c r="H18" i="166"/>
  <c r="D18" i="166"/>
  <c r="H17" i="166"/>
  <c r="H16" i="166"/>
  <c r="H15" i="166"/>
  <c r="H14" i="166"/>
  <c r="H13" i="166"/>
  <c r="H12" i="166"/>
  <c r="H11" i="166"/>
  <c r="H10" i="166"/>
  <c r="D10" i="166"/>
  <c r="H9" i="166"/>
  <c r="H8" i="166"/>
  <c r="H7" i="166"/>
  <c r="D23" i="166" l="1"/>
  <c r="D25" i="166"/>
  <c r="D27" i="166"/>
  <c r="D29" i="166"/>
  <c r="D31" i="166"/>
  <c r="D8" i="166"/>
  <c r="D16" i="166"/>
  <c r="D14" i="166"/>
  <c r="D12" i="166"/>
  <c r="H49" i="166"/>
  <c r="H80" i="166"/>
  <c r="D34" i="167"/>
  <c r="D7" i="166"/>
  <c r="D9" i="166"/>
  <c r="D11" i="166"/>
  <c r="D13" i="166"/>
  <c r="D15" i="166"/>
  <c r="H19" i="166"/>
  <c r="D49" i="166"/>
  <c r="D106" i="166"/>
  <c r="H34" i="166"/>
  <c r="D95" i="166"/>
  <c r="D80" i="166"/>
  <c r="H65" i="166"/>
  <c r="D65" i="166"/>
  <c r="F121" i="165"/>
  <c r="D32" i="165" s="1"/>
  <c r="F120" i="165"/>
  <c r="D17" i="165" s="1"/>
  <c r="D105" i="165"/>
  <c r="D104" i="165"/>
  <c r="D103" i="165"/>
  <c r="D102" i="165"/>
  <c r="D101" i="165"/>
  <c r="D100" i="165"/>
  <c r="D99" i="165"/>
  <c r="C95" i="165"/>
  <c r="D94" i="165"/>
  <c r="D93" i="165"/>
  <c r="D92" i="165"/>
  <c r="D91" i="165"/>
  <c r="D90" i="165"/>
  <c r="D89" i="165"/>
  <c r="D88" i="165"/>
  <c r="D87" i="165"/>
  <c r="D86" i="165"/>
  <c r="D85" i="165"/>
  <c r="D84" i="165"/>
  <c r="D83" i="165"/>
  <c r="G80" i="165"/>
  <c r="C80" i="165"/>
  <c r="H79" i="165"/>
  <c r="D79" i="165"/>
  <c r="H78" i="165"/>
  <c r="D78" i="165"/>
  <c r="H77" i="165"/>
  <c r="D77" i="165"/>
  <c r="H76" i="165"/>
  <c r="D76" i="165"/>
  <c r="H75" i="165"/>
  <c r="D75" i="165"/>
  <c r="H74" i="165"/>
  <c r="D74" i="165"/>
  <c r="H73" i="165"/>
  <c r="D73" i="165"/>
  <c r="H72" i="165"/>
  <c r="D72" i="165"/>
  <c r="H71" i="165"/>
  <c r="D71" i="165"/>
  <c r="H70" i="165"/>
  <c r="D70" i="165"/>
  <c r="H69" i="165"/>
  <c r="D69" i="165"/>
  <c r="H68" i="165"/>
  <c r="D68" i="165"/>
  <c r="G65" i="165"/>
  <c r="C65" i="165"/>
  <c r="H64" i="165"/>
  <c r="D64" i="165"/>
  <c r="H63" i="165"/>
  <c r="D63" i="165"/>
  <c r="H62" i="165"/>
  <c r="D62" i="165"/>
  <c r="H61" i="165"/>
  <c r="D61" i="165"/>
  <c r="H60" i="165"/>
  <c r="D60" i="165"/>
  <c r="H59" i="165"/>
  <c r="D59" i="165"/>
  <c r="H58" i="165"/>
  <c r="D58" i="165"/>
  <c r="H57" i="165"/>
  <c r="D57" i="165"/>
  <c r="H56" i="165"/>
  <c r="D56" i="165"/>
  <c r="H55" i="165"/>
  <c r="D55" i="165"/>
  <c r="H54" i="165"/>
  <c r="D54" i="165"/>
  <c r="H53" i="165"/>
  <c r="D53" i="165"/>
  <c r="G49" i="165"/>
  <c r="C49" i="165"/>
  <c r="H48" i="165"/>
  <c r="D48" i="165"/>
  <c r="H47" i="165"/>
  <c r="D47" i="165"/>
  <c r="H46" i="165"/>
  <c r="D46" i="165"/>
  <c r="H45" i="165"/>
  <c r="D45" i="165"/>
  <c r="H44" i="165"/>
  <c r="D44" i="165"/>
  <c r="H43" i="165"/>
  <c r="D43" i="165"/>
  <c r="H42" i="165"/>
  <c r="D42" i="165"/>
  <c r="H41" i="165"/>
  <c r="D41" i="165"/>
  <c r="H40" i="165"/>
  <c r="D40" i="165"/>
  <c r="H39" i="165"/>
  <c r="D39" i="165"/>
  <c r="H38" i="165"/>
  <c r="D38" i="165"/>
  <c r="H37" i="165"/>
  <c r="D37" i="165"/>
  <c r="G34" i="165"/>
  <c r="C34" i="165"/>
  <c r="H33" i="165"/>
  <c r="H32" i="165"/>
  <c r="H31" i="165"/>
  <c r="H30" i="165"/>
  <c r="H29" i="165"/>
  <c r="H28" i="165"/>
  <c r="H27" i="165"/>
  <c r="H26" i="165"/>
  <c r="H25" i="165"/>
  <c r="H24" i="165"/>
  <c r="H23" i="165"/>
  <c r="H22" i="165"/>
  <c r="G19" i="165"/>
  <c r="C19" i="165"/>
  <c r="H18" i="165"/>
  <c r="D18" i="165"/>
  <c r="H17" i="165"/>
  <c r="H16" i="165"/>
  <c r="H15" i="165"/>
  <c r="H14" i="165"/>
  <c r="H13" i="165"/>
  <c r="H12" i="165"/>
  <c r="D12" i="165"/>
  <c r="H11" i="165"/>
  <c r="H10" i="165"/>
  <c r="H9" i="165"/>
  <c r="H8" i="165"/>
  <c r="H7" i="165"/>
  <c r="D7" i="165"/>
  <c r="D34" i="166" l="1"/>
  <c r="D80" i="165"/>
  <c r="D19" i="166"/>
  <c r="H49" i="165"/>
  <c r="H80" i="165"/>
  <c r="D9" i="165"/>
  <c r="D14" i="165"/>
  <c r="D8" i="165"/>
  <c r="D10" i="165"/>
  <c r="D49" i="165"/>
  <c r="D16" i="165"/>
  <c r="D33" i="165"/>
  <c r="D23" i="165"/>
  <c r="D25" i="165"/>
  <c r="D27" i="165"/>
  <c r="D29" i="165"/>
  <c r="D31" i="165"/>
  <c r="D22" i="165"/>
  <c r="D24" i="165"/>
  <c r="D26" i="165"/>
  <c r="D28" i="165"/>
  <c r="D30" i="165"/>
  <c r="D11" i="165"/>
  <c r="D13" i="165"/>
  <c r="D15" i="165"/>
  <c r="H19" i="165"/>
  <c r="H34" i="165"/>
  <c r="D106" i="165"/>
  <c r="D95" i="165"/>
  <c r="H65" i="165"/>
  <c r="D65" i="165"/>
  <c r="F121" i="164"/>
  <c r="D31" i="164" s="1"/>
  <c r="F120" i="164"/>
  <c r="D18" i="164" s="1"/>
  <c r="D105" i="164"/>
  <c r="D104" i="164"/>
  <c r="D103" i="164"/>
  <c r="D102" i="164"/>
  <c r="D101" i="164"/>
  <c r="D100" i="164"/>
  <c r="D99" i="164"/>
  <c r="D94" i="164"/>
  <c r="D93" i="164"/>
  <c r="D92" i="164"/>
  <c r="D91" i="164"/>
  <c r="D90" i="164"/>
  <c r="D89" i="164"/>
  <c r="D88" i="164"/>
  <c r="D87" i="164"/>
  <c r="D86" i="164"/>
  <c r="D85" i="164"/>
  <c r="D84" i="164"/>
  <c r="D83" i="164"/>
  <c r="G80" i="164"/>
  <c r="C80" i="164"/>
  <c r="H79" i="164"/>
  <c r="D79" i="164"/>
  <c r="H78" i="164"/>
  <c r="D78" i="164"/>
  <c r="H77" i="164"/>
  <c r="D77" i="164"/>
  <c r="H76" i="164"/>
  <c r="D76" i="164"/>
  <c r="H75" i="164"/>
  <c r="D75" i="164"/>
  <c r="H74" i="164"/>
  <c r="D74" i="164"/>
  <c r="H73" i="164"/>
  <c r="D73" i="164"/>
  <c r="H72" i="164"/>
  <c r="D72" i="164"/>
  <c r="H71" i="164"/>
  <c r="D71" i="164"/>
  <c r="H70" i="164"/>
  <c r="D70" i="164"/>
  <c r="H69" i="164"/>
  <c r="D69" i="164"/>
  <c r="H68" i="164"/>
  <c r="D68" i="164"/>
  <c r="G65" i="164"/>
  <c r="C65" i="164"/>
  <c r="H64" i="164"/>
  <c r="D64" i="164"/>
  <c r="H63" i="164"/>
  <c r="D63" i="164"/>
  <c r="H62" i="164"/>
  <c r="D62" i="164"/>
  <c r="H61" i="164"/>
  <c r="D61" i="164"/>
  <c r="H60" i="164"/>
  <c r="D60" i="164"/>
  <c r="H59" i="164"/>
  <c r="D59" i="164"/>
  <c r="H58" i="164"/>
  <c r="D58" i="164"/>
  <c r="H57" i="164"/>
  <c r="D57" i="164"/>
  <c r="H56" i="164"/>
  <c r="D56" i="164"/>
  <c r="H55" i="164"/>
  <c r="D55" i="164"/>
  <c r="H54" i="164"/>
  <c r="D54" i="164"/>
  <c r="H53" i="164"/>
  <c r="D53" i="164"/>
  <c r="G49" i="164"/>
  <c r="C49" i="164"/>
  <c r="H48" i="164"/>
  <c r="D48" i="164"/>
  <c r="H47" i="164"/>
  <c r="D47" i="164"/>
  <c r="H46" i="164"/>
  <c r="D46" i="164"/>
  <c r="H45" i="164"/>
  <c r="D45" i="164"/>
  <c r="H44" i="164"/>
  <c r="D44" i="164"/>
  <c r="H43" i="164"/>
  <c r="D43" i="164"/>
  <c r="H42" i="164"/>
  <c r="D42" i="164"/>
  <c r="H41" i="164"/>
  <c r="D41" i="164"/>
  <c r="H40" i="164"/>
  <c r="D40" i="164"/>
  <c r="H39" i="164"/>
  <c r="D39" i="164"/>
  <c r="H38" i="164"/>
  <c r="D38" i="164"/>
  <c r="H37" i="164"/>
  <c r="D37" i="164"/>
  <c r="G34" i="164"/>
  <c r="C34" i="164"/>
  <c r="H33" i="164"/>
  <c r="H32" i="164"/>
  <c r="H31" i="164"/>
  <c r="H30" i="164"/>
  <c r="H29" i="164"/>
  <c r="H28" i="164"/>
  <c r="H27" i="164"/>
  <c r="H26" i="164"/>
  <c r="H25" i="164"/>
  <c r="H24" i="164"/>
  <c r="H23" i="164"/>
  <c r="H22" i="164"/>
  <c r="G19" i="164"/>
  <c r="C19" i="164"/>
  <c r="H18" i="164"/>
  <c r="H17" i="164"/>
  <c r="D17" i="164"/>
  <c r="H16" i="164"/>
  <c r="H15" i="164"/>
  <c r="H14" i="164"/>
  <c r="H13" i="164"/>
  <c r="H12" i="164"/>
  <c r="H11" i="164"/>
  <c r="H10" i="164"/>
  <c r="H9" i="164"/>
  <c r="H8" i="164"/>
  <c r="H7" i="164"/>
  <c r="D34" i="165" l="1"/>
  <c r="D19" i="165"/>
  <c r="D9" i="164"/>
  <c r="D49" i="164"/>
  <c r="D80" i="164"/>
  <c r="H34" i="164"/>
  <c r="D25" i="164"/>
  <c r="D29" i="164"/>
  <c r="D33" i="164"/>
  <c r="D22" i="164"/>
  <c r="D24" i="164"/>
  <c r="D26" i="164"/>
  <c r="D28" i="164"/>
  <c r="D30" i="164"/>
  <c r="D32" i="164"/>
  <c r="D23" i="164"/>
  <c r="D27" i="164"/>
  <c r="D7" i="164"/>
  <c r="D15" i="164"/>
  <c r="D13" i="164"/>
  <c r="D11" i="164"/>
  <c r="D95" i="164"/>
  <c r="D106" i="164"/>
  <c r="H19" i="164"/>
  <c r="H49" i="164"/>
  <c r="H80" i="164"/>
  <c r="D8" i="164"/>
  <c r="D10" i="164"/>
  <c r="D12" i="164"/>
  <c r="D14" i="164"/>
  <c r="D16" i="164"/>
  <c r="D65" i="164"/>
  <c r="H65" i="164"/>
  <c r="C95" i="164"/>
  <c r="C92" i="163"/>
  <c r="D34" i="164" l="1"/>
  <c r="D19" i="164"/>
  <c r="F121" i="163"/>
  <c r="D33" i="163" s="1"/>
  <c r="F120" i="163"/>
  <c r="D17" i="163" s="1"/>
  <c r="D105" i="163"/>
  <c r="D104" i="163"/>
  <c r="D103" i="163"/>
  <c r="D102" i="163"/>
  <c r="D101" i="163"/>
  <c r="D100" i="163"/>
  <c r="D99" i="163"/>
  <c r="C95" i="163"/>
  <c r="D94" i="163"/>
  <c r="D93" i="163"/>
  <c r="D92" i="163"/>
  <c r="D91" i="163"/>
  <c r="D90" i="163"/>
  <c r="D89" i="163"/>
  <c r="D88" i="163"/>
  <c r="D87" i="163"/>
  <c r="D86" i="163"/>
  <c r="D85" i="163"/>
  <c r="D84" i="163"/>
  <c r="D83" i="163"/>
  <c r="G80" i="163"/>
  <c r="C80" i="163"/>
  <c r="H79" i="163"/>
  <c r="D79" i="163"/>
  <c r="H78" i="163"/>
  <c r="D78" i="163"/>
  <c r="H77" i="163"/>
  <c r="D77" i="163"/>
  <c r="H76" i="163"/>
  <c r="D76" i="163"/>
  <c r="H75" i="163"/>
  <c r="D75" i="163"/>
  <c r="H74" i="163"/>
  <c r="D74" i="163"/>
  <c r="H73" i="163"/>
  <c r="D73" i="163"/>
  <c r="H72" i="163"/>
  <c r="D72" i="163"/>
  <c r="H71" i="163"/>
  <c r="D71" i="163"/>
  <c r="H70" i="163"/>
  <c r="D70" i="163"/>
  <c r="H69" i="163"/>
  <c r="D69" i="163"/>
  <c r="H68" i="163"/>
  <c r="D68" i="163"/>
  <c r="G65" i="163"/>
  <c r="C65" i="163"/>
  <c r="H64" i="163"/>
  <c r="D64" i="163"/>
  <c r="H63" i="163"/>
  <c r="D63" i="163"/>
  <c r="H62" i="163"/>
  <c r="D62" i="163"/>
  <c r="H61" i="163"/>
  <c r="D61" i="163"/>
  <c r="H60" i="163"/>
  <c r="D60" i="163"/>
  <c r="H59" i="163"/>
  <c r="D59" i="163"/>
  <c r="H58" i="163"/>
  <c r="D58" i="163"/>
  <c r="H57" i="163"/>
  <c r="D57" i="163"/>
  <c r="H56" i="163"/>
  <c r="D56" i="163"/>
  <c r="H55" i="163"/>
  <c r="D55" i="163"/>
  <c r="H54" i="163"/>
  <c r="D54" i="163"/>
  <c r="H53" i="163"/>
  <c r="D53" i="163"/>
  <c r="G49" i="163"/>
  <c r="C49" i="163"/>
  <c r="H48" i="163"/>
  <c r="D48" i="163"/>
  <c r="H47" i="163"/>
  <c r="D47" i="163"/>
  <c r="H46" i="163"/>
  <c r="D46" i="163"/>
  <c r="H45" i="163"/>
  <c r="D45" i="163"/>
  <c r="H44" i="163"/>
  <c r="D44" i="163"/>
  <c r="H43" i="163"/>
  <c r="D43" i="163"/>
  <c r="H42" i="163"/>
  <c r="D42" i="163"/>
  <c r="H41" i="163"/>
  <c r="D41" i="163"/>
  <c r="H40" i="163"/>
  <c r="D40" i="163"/>
  <c r="H39" i="163"/>
  <c r="D39" i="163"/>
  <c r="H38" i="163"/>
  <c r="D38" i="163"/>
  <c r="H37" i="163"/>
  <c r="D37" i="163"/>
  <c r="G34" i="163"/>
  <c r="C34" i="163"/>
  <c r="H33" i="163"/>
  <c r="H32" i="163"/>
  <c r="D32" i="163"/>
  <c r="H31" i="163"/>
  <c r="H30" i="163"/>
  <c r="H29" i="163"/>
  <c r="H28" i="163"/>
  <c r="H27" i="163"/>
  <c r="H26" i="163"/>
  <c r="H25" i="163"/>
  <c r="H24" i="163"/>
  <c r="H23" i="163"/>
  <c r="H22" i="163"/>
  <c r="G19" i="163"/>
  <c r="C19" i="163"/>
  <c r="H18" i="163"/>
  <c r="H17" i="163"/>
  <c r="H16" i="163"/>
  <c r="H15" i="163"/>
  <c r="H14" i="163"/>
  <c r="H13" i="163"/>
  <c r="H12" i="163"/>
  <c r="H11" i="163"/>
  <c r="H10" i="163"/>
  <c r="H9" i="163"/>
  <c r="H8" i="163"/>
  <c r="H7" i="163"/>
  <c r="D24" i="163" l="1"/>
  <c r="D14" i="163"/>
  <c r="D28" i="163"/>
  <c r="D22" i="163"/>
  <c r="D30" i="163"/>
  <c r="D26" i="163"/>
  <c r="D12" i="163"/>
  <c r="D10" i="163"/>
  <c r="D18" i="163"/>
  <c r="D8" i="163"/>
  <c r="D16" i="163"/>
  <c r="H34" i="163"/>
  <c r="H65" i="163"/>
  <c r="D7" i="163"/>
  <c r="D9" i="163"/>
  <c r="D11" i="163"/>
  <c r="D13" i="163"/>
  <c r="D15" i="163"/>
  <c r="D23" i="163"/>
  <c r="D25" i="163"/>
  <c r="D27" i="163"/>
  <c r="D29" i="163"/>
  <c r="D31" i="163"/>
  <c r="D49" i="163"/>
  <c r="D80" i="163"/>
  <c r="H19" i="163"/>
  <c r="H80" i="163"/>
  <c r="D106" i="163"/>
  <c r="D95" i="163"/>
  <c r="D65" i="163"/>
  <c r="H49" i="163"/>
  <c r="F121" i="162"/>
  <c r="D32" i="162" s="1"/>
  <c r="F120" i="162"/>
  <c r="D15" i="162" s="1"/>
  <c r="D105" i="162"/>
  <c r="D104" i="162"/>
  <c r="D103" i="162"/>
  <c r="D102" i="162"/>
  <c r="D101" i="162"/>
  <c r="D100" i="162"/>
  <c r="D99" i="162"/>
  <c r="C95" i="162"/>
  <c r="D94" i="162"/>
  <c r="D93" i="162"/>
  <c r="D92" i="162"/>
  <c r="D91" i="162"/>
  <c r="D90" i="162"/>
  <c r="D89" i="162"/>
  <c r="D88" i="162"/>
  <c r="D87" i="162"/>
  <c r="D86" i="162"/>
  <c r="D85" i="162"/>
  <c r="D84" i="162"/>
  <c r="D83" i="162"/>
  <c r="G80" i="162"/>
  <c r="C80" i="162"/>
  <c r="H79" i="162"/>
  <c r="D79" i="162"/>
  <c r="H78" i="162"/>
  <c r="D78" i="162"/>
  <c r="H77" i="162"/>
  <c r="D77" i="162"/>
  <c r="H76" i="162"/>
  <c r="D76" i="162"/>
  <c r="H75" i="162"/>
  <c r="D75" i="162"/>
  <c r="H74" i="162"/>
  <c r="D74" i="162"/>
  <c r="H73" i="162"/>
  <c r="D73" i="162"/>
  <c r="H72" i="162"/>
  <c r="D72" i="162"/>
  <c r="H71" i="162"/>
  <c r="D71" i="162"/>
  <c r="H70" i="162"/>
  <c r="D70" i="162"/>
  <c r="H69" i="162"/>
  <c r="D69" i="162"/>
  <c r="H68" i="162"/>
  <c r="D68" i="162"/>
  <c r="G65" i="162"/>
  <c r="C65" i="162"/>
  <c r="H64" i="162"/>
  <c r="D64" i="162"/>
  <c r="H63" i="162"/>
  <c r="D63" i="162"/>
  <c r="H62" i="162"/>
  <c r="D62" i="162"/>
  <c r="H61" i="162"/>
  <c r="D61" i="162"/>
  <c r="H60" i="162"/>
  <c r="D60" i="162"/>
  <c r="H59" i="162"/>
  <c r="D59" i="162"/>
  <c r="H58" i="162"/>
  <c r="D58" i="162"/>
  <c r="H57" i="162"/>
  <c r="D57" i="162"/>
  <c r="H56" i="162"/>
  <c r="D56" i="162"/>
  <c r="H55" i="162"/>
  <c r="D55" i="162"/>
  <c r="H54" i="162"/>
  <c r="D54" i="162"/>
  <c r="H53" i="162"/>
  <c r="D53" i="162"/>
  <c r="G49" i="162"/>
  <c r="C49" i="162"/>
  <c r="H48" i="162"/>
  <c r="D48" i="162"/>
  <c r="H47" i="162"/>
  <c r="D47" i="162"/>
  <c r="H46" i="162"/>
  <c r="D46" i="162"/>
  <c r="H45" i="162"/>
  <c r="D45" i="162"/>
  <c r="H44" i="162"/>
  <c r="D44" i="162"/>
  <c r="H43" i="162"/>
  <c r="D43" i="162"/>
  <c r="H42" i="162"/>
  <c r="D42" i="162"/>
  <c r="H41" i="162"/>
  <c r="D41" i="162"/>
  <c r="H40" i="162"/>
  <c r="D40" i="162"/>
  <c r="H39" i="162"/>
  <c r="D39" i="162"/>
  <c r="H38" i="162"/>
  <c r="D38" i="162"/>
  <c r="H37" i="162"/>
  <c r="D37" i="162"/>
  <c r="G34" i="162"/>
  <c r="C34" i="162"/>
  <c r="H33" i="162"/>
  <c r="H32" i="162"/>
  <c r="H31" i="162"/>
  <c r="H30" i="162"/>
  <c r="H29" i="162"/>
  <c r="H28" i="162"/>
  <c r="H27" i="162"/>
  <c r="H26" i="162"/>
  <c r="H25" i="162"/>
  <c r="H24" i="162"/>
  <c r="H23" i="162"/>
  <c r="H22" i="162"/>
  <c r="G19" i="162"/>
  <c r="C19" i="162"/>
  <c r="H18" i="162"/>
  <c r="H17" i="162"/>
  <c r="H16" i="162"/>
  <c r="H15" i="162"/>
  <c r="H14" i="162"/>
  <c r="D14" i="162"/>
  <c r="H13" i="162"/>
  <c r="H12" i="162"/>
  <c r="H11" i="162"/>
  <c r="H10" i="162"/>
  <c r="H9" i="162"/>
  <c r="H8" i="162"/>
  <c r="H7" i="162"/>
  <c r="D34" i="163" l="1"/>
  <c r="D19" i="163"/>
  <c r="D29" i="162"/>
  <c r="D27" i="162"/>
  <c r="D8" i="162"/>
  <c r="D106" i="162"/>
  <c r="D18" i="162"/>
  <c r="D25" i="162"/>
  <c r="D33" i="162"/>
  <c r="D49" i="162"/>
  <c r="D80" i="162"/>
  <c r="D10" i="162"/>
  <c r="D16" i="162"/>
  <c r="D23" i="162"/>
  <c r="D31" i="162"/>
  <c r="H65" i="162"/>
  <c r="H19" i="162"/>
  <c r="D12" i="162"/>
  <c r="H49" i="162"/>
  <c r="H80" i="162"/>
  <c r="D95" i="162"/>
  <c r="D65" i="162"/>
  <c r="H34" i="162"/>
  <c r="D7" i="162"/>
  <c r="D13" i="162"/>
  <c r="D17" i="162"/>
  <c r="D22" i="162"/>
  <c r="D24" i="162"/>
  <c r="D26" i="162"/>
  <c r="D28" i="162"/>
  <c r="D30" i="162"/>
  <c r="D9" i="162"/>
  <c r="D11" i="162"/>
  <c r="F121" i="161"/>
  <c r="D33" i="161" s="1"/>
  <c r="F120" i="161"/>
  <c r="D17" i="161" s="1"/>
  <c r="D105" i="161"/>
  <c r="D104" i="161"/>
  <c r="D103" i="161"/>
  <c r="D102" i="161"/>
  <c r="D101" i="161"/>
  <c r="D100" i="161"/>
  <c r="D99" i="161"/>
  <c r="D94" i="161"/>
  <c r="D93" i="161"/>
  <c r="D92" i="161"/>
  <c r="D91" i="161"/>
  <c r="D90" i="161"/>
  <c r="D89" i="161"/>
  <c r="D88" i="161"/>
  <c r="D87" i="161"/>
  <c r="D86" i="161"/>
  <c r="D85" i="161"/>
  <c r="D84" i="161"/>
  <c r="D83" i="161"/>
  <c r="G80" i="161"/>
  <c r="C80" i="161"/>
  <c r="H79" i="161"/>
  <c r="D79" i="161"/>
  <c r="H78" i="161"/>
  <c r="D78" i="161"/>
  <c r="H77" i="161"/>
  <c r="D77" i="161"/>
  <c r="H76" i="161"/>
  <c r="D76" i="161"/>
  <c r="H75" i="161"/>
  <c r="D75" i="161"/>
  <c r="H74" i="161"/>
  <c r="D74" i="161"/>
  <c r="H73" i="161"/>
  <c r="D73" i="161"/>
  <c r="H72" i="161"/>
  <c r="D72" i="161"/>
  <c r="H71" i="161"/>
  <c r="D71" i="161"/>
  <c r="H70" i="161"/>
  <c r="D70" i="161"/>
  <c r="H69" i="161"/>
  <c r="D69" i="161"/>
  <c r="H68" i="161"/>
  <c r="D68" i="161"/>
  <c r="G65" i="161"/>
  <c r="C65" i="161"/>
  <c r="H64" i="161"/>
  <c r="D64" i="161"/>
  <c r="H63" i="161"/>
  <c r="D63" i="161"/>
  <c r="H62" i="161"/>
  <c r="D62" i="161"/>
  <c r="H61" i="161"/>
  <c r="D61" i="161"/>
  <c r="H60" i="161"/>
  <c r="D60" i="161"/>
  <c r="H59" i="161"/>
  <c r="D59" i="161"/>
  <c r="H58" i="161"/>
  <c r="D58" i="161"/>
  <c r="H57" i="161"/>
  <c r="D57" i="161"/>
  <c r="H56" i="161"/>
  <c r="D56" i="161"/>
  <c r="H55" i="161"/>
  <c r="D55" i="161"/>
  <c r="H54" i="161"/>
  <c r="D54" i="161"/>
  <c r="H53" i="161"/>
  <c r="D53" i="161"/>
  <c r="G49" i="161"/>
  <c r="C49" i="161"/>
  <c r="H48" i="161"/>
  <c r="D48" i="161"/>
  <c r="H47" i="161"/>
  <c r="D47" i="161"/>
  <c r="H46" i="161"/>
  <c r="D46" i="161"/>
  <c r="H45" i="161"/>
  <c r="D45" i="161"/>
  <c r="H44" i="161"/>
  <c r="D44" i="161"/>
  <c r="H43" i="161"/>
  <c r="D43" i="161"/>
  <c r="H42" i="161"/>
  <c r="D42" i="161"/>
  <c r="H41" i="161"/>
  <c r="D41" i="161"/>
  <c r="H40" i="161"/>
  <c r="D40" i="161"/>
  <c r="H39" i="161"/>
  <c r="D39" i="161"/>
  <c r="H38" i="161"/>
  <c r="D38" i="161"/>
  <c r="H37" i="161"/>
  <c r="D37" i="161"/>
  <c r="G34" i="161"/>
  <c r="C34" i="161"/>
  <c r="H33" i="161"/>
  <c r="H32" i="161"/>
  <c r="H31" i="161"/>
  <c r="H30" i="161"/>
  <c r="H29" i="161"/>
  <c r="H28" i="161"/>
  <c r="H27" i="161"/>
  <c r="H26" i="161"/>
  <c r="H25" i="161"/>
  <c r="H24" i="161"/>
  <c r="H23" i="161"/>
  <c r="H22" i="161"/>
  <c r="G19" i="161"/>
  <c r="C19" i="161"/>
  <c r="H18" i="161"/>
  <c r="H17" i="161"/>
  <c r="H16" i="161"/>
  <c r="H15" i="161"/>
  <c r="H14" i="161"/>
  <c r="H13" i="161"/>
  <c r="H12" i="161"/>
  <c r="H11" i="161"/>
  <c r="H10" i="161"/>
  <c r="H9" i="161"/>
  <c r="H8" i="161"/>
  <c r="H7" i="161"/>
  <c r="D26" i="161" l="1"/>
  <c r="D30" i="161"/>
  <c r="D22" i="161"/>
  <c r="D28" i="161"/>
  <c r="D24" i="161"/>
  <c r="D32" i="161"/>
  <c r="D19" i="162"/>
  <c r="D34" i="162"/>
  <c r="H49" i="161"/>
  <c r="H80" i="161"/>
  <c r="D65" i="161"/>
  <c r="D95" i="161"/>
  <c r="D14" i="161"/>
  <c r="D12" i="161"/>
  <c r="D18" i="161"/>
  <c r="D10" i="161"/>
  <c r="H65" i="161"/>
  <c r="D23" i="161"/>
  <c r="D25" i="161"/>
  <c r="D27" i="161"/>
  <c r="D29" i="161"/>
  <c r="D31" i="161"/>
  <c r="D49" i="161"/>
  <c r="D80" i="161"/>
  <c r="D106" i="161"/>
  <c r="D8" i="161"/>
  <c r="D16" i="161"/>
  <c r="H34" i="161"/>
  <c r="H19" i="161"/>
  <c r="C95" i="161"/>
  <c r="D7" i="161"/>
  <c r="D9" i="161"/>
  <c r="D11" i="161"/>
  <c r="D13" i="161"/>
  <c r="D15" i="161"/>
  <c r="C92" i="160"/>
  <c r="D34" i="161" l="1"/>
  <c r="D19" i="161"/>
  <c r="F121" i="160"/>
  <c r="D33" i="160" s="1"/>
  <c r="F120" i="160"/>
  <c r="D17" i="160" s="1"/>
  <c r="D105" i="160"/>
  <c r="D104" i="160"/>
  <c r="D103" i="160"/>
  <c r="D102" i="160"/>
  <c r="D101" i="160"/>
  <c r="D100" i="160"/>
  <c r="D99" i="160"/>
  <c r="C95" i="160"/>
  <c r="D94" i="160"/>
  <c r="D93" i="160"/>
  <c r="D92" i="160"/>
  <c r="D91" i="160"/>
  <c r="D90" i="160"/>
  <c r="D89" i="160"/>
  <c r="D88" i="160"/>
  <c r="D87" i="160"/>
  <c r="D86" i="160"/>
  <c r="D85" i="160"/>
  <c r="D84" i="160"/>
  <c r="D83" i="160"/>
  <c r="G80" i="160"/>
  <c r="C80" i="160"/>
  <c r="H79" i="160"/>
  <c r="D79" i="160"/>
  <c r="H78" i="160"/>
  <c r="D78" i="160"/>
  <c r="H77" i="160"/>
  <c r="D77" i="160"/>
  <c r="H76" i="160"/>
  <c r="D76" i="160"/>
  <c r="H75" i="160"/>
  <c r="D75" i="160"/>
  <c r="H74" i="160"/>
  <c r="D74" i="160"/>
  <c r="H73" i="160"/>
  <c r="D73" i="160"/>
  <c r="H72" i="160"/>
  <c r="D72" i="160"/>
  <c r="H71" i="160"/>
  <c r="D71" i="160"/>
  <c r="H70" i="160"/>
  <c r="D70" i="160"/>
  <c r="H69" i="160"/>
  <c r="D69" i="160"/>
  <c r="H68" i="160"/>
  <c r="D68" i="160"/>
  <c r="G65" i="160"/>
  <c r="C65" i="160"/>
  <c r="H64" i="160"/>
  <c r="D64" i="160"/>
  <c r="H63" i="160"/>
  <c r="D63" i="160"/>
  <c r="H62" i="160"/>
  <c r="D62" i="160"/>
  <c r="H61" i="160"/>
  <c r="D61" i="160"/>
  <c r="H60" i="160"/>
  <c r="D60" i="160"/>
  <c r="H59" i="160"/>
  <c r="D59" i="160"/>
  <c r="H58" i="160"/>
  <c r="D58" i="160"/>
  <c r="H57" i="160"/>
  <c r="D57" i="160"/>
  <c r="H56" i="160"/>
  <c r="D56" i="160"/>
  <c r="H55" i="160"/>
  <c r="D55" i="160"/>
  <c r="H54" i="160"/>
  <c r="D54" i="160"/>
  <c r="H53" i="160"/>
  <c r="D53" i="160"/>
  <c r="G49" i="160"/>
  <c r="C49" i="160"/>
  <c r="H48" i="160"/>
  <c r="D48" i="160"/>
  <c r="H47" i="160"/>
  <c r="D47" i="160"/>
  <c r="H46" i="160"/>
  <c r="D46" i="160"/>
  <c r="H45" i="160"/>
  <c r="D45" i="160"/>
  <c r="H44" i="160"/>
  <c r="D44" i="160"/>
  <c r="H43" i="160"/>
  <c r="D43" i="160"/>
  <c r="H42" i="160"/>
  <c r="D42" i="160"/>
  <c r="H41" i="160"/>
  <c r="D41" i="160"/>
  <c r="H40" i="160"/>
  <c r="D40" i="160"/>
  <c r="H39" i="160"/>
  <c r="D39" i="160"/>
  <c r="H38" i="160"/>
  <c r="D38" i="160"/>
  <c r="H37" i="160"/>
  <c r="D37" i="160"/>
  <c r="G34" i="160"/>
  <c r="C34" i="160"/>
  <c r="H33" i="160"/>
  <c r="H32" i="160"/>
  <c r="H31" i="160"/>
  <c r="H30" i="160"/>
  <c r="H29" i="160"/>
  <c r="H28" i="160"/>
  <c r="H27" i="160"/>
  <c r="H26" i="160"/>
  <c r="H25" i="160"/>
  <c r="H24" i="160"/>
  <c r="H23" i="160"/>
  <c r="H22" i="160"/>
  <c r="G19" i="160"/>
  <c r="C19" i="160"/>
  <c r="H18" i="160"/>
  <c r="H17" i="160"/>
  <c r="H16" i="160"/>
  <c r="H15" i="160"/>
  <c r="H14" i="160"/>
  <c r="H13" i="160"/>
  <c r="H12" i="160"/>
  <c r="H11" i="160"/>
  <c r="H10" i="160"/>
  <c r="H9" i="160"/>
  <c r="H8" i="160"/>
  <c r="H7" i="160"/>
  <c r="D18" i="160" l="1"/>
  <c r="D12" i="160"/>
  <c r="D10" i="160"/>
  <c r="D14" i="160"/>
  <c r="D8" i="160"/>
  <c r="D16" i="160"/>
  <c r="D7" i="160"/>
  <c r="D9" i="160"/>
  <c r="D11" i="160"/>
  <c r="D13" i="160"/>
  <c r="D15" i="160"/>
  <c r="D49" i="160"/>
  <c r="D80" i="160"/>
  <c r="H65" i="160"/>
  <c r="D106" i="160"/>
  <c r="H49" i="160"/>
  <c r="D95" i="160"/>
  <c r="H80" i="160"/>
  <c r="D65" i="160"/>
  <c r="H34" i="160"/>
  <c r="H19" i="160"/>
  <c r="D22" i="160"/>
  <c r="D24" i="160"/>
  <c r="D26" i="160"/>
  <c r="D28" i="160"/>
  <c r="D30" i="160"/>
  <c r="D32" i="160"/>
  <c r="D23" i="160"/>
  <c r="D25" i="160"/>
  <c r="D27" i="160"/>
  <c r="D29" i="160"/>
  <c r="D31" i="160"/>
  <c r="F121" i="159"/>
  <c r="D33" i="159" s="1"/>
  <c r="F120" i="159"/>
  <c r="D18" i="159" s="1"/>
  <c r="D105" i="159"/>
  <c r="D104" i="159"/>
  <c r="D103" i="159"/>
  <c r="D102" i="159"/>
  <c r="D101" i="159"/>
  <c r="D100" i="159"/>
  <c r="D99" i="159"/>
  <c r="C95" i="159"/>
  <c r="D94" i="159"/>
  <c r="D93" i="159"/>
  <c r="D92" i="159"/>
  <c r="D91" i="159"/>
  <c r="D90" i="159"/>
  <c r="D89" i="159"/>
  <c r="D88" i="159"/>
  <c r="D87" i="159"/>
  <c r="D86" i="159"/>
  <c r="D85" i="159"/>
  <c r="D84" i="159"/>
  <c r="D83" i="159"/>
  <c r="G80" i="159"/>
  <c r="C80" i="159"/>
  <c r="H79" i="159"/>
  <c r="D79" i="159"/>
  <c r="H78" i="159"/>
  <c r="D78" i="159"/>
  <c r="H77" i="159"/>
  <c r="D77" i="159"/>
  <c r="H76" i="159"/>
  <c r="D76" i="159"/>
  <c r="H75" i="159"/>
  <c r="D75" i="159"/>
  <c r="H74" i="159"/>
  <c r="D74" i="159"/>
  <c r="H73" i="159"/>
  <c r="D73" i="159"/>
  <c r="H72" i="159"/>
  <c r="D72" i="159"/>
  <c r="H71" i="159"/>
  <c r="D71" i="159"/>
  <c r="H70" i="159"/>
  <c r="D70" i="159"/>
  <c r="H69" i="159"/>
  <c r="D69" i="159"/>
  <c r="H68" i="159"/>
  <c r="D68" i="159"/>
  <c r="G65" i="159"/>
  <c r="C65" i="159"/>
  <c r="H64" i="159"/>
  <c r="D64" i="159"/>
  <c r="H63" i="159"/>
  <c r="D63" i="159"/>
  <c r="H62" i="159"/>
  <c r="D62" i="159"/>
  <c r="H61" i="159"/>
  <c r="D61" i="159"/>
  <c r="H60" i="159"/>
  <c r="D60" i="159"/>
  <c r="H59" i="159"/>
  <c r="D59" i="159"/>
  <c r="H58" i="159"/>
  <c r="D58" i="159"/>
  <c r="H57" i="159"/>
  <c r="D57" i="159"/>
  <c r="H56" i="159"/>
  <c r="D56" i="159"/>
  <c r="H55" i="159"/>
  <c r="D55" i="159"/>
  <c r="H54" i="159"/>
  <c r="D54" i="159"/>
  <c r="H53" i="159"/>
  <c r="D53" i="159"/>
  <c r="G49" i="159"/>
  <c r="C49" i="159"/>
  <c r="H48" i="159"/>
  <c r="D48" i="159"/>
  <c r="H47" i="159"/>
  <c r="D47" i="159"/>
  <c r="H46" i="159"/>
  <c r="D46" i="159"/>
  <c r="H45" i="159"/>
  <c r="D45" i="159"/>
  <c r="H44" i="159"/>
  <c r="D44" i="159"/>
  <c r="H43" i="159"/>
  <c r="D43" i="159"/>
  <c r="H42" i="159"/>
  <c r="D42" i="159"/>
  <c r="H41" i="159"/>
  <c r="D41" i="159"/>
  <c r="H40" i="159"/>
  <c r="D40" i="159"/>
  <c r="H39" i="159"/>
  <c r="D39" i="159"/>
  <c r="H38" i="159"/>
  <c r="D38" i="159"/>
  <c r="H37" i="159"/>
  <c r="D37" i="159"/>
  <c r="G34" i="159"/>
  <c r="C34" i="159"/>
  <c r="H33" i="159"/>
  <c r="H32" i="159"/>
  <c r="H31" i="159"/>
  <c r="H30" i="159"/>
  <c r="H29" i="159"/>
  <c r="H28" i="159"/>
  <c r="H27" i="159"/>
  <c r="H26" i="159"/>
  <c r="H25" i="159"/>
  <c r="H24" i="159"/>
  <c r="H23" i="159"/>
  <c r="H22" i="159"/>
  <c r="G19" i="159"/>
  <c r="C19" i="159"/>
  <c r="H18" i="159"/>
  <c r="H17" i="159"/>
  <c r="H16" i="159"/>
  <c r="H15" i="159"/>
  <c r="H14" i="159"/>
  <c r="H13" i="159"/>
  <c r="H12" i="159"/>
  <c r="H11" i="159"/>
  <c r="H10" i="159"/>
  <c r="H9" i="159"/>
  <c r="H8" i="159"/>
  <c r="H7" i="159"/>
  <c r="D19" i="160" l="1"/>
  <c r="D49" i="159"/>
  <c r="D22" i="159"/>
  <c r="D24" i="159"/>
  <c r="D26" i="159"/>
  <c r="D28" i="159"/>
  <c r="D30" i="159"/>
  <c r="D32" i="159"/>
  <c r="D23" i="159"/>
  <c r="D25" i="159"/>
  <c r="D27" i="159"/>
  <c r="D29" i="159"/>
  <c r="D31" i="159"/>
  <c r="H80" i="159"/>
  <c r="D34" i="160"/>
  <c r="D80" i="159"/>
  <c r="D8" i="159"/>
  <c r="D10" i="159"/>
  <c r="D12" i="159"/>
  <c r="D14" i="159"/>
  <c r="D16" i="159"/>
  <c r="D7" i="159"/>
  <c r="D9" i="159"/>
  <c r="D11" i="159"/>
  <c r="D13" i="159"/>
  <c r="D15" i="159"/>
  <c r="D17" i="159"/>
  <c r="D65" i="159"/>
  <c r="H34" i="159"/>
  <c r="D106" i="159"/>
  <c r="D95" i="159"/>
  <c r="H65" i="159"/>
  <c r="H49" i="159"/>
  <c r="H19" i="159"/>
  <c r="C34" i="158"/>
  <c r="D34" i="159" l="1"/>
  <c r="D19" i="159"/>
  <c r="F121" i="158"/>
  <c r="D32" i="158" s="1"/>
  <c r="F120" i="158"/>
  <c r="D18" i="158" s="1"/>
  <c r="D105" i="158"/>
  <c r="D104" i="158"/>
  <c r="D103" i="158"/>
  <c r="D102" i="158"/>
  <c r="D101" i="158"/>
  <c r="D100" i="158"/>
  <c r="D99" i="158"/>
  <c r="C95" i="158"/>
  <c r="D94" i="158"/>
  <c r="D93" i="158"/>
  <c r="D92" i="158"/>
  <c r="D91" i="158"/>
  <c r="D90" i="158"/>
  <c r="D89" i="158"/>
  <c r="D88" i="158"/>
  <c r="D87" i="158"/>
  <c r="D86" i="158"/>
  <c r="D85" i="158"/>
  <c r="D84" i="158"/>
  <c r="D83" i="158"/>
  <c r="G80" i="158"/>
  <c r="C80" i="158"/>
  <c r="H79" i="158"/>
  <c r="D79" i="158"/>
  <c r="H78" i="158"/>
  <c r="D78" i="158"/>
  <c r="H77" i="158"/>
  <c r="D77" i="158"/>
  <c r="H76" i="158"/>
  <c r="D76" i="158"/>
  <c r="H75" i="158"/>
  <c r="D75" i="158"/>
  <c r="H74" i="158"/>
  <c r="D74" i="158"/>
  <c r="H73" i="158"/>
  <c r="D73" i="158"/>
  <c r="H72" i="158"/>
  <c r="D72" i="158"/>
  <c r="H71" i="158"/>
  <c r="D71" i="158"/>
  <c r="H70" i="158"/>
  <c r="D70" i="158"/>
  <c r="H69" i="158"/>
  <c r="D69" i="158"/>
  <c r="H68" i="158"/>
  <c r="D68" i="158"/>
  <c r="G65" i="158"/>
  <c r="C65" i="158"/>
  <c r="H64" i="158"/>
  <c r="D64" i="158"/>
  <c r="H63" i="158"/>
  <c r="D63" i="158"/>
  <c r="H62" i="158"/>
  <c r="D62" i="158"/>
  <c r="H61" i="158"/>
  <c r="D61" i="158"/>
  <c r="H60" i="158"/>
  <c r="D60" i="158"/>
  <c r="H59" i="158"/>
  <c r="D59" i="158"/>
  <c r="H58" i="158"/>
  <c r="D58" i="158"/>
  <c r="H57" i="158"/>
  <c r="D57" i="158"/>
  <c r="H56" i="158"/>
  <c r="D56" i="158"/>
  <c r="H55" i="158"/>
  <c r="D55" i="158"/>
  <c r="H54" i="158"/>
  <c r="D54" i="158"/>
  <c r="H53" i="158"/>
  <c r="D53" i="158"/>
  <c r="G49" i="158"/>
  <c r="C49" i="158"/>
  <c r="H48" i="158"/>
  <c r="D48" i="158"/>
  <c r="H47" i="158"/>
  <c r="D47" i="158"/>
  <c r="H46" i="158"/>
  <c r="D46" i="158"/>
  <c r="H45" i="158"/>
  <c r="D45" i="158"/>
  <c r="H44" i="158"/>
  <c r="D44" i="158"/>
  <c r="H43" i="158"/>
  <c r="D43" i="158"/>
  <c r="H42" i="158"/>
  <c r="D42" i="158"/>
  <c r="H41" i="158"/>
  <c r="D41" i="158"/>
  <c r="H40" i="158"/>
  <c r="D40" i="158"/>
  <c r="H39" i="158"/>
  <c r="D39" i="158"/>
  <c r="H38" i="158"/>
  <c r="D38" i="158"/>
  <c r="H37" i="158"/>
  <c r="D37" i="158"/>
  <c r="G34" i="158"/>
  <c r="H33" i="158"/>
  <c r="H32" i="158"/>
  <c r="H31" i="158"/>
  <c r="H30" i="158"/>
  <c r="H29" i="158"/>
  <c r="H28" i="158"/>
  <c r="H27" i="158"/>
  <c r="H26" i="158"/>
  <c r="H25" i="158"/>
  <c r="H24" i="158"/>
  <c r="H23" i="158"/>
  <c r="H22" i="158"/>
  <c r="G19" i="158"/>
  <c r="C19" i="158"/>
  <c r="H18" i="158"/>
  <c r="H17" i="158"/>
  <c r="H16" i="158"/>
  <c r="H15" i="158"/>
  <c r="H14" i="158"/>
  <c r="H13" i="158"/>
  <c r="H12" i="158"/>
  <c r="H11" i="158"/>
  <c r="H10" i="158"/>
  <c r="H9" i="158"/>
  <c r="H8" i="158"/>
  <c r="H7" i="158"/>
  <c r="D7" i="158" l="1"/>
  <c r="D9" i="158"/>
  <c r="D11" i="158"/>
  <c r="D13" i="158"/>
  <c r="D15" i="158"/>
  <c r="D17" i="158"/>
  <c r="D8" i="158"/>
  <c r="D10" i="158"/>
  <c r="D12" i="158"/>
  <c r="D14" i="158"/>
  <c r="D16" i="158"/>
  <c r="D49" i="158"/>
  <c r="D80" i="158"/>
  <c r="D22" i="158"/>
  <c r="D24" i="158"/>
  <c r="D26" i="158"/>
  <c r="D28" i="158"/>
  <c r="D30" i="158"/>
  <c r="D33" i="158"/>
  <c r="H49" i="158"/>
  <c r="H80" i="158"/>
  <c r="D23" i="158"/>
  <c r="D25" i="158"/>
  <c r="D27" i="158"/>
  <c r="D29" i="158"/>
  <c r="D31" i="158"/>
  <c r="D106" i="158"/>
  <c r="D65" i="158"/>
  <c r="D95" i="158"/>
  <c r="H65" i="158"/>
  <c r="H34" i="158"/>
  <c r="H19" i="158"/>
  <c r="D86" i="157"/>
  <c r="D19" i="158" l="1"/>
  <c r="D34" i="158"/>
  <c r="F121" i="157"/>
  <c r="D33" i="157" s="1"/>
  <c r="F120" i="157"/>
  <c r="D17" i="157" s="1"/>
  <c r="D105" i="157"/>
  <c r="D104" i="157"/>
  <c r="D103" i="157"/>
  <c r="D102" i="157"/>
  <c r="D101" i="157"/>
  <c r="D100" i="157"/>
  <c r="D99" i="157"/>
  <c r="C95" i="157"/>
  <c r="D94" i="157"/>
  <c r="D93" i="157"/>
  <c r="D92" i="157"/>
  <c r="D91" i="157"/>
  <c r="D90" i="157"/>
  <c r="D89" i="157"/>
  <c r="D88" i="157"/>
  <c r="D87" i="157"/>
  <c r="D85" i="157"/>
  <c r="D84" i="157"/>
  <c r="D83" i="157"/>
  <c r="G80" i="157"/>
  <c r="C80" i="157"/>
  <c r="H79" i="157"/>
  <c r="D79" i="157"/>
  <c r="H78" i="157"/>
  <c r="D78" i="157"/>
  <c r="H77" i="157"/>
  <c r="D77" i="157"/>
  <c r="H76" i="157"/>
  <c r="D76" i="157"/>
  <c r="H75" i="157"/>
  <c r="D75" i="157"/>
  <c r="H74" i="157"/>
  <c r="D74" i="157"/>
  <c r="H73" i="157"/>
  <c r="D73" i="157"/>
  <c r="H72" i="157"/>
  <c r="D72" i="157"/>
  <c r="H71" i="157"/>
  <c r="D71" i="157"/>
  <c r="H70" i="157"/>
  <c r="D70" i="157"/>
  <c r="H69" i="157"/>
  <c r="D69" i="157"/>
  <c r="H68" i="157"/>
  <c r="D68" i="157"/>
  <c r="G65" i="157"/>
  <c r="C65" i="157"/>
  <c r="H64" i="157"/>
  <c r="D64" i="157"/>
  <c r="H63" i="157"/>
  <c r="D63" i="157"/>
  <c r="H62" i="157"/>
  <c r="D62" i="157"/>
  <c r="H61" i="157"/>
  <c r="D61" i="157"/>
  <c r="H60" i="157"/>
  <c r="D60" i="157"/>
  <c r="H59" i="157"/>
  <c r="D59" i="157"/>
  <c r="H58" i="157"/>
  <c r="D58" i="157"/>
  <c r="H57" i="157"/>
  <c r="D57" i="157"/>
  <c r="H56" i="157"/>
  <c r="D56" i="157"/>
  <c r="H55" i="157"/>
  <c r="D55" i="157"/>
  <c r="H54" i="157"/>
  <c r="D54" i="157"/>
  <c r="H53" i="157"/>
  <c r="D53" i="157"/>
  <c r="G49" i="157"/>
  <c r="C49" i="157"/>
  <c r="H48" i="157"/>
  <c r="D48" i="157"/>
  <c r="H47" i="157"/>
  <c r="D47" i="157"/>
  <c r="H46" i="157"/>
  <c r="D46" i="157"/>
  <c r="H45" i="157"/>
  <c r="D45" i="157"/>
  <c r="H44" i="157"/>
  <c r="D44" i="157"/>
  <c r="H43" i="157"/>
  <c r="D43" i="157"/>
  <c r="H42" i="157"/>
  <c r="D42" i="157"/>
  <c r="H41" i="157"/>
  <c r="D41" i="157"/>
  <c r="H40" i="157"/>
  <c r="D40" i="157"/>
  <c r="H39" i="157"/>
  <c r="D39" i="157"/>
  <c r="H38" i="157"/>
  <c r="D38" i="157"/>
  <c r="H37" i="157"/>
  <c r="D37" i="157"/>
  <c r="G34" i="157"/>
  <c r="C34" i="157"/>
  <c r="H33" i="157"/>
  <c r="H32" i="157"/>
  <c r="H31" i="157"/>
  <c r="H30" i="157"/>
  <c r="H29" i="157"/>
  <c r="H28" i="157"/>
  <c r="H27" i="157"/>
  <c r="H26" i="157"/>
  <c r="H25" i="157"/>
  <c r="H24" i="157"/>
  <c r="H23" i="157"/>
  <c r="H22" i="157"/>
  <c r="G19" i="157"/>
  <c r="C19" i="157"/>
  <c r="H18" i="157"/>
  <c r="H17" i="157"/>
  <c r="H16" i="157"/>
  <c r="H15" i="157"/>
  <c r="H14" i="157"/>
  <c r="H13" i="157"/>
  <c r="H12" i="157"/>
  <c r="H11" i="157"/>
  <c r="H10" i="157"/>
  <c r="H9" i="157"/>
  <c r="H8" i="157"/>
  <c r="H7" i="157"/>
  <c r="D26" i="157" l="1"/>
  <c r="D28" i="157"/>
  <c r="D24" i="157"/>
  <c r="D32" i="157"/>
  <c r="D22" i="157"/>
  <c r="D30" i="157"/>
  <c r="D23" i="157"/>
  <c r="D25" i="157"/>
  <c r="D27" i="157"/>
  <c r="D29" i="157"/>
  <c r="D31" i="157"/>
  <c r="D14" i="157"/>
  <c r="H80" i="157"/>
  <c r="D49" i="157"/>
  <c r="H49" i="157"/>
  <c r="D12" i="157"/>
  <c r="D18" i="157"/>
  <c r="D80" i="157"/>
  <c r="D10" i="157"/>
  <c r="H34" i="157"/>
  <c r="H65" i="157"/>
  <c r="D106" i="157"/>
  <c r="D8" i="157"/>
  <c r="D16" i="157"/>
  <c r="D95" i="157"/>
  <c r="D65" i="157"/>
  <c r="H19" i="157"/>
  <c r="D7" i="157"/>
  <c r="D9" i="157"/>
  <c r="D11" i="157"/>
  <c r="D13" i="157"/>
  <c r="D15" i="157"/>
  <c r="F121" i="156"/>
  <c r="D32" i="156" s="1"/>
  <c r="F120" i="156"/>
  <c r="D17" i="156" s="1"/>
  <c r="D105" i="156"/>
  <c r="D104" i="156"/>
  <c r="D103" i="156"/>
  <c r="D102" i="156"/>
  <c r="D101" i="156"/>
  <c r="D100" i="156"/>
  <c r="D99" i="156"/>
  <c r="C95" i="156"/>
  <c r="D94" i="156"/>
  <c r="D93" i="156"/>
  <c r="D92" i="156"/>
  <c r="D91" i="156"/>
  <c r="D90" i="156"/>
  <c r="D89" i="156"/>
  <c r="D88" i="156"/>
  <c r="D87" i="156"/>
  <c r="D86" i="156"/>
  <c r="D85" i="156"/>
  <c r="D84" i="156"/>
  <c r="D83" i="156"/>
  <c r="G80" i="156"/>
  <c r="C80" i="156"/>
  <c r="H79" i="156"/>
  <c r="D79" i="156"/>
  <c r="H78" i="156"/>
  <c r="D78" i="156"/>
  <c r="H77" i="156"/>
  <c r="D77" i="156"/>
  <c r="H76" i="156"/>
  <c r="D76" i="156"/>
  <c r="H75" i="156"/>
  <c r="D75" i="156"/>
  <c r="H74" i="156"/>
  <c r="D74" i="156"/>
  <c r="H73" i="156"/>
  <c r="D73" i="156"/>
  <c r="H72" i="156"/>
  <c r="D72" i="156"/>
  <c r="H71" i="156"/>
  <c r="D71" i="156"/>
  <c r="H70" i="156"/>
  <c r="D70" i="156"/>
  <c r="H69" i="156"/>
  <c r="D69" i="156"/>
  <c r="H68" i="156"/>
  <c r="D68" i="156"/>
  <c r="G65" i="156"/>
  <c r="C65" i="156"/>
  <c r="H64" i="156"/>
  <c r="D64" i="156"/>
  <c r="H63" i="156"/>
  <c r="D63" i="156"/>
  <c r="H62" i="156"/>
  <c r="D62" i="156"/>
  <c r="H61" i="156"/>
  <c r="D61" i="156"/>
  <c r="H60" i="156"/>
  <c r="D60" i="156"/>
  <c r="H59" i="156"/>
  <c r="D59" i="156"/>
  <c r="H58" i="156"/>
  <c r="D58" i="156"/>
  <c r="H57" i="156"/>
  <c r="D57" i="156"/>
  <c r="H56" i="156"/>
  <c r="D56" i="156"/>
  <c r="H55" i="156"/>
  <c r="D55" i="156"/>
  <c r="H54" i="156"/>
  <c r="D54" i="156"/>
  <c r="H53" i="156"/>
  <c r="D53" i="156"/>
  <c r="G49" i="156"/>
  <c r="C49" i="156"/>
  <c r="H48" i="156"/>
  <c r="D48" i="156"/>
  <c r="H47" i="156"/>
  <c r="D47" i="156"/>
  <c r="H46" i="156"/>
  <c r="D46" i="156"/>
  <c r="H45" i="156"/>
  <c r="D45" i="156"/>
  <c r="H44" i="156"/>
  <c r="D44" i="156"/>
  <c r="H43" i="156"/>
  <c r="D43" i="156"/>
  <c r="H42" i="156"/>
  <c r="D42" i="156"/>
  <c r="H41" i="156"/>
  <c r="D41" i="156"/>
  <c r="H40" i="156"/>
  <c r="D40" i="156"/>
  <c r="H39" i="156"/>
  <c r="D39" i="156"/>
  <c r="H38" i="156"/>
  <c r="D38" i="156"/>
  <c r="H37" i="156"/>
  <c r="D37" i="156"/>
  <c r="G34" i="156"/>
  <c r="C34" i="156"/>
  <c r="H33" i="156"/>
  <c r="H32" i="156"/>
  <c r="H31" i="156"/>
  <c r="H30" i="156"/>
  <c r="H29" i="156"/>
  <c r="H28" i="156"/>
  <c r="H27" i="156"/>
  <c r="H26" i="156"/>
  <c r="H25" i="156"/>
  <c r="H24" i="156"/>
  <c r="H23" i="156"/>
  <c r="H22" i="156"/>
  <c r="G19" i="156"/>
  <c r="C19" i="156"/>
  <c r="H18" i="156"/>
  <c r="D18" i="156"/>
  <c r="H17" i="156"/>
  <c r="H16" i="156"/>
  <c r="H15" i="156"/>
  <c r="H14" i="156"/>
  <c r="H13" i="156"/>
  <c r="H12" i="156"/>
  <c r="H11" i="156"/>
  <c r="H10" i="156"/>
  <c r="H9" i="156"/>
  <c r="H8" i="156"/>
  <c r="H7" i="156"/>
  <c r="D34" i="157" l="1"/>
  <c r="D10" i="156"/>
  <c r="D16" i="156"/>
  <c r="D14" i="156"/>
  <c r="D8" i="156"/>
  <c r="D12" i="156"/>
  <c r="D9" i="156"/>
  <c r="D15" i="156"/>
  <c r="D80" i="156"/>
  <c r="D7" i="156"/>
  <c r="D11" i="156"/>
  <c r="D13" i="156"/>
  <c r="D19" i="157"/>
  <c r="D49" i="156"/>
  <c r="D95" i="156"/>
  <c r="H65" i="156"/>
  <c r="H19" i="156"/>
  <c r="H49" i="156"/>
  <c r="H80" i="156"/>
  <c r="H34" i="156"/>
  <c r="D65" i="156"/>
  <c r="D27" i="156"/>
  <c r="D25" i="156"/>
  <c r="D33" i="156"/>
  <c r="D23" i="156"/>
  <c r="D31" i="156"/>
  <c r="D29" i="156"/>
  <c r="D22" i="156"/>
  <c r="D24" i="156"/>
  <c r="D26" i="156"/>
  <c r="D28" i="156"/>
  <c r="D30" i="156"/>
  <c r="D106" i="156"/>
  <c r="F121" i="155"/>
  <c r="D32" i="155" s="1"/>
  <c r="F120" i="155"/>
  <c r="D15" i="155" s="1"/>
  <c r="D105" i="155"/>
  <c r="D104" i="155"/>
  <c r="D103" i="155"/>
  <c r="D102" i="155"/>
  <c r="D101" i="155"/>
  <c r="D100" i="155"/>
  <c r="D99" i="155"/>
  <c r="C95" i="155"/>
  <c r="D94" i="155"/>
  <c r="D93" i="155"/>
  <c r="D92" i="155"/>
  <c r="D91" i="155"/>
  <c r="D90" i="155"/>
  <c r="D89" i="155"/>
  <c r="D88" i="155"/>
  <c r="D87" i="155"/>
  <c r="D86" i="155"/>
  <c r="D85" i="155"/>
  <c r="D84" i="155"/>
  <c r="D83" i="155"/>
  <c r="G80" i="155"/>
  <c r="C80" i="155"/>
  <c r="H79" i="155"/>
  <c r="D79" i="155"/>
  <c r="H78" i="155"/>
  <c r="D78" i="155"/>
  <c r="H77" i="155"/>
  <c r="D77" i="155"/>
  <c r="H76" i="155"/>
  <c r="D76" i="155"/>
  <c r="H75" i="155"/>
  <c r="D75" i="155"/>
  <c r="H74" i="155"/>
  <c r="D74" i="155"/>
  <c r="H73" i="155"/>
  <c r="D73" i="155"/>
  <c r="H72" i="155"/>
  <c r="D72" i="155"/>
  <c r="H71" i="155"/>
  <c r="D71" i="155"/>
  <c r="H70" i="155"/>
  <c r="D70" i="155"/>
  <c r="H69" i="155"/>
  <c r="D69" i="155"/>
  <c r="H68" i="155"/>
  <c r="D68" i="155"/>
  <c r="G65" i="155"/>
  <c r="C65" i="155"/>
  <c r="H64" i="155"/>
  <c r="D64" i="155"/>
  <c r="H63" i="155"/>
  <c r="D63" i="155"/>
  <c r="H62" i="155"/>
  <c r="D62" i="155"/>
  <c r="H61" i="155"/>
  <c r="D61" i="155"/>
  <c r="H60" i="155"/>
  <c r="D60" i="155"/>
  <c r="H59" i="155"/>
  <c r="D59" i="155"/>
  <c r="H58" i="155"/>
  <c r="D58" i="155"/>
  <c r="H57" i="155"/>
  <c r="D57" i="155"/>
  <c r="H56" i="155"/>
  <c r="D56" i="155"/>
  <c r="H55" i="155"/>
  <c r="D55" i="155"/>
  <c r="H54" i="155"/>
  <c r="D54" i="155"/>
  <c r="H53" i="155"/>
  <c r="D53" i="155"/>
  <c r="G49" i="155"/>
  <c r="C49" i="155"/>
  <c r="H48" i="155"/>
  <c r="D48" i="155"/>
  <c r="H47" i="155"/>
  <c r="D47" i="155"/>
  <c r="H46" i="155"/>
  <c r="D46" i="155"/>
  <c r="H45" i="155"/>
  <c r="D45" i="155"/>
  <c r="H44" i="155"/>
  <c r="D44" i="155"/>
  <c r="H43" i="155"/>
  <c r="D43" i="155"/>
  <c r="H42" i="155"/>
  <c r="D42" i="155"/>
  <c r="H41" i="155"/>
  <c r="D41" i="155"/>
  <c r="H40" i="155"/>
  <c r="D40" i="155"/>
  <c r="H39" i="155"/>
  <c r="D39" i="155"/>
  <c r="H38" i="155"/>
  <c r="D38" i="155"/>
  <c r="H37" i="155"/>
  <c r="D37" i="155"/>
  <c r="G34" i="155"/>
  <c r="C34" i="155"/>
  <c r="H33" i="155"/>
  <c r="H32" i="155"/>
  <c r="H31" i="155"/>
  <c r="H30" i="155"/>
  <c r="H29" i="155"/>
  <c r="H28" i="155"/>
  <c r="H27" i="155"/>
  <c r="H26" i="155"/>
  <c r="H25" i="155"/>
  <c r="H24" i="155"/>
  <c r="H23" i="155"/>
  <c r="H22" i="155"/>
  <c r="G19" i="155"/>
  <c r="C19" i="155"/>
  <c r="H18" i="155"/>
  <c r="D18" i="155"/>
  <c r="H17" i="155"/>
  <c r="H16" i="155"/>
  <c r="H15" i="155"/>
  <c r="H14" i="155"/>
  <c r="H13" i="155"/>
  <c r="H12" i="155"/>
  <c r="H11" i="155"/>
  <c r="H10" i="155"/>
  <c r="H9" i="155"/>
  <c r="H8" i="155"/>
  <c r="H7" i="155"/>
  <c r="D10" i="155" l="1"/>
  <c r="D8" i="155"/>
  <c r="D16" i="155"/>
  <c r="D19" i="156"/>
  <c r="D14" i="155"/>
  <c r="D12" i="155"/>
  <c r="D7" i="155"/>
  <c r="D9" i="155"/>
  <c r="D11" i="155"/>
  <c r="D13" i="155"/>
  <c r="D17" i="155"/>
  <c r="H49" i="155"/>
  <c r="D80" i="155"/>
  <c r="D34" i="156"/>
  <c r="H19" i="155"/>
  <c r="H80" i="155"/>
  <c r="H65" i="155"/>
  <c r="D106" i="155"/>
  <c r="D23" i="155"/>
  <c r="D25" i="155"/>
  <c r="D27" i="155"/>
  <c r="D29" i="155"/>
  <c r="D31" i="155"/>
  <c r="D33" i="155"/>
  <c r="D22" i="155"/>
  <c r="D24" i="155"/>
  <c r="D26" i="155"/>
  <c r="D28" i="155"/>
  <c r="D30" i="155"/>
  <c r="D95" i="155"/>
  <c r="D65" i="155"/>
  <c r="D49" i="155"/>
  <c r="H34" i="155"/>
  <c r="F121" i="154"/>
  <c r="D32" i="154" s="1"/>
  <c r="F120" i="154"/>
  <c r="D17" i="154" s="1"/>
  <c r="D105" i="154"/>
  <c r="D104" i="154"/>
  <c r="D103" i="154"/>
  <c r="D102" i="154"/>
  <c r="D101" i="154"/>
  <c r="D100" i="154"/>
  <c r="D99" i="154"/>
  <c r="C95" i="154"/>
  <c r="D94" i="154"/>
  <c r="D93" i="154"/>
  <c r="D92" i="154"/>
  <c r="D91" i="154"/>
  <c r="D90" i="154"/>
  <c r="D89" i="154"/>
  <c r="D88" i="154"/>
  <c r="D87" i="154"/>
  <c r="D86" i="154"/>
  <c r="D85" i="154"/>
  <c r="D84" i="154"/>
  <c r="D83" i="154"/>
  <c r="G80" i="154"/>
  <c r="C80" i="154"/>
  <c r="H79" i="154"/>
  <c r="D79" i="154"/>
  <c r="H78" i="154"/>
  <c r="D78" i="154"/>
  <c r="H77" i="154"/>
  <c r="D77" i="154"/>
  <c r="H76" i="154"/>
  <c r="D76" i="154"/>
  <c r="H75" i="154"/>
  <c r="D75" i="154"/>
  <c r="H74" i="154"/>
  <c r="D74" i="154"/>
  <c r="H73" i="154"/>
  <c r="D73" i="154"/>
  <c r="H72" i="154"/>
  <c r="D72" i="154"/>
  <c r="H71" i="154"/>
  <c r="D71" i="154"/>
  <c r="H70" i="154"/>
  <c r="D70" i="154"/>
  <c r="H69" i="154"/>
  <c r="D69" i="154"/>
  <c r="H68" i="154"/>
  <c r="D68" i="154"/>
  <c r="G65" i="154"/>
  <c r="C65" i="154"/>
  <c r="H64" i="154"/>
  <c r="D64" i="154"/>
  <c r="H63" i="154"/>
  <c r="D63" i="154"/>
  <c r="H62" i="154"/>
  <c r="D62" i="154"/>
  <c r="H61" i="154"/>
  <c r="D61" i="154"/>
  <c r="H60" i="154"/>
  <c r="D60" i="154"/>
  <c r="H59" i="154"/>
  <c r="D59" i="154"/>
  <c r="H58" i="154"/>
  <c r="D58" i="154"/>
  <c r="H57" i="154"/>
  <c r="D57" i="154"/>
  <c r="H56" i="154"/>
  <c r="D56" i="154"/>
  <c r="H55" i="154"/>
  <c r="D55" i="154"/>
  <c r="H54" i="154"/>
  <c r="D54" i="154"/>
  <c r="H53" i="154"/>
  <c r="D53" i="154"/>
  <c r="G49" i="154"/>
  <c r="C49" i="154"/>
  <c r="H48" i="154"/>
  <c r="D48" i="154"/>
  <c r="H47" i="154"/>
  <c r="D47" i="154"/>
  <c r="H46" i="154"/>
  <c r="D46" i="154"/>
  <c r="H45" i="154"/>
  <c r="D45" i="154"/>
  <c r="H44" i="154"/>
  <c r="D44" i="154"/>
  <c r="H43" i="154"/>
  <c r="D43" i="154"/>
  <c r="H42" i="154"/>
  <c r="D42" i="154"/>
  <c r="H41" i="154"/>
  <c r="D41" i="154"/>
  <c r="H40" i="154"/>
  <c r="D40" i="154"/>
  <c r="H39" i="154"/>
  <c r="D39" i="154"/>
  <c r="H38" i="154"/>
  <c r="D38" i="154"/>
  <c r="H37" i="154"/>
  <c r="D37" i="154"/>
  <c r="G34" i="154"/>
  <c r="C34" i="154"/>
  <c r="H33" i="154"/>
  <c r="H32" i="154"/>
  <c r="H31" i="154"/>
  <c r="H30" i="154"/>
  <c r="H29" i="154"/>
  <c r="H28" i="154"/>
  <c r="H27" i="154"/>
  <c r="H26" i="154"/>
  <c r="H25" i="154"/>
  <c r="H24" i="154"/>
  <c r="H23" i="154"/>
  <c r="H22" i="154"/>
  <c r="G19" i="154"/>
  <c r="C19" i="154"/>
  <c r="H18" i="154"/>
  <c r="D18" i="154"/>
  <c r="H17" i="154"/>
  <c r="H16" i="154"/>
  <c r="H15" i="154"/>
  <c r="H14" i="154"/>
  <c r="H13" i="154"/>
  <c r="H12" i="154"/>
  <c r="H11" i="154"/>
  <c r="H10" i="154"/>
  <c r="H9" i="154"/>
  <c r="H8" i="154"/>
  <c r="H7" i="154"/>
  <c r="D12" i="154" l="1"/>
  <c r="D14" i="154"/>
  <c r="D10" i="154"/>
  <c r="D8" i="154"/>
  <c r="D16" i="154"/>
  <c r="D19" i="155"/>
  <c r="D7" i="154"/>
  <c r="D9" i="154"/>
  <c r="D11" i="154"/>
  <c r="D13" i="154"/>
  <c r="D15" i="154"/>
  <c r="D49" i="154"/>
  <c r="D34" i="155"/>
  <c r="D80" i="154"/>
  <c r="H19" i="154"/>
  <c r="D65" i="154"/>
  <c r="D23" i="154"/>
  <c r="D25" i="154"/>
  <c r="D27" i="154"/>
  <c r="D29" i="154"/>
  <c r="D31" i="154"/>
  <c r="D33" i="154"/>
  <c r="D106" i="154"/>
  <c r="D22" i="154"/>
  <c r="D24" i="154"/>
  <c r="D26" i="154"/>
  <c r="D28" i="154"/>
  <c r="D30" i="154"/>
  <c r="D95" i="154"/>
  <c r="H80" i="154"/>
  <c r="H65" i="154"/>
  <c r="H49" i="154"/>
  <c r="H34" i="154"/>
  <c r="F121" i="153"/>
  <c r="D32" i="153" s="1"/>
  <c r="F120" i="153"/>
  <c r="D17" i="153" s="1"/>
  <c r="D105" i="153"/>
  <c r="D104" i="153"/>
  <c r="D103" i="153"/>
  <c r="D102" i="153"/>
  <c r="D101" i="153"/>
  <c r="D100" i="153"/>
  <c r="D99" i="153"/>
  <c r="C95" i="153"/>
  <c r="D94" i="153"/>
  <c r="D93" i="153"/>
  <c r="D92" i="153"/>
  <c r="D91" i="153"/>
  <c r="D90" i="153"/>
  <c r="D89" i="153"/>
  <c r="D88" i="153"/>
  <c r="D87" i="153"/>
  <c r="D86" i="153"/>
  <c r="D85" i="153"/>
  <c r="D84" i="153"/>
  <c r="D83" i="153"/>
  <c r="G80" i="153"/>
  <c r="C80" i="153"/>
  <c r="H79" i="153"/>
  <c r="D79" i="153"/>
  <c r="H78" i="153"/>
  <c r="D78" i="153"/>
  <c r="H77" i="153"/>
  <c r="D77" i="153"/>
  <c r="H76" i="153"/>
  <c r="D76" i="153"/>
  <c r="H75" i="153"/>
  <c r="D75" i="153"/>
  <c r="H74" i="153"/>
  <c r="D74" i="153"/>
  <c r="H73" i="153"/>
  <c r="D73" i="153"/>
  <c r="H72" i="153"/>
  <c r="D72" i="153"/>
  <c r="H71" i="153"/>
  <c r="D71" i="153"/>
  <c r="H70" i="153"/>
  <c r="D70" i="153"/>
  <c r="H69" i="153"/>
  <c r="D69" i="153"/>
  <c r="H68" i="153"/>
  <c r="D68" i="153"/>
  <c r="G65" i="153"/>
  <c r="C65" i="153"/>
  <c r="H64" i="153"/>
  <c r="D64" i="153"/>
  <c r="H63" i="153"/>
  <c r="D63" i="153"/>
  <c r="H62" i="153"/>
  <c r="D62" i="153"/>
  <c r="H61" i="153"/>
  <c r="D61" i="153"/>
  <c r="H60" i="153"/>
  <c r="D60" i="153"/>
  <c r="H59" i="153"/>
  <c r="D59" i="153"/>
  <c r="H58" i="153"/>
  <c r="D58" i="153"/>
  <c r="H57" i="153"/>
  <c r="D57" i="153"/>
  <c r="H56" i="153"/>
  <c r="D56" i="153"/>
  <c r="H55" i="153"/>
  <c r="D55" i="153"/>
  <c r="H54" i="153"/>
  <c r="D54" i="153"/>
  <c r="H53" i="153"/>
  <c r="D53" i="153"/>
  <c r="G49" i="153"/>
  <c r="C49" i="153"/>
  <c r="H48" i="153"/>
  <c r="D48" i="153"/>
  <c r="H47" i="153"/>
  <c r="D47" i="153"/>
  <c r="H46" i="153"/>
  <c r="D46" i="153"/>
  <c r="H45" i="153"/>
  <c r="D45" i="153"/>
  <c r="H44" i="153"/>
  <c r="D44" i="153"/>
  <c r="H43" i="153"/>
  <c r="D43" i="153"/>
  <c r="H42" i="153"/>
  <c r="D42" i="153"/>
  <c r="H41" i="153"/>
  <c r="D41" i="153"/>
  <c r="H40" i="153"/>
  <c r="D40" i="153"/>
  <c r="H39" i="153"/>
  <c r="D39" i="153"/>
  <c r="H38" i="153"/>
  <c r="D38" i="153"/>
  <c r="H37" i="153"/>
  <c r="D37" i="153"/>
  <c r="G34" i="153"/>
  <c r="C34" i="153"/>
  <c r="H33" i="153"/>
  <c r="H32" i="153"/>
  <c r="H31" i="153"/>
  <c r="H30" i="153"/>
  <c r="H29" i="153"/>
  <c r="H28" i="153"/>
  <c r="H27" i="153"/>
  <c r="H26" i="153"/>
  <c r="H25" i="153"/>
  <c r="H24" i="153"/>
  <c r="H23" i="153"/>
  <c r="H22" i="153"/>
  <c r="G19" i="153"/>
  <c r="C19" i="153"/>
  <c r="H18" i="153"/>
  <c r="D18" i="153"/>
  <c r="H17" i="153"/>
  <c r="H16" i="153"/>
  <c r="H15" i="153"/>
  <c r="H14" i="153"/>
  <c r="H13" i="153"/>
  <c r="H12" i="153"/>
  <c r="H11" i="153"/>
  <c r="H10" i="153"/>
  <c r="H9" i="153"/>
  <c r="H8" i="153"/>
  <c r="H7" i="153"/>
  <c r="D12" i="153" l="1"/>
  <c r="D10" i="153"/>
  <c r="D14" i="153"/>
  <c r="D19" i="154"/>
  <c r="H49" i="153"/>
  <c r="H80" i="153"/>
  <c r="D34" i="154"/>
  <c r="H19" i="153"/>
  <c r="D8" i="153"/>
  <c r="D16" i="153"/>
  <c r="D7" i="153"/>
  <c r="D9" i="153"/>
  <c r="D11" i="153"/>
  <c r="D13" i="153"/>
  <c r="D15" i="153"/>
  <c r="D49" i="153"/>
  <c r="D80" i="153"/>
  <c r="H65" i="153"/>
  <c r="D106" i="153"/>
  <c r="D23" i="153"/>
  <c r="D25" i="153"/>
  <c r="D27" i="153"/>
  <c r="D29" i="153"/>
  <c r="D31" i="153"/>
  <c r="D33" i="153"/>
  <c r="D22" i="153"/>
  <c r="D24" i="153"/>
  <c r="D26" i="153"/>
  <c r="D28" i="153"/>
  <c r="D30" i="153"/>
  <c r="D95" i="153"/>
  <c r="D65" i="153"/>
  <c r="H34" i="153"/>
  <c r="F121" i="152"/>
  <c r="D32" i="152" s="1"/>
  <c r="F120" i="152"/>
  <c r="D17" i="152" s="1"/>
  <c r="D105" i="152"/>
  <c r="D104" i="152"/>
  <c r="D103" i="152"/>
  <c r="D102" i="152"/>
  <c r="D101" i="152"/>
  <c r="D100" i="152"/>
  <c r="D99" i="152"/>
  <c r="C95" i="152"/>
  <c r="D94" i="152"/>
  <c r="D93" i="152"/>
  <c r="D92" i="152"/>
  <c r="D91" i="152"/>
  <c r="D90" i="152"/>
  <c r="D89" i="152"/>
  <c r="D88" i="152"/>
  <c r="D87" i="152"/>
  <c r="D86" i="152"/>
  <c r="D85" i="152"/>
  <c r="D84" i="152"/>
  <c r="D83" i="152"/>
  <c r="G80" i="152"/>
  <c r="C80" i="152"/>
  <c r="H79" i="152"/>
  <c r="D79" i="152"/>
  <c r="H78" i="152"/>
  <c r="D78" i="152"/>
  <c r="H77" i="152"/>
  <c r="D77" i="152"/>
  <c r="H76" i="152"/>
  <c r="D76" i="152"/>
  <c r="H75" i="152"/>
  <c r="D75" i="152"/>
  <c r="H74" i="152"/>
  <c r="D74" i="152"/>
  <c r="H73" i="152"/>
  <c r="D73" i="152"/>
  <c r="H72" i="152"/>
  <c r="D72" i="152"/>
  <c r="H71" i="152"/>
  <c r="D71" i="152"/>
  <c r="H70" i="152"/>
  <c r="D70" i="152"/>
  <c r="H69" i="152"/>
  <c r="D69" i="152"/>
  <c r="H68" i="152"/>
  <c r="D68" i="152"/>
  <c r="G65" i="152"/>
  <c r="C65" i="152"/>
  <c r="H64" i="152"/>
  <c r="D64" i="152"/>
  <c r="H63" i="152"/>
  <c r="D63" i="152"/>
  <c r="H62" i="152"/>
  <c r="D62" i="152"/>
  <c r="H61" i="152"/>
  <c r="D61" i="152"/>
  <c r="H60" i="152"/>
  <c r="D60" i="152"/>
  <c r="H59" i="152"/>
  <c r="D59" i="152"/>
  <c r="H58" i="152"/>
  <c r="D58" i="152"/>
  <c r="H57" i="152"/>
  <c r="D57" i="152"/>
  <c r="H56" i="152"/>
  <c r="D56" i="152"/>
  <c r="H55" i="152"/>
  <c r="D55" i="152"/>
  <c r="H54" i="152"/>
  <c r="D54" i="152"/>
  <c r="H53" i="152"/>
  <c r="D53" i="152"/>
  <c r="G49" i="152"/>
  <c r="C49" i="152"/>
  <c r="H48" i="152"/>
  <c r="D48" i="152"/>
  <c r="H47" i="152"/>
  <c r="D47" i="152"/>
  <c r="H46" i="152"/>
  <c r="D46" i="152"/>
  <c r="H45" i="152"/>
  <c r="D45" i="152"/>
  <c r="H44" i="152"/>
  <c r="D44" i="152"/>
  <c r="H43" i="152"/>
  <c r="D43" i="152"/>
  <c r="H42" i="152"/>
  <c r="D42" i="152"/>
  <c r="H41" i="152"/>
  <c r="D41" i="152"/>
  <c r="H40" i="152"/>
  <c r="D40" i="152"/>
  <c r="H39" i="152"/>
  <c r="D39" i="152"/>
  <c r="H38" i="152"/>
  <c r="D38" i="152"/>
  <c r="H37" i="152"/>
  <c r="D37" i="152"/>
  <c r="G34" i="152"/>
  <c r="C34" i="152"/>
  <c r="H33" i="152"/>
  <c r="H32" i="152"/>
  <c r="H31" i="152"/>
  <c r="H30" i="152"/>
  <c r="H29" i="152"/>
  <c r="H28" i="152"/>
  <c r="H27" i="152"/>
  <c r="H26" i="152"/>
  <c r="H25" i="152"/>
  <c r="H24" i="152"/>
  <c r="H23" i="152"/>
  <c r="H22" i="152"/>
  <c r="G19" i="152"/>
  <c r="C19" i="152"/>
  <c r="H18" i="152"/>
  <c r="D18" i="152"/>
  <c r="H17" i="152"/>
  <c r="H16" i="152"/>
  <c r="H15" i="152"/>
  <c r="H14" i="152"/>
  <c r="H13" i="152"/>
  <c r="H12" i="152"/>
  <c r="H11" i="152"/>
  <c r="H10" i="152"/>
  <c r="H9" i="152"/>
  <c r="H8" i="152"/>
  <c r="H7" i="152"/>
  <c r="D12" i="152" l="1"/>
  <c r="D10" i="152"/>
  <c r="D8" i="152"/>
  <c r="D16" i="152"/>
  <c r="D14" i="152"/>
  <c r="D7" i="152"/>
  <c r="D9" i="152"/>
  <c r="D11" i="152"/>
  <c r="D13" i="152"/>
  <c r="D15" i="152"/>
  <c r="D80" i="152"/>
  <c r="D19" i="153"/>
  <c r="D34" i="153"/>
  <c r="D49" i="152"/>
  <c r="H49" i="152"/>
  <c r="H80" i="152"/>
  <c r="D23" i="152"/>
  <c r="D25" i="152"/>
  <c r="D27" i="152"/>
  <c r="D29" i="152"/>
  <c r="D31" i="152"/>
  <c r="D33" i="152"/>
  <c r="D22" i="152"/>
  <c r="D24" i="152"/>
  <c r="D26" i="152"/>
  <c r="D28" i="152"/>
  <c r="D30" i="152"/>
  <c r="D106" i="152"/>
  <c r="D95" i="152"/>
  <c r="H65" i="152"/>
  <c r="D65" i="152"/>
  <c r="H34" i="152"/>
  <c r="H19" i="152"/>
  <c r="F121" i="151"/>
  <c r="D33" i="151" s="1"/>
  <c r="F120" i="151"/>
  <c r="D17" i="151" s="1"/>
  <c r="D105" i="151"/>
  <c r="D104" i="151"/>
  <c r="D103" i="151"/>
  <c r="D102" i="151"/>
  <c r="D101" i="151"/>
  <c r="D100" i="151"/>
  <c r="D99" i="151"/>
  <c r="C95" i="151"/>
  <c r="D94" i="151"/>
  <c r="D93" i="151"/>
  <c r="D92" i="151"/>
  <c r="D91" i="151"/>
  <c r="D90" i="151"/>
  <c r="D89" i="151"/>
  <c r="D88" i="151"/>
  <c r="D87" i="151"/>
  <c r="D86" i="151"/>
  <c r="D85" i="151"/>
  <c r="D84" i="151"/>
  <c r="D83" i="151"/>
  <c r="G80" i="151"/>
  <c r="C80" i="151"/>
  <c r="H79" i="151"/>
  <c r="D79" i="151"/>
  <c r="H78" i="151"/>
  <c r="D78" i="151"/>
  <c r="H77" i="151"/>
  <c r="D77" i="151"/>
  <c r="H76" i="151"/>
  <c r="D76" i="151"/>
  <c r="H75" i="151"/>
  <c r="D75" i="151"/>
  <c r="H74" i="151"/>
  <c r="D74" i="151"/>
  <c r="H73" i="151"/>
  <c r="D73" i="151"/>
  <c r="H72" i="151"/>
  <c r="D72" i="151"/>
  <c r="H71" i="151"/>
  <c r="D71" i="151"/>
  <c r="H70" i="151"/>
  <c r="D70" i="151"/>
  <c r="H69" i="151"/>
  <c r="D69" i="151"/>
  <c r="H68" i="151"/>
  <c r="D68" i="151"/>
  <c r="G65" i="151"/>
  <c r="C65" i="151"/>
  <c r="H64" i="151"/>
  <c r="D64" i="151"/>
  <c r="H63" i="151"/>
  <c r="D63" i="151"/>
  <c r="H62" i="151"/>
  <c r="D62" i="151"/>
  <c r="H61" i="151"/>
  <c r="D61" i="151"/>
  <c r="H60" i="151"/>
  <c r="D60" i="151"/>
  <c r="H59" i="151"/>
  <c r="D59" i="151"/>
  <c r="H58" i="151"/>
  <c r="D58" i="151"/>
  <c r="H57" i="151"/>
  <c r="D57" i="151"/>
  <c r="H56" i="151"/>
  <c r="D56" i="151"/>
  <c r="H55" i="151"/>
  <c r="D55" i="151"/>
  <c r="H54" i="151"/>
  <c r="D54" i="151"/>
  <c r="H53" i="151"/>
  <c r="D53" i="151"/>
  <c r="G49" i="151"/>
  <c r="C49" i="151"/>
  <c r="H48" i="151"/>
  <c r="D48" i="151"/>
  <c r="H47" i="151"/>
  <c r="D47" i="151"/>
  <c r="H46" i="151"/>
  <c r="D46" i="151"/>
  <c r="H45" i="151"/>
  <c r="D45" i="151"/>
  <c r="H44" i="151"/>
  <c r="D44" i="151"/>
  <c r="H43" i="151"/>
  <c r="D43" i="151"/>
  <c r="H42" i="151"/>
  <c r="D42" i="151"/>
  <c r="H41" i="151"/>
  <c r="D41" i="151"/>
  <c r="H40" i="151"/>
  <c r="D40" i="151"/>
  <c r="H39" i="151"/>
  <c r="D39" i="151"/>
  <c r="H38" i="151"/>
  <c r="D38" i="151"/>
  <c r="H37" i="151"/>
  <c r="D37" i="151"/>
  <c r="G34" i="151"/>
  <c r="C34" i="151"/>
  <c r="H33" i="151"/>
  <c r="H32" i="151"/>
  <c r="D32" i="151"/>
  <c r="H31" i="151"/>
  <c r="H30" i="151"/>
  <c r="H29" i="151"/>
  <c r="H28" i="151"/>
  <c r="H27" i="151"/>
  <c r="H26" i="151"/>
  <c r="H25" i="151"/>
  <c r="H24" i="151"/>
  <c r="H23" i="151"/>
  <c r="H22" i="151"/>
  <c r="G19" i="151"/>
  <c r="C19" i="151"/>
  <c r="H18" i="151"/>
  <c r="H17" i="151"/>
  <c r="H16" i="151"/>
  <c r="H15" i="151"/>
  <c r="H14" i="151"/>
  <c r="H13" i="151"/>
  <c r="H12" i="151"/>
  <c r="H11" i="151"/>
  <c r="H10" i="151"/>
  <c r="H9" i="151"/>
  <c r="H8" i="151"/>
  <c r="H7" i="151"/>
  <c r="D19" i="152" l="1"/>
  <c r="D34" i="152"/>
  <c r="D26" i="151"/>
  <c r="D24" i="151"/>
  <c r="D95" i="151"/>
  <c r="D10" i="151"/>
  <c r="D18" i="151"/>
  <c r="D22" i="151"/>
  <c r="D30" i="151"/>
  <c r="D28" i="151"/>
  <c r="D8" i="151"/>
  <c r="D14" i="151"/>
  <c r="D16" i="151"/>
  <c r="D12" i="151"/>
  <c r="D7" i="151"/>
  <c r="D9" i="151"/>
  <c r="D11" i="151"/>
  <c r="D13" i="151"/>
  <c r="D15" i="151"/>
  <c r="D23" i="151"/>
  <c r="D25" i="151"/>
  <c r="D27" i="151"/>
  <c r="D29" i="151"/>
  <c r="D31" i="151"/>
  <c r="D49" i="151"/>
  <c r="H49" i="151"/>
  <c r="D106" i="151"/>
  <c r="H80" i="151"/>
  <c r="D80" i="151"/>
  <c r="H65" i="151"/>
  <c r="D65" i="151"/>
  <c r="H34" i="151"/>
  <c r="H19" i="151"/>
  <c r="F121" i="150"/>
  <c r="D33" i="150" s="1"/>
  <c r="F120" i="150"/>
  <c r="D18" i="150" s="1"/>
  <c r="D105" i="150"/>
  <c r="D104" i="150"/>
  <c r="D103" i="150"/>
  <c r="D102" i="150"/>
  <c r="D101" i="150"/>
  <c r="D100" i="150"/>
  <c r="D99" i="150"/>
  <c r="C95" i="150"/>
  <c r="D94" i="150"/>
  <c r="D93" i="150"/>
  <c r="D92" i="150"/>
  <c r="D91" i="150"/>
  <c r="D90" i="150"/>
  <c r="D89" i="150"/>
  <c r="D88" i="150"/>
  <c r="D87" i="150"/>
  <c r="D86" i="150"/>
  <c r="D85" i="150"/>
  <c r="D84" i="150"/>
  <c r="D83" i="150"/>
  <c r="G80" i="150"/>
  <c r="C80" i="150"/>
  <c r="H79" i="150"/>
  <c r="D79" i="150"/>
  <c r="H78" i="150"/>
  <c r="D78" i="150"/>
  <c r="H77" i="150"/>
  <c r="D77" i="150"/>
  <c r="H76" i="150"/>
  <c r="D76" i="150"/>
  <c r="H75" i="150"/>
  <c r="D75" i="150"/>
  <c r="H74" i="150"/>
  <c r="D74" i="150"/>
  <c r="H73" i="150"/>
  <c r="D73" i="150"/>
  <c r="H72" i="150"/>
  <c r="D72" i="150"/>
  <c r="H71" i="150"/>
  <c r="D71" i="150"/>
  <c r="H70" i="150"/>
  <c r="D70" i="150"/>
  <c r="H69" i="150"/>
  <c r="D69" i="150"/>
  <c r="H68" i="150"/>
  <c r="D68" i="150"/>
  <c r="G65" i="150"/>
  <c r="C65" i="150"/>
  <c r="H64" i="150"/>
  <c r="D64" i="150"/>
  <c r="H63" i="150"/>
  <c r="D63" i="150"/>
  <c r="H62" i="150"/>
  <c r="D62" i="150"/>
  <c r="H61" i="150"/>
  <c r="D61" i="150"/>
  <c r="H60" i="150"/>
  <c r="D60" i="150"/>
  <c r="H59" i="150"/>
  <c r="D59" i="150"/>
  <c r="H58" i="150"/>
  <c r="D58" i="150"/>
  <c r="H57" i="150"/>
  <c r="D57" i="150"/>
  <c r="H56" i="150"/>
  <c r="D56" i="150"/>
  <c r="H55" i="150"/>
  <c r="D55" i="150"/>
  <c r="H54" i="150"/>
  <c r="D54" i="150"/>
  <c r="H53" i="150"/>
  <c r="D53" i="150"/>
  <c r="G49" i="150"/>
  <c r="C49" i="150"/>
  <c r="H48" i="150"/>
  <c r="D48" i="150"/>
  <c r="H47" i="150"/>
  <c r="D47" i="150"/>
  <c r="H46" i="150"/>
  <c r="D46" i="150"/>
  <c r="H45" i="150"/>
  <c r="D45" i="150"/>
  <c r="H44" i="150"/>
  <c r="D44" i="150"/>
  <c r="H43" i="150"/>
  <c r="D43" i="150"/>
  <c r="H42" i="150"/>
  <c r="D42" i="150"/>
  <c r="H41" i="150"/>
  <c r="D41" i="150"/>
  <c r="H40" i="150"/>
  <c r="D40" i="150"/>
  <c r="H39" i="150"/>
  <c r="D39" i="150"/>
  <c r="H38" i="150"/>
  <c r="D38" i="150"/>
  <c r="H37" i="150"/>
  <c r="D37" i="150"/>
  <c r="G34" i="150"/>
  <c r="C34" i="150"/>
  <c r="H33" i="150"/>
  <c r="H32" i="150"/>
  <c r="D32" i="150"/>
  <c r="H31" i="150"/>
  <c r="H30" i="150"/>
  <c r="H29" i="150"/>
  <c r="H28" i="150"/>
  <c r="H27" i="150"/>
  <c r="H26" i="150"/>
  <c r="H25" i="150"/>
  <c r="H24" i="150"/>
  <c r="H23" i="150"/>
  <c r="H22" i="150"/>
  <c r="G19" i="150"/>
  <c r="C19" i="150"/>
  <c r="H18" i="150"/>
  <c r="H17" i="150"/>
  <c r="H16" i="150"/>
  <c r="H15" i="150"/>
  <c r="H14" i="150"/>
  <c r="H13" i="150"/>
  <c r="H12" i="150"/>
  <c r="H11" i="150"/>
  <c r="H10" i="150"/>
  <c r="H9" i="150"/>
  <c r="H8" i="150"/>
  <c r="H7" i="150"/>
  <c r="D7" i="150" l="1"/>
  <c r="D9" i="150"/>
  <c r="D11" i="150"/>
  <c r="D13" i="150"/>
  <c r="D15" i="150"/>
  <c r="D17" i="150"/>
  <c r="D8" i="150"/>
  <c r="D10" i="150"/>
  <c r="D12" i="150"/>
  <c r="D14" i="150"/>
  <c r="D16" i="150"/>
  <c r="D24" i="150"/>
  <c r="D34" i="151"/>
  <c r="D30" i="150"/>
  <c r="D28" i="150"/>
  <c r="D22" i="150"/>
  <c r="D26" i="150"/>
  <c r="D19" i="151"/>
  <c r="H80" i="150"/>
  <c r="D23" i="150"/>
  <c r="D25" i="150"/>
  <c r="D27" i="150"/>
  <c r="D29" i="150"/>
  <c r="D31" i="150"/>
  <c r="D80" i="150"/>
  <c r="D65" i="150"/>
  <c r="D106" i="150"/>
  <c r="H65" i="150"/>
  <c r="D95" i="150"/>
  <c r="H49" i="150"/>
  <c r="D49" i="150"/>
  <c r="H34" i="150"/>
  <c r="H19" i="150"/>
  <c r="F121" i="149"/>
  <c r="D32" i="149" s="1"/>
  <c r="F120" i="149"/>
  <c r="D18" i="149" s="1"/>
  <c r="D105" i="149"/>
  <c r="D104" i="149"/>
  <c r="D103" i="149"/>
  <c r="D102" i="149"/>
  <c r="D101" i="149"/>
  <c r="D100" i="149"/>
  <c r="D99" i="149"/>
  <c r="C95" i="149"/>
  <c r="D94" i="149"/>
  <c r="D93" i="149"/>
  <c r="D92" i="149"/>
  <c r="D91" i="149"/>
  <c r="D90" i="149"/>
  <c r="D89" i="149"/>
  <c r="D88" i="149"/>
  <c r="D87" i="149"/>
  <c r="D86" i="149"/>
  <c r="D85" i="149"/>
  <c r="D84" i="149"/>
  <c r="D83" i="149"/>
  <c r="G80" i="149"/>
  <c r="C80" i="149"/>
  <c r="H79" i="149"/>
  <c r="D79" i="149"/>
  <c r="H78" i="149"/>
  <c r="D78" i="149"/>
  <c r="H77" i="149"/>
  <c r="D77" i="149"/>
  <c r="H76" i="149"/>
  <c r="D76" i="149"/>
  <c r="H75" i="149"/>
  <c r="D75" i="149"/>
  <c r="H74" i="149"/>
  <c r="D74" i="149"/>
  <c r="H73" i="149"/>
  <c r="D73" i="149"/>
  <c r="H72" i="149"/>
  <c r="D72" i="149"/>
  <c r="H71" i="149"/>
  <c r="D71" i="149"/>
  <c r="H70" i="149"/>
  <c r="D70" i="149"/>
  <c r="H69" i="149"/>
  <c r="D69" i="149"/>
  <c r="H68" i="149"/>
  <c r="D68" i="149"/>
  <c r="G65" i="149"/>
  <c r="C65" i="149"/>
  <c r="H64" i="149"/>
  <c r="D64" i="149"/>
  <c r="H63" i="149"/>
  <c r="D63" i="149"/>
  <c r="H62" i="149"/>
  <c r="D62" i="149"/>
  <c r="H61" i="149"/>
  <c r="D61" i="149"/>
  <c r="H60" i="149"/>
  <c r="D60" i="149"/>
  <c r="H59" i="149"/>
  <c r="D59" i="149"/>
  <c r="H58" i="149"/>
  <c r="D58" i="149"/>
  <c r="H57" i="149"/>
  <c r="D57" i="149"/>
  <c r="H56" i="149"/>
  <c r="D56" i="149"/>
  <c r="H55" i="149"/>
  <c r="D55" i="149"/>
  <c r="H54" i="149"/>
  <c r="D54" i="149"/>
  <c r="H53" i="149"/>
  <c r="D53" i="149"/>
  <c r="G49" i="149"/>
  <c r="C49" i="149"/>
  <c r="H48" i="149"/>
  <c r="D48" i="149"/>
  <c r="H47" i="149"/>
  <c r="D47" i="149"/>
  <c r="H46" i="149"/>
  <c r="D46" i="149"/>
  <c r="H45" i="149"/>
  <c r="D45" i="149"/>
  <c r="H44" i="149"/>
  <c r="D44" i="149"/>
  <c r="H43" i="149"/>
  <c r="D43" i="149"/>
  <c r="H42" i="149"/>
  <c r="D42" i="149"/>
  <c r="H41" i="149"/>
  <c r="D41" i="149"/>
  <c r="H40" i="149"/>
  <c r="D40" i="149"/>
  <c r="H39" i="149"/>
  <c r="D39" i="149"/>
  <c r="H38" i="149"/>
  <c r="D38" i="149"/>
  <c r="H37" i="149"/>
  <c r="D37" i="149"/>
  <c r="G34" i="149"/>
  <c r="C34" i="149"/>
  <c r="H33" i="149"/>
  <c r="H32" i="149"/>
  <c r="H31" i="149"/>
  <c r="H30" i="149"/>
  <c r="H29" i="149"/>
  <c r="H28" i="149"/>
  <c r="H27" i="149"/>
  <c r="H26" i="149"/>
  <c r="H25" i="149"/>
  <c r="H24" i="149"/>
  <c r="H23" i="149"/>
  <c r="H22" i="149"/>
  <c r="G19" i="149"/>
  <c r="C19" i="149"/>
  <c r="H18" i="149"/>
  <c r="H17" i="149"/>
  <c r="H16" i="149"/>
  <c r="H15" i="149"/>
  <c r="H14" i="149"/>
  <c r="H13" i="149"/>
  <c r="H12" i="149"/>
  <c r="H11" i="149"/>
  <c r="H10" i="149"/>
  <c r="H9" i="149"/>
  <c r="H8" i="149"/>
  <c r="H7" i="149"/>
  <c r="D22" i="149" l="1"/>
  <c r="D19" i="150"/>
  <c r="D7" i="149"/>
  <c r="D9" i="149"/>
  <c r="D11" i="149"/>
  <c r="D13" i="149"/>
  <c r="D15" i="149"/>
  <c r="D17" i="149"/>
  <c r="D8" i="149"/>
  <c r="D10" i="149"/>
  <c r="D12" i="149"/>
  <c r="D14" i="149"/>
  <c r="D16" i="149"/>
  <c r="D30" i="149"/>
  <c r="D26" i="149"/>
  <c r="D34" i="150"/>
  <c r="D24" i="149"/>
  <c r="D28" i="149"/>
  <c r="D80" i="149"/>
  <c r="D23" i="149"/>
  <c r="D25" i="149"/>
  <c r="D27" i="149"/>
  <c r="D29" i="149"/>
  <c r="D31" i="149"/>
  <c r="D33" i="149"/>
  <c r="H49" i="149"/>
  <c r="H80" i="149"/>
  <c r="H19" i="149"/>
  <c r="D106" i="149"/>
  <c r="D65" i="149"/>
  <c r="H34" i="149"/>
  <c r="H65" i="149"/>
  <c r="D95" i="149"/>
  <c r="D49" i="149"/>
  <c r="F121" i="148"/>
  <c r="D33" i="148" s="1"/>
  <c r="F120" i="148"/>
  <c r="D17" i="148" s="1"/>
  <c r="D105" i="148"/>
  <c r="D104" i="148"/>
  <c r="D103" i="148"/>
  <c r="D102" i="148"/>
  <c r="D101" i="148"/>
  <c r="D100" i="148"/>
  <c r="D99" i="148"/>
  <c r="C95" i="148"/>
  <c r="D94" i="148"/>
  <c r="D93" i="148"/>
  <c r="D92" i="148"/>
  <c r="D91" i="148"/>
  <c r="D90" i="148"/>
  <c r="D89" i="148"/>
  <c r="D88" i="148"/>
  <c r="D87" i="148"/>
  <c r="D86" i="148"/>
  <c r="D85" i="148"/>
  <c r="D84" i="148"/>
  <c r="D83" i="148"/>
  <c r="G80" i="148"/>
  <c r="C80" i="148"/>
  <c r="H79" i="148"/>
  <c r="D79" i="148"/>
  <c r="H78" i="148"/>
  <c r="D78" i="148"/>
  <c r="H77" i="148"/>
  <c r="D77" i="148"/>
  <c r="H76" i="148"/>
  <c r="D76" i="148"/>
  <c r="H75" i="148"/>
  <c r="D75" i="148"/>
  <c r="H74" i="148"/>
  <c r="D74" i="148"/>
  <c r="H73" i="148"/>
  <c r="D73" i="148"/>
  <c r="H72" i="148"/>
  <c r="D72" i="148"/>
  <c r="H71" i="148"/>
  <c r="D71" i="148"/>
  <c r="H70" i="148"/>
  <c r="D70" i="148"/>
  <c r="H69" i="148"/>
  <c r="D69" i="148"/>
  <c r="H68" i="148"/>
  <c r="D68" i="148"/>
  <c r="G65" i="148"/>
  <c r="C65" i="148"/>
  <c r="H64" i="148"/>
  <c r="D64" i="148"/>
  <c r="H63" i="148"/>
  <c r="D63" i="148"/>
  <c r="H62" i="148"/>
  <c r="D62" i="148"/>
  <c r="H61" i="148"/>
  <c r="D61" i="148"/>
  <c r="H60" i="148"/>
  <c r="D60" i="148"/>
  <c r="H59" i="148"/>
  <c r="D59" i="148"/>
  <c r="H58" i="148"/>
  <c r="D58" i="148"/>
  <c r="H57" i="148"/>
  <c r="D57" i="148"/>
  <c r="H56" i="148"/>
  <c r="D56" i="148"/>
  <c r="H55" i="148"/>
  <c r="D55" i="148"/>
  <c r="H54" i="148"/>
  <c r="D54" i="148"/>
  <c r="H53" i="148"/>
  <c r="D53" i="148"/>
  <c r="G49" i="148"/>
  <c r="C49" i="148"/>
  <c r="H48" i="148"/>
  <c r="D48" i="148"/>
  <c r="H47" i="148"/>
  <c r="D47" i="148"/>
  <c r="H46" i="148"/>
  <c r="D46" i="148"/>
  <c r="H45" i="148"/>
  <c r="D45" i="148"/>
  <c r="H44" i="148"/>
  <c r="D44" i="148"/>
  <c r="H43" i="148"/>
  <c r="D43" i="148"/>
  <c r="H42" i="148"/>
  <c r="D42" i="148"/>
  <c r="H41" i="148"/>
  <c r="D41" i="148"/>
  <c r="H40" i="148"/>
  <c r="D40" i="148"/>
  <c r="H39" i="148"/>
  <c r="D39" i="148"/>
  <c r="H38" i="148"/>
  <c r="D38" i="148"/>
  <c r="H37" i="148"/>
  <c r="D37" i="148"/>
  <c r="G34" i="148"/>
  <c r="C34" i="148"/>
  <c r="H33" i="148"/>
  <c r="H32" i="148"/>
  <c r="H31" i="148"/>
  <c r="H30" i="148"/>
  <c r="H29" i="148"/>
  <c r="H28" i="148"/>
  <c r="H27" i="148"/>
  <c r="H26" i="148"/>
  <c r="H25" i="148"/>
  <c r="H24" i="148"/>
  <c r="H23" i="148"/>
  <c r="H22" i="148"/>
  <c r="G19" i="148"/>
  <c r="C19" i="148"/>
  <c r="H18" i="148"/>
  <c r="D18" i="148"/>
  <c r="H17" i="148"/>
  <c r="H16" i="148"/>
  <c r="H15" i="148"/>
  <c r="H14" i="148"/>
  <c r="H13" i="148"/>
  <c r="H12" i="148"/>
  <c r="H11" i="148"/>
  <c r="H10" i="148"/>
  <c r="H9" i="148"/>
  <c r="H8" i="148"/>
  <c r="H7" i="148"/>
  <c r="D19" i="149" l="1"/>
  <c r="D10" i="148"/>
  <c r="D8" i="148"/>
  <c r="D14" i="148"/>
  <c r="D16" i="148"/>
  <c r="D12" i="148"/>
  <c r="H65" i="148"/>
  <c r="D34" i="149"/>
  <c r="D7" i="148"/>
  <c r="D9" i="148"/>
  <c r="D11" i="148"/>
  <c r="D13" i="148"/>
  <c r="D15" i="148"/>
  <c r="D80" i="148"/>
  <c r="D49" i="148"/>
  <c r="H34" i="148"/>
  <c r="D106" i="148"/>
  <c r="H49" i="148"/>
  <c r="D95" i="148"/>
  <c r="H80" i="148"/>
  <c r="D65" i="148"/>
  <c r="H19" i="148"/>
  <c r="D22" i="148"/>
  <c r="D28" i="148"/>
  <c r="D32" i="148"/>
  <c r="D24" i="148"/>
  <c r="D26" i="148"/>
  <c r="D30" i="148"/>
  <c r="D23" i="148"/>
  <c r="D25" i="148"/>
  <c r="D27" i="148"/>
  <c r="D29" i="148"/>
  <c r="D31" i="148"/>
  <c r="F120" i="147"/>
  <c r="D17" i="147" s="1"/>
  <c r="D105" i="147"/>
  <c r="D104" i="147"/>
  <c r="D103" i="147"/>
  <c r="D102" i="147"/>
  <c r="D101" i="147"/>
  <c r="D100" i="147"/>
  <c r="D99" i="147"/>
  <c r="C95" i="147"/>
  <c r="D94" i="147"/>
  <c r="D93" i="147"/>
  <c r="D92" i="147"/>
  <c r="D91" i="147"/>
  <c r="D90" i="147"/>
  <c r="D89" i="147"/>
  <c r="D88" i="147"/>
  <c r="D87" i="147"/>
  <c r="D86" i="147"/>
  <c r="D85" i="147"/>
  <c r="D84" i="147"/>
  <c r="D83" i="147"/>
  <c r="G80" i="147"/>
  <c r="C80" i="147"/>
  <c r="H79" i="147"/>
  <c r="D79" i="147"/>
  <c r="H78" i="147"/>
  <c r="D78" i="147"/>
  <c r="H77" i="147"/>
  <c r="D77" i="147"/>
  <c r="H76" i="147"/>
  <c r="D76" i="147"/>
  <c r="H75" i="147"/>
  <c r="D75" i="147"/>
  <c r="H74" i="147"/>
  <c r="D74" i="147"/>
  <c r="H73" i="147"/>
  <c r="D73" i="147"/>
  <c r="H72" i="147"/>
  <c r="D72" i="147"/>
  <c r="H71" i="147"/>
  <c r="D71" i="147"/>
  <c r="H70" i="147"/>
  <c r="D70" i="147"/>
  <c r="H69" i="147"/>
  <c r="D69" i="147"/>
  <c r="H68" i="147"/>
  <c r="D68" i="147"/>
  <c r="G65" i="147"/>
  <c r="C65" i="147"/>
  <c r="H64" i="147"/>
  <c r="D64" i="147"/>
  <c r="H63" i="147"/>
  <c r="D63" i="147"/>
  <c r="H62" i="147"/>
  <c r="D62" i="147"/>
  <c r="H61" i="147"/>
  <c r="D61" i="147"/>
  <c r="H60" i="147"/>
  <c r="D60" i="147"/>
  <c r="H59" i="147"/>
  <c r="D59" i="147"/>
  <c r="H58" i="147"/>
  <c r="D58" i="147"/>
  <c r="H57" i="147"/>
  <c r="D57" i="147"/>
  <c r="H56" i="147"/>
  <c r="D56" i="147"/>
  <c r="H55" i="147"/>
  <c r="D55" i="147"/>
  <c r="H54" i="147"/>
  <c r="D54" i="147"/>
  <c r="H53" i="147"/>
  <c r="D53" i="147"/>
  <c r="G49" i="147"/>
  <c r="C49" i="147"/>
  <c r="H48" i="147"/>
  <c r="D48" i="147"/>
  <c r="H47" i="147"/>
  <c r="D47" i="147"/>
  <c r="H46" i="147"/>
  <c r="D46" i="147"/>
  <c r="H45" i="147"/>
  <c r="D45" i="147"/>
  <c r="H44" i="147"/>
  <c r="D44" i="147"/>
  <c r="H43" i="147"/>
  <c r="D43" i="147"/>
  <c r="H42" i="147"/>
  <c r="D42" i="147"/>
  <c r="H41" i="147"/>
  <c r="D41" i="147"/>
  <c r="H40" i="147"/>
  <c r="D40" i="147"/>
  <c r="H39" i="147"/>
  <c r="D39" i="147"/>
  <c r="H38" i="147"/>
  <c r="D38" i="147"/>
  <c r="H37" i="147"/>
  <c r="D37" i="147"/>
  <c r="G34" i="147"/>
  <c r="C34" i="147"/>
  <c r="H33" i="147"/>
  <c r="H32" i="147"/>
  <c r="H31" i="147"/>
  <c r="H30" i="147"/>
  <c r="H29" i="147"/>
  <c r="H28" i="147"/>
  <c r="H27" i="147"/>
  <c r="H26" i="147"/>
  <c r="H25" i="147"/>
  <c r="H24" i="147"/>
  <c r="H23" i="147"/>
  <c r="H22" i="147"/>
  <c r="G19" i="147"/>
  <c r="C19" i="147"/>
  <c r="H18" i="147"/>
  <c r="D18" i="147"/>
  <c r="H17" i="147"/>
  <c r="H16" i="147"/>
  <c r="H15" i="147"/>
  <c r="H14" i="147"/>
  <c r="H13" i="147"/>
  <c r="H12" i="147"/>
  <c r="H11" i="147"/>
  <c r="H10" i="147"/>
  <c r="H9" i="147"/>
  <c r="H8" i="147"/>
  <c r="H7" i="147"/>
  <c r="D9" i="147" l="1"/>
  <c r="D19" i="148"/>
  <c r="D34" i="148"/>
  <c r="D13" i="147"/>
  <c r="D11" i="147"/>
  <c r="D7" i="147"/>
  <c r="D65" i="147"/>
  <c r="H34" i="147"/>
  <c r="D16" i="147"/>
  <c r="H65" i="147"/>
  <c r="D106" i="147"/>
  <c r="D8" i="147"/>
  <c r="D10" i="147"/>
  <c r="D12" i="147"/>
  <c r="D14" i="147"/>
  <c r="D80" i="147"/>
  <c r="H80" i="147"/>
  <c r="D15" i="147"/>
  <c r="D95" i="147"/>
  <c r="H49" i="147"/>
  <c r="D49" i="147"/>
  <c r="H19" i="147"/>
  <c r="F121" i="146"/>
  <c r="D33" i="146" s="1"/>
  <c r="F120" i="146"/>
  <c r="D17" i="146" s="1"/>
  <c r="D105" i="146"/>
  <c r="D104" i="146"/>
  <c r="D103" i="146"/>
  <c r="D102" i="146"/>
  <c r="D101" i="146"/>
  <c r="D100" i="146"/>
  <c r="D99" i="146"/>
  <c r="C95" i="146"/>
  <c r="D94" i="146"/>
  <c r="D93" i="146"/>
  <c r="D92" i="146"/>
  <c r="D91" i="146"/>
  <c r="D90" i="146"/>
  <c r="D89" i="146"/>
  <c r="D88" i="146"/>
  <c r="D87" i="146"/>
  <c r="D86" i="146"/>
  <c r="D85" i="146"/>
  <c r="D84" i="146"/>
  <c r="D83" i="146"/>
  <c r="G80" i="146"/>
  <c r="C80" i="146"/>
  <c r="H79" i="146"/>
  <c r="D79" i="146"/>
  <c r="H78" i="146"/>
  <c r="D78" i="146"/>
  <c r="H77" i="146"/>
  <c r="D77" i="146"/>
  <c r="H76" i="146"/>
  <c r="D76" i="146"/>
  <c r="H75" i="146"/>
  <c r="D75" i="146"/>
  <c r="H74" i="146"/>
  <c r="D74" i="146"/>
  <c r="H73" i="146"/>
  <c r="D73" i="146"/>
  <c r="H72" i="146"/>
  <c r="D72" i="146"/>
  <c r="H71" i="146"/>
  <c r="D71" i="146"/>
  <c r="H70" i="146"/>
  <c r="D70" i="146"/>
  <c r="H69" i="146"/>
  <c r="D69" i="146"/>
  <c r="H68" i="146"/>
  <c r="D68" i="146"/>
  <c r="G65" i="146"/>
  <c r="C65" i="146"/>
  <c r="H64" i="146"/>
  <c r="D64" i="146"/>
  <c r="H63" i="146"/>
  <c r="D63" i="146"/>
  <c r="H62" i="146"/>
  <c r="D62" i="146"/>
  <c r="H61" i="146"/>
  <c r="D61" i="146"/>
  <c r="H60" i="146"/>
  <c r="D60" i="146"/>
  <c r="H59" i="146"/>
  <c r="D59" i="146"/>
  <c r="H58" i="146"/>
  <c r="D58" i="146"/>
  <c r="H57" i="146"/>
  <c r="D57" i="146"/>
  <c r="H56" i="146"/>
  <c r="D56" i="146"/>
  <c r="H55" i="146"/>
  <c r="D55" i="146"/>
  <c r="H54" i="146"/>
  <c r="D54" i="146"/>
  <c r="H53" i="146"/>
  <c r="D53" i="146"/>
  <c r="G49" i="146"/>
  <c r="C49" i="146"/>
  <c r="H48" i="146"/>
  <c r="D48" i="146"/>
  <c r="H47" i="146"/>
  <c r="D47" i="146"/>
  <c r="H46" i="146"/>
  <c r="D46" i="146"/>
  <c r="H45" i="146"/>
  <c r="D45" i="146"/>
  <c r="H44" i="146"/>
  <c r="D44" i="146"/>
  <c r="H43" i="146"/>
  <c r="D43" i="146"/>
  <c r="H42" i="146"/>
  <c r="D42" i="146"/>
  <c r="H41" i="146"/>
  <c r="D41" i="146"/>
  <c r="H40" i="146"/>
  <c r="D40" i="146"/>
  <c r="H39" i="146"/>
  <c r="D39" i="146"/>
  <c r="H38" i="146"/>
  <c r="D38" i="146"/>
  <c r="H37" i="146"/>
  <c r="D37" i="146"/>
  <c r="G34" i="146"/>
  <c r="C34" i="146"/>
  <c r="H33" i="146"/>
  <c r="H32" i="146"/>
  <c r="D32" i="146"/>
  <c r="H31" i="146"/>
  <c r="H30" i="146"/>
  <c r="H29" i="146"/>
  <c r="H28" i="146"/>
  <c r="H27" i="146"/>
  <c r="H26" i="146"/>
  <c r="H25" i="146"/>
  <c r="H24" i="146"/>
  <c r="H23" i="146"/>
  <c r="H22" i="146"/>
  <c r="G19" i="146"/>
  <c r="C19" i="146"/>
  <c r="H18" i="146"/>
  <c r="H17" i="146"/>
  <c r="H16" i="146"/>
  <c r="H15" i="146"/>
  <c r="H14" i="146"/>
  <c r="H13" i="146"/>
  <c r="H12" i="146"/>
  <c r="H11" i="146"/>
  <c r="H10" i="146"/>
  <c r="H9" i="146"/>
  <c r="H8" i="146"/>
  <c r="H7" i="146"/>
  <c r="D16" i="146" l="1"/>
  <c r="D18" i="146"/>
  <c r="D10" i="146"/>
  <c r="D8" i="146"/>
  <c r="D14" i="146"/>
  <c r="D12" i="146"/>
  <c r="H65" i="146"/>
  <c r="D24" i="146"/>
  <c r="D22" i="146"/>
  <c r="D30" i="146"/>
  <c r="D28" i="146"/>
  <c r="D19" i="147"/>
  <c r="D26" i="146"/>
  <c r="D95" i="146"/>
  <c r="D7" i="146"/>
  <c r="D9" i="146"/>
  <c r="D11" i="146"/>
  <c r="D13" i="146"/>
  <c r="D15" i="146"/>
  <c r="D23" i="146"/>
  <c r="D25" i="146"/>
  <c r="D27" i="146"/>
  <c r="D29" i="146"/>
  <c r="D31" i="146"/>
  <c r="D80" i="146"/>
  <c r="H34" i="146"/>
  <c r="H80" i="146"/>
  <c r="D106" i="146"/>
  <c r="H19" i="146"/>
  <c r="D65" i="146"/>
  <c r="H49" i="146"/>
  <c r="D49" i="146"/>
  <c r="F121" i="145"/>
  <c r="D32" i="145" s="1"/>
  <c r="F120" i="145"/>
  <c r="D17" i="145" s="1"/>
  <c r="D105" i="145"/>
  <c r="D104" i="145"/>
  <c r="D103" i="145"/>
  <c r="D102" i="145"/>
  <c r="D101" i="145"/>
  <c r="D100" i="145"/>
  <c r="D99" i="145"/>
  <c r="C95" i="145"/>
  <c r="D94" i="145"/>
  <c r="D93" i="145"/>
  <c r="D92" i="145"/>
  <c r="D91" i="145"/>
  <c r="D90" i="145"/>
  <c r="D89" i="145"/>
  <c r="D88" i="145"/>
  <c r="D87" i="145"/>
  <c r="D86" i="145"/>
  <c r="D85" i="145"/>
  <c r="D84" i="145"/>
  <c r="D83" i="145"/>
  <c r="G80" i="145"/>
  <c r="C80" i="145"/>
  <c r="H79" i="145"/>
  <c r="D79" i="145"/>
  <c r="H78" i="145"/>
  <c r="D78" i="145"/>
  <c r="H77" i="145"/>
  <c r="D77" i="145"/>
  <c r="H76" i="145"/>
  <c r="D76" i="145"/>
  <c r="H75" i="145"/>
  <c r="D75" i="145"/>
  <c r="H74" i="145"/>
  <c r="D74" i="145"/>
  <c r="H73" i="145"/>
  <c r="D73" i="145"/>
  <c r="H72" i="145"/>
  <c r="D72" i="145"/>
  <c r="H71" i="145"/>
  <c r="D71" i="145"/>
  <c r="H70" i="145"/>
  <c r="D70" i="145"/>
  <c r="H69" i="145"/>
  <c r="D69" i="145"/>
  <c r="H68" i="145"/>
  <c r="D68" i="145"/>
  <c r="G65" i="145"/>
  <c r="C65" i="145"/>
  <c r="H64" i="145"/>
  <c r="D64" i="145"/>
  <c r="H63" i="145"/>
  <c r="D63" i="145"/>
  <c r="H62" i="145"/>
  <c r="D62" i="145"/>
  <c r="H61" i="145"/>
  <c r="D61" i="145"/>
  <c r="H60" i="145"/>
  <c r="D60" i="145"/>
  <c r="H59" i="145"/>
  <c r="D59" i="145"/>
  <c r="H58" i="145"/>
  <c r="D58" i="145"/>
  <c r="H57" i="145"/>
  <c r="D57" i="145"/>
  <c r="H56" i="145"/>
  <c r="D56" i="145"/>
  <c r="H55" i="145"/>
  <c r="D55" i="145"/>
  <c r="H54" i="145"/>
  <c r="D54" i="145"/>
  <c r="H53" i="145"/>
  <c r="D53" i="145"/>
  <c r="G49" i="145"/>
  <c r="C49" i="145"/>
  <c r="H48" i="145"/>
  <c r="D48" i="145"/>
  <c r="H47" i="145"/>
  <c r="D47" i="145"/>
  <c r="H46" i="145"/>
  <c r="D46" i="145"/>
  <c r="H45" i="145"/>
  <c r="D45" i="145"/>
  <c r="H44" i="145"/>
  <c r="D44" i="145"/>
  <c r="H43" i="145"/>
  <c r="D43" i="145"/>
  <c r="H42" i="145"/>
  <c r="D42" i="145"/>
  <c r="H41" i="145"/>
  <c r="D41" i="145"/>
  <c r="H40" i="145"/>
  <c r="D40" i="145"/>
  <c r="H39" i="145"/>
  <c r="D39" i="145"/>
  <c r="H38" i="145"/>
  <c r="D38" i="145"/>
  <c r="H37" i="145"/>
  <c r="D37" i="145"/>
  <c r="G34" i="145"/>
  <c r="C34" i="145"/>
  <c r="H33" i="145"/>
  <c r="H32" i="145"/>
  <c r="H31" i="145"/>
  <c r="H30" i="145"/>
  <c r="H29" i="145"/>
  <c r="H28" i="145"/>
  <c r="H27" i="145"/>
  <c r="H26" i="145"/>
  <c r="H25" i="145"/>
  <c r="H24" i="145"/>
  <c r="H23" i="145"/>
  <c r="H22" i="145"/>
  <c r="G19" i="145"/>
  <c r="C19" i="145"/>
  <c r="H18" i="145"/>
  <c r="H17" i="145"/>
  <c r="H16" i="145"/>
  <c r="H15" i="145"/>
  <c r="H14" i="145"/>
  <c r="H13" i="145"/>
  <c r="H12" i="145"/>
  <c r="H11" i="145"/>
  <c r="H10" i="145"/>
  <c r="H9" i="145"/>
  <c r="H8" i="145"/>
  <c r="H7" i="145"/>
  <c r="D31" i="145" l="1"/>
  <c r="D23" i="145"/>
  <c r="D27" i="145"/>
  <c r="D18" i="145"/>
  <c r="D10" i="145"/>
  <c r="D16" i="145"/>
  <c r="D8" i="145"/>
  <c r="D14" i="145"/>
  <c r="D34" i="146"/>
  <c r="D25" i="145"/>
  <c r="D33" i="145"/>
  <c r="D29" i="145"/>
  <c r="D19" i="146"/>
  <c r="D49" i="145"/>
  <c r="D106" i="145"/>
  <c r="H19" i="145"/>
  <c r="D12" i="145"/>
  <c r="D95" i="145"/>
  <c r="H80" i="145"/>
  <c r="D80" i="145"/>
  <c r="H65" i="145"/>
  <c r="D65" i="145"/>
  <c r="H49" i="145"/>
  <c r="H34" i="145"/>
  <c r="D7" i="145"/>
  <c r="D9" i="145"/>
  <c r="D11" i="145"/>
  <c r="D13" i="145"/>
  <c r="D15" i="145"/>
  <c r="D22" i="145"/>
  <c r="D24" i="145"/>
  <c r="D26" i="145"/>
  <c r="D28" i="145"/>
  <c r="D30" i="145"/>
  <c r="F121" i="144"/>
  <c r="D33" i="144" s="1"/>
  <c r="F120" i="144"/>
  <c r="D18" i="144" s="1"/>
  <c r="D105" i="144"/>
  <c r="D104" i="144"/>
  <c r="D103" i="144"/>
  <c r="D102" i="144"/>
  <c r="D101" i="144"/>
  <c r="D100" i="144"/>
  <c r="D99" i="144"/>
  <c r="C95" i="144"/>
  <c r="D94" i="144"/>
  <c r="D93" i="144"/>
  <c r="D92" i="144"/>
  <c r="D91" i="144"/>
  <c r="D90" i="144"/>
  <c r="D89" i="144"/>
  <c r="D88" i="144"/>
  <c r="D87" i="144"/>
  <c r="D86" i="144"/>
  <c r="D85" i="144"/>
  <c r="D84" i="144"/>
  <c r="D83" i="144"/>
  <c r="G80" i="144"/>
  <c r="C80" i="144"/>
  <c r="H79" i="144"/>
  <c r="D79" i="144"/>
  <c r="H78" i="144"/>
  <c r="D78" i="144"/>
  <c r="H77" i="144"/>
  <c r="D77" i="144"/>
  <c r="H76" i="144"/>
  <c r="D76" i="144"/>
  <c r="H75" i="144"/>
  <c r="D75" i="144"/>
  <c r="H74" i="144"/>
  <c r="D74" i="144"/>
  <c r="H73" i="144"/>
  <c r="D73" i="144"/>
  <c r="H72" i="144"/>
  <c r="D72" i="144"/>
  <c r="H71" i="144"/>
  <c r="D71" i="144"/>
  <c r="H70" i="144"/>
  <c r="D70" i="144"/>
  <c r="H69" i="144"/>
  <c r="D69" i="144"/>
  <c r="H68" i="144"/>
  <c r="D68" i="144"/>
  <c r="G65" i="144"/>
  <c r="C65" i="144"/>
  <c r="H64" i="144"/>
  <c r="D64" i="144"/>
  <c r="H63" i="144"/>
  <c r="D63" i="144"/>
  <c r="H62" i="144"/>
  <c r="D62" i="144"/>
  <c r="H61" i="144"/>
  <c r="D61" i="144"/>
  <c r="H60" i="144"/>
  <c r="D60" i="144"/>
  <c r="H59" i="144"/>
  <c r="D59" i="144"/>
  <c r="H58" i="144"/>
  <c r="D58" i="144"/>
  <c r="H57" i="144"/>
  <c r="D57" i="144"/>
  <c r="H56" i="144"/>
  <c r="D56" i="144"/>
  <c r="H55" i="144"/>
  <c r="D55" i="144"/>
  <c r="H54" i="144"/>
  <c r="D54" i="144"/>
  <c r="H53" i="144"/>
  <c r="D53" i="144"/>
  <c r="G49" i="144"/>
  <c r="C49" i="144"/>
  <c r="H48" i="144"/>
  <c r="D48" i="144"/>
  <c r="H47" i="144"/>
  <c r="D47" i="144"/>
  <c r="H46" i="144"/>
  <c r="D46" i="144"/>
  <c r="H45" i="144"/>
  <c r="D45" i="144"/>
  <c r="H44" i="144"/>
  <c r="D44" i="144"/>
  <c r="H43" i="144"/>
  <c r="D43" i="144"/>
  <c r="H42" i="144"/>
  <c r="D42" i="144"/>
  <c r="H41" i="144"/>
  <c r="D41" i="144"/>
  <c r="H40" i="144"/>
  <c r="D40" i="144"/>
  <c r="H39" i="144"/>
  <c r="D39" i="144"/>
  <c r="H38" i="144"/>
  <c r="D38" i="144"/>
  <c r="H37" i="144"/>
  <c r="D37" i="144"/>
  <c r="G34" i="144"/>
  <c r="C34" i="144"/>
  <c r="H33" i="144"/>
  <c r="H32" i="144"/>
  <c r="D32" i="144"/>
  <c r="H31" i="144"/>
  <c r="H30" i="144"/>
  <c r="H29" i="144"/>
  <c r="H28" i="144"/>
  <c r="H27" i="144"/>
  <c r="H26" i="144"/>
  <c r="H25" i="144"/>
  <c r="H24" i="144"/>
  <c r="H23" i="144"/>
  <c r="H22" i="144"/>
  <c r="G19" i="144"/>
  <c r="C19" i="144"/>
  <c r="H18" i="144"/>
  <c r="H17" i="144"/>
  <c r="H16" i="144"/>
  <c r="H15" i="144"/>
  <c r="H14" i="144"/>
  <c r="H13" i="144"/>
  <c r="H12" i="144"/>
  <c r="H11" i="144"/>
  <c r="H10" i="144"/>
  <c r="H9" i="144"/>
  <c r="H8" i="144"/>
  <c r="H7" i="144"/>
  <c r="D24" i="144" l="1"/>
  <c r="D28" i="144"/>
  <c r="D26" i="144"/>
  <c r="D22" i="144"/>
  <c r="D30" i="144"/>
  <c r="D8" i="144"/>
  <c r="D23" i="144"/>
  <c r="D25" i="144"/>
  <c r="D27" i="144"/>
  <c r="D29" i="144"/>
  <c r="D31" i="144"/>
  <c r="D49" i="144"/>
  <c r="D34" i="145"/>
  <c r="D19" i="145"/>
  <c r="D95" i="144"/>
  <c r="H65" i="144"/>
  <c r="D7" i="144"/>
  <c r="D9" i="144"/>
  <c r="D11" i="144"/>
  <c r="D13" i="144"/>
  <c r="D15" i="144"/>
  <c r="D17" i="144"/>
  <c r="D10" i="144"/>
  <c r="D12" i="144"/>
  <c r="D14" i="144"/>
  <c r="D16" i="144"/>
  <c r="D80" i="144"/>
  <c r="H19" i="144"/>
  <c r="H80" i="144"/>
  <c r="D106" i="144"/>
  <c r="D65" i="144"/>
  <c r="H49" i="144"/>
  <c r="H34" i="144"/>
  <c r="F121" i="143"/>
  <c r="D32" i="143" s="1"/>
  <c r="F120" i="143"/>
  <c r="D17" i="143" s="1"/>
  <c r="D105" i="143"/>
  <c r="D104" i="143"/>
  <c r="D103" i="143"/>
  <c r="D102" i="143"/>
  <c r="D101" i="143"/>
  <c r="D100" i="143"/>
  <c r="D99" i="143"/>
  <c r="C95" i="143"/>
  <c r="D94" i="143"/>
  <c r="D93" i="143"/>
  <c r="D92" i="143"/>
  <c r="D91" i="143"/>
  <c r="D90" i="143"/>
  <c r="D89" i="143"/>
  <c r="D88" i="143"/>
  <c r="D87" i="143"/>
  <c r="D86" i="143"/>
  <c r="D85" i="143"/>
  <c r="D84" i="143"/>
  <c r="D83" i="143"/>
  <c r="G80" i="143"/>
  <c r="C80" i="143"/>
  <c r="H79" i="143"/>
  <c r="D79" i="143"/>
  <c r="H78" i="143"/>
  <c r="D78" i="143"/>
  <c r="H77" i="143"/>
  <c r="D77" i="143"/>
  <c r="H76" i="143"/>
  <c r="D76" i="143"/>
  <c r="H75" i="143"/>
  <c r="D75" i="143"/>
  <c r="H74" i="143"/>
  <c r="D74" i="143"/>
  <c r="H73" i="143"/>
  <c r="D73" i="143"/>
  <c r="H72" i="143"/>
  <c r="D72" i="143"/>
  <c r="H71" i="143"/>
  <c r="D71" i="143"/>
  <c r="H70" i="143"/>
  <c r="D70" i="143"/>
  <c r="H69" i="143"/>
  <c r="D69" i="143"/>
  <c r="H68" i="143"/>
  <c r="D68" i="143"/>
  <c r="G65" i="143"/>
  <c r="C65" i="143"/>
  <c r="H64" i="143"/>
  <c r="D64" i="143"/>
  <c r="H63" i="143"/>
  <c r="D63" i="143"/>
  <c r="H62" i="143"/>
  <c r="D62" i="143"/>
  <c r="H61" i="143"/>
  <c r="D61" i="143"/>
  <c r="H60" i="143"/>
  <c r="D60" i="143"/>
  <c r="H59" i="143"/>
  <c r="D59" i="143"/>
  <c r="H58" i="143"/>
  <c r="D58" i="143"/>
  <c r="H57" i="143"/>
  <c r="D57" i="143"/>
  <c r="H56" i="143"/>
  <c r="D56" i="143"/>
  <c r="H55" i="143"/>
  <c r="D55" i="143"/>
  <c r="H54" i="143"/>
  <c r="D54" i="143"/>
  <c r="H53" i="143"/>
  <c r="D53" i="143"/>
  <c r="G49" i="143"/>
  <c r="C49" i="143"/>
  <c r="H48" i="143"/>
  <c r="D48" i="143"/>
  <c r="H47" i="143"/>
  <c r="D47" i="143"/>
  <c r="H46" i="143"/>
  <c r="D46" i="143"/>
  <c r="H45" i="143"/>
  <c r="D45" i="143"/>
  <c r="H44" i="143"/>
  <c r="D44" i="143"/>
  <c r="H43" i="143"/>
  <c r="D43" i="143"/>
  <c r="H42" i="143"/>
  <c r="D42" i="143"/>
  <c r="H41" i="143"/>
  <c r="D41" i="143"/>
  <c r="H40" i="143"/>
  <c r="D40" i="143"/>
  <c r="H39" i="143"/>
  <c r="D39" i="143"/>
  <c r="H38" i="143"/>
  <c r="D38" i="143"/>
  <c r="H37" i="143"/>
  <c r="D37" i="143"/>
  <c r="G34" i="143"/>
  <c r="C34" i="143"/>
  <c r="H33" i="143"/>
  <c r="H32" i="143"/>
  <c r="H31" i="143"/>
  <c r="H30" i="143"/>
  <c r="H29" i="143"/>
  <c r="H28" i="143"/>
  <c r="H27" i="143"/>
  <c r="H26" i="143"/>
  <c r="H25" i="143"/>
  <c r="H24" i="143"/>
  <c r="H23" i="143"/>
  <c r="H22" i="143"/>
  <c r="G19" i="143"/>
  <c r="C19" i="143"/>
  <c r="H18" i="143"/>
  <c r="D18" i="143"/>
  <c r="H17" i="143"/>
  <c r="H16" i="143"/>
  <c r="H15" i="143"/>
  <c r="H14" i="143"/>
  <c r="H13" i="143"/>
  <c r="H12" i="143"/>
  <c r="H11" i="143"/>
  <c r="H10" i="143"/>
  <c r="H9" i="143"/>
  <c r="H8" i="143"/>
  <c r="H7" i="143"/>
  <c r="D12" i="143" l="1"/>
  <c r="D10" i="143"/>
  <c r="D8" i="143"/>
  <c r="D16" i="143"/>
  <c r="D14" i="143"/>
  <c r="D34" i="144"/>
  <c r="D7" i="143"/>
  <c r="D9" i="143"/>
  <c r="D11" i="143"/>
  <c r="D13" i="143"/>
  <c r="D15" i="143"/>
  <c r="D19" i="144"/>
  <c r="D106" i="143"/>
  <c r="D23" i="143"/>
  <c r="D25" i="143"/>
  <c r="D27" i="143"/>
  <c r="D29" i="143"/>
  <c r="D31" i="143"/>
  <c r="D33" i="143"/>
  <c r="D22" i="143"/>
  <c r="D24" i="143"/>
  <c r="D26" i="143"/>
  <c r="D28" i="143"/>
  <c r="D30" i="143"/>
  <c r="H19" i="143"/>
  <c r="H80" i="143"/>
  <c r="D95" i="143"/>
  <c r="D80" i="143"/>
  <c r="H65" i="143"/>
  <c r="D65" i="143"/>
  <c r="H49" i="143"/>
  <c r="D49" i="143"/>
  <c r="H34" i="143"/>
  <c r="C95" i="142"/>
  <c r="D19" i="143" l="1"/>
  <c r="D34" i="143"/>
  <c r="F121" i="142"/>
  <c r="D33" i="142" s="1"/>
  <c r="F120" i="142"/>
  <c r="D17" i="142" s="1"/>
  <c r="D105" i="142"/>
  <c r="D104" i="142"/>
  <c r="D103" i="142"/>
  <c r="D102" i="142"/>
  <c r="D101" i="142"/>
  <c r="D100" i="142"/>
  <c r="D99" i="142"/>
  <c r="D94" i="142"/>
  <c r="D93" i="142"/>
  <c r="D92" i="142"/>
  <c r="D91" i="142"/>
  <c r="D90" i="142"/>
  <c r="D89" i="142"/>
  <c r="D88" i="142"/>
  <c r="D87" i="142"/>
  <c r="D86" i="142"/>
  <c r="D85" i="142"/>
  <c r="D84" i="142"/>
  <c r="D83" i="142"/>
  <c r="G80" i="142"/>
  <c r="C80" i="142"/>
  <c r="H79" i="142"/>
  <c r="D79" i="142"/>
  <c r="H78" i="142"/>
  <c r="D78" i="142"/>
  <c r="H77" i="142"/>
  <c r="D77" i="142"/>
  <c r="H76" i="142"/>
  <c r="D76" i="142"/>
  <c r="H75" i="142"/>
  <c r="D75" i="142"/>
  <c r="H74" i="142"/>
  <c r="D74" i="142"/>
  <c r="H73" i="142"/>
  <c r="D73" i="142"/>
  <c r="H72" i="142"/>
  <c r="D72" i="142"/>
  <c r="H71" i="142"/>
  <c r="D71" i="142"/>
  <c r="H70" i="142"/>
  <c r="D70" i="142"/>
  <c r="H69" i="142"/>
  <c r="D69" i="142"/>
  <c r="H68" i="142"/>
  <c r="D68" i="142"/>
  <c r="G65" i="142"/>
  <c r="C65" i="142"/>
  <c r="H64" i="142"/>
  <c r="D64" i="142"/>
  <c r="H63" i="142"/>
  <c r="D63" i="142"/>
  <c r="H62" i="142"/>
  <c r="D62" i="142"/>
  <c r="H61" i="142"/>
  <c r="D61" i="142"/>
  <c r="H60" i="142"/>
  <c r="D60" i="142"/>
  <c r="H59" i="142"/>
  <c r="D59" i="142"/>
  <c r="H58" i="142"/>
  <c r="D58" i="142"/>
  <c r="H57" i="142"/>
  <c r="D57" i="142"/>
  <c r="H56" i="142"/>
  <c r="D56" i="142"/>
  <c r="H55" i="142"/>
  <c r="D55" i="142"/>
  <c r="H54" i="142"/>
  <c r="D54" i="142"/>
  <c r="H53" i="142"/>
  <c r="D53" i="142"/>
  <c r="G49" i="142"/>
  <c r="C49" i="142"/>
  <c r="H48" i="142"/>
  <c r="D48" i="142"/>
  <c r="H47" i="142"/>
  <c r="D47" i="142"/>
  <c r="H46" i="142"/>
  <c r="D46" i="142"/>
  <c r="H45" i="142"/>
  <c r="D45" i="142"/>
  <c r="H44" i="142"/>
  <c r="D44" i="142"/>
  <c r="H43" i="142"/>
  <c r="D43" i="142"/>
  <c r="H42" i="142"/>
  <c r="D42" i="142"/>
  <c r="H41" i="142"/>
  <c r="D41" i="142"/>
  <c r="H40" i="142"/>
  <c r="D40" i="142"/>
  <c r="H39" i="142"/>
  <c r="D39" i="142"/>
  <c r="H38" i="142"/>
  <c r="D38" i="142"/>
  <c r="H37" i="142"/>
  <c r="D37" i="142"/>
  <c r="G34" i="142"/>
  <c r="C34" i="142"/>
  <c r="H33" i="142"/>
  <c r="H32" i="142"/>
  <c r="H31" i="142"/>
  <c r="H30" i="142"/>
  <c r="H29" i="142"/>
  <c r="H28" i="142"/>
  <c r="H27" i="142"/>
  <c r="H26" i="142"/>
  <c r="H25" i="142"/>
  <c r="H24" i="142"/>
  <c r="H23" i="142"/>
  <c r="H22" i="142"/>
  <c r="G19" i="142"/>
  <c r="C19" i="142"/>
  <c r="H18" i="142"/>
  <c r="H17" i="142"/>
  <c r="H16" i="142"/>
  <c r="H15" i="142"/>
  <c r="H14" i="142"/>
  <c r="H13" i="142"/>
  <c r="H12" i="142"/>
  <c r="H11" i="142"/>
  <c r="H10" i="142"/>
  <c r="H9" i="142"/>
  <c r="H8" i="142"/>
  <c r="H7" i="142"/>
  <c r="D18" i="142" l="1"/>
  <c r="D12" i="142"/>
  <c r="D10" i="142"/>
  <c r="D80" i="142"/>
  <c r="D26" i="142"/>
  <c r="D8" i="142"/>
  <c r="D16" i="142"/>
  <c r="D14" i="142"/>
  <c r="D7" i="142"/>
  <c r="D9" i="142"/>
  <c r="D11" i="142"/>
  <c r="D13" i="142"/>
  <c r="D15" i="142"/>
  <c r="H80" i="142"/>
  <c r="D95" i="142"/>
  <c r="D49" i="142"/>
  <c r="H49" i="142"/>
  <c r="D32" i="142"/>
  <c r="D22" i="142"/>
  <c r="D30" i="142"/>
  <c r="D24" i="142"/>
  <c r="D28" i="142"/>
  <c r="D23" i="142"/>
  <c r="D25" i="142"/>
  <c r="D27" i="142"/>
  <c r="D29" i="142"/>
  <c r="D31" i="142"/>
  <c r="D106" i="142"/>
  <c r="H65" i="142"/>
  <c r="D65" i="142"/>
  <c r="H34" i="142"/>
  <c r="H19" i="142"/>
  <c r="C27" i="141"/>
  <c r="D19" i="142" l="1"/>
  <c r="D34" i="142"/>
  <c r="C34" i="141"/>
  <c r="C19" i="141"/>
  <c r="F121" i="141"/>
  <c r="D30" i="141" s="1"/>
  <c r="F120" i="141"/>
  <c r="D17" i="141" s="1"/>
  <c r="D105" i="141"/>
  <c r="D104" i="141"/>
  <c r="D103" i="141"/>
  <c r="D102" i="141"/>
  <c r="D101" i="141"/>
  <c r="D100" i="141"/>
  <c r="D99" i="141"/>
  <c r="D94" i="141"/>
  <c r="D93" i="141"/>
  <c r="D92" i="141"/>
  <c r="D91" i="141"/>
  <c r="D90" i="141"/>
  <c r="D89" i="141"/>
  <c r="D88" i="141"/>
  <c r="D87" i="141"/>
  <c r="D86" i="141"/>
  <c r="D85" i="141"/>
  <c r="D84" i="141"/>
  <c r="D83" i="141"/>
  <c r="G80" i="141"/>
  <c r="C80" i="141"/>
  <c r="H79" i="141"/>
  <c r="D79" i="141"/>
  <c r="H78" i="141"/>
  <c r="D78" i="141"/>
  <c r="H77" i="141"/>
  <c r="D77" i="141"/>
  <c r="H76" i="141"/>
  <c r="D76" i="141"/>
  <c r="H75" i="141"/>
  <c r="D75" i="141"/>
  <c r="H74" i="141"/>
  <c r="D74" i="141"/>
  <c r="H73" i="141"/>
  <c r="D73" i="141"/>
  <c r="H72" i="141"/>
  <c r="D72" i="141"/>
  <c r="H71" i="141"/>
  <c r="D71" i="141"/>
  <c r="H70" i="141"/>
  <c r="D70" i="141"/>
  <c r="H69" i="141"/>
  <c r="D69" i="141"/>
  <c r="H68" i="141"/>
  <c r="D68" i="141"/>
  <c r="G65" i="141"/>
  <c r="C65" i="141"/>
  <c r="H64" i="141"/>
  <c r="D64" i="141"/>
  <c r="H63" i="141"/>
  <c r="D63" i="141"/>
  <c r="H62" i="141"/>
  <c r="D62" i="141"/>
  <c r="H61" i="141"/>
  <c r="D61" i="141"/>
  <c r="H60" i="141"/>
  <c r="D60" i="141"/>
  <c r="H59" i="141"/>
  <c r="D59" i="141"/>
  <c r="H58" i="141"/>
  <c r="D58" i="141"/>
  <c r="H57" i="141"/>
  <c r="D57" i="141"/>
  <c r="H56" i="141"/>
  <c r="D56" i="141"/>
  <c r="H55" i="141"/>
  <c r="D55" i="141"/>
  <c r="H54" i="141"/>
  <c r="D54" i="141"/>
  <c r="H53" i="141"/>
  <c r="D53" i="141"/>
  <c r="G49" i="141"/>
  <c r="C49" i="141"/>
  <c r="H48" i="141"/>
  <c r="D48" i="141"/>
  <c r="H47" i="141"/>
  <c r="D47" i="141"/>
  <c r="H46" i="141"/>
  <c r="D46" i="141"/>
  <c r="H45" i="141"/>
  <c r="D45" i="141"/>
  <c r="H44" i="141"/>
  <c r="D44" i="141"/>
  <c r="H43" i="141"/>
  <c r="D43" i="141"/>
  <c r="H42" i="141"/>
  <c r="D42" i="141"/>
  <c r="H41" i="141"/>
  <c r="D41" i="141"/>
  <c r="H40" i="141"/>
  <c r="D40" i="141"/>
  <c r="H39" i="141"/>
  <c r="D39" i="141"/>
  <c r="H38" i="141"/>
  <c r="D38" i="141"/>
  <c r="H37" i="141"/>
  <c r="D37" i="141"/>
  <c r="G34" i="141"/>
  <c r="H33" i="141"/>
  <c r="H32" i="141"/>
  <c r="H31" i="141"/>
  <c r="H30" i="141"/>
  <c r="H29" i="141"/>
  <c r="H28" i="141"/>
  <c r="H27" i="141"/>
  <c r="H26" i="141"/>
  <c r="H25" i="141"/>
  <c r="H24" i="141"/>
  <c r="H23" i="141"/>
  <c r="H22" i="141"/>
  <c r="G19" i="141"/>
  <c r="H18" i="141"/>
  <c r="H17" i="141"/>
  <c r="H16" i="141"/>
  <c r="H15" i="141"/>
  <c r="H14" i="141"/>
  <c r="H13" i="141"/>
  <c r="H12" i="141"/>
  <c r="H11" i="141"/>
  <c r="H10" i="141"/>
  <c r="H9" i="141"/>
  <c r="H8" i="141"/>
  <c r="H7" i="141"/>
  <c r="D31" i="141" l="1"/>
  <c r="H80" i="141"/>
  <c r="D22" i="141"/>
  <c r="D24" i="141"/>
  <c r="D26" i="141"/>
  <c r="D28" i="141"/>
  <c r="D33" i="141"/>
  <c r="D23" i="141"/>
  <c r="D25" i="141"/>
  <c r="D27" i="141"/>
  <c r="D29" i="141"/>
  <c r="D49" i="141"/>
  <c r="D80" i="141"/>
  <c r="D32" i="141"/>
  <c r="D12" i="141"/>
  <c r="D8" i="141"/>
  <c r="D16" i="141"/>
  <c r="D14" i="141"/>
  <c r="D10" i="141"/>
  <c r="D18" i="141"/>
  <c r="H34" i="141"/>
  <c r="D7" i="141"/>
  <c r="D9" i="141"/>
  <c r="D11" i="141"/>
  <c r="D13" i="141"/>
  <c r="D15" i="141"/>
  <c r="H49" i="141"/>
  <c r="D106" i="141"/>
  <c r="D95" i="141"/>
  <c r="H65" i="141"/>
  <c r="D65" i="141"/>
  <c r="H19" i="141"/>
  <c r="F121" i="140"/>
  <c r="D33" i="140" s="1"/>
  <c r="F120" i="140"/>
  <c r="D18" i="140" s="1"/>
  <c r="D105" i="140"/>
  <c r="D104" i="140"/>
  <c r="D103" i="140"/>
  <c r="D102" i="140"/>
  <c r="D101" i="140"/>
  <c r="D100" i="140"/>
  <c r="D99" i="140"/>
  <c r="D94" i="140"/>
  <c r="D93" i="140"/>
  <c r="D92" i="140"/>
  <c r="D91" i="140"/>
  <c r="D90" i="140"/>
  <c r="D89" i="140"/>
  <c r="D88" i="140"/>
  <c r="D87" i="140"/>
  <c r="D86" i="140"/>
  <c r="D85" i="140"/>
  <c r="D84" i="140"/>
  <c r="D83" i="140"/>
  <c r="G80" i="140"/>
  <c r="C80" i="140"/>
  <c r="H79" i="140"/>
  <c r="D79" i="140"/>
  <c r="H78" i="140"/>
  <c r="D78" i="140"/>
  <c r="H77" i="140"/>
  <c r="D77" i="140"/>
  <c r="H76" i="140"/>
  <c r="D76" i="140"/>
  <c r="H75" i="140"/>
  <c r="D75" i="140"/>
  <c r="H74" i="140"/>
  <c r="D74" i="140"/>
  <c r="H73" i="140"/>
  <c r="D73" i="140"/>
  <c r="H72" i="140"/>
  <c r="D72" i="140"/>
  <c r="H71" i="140"/>
  <c r="D71" i="140"/>
  <c r="H70" i="140"/>
  <c r="D70" i="140"/>
  <c r="H69" i="140"/>
  <c r="D69" i="140"/>
  <c r="H68" i="140"/>
  <c r="D68" i="140"/>
  <c r="G65" i="140"/>
  <c r="C65" i="140"/>
  <c r="H64" i="140"/>
  <c r="D64" i="140"/>
  <c r="H63" i="140"/>
  <c r="D63" i="140"/>
  <c r="H62" i="140"/>
  <c r="D62" i="140"/>
  <c r="H61" i="140"/>
  <c r="D61" i="140"/>
  <c r="H60" i="140"/>
  <c r="D60" i="140"/>
  <c r="H59" i="140"/>
  <c r="D59" i="140"/>
  <c r="H58" i="140"/>
  <c r="D58" i="140"/>
  <c r="H57" i="140"/>
  <c r="D57" i="140"/>
  <c r="H56" i="140"/>
  <c r="D56" i="140"/>
  <c r="H55" i="140"/>
  <c r="D55" i="140"/>
  <c r="H54" i="140"/>
  <c r="D54" i="140"/>
  <c r="H53" i="140"/>
  <c r="D53" i="140"/>
  <c r="G49" i="140"/>
  <c r="C49" i="140"/>
  <c r="H48" i="140"/>
  <c r="D48" i="140"/>
  <c r="H47" i="140"/>
  <c r="D47" i="140"/>
  <c r="H46" i="140"/>
  <c r="D46" i="140"/>
  <c r="H45" i="140"/>
  <c r="D45" i="140"/>
  <c r="H44" i="140"/>
  <c r="D44" i="140"/>
  <c r="H43" i="140"/>
  <c r="D43" i="140"/>
  <c r="H42" i="140"/>
  <c r="D42" i="140"/>
  <c r="H41" i="140"/>
  <c r="D41" i="140"/>
  <c r="H40" i="140"/>
  <c r="D40" i="140"/>
  <c r="H39" i="140"/>
  <c r="D39" i="140"/>
  <c r="H38" i="140"/>
  <c r="D38" i="140"/>
  <c r="H37" i="140"/>
  <c r="D37" i="140"/>
  <c r="G34" i="140"/>
  <c r="H33" i="140"/>
  <c r="H32" i="140"/>
  <c r="H31" i="140"/>
  <c r="H30" i="140"/>
  <c r="H29" i="140"/>
  <c r="H28" i="140"/>
  <c r="H27" i="140"/>
  <c r="H26" i="140"/>
  <c r="H25" i="140"/>
  <c r="H24" i="140"/>
  <c r="H23" i="140"/>
  <c r="H22" i="140"/>
  <c r="G19" i="140"/>
  <c r="H18" i="140"/>
  <c r="H17" i="140"/>
  <c r="H16" i="140"/>
  <c r="H15" i="140"/>
  <c r="H14" i="140"/>
  <c r="H13" i="140"/>
  <c r="H12" i="140"/>
  <c r="H11" i="140"/>
  <c r="H10" i="140"/>
  <c r="H9" i="140"/>
  <c r="H8" i="140"/>
  <c r="H7" i="140"/>
  <c r="D9" i="140" l="1"/>
  <c r="D17" i="140"/>
  <c r="D19" i="141"/>
  <c r="D34" i="141"/>
  <c r="D28" i="140"/>
  <c r="D80" i="140"/>
  <c r="D49" i="140"/>
  <c r="D95" i="140"/>
  <c r="D7" i="140"/>
  <c r="D15" i="140"/>
  <c r="D13" i="140"/>
  <c r="H65" i="140"/>
  <c r="D11" i="140"/>
  <c r="H49" i="140"/>
  <c r="D65" i="140"/>
  <c r="D26" i="140"/>
  <c r="D24" i="140"/>
  <c r="D32" i="140"/>
  <c r="D22" i="140"/>
  <c r="D30" i="140"/>
  <c r="D106" i="140"/>
  <c r="H80" i="140"/>
  <c r="H34" i="140"/>
  <c r="H19" i="140"/>
  <c r="D8" i="140"/>
  <c r="D10" i="140"/>
  <c r="D12" i="140"/>
  <c r="D14" i="140"/>
  <c r="D16" i="140"/>
  <c r="D23" i="140"/>
  <c r="D25" i="140"/>
  <c r="D27" i="140"/>
  <c r="D29" i="140"/>
  <c r="D31" i="140"/>
  <c r="F121" i="139"/>
  <c r="D33" i="139" s="1"/>
  <c r="F120" i="139"/>
  <c r="D18" i="139" s="1"/>
  <c r="D105" i="139"/>
  <c r="D104" i="139"/>
  <c r="D103" i="139"/>
  <c r="D102" i="139"/>
  <c r="D101" i="139"/>
  <c r="D100" i="139"/>
  <c r="D99" i="139"/>
  <c r="D94" i="139"/>
  <c r="D93" i="139"/>
  <c r="D92" i="139"/>
  <c r="D91" i="139"/>
  <c r="D90" i="139"/>
  <c r="D89" i="139"/>
  <c r="D88" i="139"/>
  <c r="D87" i="139"/>
  <c r="D86" i="139"/>
  <c r="D85" i="139"/>
  <c r="D84" i="139"/>
  <c r="D83" i="139"/>
  <c r="G80" i="139"/>
  <c r="C80" i="139"/>
  <c r="H79" i="139"/>
  <c r="D79" i="139"/>
  <c r="H78" i="139"/>
  <c r="D78" i="139"/>
  <c r="H77" i="139"/>
  <c r="D77" i="139"/>
  <c r="H76" i="139"/>
  <c r="D76" i="139"/>
  <c r="H75" i="139"/>
  <c r="D75" i="139"/>
  <c r="H74" i="139"/>
  <c r="D74" i="139"/>
  <c r="H73" i="139"/>
  <c r="D73" i="139"/>
  <c r="H72" i="139"/>
  <c r="D72" i="139"/>
  <c r="H71" i="139"/>
  <c r="D71" i="139"/>
  <c r="H70" i="139"/>
  <c r="D70" i="139"/>
  <c r="H69" i="139"/>
  <c r="D69" i="139"/>
  <c r="H68" i="139"/>
  <c r="D68" i="139"/>
  <c r="G65" i="139"/>
  <c r="C65" i="139"/>
  <c r="H64" i="139"/>
  <c r="D64" i="139"/>
  <c r="H63" i="139"/>
  <c r="D63" i="139"/>
  <c r="H62" i="139"/>
  <c r="D62" i="139"/>
  <c r="H61" i="139"/>
  <c r="D61" i="139"/>
  <c r="H60" i="139"/>
  <c r="D60" i="139"/>
  <c r="H59" i="139"/>
  <c r="D59" i="139"/>
  <c r="H58" i="139"/>
  <c r="D58" i="139"/>
  <c r="H57" i="139"/>
  <c r="D57" i="139"/>
  <c r="H56" i="139"/>
  <c r="D56" i="139"/>
  <c r="H55" i="139"/>
  <c r="D55" i="139"/>
  <c r="H54" i="139"/>
  <c r="D54" i="139"/>
  <c r="H53" i="139"/>
  <c r="D53" i="139"/>
  <c r="G49" i="139"/>
  <c r="C49" i="139"/>
  <c r="H48" i="139"/>
  <c r="D48" i="139"/>
  <c r="H47" i="139"/>
  <c r="D47" i="139"/>
  <c r="H46" i="139"/>
  <c r="D46" i="139"/>
  <c r="H45" i="139"/>
  <c r="D45" i="139"/>
  <c r="H44" i="139"/>
  <c r="D44" i="139"/>
  <c r="H43" i="139"/>
  <c r="D43" i="139"/>
  <c r="H42" i="139"/>
  <c r="D42" i="139"/>
  <c r="H41" i="139"/>
  <c r="D41" i="139"/>
  <c r="H40" i="139"/>
  <c r="D40" i="139"/>
  <c r="H39" i="139"/>
  <c r="D39" i="139"/>
  <c r="H38" i="139"/>
  <c r="D38" i="139"/>
  <c r="H37" i="139"/>
  <c r="D37" i="139"/>
  <c r="G34" i="139"/>
  <c r="H33" i="139"/>
  <c r="H32" i="139"/>
  <c r="H31" i="139"/>
  <c r="H30" i="139"/>
  <c r="H29" i="139"/>
  <c r="H28" i="139"/>
  <c r="H27" i="139"/>
  <c r="H26" i="139"/>
  <c r="H25" i="139"/>
  <c r="H24" i="139"/>
  <c r="H23" i="139"/>
  <c r="H22" i="139"/>
  <c r="G19" i="139"/>
  <c r="C19" i="139"/>
  <c r="H18" i="139"/>
  <c r="H17" i="139"/>
  <c r="H16" i="139"/>
  <c r="H15" i="139"/>
  <c r="H14" i="139"/>
  <c r="H13" i="139"/>
  <c r="H12" i="139"/>
  <c r="H11" i="139"/>
  <c r="H10" i="139"/>
  <c r="H9" i="139"/>
  <c r="H8" i="139"/>
  <c r="H7" i="139"/>
  <c r="D7" i="139" l="1"/>
  <c r="D11" i="139"/>
  <c r="D15" i="139"/>
  <c r="D9" i="139"/>
  <c r="D17" i="139"/>
  <c r="D13" i="139"/>
  <c r="D8" i="139"/>
  <c r="D10" i="139"/>
  <c r="D12" i="139"/>
  <c r="D14" i="139"/>
  <c r="D16" i="139"/>
  <c r="H49" i="139"/>
  <c r="D34" i="140"/>
  <c r="D19" i="140"/>
  <c r="D49" i="139"/>
  <c r="D80" i="139"/>
  <c r="H34" i="139"/>
  <c r="D22" i="139"/>
  <c r="D24" i="139"/>
  <c r="D26" i="139"/>
  <c r="D28" i="139"/>
  <c r="D30" i="139"/>
  <c r="D32" i="139"/>
  <c r="H19" i="139"/>
  <c r="D106" i="139"/>
  <c r="D23" i="139"/>
  <c r="D25" i="139"/>
  <c r="D27" i="139"/>
  <c r="D29" i="139"/>
  <c r="D31" i="139"/>
  <c r="D95" i="139"/>
  <c r="H80" i="139"/>
  <c r="H65" i="139"/>
  <c r="D65" i="139"/>
  <c r="F121" i="138"/>
  <c r="D32" i="138" s="1"/>
  <c r="F120" i="138"/>
  <c r="D18" i="138" s="1"/>
  <c r="D105" i="138"/>
  <c r="D104" i="138"/>
  <c r="D103" i="138"/>
  <c r="D102" i="138"/>
  <c r="D101" i="138"/>
  <c r="D100" i="138"/>
  <c r="D99" i="138"/>
  <c r="D94" i="138"/>
  <c r="D93" i="138"/>
  <c r="D92" i="138"/>
  <c r="D91" i="138"/>
  <c r="D90" i="138"/>
  <c r="D89" i="138"/>
  <c r="D88" i="138"/>
  <c r="D87" i="138"/>
  <c r="D86" i="138"/>
  <c r="D85" i="138"/>
  <c r="D84" i="138"/>
  <c r="D83" i="138"/>
  <c r="G80" i="138"/>
  <c r="C80" i="138"/>
  <c r="H79" i="138"/>
  <c r="D79" i="138"/>
  <c r="H78" i="138"/>
  <c r="D78" i="138"/>
  <c r="H77" i="138"/>
  <c r="D77" i="138"/>
  <c r="H76" i="138"/>
  <c r="D76" i="138"/>
  <c r="H75" i="138"/>
  <c r="D75" i="138"/>
  <c r="H74" i="138"/>
  <c r="D74" i="138"/>
  <c r="H73" i="138"/>
  <c r="D73" i="138"/>
  <c r="H72" i="138"/>
  <c r="D72" i="138"/>
  <c r="H71" i="138"/>
  <c r="D71" i="138"/>
  <c r="H70" i="138"/>
  <c r="D70" i="138"/>
  <c r="H69" i="138"/>
  <c r="D69" i="138"/>
  <c r="H68" i="138"/>
  <c r="D68" i="138"/>
  <c r="G65" i="138"/>
  <c r="C65" i="138"/>
  <c r="H64" i="138"/>
  <c r="D64" i="138"/>
  <c r="H63" i="138"/>
  <c r="D63" i="138"/>
  <c r="H62" i="138"/>
  <c r="D62" i="138"/>
  <c r="H61" i="138"/>
  <c r="D61" i="138"/>
  <c r="H60" i="138"/>
  <c r="D60" i="138"/>
  <c r="H59" i="138"/>
  <c r="D59" i="138"/>
  <c r="H58" i="138"/>
  <c r="D58" i="138"/>
  <c r="H57" i="138"/>
  <c r="D57" i="138"/>
  <c r="H56" i="138"/>
  <c r="D56" i="138"/>
  <c r="H55" i="138"/>
  <c r="D55" i="138"/>
  <c r="H54" i="138"/>
  <c r="D54" i="138"/>
  <c r="H53" i="138"/>
  <c r="D53" i="138"/>
  <c r="G49" i="138"/>
  <c r="C49" i="138"/>
  <c r="H48" i="138"/>
  <c r="D48" i="138"/>
  <c r="H47" i="138"/>
  <c r="D47" i="138"/>
  <c r="H46" i="138"/>
  <c r="D46" i="138"/>
  <c r="H45" i="138"/>
  <c r="D45" i="138"/>
  <c r="H44" i="138"/>
  <c r="D44" i="138"/>
  <c r="H43" i="138"/>
  <c r="D43" i="138"/>
  <c r="H42" i="138"/>
  <c r="D42" i="138"/>
  <c r="H41" i="138"/>
  <c r="D41" i="138"/>
  <c r="H40" i="138"/>
  <c r="D40" i="138"/>
  <c r="H39" i="138"/>
  <c r="D39" i="138"/>
  <c r="H38" i="138"/>
  <c r="D38" i="138"/>
  <c r="H37" i="138"/>
  <c r="D37" i="138"/>
  <c r="G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G19" i="138"/>
  <c r="C19" i="138"/>
  <c r="H18" i="138"/>
  <c r="H17" i="138"/>
  <c r="H16" i="138"/>
  <c r="H15" i="138"/>
  <c r="H14" i="138"/>
  <c r="H13" i="138"/>
  <c r="H12" i="138"/>
  <c r="H11" i="138"/>
  <c r="H10" i="138"/>
  <c r="H9" i="138"/>
  <c r="H8" i="138"/>
  <c r="H7" i="138"/>
  <c r="D31" i="138" l="1"/>
  <c r="D33" i="138"/>
  <c r="D9" i="138"/>
  <c r="D25" i="138"/>
  <c r="D15" i="138"/>
  <c r="D23" i="138"/>
  <c r="D80" i="138"/>
  <c r="D19" i="139"/>
  <c r="D34" i="139"/>
  <c r="D7" i="138"/>
  <c r="D11" i="138"/>
  <c r="D17" i="138"/>
  <c r="D29" i="138"/>
  <c r="D27" i="138"/>
  <c r="D49" i="138"/>
  <c r="H65" i="138"/>
  <c r="H34" i="138"/>
  <c r="D13" i="138"/>
  <c r="D8" i="138"/>
  <c r="D10" i="138"/>
  <c r="D12" i="138"/>
  <c r="D14" i="138"/>
  <c r="D16" i="138"/>
  <c r="D22" i="138"/>
  <c r="D24" i="138"/>
  <c r="D26" i="138"/>
  <c r="D28" i="138"/>
  <c r="D30" i="138"/>
  <c r="H19" i="138"/>
  <c r="D106" i="138"/>
  <c r="D95" i="138"/>
  <c r="H80" i="138"/>
  <c r="D65" i="138"/>
  <c r="H49" i="138"/>
  <c r="F121" i="137"/>
  <c r="D33" i="137" s="1"/>
  <c r="F120" i="137"/>
  <c r="D17" i="137" s="1"/>
  <c r="D105" i="137"/>
  <c r="D104" i="137"/>
  <c r="D103" i="137"/>
  <c r="D102" i="137"/>
  <c r="D101" i="137"/>
  <c r="D100" i="137"/>
  <c r="D99" i="137"/>
  <c r="C95" i="137"/>
  <c r="D94" i="137"/>
  <c r="D93" i="137"/>
  <c r="D92" i="137"/>
  <c r="D91" i="137"/>
  <c r="D90" i="137"/>
  <c r="D89" i="137"/>
  <c r="D88" i="137"/>
  <c r="D87" i="137"/>
  <c r="D86" i="137"/>
  <c r="D85" i="137"/>
  <c r="D84" i="137"/>
  <c r="D83" i="137"/>
  <c r="G80" i="137"/>
  <c r="C80" i="137"/>
  <c r="H79" i="137"/>
  <c r="D79" i="137"/>
  <c r="H78" i="137"/>
  <c r="D78" i="137"/>
  <c r="H77" i="137"/>
  <c r="D77" i="137"/>
  <c r="H76" i="137"/>
  <c r="D76" i="137"/>
  <c r="H75" i="137"/>
  <c r="D75" i="137"/>
  <c r="H74" i="137"/>
  <c r="D74" i="137"/>
  <c r="H73" i="137"/>
  <c r="D73" i="137"/>
  <c r="H72" i="137"/>
  <c r="D72" i="137"/>
  <c r="H71" i="137"/>
  <c r="D71" i="137"/>
  <c r="H70" i="137"/>
  <c r="D70" i="137"/>
  <c r="H69" i="137"/>
  <c r="D69" i="137"/>
  <c r="H68" i="137"/>
  <c r="D68" i="137"/>
  <c r="G65" i="137"/>
  <c r="C65" i="137"/>
  <c r="H64" i="137"/>
  <c r="D64" i="137"/>
  <c r="H63" i="137"/>
  <c r="D63" i="137"/>
  <c r="H62" i="137"/>
  <c r="D62" i="137"/>
  <c r="H61" i="137"/>
  <c r="D61" i="137"/>
  <c r="H60" i="137"/>
  <c r="D60" i="137"/>
  <c r="H59" i="137"/>
  <c r="D59" i="137"/>
  <c r="H58" i="137"/>
  <c r="D58" i="137"/>
  <c r="H57" i="137"/>
  <c r="D57" i="137"/>
  <c r="H56" i="137"/>
  <c r="D56" i="137"/>
  <c r="H55" i="137"/>
  <c r="D55" i="137"/>
  <c r="H54" i="137"/>
  <c r="D54" i="137"/>
  <c r="H53" i="137"/>
  <c r="D53" i="137"/>
  <c r="G49" i="137"/>
  <c r="C49" i="137"/>
  <c r="H48" i="137"/>
  <c r="D48" i="137"/>
  <c r="H47" i="137"/>
  <c r="D47" i="137"/>
  <c r="H46" i="137"/>
  <c r="D46" i="137"/>
  <c r="H45" i="137"/>
  <c r="D45" i="137"/>
  <c r="H44" i="137"/>
  <c r="D44" i="137"/>
  <c r="H43" i="137"/>
  <c r="D43" i="137"/>
  <c r="H42" i="137"/>
  <c r="D42" i="137"/>
  <c r="H41" i="137"/>
  <c r="D41" i="137"/>
  <c r="H40" i="137"/>
  <c r="D40" i="137"/>
  <c r="H39" i="137"/>
  <c r="D39" i="137"/>
  <c r="H38" i="137"/>
  <c r="D38" i="137"/>
  <c r="H37" i="137"/>
  <c r="D37" i="137"/>
  <c r="G34" i="137"/>
  <c r="H33" i="137"/>
  <c r="H32" i="137"/>
  <c r="H31" i="137"/>
  <c r="H30" i="137"/>
  <c r="H29" i="137"/>
  <c r="H28" i="137"/>
  <c r="H27" i="137"/>
  <c r="H26" i="137"/>
  <c r="H25" i="137"/>
  <c r="H24" i="137"/>
  <c r="H23" i="137"/>
  <c r="H22" i="137"/>
  <c r="G19" i="137"/>
  <c r="C19" i="137"/>
  <c r="H18" i="137"/>
  <c r="H17" i="137"/>
  <c r="H16" i="137"/>
  <c r="H15" i="137"/>
  <c r="H14" i="137"/>
  <c r="H13" i="137"/>
  <c r="H12" i="137"/>
  <c r="H11" i="137"/>
  <c r="H10" i="137"/>
  <c r="H9" i="137"/>
  <c r="H8" i="137"/>
  <c r="H7" i="137"/>
  <c r="D14" i="137" l="1"/>
  <c r="D8" i="137"/>
  <c r="D16" i="137"/>
  <c r="D12" i="137"/>
  <c r="D80" i="137"/>
  <c r="D19" i="138"/>
  <c r="D34" i="138"/>
  <c r="D10" i="137"/>
  <c r="D18" i="137"/>
  <c r="D32" i="137"/>
  <c r="D22" i="137"/>
  <c r="D30" i="137"/>
  <c r="D26" i="137"/>
  <c r="D24" i="137"/>
  <c r="D28" i="137"/>
  <c r="H34" i="137"/>
  <c r="D106" i="137"/>
  <c r="D7" i="137"/>
  <c r="D9" i="137"/>
  <c r="D11" i="137"/>
  <c r="D13" i="137"/>
  <c r="D15" i="137"/>
  <c r="D23" i="137"/>
  <c r="D25" i="137"/>
  <c r="D27" i="137"/>
  <c r="D29" i="137"/>
  <c r="D31" i="137"/>
  <c r="H80" i="137"/>
  <c r="H19" i="137"/>
  <c r="D65" i="137"/>
  <c r="D49" i="137"/>
  <c r="D95" i="137"/>
  <c r="H65" i="137"/>
  <c r="H49" i="137"/>
  <c r="F121" i="136"/>
  <c r="D33" i="136" s="1"/>
  <c r="F120" i="136"/>
  <c r="D18" i="136" s="1"/>
  <c r="D105" i="136"/>
  <c r="D104" i="136"/>
  <c r="D103" i="136"/>
  <c r="D102" i="136"/>
  <c r="D101" i="136"/>
  <c r="D100" i="136"/>
  <c r="D99" i="136"/>
  <c r="C95" i="136"/>
  <c r="D94" i="136"/>
  <c r="D93" i="136"/>
  <c r="D92" i="136"/>
  <c r="D91" i="136"/>
  <c r="D90" i="136"/>
  <c r="D89" i="136"/>
  <c r="D88" i="136"/>
  <c r="D87" i="136"/>
  <c r="D86" i="136"/>
  <c r="D85" i="136"/>
  <c r="D84" i="136"/>
  <c r="D83" i="136"/>
  <c r="G80" i="136"/>
  <c r="C80" i="136"/>
  <c r="H79" i="136"/>
  <c r="D79" i="136"/>
  <c r="H78" i="136"/>
  <c r="D78" i="136"/>
  <c r="H77" i="136"/>
  <c r="D77" i="136"/>
  <c r="H76" i="136"/>
  <c r="D76" i="136"/>
  <c r="H75" i="136"/>
  <c r="D75" i="136"/>
  <c r="H74" i="136"/>
  <c r="D74" i="136"/>
  <c r="H73" i="136"/>
  <c r="D73" i="136"/>
  <c r="H72" i="136"/>
  <c r="D72" i="136"/>
  <c r="H71" i="136"/>
  <c r="D71" i="136"/>
  <c r="H70" i="136"/>
  <c r="D70" i="136"/>
  <c r="H69" i="136"/>
  <c r="D69" i="136"/>
  <c r="H68" i="136"/>
  <c r="D68" i="136"/>
  <c r="G65" i="136"/>
  <c r="C65" i="136"/>
  <c r="H64" i="136"/>
  <c r="D64" i="136"/>
  <c r="H63" i="136"/>
  <c r="D63" i="136"/>
  <c r="H62" i="136"/>
  <c r="D62" i="136"/>
  <c r="H61" i="136"/>
  <c r="D61" i="136"/>
  <c r="H60" i="136"/>
  <c r="D60" i="136"/>
  <c r="H59" i="136"/>
  <c r="D59" i="136"/>
  <c r="H58" i="136"/>
  <c r="D58" i="136"/>
  <c r="H57" i="136"/>
  <c r="D57" i="136"/>
  <c r="H56" i="136"/>
  <c r="D56" i="136"/>
  <c r="H55" i="136"/>
  <c r="D55" i="136"/>
  <c r="H54" i="136"/>
  <c r="D54" i="136"/>
  <c r="H53" i="136"/>
  <c r="D53" i="136"/>
  <c r="G49" i="136"/>
  <c r="C49" i="136"/>
  <c r="H48" i="136"/>
  <c r="D48" i="136"/>
  <c r="H47" i="136"/>
  <c r="D47" i="136"/>
  <c r="H46" i="136"/>
  <c r="D46" i="136"/>
  <c r="H45" i="136"/>
  <c r="D45" i="136"/>
  <c r="H44" i="136"/>
  <c r="D44" i="136"/>
  <c r="H43" i="136"/>
  <c r="D43" i="136"/>
  <c r="H42" i="136"/>
  <c r="D42" i="136"/>
  <c r="H41" i="136"/>
  <c r="D41" i="136"/>
  <c r="H40" i="136"/>
  <c r="D40" i="136"/>
  <c r="H39" i="136"/>
  <c r="D39" i="136"/>
  <c r="H38" i="136"/>
  <c r="D38" i="136"/>
  <c r="H37" i="136"/>
  <c r="D37" i="136"/>
  <c r="G34" i="136"/>
  <c r="H33" i="136"/>
  <c r="H32" i="136"/>
  <c r="H31" i="136"/>
  <c r="H30" i="136"/>
  <c r="H29" i="136"/>
  <c r="H28" i="136"/>
  <c r="H27" i="136"/>
  <c r="H26" i="136"/>
  <c r="H25" i="136"/>
  <c r="H24" i="136"/>
  <c r="H23" i="136"/>
  <c r="H22" i="136"/>
  <c r="G19" i="136"/>
  <c r="C19" i="136"/>
  <c r="H18" i="136"/>
  <c r="H17" i="136"/>
  <c r="H16" i="136"/>
  <c r="H15" i="136"/>
  <c r="H14" i="136"/>
  <c r="H13" i="136"/>
  <c r="H12" i="136"/>
  <c r="H11" i="136"/>
  <c r="H10" i="136"/>
  <c r="H9" i="136"/>
  <c r="H8" i="136"/>
  <c r="H7" i="136"/>
  <c r="D30" i="136" l="1"/>
  <c r="D22" i="136"/>
  <c r="D26" i="136"/>
  <c r="D10" i="136"/>
  <c r="D28" i="136"/>
  <c r="D24" i="136"/>
  <c r="D32" i="136"/>
  <c r="D8" i="136"/>
  <c r="D16" i="136"/>
  <c r="D14" i="136"/>
  <c r="D12" i="136"/>
  <c r="D7" i="136"/>
  <c r="D9" i="136"/>
  <c r="D11" i="136"/>
  <c r="D13" i="136"/>
  <c r="D15" i="136"/>
  <c r="D17" i="136"/>
  <c r="D80" i="136"/>
  <c r="D34" i="137"/>
  <c r="D23" i="136"/>
  <c r="D25" i="136"/>
  <c r="D27" i="136"/>
  <c r="D29" i="136"/>
  <c r="D31" i="136"/>
  <c r="D19" i="137"/>
  <c r="D49" i="136"/>
  <c r="H80" i="136"/>
  <c r="H19" i="136"/>
  <c r="D65" i="136"/>
  <c r="D106" i="136"/>
  <c r="D95" i="136"/>
  <c r="H65" i="136"/>
  <c r="H49" i="136"/>
  <c r="H34" i="136"/>
  <c r="F121" i="135"/>
  <c r="D32" i="135" s="1"/>
  <c r="F120" i="135"/>
  <c r="D18" i="135" s="1"/>
  <c r="D105" i="135"/>
  <c r="D104" i="135"/>
  <c r="D103" i="135"/>
  <c r="D102" i="135"/>
  <c r="D101" i="135"/>
  <c r="D100" i="135"/>
  <c r="D99" i="135"/>
  <c r="C95" i="135"/>
  <c r="D94" i="135"/>
  <c r="D93" i="135"/>
  <c r="D92" i="135"/>
  <c r="D91" i="135"/>
  <c r="D90" i="135"/>
  <c r="D89" i="135"/>
  <c r="D88" i="135"/>
  <c r="D87" i="135"/>
  <c r="D86" i="135"/>
  <c r="D85" i="135"/>
  <c r="D84" i="135"/>
  <c r="D83" i="135"/>
  <c r="G80" i="135"/>
  <c r="C80" i="135"/>
  <c r="H79" i="135"/>
  <c r="D79" i="135"/>
  <c r="H78" i="135"/>
  <c r="D78" i="135"/>
  <c r="H77" i="135"/>
  <c r="D77" i="135"/>
  <c r="H76" i="135"/>
  <c r="D76" i="135"/>
  <c r="H75" i="135"/>
  <c r="D75" i="135"/>
  <c r="H74" i="135"/>
  <c r="D74" i="135"/>
  <c r="H73" i="135"/>
  <c r="D73" i="135"/>
  <c r="H72" i="135"/>
  <c r="D72" i="135"/>
  <c r="H71" i="135"/>
  <c r="D71" i="135"/>
  <c r="H70" i="135"/>
  <c r="D70" i="135"/>
  <c r="H69" i="135"/>
  <c r="D69" i="135"/>
  <c r="H68" i="135"/>
  <c r="D68" i="135"/>
  <c r="G65" i="135"/>
  <c r="C65" i="135"/>
  <c r="H64" i="135"/>
  <c r="D64" i="135"/>
  <c r="H63" i="135"/>
  <c r="D63" i="135"/>
  <c r="H62" i="135"/>
  <c r="D62" i="135"/>
  <c r="H61" i="135"/>
  <c r="D61" i="135"/>
  <c r="H60" i="135"/>
  <c r="D60" i="135"/>
  <c r="H59" i="135"/>
  <c r="D59" i="135"/>
  <c r="H58" i="135"/>
  <c r="D58" i="135"/>
  <c r="H57" i="135"/>
  <c r="D57" i="135"/>
  <c r="H56" i="135"/>
  <c r="D56" i="135"/>
  <c r="H55" i="135"/>
  <c r="D55" i="135"/>
  <c r="H54" i="135"/>
  <c r="D54" i="135"/>
  <c r="H53" i="135"/>
  <c r="D53" i="135"/>
  <c r="G49" i="135"/>
  <c r="C49" i="135"/>
  <c r="H48" i="135"/>
  <c r="D48" i="135"/>
  <c r="H47" i="135"/>
  <c r="D47" i="135"/>
  <c r="H46" i="135"/>
  <c r="D46" i="135"/>
  <c r="H45" i="135"/>
  <c r="D45" i="135"/>
  <c r="H44" i="135"/>
  <c r="D44" i="135"/>
  <c r="H43" i="135"/>
  <c r="D43" i="135"/>
  <c r="H42" i="135"/>
  <c r="D42" i="135"/>
  <c r="H41" i="135"/>
  <c r="D41" i="135"/>
  <c r="H40" i="135"/>
  <c r="D40" i="135"/>
  <c r="H39" i="135"/>
  <c r="D39" i="135"/>
  <c r="H38" i="135"/>
  <c r="D38" i="135"/>
  <c r="H37" i="135"/>
  <c r="D37" i="135"/>
  <c r="G34" i="135"/>
  <c r="C34" i="135"/>
  <c r="H33" i="135"/>
  <c r="H32" i="135"/>
  <c r="H31" i="135"/>
  <c r="H30" i="135"/>
  <c r="H29" i="135"/>
  <c r="H28" i="135"/>
  <c r="H27" i="135"/>
  <c r="H26" i="135"/>
  <c r="H25" i="135"/>
  <c r="H24" i="135"/>
  <c r="H23" i="135"/>
  <c r="H22" i="135"/>
  <c r="G19" i="135"/>
  <c r="C19" i="135"/>
  <c r="H18" i="135"/>
  <c r="H17" i="135"/>
  <c r="H16" i="135"/>
  <c r="H15" i="135"/>
  <c r="H14" i="135"/>
  <c r="H13" i="135"/>
  <c r="H12" i="135"/>
  <c r="H11" i="135"/>
  <c r="H10" i="135"/>
  <c r="H9" i="135"/>
  <c r="H8" i="135"/>
  <c r="H7" i="135"/>
  <c r="D19" i="136" l="1"/>
  <c r="D34" i="136"/>
  <c r="D29" i="135"/>
  <c r="D27" i="135"/>
  <c r="H34" i="135"/>
  <c r="D65" i="135"/>
  <c r="D80" i="135"/>
  <c r="D25" i="135"/>
  <c r="D33" i="135"/>
  <c r="D23" i="135"/>
  <c r="D31" i="135"/>
  <c r="H19" i="135"/>
  <c r="H80" i="135"/>
  <c r="H65" i="135"/>
  <c r="D49" i="135"/>
  <c r="D106" i="135"/>
  <c r="D22" i="135"/>
  <c r="D24" i="135"/>
  <c r="D26" i="135"/>
  <c r="D28" i="135"/>
  <c r="D30" i="135"/>
  <c r="D7" i="135"/>
  <c r="D9" i="135"/>
  <c r="D11" i="135"/>
  <c r="D13" i="135"/>
  <c r="D15" i="135"/>
  <c r="D17" i="135"/>
  <c r="D8" i="135"/>
  <c r="D10" i="135"/>
  <c r="D12" i="135"/>
  <c r="D14" i="135"/>
  <c r="D16" i="135"/>
  <c r="D95" i="135"/>
  <c r="H49" i="135"/>
  <c r="C95" i="134"/>
  <c r="D84" i="134"/>
  <c r="D85" i="134"/>
  <c r="D86" i="134"/>
  <c r="D87" i="134"/>
  <c r="D88" i="134"/>
  <c r="D89" i="134"/>
  <c r="D90" i="134"/>
  <c r="D91" i="134"/>
  <c r="D92" i="134"/>
  <c r="D93" i="134"/>
  <c r="D94" i="134"/>
  <c r="D83" i="134"/>
  <c r="D34" i="135" l="1"/>
  <c r="D19" i="135"/>
  <c r="D95" i="134"/>
  <c r="F121" i="134"/>
  <c r="D32" i="134" s="1"/>
  <c r="F120" i="134"/>
  <c r="D18" i="134" s="1"/>
  <c r="C106" i="134"/>
  <c r="D105" i="134"/>
  <c r="D104" i="134"/>
  <c r="D103" i="134"/>
  <c r="D102" i="134"/>
  <c r="D101" i="134"/>
  <c r="D100" i="134"/>
  <c r="D99" i="134"/>
  <c r="G80" i="134"/>
  <c r="C80" i="134"/>
  <c r="H79" i="134"/>
  <c r="D79" i="134"/>
  <c r="H78" i="134"/>
  <c r="D78" i="134"/>
  <c r="H77" i="134"/>
  <c r="D77" i="134"/>
  <c r="H76" i="134"/>
  <c r="D76" i="134"/>
  <c r="H75" i="134"/>
  <c r="D75" i="134"/>
  <c r="H74" i="134"/>
  <c r="D74" i="134"/>
  <c r="H73" i="134"/>
  <c r="D73" i="134"/>
  <c r="H72" i="134"/>
  <c r="D72" i="134"/>
  <c r="H71" i="134"/>
  <c r="D71" i="134"/>
  <c r="H70" i="134"/>
  <c r="D70" i="134"/>
  <c r="H69" i="134"/>
  <c r="D69" i="134"/>
  <c r="H68" i="134"/>
  <c r="D68" i="134"/>
  <c r="G65" i="134"/>
  <c r="C65" i="134"/>
  <c r="H64" i="134"/>
  <c r="D64" i="134"/>
  <c r="H63" i="134"/>
  <c r="D63" i="134"/>
  <c r="H62" i="134"/>
  <c r="D62" i="134"/>
  <c r="H61" i="134"/>
  <c r="D61" i="134"/>
  <c r="H60" i="134"/>
  <c r="D60" i="134"/>
  <c r="H59" i="134"/>
  <c r="D59" i="134"/>
  <c r="H58" i="134"/>
  <c r="D58" i="134"/>
  <c r="H57" i="134"/>
  <c r="D57" i="134"/>
  <c r="H56" i="134"/>
  <c r="D56" i="134"/>
  <c r="H55" i="134"/>
  <c r="D55" i="134"/>
  <c r="H54" i="134"/>
  <c r="D54" i="134"/>
  <c r="H53" i="134"/>
  <c r="D53" i="134"/>
  <c r="G49" i="134"/>
  <c r="C49" i="134"/>
  <c r="H48" i="134"/>
  <c r="D48" i="134"/>
  <c r="H47" i="134"/>
  <c r="D47" i="134"/>
  <c r="H46" i="134"/>
  <c r="D46" i="134"/>
  <c r="H45" i="134"/>
  <c r="D45" i="134"/>
  <c r="H44" i="134"/>
  <c r="D44" i="134"/>
  <c r="H43" i="134"/>
  <c r="D43" i="134"/>
  <c r="H42" i="134"/>
  <c r="D42" i="134"/>
  <c r="H41" i="134"/>
  <c r="D41" i="134"/>
  <c r="H40" i="134"/>
  <c r="D40" i="134"/>
  <c r="H39" i="134"/>
  <c r="D39" i="134"/>
  <c r="H38" i="134"/>
  <c r="D38" i="134"/>
  <c r="H37" i="134"/>
  <c r="D37" i="134"/>
  <c r="G34" i="134"/>
  <c r="C34" i="134"/>
  <c r="H33" i="134"/>
  <c r="H32" i="134"/>
  <c r="H31" i="134"/>
  <c r="H30" i="134"/>
  <c r="H29" i="134"/>
  <c r="H28" i="134"/>
  <c r="H27" i="134"/>
  <c r="H26" i="134"/>
  <c r="H25" i="134"/>
  <c r="H24" i="134"/>
  <c r="H23" i="134"/>
  <c r="H22" i="134"/>
  <c r="G19" i="134"/>
  <c r="C19" i="134"/>
  <c r="H18" i="134"/>
  <c r="H17" i="134"/>
  <c r="H16" i="134"/>
  <c r="H15" i="134"/>
  <c r="H14" i="134"/>
  <c r="H13" i="134"/>
  <c r="H12" i="134"/>
  <c r="H11" i="134"/>
  <c r="H10" i="134"/>
  <c r="H9" i="134"/>
  <c r="H8" i="134"/>
  <c r="H7" i="134"/>
  <c r="D49" i="134" l="1"/>
  <c r="D80" i="134"/>
  <c r="D23" i="134"/>
  <c r="D25" i="134"/>
  <c r="D29" i="134"/>
  <c r="D31" i="134"/>
  <c r="D33" i="134"/>
  <c r="D27" i="134"/>
  <c r="D22" i="134"/>
  <c r="D24" i="134"/>
  <c r="D26" i="134"/>
  <c r="D28" i="134"/>
  <c r="D30" i="134"/>
  <c r="H49" i="134"/>
  <c r="D106" i="134"/>
  <c r="D65" i="134"/>
  <c r="H65" i="134"/>
  <c r="D7" i="134"/>
  <c r="D9" i="134"/>
  <c r="D11" i="134"/>
  <c r="D13" i="134"/>
  <c r="D15" i="134"/>
  <c r="D17" i="134"/>
  <c r="D8" i="134"/>
  <c r="D10" i="134"/>
  <c r="D12" i="134"/>
  <c r="D14" i="134"/>
  <c r="D16" i="134"/>
  <c r="H80" i="134"/>
  <c r="H34" i="134"/>
  <c r="H19" i="134"/>
  <c r="F112" i="133"/>
  <c r="D32" i="133" s="1"/>
  <c r="F111" i="133"/>
  <c r="D17" i="133" s="1"/>
  <c r="C103" i="133"/>
  <c r="D102" i="133"/>
  <c r="D101" i="133"/>
  <c r="D100" i="133"/>
  <c r="D99" i="133"/>
  <c r="D98" i="133"/>
  <c r="D97" i="133"/>
  <c r="D96" i="133"/>
  <c r="D87" i="133"/>
  <c r="D86" i="133"/>
  <c r="D85" i="133"/>
  <c r="D84" i="133"/>
  <c r="D83" i="133"/>
  <c r="D90" i="133" s="1"/>
  <c r="G80" i="133"/>
  <c r="C80" i="133"/>
  <c r="H79" i="133"/>
  <c r="D79" i="133"/>
  <c r="H78" i="133"/>
  <c r="D78" i="133"/>
  <c r="H77" i="133"/>
  <c r="D77" i="133"/>
  <c r="H76" i="133"/>
  <c r="D76" i="133"/>
  <c r="H75" i="133"/>
  <c r="D75" i="133"/>
  <c r="H74" i="133"/>
  <c r="D74" i="133"/>
  <c r="H73" i="133"/>
  <c r="D73" i="133"/>
  <c r="H72" i="133"/>
  <c r="D72" i="133"/>
  <c r="H71" i="133"/>
  <c r="D71" i="133"/>
  <c r="H70" i="133"/>
  <c r="D70" i="133"/>
  <c r="H69" i="133"/>
  <c r="D69" i="133"/>
  <c r="H68" i="133"/>
  <c r="D68" i="133"/>
  <c r="G65" i="133"/>
  <c r="C65" i="133"/>
  <c r="H64" i="133"/>
  <c r="D64" i="133"/>
  <c r="H63" i="133"/>
  <c r="D63" i="133"/>
  <c r="H62" i="133"/>
  <c r="D62" i="133"/>
  <c r="H61" i="133"/>
  <c r="D61" i="133"/>
  <c r="H60" i="133"/>
  <c r="D60" i="133"/>
  <c r="H59" i="133"/>
  <c r="D59" i="133"/>
  <c r="H58" i="133"/>
  <c r="D58" i="133"/>
  <c r="H57" i="133"/>
  <c r="D57" i="133"/>
  <c r="H56" i="133"/>
  <c r="D56" i="133"/>
  <c r="H55" i="133"/>
  <c r="D55" i="133"/>
  <c r="H54" i="133"/>
  <c r="D54" i="133"/>
  <c r="H53" i="133"/>
  <c r="D53" i="133"/>
  <c r="G49" i="133"/>
  <c r="C49" i="133"/>
  <c r="H48" i="133"/>
  <c r="D48" i="133"/>
  <c r="H47" i="133"/>
  <c r="D47" i="133"/>
  <c r="H46" i="133"/>
  <c r="D46" i="133"/>
  <c r="H45" i="133"/>
  <c r="D45" i="133"/>
  <c r="H44" i="133"/>
  <c r="D44" i="133"/>
  <c r="H43" i="133"/>
  <c r="D43" i="133"/>
  <c r="H42" i="133"/>
  <c r="D42" i="133"/>
  <c r="H41" i="133"/>
  <c r="D41" i="133"/>
  <c r="H40" i="133"/>
  <c r="D40" i="133"/>
  <c r="H39" i="133"/>
  <c r="D39" i="133"/>
  <c r="H38" i="133"/>
  <c r="D38" i="133"/>
  <c r="H37" i="133"/>
  <c r="D37" i="133"/>
  <c r="G34" i="133"/>
  <c r="H33" i="133"/>
  <c r="H32" i="133"/>
  <c r="H31" i="133"/>
  <c r="H30" i="133"/>
  <c r="H29" i="133"/>
  <c r="H28" i="133"/>
  <c r="H27" i="133"/>
  <c r="C34" i="133"/>
  <c r="H26" i="133"/>
  <c r="H25" i="133"/>
  <c r="H24" i="133"/>
  <c r="H23" i="133"/>
  <c r="H22" i="133"/>
  <c r="G19" i="133"/>
  <c r="C19" i="133"/>
  <c r="H18" i="133"/>
  <c r="H17" i="133"/>
  <c r="H16" i="133"/>
  <c r="H15" i="133"/>
  <c r="H14" i="133"/>
  <c r="H13" i="133"/>
  <c r="H12" i="133"/>
  <c r="H11" i="133"/>
  <c r="H10" i="133"/>
  <c r="H9" i="133"/>
  <c r="H8" i="133"/>
  <c r="H7" i="133"/>
  <c r="D34" i="134" l="1"/>
  <c r="D18" i="133"/>
  <c r="D33" i="133"/>
  <c r="D19" i="134"/>
  <c r="D49" i="133"/>
  <c r="D103" i="133"/>
  <c r="H34" i="133"/>
  <c r="H80" i="133"/>
  <c r="D80" i="133"/>
  <c r="D10" i="133"/>
  <c r="D25" i="133"/>
  <c r="D14" i="133"/>
  <c r="D7" i="133"/>
  <c r="D12" i="133"/>
  <c r="D8" i="133"/>
  <c r="D16" i="133"/>
  <c r="D23" i="133"/>
  <c r="D9" i="133"/>
  <c r="D11" i="133"/>
  <c r="D13" i="133"/>
  <c r="D15" i="133"/>
  <c r="D29" i="133"/>
  <c r="D31" i="133"/>
  <c r="D22" i="133"/>
  <c r="D24" i="133"/>
  <c r="D26" i="133"/>
  <c r="D28" i="133"/>
  <c r="D30" i="133"/>
  <c r="D65" i="133"/>
  <c r="H65" i="133"/>
  <c r="H49" i="133"/>
  <c r="H19" i="133"/>
  <c r="D27" i="133"/>
  <c r="C27" i="132"/>
  <c r="D19" i="133" l="1"/>
  <c r="D34" i="133"/>
  <c r="F112" i="132"/>
  <c r="D32" i="132" s="1"/>
  <c r="F111" i="132"/>
  <c r="D17" i="132" s="1"/>
  <c r="C103" i="132"/>
  <c r="D102" i="132"/>
  <c r="D101" i="132"/>
  <c r="D100" i="132"/>
  <c r="D99" i="132"/>
  <c r="D98" i="132"/>
  <c r="D97" i="132"/>
  <c r="D96" i="132"/>
  <c r="D87" i="132"/>
  <c r="D86" i="132"/>
  <c r="D85" i="132"/>
  <c r="D84" i="132"/>
  <c r="D83" i="132"/>
  <c r="D90" i="132" s="1"/>
  <c r="G80" i="132"/>
  <c r="C80" i="132"/>
  <c r="H79" i="132"/>
  <c r="D79" i="132"/>
  <c r="H78" i="132"/>
  <c r="D78" i="132"/>
  <c r="H77" i="132"/>
  <c r="D77" i="132"/>
  <c r="H76" i="132"/>
  <c r="D76" i="132"/>
  <c r="H75" i="132"/>
  <c r="D75" i="132"/>
  <c r="H74" i="132"/>
  <c r="D74" i="132"/>
  <c r="H73" i="132"/>
  <c r="D73" i="132"/>
  <c r="H72" i="132"/>
  <c r="D72" i="132"/>
  <c r="H71" i="132"/>
  <c r="D71" i="132"/>
  <c r="H70" i="132"/>
  <c r="D70" i="132"/>
  <c r="H69" i="132"/>
  <c r="D69" i="132"/>
  <c r="H68" i="132"/>
  <c r="D68" i="132"/>
  <c r="G65" i="132"/>
  <c r="C65" i="132"/>
  <c r="H64" i="132"/>
  <c r="D64" i="132"/>
  <c r="H63" i="132"/>
  <c r="D63" i="132"/>
  <c r="H62" i="132"/>
  <c r="D62" i="132"/>
  <c r="H61" i="132"/>
  <c r="D61" i="132"/>
  <c r="H60" i="132"/>
  <c r="D60" i="132"/>
  <c r="H59" i="132"/>
  <c r="D59" i="132"/>
  <c r="H58" i="132"/>
  <c r="D58" i="132"/>
  <c r="H57" i="132"/>
  <c r="D57" i="132"/>
  <c r="H56" i="132"/>
  <c r="D56" i="132"/>
  <c r="H55" i="132"/>
  <c r="D55" i="132"/>
  <c r="H54" i="132"/>
  <c r="D54" i="132"/>
  <c r="H53" i="132"/>
  <c r="D53" i="132"/>
  <c r="G49" i="132"/>
  <c r="C49" i="132"/>
  <c r="H48" i="132"/>
  <c r="D48" i="132"/>
  <c r="H47" i="132"/>
  <c r="D47" i="132"/>
  <c r="H46" i="132"/>
  <c r="D46" i="132"/>
  <c r="H45" i="132"/>
  <c r="D45" i="132"/>
  <c r="H44" i="132"/>
  <c r="D44" i="132"/>
  <c r="H43" i="132"/>
  <c r="D43" i="132"/>
  <c r="H42" i="132"/>
  <c r="D42" i="132"/>
  <c r="H41" i="132"/>
  <c r="D41" i="132"/>
  <c r="H40" i="132"/>
  <c r="D40" i="132"/>
  <c r="H39" i="132"/>
  <c r="D39" i="132"/>
  <c r="H38" i="132"/>
  <c r="D38" i="132"/>
  <c r="H37" i="132"/>
  <c r="D37" i="132"/>
  <c r="G34" i="132"/>
  <c r="C34" i="132"/>
  <c r="H33" i="132"/>
  <c r="D33" i="132"/>
  <c r="H32" i="132"/>
  <c r="H31" i="132"/>
  <c r="H30" i="132"/>
  <c r="H29" i="132"/>
  <c r="H28" i="132"/>
  <c r="H27" i="132"/>
  <c r="H26" i="132"/>
  <c r="H25" i="132"/>
  <c r="H24" i="132"/>
  <c r="H23" i="132"/>
  <c r="H22" i="132"/>
  <c r="G19" i="132"/>
  <c r="C19" i="132"/>
  <c r="H18" i="132"/>
  <c r="H17" i="132"/>
  <c r="H16" i="132"/>
  <c r="H15" i="132"/>
  <c r="H14" i="132"/>
  <c r="H13" i="132"/>
  <c r="H12" i="132"/>
  <c r="H11" i="132"/>
  <c r="H10" i="132"/>
  <c r="H9" i="132"/>
  <c r="H8" i="132"/>
  <c r="H7" i="132"/>
  <c r="D25" i="132" l="1"/>
  <c r="D27" i="132"/>
  <c r="D23" i="132"/>
  <c r="D31" i="132"/>
  <c r="D8" i="132"/>
  <c r="D29" i="132"/>
  <c r="D16" i="132"/>
  <c r="D14" i="132"/>
  <c r="D12" i="132"/>
  <c r="D10" i="132"/>
  <c r="D18" i="132"/>
  <c r="D22" i="132"/>
  <c r="D24" i="132"/>
  <c r="D26" i="132"/>
  <c r="D28" i="132"/>
  <c r="D30" i="132"/>
  <c r="D65" i="132"/>
  <c r="D7" i="132"/>
  <c r="D9" i="132"/>
  <c r="D11" i="132"/>
  <c r="D13" i="132"/>
  <c r="D15" i="132"/>
  <c r="D49" i="132"/>
  <c r="H65" i="132"/>
  <c r="D103" i="132"/>
  <c r="H49" i="132"/>
  <c r="D80" i="132"/>
  <c r="H80" i="132"/>
  <c r="H34" i="132"/>
  <c r="H19" i="132"/>
  <c r="F112" i="131"/>
  <c r="D32" i="131" s="1"/>
  <c r="F111" i="131"/>
  <c r="D18" i="131" s="1"/>
  <c r="C103" i="131"/>
  <c r="D102" i="131"/>
  <c r="D101" i="131"/>
  <c r="D100" i="131"/>
  <c r="D99" i="131"/>
  <c r="D98" i="131"/>
  <c r="D97" i="131"/>
  <c r="D96" i="131"/>
  <c r="D87" i="131"/>
  <c r="D86" i="131"/>
  <c r="D85" i="131"/>
  <c r="D84" i="131"/>
  <c r="D83" i="131"/>
  <c r="D90" i="131" s="1"/>
  <c r="G80" i="131"/>
  <c r="C80" i="131"/>
  <c r="H79" i="131"/>
  <c r="D79" i="131"/>
  <c r="H78" i="131"/>
  <c r="D78" i="131"/>
  <c r="H77" i="131"/>
  <c r="D77" i="131"/>
  <c r="H76" i="131"/>
  <c r="D76" i="131"/>
  <c r="H75" i="131"/>
  <c r="D75" i="131"/>
  <c r="H74" i="131"/>
  <c r="D74" i="131"/>
  <c r="H73" i="131"/>
  <c r="D73" i="131"/>
  <c r="H72" i="131"/>
  <c r="D72" i="131"/>
  <c r="H71" i="131"/>
  <c r="D71" i="131"/>
  <c r="H70" i="131"/>
  <c r="D70" i="131"/>
  <c r="H69" i="131"/>
  <c r="D69" i="131"/>
  <c r="H68" i="131"/>
  <c r="D68" i="131"/>
  <c r="G65" i="131"/>
  <c r="C65" i="131"/>
  <c r="H64" i="131"/>
  <c r="D64" i="131"/>
  <c r="H63" i="131"/>
  <c r="D63" i="131"/>
  <c r="H62" i="131"/>
  <c r="D62" i="131"/>
  <c r="H61" i="131"/>
  <c r="D61" i="131"/>
  <c r="H60" i="131"/>
  <c r="D60" i="131"/>
  <c r="H59" i="131"/>
  <c r="D59" i="131"/>
  <c r="H58" i="131"/>
  <c r="D58" i="131"/>
  <c r="H57" i="131"/>
  <c r="D57" i="131"/>
  <c r="H56" i="131"/>
  <c r="D56" i="131"/>
  <c r="H55" i="131"/>
  <c r="D55" i="131"/>
  <c r="H54" i="131"/>
  <c r="D54" i="131"/>
  <c r="H53" i="131"/>
  <c r="D53" i="131"/>
  <c r="G49" i="131"/>
  <c r="C49" i="131"/>
  <c r="H48" i="131"/>
  <c r="D48" i="131"/>
  <c r="H47" i="131"/>
  <c r="D47" i="131"/>
  <c r="H46" i="131"/>
  <c r="D46" i="131"/>
  <c r="H45" i="131"/>
  <c r="D45" i="131"/>
  <c r="H44" i="131"/>
  <c r="D44" i="131"/>
  <c r="H43" i="131"/>
  <c r="D43" i="131"/>
  <c r="H42" i="131"/>
  <c r="D42" i="131"/>
  <c r="H41" i="131"/>
  <c r="D41" i="131"/>
  <c r="H40" i="131"/>
  <c r="D40" i="131"/>
  <c r="H39" i="131"/>
  <c r="D39" i="131"/>
  <c r="H38" i="131"/>
  <c r="D38" i="131"/>
  <c r="H37" i="131"/>
  <c r="D37" i="131"/>
  <c r="G34" i="131"/>
  <c r="C34" i="131"/>
  <c r="H33" i="131"/>
  <c r="D33" i="131"/>
  <c r="H32" i="131"/>
  <c r="H31" i="131"/>
  <c r="H30" i="131"/>
  <c r="H29" i="131"/>
  <c r="H28" i="131"/>
  <c r="H27" i="131"/>
  <c r="H26" i="131"/>
  <c r="H25" i="131"/>
  <c r="H24" i="131"/>
  <c r="H23" i="131"/>
  <c r="H22" i="131"/>
  <c r="G19" i="131"/>
  <c r="C19" i="131"/>
  <c r="H18" i="131"/>
  <c r="H17" i="131"/>
  <c r="H16" i="131"/>
  <c r="H15" i="131"/>
  <c r="H14" i="131"/>
  <c r="H13" i="131"/>
  <c r="H12" i="131"/>
  <c r="H11" i="131"/>
  <c r="H10" i="131"/>
  <c r="H9" i="131"/>
  <c r="H8" i="131"/>
  <c r="H7" i="131"/>
  <c r="D29" i="131" l="1"/>
  <c r="D34" i="132"/>
  <c r="D25" i="131"/>
  <c r="D19" i="132"/>
  <c r="D23" i="131"/>
  <c r="D31" i="131"/>
  <c r="D27" i="131"/>
  <c r="D22" i="131"/>
  <c r="D24" i="131"/>
  <c r="D26" i="131"/>
  <c r="D28" i="131"/>
  <c r="D30" i="131"/>
  <c r="D49" i="131"/>
  <c r="H49" i="131"/>
  <c r="D80" i="131"/>
  <c r="D103" i="131"/>
  <c r="H80" i="131"/>
  <c r="D65" i="131"/>
  <c r="D7" i="131"/>
  <c r="D9" i="131"/>
  <c r="D11" i="131"/>
  <c r="D13" i="131"/>
  <c r="D15" i="131"/>
  <c r="D17" i="131"/>
  <c r="H65" i="131"/>
  <c r="D8" i="131"/>
  <c r="D10" i="131"/>
  <c r="D12" i="131"/>
  <c r="D14" i="131"/>
  <c r="D16" i="131"/>
  <c r="H34" i="131"/>
  <c r="H19" i="131"/>
  <c r="F112" i="130"/>
  <c r="D33" i="130" s="1"/>
  <c r="F111" i="130"/>
  <c r="D17" i="130" s="1"/>
  <c r="C103" i="130"/>
  <c r="D102" i="130"/>
  <c r="D101" i="130"/>
  <c r="D100" i="130"/>
  <c r="D99" i="130"/>
  <c r="D98" i="130"/>
  <c r="D97" i="130"/>
  <c r="D96" i="130"/>
  <c r="D87" i="130"/>
  <c r="D86" i="130"/>
  <c r="D85" i="130"/>
  <c r="D84" i="130"/>
  <c r="D83" i="130"/>
  <c r="D90" i="130" s="1"/>
  <c r="G80" i="130"/>
  <c r="C80" i="130"/>
  <c r="H79" i="130"/>
  <c r="D79" i="130"/>
  <c r="H78" i="130"/>
  <c r="D78" i="130"/>
  <c r="H77" i="130"/>
  <c r="D77" i="130"/>
  <c r="H76" i="130"/>
  <c r="D76" i="130"/>
  <c r="H75" i="130"/>
  <c r="D75" i="130"/>
  <c r="H74" i="130"/>
  <c r="D74" i="130"/>
  <c r="H73" i="130"/>
  <c r="D73" i="130"/>
  <c r="H72" i="130"/>
  <c r="D72" i="130"/>
  <c r="H71" i="130"/>
  <c r="D71" i="130"/>
  <c r="H70" i="130"/>
  <c r="D70" i="130"/>
  <c r="H69" i="130"/>
  <c r="D69" i="130"/>
  <c r="H68" i="130"/>
  <c r="D68" i="130"/>
  <c r="G65" i="130"/>
  <c r="C65" i="130"/>
  <c r="H64" i="130"/>
  <c r="D64" i="130"/>
  <c r="H63" i="130"/>
  <c r="D63" i="130"/>
  <c r="H62" i="130"/>
  <c r="D62" i="130"/>
  <c r="H61" i="130"/>
  <c r="D61" i="130"/>
  <c r="H60" i="130"/>
  <c r="D60" i="130"/>
  <c r="H59" i="130"/>
  <c r="D59" i="130"/>
  <c r="H58" i="130"/>
  <c r="D58" i="130"/>
  <c r="H57" i="130"/>
  <c r="D57" i="130"/>
  <c r="H56" i="130"/>
  <c r="D56" i="130"/>
  <c r="H55" i="130"/>
  <c r="D55" i="130"/>
  <c r="H54" i="130"/>
  <c r="D54" i="130"/>
  <c r="H53" i="130"/>
  <c r="D53" i="130"/>
  <c r="G49" i="130"/>
  <c r="C49" i="130"/>
  <c r="H48" i="130"/>
  <c r="D48" i="130"/>
  <c r="H47" i="130"/>
  <c r="D47" i="130"/>
  <c r="H46" i="130"/>
  <c r="D46" i="130"/>
  <c r="H45" i="130"/>
  <c r="D45" i="130"/>
  <c r="H44" i="130"/>
  <c r="D44" i="130"/>
  <c r="H43" i="130"/>
  <c r="D43" i="130"/>
  <c r="H42" i="130"/>
  <c r="D42" i="130"/>
  <c r="H41" i="130"/>
  <c r="D41" i="130"/>
  <c r="H40" i="130"/>
  <c r="D40" i="130"/>
  <c r="H39" i="130"/>
  <c r="D39" i="130"/>
  <c r="H38" i="130"/>
  <c r="D38" i="130"/>
  <c r="H37" i="130"/>
  <c r="D37" i="130"/>
  <c r="G34" i="130"/>
  <c r="C34" i="130"/>
  <c r="H33" i="130"/>
  <c r="H32" i="130"/>
  <c r="H31" i="130"/>
  <c r="H30" i="130"/>
  <c r="H29" i="130"/>
  <c r="H28" i="130"/>
  <c r="H27" i="130"/>
  <c r="H26" i="130"/>
  <c r="H25" i="130"/>
  <c r="H24" i="130"/>
  <c r="H23" i="130"/>
  <c r="H22" i="130"/>
  <c r="G19" i="130"/>
  <c r="C19" i="130"/>
  <c r="H18" i="130"/>
  <c r="H17" i="130"/>
  <c r="H16" i="130"/>
  <c r="H15" i="130"/>
  <c r="H14" i="130"/>
  <c r="H13" i="130"/>
  <c r="H12" i="130"/>
  <c r="H11" i="130"/>
  <c r="H10" i="130"/>
  <c r="H9" i="130"/>
  <c r="H8" i="130"/>
  <c r="H7" i="130"/>
  <c r="D10" i="130" l="1"/>
  <c r="D34" i="131"/>
  <c r="D16" i="130"/>
  <c r="D8" i="130"/>
  <c r="D14" i="130"/>
  <c r="D18" i="130"/>
  <c r="D19" i="131"/>
  <c r="D22" i="130"/>
  <c r="D24" i="130"/>
  <c r="D26" i="130"/>
  <c r="D28" i="130"/>
  <c r="D30" i="130"/>
  <c r="D32" i="130"/>
  <c r="H65" i="130"/>
  <c r="D23" i="130"/>
  <c r="D25" i="130"/>
  <c r="D27" i="130"/>
  <c r="D29" i="130"/>
  <c r="D31" i="130"/>
  <c r="D49" i="130"/>
  <c r="D80" i="130"/>
  <c r="D103" i="130"/>
  <c r="D12" i="130"/>
  <c r="D65" i="130"/>
  <c r="H80" i="130"/>
  <c r="H49" i="130"/>
  <c r="H34" i="130"/>
  <c r="H19" i="130"/>
  <c r="D7" i="130"/>
  <c r="D9" i="130"/>
  <c r="D11" i="130"/>
  <c r="D13" i="130"/>
  <c r="D15" i="130"/>
  <c r="F112" i="129"/>
  <c r="D32" i="129" s="1"/>
  <c r="F111" i="129"/>
  <c r="D17" i="129" s="1"/>
  <c r="C103" i="129"/>
  <c r="D102" i="129"/>
  <c r="D101" i="129"/>
  <c r="D100" i="129"/>
  <c r="D99" i="129"/>
  <c r="D98" i="129"/>
  <c r="D97" i="129"/>
  <c r="D96" i="129"/>
  <c r="D87" i="129"/>
  <c r="D86" i="129"/>
  <c r="D85" i="129"/>
  <c r="D84" i="129"/>
  <c r="D83" i="129"/>
  <c r="D90" i="129" s="1"/>
  <c r="G80" i="129"/>
  <c r="C80" i="129"/>
  <c r="H79" i="129"/>
  <c r="D79" i="129"/>
  <c r="H78" i="129"/>
  <c r="D78" i="129"/>
  <c r="H77" i="129"/>
  <c r="D77" i="129"/>
  <c r="H76" i="129"/>
  <c r="D76" i="129"/>
  <c r="H75" i="129"/>
  <c r="D75" i="129"/>
  <c r="H74" i="129"/>
  <c r="D74" i="129"/>
  <c r="H73" i="129"/>
  <c r="D73" i="129"/>
  <c r="H72" i="129"/>
  <c r="D72" i="129"/>
  <c r="H71" i="129"/>
  <c r="D71" i="129"/>
  <c r="H70" i="129"/>
  <c r="D70" i="129"/>
  <c r="H69" i="129"/>
  <c r="D69" i="129"/>
  <c r="H68" i="129"/>
  <c r="D68" i="129"/>
  <c r="G65" i="129"/>
  <c r="C65" i="129"/>
  <c r="H64" i="129"/>
  <c r="D64" i="129"/>
  <c r="H63" i="129"/>
  <c r="D63" i="129"/>
  <c r="H62" i="129"/>
  <c r="D62" i="129"/>
  <c r="H61" i="129"/>
  <c r="D61" i="129"/>
  <c r="H60" i="129"/>
  <c r="D60" i="129"/>
  <c r="H59" i="129"/>
  <c r="D59" i="129"/>
  <c r="H58" i="129"/>
  <c r="D58" i="129"/>
  <c r="H57" i="129"/>
  <c r="D57" i="129"/>
  <c r="H56" i="129"/>
  <c r="D56" i="129"/>
  <c r="H55" i="129"/>
  <c r="D55" i="129"/>
  <c r="H54" i="129"/>
  <c r="D54" i="129"/>
  <c r="H53" i="129"/>
  <c r="D53" i="129"/>
  <c r="G49" i="129"/>
  <c r="C49" i="129"/>
  <c r="H48" i="129"/>
  <c r="D48" i="129"/>
  <c r="H47" i="129"/>
  <c r="D47" i="129"/>
  <c r="H46" i="129"/>
  <c r="D46" i="129"/>
  <c r="H45" i="129"/>
  <c r="D45" i="129"/>
  <c r="H44" i="129"/>
  <c r="D44" i="129"/>
  <c r="H43" i="129"/>
  <c r="D43" i="129"/>
  <c r="H42" i="129"/>
  <c r="D42" i="129"/>
  <c r="H41" i="129"/>
  <c r="D41" i="129"/>
  <c r="H40" i="129"/>
  <c r="D40" i="129"/>
  <c r="H39" i="129"/>
  <c r="D39" i="129"/>
  <c r="H38" i="129"/>
  <c r="D38" i="129"/>
  <c r="H37" i="129"/>
  <c r="D37" i="129"/>
  <c r="G34" i="129"/>
  <c r="C34" i="129"/>
  <c r="H33" i="129"/>
  <c r="D33" i="129"/>
  <c r="H32" i="129"/>
  <c r="H31" i="129"/>
  <c r="H30" i="129"/>
  <c r="H29" i="129"/>
  <c r="H28" i="129"/>
  <c r="H27" i="129"/>
  <c r="H26" i="129"/>
  <c r="H25" i="129"/>
  <c r="H24" i="129"/>
  <c r="H23" i="129"/>
  <c r="H22" i="129"/>
  <c r="G19" i="129"/>
  <c r="C19" i="129"/>
  <c r="H18" i="129"/>
  <c r="H17" i="129"/>
  <c r="H16" i="129"/>
  <c r="H15" i="129"/>
  <c r="H14" i="129"/>
  <c r="H13" i="129"/>
  <c r="H12" i="129"/>
  <c r="H11" i="129"/>
  <c r="H10" i="129"/>
  <c r="H9" i="129"/>
  <c r="H8" i="129"/>
  <c r="H7" i="129"/>
  <c r="D25" i="129" l="1"/>
  <c r="D23" i="129"/>
  <c r="D31" i="129"/>
  <c r="D29" i="129"/>
  <c r="D27" i="129"/>
  <c r="D8" i="129"/>
  <c r="D34" i="130"/>
  <c r="D19" i="130"/>
  <c r="H80" i="129"/>
  <c r="H19" i="129"/>
  <c r="D18" i="129"/>
  <c r="D22" i="129"/>
  <c r="D24" i="129"/>
  <c r="D26" i="129"/>
  <c r="D28" i="129"/>
  <c r="D30" i="129"/>
  <c r="D65" i="129"/>
  <c r="D16" i="129"/>
  <c r="D103" i="129"/>
  <c r="D10" i="129"/>
  <c r="D14" i="129"/>
  <c r="D12" i="129"/>
  <c r="D7" i="129"/>
  <c r="D9" i="129"/>
  <c r="D13" i="129"/>
  <c r="D15" i="129"/>
  <c r="D11" i="129"/>
  <c r="D80" i="129"/>
  <c r="H65" i="129"/>
  <c r="H49" i="129"/>
  <c r="D49" i="129"/>
  <c r="H34" i="129"/>
  <c r="F112" i="128"/>
  <c r="D33" i="128" s="1"/>
  <c r="F111" i="128"/>
  <c r="D17" i="128" s="1"/>
  <c r="C103" i="128"/>
  <c r="D102" i="128"/>
  <c r="D101" i="128"/>
  <c r="D100" i="128"/>
  <c r="D99" i="128"/>
  <c r="D98" i="128"/>
  <c r="D97" i="128"/>
  <c r="D96" i="128"/>
  <c r="D87" i="128"/>
  <c r="D86" i="128"/>
  <c r="D85" i="128"/>
  <c r="D84" i="128"/>
  <c r="D83" i="128"/>
  <c r="D90" i="128" s="1"/>
  <c r="G80" i="128"/>
  <c r="C80" i="128"/>
  <c r="H79" i="128"/>
  <c r="D79" i="128"/>
  <c r="H78" i="128"/>
  <c r="D78" i="128"/>
  <c r="H77" i="128"/>
  <c r="D77" i="128"/>
  <c r="H76" i="128"/>
  <c r="D76" i="128"/>
  <c r="H75" i="128"/>
  <c r="D75" i="128"/>
  <c r="H74" i="128"/>
  <c r="D74" i="128"/>
  <c r="H73" i="128"/>
  <c r="D73" i="128"/>
  <c r="H72" i="128"/>
  <c r="D72" i="128"/>
  <c r="H71" i="128"/>
  <c r="D71" i="128"/>
  <c r="H70" i="128"/>
  <c r="D70" i="128"/>
  <c r="H69" i="128"/>
  <c r="D69" i="128"/>
  <c r="H68" i="128"/>
  <c r="D68" i="128"/>
  <c r="G65" i="128"/>
  <c r="C65" i="128"/>
  <c r="H64" i="128"/>
  <c r="D64" i="128"/>
  <c r="H63" i="128"/>
  <c r="D63" i="128"/>
  <c r="H62" i="128"/>
  <c r="D62" i="128"/>
  <c r="H61" i="128"/>
  <c r="D61" i="128"/>
  <c r="H60" i="128"/>
  <c r="D60" i="128"/>
  <c r="H59" i="128"/>
  <c r="D59" i="128"/>
  <c r="H58" i="128"/>
  <c r="D58" i="128"/>
  <c r="H57" i="128"/>
  <c r="D57" i="128"/>
  <c r="H56" i="128"/>
  <c r="D56" i="128"/>
  <c r="H55" i="128"/>
  <c r="D55" i="128"/>
  <c r="H54" i="128"/>
  <c r="D54" i="128"/>
  <c r="H53" i="128"/>
  <c r="D53" i="128"/>
  <c r="G49" i="128"/>
  <c r="C49" i="128"/>
  <c r="H48" i="128"/>
  <c r="D48" i="128"/>
  <c r="H47" i="128"/>
  <c r="D47" i="128"/>
  <c r="H46" i="128"/>
  <c r="D46" i="128"/>
  <c r="H45" i="128"/>
  <c r="D45" i="128"/>
  <c r="H44" i="128"/>
  <c r="D44" i="128"/>
  <c r="H43" i="128"/>
  <c r="D43" i="128"/>
  <c r="H42" i="128"/>
  <c r="D42" i="128"/>
  <c r="H41" i="128"/>
  <c r="D41" i="128"/>
  <c r="H40" i="128"/>
  <c r="D40" i="128"/>
  <c r="H39" i="128"/>
  <c r="D39" i="128"/>
  <c r="H38" i="128"/>
  <c r="D38" i="128"/>
  <c r="H37" i="128"/>
  <c r="D37" i="128"/>
  <c r="G34" i="128"/>
  <c r="C34" i="128"/>
  <c r="H33" i="128"/>
  <c r="H32" i="128"/>
  <c r="H31" i="128"/>
  <c r="H30" i="128"/>
  <c r="H29" i="128"/>
  <c r="H28" i="128"/>
  <c r="H27" i="128"/>
  <c r="H26" i="128"/>
  <c r="H25" i="128"/>
  <c r="H24" i="128"/>
  <c r="H23" i="128"/>
  <c r="H22" i="128"/>
  <c r="G19" i="128"/>
  <c r="C19" i="128"/>
  <c r="H18" i="128"/>
  <c r="H17" i="128"/>
  <c r="H16" i="128"/>
  <c r="H15" i="128"/>
  <c r="H14" i="128"/>
  <c r="H13" i="128"/>
  <c r="H12" i="128"/>
  <c r="H11" i="128"/>
  <c r="H10" i="128"/>
  <c r="H9" i="128"/>
  <c r="H8" i="128"/>
  <c r="H7" i="128"/>
  <c r="D14" i="128" l="1"/>
  <c r="D8" i="128"/>
  <c r="D18" i="128"/>
  <c r="D34" i="129"/>
  <c r="D65" i="128"/>
  <c r="H65" i="128"/>
  <c r="D19" i="129"/>
  <c r="D10" i="128"/>
  <c r="D16" i="128"/>
  <c r="H34" i="128"/>
  <c r="D22" i="128"/>
  <c r="D24" i="128"/>
  <c r="D26" i="128"/>
  <c r="D28" i="128"/>
  <c r="D30" i="128"/>
  <c r="D32" i="128"/>
  <c r="D23" i="128"/>
  <c r="D25" i="128"/>
  <c r="D27" i="128"/>
  <c r="D29" i="128"/>
  <c r="D31" i="128"/>
  <c r="H19" i="128"/>
  <c r="D49" i="128"/>
  <c r="D80" i="128"/>
  <c r="D103" i="128"/>
  <c r="H49" i="128"/>
  <c r="D12" i="128"/>
  <c r="H80" i="128"/>
  <c r="D7" i="128"/>
  <c r="D9" i="128"/>
  <c r="D11" i="128"/>
  <c r="D13" i="128"/>
  <c r="D15" i="128"/>
  <c r="F112" i="127"/>
  <c r="D32" i="127" s="1"/>
  <c r="F111" i="127"/>
  <c r="D18" i="127" s="1"/>
  <c r="C103" i="127"/>
  <c r="D102" i="127"/>
  <c r="D101" i="127"/>
  <c r="D100" i="127"/>
  <c r="D99" i="127"/>
  <c r="D98" i="127"/>
  <c r="D97" i="127"/>
  <c r="D96" i="127"/>
  <c r="D87" i="127"/>
  <c r="D86" i="127"/>
  <c r="D85" i="127"/>
  <c r="D84" i="127"/>
  <c r="D83" i="127"/>
  <c r="D90" i="127" s="1"/>
  <c r="G80" i="127"/>
  <c r="C80" i="127"/>
  <c r="H79" i="127"/>
  <c r="D79" i="127"/>
  <c r="H78" i="127"/>
  <c r="D78" i="127"/>
  <c r="H77" i="127"/>
  <c r="D77" i="127"/>
  <c r="H76" i="127"/>
  <c r="D76" i="127"/>
  <c r="H75" i="127"/>
  <c r="D75" i="127"/>
  <c r="H74" i="127"/>
  <c r="D74" i="127"/>
  <c r="H73" i="127"/>
  <c r="D73" i="127"/>
  <c r="H72" i="127"/>
  <c r="D72" i="127"/>
  <c r="H71" i="127"/>
  <c r="D71" i="127"/>
  <c r="H70" i="127"/>
  <c r="D70" i="127"/>
  <c r="H69" i="127"/>
  <c r="D69" i="127"/>
  <c r="H68" i="127"/>
  <c r="D68" i="127"/>
  <c r="G65" i="127"/>
  <c r="C65" i="127"/>
  <c r="H64" i="127"/>
  <c r="D64" i="127"/>
  <c r="H63" i="127"/>
  <c r="D63" i="127"/>
  <c r="H62" i="127"/>
  <c r="D62" i="127"/>
  <c r="H61" i="127"/>
  <c r="D61" i="127"/>
  <c r="H60" i="127"/>
  <c r="D60" i="127"/>
  <c r="H59" i="127"/>
  <c r="D59" i="127"/>
  <c r="H58" i="127"/>
  <c r="D58" i="127"/>
  <c r="H57" i="127"/>
  <c r="D57" i="127"/>
  <c r="H56" i="127"/>
  <c r="D56" i="127"/>
  <c r="H55" i="127"/>
  <c r="D55" i="127"/>
  <c r="H54" i="127"/>
  <c r="D54" i="127"/>
  <c r="H53" i="127"/>
  <c r="D53" i="127"/>
  <c r="G49" i="127"/>
  <c r="C49" i="127"/>
  <c r="H48" i="127"/>
  <c r="D48" i="127"/>
  <c r="H47" i="127"/>
  <c r="D47" i="127"/>
  <c r="H46" i="127"/>
  <c r="D46" i="127"/>
  <c r="H45" i="127"/>
  <c r="D45" i="127"/>
  <c r="H44" i="127"/>
  <c r="D44" i="127"/>
  <c r="H43" i="127"/>
  <c r="D43" i="127"/>
  <c r="H42" i="127"/>
  <c r="D42" i="127"/>
  <c r="H41" i="127"/>
  <c r="D41" i="127"/>
  <c r="H40" i="127"/>
  <c r="D40" i="127"/>
  <c r="H39" i="127"/>
  <c r="D39" i="127"/>
  <c r="H38" i="127"/>
  <c r="D38" i="127"/>
  <c r="H37" i="127"/>
  <c r="D37" i="127"/>
  <c r="G34" i="127"/>
  <c r="C34" i="127"/>
  <c r="H33" i="127"/>
  <c r="D33" i="127"/>
  <c r="H32" i="127"/>
  <c r="H31" i="127"/>
  <c r="H30" i="127"/>
  <c r="H29" i="127"/>
  <c r="H28" i="127"/>
  <c r="H27" i="127"/>
  <c r="H26" i="127"/>
  <c r="H25" i="127"/>
  <c r="H24" i="127"/>
  <c r="H23" i="127"/>
  <c r="H22" i="127"/>
  <c r="G19" i="127"/>
  <c r="C19" i="127"/>
  <c r="H18" i="127"/>
  <c r="H17" i="127"/>
  <c r="H16" i="127"/>
  <c r="H15" i="127"/>
  <c r="H14" i="127"/>
  <c r="H13" i="127"/>
  <c r="H12" i="127"/>
  <c r="H11" i="127"/>
  <c r="H10" i="127"/>
  <c r="H9" i="127"/>
  <c r="H8" i="127"/>
  <c r="H7" i="127"/>
  <c r="D25" i="127" l="1"/>
  <c r="D31" i="127"/>
  <c r="D29" i="127"/>
  <c r="D23" i="127"/>
  <c r="D27" i="127"/>
  <c r="D103" i="127"/>
  <c r="D7" i="127"/>
  <c r="H80" i="127"/>
  <c r="D34" i="128"/>
  <c r="D19" i="128"/>
  <c r="D80" i="127"/>
  <c r="D49" i="127"/>
  <c r="D15" i="127"/>
  <c r="D11" i="127"/>
  <c r="D9" i="127"/>
  <c r="D17" i="127"/>
  <c r="D13" i="127"/>
  <c r="H49" i="127"/>
  <c r="D8" i="127"/>
  <c r="D10" i="127"/>
  <c r="D12" i="127"/>
  <c r="D14" i="127"/>
  <c r="D16" i="127"/>
  <c r="D22" i="127"/>
  <c r="D24" i="127"/>
  <c r="D26" i="127"/>
  <c r="D28" i="127"/>
  <c r="D30" i="127"/>
  <c r="D65" i="127"/>
  <c r="H65" i="127"/>
  <c r="H34" i="127"/>
  <c r="H19" i="127"/>
  <c r="F112" i="126"/>
  <c r="D32" i="126" s="1"/>
  <c r="F111" i="126"/>
  <c r="D17" i="126" s="1"/>
  <c r="C103" i="126"/>
  <c r="D102" i="126"/>
  <c r="D101" i="126"/>
  <c r="D100" i="126"/>
  <c r="D99" i="126"/>
  <c r="D98" i="126"/>
  <c r="D97" i="126"/>
  <c r="D96" i="126"/>
  <c r="D87" i="126"/>
  <c r="D86" i="126"/>
  <c r="D85" i="126"/>
  <c r="D84" i="126"/>
  <c r="D83" i="126"/>
  <c r="D90" i="126" s="1"/>
  <c r="G80" i="126"/>
  <c r="C80" i="126"/>
  <c r="H79" i="126"/>
  <c r="D79" i="126"/>
  <c r="H78" i="126"/>
  <c r="D78" i="126"/>
  <c r="H77" i="126"/>
  <c r="D77" i="126"/>
  <c r="H76" i="126"/>
  <c r="D76" i="126"/>
  <c r="H75" i="126"/>
  <c r="D75" i="126"/>
  <c r="H74" i="126"/>
  <c r="D74" i="126"/>
  <c r="H73" i="126"/>
  <c r="D73" i="126"/>
  <c r="H72" i="126"/>
  <c r="D72" i="126"/>
  <c r="H71" i="126"/>
  <c r="D71" i="126"/>
  <c r="H70" i="126"/>
  <c r="D70" i="126"/>
  <c r="H69" i="126"/>
  <c r="D69" i="126"/>
  <c r="H68" i="126"/>
  <c r="D68" i="126"/>
  <c r="G65" i="126"/>
  <c r="C65" i="126"/>
  <c r="H64" i="126"/>
  <c r="D64" i="126"/>
  <c r="H63" i="126"/>
  <c r="D63" i="126"/>
  <c r="H62" i="126"/>
  <c r="D62" i="126"/>
  <c r="H61" i="126"/>
  <c r="D61" i="126"/>
  <c r="H60" i="126"/>
  <c r="D60" i="126"/>
  <c r="H59" i="126"/>
  <c r="D59" i="126"/>
  <c r="H58" i="126"/>
  <c r="D58" i="126"/>
  <c r="H57" i="126"/>
  <c r="D57" i="126"/>
  <c r="H56" i="126"/>
  <c r="D56" i="126"/>
  <c r="H55" i="126"/>
  <c r="D55" i="126"/>
  <c r="H54" i="126"/>
  <c r="D54" i="126"/>
  <c r="H53" i="126"/>
  <c r="D53" i="126"/>
  <c r="G49" i="126"/>
  <c r="C49" i="126"/>
  <c r="H48" i="126"/>
  <c r="D48" i="126"/>
  <c r="H47" i="126"/>
  <c r="D47" i="126"/>
  <c r="H46" i="126"/>
  <c r="D46" i="126"/>
  <c r="H45" i="126"/>
  <c r="D45" i="126"/>
  <c r="H44" i="126"/>
  <c r="D44" i="126"/>
  <c r="H43" i="126"/>
  <c r="D43" i="126"/>
  <c r="H42" i="126"/>
  <c r="D42" i="126"/>
  <c r="H41" i="126"/>
  <c r="D41" i="126"/>
  <c r="H40" i="126"/>
  <c r="D40" i="126"/>
  <c r="H39" i="126"/>
  <c r="D39" i="126"/>
  <c r="H38" i="126"/>
  <c r="D38" i="126"/>
  <c r="H37" i="126"/>
  <c r="D37" i="126"/>
  <c r="G34" i="126"/>
  <c r="C34" i="126"/>
  <c r="H33" i="126"/>
  <c r="D33" i="126"/>
  <c r="H32" i="126"/>
  <c r="H31" i="126"/>
  <c r="H30" i="126"/>
  <c r="H29" i="126"/>
  <c r="H28" i="126"/>
  <c r="H27" i="126"/>
  <c r="H26" i="126"/>
  <c r="H25" i="126"/>
  <c r="H24" i="126"/>
  <c r="H23" i="126"/>
  <c r="H22" i="126"/>
  <c r="G19" i="126"/>
  <c r="C19" i="126"/>
  <c r="H18" i="126"/>
  <c r="H17" i="126"/>
  <c r="H16" i="126"/>
  <c r="D16" i="126"/>
  <c r="H15" i="126"/>
  <c r="H14" i="126"/>
  <c r="H13" i="126"/>
  <c r="H12" i="126"/>
  <c r="H11" i="126"/>
  <c r="H10" i="126"/>
  <c r="H9" i="126"/>
  <c r="H8" i="126"/>
  <c r="H7" i="126"/>
  <c r="D10" i="126" l="1"/>
  <c r="D25" i="126"/>
  <c r="D23" i="126"/>
  <c r="D31" i="126"/>
  <c r="D29" i="126"/>
  <c r="D27" i="126"/>
  <c r="D22" i="126"/>
  <c r="D24" i="126"/>
  <c r="D26" i="126"/>
  <c r="D28" i="126"/>
  <c r="D30" i="126"/>
  <c r="D12" i="126"/>
  <c r="D18" i="126"/>
  <c r="D8" i="126"/>
  <c r="D19" i="127"/>
  <c r="D34" i="127"/>
  <c r="D65" i="126"/>
  <c r="D14" i="126"/>
  <c r="D103" i="126"/>
  <c r="D7" i="126"/>
  <c r="D9" i="126"/>
  <c r="D11" i="126"/>
  <c r="D13" i="126"/>
  <c r="D15" i="126"/>
  <c r="H49" i="126"/>
  <c r="H80" i="126"/>
  <c r="D80" i="126"/>
  <c r="H65" i="126"/>
  <c r="D49" i="126"/>
  <c r="H34" i="126"/>
  <c r="H19" i="126"/>
  <c r="F112" i="125"/>
  <c r="D32" i="125" s="1"/>
  <c r="F111" i="125"/>
  <c r="D18" i="125" s="1"/>
  <c r="C103" i="125"/>
  <c r="D102" i="125"/>
  <c r="D101" i="125"/>
  <c r="D100" i="125"/>
  <c r="D99" i="125"/>
  <c r="D98" i="125"/>
  <c r="D97" i="125"/>
  <c r="D96" i="125"/>
  <c r="D87" i="125"/>
  <c r="D86" i="125"/>
  <c r="D85" i="125"/>
  <c r="D84" i="125"/>
  <c r="D83" i="125"/>
  <c r="D90" i="125" s="1"/>
  <c r="G80" i="125"/>
  <c r="C80" i="125"/>
  <c r="H79" i="125"/>
  <c r="D79" i="125"/>
  <c r="H78" i="125"/>
  <c r="D78" i="125"/>
  <c r="H77" i="125"/>
  <c r="D77" i="125"/>
  <c r="H76" i="125"/>
  <c r="D76" i="125"/>
  <c r="H75" i="125"/>
  <c r="D75" i="125"/>
  <c r="H74" i="125"/>
  <c r="D74" i="125"/>
  <c r="H73" i="125"/>
  <c r="D73" i="125"/>
  <c r="H72" i="125"/>
  <c r="D72" i="125"/>
  <c r="H71" i="125"/>
  <c r="D71" i="125"/>
  <c r="H70" i="125"/>
  <c r="D70" i="125"/>
  <c r="H69" i="125"/>
  <c r="D69" i="125"/>
  <c r="H68" i="125"/>
  <c r="D68" i="125"/>
  <c r="G65" i="125"/>
  <c r="C65" i="125"/>
  <c r="H64" i="125"/>
  <c r="D64" i="125"/>
  <c r="H63" i="125"/>
  <c r="D63" i="125"/>
  <c r="H62" i="125"/>
  <c r="D62" i="125"/>
  <c r="H61" i="125"/>
  <c r="D61" i="125"/>
  <c r="H60" i="125"/>
  <c r="D60" i="125"/>
  <c r="H59" i="125"/>
  <c r="D59" i="125"/>
  <c r="H58" i="125"/>
  <c r="D58" i="125"/>
  <c r="H57" i="125"/>
  <c r="D57" i="125"/>
  <c r="H56" i="125"/>
  <c r="D56" i="125"/>
  <c r="H55" i="125"/>
  <c r="D55" i="125"/>
  <c r="H54" i="125"/>
  <c r="D54" i="125"/>
  <c r="H53" i="125"/>
  <c r="D53" i="125"/>
  <c r="G49" i="125"/>
  <c r="C49" i="125"/>
  <c r="H48" i="125"/>
  <c r="D48" i="125"/>
  <c r="H47" i="125"/>
  <c r="D47" i="125"/>
  <c r="H46" i="125"/>
  <c r="D46" i="125"/>
  <c r="H45" i="125"/>
  <c r="D45" i="125"/>
  <c r="H44" i="125"/>
  <c r="D44" i="125"/>
  <c r="H43" i="125"/>
  <c r="D43" i="125"/>
  <c r="H42" i="125"/>
  <c r="D42" i="125"/>
  <c r="H41" i="125"/>
  <c r="D41" i="125"/>
  <c r="H40" i="125"/>
  <c r="D40" i="125"/>
  <c r="H39" i="125"/>
  <c r="D39" i="125"/>
  <c r="H38" i="125"/>
  <c r="D38" i="125"/>
  <c r="H37" i="125"/>
  <c r="D37" i="125"/>
  <c r="G34" i="125"/>
  <c r="C34" i="125"/>
  <c r="H33" i="125"/>
  <c r="D33" i="125"/>
  <c r="H32" i="125"/>
  <c r="H31" i="125"/>
  <c r="H30" i="125"/>
  <c r="H29" i="125"/>
  <c r="H28" i="125"/>
  <c r="H27" i="125"/>
  <c r="H26" i="125"/>
  <c r="H25" i="125"/>
  <c r="H24" i="125"/>
  <c r="H23" i="125"/>
  <c r="H22" i="125"/>
  <c r="G19" i="125"/>
  <c r="C19" i="125"/>
  <c r="H18" i="125"/>
  <c r="H17" i="125"/>
  <c r="H16" i="125"/>
  <c r="H15" i="125"/>
  <c r="H14" i="125"/>
  <c r="H13" i="125"/>
  <c r="H12" i="125"/>
  <c r="H11" i="125"/>
  <c r="H10" i="125"/>
  <c r="H9" i="125"/>
  <c r="H8" i="125"/>
  <c r="H7" i="125"/>
  <c r="D11" i="125" l="1"/>
  <c r="D34" i="126"/>
  <c r="D17" i="125"/>
  <c r="D7" i="125"/>
  <c r="D15" i="125"/>
  <c r="D9" i="125"/>
  <c r="D13" i="125"/>
  <c r="D80" i="125"/>
  <c r="D25" i="125"/>
  <c r="D23" i="125"/>
  <c r="D31" i="125"/>
  <c r="D29" i="125"/>
  <c r="D27" i="125"/>
  <c r="D19" i="126"/>
  <c r="D49" i="125"/>
  <c r="H34" i="125"/>
  <c r="D22" i="125"/>
  <c r="D24" i="125"/>
  <c r="D26" i="125"/>
  <c r="D28" i="125"/>
  <c r="D30" i="125"/>
  <c r="D103" i="125"/>
  <c r="D8" i="125"/>
  <c r="D10" i="125"/>
  <c r="D12" i="125"/>
  <c r="D14" i="125"/>
  <c r="D16" i="125"/>
  <c r="D65" i="125"/>
  <c r="H49" i="125"/>
  <c r="H80" i="125"/>
  <c r="H65" i="125"/>
  <c r="H19" i="125"/>
  <c r="F112" i="124"/>
  <c r="D30" i="124" s="1"/>
  <c r="F111" i="124"/>
  <c r="D17" i="124" s="1"/>
  <c r="C103" i="124"/>
  <c r="D102" i="124"/>
  <c r="D101" i="124"/>
  <c r="D100" i="124"/>
  <c r="D99" i="124"/>
  <c r="D98" i="124"/>
  <c r="D97" i="124"/>
  <c r="D96" i="124"/>
  <c r="D87" i="124"/>
  <c r="D86" i="124"/>
  <c r="D85" i="124"/>
  <c r="D84" i="124"/>
  <c r="D83" i="124"/>
  <c r="D90" i="124" s="1"/>
  <c r="G80" i="124"/>
  <c r="C80" i="124"/>
  <c r="H79" i="124"/>
  <c r="D79" i="124"/>
  <c r="H78" i="124"/>
  <c r="D78" i="124"/>
  <c r="H77" i="124"/>
  <c r="D77" i="124"/>
  <c r="H76" i="124"/>
  <c r="D76" i="124"/>
  <c r="H75" i="124"/>
  <c r="D75" i="124"/>
  <c r="H74" i="124"/>
  <c r="D74" i="124"/>
  <c r="H73" i="124"/>
  <c r="D73" i="124"/>
  <c r="H72" i="124"/>
  <c r="D72" i="124"/>
  <c r="H71" i="124"/>
  <c r="D71" i="124"/>
  <c r="H70" i="124"/>
  <c r="D70" i="124"/>
  <c r="H69" i="124"/>
  <c r="D69" i="124"/>
  <c r="H68" i="124"/>
  <c r="D68" i="124"/>
  <c r="G65" i="124"/>
  <c r="C65" i="124"/>
  <c r="H64" i="124"/>
  <c r="D64" i="124"/>
  <c r="H63" i="124"/>
  <c r="D63" i="124"/>
  <c r="H62" i="124"/>
  <c r="D62" i="124"/>
  <c r="H61" i="124"/>
  <c r="D61" i="124"/>
  <c r="H60" i="124"/>
  <c r="D60" i="124"/>
  <c r="H59" i="124"/>
  <c r="D59" i="124"/>
  <c r="H58" i="124"/>
  <c r="D58" i="124"/>
  <c r="H57" i="124"/>
  <c r="D57" i="124"/>
  <c r="H56" i="124"/>
  <c r="D56" i="124"/>
  <c r="H55" i="124"/>
  <c r="D55" i="124"/>
  <c r="H54" i="124"/>
  <c r="D54" i="124"/>
  <c r="H53" i="124"/>
  <c r="D53" i="124"/>
  <c r="G49" i="124"/>
  <c r="C49" i="124"/>
  <c r="H48" i="124"/>
  <c r="D48" i="124"/>
  <c r="H47" i="124"/>
  <c r="D47" i="124"/>
  <c r="H46" i="124"/>
  <c r="D46" i="124"/>
  <c r="H45" i="124"/>
  <c r="D45" i="124"/>
  <c r="H44" i="124"/>
  <c r="D44" i="124"/>
  <c r="H43" i="124"/>
  <c r="D43" i="124"/>
  <c r="H42" i="124"/>
  <c r="D42" i="124"/>
  <c r="H41" i="124"/>
  <c r="D41" i="124"/>
  <c r="H40" i="124"/>
  <c r="D40" i="124"/>
  <c r="H39" i="124"/>
  <c r="D39" i="124"/>
  <c r="H38" i="124"/>
  <c r="D38" i="124"/>
  <c r="H37" i="124"/>
  <c r="D37" i="124"/>
  <c r="G34" i="124"/>
  <c r="C34" i="124"/>
  <c r="H33" i="124"/>
  <c r="D33" i="124"/>
  <c r="H32" i="124"/>
  <c r="H31" i="124"/>
  <c r="H30" i="124"/>
  <c r="H29" i="124"/>
  <c r="H28" i="124"/>
  <c r="H27" i="124"/>
  <c r="H26" i="124"/>
  <c r="H25" i="124"/>
  <c r="H24" i="124"/>
  <c r="H23" i="124"/>
  <c r="H22" i="124"/>
  <c r="G19" i="124"/>
  <c r="C19" i="124"/>
  <c r="H18" i="124"/>
  <c r="H17" i="124"/>
  <c r="H16" i="124"/>
  <c r="H15" i="124"/>
  <c r="H14" i="124"/>
  <c r="H13" i="124"/>
  <c r="H12" i="124"/>
  <c r="H11" i="124"/>
  <c r="H10" i="124"/>
  <c r="H9" i="124"/>
  <c r="H8" i="124"/>
  <c r="H7" i="124"/>
  <c r="D25" i="124" l="1"/>
  <c r="D31" i="124"/>
  <c r="D29" i="124"/>
  <c r="D23" i="124"/>
  <c r="D27" i="124"/>
  <c r="D34" i="125"/>
  <c r="D19" i="125"/>
  <c r="D103" i="124"/>
  <c r="D49" i="124"/>
  <c r="D80" i="124"/>
  <c r="D8" i="124"/>
  <c r="D12" i="124"/>
  <c r="D16" i="124"/>
  <c r="D24" i="124"/>
  <c r="D28" i="124"/>
  <c r="D32" i="124"/>
  <c r="D22" i="124"/>
  <c r="D26" i="124"/>
  <c r="H65" i="124"/>
  <c r="D10" i="124"/>
  <c r="D18" i="124"/>
  <c r="D14" i="124"/>
  <c r="H80" i="124"/>
  <c r="D65" i="124"/>
  <c r="H49" i="124"/>
  <c r="H34" i="124"/>
  <c r="H19" i="124"/>
  <c r="D7" i="124"/>
  <c r="D9" i="124"/>
  <c r="D11" i="124"/>
  <c r="D13" i="124"/>
  <c r="D15" i="124"/>
  <c r="G34" i="123"/>
  <c r="G65" i="123"/>
  <c r="D34" i="124" l="1"/>
  <c r="D19" i="124"/>
  <c r="F112" i="123"/>
  <c r="D33" i="123" s="1"/>
  <c r="F111" i="123"/>
  <c r="D17" i="123" s="1"/>
  <c r="C103" i="123"/>
  <c r="D102" i="123"/>
  <c r="D101" i="123"/>
  <c r="D100" i="123"/>
  <c r="D99" i="123"/>
  <c r="D98" i="123"/>
  <c r="D97" i="123"/>
  <c r="D96" i="123"/>
  <c r="D87" i="123"/>
  <c r="D86" i="123"/>
  <c r="D85" i="123"/>
  <c r="D84" i="123"/>
  <c r="D83" i="123"/>
  <c r="D90" i="123" s="1"/>
  <c r="G80" i="123"/>
  <c r="C80" i="123"/>
  <c r="H79" i="123"/>
  <c r="D79" i="123"/>
  <c r="H78" i="123"/>
  <c r="D78" i="123"/>
  <c r="H77" i="123"/>
  <c r="D77" i="123"/>
  <c r="H76" i="123"/>
  <c r="D76" i="123"/>
  <c r="H75" i="123"/>
  <c r="D75" i="123"/>
  <c r="H74" i="123"/>
  <c r="D74" i="123"/>
  <c r="H73" i="123"/>
  <c r="D73" i="123"/>
  <c r="H72" i="123"/>
  <c r="D72" i="123"/>
  <c r="H71" i="123"/>
  <c r="D71" i="123"/>
  <c r="H70" i="123"/>
  <c r="D70" i="123"/>
  <c r="H69" i="123"/>
  <c r="D69" i="123"/>
  <c r="H68" i="123"/>
  <c r="D68" i="123"/>
  <c r="C65" i="123"/>
  <c r="H64" i="123"/>
  <c r="D64" i="123"/>
  <c r="H63" i="123"/>
  <c r="D63" i="123"/>
  <c r="H62" i="123"/>
  <c r="D62" i="123"/>
  <c r="H61" i="123"/>
  <c r="D61" i="123"/>
  <c r="H60" i="123"/>
  <c r="D60" i="123"/>
  <c r="H59" i="123"/>
  <c r="D59" i="123"/>
  <c r="H58" i="123"/>
  <c r="D58" i="123"/>
  <c r="H57" i="123"/>
  <c r="D57" i="123"/>
  <c r="H56" i="123"/>
  <c r="D56" i="123"/>
  <c r="H55" i="123"/>
  <c r="D55" i="123"/>
  <c r="H54" i="123"/>
  <c r="D54" i="123"/>
  <c r="H53" i="123"/>
  <c r="D53" i="123"/>
  <c r="G49" i="123"/>
  <c r="C49" i="123"/>
  <c r="H48" i="123"/>
  <c r="D48" i="123"/>
  <c r="H47" i="123"/>
  <c r="D47" i="123"/>
  <c r="H46" i="123"/>
  <c r="D46" i="123"/>
  <c r="H45" i="123"/>
  <c r="D45" i="123"/>
  <c r="H44" i="123"/>
  <c r="D44" i="123"/>
  <c r="H43" i="123"/>
  <c r="D43" i="123"/>
  <c r="H42" i="123"/>
  <c r="D42" i="123"/>
  <c r="H41" i="123"/>
  <c r="D41" i="123"/>
  <c r="H40" i="123"/>
  <c r="D40" i="123"/>
  <c r="H39" i="123"/>
  <c r="D39" i="123"/>
  <c r="H38" i="123"/>
  <c r="D38" i="123"/>
  <c r="H37" i="123"/>
  <c r="D37" i="123"/>
  <c r="C34" i="123"/>
  <c r="H33" i="123"/>
  <c r="H32" i="123"/>
  <c r="H31" i="123"/>
  <c r="D31" i="123"/>
  <c r="H30" i="123"/>
  <c r="H29" i="123"/>
  <c r="H28" i="123"/>
  <c r="H27" i="123"/>
  <c r="H26" i="123"/>
  <c r="H25" i="123"/>
  <c r="H24" i="123"/>
  <c r="H23" i="123"/>
  <c r="H22" i="123"/>
  <c r="G19" i="123"/>
  <c r="C19" i="123"/>
  <c r="H18" i="123"/>
  <c r="H17" i="123"/>
  <c r="H16" i="123"/>
  <c r="H15" i="123"/>
  <c r="H14" i="123"/>
  <c r="H13" i="123"/>
  <c r="H12" i="123"/>
  <c r="H11" i="123"/>
  <c r="H10" i="123"/>
  <c r="H9" i="123"/>
  <c r="H8" i="123"/>
  <c r="H7" i="123"/>
  <c r="D25" i="123" l="1"/>
  <c r="D23" i="123"/>
  <c r="D29" i="123"/>
  <c r="D27" i="123"/>
  <c r="D22" i="123"/>
  <c r="D24" i="123"/>
  <c r="D26" i="123"/>
  <c r="D28" i="123"/>
  <c r="D30" i="123"/>
  <c r="D32" i="123"/>
  <c r="D14" i="123"/>
  <c r="D65" i="123"/>
  <c r="D12" i="123"/>
  <c r="D18" i="123"/>
  <c r="H65" i="123"/>
  <c r="D80" i="123"/>
  <c r="D103" i="123"/>
  <c r="D10" i="123"/>
  <c r="H34" i="123"/>
  <c r="H80" i="123"/>
  <c r="D8" i="123"/>
  <c r="D16" i="123"/>
  <c r="H19" i="123"/>
  <c r="D7" i="123"/>
  <c r="D9" i="123"/>
  <c r="D11" i="123"/>
  <c r="D13" i="123"/>
  <c r="D15" i="123"/>
  <c r="H49" i="123"/>
  <c r="D49" i="123"/>
  <c r="G49" i="122"/>
  <c r="H45" i="122"/>
  <c r="H43" i="122"/>
  <c r="F112" i="122"/>
  <c r="D32" i="122" s="1"/>
  <c r="F111" i="122"/>
  <c r="D17" i="122" s="1"/>
  <c r="C103" i="122"/>
  <c r="D102" i="122"/>
  <c r="D101" i="122"/>
  <c r="D100" i="122"/>
  <c r="D99" i="122"/>
  <c r="D98" i="122"/>
  <c r="D97" i="122"/>
  <c r="D96" i="122"/>
  <c r="D87" i="122"/>
  <c r="D86" i="122"/>
  <c r="D85" i="122"/>
  <c r="D84" i="122"/>
  <c r="D83" i="122"/>
  <c r="D90" i="122" s="1"/>
  <c r="G80" i="122"/>
  <c r="C80" i="122"/>
  <c r="H79" i="122"/>
  <c r="D79" i="122"/>
  <c r="H78" i="122"/>
  <c r="D78" i="122"/>
  <c r="H77" i="122"/>
  <c r="D77" i="122"/>
  <c r="H76" i="122"/>
  <c r="D76" i="122"/>
  <c r="H75" i="122"/>
  <c r="D75" i="122"/>
  <c r="H74" i="122"/>
  <c r="D74" i="122"/>
  <c r="H73" i="122"/>
  <c r="D73" i="122"/>
  <c r="H72" i="122"/>
  <c r="D72" i="122"/>
  <c r="H71" i="122"/>
  <c r="D71" i="122"/>
  <c r="H70" i="122"/>
  <c r="D70" i="122"/>
  <c r="H69" i="122"/>
  <c r="D69" i="122"/>
  <c r="H68" i="122"/>
  <c r="D68" i="122"/>
  <c r="C65" i="122"/>
  <c r="H64" i="122"/>
  <c r="D64" i="122"/>
  <c r="H63" i="122"/>
  <c r="D63" i="122"/>
  <c r="H62" i="122"/>
  <c r="D62" i="122"/>
  <c r="H61" i="122"/>
  <c r="D61" i="122"/>
  <c r="H60" i="122"/>
  <c r="D60" i="122"/>
  <c r="H59" i="122"/>
  <c r="D59" i="122"/>
  <c r="H58" i="122"/>
  <c r="D58" i="122"/>
  <c r="H57" i="122"/>
  <c r="D57" i="122"/>
  <c r="H56" i="122"/>
  <c r="D56" i="122"/>
  <c r="H55" i="122"/>
  <c r="D55" i="122"/>
  <c r="H54" i="122"/>
  <c r="D54" i="122"/>
  <c r="H53" i="122"/>
  <c r="D53" i="122"/>
  <c r="C49" i="122"/>
  <c r="H48" i="122"/>
  <c r="D48" i="122"/>
  <c r="H47" i="122"/>
  <c r="D47" i="122"/>
  <c r="H46" i="122"/>
  <c r="D46" i="122"/>
  <c r="D45" i="122"/>
  <c r="H44" i="122"/>
  <c r="D44" i="122"/>
  <c r="D43" i="122"/>
  <c r="H42" i="122"/>
  <c r="D42" i="122"/>
  <c r="H41" i="122"/>
  <c r="D41" i="122"/>
  <c r="H40" i="122"/>
  <c r="D40" i="122"/>
  <c r="H39" i="122"/>
  <c r="D39" i="122"/>
  <c r="H38" i="122"/>
  <c r="D38" i="122"/>
  <c r="H37" i="122"/>
  <c r="D37" i="122"/>
  <c r="C34" i="122"/>
  <c r="H33" i="122"/>
  <c r="H32" i="122"/>
  <c r="H31" i="122"/>
  <c r="H30" i="122"/>
  <c r="H29" i="122"/>
  <c r="H28" i="122"/>
  <c r="H27" i="122"/>
  <c r="H26" i="122"/>
  <c r="H25" i="122"/>
  <c r="H24" i="122"/>
  <c r="H23" i="122"/>
  <c r="H22" i="122"/>
  <c r="G19" i="122"/>
  <c r="C19" i="122"/>
  <c r="H18" i="122"/>
  <c r="H17" i="122"/>
  <c r="H16" i="122"/>
  <c r="H15" i="122"/>
  <c r="H14" i="122"/>
  <c r="H13" i="122"/>
  <c r="H12" i="122"/>
  <c r="H11" i="122"/>
  <c r="H10" i="122"/>
  <c r="H9" i="122"/>
  <c r="H8" i="122"/>
  <c r="H7" i="122"/>
  <c r="D34" i="123" l="1"/>
  <c r="D19" i="123"/>
  <c r="D18" i="122"/>
  <c r="D10" i="122"/>
  <c r="D8" i="122"/>
  <c r="D16" i="122"/>
  <c r="D14" i="122"/>
  <c r="D12" i="122"/>
  <c r="D7" i="122"/>
  <c r="D9" i="122"/>
  <c r="D11" i="122"/>
  <c r="D13" i="122"/>
  <c r="D15" i="122"/>
  <c r="D65" i="122"/>
  <c r="H65" i="122"/>
  <c r="D80" i="122"/>
  <c r="D103" i="122"/>
  <c r="D23" i="122"/>
  <c r="D25" i="122"/>
  <c r="D27" i="122"/>
  <c r="D29" i="122"/>
  <c r="D31" i="122"/>
  <c r="D33" i="122"/>
  <c r="D22" i="122"/>
  <c r="D24" i="122"/>
  <c r="D26" i="122"/>
  <c r="D28" i="122"/>
  <c r="D30" i="122"/>
  <c r="H80" i="122"/>
  <c r="H49" i="122"/>
  <c r="D49" i="122"/>
  <c r="H34" i="122"/>
  <c r="H19" i="122"/>
  <c r="F112" i="121"/>
  <c r="D33" i="121" s="1"/>
  <c r="F111" i="121"/>
  <c r="D17" i="121" s="1"/>
  <c r="C103" i="121"/>
  <c r="D102" i="121"/>
  <c r="D101" i="121"/>
  <c r="D100" i="121"/>
  <c r="D99" i="121"/>
  <c r="D98" i="121"/>
  <c r="D97" i="121"/>
  <c r="D96" i="121"/>
  <c r="D87" i="121"/>
  <c r="D86" i="121"/>
  <c r="D85" i="121"/>
  <c r="D84" i="121"/>
  <c r="D83" i="121"/>
  <c r="D90" i="121" s="1"/>
  <c r="G80" i="121"/>
  <c r="C80" i="121"/>
  <c r="H79" i="121"/>
  <c r="D79" i="121"/>
  <c r="H78" i="121"/>
  <c r="D78" i="121"/>
  <c r="H77" i="121"/>
  <c r="D77" i="121"/>
  <c r="H76" i="121"/>
  <c r="D76" i="121"/>
  <c r="H75" i="121"/>
  <c r="D75" i="121"/>
  <c r="H74" i="121"/>
  <c r="D74" i="121"/>
  <c r="H73" i="121"/>
  <c r="D73" i="121"/>
  <c r="H72" i="121"/>
  <c r="D72" i="121"/>
  <c r="H71" i="121"/>
  <c r="D71" i="121"/>
  <c r="H70" i="121"/>
  <c r="D70" i="121"/>
  <c r="H69" i="121"/>
  <c r="D69" i="121"/>
  <c r="H68" i="121"/>
  <c r="D68" i="121"/>
  <c r="C65" i="121"/>
  <c r="H64" i="121"/>
  <c r="D64" i="121"/>
  <c r="H63" i="121"/>
  <c r="D63" i="121"/>
  <c r="H62" i="121"/>
  <c r="D62" i="121"/>
  <c r="H61" i="121"/>
  <c r="D61" i="121"/>
  <c r="H60" i="121"/>
  <c r="D60" i="121"/>
  <c r="H59" i="121"/>
  <c r="D59" i="121"/>
  <c r="H58" i="121"/>
  <c r="D58" i="121"/>
  <c r="H57" i="121"/>
  <c r="D57" i="121"/>
  <c r="H56" i="121"/>
  <c r="D56" i="121"/>
  <c r="H55" i="121"/>
  <c r="D55" i="121"/>
  <c r="H54" i="121"/>
  <c r="D54" i="121"/>
  <c r="H53" i="121"/>
  <c r="D53" i="121"/>
  <c r="G49" i="121"/>
  <c r="C49" i="121"/>
  <c r="H48" i="121"/>
  <c r="D48" i="121"/>
  <c r="H47" i="121"/>
  <c r="D47" i="121"/>
  <c r="H46" i="121"/>
  <c r="D46" i="121"/>
  <c r="H45" i="121"/>
  <c r="D45" i="121"/>
  <c r="H44" i="121"/>
  <c r="D44" i="121"/>
  <c r="H43" i="121"/>
  <c r="D43" i="121"/>
  <c r="H42" i="121"/>
  <c r="D42" i="121"/>
  <c r="H41" i="121"/>
  <c r="D41" i="121"/>
  <c r="H40" i="121"/>
  <c r="D40" i="121"/>
  <c r="H39" i="121"/>
  <c r="D39" i="121"/>
  <c r="H38" i="121"/>
  <c r="D38" i="121"/>
  <c r="H37" i="121"/>
  <c r="D37" i="121"/>
  <c r="C34" i="121"/>
  <c r="H33" i="121"/>
  <c r="H32" i="121"/>
  <c r="H31" i="121"/>
  <c r="H30" i="121"/>
  <c r="H29" i="121"/>
  <c r="H28" i="121"/>
  <c r="H27" i="121"/>
  <c r="H26" i="121"/>
  <c r="H25" i="121"/>
  <c r="H24" i="121"/>
  <c r="H23" i="121"/>
  <c r="H22" i="121"/>
  <c r="G19" i="121"/>
  <c r="C19" i="121"/>
  <c r="H18" i="121"/>
  <c r="H17" i="121"/>
  <c r="H16" i="121"/>
  <c r="H15" i="121"/>
  <c r="H14" i="121"/>
  <c r="H13" i="121"/>
  <c r="H12" i="121"/>
  <c r="H11" i="121"/>
  <c r="H10" i="121"/>
  <c r="H9" i="121"/>
  <c r="H8" i="121"/>
  <c r="H7" i="121"/>
  <c r="D10" i="121" l="1"/>
  <c r="D8" i="121"/>
  <c r="D16" i="121"/>
  <c r="D26" i="121"/>
  <c r="D28" i="121"/>
  <c r="D14" i="121"/>
  <c r="D12" i="121"/>
  <c r="H80" i="121"/>
  <c r="D18" i="121"/>
  <c r="D19" i="122"/>
  <c r="D34" i="122"/>
  <c r="D24" i="121"/>
  <c r="D32" i="121"/>
  <c r="D22" i="121"/>
  <c r="D30" i="121"/>
  <c r="D80" i="121"/>
  <c r="D103" i="121"/>
  <c r="H19" i="121"/>
  <c r="D7" i="121"/>
  <c r="D9" i="121"/>
  <c r="D11" i="121"/>
  <c r="D13" i="121"/>
  <c r="D15" i="121"/>
  <c r="D23" i="121"/>
  <c r="D25" i="121"/>
  <c r="D27" i="121"/>
  <c r="D29" i="121"/>
  <c r="D31" i="121"/>
  <c r="H49" i="121"/>
  <c r="D65" i="121"/>
  <c r="H65" i="121"/>
  <c r="D49" i="121"/>
  <c r="H34" i="121"/>
  <c r="F112" i="120"/>
  <c r="D32" i="120" s="1"/>
  <c r="F111" i="120"/>
  <c r="D17" i="120" s="1"/>
  <c r="C103" i="120"/>
  <c r="D102" i="120"/>
  <c r="D101" i="120"/>
  <c r="D100" i="120"/>
  <c r="D99" i="120"/>
  <c r="D98" i="120"/>
  <c r="D97" i="120"/>
  <c r="D96" i="120"/>
  <c r="D87" i="120"/>
  <c r="D86" i="120"/>
  <c r="D85" i="120"/>
  <c r="D84" i="120"/>
  <c r="D83" i="120"/>
  <c r="D90" i="120" s="1"/>
  <c r="G80" i="120"/>
  <c r="C80" i="120"/>
  <c r="H79" i="120"/>
  <c r="D79" i="120"/>
  <c r="H78" i="120"/>
  <c r="D78" i="120"/>
  <c r="H77" i="120"/>
  <c r="D77" i="120"/>
  <c r="H76" i="120"/>
  <c r="D76" i="120"/>
  <c r="H75" i="120"/>
  <c r="D75" i="120"/>
  <c r="H74" i="120"/>
  <c r="D74" i="120"/>
  <c r="H73" i="120"/>
  <c r="D73" i="120"/>
  <c r="H72" i="120"/>
  <c r="D72" i="120"/>
  <c r="H71" i="120"/>
  <c r="D71" i="120"/>
  <c r="H70" i="120"/>
  <c r="D70" i="120"/>
  <c r="H69" i="120"/>
  <c r="D69" i="120"/>
  <c r="H68" i="120"/>
  <c r="D68" i="120"/>
  <c r="G65" i="120"/>
  <c r="C65" i="120"/>
  <c r="H64" i="120"/>
  <c r="D64" i="120"/>
  <c r="H63" i="120"/>
  <c r="D63" i="120"/>
  <c r="H62" i="120"/>
  <c r="D62" i="120"/>
  <c r="H61" i="120"/>
  <c r="D61" i="120"/>
  <c r="H60" i="120"/>
  <c r="D60" i="120"/>
  <c r="H59" i="120"/>
  <c r="D59" i="120"/>
  <c r="H58" i="120"/>
  <c r="D58" i="120"/>
  <c r="H57" i="120"/>
  <c r="D57" i="120"/>
  <c r="H56" i="120"/>
  <c r="D56" i="120"/>
  <c r="H55" i="120"/>
  <c r="D55" i="120"/>
  <c r="H54" i="120"/>
  <c r="D54" i="120"/>
  <c r="H53" i="120"/>
  <c r="D53" i="120"/>
  <c r="G49" i="120"/>
  <c r="C49" i="120"/>
  <c r="H48" i="120"/>
  <c r="D48" i="120"/>
  <c r="H47" i="120"/>
  <c r="D47" i="120"/>
  <c r="H46" i="120"/>
  <c r="D46" i="120"/>
  <c r="H45" i="120"/>
  <c r="D45" i="120"/>
  <c r="H44" i="120"/>
  <c r="D44" i="120"/>
  <c r="H43" i="120"/>
  <c r="D43" i="120"/>
  <c r="H42" i="120"/>
  <c r="D42" i="120"/>
  <c r="H41" i="120"/>
  <c r="D41" i="120"/>
  <c r="H40" i="120"/>
  <c r="D40" i="120"/>
  <c r="H39" i="120"/>
  <c r="D39" i="120"/>
  <c r="H38" i="120"/>
  <c r="D38" i="120"/>
  <c r="H37" i="120"/>
  <c r="D37" i="120"/>
  <c r="H33" i="120"/>
  <c r="H32" i="120"/>
  <c r="H31" i="120"/>
  <c r="H30" i="120"/>
  <c r="H29" i="120"/>
  <c r="H28" i="120"/>
  <c r="H27" i="120"/>
  <c r="H26" i="120"/>
  <c r="H25" i="120"/>
  <c r="H24" i="120"/>
  <c r="H23" i="120"/>
  <c r="H22" i="120"/>
  <c r="G19" i="120"/>
  <c r="C19" i="120"/>
  <c r="H18" i="120"/>
  <c r="H17" i="120"/>
  <c r="H16" i="120"/>
  <c r="H15" i="120"/>
  <c r="H14" i="120"/>
  <c r="H13" i="120"/>
  <c r="H12" i="120"/>
  <c r="H11" i="120"/>
  <c r="H10" i="120"/>
  <c r="H9" i="120"/>
  <c r="H8" i="120"/>
  <c r="H7" i="120"/>
  <c r="D10" i="120" l="1"/>
  <c r="D8" i="120"/>
  <c r="D15" i="120"/>
  <c r="D34" i="121"/>
  <c r="D19" i="121"/>
  <c r="H65" i="120"/>
  <c r="D49" i="120"/>
  <c r="D80" i="120"/>
  <c r="D103" i="120"/>
  <c r="H34" i="120"/>
  <c r="D23" i="120"/>
  <c r="D25" i="120"/>
  <c r="D27" i="120"/>
  <c r="D29" i="120"/>
  <c r="D31" i="120"/>
  <c r="D33" i="120"/>
  <c r="D22" i="120"/>
  <c r="D24" i="120"/>
  <c r="D26" i="120"/>
  <c r="D28" i="120"/>
  <c r="D30" i="120"/>
  <c r="D13" i="120"/>
  <c r="H49" i="120"/>
  <c r="D7" i="120"/>
  <c r="D9" i="120"/>
  <c r="D11" i="120"/>
  <c r="D65" i="120"/>
  <c r="D12" i="120"/>
  <c r="D14" i="120"/>
  <c r="D16" i="120"/>
  <c r="D18" i="120"/>
  <c r="H80" i="120"/>
  <c r="H19" i="120"/>
  <c r="F112" i="119"/>
  <c r="D33" i="119" s="1"/>
  <c r="F111" i="119"/>
  <c r="D17" i="119" s="1"/>
  <c r="C103" i="119"/>
  <c r="D102" i="119"/>
  <c r="D101" i="119"/>
  <c r="D100" i="119"/>
  <c r="D99" i="119"/>
  <c r="D98" i="119"/>
  <c r="D97" i="119"/>
  <c r="D96" i="119"/>
  <c r="D87" i="119"/>
  <c r="D86" i="119"/>
  <c r="D85" i="119"/>
  <c r="D84" i="119"/>
  <c r="D83" i="119"/>
  <c r="D90" i="119" s="1"/>
  <c r="G80" i="119"/>
  <c r="C80" i="119"/>
  <c r="H79" i="119"/>
  <c r="D79" i="119"/>
  <c r="H78" i="119"/>
  <c r="D78" i="119"/>
  <c r="H77" i="119"/>
  <c r="D77" i="119"/>
  <c r="H76" i="119"/>
  <c r="D76" i="119"/>
  <c r="H75" i="119"/>
  <c r="D75" i="119"/>
  <c r="H74" i="119"/>
  <c r="D74" i="119"/>
  <c r="H73" i="119"/>
  <c r="D73" i="119"/>
  <c r="H72" i="119"/>
  <c r="D72" i="119"/>
  <c r="H71" i="119"/>
  <c r="D71" i="119"/>
  <c r="H70" i="119"/>
  <c r="D70" i="119"/>
  <c r="H69" i="119"/>
  <c r="D69" i="119"/>
  <c r="H68" i="119"/>
  <c r="D68" i="119"/>
  <c r="C65" i="119"/>
  <c r="H64" i="119"/>
  <c r="D64" i="119"/>
  <c r="H63" i="119"/>
  <c r="D63" i="119"/>
  <c r="H62" i="119"/>
  <c r="D62" i="119"/>
  <c r="H61" i="119"/>
  <c r="D61" i="119"/>
  <c r="H60" i="119"/>
  <c r="D60" i="119"/>
  <c r="H59" i="119"/>
  <c r="D59" i="119"/>
  <c r="H58" i="119"/>
  <c r="D58" i="119"/>
  <c r="H57" i="119"/>
  <c r="D57" i="119"/>
  <c r="H56" i="119"/>
  <c r="D56" i="119"/>
  <c r="H55" i="119"/>
  <c r="D55" i="119"/>
  <c r="H54" i="119"/>
  <c r="D54" i="119"/>
  <c r="H53" i="119"/>
  <c r="D53" i="119"/>
  <c r="G49" i="119"/>
  <c r="C49" i="119"/>
  <c r="H48" i="119"/>
  <c r="D48" i="119"/>
  <c r="H47" i="119"/>
  <c r="D47" i="119"/>
  <c r="H46" i="119"/>
  <c r="D46" i="119"/>
  <c r="H45" i="119"/>
  <c r="D45" i="119"/>
  <c r="H44" i="119"/>
  <c r="D44" i="119"/>
  <c r="H43" i="119"/>
  <c r="D43" i="119"/>
  <c r="H42" i="119"/>
  <c r="D42" i="119"/>
  <c r="H41" i="119"/>
  <c r="D41" i="119"/>
  <c r="H40" i="119"/>
  <c r="D40" i="119"/>
  <c r="H39" i="119"/>
  <c r="D39" i="119"/>
  <c r="H38" i="119"/>
  <c r="D38" i="119"/>
  <c r="H37" i="119"/>
  <c r="D37" i="119"/>
  <c r="C34" i="119"/>
  <c r="H33" i="119"/>
  <c r="H32" i="119"/>
  <c r="H31" i="119"/>
  <c r="H30" i="119"/>
  <c r="H29" i="119"/>
  <c r="H28" i="119"/>
  <c r="H27" i="119"/>
  <c r="H26" i="119"/>
  <c r="H25" i="119"/>
  <c r="H24" i="119"/>
  <c r="H23" i="119"/>
  <c r="H22" i="119"/>
  <c r="G19" i="119"/>
  <c r="C19" i="119"/>
  <c r="H18" i="119"/>
  <c r="H17" i="119"/>
  <c r="H16" i="119"/>
  <c r="H15" i="119"/>
  <c r="H14" i="119"/>
  <c r="H13" i="119"/>
  <c r="H12" i="119"/>
  <c r="H11" i="119"/>
  <c r="H10" i="119"/>
  <c r="H9" i="119"/>
  <c r="H8" i="119"/>
  <c r="H7" i="119"/>
  <c r="D19" i="120" l="1"/>
  <c r="H49" i="119"/>
  <c r="D11" i="119"/>
  <c r="D9" i="119"/>
  <c r="D15" i="119"/>
  <c r="D18" i="119"/>
  <c r="D7" i="119"/>
  <c r="D13" i="119"/>
  <c r="D49" i="119"/>
  <c r="D8" i="119"/>
  <c r="D10" i="119"/>
  <c r="D12" i="119"/>
  <c r="D14" i="119"/>
  <c r="D16" i="119"/>
  <c r="H80" i="119"/>
  <c r="D80" i="119"/>
  <c r="D34" i="120"/>
  <c r="D65" i="119"/>
  <c r="D103" i="119"/>
  <c r="H65" i="119"/>
  <c r="H34" i="119"/>
  <c r="H19" i="119"/>
  <c r="D22" i="119"/>
  <c r="D24" i="119"/>
  <c r="D26" i="119"/>
  <c r="D28" i="119"/>
  <c r="D30" i="119"/>
  <c r="D32" i="119"/>
  <c r="D23" i="119"/>
  <c r="D25" i="119"/>
  <c r="D27" i="119"/>
  <c r="D29" i="119"/>
  <c r="D31" i="119"/>
  <c r="F112" i="118"/>
  <c r="D26" i="118" s="1"/>
  <c r="F111" i="118"/>
  <c r="D18" i="118" s="1"/>
  <c r="C103" i="118"/>
  <c r="D102" i="118"/>
  <c r="D101" i="118"/>
  <c r="D100" i="118"/>
  <c r="D99" i="118"/>
  <c r="D98" i="118"/>
  <c r="D97" i="118"/>
  <c r="D96" i="118"/>
  <c r="D87" i="118"/>
  <c r="D86" i="118"/>
  <c r="D85" i="118"/>
  <c r="D84" i="118"/>
  <c r="D83" i="118"/>
  <c r="D90" i="118" s="1"/>
  <c r="G80" i="118"/>
  <c r="C80" i="118"/>
  <c r="H79" i="118"/>
  <c r="D79" i="118"/>
  <c r="H78" i="118"/>
  <c r="D78" i="118"/>
  <c r="H77" i="118"/>
  <c r="D77" i="118"/>
  <c r="H76" i="118"/>
  <c r="D76" i="118"/>
  <c r="H75" i="118"/>
  <c r="D75" i="118"/>
  <c r="H74" i="118"/>
  <c r="D74" i="118"/>
  <c r="H73" i="118"/>
  <c r="D73" i="118"/>
  <c r="H72" i="118"/>
  <c r="D72" i="118"/>
  <c r="H71" i="118"/>
  <c r="D71" i="118"/>
  <c r="H70" i="118"/>
  <c r="D70" i="118"/>
  <c r="H69" i="118"/>
  <c r="D69" i="118"/>
  <c r="H68" i="118"/>
  <c r="D68" i="118"/>
  <c r="G65" i="118"/>
  <c r="C65" i="118"/>
  <c r="H64" i="118"/>
  <c r="D64" i="118"/>
  <c r="H63" i="118"/>
  <c r="D63" i="118"/>
  <c r="H62" i="118"/>
  <c r="D62" i="118"/>
  <c r="H61" i="118"/>
  <c r="D61" i="118"/>
  <c r="H60" i="118"/>
  <c r="D60" i="118"/>
  <c r="H59" i="118"/>
  <c r="D59" i="118"/>
  <c r="H58" i="118"/>
  <c r="D58" i="118"/>
  <c r="H57" i="118"/>
  <c r="D57" i="118"/>
  <c r="H56" i="118"/>
  <c r="D56" i="118"/>
  <c r="H55" i="118"/>
  <c r="D55" i="118"/>
  <c r="H54" i="118"/>
  <c r="D54" i="118"/>
  <c r="H53" i="118"/>
  <c r="D53" i="118"/>
  <c r="G49" i="118"/>
  <c r="C49" i="118"/>
  <c r="H48" i="118"/>
  <c r="D48" i="118"/>
  <c r="H47" i="118"/>
  <c r="D47" i="118"/>
  <c r="H46" i="118"/>
  <c r="D46" i="118"/>
  <c r="H45" i="118"/>
  <c r="D45" i="118"/>
  <c r="H44" i="118"/>
  <c r="D44" i="118"/>
  <c r="H43" i="118"/>
  <c r="D43" i="118"/>
  <c r="H42" i="118"/>
  <c r="D42" i="118"/>
  <c r="H41" i="118"/>
  <c r="D41" i="118"/>
  <c r="H40" i="118"/>
  <c r="D40" i="118"/>
  <c r="H39" i="118"/>
  <c r="D39" i="118"/>
  <c r="H38" i="118"/>
  <c r="D38" i="118"/>
  <c r="H37" i="118"/>
  <c r="D37" i="118"/>
  <c r="C34" i="118"/>
  <c r="H33" i="118"/>
  <c r="H32" i="118"/>
  <c r="H31" i="118"/>
  <c r="H30" i="118"/>
  <c r="H29" i="118"/>
  <c r="H28" i="118"/>
  <c r="H27" i="118"/>
  <c r="H26" i="118"/>
  <c r="H25" i="118"/>
  <c r="H24" i="118"/>
  <c r="H23" i="118"/>
  <c r="H22" i="118"/>
  <c r="G19" i="118"/>
  <c r="C19" i="118"/>
  <c r="H18" i="118"/>
  <c r="H17" i="118"/>
  <c r="H16" i="118"/>
  <c r="H15" i="118"/>
  <c r="H14" i="118"/>
  <c r="H13" i="118"/>
  <c r="H12" i="118"/>
  <c r="H11" i="118"/>
  <c r="H10" i="118"/>
  <c r="H9" i="118"/>
  <c r="H8" i="118"/>
  <c r="H7" i="118"/>
  <c r="D17" i="118" l="1"/>
  <c r="H65" i="118"/>
  <c r="D33" i="118"/>
  <c r="D27" i="118"/>
  <c r="D25" i="118"/>
  <c r="D19" i="119"/>
  <c r="D11" i="118"/>
  <c r="D9" i="118"/>
  <c r="D34" i="119"/>
  <c r="D49" i="118"/>
  <c r="D80" i="118"/>
  <c r="D103" i="118"/>
  <c r="D23" i="118"/>
  <c r="D31" i="118"/>
  <c r="D29" i="118"/>
  <c r="D7" i="118"/>
  <c r="D15" i="118"/>
  <c r="H80" i="118"/>
  <c r="D13" i="118"/>
  <c r="D65" i="118"/>
  <c r="D8" i="118"/>
  <c r="D10" i="118"/>
  <c r="D12" i="118"/>
  <c r="D14" i="118"/>
  <c r="D16" i="118"/>
  <c r="D22" i="118"/>
  <c r="D24" i="118"/>
  <c r="D28" i="118"/>
  <c r="D30" i="118"/>
  <c r="D32" i="118"/>
  <c r="H49" i="118"/>
  <c r="H34" i="118"/>
  <c r="H19" i="118"/>
  <c r="F112" i="117"/>
  <c r="D33" i="117" s="1"/>
  <c r="F111" i="117"/>
  <c r="D17" i="117" s="1"/>
  <c r="C103" i="117"/>
  <c r="D102" i="117"/>
  <c r="D101" i="117"/>
  <c r="D100" i="117"/>
  <c r="D99" i="117"/>
  <c r="D98" i="117"/>
  <c r="D97" i="117"/>
  <c r="D96" i="117"/>
  <c r="D87" i="117"/>
  <c r="D86" i="117"/>
  <c r="D85" i="117"/>
  <c r="D84" i="117"/>
  <c r="D83" i="117"/>
  <c r="D90" i="117" s="1"/>
  <c r="G80" i="117"/>
  <c r="C80" i="117"/>
  <c r="H79" i="117"/>
  <c r="D79" i="117"/>
  <c r="H78" i="117"/>
  <c r="D78" i="117"/>
  <c r="H77" i="117"/>
  <c r="D77" i="117"/>
  <c r="H76" i="117"/>
  <c r="D76" i="117"/>
  <c r="H75" i="117"/>
  <c r="D75" i="117"/>
  <c r="H74" i="117"/>
  <c r="D74" i="117"/>
  <c r="H73" i="117"/>
  <c r="D73" i="117"/>
  <c r="H72" i="117"/>
  <c r="D72" i="117"/>
  <c r="H71" i="117"/>
  <c r="D71" i="117"/>
  <c r="H70" i="117"/>
  <c r="D70" i="117"/>
  <c r="H69" i="117"/>
  <c r="D69" i="117"/>
  <c r="H68" i="117"/>
  <c r="D68" i="117"/>
  <c r="G65" i="117"/>
  <c r="C65" i="117"/>
  <c r="H64" i="117"/>
  <c r="D64" i="117"/>
  <c r="H63" i="117"/>
  <c r="D63" i="117"/>
  <c r="H62" i="117"/>
  <c r="D62" i="117"/>
  <c r="H61" i="117"/>
  <c r="D61" i="117"/>
  <c r="H60" i="117"/>
  <c r="D60" i="117"/>
  <c r="H59" i="117"/>
  <c r="D59" i="117"/>
  <c r="H58" i="117"/>
  <c r="D58" i="117"/>
  <c r="H57" i="117"/>
  <c r="D57" i="117"/>
  <c r="H56" i="117"/>
  <c r="D56" i="117"/>
  <c r="H55" i="117"/>
  <c r="D55" i="117"/>
  <c r="H54" i="117"/>
  <c r="D54" i="117"/>
  <c r="H53" i="117"/>
  <c r="D53" i="117"/>
  <c r="G49" i="117"/>
  <c r="C49" i="117"/>
  <c r="H48" i="117"/>
  <c r="D48" i="117"/>
  <c r="H47" i="117"/>
  <c r="D47" i="117"/>
  <c r="H46" i="117"/>
  <c r="D46" i="117"/>
  <c r="H45" i="117"/>
  <c r="D45" i="117"/>
  <c r="H44" i="117"/>
  <c r="D44" i="117"/>
  <c r="H43" i="117"/>
  <c r="D43" i="117"/>
  <c r="H42" i="117"/>
  <c r="D42" i="117"/>
  <c r="H41" i="117"/>
  <c r="D41" i="117"/>
  <c r="H40" i="117"/>
  <c r="D40" i="117"/>
  <c r="H39" i="117"/>
  <c r="D39" i="117"/>
  <c r="H38" i="117"/>
  <c r="D38" i="117"/>
  <c r="H37" i="117"/>
  <c r="D37" i="117"/>
  <c r="C34" i="117"/>
  <c r="H33" i="117"/>
  <c r="H32" i="117"/>
  <c r="H31" i="117"/>
  <c r="H30" i="117"/>
  <c r="H29" i="117"/>
  <c r="H28" i="117"/>
  <c r="H27" i="117"/>
  <c r="H26" i="117"/>
  <c r="H25" i="117"/>
  <c r="H24" i="117"/>
  <c r="H23" i="117"/>
  <c r="H22" i="117"/>
  <c r="G19" i="117"/>
  <c r="C19" i="117"/>
  <c r="H18" i="117"/>
  <c r="H17" i="117"/>
  <c r="H16" i="117"/>
  <c r="H15" i="117"/>
  <c r="H14" i="117"/>
  <c r="H13" i="117"/>
  <c r="H12" i="117"/>
  <c r="H11" i="117"/>
  <c r="H10" i="117"/>
  <c r="H9" i="117"/>
  <c r="H8" i="117"/>
  <c r="H7" i="117"/>
  <c r="H80" i="117" l="1"/>
  <c r="D34" i="118"/>
  <c r="D19" i="118"/>
  <c r="H49" i="117"/>
  <c r="D12" i="117"/>
  <c r="D65" i="117"/>
  <c r="H65" i="117"/>
  <c r="D103" i="117"/>
  <c r="D8" i="117"/>
  <c r="D14" i="117"/>
  <c r="D10" i="117"/>
  <c r="D18" i="117"/>
  <c r="D16" i="117"/>
  <c r="D7" i="117"/>
  <c r="D9" i="117"/>
  <c r="D11" i="117"/>
  <c r="D13" i="117"/>
  <c r="D15" i="117"/>
  <c r="H19" i="117"/>
  <c r="D80" i="117"/>
  <c r="D49" i="117"/>
  <c r="H34" i="117"/>
  <c r="D22" i="117"/>
  <c r="D24" i="117"/>
  <c r="D26" i="117"/>
  <c r="D28" i="117"/>
  <c r="D30" i="117"/>
  <c r="D32" i="117"/>
  <c r="D23" i="117"/>
  <c r="D25" i="117"/>
  <c r="D27" i="117"/>
  <c r="D29" i="117"/>
  <c r="D31" i="117"/>
  <c r="F112" i="116"/>
  <c r="D33" i="116" s="1"/>
  <c r="F111" i="116"/>
  <c r="D18" i="116" s="1"/>
  <c r="C103" i="116"/>
  <c r="D102" i="116"/>
  <c r="D101" i="116"/>
  <c r="D100" i="116"/>
  <c r="D99" i="116"/>
  <c r="D98" i="116"/>
  <c r="D97" i="116"/>
  <c r="D96" i="116"/>
  <c r="D87" i="116"/>
  <c r="D86" i="116"/>
  <c r="D85" i="116"/>
  <c r="D84" i="116"/>
  <c r="D83" i="116"/>
  <c r="D90" i="116" s="1"/>
  <c r="G80" i="116"/>
  <c r="C80" i="116"/>
  <c r="H79" i="116"/>
  <c r="D79" i="116"/>
  <c r="H78" i="116"/>
  <c r="D78" i="116"/>
  <c r="H77" i="116"/>
  <c r="D77" i="116"/>
  <c r="H76" i="116"/>
  <c r="D76" i="116"/>
  <c r="H75" i="116"/>
  <c r="D75" i="116"/>
  <c r="H74" i="116"/>
  <c r="D74" i="116"/>
  <c r="H73" i="116"/>
  <c r="D73" i="116"/>
  <c r="H72" i="116"/>
  <c r="D72" i="116"/>
  <c r="H71" i="116"/>
  <c r="D71" i="116"/>
  <c r="H70" i="116"/>
  <c r="D70" i="116"/>
  <c r="H69" i="116"/>
  <c r="D69" i="116"/>
  <c r="H68" i="116"/>
  <c r="D68" i="116"/>
  <c r="G65" i="116"/>
  <c r="C65" i="116"/>
  <c r="H64" i="116"/>
  <c r="D64" i="116"/>
  <c r="H63" i="116"/>
  <c r="D63" i="116"/>
  <c r="H62" i="116"/>
  <c r="D62" i="116"/>
  <c r="H61" i="116"/>
  <c r="D61" i="116"/>
  <c r="H60" i="116"/>
  <c r="D60" i="116"/>
  <c r="H59" i="116"/>
  <c r="D59" i="116"/>
  <c r="H58" i="116"/>
  <c r="D58" i="116"/>
  <c r="H57" i="116"/>
  <c r="D57" i="116"/>
  <c r="H56" i="116"/>
  <c r="D56" i="116"/>
  <c r="H55" i="116"/>
  <c r="D55" i="116"/>
  <c r="H54" i="116"/>
  <c r="D54" i="116"/>
  <c r="H53" i="116"/>
  <c r="D53" i="116"/>
  <c r="G49" i="116"/>
  <c r="C49" i="116"/>
  <c r="H48" i="116"/>
  <c r="D48" i="116"/>
  <c r="H47" i="116"/>
  <c r="D47" i="116"/>
  <c r="H46" i="116"/>
  <c r="D46" i="116"/>
  <c r="H45" i="116"/>
  <c r="D45" i="116"/>
  <c r="H44" i="116"/>
  <c r="D44" i="116"/>
  <c r="H43" i="116"/>
  <c r="D43" i="116"/>
  <c r="H42" i="116"/>
  <c r="D42" i="116"/>
  <c r="H41" i="116"/>
  <c r="D41" i="116"/>
  <c r="H40" i="116"/>
  <c r="D40" i="116"/>
  <c r="H39" i="116"/>
  <c r="D39" i="116"/>
  <c r="H38" i="116"/>
  <c r="D38" i="116"/>
  <c r="H37" i="116"/>
  <c r="D37" i="116"/>
  <c r="C34" i="116"/>
  <c r="H33" i="116"/>
  <c r="H32" i="116"/>
  <c r="H31" i="116"/>
  <c r="H30" i="116"/>
  <c r="H29" i="116"/>
  <c r="H28" i="116"/>
  <c r="H27" i="116"/>
  <c r="H26" i="116"/>
  <c r="H25" i="116"/>
  <c r="H24" i="116"/>
  <c r="H23" i="116"/>
  <c r="H22" i="116"/>
  <c r="G19" i="116"/>
  <c r="C19" i="116"/>
  <c r="H18" i="116"/>
  <c r="H17" i="116"/>
  <c r="H16" i="116"/>
  <c r="H15" i="116"/>
  <c r="H14" i="116"/>
  <c r="H13" i="116"/>
  <c r="H12" i="116"/>
  <c r="H11" i="116"/>
  <c r="H10" i="116"/>
  <c r="H9" i="116"/>
  <c r="H8" i="116"/>
  <c r="H7" i="116"/>
  <c r="D22" i="116" l="1"/>
  <c r="D24" i="116"/>
  <c r="D26" i="116"/>
  <c r="D28" i="116"/>
  <c r="D30" i="116"/>
  <c r="D32" i="116"/>
  <c r="D23" i="116"/>
  <c r="D25" i="116"/>
  <c r="D27" i="116"/>
  <c r="D29" i="116"/>
  <c r="D31" i="116"/>
  <c r="H34" i="116"/>
  <c r="D49" i="116"/>
  <c r="D19" i="117"/>
  <c r="D34" i="117"/>
  <c r="D80" i="116"/>
  <c r="D65" i="116"/>
  <c r="H49" i="116"/>
  <c r="D10" i="116"/>
  <c r="D12" i="116"/>
  <c r="D14" i="116"/>
  <c r="D7" i="116"/>
  <c r="D9" i="116"/>
  <c r="D11" i="116"/>
  <c r="D13" i="116"/>
  <c r="D15" i="116"/>
  <c r="D8" i="116"/>
  <c r="H65" i="116"/>
  <c r="D103" i="116"/>
  <c r="D17" i="116"/>
  <c r="D16" i="116"/>
  <c r="H80" i="116"/>
  <c r="H19" i="116"/>
  <c r="F112" i="115"/>
  <c r="D33" i="115" s="1"/>
  <c r="F111" i="115"/>
  <c r="D18" i="115" s="1"/>
  <c r="C103" i="115"/>
  <c r="D102" i="115"/>
  <c r="D101" i="115"/>
  <c r="D100" i="115"/>
  <c r="D99" i="115"/>
  <c r="D98" i="115"/>
  <c r="D97" i="115"/>
  <c r="D96" i="115"/>
  <c r="D87" i="115"/>
  <c r="D86" i="115"/>
  <c r="D85" i="115"/>
  <c r="D84" i="115"/>
  <c r="D83" i="115"/>
  <c r="D90" i="115" s="1"/>
  <c r="G80" i="115"/>
  <c r="C80" i="115"/>
  <c r="H79" i="115"/>
  <c r="D79" i="115"/>
  <c r="H78" i="115"/>
  <c r="D78" i="115"/>
  <c r="H77" i="115"/>
  <c r="D77" i="115"/>
  <c r="H76" i="115"/>
  <c r="D76" i="115"/>
  <c r="H75" i="115"/>
  <c r="D75" i="115"/>
  <c r="H74" i="115"/>
  <c r="D74" i="115"/>
  <c r="H73" i="115"/>
  <c r="D73" i="115"/>
  <c r="H72" i="115"/>
  <c r="D72" i="115"/>
  <c r="H71" i="115"/>
  <c r="D71" i="115"/>
  <c r="H70" i="115"/>
  <c r="D70" i="115"/>
  <c r="H69" i="115"/>
  <c r="D69" i="115"/>
  <c r="H68" i="115"/>
  <c r="D68" i="115"/>
  <c r="G65" i="115"/>
  <c r="C65" i="115"/>
  <c r="H64" i="115"/>
  <c r="D64" i="115"/>
  <c r="H63" i="115"/>
  <c r="D63" i="115"/>
  <c r="H62" i="115"/>
  <c r="D62" i="115"/>
  <c r="H61" i="115"/>
  <c r="D61" i="115"/>
  <c r="H60" i="115"/>
  <c r="D60" i="115"/>
  <c r="H59" i="115"/>
  <c r="D59" i="115"/>
  <c r="H58" i="115"/>
  <c r="D58" i="115"/>
  <c r="H57" i="115"/>
  <c r="D57" i="115"/>
  <c r="H56" i="115"/>
  <c r="D56" i="115"/>
  <c r="H55" i="115"/>
  <c r="D55" i="115"/>
  <c r="H54" i="115"/>
  <c r="D54" i="115"/>
  <c r="H53" i="115"/>
  <c r="D53" i="115"/>
  <c r="G49" i="115"/>
  <c r="C49" i="115"/>
  <c r="H48" i="115"/>
  <c r="D48" i="115"/>
  <c r="H47" i="115"/>
  <c r="D47" i="115"/>
  <c r="H46" i="115"/>
  <c r="D46" i="115"/>
  <c r="H45" i="115"/>
  <c r="D45" i="115"/>
  <c r="H44" i="115"/>
  <c r="D44" i="115"/>
  <c r="H43" i="115"/>
  <c r="D43" i="115"/>
  <c r="H42" i="115"/>
  <c r="D42" i="115"/>
  <c r="H41" i="115"/>
  <c r="D41" i="115"/>
  <c r="H40" i="115"/>
  <c r="D40" i="115"/>
  <c r="H39" i="115"/>
  <c r="D39" i="115"/>
  <c r="H38" i="115"/>
  <c r="D38" i="115"/>
  <c r="H37" i="115"/>
  <c r="D37" i="115"/>
  <c r="C34" i="115"/>
  <c r="H33" i="115"/>
  <c r="H32" i="115"/>
  <c r="D32" i="115"/>
  <c r="H31" i="115"/>
  <c r="H30" i="115"/>
  <c r="H29" i="115"/>
  <c r="H28" i="115"/>
  <c r="H27" i="115"/>
  <c r="H26" i="115"/>
  <c r="H25" i="115"/>
  <c r="H24" i="115"/>
  <c r="H23" i="115"/>
  <c r="H22" i="115"/>
  <c r="G19" i="115"/>
  <c r="C19" i="115"/>
  <c r="H18" i="115"/>
  <c r="H17" i="115"/>
  <c r="H16" i="115"/>
  <c r="H15" i="115"/>
  <c r="H14" i="115"/>
  <c r="H13" i="115"/>
  <c r="H12" i="115"/>
  <c r="H11" i="115"/>
  <c r="H10" i="115"/>
  <c r="H9" i="115"/>
  <c r="H8" i="115"/>
  <c r="H7" i="115"/>
  <c r="D26" i="115" l="1"/>
  <c r="D28" i="115"/>
  <c r="D34" i="116"/>
  <c r="D24" i="115"/>
  <c r="D22" i="115"/>
  <c r="D30" i="115"/>
  <c r="D23" i="115"/>
  <c r="D25" i="115"/>
  <c r="D27" i="115"/>
  <c r="D29" i="115"/>
  <c r="D31" i="115"/>
  <c r="D80" i="115"/>
  <c r="D19" i="116"/>
  <c r="D103" i="115"/>
  <c r="D65" i="115"/>
  <c r="D49" i="115"/>
  <c r="D7" i="115"/>
  <c r="D9" i="115"/>
  <c r="D11" i="115"/>
  <c r="D13" i="115"/>
  <c r="D15" i="115"/>
  <c r="D17" i="115"/>
  <c r="D8" i="115"/>
  <c r="D10" i="115"/>
  <c r="D12" i="115"/>
  <c r="D14" i="115"/>
  <c r="D16" i="115"/>
  <c r="H80" i="115"/>
  <c r="H65" i="115"/>
  <c r="H49" i="115"/>
  <c r="H34" i="115"/>
  <c r="H19" i="115"/>
  <c r="F112" i="114"/>
  <c r="D25" i="114" s="1"/>
  <c r="F111" i="114"/>
  <c r="D17" i="114" s="1"/>
  <c r="C103" i="114"/>
  <c r="D102" i="114"/>
  <c r="D101" i="114"/>
  <c r="D100" i="114"/>
  <c r="D99" i="114"/>
  <c r="D98" i="114"/>
  <c r="D97" i="114"/>
  <c r="D96" i="114"/>
  <c r="D87" i="114"/>
  <c r="D86" i="114"/>
  <c r="D85" i="114"/>
  <c r="D84" i="114"/>
  <c r="D83" i="114"/>
  <c r="D90" i="114" s="1"/>
  <c r="G80" i="114"/>
  <c r="C80" i="114"/>
  <c r="H79" i="114"/>
  <c r="D79" i="114"/>
  <c r="H78" i="114"/>
  <c r="D78" i="114"/>
  <c r="H77" i="114"/>
  <c r="D77" i="114"/>
  <c r="H76" i="114"/>
  <c r="D76" i="114"/>
  <c r="H75" i="114"/>
  <c r="D75" i="114"/>
  <c r="H74" i="114"/>
  <c r="D74" i="114"/>
  <c r="H73" i="114"/>
  <c r="D73" i="114"/>
  <c r="H72" i="114"/>
  <c r="D72" i="114"/>
  <c r="H71" i="114"/>
  <c r="D71" i="114"/>
  <c r="H70" i="114"/>
  <c r="D70" i="114"/>
  <c r="H69" i="114"/>
  <c r="D69" i="114"/>
  <c r="H68" i="114"/>
  <c r="D68" i="114"/>
  <c r="G65" i="114"/>
  <c r="C65" i="114"/>
  <c r="H64" i="114"/>
  <c r="D64" i="114"/>
  <c r="H63" i="114"/>
  <c r="D63" i="114"/>
  <c r="H62" i="114"/>
  <c r="D62" i="114"/>
  <c r="H61" i="114"/>
  <c r="D61" i="114"/>
  <c r="H60" i="114"/>
  <c r="D60" i="114"/>
  <c r="H59" i="114"/>
  <c r="D59" i="114"/>
  <c r="H58" i="114"/>
  <c r="D58" i="114"/>
  <c r="H57" i="114"/>
  <c r="D57" i="114"/>
  <c r="H56" i="114"/>
  <c r="D56" i="114"/>
  <c r="H55" i="114"/>
  <c r="D55" i="114"/>
  <c r="H54" i="114"/>
  <c r="D54" i="114"/>
  <c r="H53" i="114"/>
  <c r="D53" i="114"/>
  <c r="G49" i="114"/>
  <c r="C49" i="114"/>
  <c r="H48" i="114"/>
  <c r="D48" i="114"/>
  <c r="H47" i="114"/>
  <c r="D47" i="114"/>
  <c r="H46" i="114"/>
  <c r="D46" i="114"/>
  <c r="H45" i="114"/>
  <c r="D45" i="114"/>
  <c r="H44" i="114"/>
  <c r="D44" i="114"/>
  <c r="H43" i="114"/>
  <c r="D43" i="114"/>
  <c r="H42" i="114"/>
  <c r="D42" i="114"/>
  <c r="H41" i="114"/>
  <c r="D41" i="114"/>
  <c r="H40" i="114"/>
  <c r="D40" i="114"/>
  <c r="H39" i="114"/>
  <c r="D39" i="114"/>
  <c r="H38" i="114"/>
  <c r="D38" i="114"/>
  <c r="H37" i="114"/>
  <c r="D37" i="114"/>
  <c r="G34" i="114"/>
  <c r="C34" i="114"/>
  <c r="H33" i="114"/>
  <c r="H32" i="114"/>
  <c r="H31" i="114"/>
  <c r="H30" i="114"/>
  <c r="H29" i="114"/>
  <c r="H28" i="114"/>
  <c r="H27" i="114"/>
  <c r="H26" i="114"/>
  <c r="H25" i="114"/>
  <c r="H24" i="114"/>
  <c r="H23" i="114"/>
  <c r="H22" i="114"/>
  <c r="G19" i="114"/>
  <c r="C19" i="114"/>
  <c r="H18" i="114"/>
  <c r="H17" i="114"/>
  <c r="H16" i="114"/>
  <c r="H15" i="114"/>
  <c r="H14" i="114"/>
  <c r="H13" i="114"/>
  <c r="H12" i="114"/>
  <c r="H11" i="114"/>
  <c r="H10" i="114"/>
  <c r="H9" i="114"/>
  <c r="H8" i="114"/>
  <c r="H7" i="114"/>
  <c r="D8" i="114" l="1"/>
  <c r="D16" i="114"/>
  <c r="D14" i="114"/>
  <c r="D12" i="114"/>
  <c r="D10" i="114"/>
  <c r="D18" i="114"/>
  <c r="D22" i="114"/>
  <c r="D34" i="115"/>
  <c r="D30" i="114"/>
  <c r="D24" i="114"/>
  <c r="D32" i="114"/>
  <c r="D28" i="114"/>
  <c r="H80" i="114"/>
  <c r="D26" i="114"/>
  <c r="D19" i="115"/>
  <c r="D65" i="114"/>
  <c r="H19" i="114"/>
  <c r="D7" i="114"/>
  <c r="D9" i="114"/>
  <c r="D11" i="114"/>
  <c r="D13" i="114"/>
  <c r="D15" i="114"/>
  <c r="H65" i="114"/>
  <c r="D49" i="114"/>
  <c r="D80" i="114"/>
  <c r="D103" i="114"/>
  <c r="H34" i="114"/>
  <c r="D23" i="114"/>
  <c r="D27" i="114"/>
  <c r="D29" i="114"/>
  <c r="D31" i="114"/>
  <c r="D33" i="114"/>
  <c r="H49" i="114"/>
  <c r="C103" i="113"/>
  <c r="D87" i="113"/>
  <c r="D86" i="113"/>
  <c r="D85" i="113"/>
  <c r="D84" i="113"/>
  <c r="D83" i="113"/>
  <c r="D90" i="113" s="1"/>
  <c r="G80" i="113"/>
  <c r="C80" i="113"/>
  <c r="G65" i="113"/>
  <c r="C65" i="113"/>
  <c r="G49" i="113"/>
  <c r="C49" i="113"/>
  <c r="G34" i="113"/>
  <c r="C34" i="113"/>
  <c r="G19" i="113"/>
  <c r="C19" i="113"/>
  <c r="D34" i="114" l="1"/>
  <c r="D19" i="114"/>
  <c r="H32" i="113"/>
  <c r="H30" i="113"/>
  <c r="H28" i="113"/>
  <c r="H26" i="113"/>
  <c r="H24" i="113"/>
  <c r="H22" i="113"/>
  <c r="H33" i="113"/>
  <c r="H29" i="113"/>
  <c r="H25" i="113"/>
  <c r="H31" i="113"/>
  <c r="H27" i="113"/>
  <c r="H23" i="113"/>
  <c r="H18" i="113"/>
  <c r="H16" i="113"/>
  <c r="H14" i="113"/>
  <c r="H12" i="113"/>
  <c r="H10" i="113"/>
  <c r="H8" i="113"/>
  <c r="H15" i="113"/>
  <c r="H11" i="113"/>
  <c r="H7" i="113"/>
  <c r="H17" i="113"/>
  <c r="H13" i="113"/>
  <c r="H9" i="113"/>
  <c r="F112" i="113"/>
  <c r="D63" i="113"/>
  <c r="D61" i="113"/>
  <c r="D59" i="113"/>
  <c r="D57" i="113"/>
  <c r="D55" i="113"/>
  <c r="D53" i="113"/>
  <c r="D64" i="113"/>
  <c r="D62" i="113"/>
  <c r="D60" i="113"/>
  <c r="D58" i="113"/>
  <c r="D56" i="113"/>
  <c r="D54" i="113"/>
  <c r="H78" i="113"/>
  <c r="H76" i="113"/>
  <c r="H74" i="113"/>
  <c r="H72" i="113"/>
  <c r="H70" i="113"/>
  <c r="H68" i="113"/>
  <c r="H79" i="113"/>
  <c r="H71" i="113"/>
  <c r="H77" i="113"/>
  <c r="H69" i="113"/>
  <c r="H75" i="113"/>
  <c r="H73" i="113"/>
  <c r="F111" i="113"/>
  <c r="D48" i="113"/>
  <c r="D46" i="113"/>
  <c r="D44" i="113"/>
  <c r="D42" i="113"/>
  <c r="D40" i="113"/>
  <c r="D38" i="113"/>
  <c r="D47" i="113"/>
  <c r="D39" i="113"/>
  <c r="D45" i="113"/>
  <c r="D37" i="113"/>
  <c r="D43" i="113"/>
  <c r="D41" i="113"/>
  <c r="H48" i="113"/>
  <c r="H46" i="113"/>
  <c r="H44" i="113"/>
  <c r="H42" i="113"/>
  <c r="H40" i="113"/>
  <c r="H38" i="113"/>
  <c r="H47" i="113"/>
  <c r="H45" i="113"/>
  <c r="H43" i="113"/>
  <c r="H41" i="113"/>
  <c r="H39" i="113"/>
  <c r="H37" i="113"/>
  <c r="D99" i="113"/>
  <c r="D102" i="113"/>
  <c r="D98" i="113"/>
  <c r="D101" i="113"/>
  <c r="D97" i="113"/>
  <c r="H64" i="113"/>
  <c r="H62" i="113"/>
  <c r="H60" i="113"/>
  <c r="H58" i="113"/>
  <c r="H56" i="113"/>
  <c r="H54" i="113"/>
  <c r="D100" i="113"/>
  <c r="D96" i="113"/>
  <c r="H63" i="113"/>
  <c r="H55" i="113"/>
  <c r="H61" i="113"/>
  <c r="H53" i="113"/>
  <c r="H59" i="113"/>
  <c r="H57" i="113"/>
  <c r="D79" i="113"/>
  <c r="D77" i="113"/>
  <c r="D75" i="113"/>
  <c r="D73" i="113"/>
  <c r="D71" i="113"/>
  <c r="D69" i="113"/>
  <c r="D78" i="113"/>
  <c r="D76" i="113"/>
  <c r="D74" i="113"/>
  <c r="D72" i="113"/>
  <c r="D70" i="113"/>
  <c r="D68" i="113"/>
  <c r="F112" i="112"/>
  <c r="D33" i="112" s="1"/>
  <c r="F111" i="112"/>
  <c r="D17" i="112" s="1"/>
  <c r="C103" i="112"/>
  <c r="D102" i="112"/>
  <c r="D101" i="112"/>
  <c r="D100" i="112"/>
  <c r="D99" i="112"/>
  <c r="D98" i="112"/>
  <c r="D97" i="112"/>
  <c r="D96" i="112"/>
  <c r="D87" i="112"/>
  <c r="D86" i="112"/>
  <c r="D85" i="112"/>
  <c r="D84" i="112"/>
  <c r="D83" i="112"/>
  <c r="D90" i="112" s="1"/>
  <c r="G80" i="112"/>
  <c r="C80" i="112"/>
  <c r="H79" i="112"/>
  <c r="D79" i="112"/>
  <c r="H78" i="112"/>
  <c r="D78" i="112"/>
  <c r="H77" i="112"/>
  <c r="D77" i="112"/>
  <c r="H76" i="112"/>
  <c r="D76" i="112"/>
  <c r="H75" i="112"/>
  <c r="D75" i="112"/>
  <c r="H74" i="112"/>
  <c r="D74" i="112"/>
  <c r="H73" i="112"/>
  <c r="D73" i="112"/>
  <c r="H72" i="112"/>
  <c r="D72" i="112"/>
  <c r="H71" i="112"/>
  <c r="D71" i="112"/>
  <c r="H70" i="112"/>
  <c r="D70" i="112"/>
  <c r="H69" i="112"/>
  <c r="D69" i="112"/>
  <c r="H68" i="112"/>
  <c r="D68" i="112"/>
  <c r="G65" i="112"/>
  <c r="C65" i="112"/>
  <c r="H64" i="112"/>
  <c r="D64" i="112"/>
  <c r="H63" i="112"/>
  <c r="D63" i="112"/>
  <c r="H62" i="112"/>
  <c r="D62" i="112"/>
  <c r="H61" i="112"/>
  <c r="D61" i="112"/>
  <c r="H60" i="112"/>
  <c r="D60" i="112"/>
  <c r="H59" i="112"/>
  <c r="D59" i="112"/>
  <c r="H58" i="112"/>
  <c r="D58" i="112"/>
  <c r="H57" i="112"/>
  <c r="D57" i="112"/>
  <c r="H56" i="112"/>
  <c r="D56" i="112"/>
  <c r="H55" i="112"/>
  <c r="D55" i="112"/>
  <c r="H54" i="112"/>
  <c r="D54" i="112"/>
  <c r="H53" i="112"/>
  <c r="D53" i="112"/>
  <c r="G49" i="112"/>
  <c r="C49" i="112"/>
  <c r="H48" i="112"/>
  <c r="D48" i="112"/>
  <c r="H47" i="112"/>
  <c r="D47" i="112"/>
  <c r="H46" i="112"/>
  <c r="D46" i="112"/>
  <c r="H45" i="112"/>
  <c r="D45" i="112"/>
  <c r="H44" i="112"/>
  <c r="D44" i="112"/>
  <c r="H43" i="112"/>
  <c r="D43" i="112"/>
  <c r="H42" i="112"/>
  <c r="D42" i="112"/>
  <c r="H41" i="112"/>
  <c r="D41" i="112"/>
  <c r="H40" i="112"/>
  <c r="D40" i="112"/>
  <c r="H39" i="112"/>
  <c r="D39" i="112"/>
  <c r="H38" i="112"/>
  <c r="D38" i="112"/>
  <c r="H37" i="112"/>
  <c r="D37" i="112"/>
  <c r="G34" i="112"/>
  <c r="C34" i="112"/>
  <c r="H33" i="112"/>
  <c r="H32" i="112"/>
  <c r="H31" i="112"/>
  <c r="H30" i="112"/>
  <c r="H29" i="112"/>
  <c r="H28" i="112"/>
  <c r="H27" i="112"/>
  <c r="H26" i="112"/>
  <c r="H25" i="112"/>
  <c r="H24" i="112"/>
  <c r="H23" i="112"/>
  <c r="H22" i="112"/>
  <c r="G19" i="112"/>
  <c r="C19" i="112"/>
  <c r="H18" i="112"/>
  <c r="H17" i="112"/>
  <c r="H16" i="112"/>
  <c r="H15" i="112"/>
  <c r="H14" i="112"/>
  <c r="H13" i="112"/>
  <c r="H12" i="112"/>
  <c r="H11" i="112"/>
  <c r="H10" i="112"/>
  <c r="H9" i="112"/>
  <c r="H8" i="112"/>
  <c r="H7" i="112"/>
  <c r="D13" i="112" l="1"/>
  <c r="D11" i="112"/>
  <c r="D103" i="113"/>
  <c r="H34" i="113"/>
  <c r="D49" i="113"/>
  <c r="H65" i="113"/>
  <c r="H80" i="113"/>
  <c r="D65" i="113"/>
  <c r="H49" i="113"/>
  <c r="D80" i="113"/>
  <c r="H19" i="113"/>
  <c r="D25" i="112"/>
  <c r="D29" i="112"/>
  <c r="D7" i="113"/>
  <c r="D18" i="113"/>
  <c r="D16" i="113"/>
  <c r="D14" i="113"/>
  <c r="D12" i="113"/>
  <c r="D10" i="113"/>
  <c r="D8" i="113"/>
  <c r="D15" i="113"/>
  <c r="D11" i="113"/>
  <c r="D17" i="113"/>
  <c r="D13" i="113"/>
  <c r="D9" i="113"/>
  <c r="D23" i="112"/>
  <c r="D27" i="112"/>
  <c r="D31" i="112"/>
  <c r="D22" i="112"/>
  <c r="D24" i="112"/>
  <c r="D26" i="112"/>
  <c r="D28" i="112"/>
  <c r="D30" i="112"/>
  <c r="D32" i="112"/>
  <c r="D32" i="113"/>
  <c r="D30" i="113"/>
  <c r="D28" i="113"/>
  <c r="D26" i="113"/>
  <c r="D24" i="113"/>
  <c r="D22" i="113"/>
  <c r="D33" i="113"/>
  <c r="D29" i="113"/>
  <c r="D25" i="113"/>
  <c r="D31" i="113"/>
  <c r="D27" i="113"/>
  <c r="D23" i="113"/>
  <c r="D49" i="112"/>
  <c r="D80" i="112"/>
  <c r="H49" i="112"/>
  <c r="D103" i="112"/>
  <c r="D7" i="112"/>
  <c r="D15" i="112"/>
  <c r="D9" i="112"/>
  <c r="H80" i="112"/>
  <c r="H19" i="112"/>
  <c r="D18" i="112"/>
  <c r="D8" i="112"/>
  <c r="D10" i="112"/>
  <c r="D12" i="112"/>
  <c r="D14" i="112"/>
  <c r="D16" i="112"/>
  <c r="H65" i="112"/>
  <c r="D65" i="112"/>
  <c r="H34" i="112"/>
  <c r="F112" i="111"/>
  <c r="D33" i="111" s="1"/>
  <c r="F111" i="111"/>
  <c r="D18" i="111" s="1"/>
  <c r="C103" i="111"/>
  <c r="D102" i="111"/>
  <c r="D101" i="111"/>
  <c r="D100" i="111"/>
  <c r="D99" i="111"/>
  <c r="D98" i="111"/>
  <c r="D97" i="111"/>
  <c r="D96" i="111"/>
  <c r="D87" i="111"/>
  <c r="D86" i="111"/>
  <c r="D85" i="111"/>
  <c r="D84" i="111"/>
  <c r="D83" i="111"/>
  <c r="D90" i="111" s="1"/>
  <c r="G80" i="111"/>
  <c r="C80" i="111"/>
  <c r="H79" i="111"/>
  <c r="D79" i="111"/>
  <c r="H78" i="111"/>
  <c r="D78" i="111"/>
  <c r="H77" i="111"/>
  <c r="D77" i="111"/>
  <c r="H76" i="111"/>
  <c r="D76" i="111"/>
  <c r="H75" i="111"/>
  <c r="D75" i="111"/>
  <c r="H74" i="111"/>
  <c r="D74" i="111"/>
  <c r="H73" i="111"/>
  <c r="D73" i="111"/>
  <c r="H72" i="111"/>
  <c r="D72" i="111"/>
  <c r="H71" i="111"/>
  <c r="D71" i="111"/>
  <c r="H70" i="111"/>
  <c r="D70" i="111"/>
  <c r="H69" i="111"/>
  <c r="D69" i="111"/>
  <c r="H68" i="111"/>
  <c r="D68" i="111"/>
  <c r="G65" i="111"/>
  <c r="C65" i="111"/>
  <c r="H64" i="111"/>
  <c r="D64" i="111"/>
  <c r="H63" i="111"/>
  <c r="D63" i="111"/>
  <c r="H62" i="111"/>
  <c r="D62" i="111"/>
  <c r="H61" i="111"/>
  <c r="D61" i="111"/>
  <c r="H60" i="111"/>
  <c r="D60" i="111"/>
  <c r="H59" i="111"/>
  <c r="D59" i="111"/>
  <c r="H58" i="111"/>
  <c r="D58" i="111"/>
  <c r="H57" i="111"/>
  <c r="D57" i="111"/>
  <c r="H56" i="111"/>
  <c r="D56" i="111"/>
  <c r="H55" i="111"/>
  <c r="D55" i="111"/>
  <c r="H54" i="111"/>
  <c r="D54" i="111"/>
  <c r="H53" i="111"/>
  <c r="D53" i="111"/>
  <c r="G49" i="111"/>
  <c r="C49" i="111"/>
  <c r="H48" i="111"/>
  <c r="D48" i="111"/>
  <c r="H47" i="111"/>
  <c r="D47" i="111"/>
  <c r="H46" i="111"/>
  <c r="D46" i="111"/>
  <c r="H45" i="111"/>
  <c r="D45" i="111"/>
  <c r="H44" i="111"/>
  <c r="D44" i="111"/>
  <c r="H43" i="111"/>
  <c r="D43" i="111"/>
  <c r="H42" i="111"/>
  <c r="D42" i="111"/>
  <c r="H41" i="111"/>
  <c r="D41" i="111"/>
  <c r="H40" i="111"/>
  <c r="D40" i="111"/>
  <c r="H39" i="111"/>
  <c r="D39" i="111"/>
  <c r="H38" i="111"/>
  <c r="D38" i="111"/>
  <c r="H37" i="111"/>
  <c r="D37" i="111"/>
  <c r="G34" i="111"/>
  <c r="C34" i="111"/>
  <c r="H33" i="111"/>
  <c r="H32" i="111"/>
  <c r="H31" i="111"/>
  <c r="H30" i="111"/>
  <c r="H29" i="111"/>
  <c r="H28" i="111"/>
  <c r="H27" i="111"/>
  <c r="H26" i="111"/>
  <c r="H25" i="111"/>
  <c r="H24" i="111"/>
  <c r="H23" i="111"/>
  <c r="H22" i="111"/>
  <c r="G19" i="111"/>
  <c r="C19" i="111"/>
  <c r="H18" i="111"/>
  <c r="H17" i="111"/>
  <c r="H16" i="111"/>
  <c r="H15" i="111"/>
  <c r="H14" i="111"/>
  <c r="H13" i="111"/>
  <c r="H12" i="111"/>
  <c r="H11" i="111"/>
  <c r="H10" i="111"/>
  <c r="H9" i="111"/>
  <c r="H8" i="111"/>
  <c r="H7" i="111"/>
  <c r="D34" i="112" l="1"/>
  <c r="D34" i="113"/>
  <c r="D19" i="113"/>
  <c r="D27" i="111"/>
  <c r="D25" i="111"/>
  <c r="D23" i="111"/>
  <c r="D31" i="111"/>
  <c r="D65" i="111"/>
  <c r="D29" i="111"/>
  <c r="D8" i="111"/>
  <c r="D10" i="111"/>
  <c r="D12" i="111"/>
  <c r="D14" i="111"/>
  <c r="D16" i="111"/>
  <c r="D7" i="111"/>
  <c r="D9" i="111"/>
  <c r="D11" i="111"/>
  <c r="D13" i="111"/>
  <c r="D15" i="111"/>
  <c r="D17" i="111"/>
  <c r="D19" i="112"/>
  <c r="H19" i="111"/>
  <c r="D22" i="111"/>
  <c r="D24" i="111"/>
  <c r="D26" i="111"/>
  <c r="D28" i="111"/>
  <c r="D30" i="111"/>
  <c r="D32" i="111"/>
  <c r="H65" i="111"/>
  <c r="D49" i="111"/>
  <c r="D80" i="111"/>
  <c r="D103" i="111"/>
  <c r="H49" i="111"/>
  <c r="H80" i="111"/>
  <c r="H34" i="111"/>
  <c r="F112" i="110"/>
  <c r="D19" i="111" l="1"/>
  <c r="D34" i="111"/>
  <c r="D32" i="110"/>
  <c r="F111" i="110"/>
  <c r="D18" i="110" s="1"/>
  <c r="C103" i="110"/>
  <c r="D102" i="110"/>
  <c r="D101" i="110"/>
  <c r="D100" i="110"/>
  <c r="D99" i="110"/>
  <c r="D98" i="110"/>
  <c r="D97" i="110"/>
  <c r="D96" i="110"/>
  <c r="D87" i="110"/>
  <c r="D86" i="110"/>
  <c r="D85" i="110"/>
  <c r="D84" i="110"/>
  <c r="D83" i="110"/>
  <c r="D90" i="110" s="1"/>
  <c r="G80" i="110"/>
  <c r="C80" i="110"/>
  <c r="H79" i="110"/>
  <c r="D79" i="110"/>
  <c r="H78" i="110"/>
  <c r="D78" i="110"/>
  <c r="H77" i="110"/>
  <c r="D77" i="110"/>
  <c r="H76" i="110"/>
  <c r="D76" i="110"/>
  <c r="H75" i="110"/>
  <c r="D75" i="110"/>
  <c r="H74" i="110"/>
  <c r="D74" i="110"/>
  <c r="H73" i="110"/>
  <c r="D73" i="110"/>
  <c r="H72" i="110"/>
  <c r="D72" i="110"/>
  <c r="H71" i="110"/>
  <c r="D71" i="110"/>
  <c r="H70" i="110"/>
  <c r="D70" i="110"/>
  <c r="H69" i="110"/>
  <c r="D69" i="110"/>
  <c r="H68" i="110"/>
  <c r="D68" i="110"/>
  <c r="G65" i="110"/>
  <c r="C65" i="110"/>
  <c r="H64" i="110"/>
  <c r="D64" i="110"/>
  <c r="H63" i="110"/>
  <c r="D63" i="110"/>
  <c r="H62" i="110"/>
  <c r="D62" i="110"/>
  <c r="H61" i="110"/>
  <c r="D61" i="110"/>
  <c r="H60" i="110"/>
  <c r="D60" i="110"/>
  <c r="H59" i="110"/>
  <c r="D59" i="110"/>
  <c r="H58" i="110"/>
  <c r="D58" i="110"/>
  <c r="H57" i="110"/>
  <c r="D57" i="110"/>
  <c r="H56" i="110"/>
  <c r="D56" i="110"/>
  <c r="H55" i="110"/>
  <c r="D55" i="110"/>
  <c r="H54" i="110"/>
  <c r="D54" i="110"/>
  <c r="H53" i="110"/>
  <c r="D53" i="110"/>
  <c r="G49" i="110"/>
  <c r="C49" i="110"/>
  <c r="H48" i="110"/>
  <c r="D48" i="110"/>
  <c r="H47" i="110"/>
  <c r="D47" i="110"/>
  <c r="H46" i="110"/>
  <c r="D46" i="110"/>
  <c r="H45" i="110"/>
  <c r="D45" i="110"/>
  <c r="H44" i="110"/>
  <c r="D44" i="110"/>
  <c r="H43" i="110"/>
  <c r="D43" i="110"/>
  <c r="H42" i="110"/>
  <c r="D42" i="110"/>
  <c r="H41" i="110"/>
  <c r="D41" i="110"/>
  <c r="H40" i="110"/>
  <c r="D40" i="110"/>
  <c r="H39" i="110"/>
  <c r="D39" i="110"/>
  <c r="H38" i="110"/>
  <c r="D38" i="110"/>
  <c r="H37" i="110"/>
  <c r="D37" i="110"/>
  <c r="G34" i="110"/>
  <c r="C34" i="110"/>
  <c r="H33" i="110"/>
  <c r="D33" i="110"/>
  <c r="H32" i="110"/>
  <c r="H31" i="110"/>
  <c r="D31" i="110"/>
  <c r="H30" i="110"/>
  <c r="H29" i="110"/>
  <c r="D29" i="110"/>
  <c r="H28" i="110"/>
  <c r="H27" i="110"/>
  <c r="D27" i="110"/>
  <c r="H26" i="110"/>
  <c r="H25" i="110"/>
  <c r="D25" i="110"/>
  <c r="H24" i="110"/>
  <c r="H23" i="110"/>
  <c r="D23" i="110"/>
  <c r="H22" i="110"/>
  <c r="G19" i="110"/>
  <c r="C19" i="110"/>
  <c r="H18" i="110"/>
  <c r="H17" i="110"/>
  <c r="D17" i="110"/>
  <c r="H16" i="110"/>
  <c r="H15" i="110"/>
  <c r="H14" i="110"/>
  <c r="H13" i="110"/>
  <c r="H12" i="110"/>
  <c r="H11" i="110"/>
  <c r="H10" i="110"/>
  <c r="H9" i="110"/>
  <c r="H8" i="110"/>
  <c r="H7" i="110"/>
  <c r="D13" i="110" l="1"/>
  <c r="D9" i="110"/>
  <c r="H49" i="110"/>
  <c r="H80" i="110"/>
  <c r="D11" i="110"/>
  <c r="D7" i="110"/>
  <c r="D15" i="110"/>
  <c r="H19" i="110"/>
  <c r="D49" i="110"/>
  <c r="D80" i="110"/>
  <c r="D103" i="110"/>
  <c r="D8" i="110"/>
  <c r="D10" i="110"/>
  <c r="D12" i="110"/>
  <c r="D14" i="110"/>
  <c r="D16" i="110"/>
  <c r="D22" i="110"/>
  <c r="D24" i="110"/>
  <c r="D26" i="110"/>
  <c r="D28" i="110"/>
  <c r="D30" i="110"/>
  <c r="D65" i="110"/>
  <c r="H34" i="110"/>
  <c r="H65" i="110"/>
  <c r="C34" i="109"/>
  <c r="D19" i="110" l="1"/>
  <c r="D34" i="110"/>
  <c r="F112" i="109"/>
  <c r="D32" i="109" s="1"/>
  <c r="F111" i="109"/>
  <c r="D18" i="109" s="1"/>
  <c r="C103" i="109"/>
  <c r="D102" i="109"/>
  <c r="D101" i="109"/>
  <c r="D100" i="109"/>
  <c r="D99" i="109"/>
  <c r="D98" i="109"/>
  <c r="D97" i="109"/>
  <c r="D96" i="109"/>
  <c r="D87" i="109"/>
  <c r="D86" i="109"/>
  <c r="D85" i="109"/>
  <c r="D84" i="109"/>
  <c r="D83" i="109"/>
  <c r="D90" i="109" s="1"/>
  <c r="G80" i="109"/>
  <c r="C80" i="109"/>
  <c r="H79" i="109"/>
  <c r="D79" i="109"/>
  <c r="H78" i="109"/>
  <c r="D78" i="109"/>
  <c r="H77" i="109"/>
  <c r="D77" i="109"/>
  <c r="H76" i="109"/>
  <c r="D76" i="109"/>
  <c r="H75" i="109"/>
  <c r="D75" i="109"/>
  <c r="H74" i="109"/>
  <c r="D74" i="109"/>
  <c r="H73" i="109"/>
  <c r="D73" i="109"/>
  <c r="H72" i="109"/>
  <c r="D72" i="109"/>
  <c r="H71" i="109"/>
  <c r="D71" i="109"/>
  <c r="H70" i="109"/>
  <c r="D70" i="109"/>
  <c r="H69" i="109"/>
  <c r="D69" i="109"/>
  <c r="H68" i="109"/>
  <c r="D68" i="109"/>
  <c r="G65" i="109"/>
  <c r="C65" i="109"/>
  <c r="H64" i="109"/>
  <c r="D64" i="109"/>
  <c r="H63" i="109"/>
  <c r="D63" i="109"/>
  <c r="H62" i="109"/>
  <c r="D62" i="109"/>
  <c r="H61" i="109"/>
  <c r="D61" i="109"/>
  <c r="H60" i="109"/>
  <c r="D60" i="109"/>
  <c r="H59" i="109"/>
  <c r="D59" i="109"/>
  <c r="H58" i="109"/>
  <c r="D58" i="109"/>
  <c r="H57" i="109"/>
  <c r="D57" i="109"/>
  <c r="H56" i="109"/>
  <c r="D56" i="109"/>
  <c r="H55" i="109"/>
  <c r="D55" i="109"/>
  <c r="H54" i="109"/>
  <c r="D54" i="109"/>
  <c r="H53" i="109"/>
  <c r="D53" i="109"/>
  <c r="G49" i="109"/>
  <c r="C49" i="109"/>
  <c r="H48" i="109"/>
  <c r="D48" i="109"/>
  <c r="H47" i="109"/>
  <c r="D47" i="109"/>
  <c r="H46" i="109"/>
  <c r="D46" i="109"/>
  <c r="H45" i="109"/>
  <c r="D45" i="109"/>
  <c r="H44" i="109"/>
  <c r="D44" i="109"/>
  <c r="H43" i="109"/>
  <c r="D43" i="109"/>
  <c r="H42" i="109"/>
  <c r="D42" i="109"/>
  <c r="H41" i="109"/>
  <c r="D41" i="109"/>
  <c r="H40" i="109"/>
  <c r="D40" i="109"/>
  <c r="H39" i="109"/>
  <c r="D39" i="109"/>
  <c r="H38" i="109"/>
  <c r="D38" i="109"/>
  <c r="H37" i="109"/>
  <c r="D37" i="109"/>
  <c r="G34" i="109"/>
  <c r="H33" i="109"/>
  <c r="H32" i="109"/>
  <c r="H31" i="109"/>
  <c r="H30" i="109"/>
  <c r="H29" i="109"/>
  <c r="H28" i="109"/>
  <c r="H27" i="109"/>
  <c r="H26" i="109"/>
  <c r="H25" i="109"/>
  <c r="H24" i="109"/>
  <c r="H23" i="109"/>
  <c r="H22" i="109"/>
  <c r="G19" i="109"/>
  <c r="C19" i="109"/>
  <c r="H18" i="109"/>
  <c r="H17" i="109"/>
  <c r="H16" i="109"/>
  <c r="H15" i="109"/>
  <c r="H14" i="109"/>
  <c r="H13" i="109"/>
  <c r="H12" i="109"/>
  <c r="H11" i="109"/>
  <c r="H10" i="109"/>
  <c r="H9" i="109"/>
  <c r="H8" i="109"/>
  <c r="H7" i="109"/>
  <c r="D11" i="109" l="1"/>
  <c r="D29" i="109"/>
  <c r="D31" i="109"/>
  <c r="D23" i="109"/>
  <c r="D27" i="109"/>
  <c r="D13" i="109"/>
  <c r="D9" i="109"/>
  <c r="D17" i="109"/>
  <c r="D7" i="109"/>
  <c r="D15" i="109"/>
  <c r="D25" i="109"/>
  <c r="D33" i="109"/>
  <c r="D49" i="109"/>
  <c r="H49" i="109"/>
  <c r="D80" i="109"/>
  <c r="D103" i="109"/>
  <c r="H80" i="109"/>
  <c r="D8" i="109"/>
  <c r="D10" i="109"/>
  <c r="D12" i="109"/>
  <c r="D14" i="109"/>
  <c r="D16" i="109"/>
  <c r="D22" i="109"/>
  <c r="D24" i="109"/>
  <c r="D26" i="109"/>
  <c r="D28" i="109"/>
  <c r="D30" i="109"/>
  <c r="D65" i="109"/>
  <c r="H34" i="109"/>
  <c r="H65" i="109"/>
  <c r="H19" i="109"/>
  <c r="F112" i="108"/>
  <c r="D24" i="108" s="1"/>
  <c r="F111" i="108"/>
  <c r="C103" i="108"/>
  <c r="D102" i="108"/>
  <c r="D101" i="108"/>
  <c r="D100" i="108"/>
  <c r="D99" i="108"/>
  <c r="D98" i="108"/>
  <c r="D97" i="108"/>
  <c r="D96" i="108"/>
  <c r="D87" i="108"/>
  <c r="D86" i="108"/>
  <c r="D85" i="108"/>
  <c r="D84" i="108"/>
  <c r="D83" i="108"/>
  <c r="D90" i="108" s="1"/>
  <c r="G80" i="108"/>
  <c r="C80" i="108"/>
  <c r="H79" i="108"/>
  <c r="D79" i="108"/>
  <c r="H78" i="108"/>
  <c r="D78" i="108"/>
  <c r="H77" i="108"/>
  <c r="D77" i="108"/>
  <c r="H76" i="108"/>
  <c r="D76" i="108"/>
  <c r="H75" i="108"/>
  <c r="D75" i="108"/>
  <c r="H74" i="108"/>
  <c r="D74" i="108"/>
  <c r="H73" i="108"/>
  <c r="D73" i="108"/>
  <c r="H72" i="108"/>
  <c r="D72" i="108"/>
  <c r="H71" i="108"/>
  <c r="D71" i="108"/>
  <c r="H70" i="108"/>
  <c r="D70" i="108"/>
  <c r="H69" i="108"/>
  <c r="D69" i="108"/>
  <c r="H68" i="108"/>
  <c r="D68" i="108"/>
  <c r="G65" i="108"/>
  <c r="C65" i="108"/>
  <c r="H64" i="108"/>
  <c r="D64" i="108"/>
  <c r="H63" i="108"/>
  <c r="D63" i="108"/>
  <c r="H62" i="108"/>
  <c r="D62" i="108"/>
  <c r="H61" i="108"/>
  <c r="D61" i="108"/>
  <c r="H60" i="108"/>
  <c r="D60" i="108"/>
  <c r="H59" i="108"/>
  <c r="D59" i="108"/>
  <c r="H58" i="108"/>
  <c r="D58" i="108"/>
  <c r="H57" i="108"/>
  <c r="D57" i="108"/>
  <c r="H56" i="108"/>
  <c r="D56" i="108"/>
  <c r="H55" i="108"/>
  <c r="D55" i="108"/>
  <c r="H54" i="108"/>
  <c r="D54" i="108"/>
  <c r="H53" i="108"/>
  <c r="D53" i="108"/>
  <c r="G49" i="108"/>
  <c r="C49" i="108"/>
  <c r="H48" i="108"/>
  <c r="D48" i="108"/>
  <c r="H47" i="108"/>
  <c r="D47" i="108"/>
  <c r="H46" i="108"/>
  <c r="D46" i="108"/>
  <c r="H45" i="108"/>
  <c r="D45" i="108"/>
  <c r="H44" i="108"/>
  <c r="D44" i="108"/>
  <c r="H43" i="108"/>
  <c r="D43" i="108"/>
  <c r="H42" i="108"/>
  <c r="D42" i="108"/>
  <c r="H41" i="108"/>
  <c r="D41" i="108"/>
  <c r="H40" i="108"/>
  <c r="D40" i="108"/>
  <c r="H39" i="108"/>
  <c r="D39" i="108"/>
  <c r="H38" i="108"/>
  <c r="D38" i="108"/>
  <c r="H37" i="108"/>
  <c r="D37" i="108"/>
  <c r="G34" i="108"/>
  <c r="H33" i="108"/>
  <c r="H32" i="108"/>
  <c r="D32" i="108"/>
  <c r="H31" i="108"/>
  <c r="H30" i="108"/>
  <c r="H29" i="108"/>
  <c r="H28" i="108"/>
  <c r="H27" i="108"/>
  <c r="H26" i="108"/>
  <c r="H25" i="108"/>
  <c r="H24" i="108"/>
  <c r="H23" i="108"/>
  <c r="H22" i="108"/>
  <c r="G19" i="108"/>
  <c r="C19" i="108"/>
  <c r="H18" i="108"/>
  <c r="H17" i="108"/>
  <c r="H16" i="108"/>
  <c r="H15" i="108"/>
  <c r="H14" i="108"/>
  <c r="H13" i="108"/>
  <c r="H12" i="108"/>
  <c r="H11" i="108"/>
  <c r="H10" i="108"/>
  <c r="H9" i="108"/>
  <c r="H8" i="108"/>
  <c r="H7" i="108"/>
  <c r="F112" i="107"/>
  <c r="D31" i="107" s="1"/>
  <c r="F111" i="107"/>
  <c r="D16" i="107" s="1"/>
  <c r="C103" i="107"/>
  <c r="D102" i="107"/>
  <c r="D101" i="107"/>
  <c r="D100" i="107"/>
  <c r="D99" i="107"/>
  <c r="D98" i="107"/>
  <c r="D97" i="107"/>
  <c r="D96" i="107"/>
  <c r="D87" i="107"/>
  <c r="D86" i="107"/>
  <c r="D85" i="107"/>
  <c r="D84" i="107"/>
  <c r="D83" i="107"/>
  <c r="D90" i="107" s="1"/>
  <c r="G80" i="107"/>
  <c r="C80" i="107"/>
  <c r="H79" i="107"/>
  <c r="D79" i="107"/>
  <c r="H78" i="107"/>
  <c r="D78" i="107"/>
  <c r="H77" i="107"/>
  <c r="D77" i="107"/>
  <c r="H76" i="107"/>
  <c r="D76" i="107"/>
  <c r="H75" i="107"/>
  <c r="D75" i="107"/>
  <c r="H74" i="107"/>
  <c r="D74" i="107"/>
  <c r="H73" i="107"/>
  <c r="D73" i="107"/>
  <c r="H72" i="107"/>
  <c r="D72" i="107"/>
  <c r="H71" i="107"/>
  <c r="D71" i="107"/>
  <c r="H70" i="107"/>
  <c r="D70" i="107"/>
  <c r="H69" i="107"/>
  <c r="D69" i="107"/>
  <c r="H68" i="107"/>
  <c r="D68" i="107"/>
  <c r="G65" i="107"/>
  <c r="C65" i="107"/>
  <c r="H64" i="107"/>
  <c r="D64" i="107"/>
  <c r="H63" i="107"/>
  <c r="D63" i="107"/>
  <c r="H62" i="107"/>
  <c r="D62" i="107"/>
  <c r="H61" i="107"/>
  <c r="D61" i="107"/>
  <c r="H60" i="107"/>
  <c r="D60" i="107"/>
  <c r="H59" i="107"/>
  <c r="D59" i="107"/>
  <c r="H58" i="107"/>
  <c r="D58" i="107"/>
  <c r="H57" i="107"/>
  <c r="D57" i="107"/>
  <c r="H56" i="107"/>
  <c r="D56" i="107"/>
  <c r="H55" i="107"/>
  <c r="D55" i="107"/>
  <c r="H54" i="107"/>
  <c r="D54" i="107"/>
  <c r="H53" i="107"/>
  <c r="D53" i="107"/>
  <c r="G49" i="107"/>
  <c r="C49" i="107"/>
  <c r="H48" i="107"/>
  <c r="D48" i="107"/>
  <c r="H47" i="107"/>
  <c r="D47" i="107"/>
  <c r="H46" i="107"/>
  <c r="D46" i="107"/>
  <c r="H45" i="107"/>
  <c r="D45" i="107"/>
  <c r="H44" i="107"/>
  <c r="D44" i="107"/>
  <c r="H43" i="107"/>
  <c r="D43" i="107"/>
  <c r="H42" i="107"/>
  <c r="D42" i="107"/>
  <c r="H41" i="107"/>
  <c r="D41" i="107"/>
  <c r="H40" i="107"/>
  <c r="D40" i="107"/>
  <c r="H39" i="107"/>
  <c r="D39" i="107"/>
  <c r="H38" i="107"/>
  <c r="D38" i="107"/>
  <c r="H37" i="107"/>
  <c r="D37" i="107"/>
  <c r="G34" i="107"/>
  <c r="H33" i="107"/>
  <c r="H32" i="107"/>
  <c r="H31" i="107"/>
  <c r="H30" i="107"/>
  <c r="H29" i="107"/>
  <c r="H28" i="107"/>
  <c r="H27" i="107"/>
  <c r="H26" i="107"/>
  <c r="H25" i="107"/>
  <c r="H24" i="107"/>
  <c r="H23" i="107"/>
  <c r="H22" i="107"/>
  <c r="G19" i="107"/>
  <c r="C19" i="107"/>
  <c r="H18" i="107"/>
  <c r="H17" i="107"/>
  <c r="H16" i="107"/>
  <c r="H15" i="107"/>
  <c r="H14" i="107"/>
  <c r="H13" i="107"/>
  <c r="H12" i="107"/>
  <c r="H11" i="107"/>
  <c r="H10" i="107"/>
  <c r="H9" i="107"/>
  <c r="H8" i="107"/>
  <c r="H7" i="107"/>
  <c r="F112" i="106"/>
  <c r="F111" i="106"/>
  <c r="D11" i="106" s="1"/>
  <c r="C103" i="106"/>
  <c r="D102" i="106"/>
  <c r="D101" i="106"/>
  <c r="D100" i="106"/>
  <c r="D99" i="106"/>
  <c r="D98" i="106"/>
  <c r="D97" i="106"/>
  <c r="D96" i="106"/>
  <c r="D87" i="106"/>
  <c r="D86" i="106"/>
  <c r="D85" i="106"/>
  <c r="D84" i="106"/>
  <c r="D83" i="106"/>
  <c r="D90" i="106" s="1"/>
  <c r="G80" i="106"/>
  <c r="C80" i="106"/>
  <c r="H79" i="106"/>
  <c r="D79" i="106"/>
  <c r="H78" i="106"/>
  <c r="D78" i="106"/>
  <c r="H77" i="106"/>
  <c r="D77" i="106"/>
  <c r="H76" i="106"/>
  <c r="D76" i="106"/>
  <c r="H75" i="106"/>
  <c r="D75" i="106"/>
  <c r="H74" i="106"/>
  <c r="D74" i="106"/>
  <c r="H73" i="106"/>
  <c r="D73" i="106"/>
  <c r="H72" i="106"/>
  <c r="D72" i="106"/>
  <c r="H71" i="106"/>
  <c r="D71" i="106"/>
  <c r="H70" i="106"/>
  <c r="D70" i="106"/>
  <c r="H69" i="106"/>
  <c r="D69" i="106"/>
  <c r="H68" i="106"/>
  <c r="D68" i="106"/>
  <c r="G65" i="106"/>
  <c r="C65" i="106"/>
  <c r="H64" i="106"/>
  <c r="D64" i="106"/>
  <c r="H63" i="106"/>
  <c r="D63" i="106"/>
  <c r="H62" i="106"/>
  <c r="D62" i="106"/>
  <c r="H61" i="106"/>
  <c r="D61" i="106"/>
  <c r="H60" i="106"/>
  <c r="D60" i="106"/>
  <c r="H59" i="106"/>
  <c r="D59" i="106"/>
  <c r="H58" i="106"/>
  <c r="D58" i="106"/>
  <c r="H57" i="106"/>
  <c r="D57" i="106"/>
  <c r="H56" i="106"/>
  <c r="D56" i="106"/>
  <c r="H55" i="106"/>
  <c r="D55" i="106"/>
  <c r="H54" i="106"/>
  <c r="D54" i="106"/>
  <c r="H53" i="106"/>
  <c r="D53" i="106"/>
  <c r="G49" i="106"/>
  <c r="C49" i="106"/>
  <c r="H48" i="106"/>
  <c r="D48" i="106"/>
  <c r="H47" i="106"/>
  <c r="D47" i="106"/>
  <c r="H46" i="106"/>
  <c r="D46" i="106"/>
  <c r="H45" i="106"/>
  <c r="D45" i="106"/>
  <c r="H44" i="106"/>
  <c r="D44" i="106"/>
  <c r="H43" i="106"/>
  <c r="D43" i="106"/>
  <c r="H42" i="106"/>
  <c r="D42" i="106"/>
  <c r="H41" i="106"/>
  <c r="D41" i="106"/>
  <c r="H40" i="106"/>
  <c r="D40" i="106"/>
  <c r="H39" i="106"/>
  <c r="D39" i="106"/>
  <c r="H38" i="106"/>
  <c r="D38" i="106"/>
  <c r="H37" i="106"/>
  <c r="D37" i="106"/>
  <c r="G34" i="106"/>
  <c r="H33" i="106"/>
  <c r="H32" i="106"/>
  <c r="H31" i="106"/>
  <c r="H30" i="106"/>
  <c r="H29" i="106"/>
  <c r="H28" i="106"/>
  <c r="H27" i="106"/>
  <c r="H26" i="106"/>
  <c r="H25" i="106"/>
  <c r="H24" i="106"/>
  <c r="H23" i="106"/>
  <c r="H22" i="106"/>
  <c r="G19" i="106"/>
  <c r="C19" i="106"/>
  <c r="H18" i="106"/>
  <c r="H17" i="106"/>
  <c r="H16" i="106"/>
  <c r="H15" i="106"/>
  <c r="H14" i="106"/>
  <c r="H13" i="106"/>
  <c r="H12" i="106"/>
  <c r="H11" i="106"/>
  <c r="H10" i="106"/>
  <c r="H9" i="106"/>
  <c r="H8" i="106"/>
  <c r="H7" i="106"/>
  <c r="F112" i="105"/>
  <c r="D29" i="105" s="1"/>
  <c r="F111" i="105"/>
  <c r="D15" i="105" s="1"/>
  <c r="C103" i="105"/>
  <c r="D102" i="105"/>
  <c r="D101" i="105"/>
  <c r="D100" i="105"/>
  <c r="D99" i="105"/>
  <c r="D98" i="105"/>
  <c r="D97" i="105"/>
  <c r="D96" i="105"/>
  <c r="D87" i="105"/>
  <c r="D86" i="105"/>
  <c r="D85" i="105"/>
  <c r="D84" i="105"/>
  <c r="D83" i="105"/>
  <c r="D90" i="105" s="1"/>
  <c r="G80" i="105"/>
  <c r="C80" i="105"/>
  <c r="H79" i="105"/>
  <c r="D79" i="105"/>
  <c r="H78" i="105"/>
  <c r="D78" i="105"/>
  <c r="H77" i="105"/>
  <c r="D77" i="105"/>
  <c r="H76" i="105"/>
  <c r="D76" i="105"/>
  <c r="H75" i="105"/>
  <c r="D75" i="105"/>
  <c r="H74" i="105"/>
  <c r="D74" i="105"/>
  <c r="H73" i="105"/>
  <c r="D73" i="105"/>
  <c r="H72" i="105"/>
  <c r="D72" i="105"/>
  <c r="H71" i="105"/>
  <c r="D71" i="105"/>
  <c r="H70" i="105"/>
  <c r="D70" i="105"/>
  <c r="H69" i="105"/>
  <c r="D69" i="105"/>
  <c r="H68" i="105"/>
  <c r="D68" i="105"/>
  <c r="G65" i="105"/>
  <c r="C65" i="105"/>
  <c r="H64" i="105"/>
  <c r="D64" i="105"/>
  <c r="H63" i="105"/>
  <c r="D63" i="105"/>
  <c r="H62" i="105"/>
  <c r="D62" i="105"/>
  <c r="H61" i="105"/>
  <c r="D61" i="105"/>
  <c r="H60" i="105"/>
  <c r="D60" i="105"/>
  <c r="H59" i="105"/>
  <c r="D59" i="105"/>
  <c r="H58" i="105"/>
  <c r="D58" i="105"/>
  <c r="H57" i="105"/>
  <c r="D57" i="105"/>
  <c r="H56" i="105"/>
  <c r="D56" i="105"/>
  <c r="H55" i="105"/>
  <c r="D55" i="105"/>
  <c r="H54" i="105"/>
  <c r="D54" i="105"/>
  <c r="H53" i="105"/>
  <c r="D53" i="105"/>
  <c r="G49" i="105"/>
  <c r="C49" i="105"/>
  <c r="H48" i="105"/>
  <c r="D48" i="105"/>
  <c r="H47" i="105"/>
  <c r="D47" i="105"/>
  <c r="H46" i="105"/>
  <c r="D46" i="105"/>
  <c r="H45" i="105"/>
  <c r="D45" i="105"/>
  <c r="H44" i="105"/>
  <c r="D44" i="105"/>
  <c r="H43" i="105"/>
  <c r="D43" i="105"/>
  <c r="H42" i="105"/>
  <c r="D42" i="105"/>
  <c r="H41" i="105"/>
  <c r="D41" i="105"/>
  <c r="H40" i="105"/>
  <c r="D40" i="105"/>
  <c r="H39" i="105"/>
  <c r="D39" i="105"/>
  <c r="H38" i="105"/>
  <c r="D38" i="105"/>
  <c r="H37" i="105"/>
  <c r="D37" i="105"/>
  <c r="G34" i="105"/>
  <c r="C34" i="105"/>
  <c r="H33" i="105"/>
  <c r="D33" i="105"/>
  <c r="H32" i="105"/>
  <c r="H31" i="105"/>
  <c r="H30" i="105"/>
  <c r="H29" i="105"/>
  <c r="H28" i="105"/>
  <c r="H27" i="105"/>
  <c r="H26" i="105"/>
  <c r="H25" i="105"/>
  <c r="H24" i="105"/>
  <c r="H23" i="105"/>
  <c r="H22" i="105"/>
  <c r="G19" i="105"/>
  <c r="C19" i="105"/>
  <c r="H18" i="105"/>
  <c r="H17" i="105"/>
  <c r="H16" i="105"/>
  <c r="H15" i="105"/>
  <c r="H14" i="105"/>
  <c r="H13" i="105"/>
  <c r="H12" i="105"/>
  <c r="H11" i="105"/>
  <c r="H10" i="105"/>
  <c r="H9" i="105"/>
  <c r="H8" i="105"/>
  <c r="H7" i="105"/>
  <c r="F112" i="104"/>
  <c r="D28" i="104" s="1"/>
  <c r="F111" i="104"/>
  <c r="D18" i="104" s="1"/>
  <c r="C103" i="104"/>
  <c r="D102" i="104"/>
  <c r="D101" i="104"/>
  <c r="D100" i="104"/>
  <c r="D99" i="104"/>
  <c r="D98" i="104"/>
  <c r="D97" i="104"/>
  <c r="D96" i="104"/>
  <c r="D87" i="104"/>
  <c r="D86" i="104"/>
  <c r="D85" i="104"/>
  <c r="D84" i="104"/>
  <c r="D83" i="104"/>
  <c r="D90" i="104" s="1"/>
  <c r="G80" i="104"/>
  <c r="C80" i="104"/>
  <c r="H79" i="104"/>
  <c r="D79" i="104"/>
  <c r="H78" i="104"/>
  <c r="D78" i="104"/>
  <c r="H77" i="104"/>
  <c r="D77" i="104"/>
  <c r="H76" i="104"/>
  <c r="D76" i="104"/>
  <c r="H75" i="104"/>
  <c r="D75" i="104"/>
  <c r="H74" i="104"/>
  <c r="D74" i="104"/>
  <c r="H73" i="104"/>
  <c r="D73" i="104"/>
  <c r="H72" i="104"/>
  <c r="D72" i="104"/>
  <c r="H71" i="104"/>
  <c r="D71" i="104"/>
  <c r="H70" i="104"/>
  <c r="D70" i="104"/>
  <c r="H69" i="104"/>
  <c r="D69" i="104"/>
  <c r="H68" i="104"/>
  <c r="D68" i="104"/>
  <c r="G65" i="104"/>
  <c r="C65" i="104"/>
  <c r="H64" i="104"/>
  <c r="D64" i="104"/>
  <c r="H63" i="104"/>
  <c r="D63" i="104"/>
  <c r="H62" i="104"/>
  <c r="D62" i="104"/>
  <c r="H61" i="104"/>
  <c r="D61" i="104"/>
  <c r="H60" i="104"/>
  <c r="D60" i="104"/>
  <c r="H59" i="104"/>
  <c r="D59" i="104"/>
  <c r="H58" i="104"/>
  <c r="D58" i="104"/>
  <c r="H57" i="104"/>
  <c r="D57" i="104"/>
  <c r="H56" i="104"/>
  <c r="D56" i="104"/>
  <c r="H55" i="104"/>
  <c r="D55" i="104"/>
  <c r="H54" i="104"/>
  <c r="D54" i="104"/>
  <c r="H53" i="104"/>
  <c r="D53" i="104"/>
  <c r="G49" i="104"/>
  <c r="C49" i="104"/>
  <c r="H48" i="104"/>
  <c r="D48" i="104"/>
  <c r="H47" i="104"/>
  <c r="D47" i="104"/>
  <c r="H46" i="104"/>
  <c r="D46" i="104"/>
  <c r="H45" i="104"/>
  <c r="D45" i="104"/>
  <c r="H44" i="104"/>
  <c r="D44" i="104"/>
  <c r="H43" i="104"/>
  <c r="D43" i="104"/>
  <c r="H42" i="104"/>
  <c r="D42" i="104"/>
  <c r="H41" i="104"/>
  <c r="D41" i="104"/>
  <c r="H40" i="104"/>
  <c r="D40" i="104"/>
  <c r="H39" i="104"/>
  <c r="D39" i="104"/>
  <c r="H38" i="104"/>
  <c r="D38" i="104"/>
  <c r="H37" i="104"/>
  <c r="D37" i="104"/>
  <c r="G34" i="104"/>
  <c r="C34" i="104"/>
  <c r="H33" i="104"/>
  <c r="H32" i="104"/>
  <c r="H31" i="104"/>
  <c r="H30" i="104"/>
  <c r="H29" i="104"/>
  <c r="H28" i="104"/>
  <c r="H27" i="104"/>
  <c r="H26" i="104"/>
  <c r="H25" i="104"/>
  <c r="H24" i="104"/>
  <c r="H23" i="104"/>
  <c r="H22" i="104"/>
  <c r="G19" i="104"/>
  <c r="C19" i="104"/>
  <c r="H18" i="104"/>
  <c r="H17" i="104"/>
  <c r="H16" i="104"/>
  <c r="H15" i="104"/>
  <c r="H14" i="104"/>
  <c r="H13" i="104"/>
  <c r="H12" i="104"/>
  <c r="H11" i="104"/>
  <c r="H10" i="104"/>
  <c r="H9" i="104"/>
  <c r="H8" i="104"/>
  <c r="H7" i="104"/>
  <c r="F112" i="103"/>
  <c r="D32" i="103" s="1"/>
  <c r="F111" i="103"/>
  <c r="C103" i="103"/>
  <c r="D102" i="103"/>
  <c r="D101" i="103"/>
  <c r="D100" i="103"/>
  <c r="D99" i="103"/>
  <c r="D98" i="103"/>
  <c r="D97" i="103"/>
  <c r="D96" i="103"/>
  <c r="D87" i="103"/>
  <c r="D86" i="103"/>
  <c r="D85" i="103"/>
  <c r="D84" i="103"/>
  <c r="D83" i="103"/>
  <c r="D90" i="103" s="1"/>
  <c r="G80" i="103"/>
  <c r="C80" i="103"/>
  <c r="H79" i="103"/>
  <c r="D79" i="103"/>
  <c r="H78" i="103"/>
  <c r="D78" i="103"/>
  <c r="H77" i="103"/>
  <c r="D77" i="103"/>
  <c r="H76" i="103"/>
  <c r="D76" i="103"/>
  <c r="H75" i="103"/>
  <c r="D75" i="103"/>
  <c r="H74" i="103"/>
  <c r="D74" i="103"/>
  <c r="H73" i="103"/>
  <c r="D73" i="103"/>
  <c r="H72" i="103"/>
  <c r="D72" i="103"/>
  <c r="H71" i="103"/>
  <c r="D71" i="103"/>
  <c r="H70" i="103"/>
  <c r="D70" i="103"/>
  <c r="H69" i="103"/>
  <c r="D69" i="103"/>
  <c r="H68" i="103"/>
  <c r="D68" i="103"/>
  <c r="G65" i="103"/>
  <c r="C65" i="103"/>
  <c r="H64" i="103"/>
  <c r="D64" i="103"/>
  <c r="H63" i="103"/>
  <c r="D63" i="103"/>
  <c r="H62" i="103"/>
  <c r="D62" i="103"/>
  <c r="H61" i="103"/>
  <c r="D61" i="103"/>
  <c r="H60" i="103"/>
  <c r="D60" i="103"/>
  <c r="H59" i="103"/>
  <c r="D59" i="103"/>
  <c r="H58" i="103"/>
  <c r="D58" i="103"/>
  <c r="H57" i="103"/>
  <c r="D57" i="103"/>
  <c r="H56" i="103"/>
  <c r="D56" i="103"/>
  <c r="H55" i="103"/>
  <c r="D55" i="103"/>
  <c r="H54" i="103"/>
  <c r="D54" i="103"/>
  <c r="H53" i="103"/>
  <c r="D53" i="103"/>
  <c r="G49" i="103"/>
  <c r="C49" i="103"/>
  <c r="H48" i="103"/>
  <c r="D48" i="103"/>
  <c r="H47" i="103"/>
  <c r="D47" i="103"/>
  <c r="H46" i="103"/>
  <c r="D46" i="103"/>
  <c r="H45" i="103"/>
  <c r="D45" i="103"/>
  <c r="H44" i="103"/>
  <c r="D44" i="103"/>
  <c r="H43" i="103"/>
  <c r="D43" i="103"/>
  <c r="H42" i="103"/>
  <c r="D42" i="103"/>
  <c r="H41" i="103"/>
  <c r="D41" i="103"/>
  <c r="H40" i="103"/>
  <c r="D40" i="103"/>
  <c r="H39" i="103"/>
  <c r="D39" i="103"/>
  <c r="H38" i="103"/>
  <c r="D38" i="103"/>
  <c r="H37" i="103"/>
  <c r="D37" i="103"/>
  <c r="G34" i="103"/>
  <c r="C34" i="103"/>
  <c r="H33" i="103"/>
  <c r="H32" i="103"/>
  <c r="H31" i="103"/>
  <c r="H30" i="103"/>
  <c r="H29" i="103"/>
  <c r="H28" i="103"/>
  <c r="H27" i="103"/>
  <c r="H26" i="103"/>
  <c r="H25" i="103"/>
  <c r="H24" i="103"/>
  <c r="H23" i="103"/>
  <c r="H22" i="103"/>
  <c r="G19" i="103"/>
  <c r="C19" i="103"/>
  <c r="H18" i="103"/>
  <c r="H17" i="103"/>
  <c r="H16" i="103"/>
  <c r="H15" i="103"/>
  <c r="H14" i="103"/>
  <c r="H13" i="103"/>
  <c r="H12" i="103"/>
  <c r="H11" i="103"/>
  <c r="H10" i="103"/>
  <c r="H9" i="103"/>
  <c r="H8" i="103"/>
  <c r="H7" i="103"/>
  <c r="F112" i="102"/>
  <c r="F111" i="102"/>
  <c r="C103" i="102"/>
  <c r="D102" i="102"/>
  <c r="D101" i="102"/>
  <c r="D100" i="102"/>
  <c r="D99" i="102"/>
  <c r="D98" i="102"/>
  <c r="D97" i="102"/>
  <c r="D96" i="102"/>
  <c r="D87" i="102"/>
  <c r="D86" i="102"/>
  <c r="D85" i="102"/>
  <c r="D84" i="102"/>
  <c r="D83" i="102"/>
  <c r="D90" i="102" s="1"/>
  <c r="G80" i="102"/>
  <c r="C80" i="102"/>
  <c r="H79" i="102"/>
  <c r="D79" i="102"/>
  <c r="H78" i="102"/>
  <c r="D78" i="102"/>
  <c r="H77" i="102"/>
  <c r="D77" i="102"/>
  <c r="H76" i="102"/>
  <c r="D76" i="102"/>
  <c r="H75" i="102"/>
  <c r="D75" i="102"/>
  <c r="H74" i="102"/>
  <c r="D74" i="102"/>
  <c r="H73" i="102"/>
  <c r="D73" i="102"/>
  <c r="H72" i="102"/>
  <c r="D72" i="102"/>
  <c r="H71" i="102"/>
  <c r="D71" i="102"/>
  <c r="H70" i="102"/>
  <c r="D70" i="102"/>
  <c r="H69" i="102"/>
  <c r="D69" i="102"/>
  <c r="H68" i="102"/>
  <c r="D68" i="102"/>
  <c r="G65" i="102"/>
  <c r="C65" i="102"/>
  <c r="H64" i="102"/>
  <c r="D64" i="102"/>
  <c r="H63" i="102"/>
  <c r="D63" i="102"/>
  <c r="H62" i="102"/>
  <c r="D62" i="102"/>
  <c r="H61" i="102"/>
  <c r="D61" i="102"/>
  <c r="H60" i="102"/>
  <c r="D60" i="102"/>
  <c r="H59" i="102"/>
  <c r="D59" i="102"/>
  <c r="H58" i="102"/>
  <c r="D58" i="102"/>
  <c r="H57" i="102"/>
  <c r="D57" i="102"/>
  <c r="H56" i="102"/>
  <c r="D56" i="102"/>
  <c r="H55" i="102"/>
  <c r="D55" i="102"/>
  <c r="H54" i="102"/>
  <c r="D54" i="102"/>
  <c r="H53" i="102"/>
  <c r="D53" i="102"/>
  <c r="G49" i="102"/>
  <c r="C49" i="102"/>
  <c r="H48" i="102"/>
  <c r="D48" i="102"/>
  <c r="H47" i="102"/>
  <c r="D47" i="102"/>
  <c r="H46" i="102"/>
  <c r="D46" i="102"/>
  <c r="H45" i="102"/>
  <c r="D45" i="102"/>
  <c r="H44" i="102"/>
  <c r="D44" i="102"/>
  <c r="H43" i="102"/>
  <c r="D43" i="102"/>
  <c r="H42" i="102"/>
  <c r="D42" i="102"/>
  <c r="H41" i="102"/>
  <c r="D41" i="102"/>
  <c r="H40" i="102"/>
  <c r="D40" i="102"/>
  <c r="H39" i="102"/>
  <c r="D39" i="102"/>
  <c r="H38" i="102"/>
  <c r="D38" i="102"/>
  <c r="H37" i="102"/>
  <c r="D37" i="102"/>
  <c r="G34" i="102"/>
  <c r="C34" i="102"/>
  <c r="H33" i="102"/>
  <c r="H32" i="102"/>
  <c r="H31" i="102"/>
  <c r="H30" i="102"/>
  <c r="H29" i="102"/>
  <c r="H28" i="102"/>
  <c r="H27" i="102"/>
  <c r="H26" i="102"/>
  <c r="H25" i="102"/>
  <c r="H24" i="102"/>
  <c r="H23" i="102"/>
  <c r="H22" i="102"/>
  <c r="G19" i="102"/>
  <c r="C19" i="102"/>
  <c r="H18" i="102"/>
  <c r="H17" i="102"/>
  <c r="H16" i="102"/>
  <c r="H15" i="102"/>
  <c r="H14" i="102"/>
  <c r="H13" i="102"/>
  <c r="H12" i="102"/>
  <c r="H11" i="102"/>
  <c r="H10" i="102"/>
  <c r="H9" i="102"/>
  <c r="H8" i="102"/>
  <c r="H7" i="102"/>
  <c r="F112" i="101"/>
  <c r="D31" i="101" s="1"/>
  <c r="F111" i="101"/>
  <c r="D8" i="101" s="1"/>
  <c r="C103" i="101"/>
  <c r="D102" i="101"/>
  <c r="D101" i="101"/>
  <c r="D100" i="101"/>
  <c r="D99" i="101"/>
  <c r="D98" i="101"/>
  <c r="D97" i="101"/>
  <c r="D96" i="101"/>
  <c r="D87" i="101"/>
  <c r="D86" i="101"/>
  <c r="D85" i="101"/>
  <c r="D84" i="101"/>
  <c r="D83" i="101"/>
  <c r="D90" i="101" s="1"/>
  <c r="G80" i="101"/>
  <c r="C80" i="101"/>
  <c r="H79" i="101"/>
  <c r="D79" i="101"/>
  <c r="H78" i="101"/>
  <c r="D78" i="101"/>
  <c r="H77" i="101"/>
  <c r="D77" i="101"/>
  <c r="H76" i="101"/>
  <c r="D76" i="101"/>
  <c r="H75" i="101"/>
  <c r="D75" i="101"/>
  <c r="H74" i="101"/>
  <c r="D74" i="101"/>
  <c r="H73" i="101"/>
  <c r="D73" i="101"/>
  <c r="H72" i="101"/>
  <c r="D72" i="101"/>
  <c r="H71" i="101"/>
  <c r="D71" i="101"/>
  <c r="H70" i="101"/>
  <c r="D70" i="101"/>
  <c r="H69" i="101"/>
  <c r="D69" i="101"/>
  <c r="H68" i="101"/>
  <c r="D68" i="101"/>
  <c r="G65" i="101"/>
  <c r="C65" i="101"/>
  <c r="H64" i="101"/>
  <c r="D64" i="101"/>
  <c r="H63" i="101"/>
  <c r="D63" i="101"/>
  <c r="H62" i="101"/>
  <c r="D62" i="101"/>
  <c r="H61" i="101"/>
  <c r="D61" i="101"/>
  <c r="H60" i="101"/>
  <c r="D60" i="101"/>
  <c r="H59" i="101"/>
  <c r="D59" i="101"/>
  <c r="H58" i="101"/>
  <c r="D58" i="101"/>
  <c r="H57" i="101"/>
  <c r="D57" i="101"/>
  <c r="H56" i="101"/>
  <c r="D56" i="101"/>
  <c r="H55" i="101"/>
  <c r="D55" i="101"/>
  <c r="H54" i="101"/>
  <c r="D54" i="101"/>
  <c r="H53" i="101"/>
  <c r="D53" i="101"/>
  <c r="G49" i="101"/>
  <c r="C49" i="101"/>
  <c r="H48" i="101"/>
  <c r="D48" i="101"/>
  <c r="H47" i="101"/>
  <c r="D47" i="101"/>
  <c r="H46" i="101"/>
  <c r="D46" i="101"/>
  <c r="H45" i="101"/>
  <c r="D45" i="101"/>
  <c r="H44" i="101"/>
  <c r="D44" i="101"/>
  <c r="H43" i="101"/>
  <c r="D43" i="101"/>
  <c r="H42" i="101"/>
  <c r="D42" i="101"/>
  <c r="H41" i="101"/>
  <c r="D41" i="101"/>
  <c r="H40" i="101"/>
  <c r="D40" i="101"/>
  <c r="H39" i="101"/>
  <c r="D39" i="101"/>
  <c r="H38" i="101"/>
  <c r="D38" i="101"/>
  <c r="H37" i="101"/>
  <c r="D37" i="101"/>
  <c r="G34" i="101"/>
  <c r="C34" i="101"/>
  <c r="H33" i="101"/>
  <c r="D33" i="101"/>
  <c r="H32" i="101"/>
  <c r="H31" i="101"/>
  <c r="H30" i="101"/>
  <c r="H29" i="101"/>
  <c r="H28" i="101"/>
  <c r="H27" i="101"/>
  <c r="H26" i="101"/>
  <c r="H25" i="101"/>
  <c r="H24" i="101"/>
  <c r="H23" i="101"/>
  <c r="H22" i="101"/>
  <c r="G19" i="101"/>
  <c r="C19" i="101"/>
  <c r="H18" i="101"/>
  <c r="H17" i="101"/>
  <c r="H16" i="101"/>
  <c r="H15" i="101"/>
  <c r="H14" i="101"/>
  <c r="H13" i="101"/>
  <c r="H12" i="101"/>
  <c r="H11" i="101"/>
  <c r="H10" i="101"/>
  <c r="H9" i="101"/>
  <c r="H8" i="101"/>
  <c r="H7" i="101"/>
  <c r="F112" i="100"/>
  <c r="D31" i="100" s="1"/>
  <c r="F111" i="100"/>
  <c r="D8" i="100" s="1"/>
  <c r="C103" i="100"/>
  <c r="D102" i="100"/>
  <c r="D101" i="100"/>
  <c r="D100" i="100"/>
  <c r="D99" i="100"/>
  <c r="D98" i="100"/>
  <c r="D97" i="100"/>
  <c r="D96" i="100"/>
  <c r="D87" i="100"/>
  <c r="D86" i="100"/>
  <c r="D85" i="100"/>
  <c r="D84" i="100"/>
  <c r="D83" i="100"/>
  <c r="D90" i="100" s="1"/>
  <c r="G80" i="100"/>
  <c r="C80" i="100"/>
  <c r="H79" i="100"/>
  <c r="D79" i="100"/>
  <c r="H78" i="100"/>
  <c r="D78" i="100"/>
  <c r="H77" i="100"/>
  <c r="D77" i="100"/>
  <c r="H76" i="100"/>
  <c r="D76" i="100"/>
  <c r="H75" i="100"/>
  <c r="D75" i="100"/>
  <c r="H74" i="100"/>
  <c r="D74" i="100"/>
  <c r="H73" i="100"/>
  <c r="D73" i="100"/>
  <c r="H72" i="100"/>
  <c r="D72" i="100"/>
  <c r="H71" i="100"/>
  <c r="D71" i="100"/>
  <c r="H70" i="100"/>
  <c r="D70" i="100"/>
  <c r="H69" i="100"/>
  <c r="D69" i="100"/>
  <c r="H68" i="100"/>
  <c r="D68" i="100"/>
  <c r="G65" i="100"/>
  <c r="C65" i="100"/>
  <c r="H64" i="100"/>
  <c r="D64" i="100"/>
  <c r="H63" i="100"/>
  <c r="D63" i="100"/>
  <c r="H62" i="100"/>
  <c r="D62" i="100"/>
  <c r="H61" i="100"/>
  <c r="D61" i="100"/>
  <c r="H60" i="100"/>
  <c r="D60" i="100"/>
  <c r="H59" i="100"/>
  <c r="D59" i="100"/>
  <c r="H58" i="100"/>
  <c r="D58" i="100"/>
  <c r="H57" i="100"/>
  <c r="D57" i="100"/>
  <c r="H56" i="100"/>
  <c r="D56" i="100"/>
  <c r="H55" i="100"/>
  <c r="D55" i="100"/>
  <c r="H54" i="100"/>
  <c r="D54" i="100"/>
  <c r="H53" i="100"/>
  <c r="D53" i="100"/>
  <c r="G49" i="100"/>
  <c r="C49" i="100"/>
  <c r="H48" i="100"/>
  <c r="D48" i="100"/>
  <c r="H47" i="100"/>
  <c r="D47" i="100"/>
  <c r="H46" i="100"/>
  <c r="D46" i="100"/>
  <c r="H45" i="100"/>
  <c r="D45" i="100"/>
  <c r="H44" i="100"/>
  <c r="D44" i="100"/>
  <c r="H43" i="100"/>
  <c r="D43" i="100"/>
  <c r="H42" i="100"/>
  <c r="D42" i="100"/>
  <c r="H41" i="100"/>
  <c r="D41" i="100"/>
  <c r="H40" i="100"/>
  <c r="D40" i="100"/>
  <c r="H39" i="100"/>
  <c r="D39" i="100"/>
  <c r="H38" i="100"/>
  <c r="D38" i="100"/>
  <c r="H37" i="100"/>
  <c r="D37" i="100"/>
  <c r="G34" i="100"/>
  <c r="C34" i="100"/>
  <c r="H33" i="100"/>
  <c r="D33" i="100"/>
  <c r="H32" i="100"/>
  <c r="H31" i="100"/>
  <c r="H30" i="100"/>
  <c r="H29" i="100"/>
  <c r="H28" i="100"/>
  <c r="H27" i="100"/>
  <c r="H26" i="100"/>
  <c r="H25" i="100"/>
  <c r="H24" i="100"/>
  <c r="H23" i="100"/>
  <c r="H22" i="100"/>
  <c r="G19" i="100"/>
  <c r="C19" i="100"/>
  <c r="H18" i="100"/>
  <c r="H17" i="100"/>
  <c r="H16" i="100"/>
  <c r="H15" i="100"/>
  <c r="H14" i="100"/>
  <c r="H13" i="100"/>
  <c r="H12" i="100"/>
  <c r="H11" i="100"/>
  <c r="H10" i="100"/>
  <c r="H9" i="100"/>
  <c r="H8" i="100"/>
  <c r="H7" i="100"/>
  <c r="F112" i="99"/>
  <c r="D22" i="99" s="1"/>
  <c r="F111" i="99"/>
  <c r="C103" i="99"/>
  <c r="D102" i="99"/>
  <c r="D101" i="99"/>
  <c r="D100" i="99"/>
  <c r="D99" i="99"/>
  <c r="D98" i="99"/>
  <c r="D97" i="99"/>
  <c r="D96" i="99"/>
  <c r="D87" i="99"/>
  <c r="D86" i="99"/>
  <c r="D85" i="99"/>
  <c r="D84" i="99"/>
  <c r="D83" i="99"/>
  <c r="D90" i="99" s="1"/>
  <c r="G80" i="99"/>
  <c r="C80" i="99"/>
  <c r="H79" i="99"/>
  <c r="D79" i="99"/>
  <c r="H78" i="99"/>
  <c r="D78" i="99"/>
  <c r="H77" i="99"/>
  <c r="D77" i="99"/>
  <c r="H76" i="99"/>
  <c r="D76" i="99"/>
  <c r="H75" i="99"/>
  <c r="D75" i="99"/>
  <c r="H74" i="99"/>
  <c r="D74" i="99"/>
  <c r="H73" i="99"/>
  <c r="D73" i="99"/>
  <c r="H72" i="99"/>
  <c r="D72" i="99"/>
  <c r="H71" i="99"/>
  <c r="D71" i="99"/>
  <c r="H70" i="99"/>
  <c r="D70" i="99"/>
  <c r="H69" i="99"/>
  <c r="D69" i="99"/>
  <c r="H68" i="99"/>
  <c r="D68" i="99"/>
  <c r="G65" i="99"/>
  <c r="C65" i="99"/>
  <c r="H64" i="99"/>
  <c r="D64" i="99"/>
  <c r="H63" i="99"/>
  <c r="D63" i="99"/>
  <c r="H62" i="99"/>
  <c r="D62" i="99"/>
  <c r="H61" i="99"/>
  <c r="D61" i="99"/>
  <c r="H60" i="99"/>
  <c r="D60" i="99"/>
  <c r="H59" i="99"/>
  <c r="D59" i="99"/>
  <c r="H58" i="99"/>
  <c r="D58" i="99"/>
  <c r="H57" i="99"/>
  <c r="D57" i="99"/>
  <c r="H56" i="99"/>
  <c r="D56" i="99"/>
  <c r="H55" i="99"/>
  <c r="D55" i="99"/>
  <c r="H54" i="99"/>
  <c r="D54" i="99"/>
  <c r="H53" i="99"/>
  <c r="D53" i="99"/>
  <c r="G49" i="99"/>
  <c r="C49" i="99"/>
  <c r="H48" i="99"/>
  <c r="D48" i="99"/>
  <c r="H47" i="99"/>
  <c r="D47" i="99"/>
  <c r="H46" i="99"/>
  <c r="D46" i="99"/>
  <c r="H45" i="99"/>
  <c r="D45" i="99"/>
  <c r="H44" i="99"/>
  <c r="D44" i="99"/>
  <c r="H43" i="99"/>
  <c r="D43" i="99"/>
  <c r="H42" i="99"/>
  <c r="D42" i="99"/>
  <c r="H41" i="99"/>
  <c r="D41" i="99"/>
  <c r="H40" i="99"/>
  <c r="D40" i="99"/>
  <c r="H39" i="99"/>
  <c r="D39" i="99"/>
  <c r="H38" i="99"/>
  <c r="D38" i="99"/>
  <c r="H37" i="99"/>
  <c r="D37" i="99"/>
  <c r="G34" i="99"/>
  <c r="C34" i="99"/>
  <c r="H33" i="99"/>
  <c r="H32" i="99"/>
  <c r="H31" i="99"/>
  <c r="H30" i="99"/>
  <c r="H29" i="99"/>
  <c r="H28" i="99"/>
  <c r="H27" i="99"/>
  <c r="H26" i="99"/>
  <c r="H25" i="99"/>
  <c r="H24" i="99"/>
  <c r="H23" i="99"/>
  <c r="H22" i="99"/>
  <c r="G19" i="99"/>
  <c r="C19" i="99"/>
  <c r="H18" i="99"/>
  <c r="H17" i="99"/>
  <c r="H16" i="99"/>
  <c r="H15" i="99"/>
  <c r="H14" i="99"/>
  <c r="H13" i="99"/>
  <c r="H12" i="99"/>
  <c r="H11" i="99"/>
  <c r="H10" i="99"/>
  <c r="H9" i="99"/>
  <c r="H8" i="99"/>
  <c r="H7" i="99"/>
  <c r="D7" i="99"/>
  <c r="F112" i="98"/>
  <c r="D30" i="98" s="1"/>
  <c r="F111" i="98"/>
  <c r="D15" i="98" s="1"/>
  <c r="C103" i="98"/>
  <c r="D102" i="98"/>
  <c r="D101" i="98"/>
  <c r="D100" i="98"/>
  <c r="D99" i="98"/>
  <c r="D98" i="98"/>
  <c r="D97" i="98"/>
  <c r="D96" i="98"/>
  <c r="D87" i="98"/>
  <c r="D86" i="98"/>
  <c r="D85" i="98"/>
  <c r="D84" i="98"/>
  <c r="D83" i="98"/>
  <c r="D90" i="98" s="1"/>
  <c r="G80" i="98"/>
  <c r="C80" i="98"/>
  <c r="H79" i="98"/>
  <c r="D79" i="98"/>
  <c r="H78" i="98"/>
  <c r="D78" i="98"/>
  <c r="H77" i="98"/>
  <c r="D77" i="98"/>
  <c r="H76" i="98"/>
  <c r="D76" i="98"/>
  <c r="H75" i="98"/>
  <c r="D75" i="98"/>
  <c r="H74" i="98"/>
  <c r="D74" i="98"/>
  <c r="H73" i="98"/>
  <c r="D73" i="98"/>
  <c r="H72" i="98"/>
  <c r="D72" i="98"/>
  <c r="H71" i="98"/>
  <c r="D71" i="98"/>
  <c r="H70" i="98"/>
  <c r="D70" i="98"/>
  <c r="H69" i="98"/>
  <c r="D69" i="98"/>
  <c r="H68" i="98"/>
  <c r="D68" i="98"/>
  <c r="G65" i="98"/>
  <c r="C65" i="98"/>
  <c r="H64" i="98"/>
  <c r="D64" i="98"/>
  <c r="H63" i="98"/>
  <c r="D63" i="98"/>
  <c r="H62" i="98"/>
  <c r="D62" i="98"/>
  <c r="H61" i="98"/>
  <c r="D61" i="98"/>
  <c r="H60" i="98"/>
  <c r="D60" i="98"/>
  <c r="H59" i="98"/>
  <c r="D59" i="98"/>
  <c r="H58" i="98"/>
  <c r="D58" i="98"/>
  <c r="H57" i="98"/>
  <c r="D57" i="98"/>
  <c r="H56" i="98"/>
  <c r="D56" i="98"/>
  <c r="H55" i="98"/>
  <c r="D55" i="98"/>
  <c r="H54" i="98"/>
  <c r="D54" i="98"/>
  <c r="H53" i="98"/>
  <c r="D53" i="98"/>
  <c r="G49" i="98"/>
  <c r="C49" i="98"/>
  <c r="H48" i="98"/>
  <c r="D48" i="98"/>
  <c r="H47" i="98"/>
  <c r="D47" i="98"/>
  <c r="H46" i="98"/>
  <c r="D46" i="98"/>
  <c r="H45" i="98"/>
  <c r="D45" i="98"/>
  <c r="H44" i="98"/>
  <c r="D44" i="98"/>
  <c r="H43" i="98"/>
  <c r="D43" i="98"/>
  <c r="H42" i="98"/>
  <c r="D42" i="98"/>
  <c r="H41" i="98"/>
  <c r="D41" i="98"/>
  <c r="H40" i="98"/>
  <c r="D40" i="98"/>
  <c r="H39" i="98"/>
  <c r="D39" i="98"/>
  <c r="H38" i="98"/>
  <c r="D38" i="98"/>
  <c r="H37" i="98"/>
  <c r="D37" i="98"/>
  <c r="G34" i="98"/>
  <c r="C34" i="98"/>
  <c r="H33" i="98"/>
  <c r="H32" i="98"/>
  <c r="H31" i="98"/>
  <c r="H30" i="98"/>
  <c r="H29" i="98"/>
  <c r="H28" i="98"/>
  <c r="H27" i="98"/>
  <c r="H26" i="98"/>
  <c r="H25" i="98"/>
  <c r="H24" i="98"/>
  <c r="H23" i="98"/>
  <c r="H22" i="98"/>
  <c r="G19" i="98"/>
  <c r="C19" i="98"/>
  <c r="H18" i="98"/>
  <c r="H17" i="98"/>
  <c r="H16" i="98"/>
  <c r="H15" i="98"/>
  <c r="H14" i="98"/>
  <c r="H13" i="98"/>
  <c r="H12" i="98"/>
  <c r="H11" i="98"/>
  <c r="H10" i="98"/>
  <c r="H9" i="98"/>
  <c r="H8" i="98"/>
  <c r="H7" i="98"/>
  <c r="F112" i="97"/>
  <c r="F111" i="97"/>
  <c r="D17" i="97" s="1"/>
  <c r="C103" i="97"/>
  <c r="D102" i="97"/>
  <c r="D101" i="97"/>
  <c r="D100" i="97"/>
  <c r="D99" i="97"/>
  <c r="D98" i="97"/>
  <c r="D97" i="97"/>
  <c r="D96" i="97"/>
  <c r="D87" i="97"/>
  <c r="D86" i="97"/>
  <c r="D85" i="97"/>
  <c r="D84" i="97"/>
  <c r="D83" i="97"/>
  <c r="D90" i="97" s="1"/>
  <c r="G80" i="97"/>
  <c r="C80" i="97"/>
  <c r="H79" i="97"/>
  <c r="D79" i="97"/>
  <c r="H78" i="97"/>
  <c r="D78" i="97"/>
  <c r="H77" i="97"/>
  <c r="D77" i="97"/>
  <c r="H76" i="97"/>
  <c r="D76" i="97"/>
  <c r="H75" i="97"/>
  <c r="D75" i="97"/>
  <c r="H74" i="97"/>
  <c r="D74" i="97"/>
  <c r="H73" i="97"/>
  <c r="D73" i="97"/>
  <c r="H72" i="97"/>
  <c r="D72" i="97"/>
  <c r="H71" i="97"/>
  <c r="D71" i="97"/>
  <c r="H70" i="97"/>
  <c r="D70" i="97"/>
  <c r="H69" i="97"/>
  <c r="D69" i="97"/>
  <c r="H68" i="97"/>
  <c r="D68" i="97"/>
  <c r="G65" i="97"/>
  <c r="C65" i="97"/>
  <c r="H64" i="97"/>
  <c r="D64" i="97"/>
  <c r="H63" i="97"/>
  <c r="D63" i="97"/>
  <c r="H62" i="97"/>
  <c r="D62" i="97"/>
  <c r="H61" i="97"/>
  <c r="D61" i="97"/>
  <c r="H60" i="97"/>
  <c r="D60" i="97"/>
  <c r="H59" i="97"/>
  <c r="D59" i="97"/>
  <c r="H58" i="97"/>
  <c r="D58" i="97"/>
  <c r="H57" i="97"/>
  <c r="D57" i="97"/>
  <c r="H56" i="97"/>
  <c r="D56" i="97"/>
  <c r="H55" i="97"/>
  <c r="D55" i="97"/>
  <c r="H54" i="97"/>
  <c r="D54" i="97"/>
  <c r="H53" i="97"/>
  <c r="D53" i="97"/>
  <c r="G49" i="97"/>
  <c r="C49" i="97"/>
  <c r="H48" i="97"/>
  <c r="D48" i="97"/>
  <c r="H47" i="97"/>
  <c r="D47" i="97"/>
  <c r="H46" i="97"/>
  <c r="D46" i="97"/>
  <c r="H45" i="97"/>
  <c r="D45" i="97"/>
  <c r="H44" i="97"/>
  <c r="D44" i="97"/>
  <c r="H43" i="97"/>
  <c r="D43" i="97"/>
  <c r="H42" i="97"/>
  <c r="D42" i="97"/>
  <c r="H41" i="97"/>
  <c r="D41" i="97"/>
  <c r="H40" i="97"/>
  <c r="D40" i="97"/>
  <c r="H39" i="97"/>
  <c r="D39" i="97"/>
  <c r="H38" i="97"/>
  <c r="D38" i="97"/>
  <c r="H37" i="97"/>
  <c r="D37" i="97"/>
  <c r="G34" i="97"/>
  <c r="C34" i="97"/>
  <c r="H33" i="97"/>
  <c r="H32" i="97"/>
  <c r="H31" i="97"/>
  <c r="H30" i="97"/>
  <c r="H29" i="97"/>
  <c r="H28" i="97"/>
  <c r="H27" i="97"/>
  <c r="H26" i="97"/>
  <c r="H25" i="97"/>
  <c r="H24" i="97"/>
  <c r="H23" i="97"/>
  <c r="H22" i="97"/>
  <c r="G19" i="97"/>
  <c r="C19" i="97"/>
  <c r="H18" i="97"/>
  <c r="H17" i="97"/>
  <c r="H16" i="97"/>
  <c r="H15" i="97"/>
  <c r="H14" i="97"/>
  <c r="H13" i="97"/>
  <c r="H12" i="97"/>
  <c r="H11" i="97"/>
  <c r="H10" i="97"/>
  <c r="H9" i="97"/>
  <c r="H8" i="97"/>
  <c r="H7" i="97"/>
  <c r="D112" i="96"/>
  <c r="F112" i="96" s="1"/>
  <c r="F111" i="96"/>
  <c r="C103" i="96"/>
  <c r="D102" i="96"/>
  <c r="D101" i="96"/>
  <c r="D100" i="96"/>
  <c r="D99" i="96"/>
  <c r="D98" i="96"/>
  <c r="D97" i="96"/>
  <c r="D96" i="96"/>
  <c r="D87" i="96"/>
  <c r="D86" i="96"/>
  <c r="D85" i="96"/>
  <c r="D84" i="96"/>
  <c r="D83" i="96"/>
  <c r="D90" i="96" s="1"/>
  <c r="G80" i="96"/>
  <c r="C80" i="96"/>
  <c r="H79" i="96"/>
  <c r="D79" i="96"/>
  <c r="H78" i="96"/>
  <c r="D78" i="96"/>
  <c r="H77" i="96"/>
  <c r="D77" i="96"/>
  <c r="H76" i="96"/>
  <c r="D76" i="96"/>
  <c r="H75" i="96"/>
  <c r="D75" i="96"/>
  <c r="H74" i="96"/>
  <c r="D74" i="96"/>
  <c r="H73" i="96"/>
  <c r="D73" i="96"/>
  <c r="H72" i="96"/>
  <c r="D72" i="96"/>
  <c r="H71" i="96"/>
  <c r="D71" i="96"/>
  <c r="H70" i="96"/>
  <c r="D70" i="96"/>
  <c r="H69" i="96"/>
  <c r="D69" i="96"/>
  <c r="H68" i="96"/>
  <c r="D68" i="96"/>
  <c r="G65" i="96"/>
  <c r="C65" i="96"/>
  <c r="H64" i="96"/>
  <c r="D64" i="96"/>
  <c r="H63" i="96"/>
  <c r="D63" i="96"/>
  <c r="H62" i="96"/>
  <c r="D62" i="96"/>
  <c r="H61" i="96"/>
  <c r="D61" i="96"/>
  <c r="H60" i="96"/>
  <c r="D60" i="96"/>
  <c r="H59" i="96"/>
  <c r="D59" i="96"/>
  <c r="H58" i="96"/>
  <c r="D58" i="96"/>
  <c r="H57" i="96"/>
  <c r="D57" i="96"/>
  <c r="H56" i="96"/>
  <c r="D56" i="96"/>
  <c r="H55" i="96"/>
  <c r="D55" i="96"/>
  <c r="H54" i="96"/>
  <c r="D54" i="96"/>
  <c r="H53" i="96"/>
  <c r="D53" i="96"/>
  <c r="G49" i="96"/>
  <c r="C49" i="96"/>
  <c r="H48" i="96"/>
  <c r="D48" i="96"/>
  <c r="H47" i="96"/>
  <c r="D47" i="96"/>
  <c r="H46" i="96"/>
  <c r="D46" i="96"/>
  <c r="H45" i="96"/>
  <c r="D45" i="96"/>
  <c r="H44" i="96"/>
  <c r="D44" i="96"/>
  <c r="H43" i="96"/>
  <c r="D43" i="96"/>
  <c r="H42" i="96"/>
  <c r="D42" i="96"/>
  <c r="H41" i="96"/>
  <c r="D41" i="96"/>
  <c r="H40" i="96"/>
  <c r="D40" i="96"/>
  <c r="H39" i="96"/>
  <c r="D39" i="96"/>
  <c r="H38" i="96"/>
  <c r="D38" i="96"/>
  <c r="H37" i="96"/>
  <c r="D37" i="96"/>
  <c r="G34" i="96"/>
  <c r="C34" i="96"/>
  <c r="H33" i="96"/>
  <c r="H32" i="96"/>
  <c r="H31" i="96"/>
  <c r="H30" i="96"/>
  <c r="H29" i="96"/>
  <c r="H28" i="96"/>
  <c r="H27" i="96"/>
  <c r="H26" i="96"/>
  <c r="H25" i="96"/>
  <c r="H24" i="96"/>
  <c r="H23" i="96"/>
  <c r="H22" i="96"/>
  <c r="G19" i="96"/>
  <c r="C19" i="96"/>
  <c r="H18" i="96"/>
  <c r="H17" i="96"/>
  <c r="H16" i="96"/>
  <c r="H15" i="96"/>
  <c r="H14" i="96"/>
  <c r="H13" i="96"/>
  <c r="H12" i="96"/>
  <c r="H11" i="96"/>
  <c r="H10" i="96"/>
  <c r="H9" i="96"/>
  <c r="H8" i="96"/>
  <c r="H7" i="96"/>
  <c r="F112" i="95"/>
  <c r="F111" i="95"/>
  <c r="D16" i="95" s="1"/>
  <c r="C103" i="95"/>
  <c r="D102" i="95"/>
  <c r="D101" i="95"/>
  <c r="D100" i="95"/>
  <c r="D99" i="95"/>
  <c r="D98" i="95"/>
  <c r="D97" i="95"/>
  <c r="D96" i="95"/>
  <c r="D87" i="95"/>
  <c r="D86" i="95"/>
  <c r="D85" i="95"/>
  <c r="D84" i="95"/>
  <c r="D83" i="95"/>
  <c r="D90" i="95" s="1"/>
  <c r="G80" i="95"/>
  <c r="C80" i="95"/>
  <c r="H79" i="95"/>
  <c r="D79" i="95"/>
  <c r="H78" i="95"/>
  <c r="D78" i="95"/>
  <c r="H77" i="95"/>
  <c r="D77" i="95"/>
  <c r="H76" i="95"/>
  <c r="D76" i="95"/>
  <c r="H75" i="95"/>
  <c r="D75" i="95"/>
  <c r="H74" i="95"/>
  <c r="D74" i="95"/>
  <c r="H73" i="95"/>
  <c r="D73" i="95"/>
  <c r="H72" i="95"/>
  <c r="D72" i="95"/>
  <c r="H71" i="95"/>
  <c r="D71" i="95"/>
  <c r="H70" i="95"/>
  <c r="D70" i="95"/>
  <c r="H69" i="95"/>
  <c r="D69" i="95"/>
  <c r="H68" i="95"/>
  <c r="D68" i="95"/>
  <c r="G65" i="95"/>
  <c r="C65" i="95"/>
  <c r="H64" i="95"/>
  <c r="D64" i="95"/>
  <c r="H63" i="95"/>
  <c r="D63" i="95"/>
  <c r="H62" i="95"/>
  <c r="D62" i="95"/>
  <c r="H61" i="95"/>
  <c r="D61" i="95"/>
  <c r="H60" i="95"/>
  <c r="D60" i="95"/>
  <c r="H59" i="95"/>
  <c r="D59" i="95"/>
  <c r="H58" i="95"/>
  <c r="D58" i="95"/>
  <c r="H57" i="95"/>
  <c r="D57" i="95"/>
  <c r="H56" i="95"/>
  <c r="D56" i="95"/>
  <c r="H55" i="95"/>
  <c r="D55" i="95"/>
  <c r="H54" i="95"/>
  <c r="D54" i="95"/>
  <c r="H53" i="95"/>
  <c r="D53" i="95"/>
  <c r="G49" i="95"/>
  <c r="C49" i="95"/>
  <c r="H48" i="95"/>
  <c r="D48" i="95"/>
  <c r="H47" i="95"/>
  <c r="D47" i="95"/>
  <c r="H46" i="95"/>
  <c r="D46" i="95"/>
  <c r="H45" i="95"/>
  <c r="D45" i="95"/>
  <c r="H44" i="95"/>
  <c r="D44" i="95"/>
  <c r="H43" i="95"/>
  <c r="D43" i="95"/>
  <c r="H42" i="95"/>
  <c r="D42" i="95"/>
  <c r="H41" i="95"/>
  <c r="D41" i="95"/>
  <c r="H40" i="95"/>
  <c r="D40" i="95"/>
  <c r="H39" i="95"/>
  <c r="D39" i="95"/>
  <c r="H38" i="95"/>
  <c r="D38" i="95"/>
  <c r="H37" i="95"/>
  <c r="D37" i="95"/>
  <c r="G34" i="95"/>
  <c r="C34" i="95"/>
  <c r="H33" i="95"/>
  <c r="H32" i="95"/>
  <c r="H31" i="95"/>
  <c r="H30" i="95"/>
  <c r="H29" i="95"/>
  <c r="H28" i="95"/>
  <c r="H27" i="95"/>
  <c r="H26" i="95"/>
  <c r="H25" i="95"/>
  <c r="H24" i="95"/>
  <c r="H23" i="95"/>
  <c r="H22" i="95"/>
  <c r="G19" i="95"/>
  <c r="C19" i="95"/>
  <c r="H18" i="95"/>
  <c r="H17" i="95"/>
  <c r="H16" i="95"/>
  <c r="H15" i="95"/>
  <c r="H14" i="95"/>
  <c r="H13" i="95"/>
  <c r="H12" i="95"/>
  <c r="H11" i="95"/>
  <c r="H10" i="95"/>
  <c r="H9" i="95"/>
  <c r="H8" i="95"/>
  <c r="H7" i="95"/>
  <c r="F112" i="94"/>
  <c r="D22" i="94" s="1"/>
  <c r="F111" i="94"/>
  <c r="D16" i="94" s="1"/>
  <c r="C103" i="94"/>
  <c r="D102" i="94"/>
  <c r="D101" i="94"/>
  <c r="D100" i="94"/>
  <c r="D99" i="94"/>
  <c r="D98" i="94"/>
  <c r="D97" i="94"/>
  <c r="D96" i="94"/>
  <c r="D87" i="94"/>
  <c r="D86" i="94"/>
  <c r="D85" i="94"/>
  <c r="D84" i="94"/>
  <c r="D83" i="94"/>
  <c r="D90" i="94" s="1"/>
  <c r="G80" i="94"/>
  <c r="C80" i="94"/>
  <c r="H79" i="94"/>
  <c r="D79" i="94"/>
  <c r="H78" i="94"/>
  <c r="D78" i="94"/>
  <c r="H77" i="94"/>
  <c r="D77" i="94"/>
  <c r="H76" i="94"/>
  <c r="D76" i="94"/>
  <c r="H75" i="94"/>
  <c r="D75" i="94"/>
  <c r="H74" i="94"/>
  <c r="D74" i="94"/>
  <c r="H73" i="94"/>
  <c r="D73" i="94"/>
  <c r="H72" i="94"/>
  <c r="D72" i="94"/>
  <c r="H71" i="94"/>
  <c r="D71" i="94"/>
  <c r="H70" i="94"/>
  <c r="D70" i="94"/>
  <c r="H69" i="94"/>
  <c r="D69" i="94"/>
  <c r="H68" i="94"/>
  <c r="D68" i="94"/>
  <c r="C65" i="94"/>
  <c r="H64" i="94"/>
  <c r="D64" i="94"/>
  <c r="H63" i="94"/>
  <c r="D63" i="94"/>
  <c r="H62" i="94"/>
  <c r="D62" i="94"/>
  <c r="H61" i="94"/>
  <c r="D61" i="94"/>
  <c r="G60" i="94"/>
  <c r="D60" i="94"/>
  <c r="H59" i="94"/>
  <c r="D59" i="94"/>
  <c r="H58" i="94"/>
  <c r="D58" i="94"/>
  <c r="H57" i="94"/>
  <c r="D57" i="94"/>
  <c r="H56" i="94"/>
  <c r="D56" i="94"/>
  <c r="H55" i="94"/>
  <c r="D55" i="94"/>
  <c r="H54" i="94"/>
  <c r="D54" i="94"/>
  <c r="H53" i="94"/>
  <c r="D53" i="94"/>
  <c r="G49" i="94"/>
  <c r="C49" i="94"/>
  <c r="H48" i="94"/>
  <c r="D48" i="94"/>
  <c r="H47" i="94"/>
  <c r="D47" i="94"/>
  <c r="H46" i="94"/>
  <c r="D46" i="94"/>
  <c r="H45" i="94"/>
  <c r="D45" i="94"/>
  <c r="H44" i="94"/>
  <c r="D44" i="94"/>
  <c r="H43" i="94"/>
  <c r="D43" i="94"/>
  <c r="H42" i="94"/>
  <c r="D42" i="94"/>
  <c r="H41" i="94"/>
  <c r="D41" i="94"/>
  <c r="H40" i="94"/>
  <c r="D40" i="94"/>
  <c r="H39" i="94"/>
  <c r="D39" i="94"/>
  <c r="H38" i="94"/>
  <c r="D38" i="94"/>
  <c r="H37" i="94"/>
  <c r="D37" i="94"/>
  <c r="G34" i="94"/>
  <c r="C34" i="94"/>
  <c r="H33" i="94"/>
  <c r="H32" i="94"/>
  <c r="D32" i="94"/>
  <c r="H31" i="94"/>
  <c r="H30" i="94"/>
  <c r="H29" i="94"/>
  <c r="H28" i="94"/>
  <c r="H27" i="94"/>
  <c r="H26" i="94"/>
  <c r="H25" i="94"/>
  <c r="H24" i="94"/>
  <c r="H23" i="94"/>
  <c r="H22" i="94"/>
  <c r="G19" i="94"/>
  <c r="C19" i="94"/>
  <c r="H18" i="94"/>
  <c r="H17" i="94"/>
  <c r="H16" i="94"/>
  <c r="H15" i="94"/>
  <c r="H14" i="94"/>
  <c r="H13" i="94"/>
  <c r="H12" i="94"/>
  <c r="H11" i="94"/>
  <c r="H10" i="94"/>
  <c r="H9" i="94"/>
  <c r="H8" i="94"/>
  <c r="H7" i="94"/>
  <c r="F112" i="93"/>
  <c r="D25" i="93" s="1"/>
  <c r="F111" i="93"/>
  <c r="D8" i="93" s="1"/>
  <c r="C103" i="93"/>
  <c r="D102" i="93"/>
  <c r="D101" i="93"/>
  <c r="D100" i="93"/>
  <c r="D99" i="93"/>
  <c r="D98" i="93"/>
  <c r="D97" i="93"/>
  <c r="D96" i="93"/>
  <c r="D87" i="93"/>
  <c r="D86" i="93"/>
  <c r="D85" i="93"/>
  <c r="D84" i="93"/>
  <c r="D83" i="93"/>
  <c r="D90" i="93" s="1"/>
  <c r="G80" i="93"/>
  <c r="C80" i="93"/>
  <c r="H79" i="93"/>
  <c r="D79" i="93"/>
  <c r="H78" i="93"/>
  <c r="D78" i="93"/>
  <c r="H77" i="93"/>
  <c r="D77" i="93"/>
  <c r="H76" i="93"/>
  <c r="D76" i="93"/>
  <c r="H75" i="93"/>
  <c r="D75" i="93"/>
  <c r="H74" i="93"/>
  <c r="D74" i="93"/>
  <c r="H73" i="93"/>
  <c r="D73" i="93"/>
  <c r="H72" i="93"/>
  <c r="D72" i="93"/>
  <c r="H71" i="93"/>
  <c r="D71" i="93"/>
  <c r="H70" i="93"/>
  <c r="D70" i="93"/>
  <c r="H69" i="93"/>
  <c r="D69" i="93"/>
  <c r="H68" i="93"/>
  <c r="D68" i="93"/>
  <c r="G65" i="93"/>
  <c r="C65" i="93"/>
  <c r="H64" i="93"/>
  <c r="D64" i="93"/>
  <c r="H63" i="93"/>
  <c r="D63" i="93"/>
  <c r="H62" i="93"/>
  <c r="D62" i="93"/>
  <c r="H61" i="93"/>
  <c r="D61" i="93"/>
  <c r="H60" i="93"/>
  <c r="D60" i="93"/>
  <c r="H59" i="93"/>
  <c r="D59" i="93"/>
  <c r="H58" i="93"/>
  <c r="D58" i="93"/>
  <c r="H57" i="93"/>
  <c r="D57" i="93"/>
  <c r="H56" i="93"/>
  <c r="D56" i="93"/>
  <c r="H55" i="93"/>
  <c r="D55" i="93"/>
  <c r="H54" i="93"/>
  <c r="D54" i="93"/>
  <c r="H53" i="93"/>
  <c r="D53" i="93"/>
  <c r="G49" i="93"/>
  <c r="C49" i="93"/>
  <c r="H48" i="93"/>
  <c r="D48" i="93"/>
  <c r="H47" i="93"/>
  <c r="D47" i="93"/>
  <c r="H46" i="93"/>
  <c r="D46" i="93"/>
  <c r="H45" i="93"/>
  <c r="D45" i="93"/>
  <c r="H44" i="93"/>
  <c r="D44" i="93"/>
  <c r="H43" i="93"/>
  <c r="D43" i="93"/>
  <c r="H42" i="93"/>
  <c r="D42" i="93"/>
  <c r="H41" i="93"/>
  <c r="D41" i="93"/>
  <c r="H40" i="93"/>
  <c r="D40" i="93"/>
  <c r="H39" i="93"/>
  <c r="D39" i="93"/>
  <c r="H38" i="93"/>
  <c r="D38" i="93"/>
  <c r="H37" i="93"/>
  <c r="D37" i="93"/>
  <c r="G34" i="93"/>
  <c r="C34" i="93"/>
  <c r="H33" i="93"/>
  <c r="D33" i="93"/>
  <c r="H32" i="93"/>
  <c r="H31" i="93"/>
  <c r="H30" i="93"/>
  <c r="H29" i="93"/>
  <c r="H28" i="93"/>
  <c r="H27" i="93"/>
  <c r="H26" i="93"/>
  <c r="H25" i="93"/>
  <c r="H24" i="93"/>
  <c r="H23" i="93"/>
  <c r="H22" i="93"/>
  <c r="G19" i="93"/>
  <c r="C19" i="93"/>
  <c r="H18" i="93"/>
  <c r="H17" i="93"/>
  <c r="H16" i="93"/>
  <c r="H15" i="93"/>
  <c r="H14" i="93"/>
  <c r="H13" i="93"/>
  <c r="H12" i="93"/>
  <c r="H11" i="93"/>
  <c r="H10" i="93"/>
  <c r="H9" i="93"/>
  <c r="H8" i="93"/>
  <c r="H7" i="93"/>
  <c r="F112" i="92"/>
  <c r="D27" i="92" s="1"/>
  <c r="F111" i="92"/>
  <c r="D11" i="92" s="1"/>
  <c r="C103" i="92"/>
  <c r="D102" i="92"/>
  <c r="D101" i="92"/>
  <c r="D100" i="92"/>
  <c r="D99" i="92"/>
  <c r="D98" i="92"/>
  <c r="D97" i="92"/>
  <c r="D96" i="92"/>
  <c r="D87" i="92"/>
  <c r="D86" i="92"/>
  <c r="D85" i="92"/>
  <c r="D84" i="92"/>
  <c r="D83" i="92"/>
  <c r="D90" i="92" s="1"/>
  <c r="G80" i="92"/>
  <c r="C80" i="92"/>
  <c r="H79" i="92"/>
  <c r="D79" i="92"/>
  <c r="H78" i="92"/>
  <c r="D78" i="92"/>
  <c r="H77" i="92"/>
  <c r="D77" i="92"/>
  <c r="H76" i="92"/>
  <c r="D76" i="92"/>
  <c r="H75" i="92"/>
  <c r="D75" i="92"/>
  <c r="H74" i="92"/>
  <c r="D74" i="92"/>
  <c r="H73" i="92"/>
  <c r="D73" i="92"/>
  <c r="H72" i="92"/>
  <c r="D72" i="92"/>
  <c r="H71" i="92"/>
  <c r="D71" i="92"/>
  <c r="H70" i="92"/>
  <c r="D70" i="92"/>
  <c r="H69" i="92"/>
  <c r="D69" i="92"/>
  <c r="H68" i="92"/>
  <c r="D68" i="92"/>
  <c r="G65" i="92"/>
  <c r="C65" i="92"/>
  <c r="H64" i="92"/>
  <c r="D64" i="92"/>
  <c r="H63" i="92"/>
  <c r="D63" i="92"/>
  <c r="H62" i="92"/>
  <c r="D62" i="92"/>
  <c r="H61" i="92"/>
  <c r="D61" i="92"/>
  <c r="H60" i="92"/>
  <c r="D60" i="92"/>
  <c r="H59" i="92"/>
  <c r="D59" i="92"/>
  <c r="H58" i="92"/>
  <c r="D58" i="92"/>
  <c r="H57" i="92"/>
  <c r="D57" i="92"/>
  <c r="H56" i="92"/>
  <c r="D56" i="92"/>
  <c r="H55" i="92"/>
  <c r="D55" i="92"/>
  <c r="H54" i="92"/>
  <c r="D54" i="92"/>
  <c r="H53" i="92"/>
  <c r="D53" i="92"/>
  <c r="G49" i="92"/>
  <c r="C49" i="92"/>
  <c r="H48" i="92"/>
  <c r="D48" i="92"/>
  <c r="H47" i="92"/>
  <c r="D47" i="92"/>
  <c r="H46" i="92"/>
  <c r="D46" i="92"/>
  <c r="H45" i="92"/>
  <c r="D45" i="92"/>
  <c r="H44" i="92"/>
  <c r="D44" i="92"/>
  <c r="H43" i="92"/>
  <c r="D43" i="92"/>
  <c r="H42" i="92"/>
  <c r="D42" i="92"/>
  <c r="H41" i="92"/>
  <c r="D41" i="92"/>
  <c r="H40" i="92"/>
  <c r="D40" i="92"/>
  <c r="H39" i="92"/>
  <c r="D39" i="92"/>
  <c r="H38" i="92"/>
  <c r="D38" i="92"/>
  <c r="H37" i="92"/>
  <c r="D37" i="92"/>
  <c r="G34" i="92"/>
  <c r="C34" i="92"/>
  <c r="H33" i="92"/>
  <c r="D33" i="92"/>
  <c r="H32" i="92"/>
  <c r="H31" i="92"/>
  <c r="H30" i="92"/>
  <c r="H29" i="92"/>
  <c r="H28" i="92"/>
  <c r="H27" i="92"/>
  <c r="H26" i="92"/>
  <c r="H25" i="92"/>
  <c r="H24" i="92"/>
  <c r="H23" i="92"/>
  <c r="H22" i="92"/>
  <c r="G19" i="92"/>
  <c r="C19" i="92"/>
  <c r="H18" i="92"/>
  <c r="H17" i="92"/>
  <c r="H16" i="92"/>
  <c r="H15" i="92"/>
  <c r="H14" i="92"/>
  <c r="H13" i="92"/>
  <c r="H12" i="92"/>
  <c r="H11" i="92"/>
  <c r="H10" i="92"/>
  <c r="H9" i="92"/>
  <c r="H8" i="92"/>
  <c r="H7" i="92"/>
  <c r="F112" i="91"/>
  <c r="D26" i="91" s="1"/>
  <c r="F111" i="91"/>
  <c r="C103" i="91"/>
  <c r="D102" i="91"/>
  <c r="D101" i="91"/>
  <c r="D100" i="91"/>
  <c r="D99" i="91"/>
  <c r="D98" i="91"/>
  <c r="D97" i="91"/>
  <c r="D96" i="91"/>
  <c r="D87" i="91"/>
  <c r="D86" i="91"/>
  <c r="D85" i="91"/>
  <c r="D84" i="91"/>
  <c r="D83" i="91"/>
  <c r="D90" i="91" s="1"/>
  <c r="G80" i="91"/>
  <c r="C80" i="91"/>
  <c r="H79" i="91"/>
  <c r="D79" i="91"/>
  <c r="H78" i="91"/>
  <c r="D78" i="91"/>
  <c r="H77" i="91"/>
  <c r="D77" i="91"/>
  <c r="H76" i="91"/>
  <c r="D76" i="91"/>
  <c r="H75" i="91"/>
  <c r="D75" i="91"/>
  <c r="H74" i="91"/>
  <c r="D74" i="91"/>
  <c r="H73" i="91"/>
  <c r="D73" i="91"/>
  <c r="H72" i="91"/>
  <c r="D72" i="91"/>
  <c r="H71" i="91"/>
  <c r="D71" i="91"/>
  <c r="H70" i="91"/>
  <c r="D70" i="91"/>
  <c r="H69" i="91"/>
  <c r="D69" i="91"/>
  <c r="H68" i="91"/>
  <c r="D68" i="91"/>
  <c r="G65" i="91"/>
  <c r="C65" i="91"/>
  <c r="H64" i="91"/>
  <c r="D64" i="91"/>
  <c r="H63" i="91"/>
  <c r="D63" i="91"/>
  <c r="H62" i="91"/>
  <c r="D62" i="91"/>
  <c r="H61" i="91"/>
  <c r="D61" i="91"/>
  <c r="H60" i="91"/>
  <c r="D60" i="91"/>
  <c r="H59" i="91"/>
  <c r="D59" i="91"/>
  <c r="H58" i="91"/>
  <c r="D58" i="91"/>
  <c r="H57" i="91"/>
  <c r="D57" i="91"/>
  <c r="H56" i="91"/>
  <c r="D56" i="91"/>
  <c r="H55" i="91"/>
  <c r="D55" i="91"/>
  <c r="H54" i="91"/>
  <c r="D54" i="91"/>
  <c r="H53" i="91"/>
  <c r="D53" i="91"/>
  <c r="G49" i="91"/>
  <c r="C49" i="91"/>
  <c r="H48" i="91"/>
  <c r="D48" i="91"/>
  <c r="H47" i="91"/>
  <c r="D47" i="91"/>
  <c r="H46" i="91"/>
  <c r="D46" i="91"/>
  <c r="H45" i="91"/>
  <c r="D45" i="91"/>
  <c r="H44" i="91"/>
  <c r="D44" i="91"/>
  <c r="H43" i="91"/>
  <c r="D43" i="91"/>
  <c r="H42" i="91"/>
  <c r="D42" i="91"/>
  <c r="H41" i="91"/>
  <c r="D41" i="91"/>
  <c r="H40" i="91"/>
  <c r="D40" i="91"/>
  <c r="H39" i="91"/>
  <c r="D39" i="91"/>
  <c r="H38" i="91"/>
  <c r="D38" i="91"/>
  <c r="H37" i="91"/>
  <c r="D37" i="91"/>
  <c r="G34" i="91"/>
  <c r="C34" i="91"/>
  <c r="H33" i="91"/>
  <c r="H32" i="91"/>
  <c r="H31" i="91"/>
  <c r="H30" i="91"/>
  <c r="H29" i="91"/>
  <c r="H28" i="91"/>
  <c r="H27" i="91"/>
  <c r="H26" i="91"/>
  <c r="H25" i="91"/>
  <c r="H24" i="91"/>
  <c r="H23" i="91"/>
  <c r="H22" i="91"/>
  <c r="G19" i="91"/>
  <c r="C19" i="91"/>
  <c r="H18" i="91"/>
  <c r="H17" i="91"/>
  <c r="H16" i="91"/>
  <c r="H15" i="91"/>
  <c r="H14" i="91"/>
  <c r="H13" i="91"/>
  <c r="H12" i="91"/>
  <c r="H11" i="91"/>
  <c r="H10" i="91"/>
  <c r="H9" i="91"/>
  <c r="H8" i="91"/>
  <c r="H7" i="91"/>
  <c r="F112" i="90"/>
  <c r="D22" i="90" s="1"/>
  <c r="F111" i="90"/>
  <c r="D18" i="90" s="1"/>
  <c r="C103" i="90"/>
  <c r="D102" i="90"/>
  <c r="D101" i="90"/>
  <c r="D100" i="90"/>
  <c r="D99" i="90"/>
  <c r="D98" i="90"/>
  <c r="D97" i="90"/>
  <c r="D96" i="90"/>
  <c r="D87" i="90"/>
  <c r="D86" i="90"/>
  <c r="D85" i="90"/>
  <c r="D84" i="90"/>
  <c r="D83" i="90"/>
  <c r="D90" i="90" s="1"/>
  <c r="G80" i="90"/>
  <c r="C80" i="90"/>
  <c r="H79" i="90"/>
  <c r="D79" i="90"/>
  <c r="H78" i="90"/>
  <c r="D78" i="90"/>
  <c r="H77" i="90"/>
  <c r="D77" i="90"/>
  <c r="H76" i="90"/>
  <c r="D76" i="90"/>
  <c r="H75" i="90"/>
  <c r="D75" i="90"/>
  <c r="H74" i="90"/>
  <c r="D74" i="90"/>
  <c r="H73" i="90"/>
  <c r="D73" i="90"/>
  <c r="H72" i="90"/>
  <c r="D72" i="90"/>
  <c r="H71" i="90"/>
  <c r="D71" i="90"/>
  <c r="H70" i="90"/>
  <c r="D70" i="90"/>
  <c r="H69" i="90"/>
  <c r="D69" i="90"/>
  <c r="H68" i="90"/>
  <c r="D68" i="90"/>
  <c r="G65" i="90"/>
  <c r="C65" i="90"/>
  <c r="H64" i="90"/>
  <c r="D64" i="90"/>
  <c r="H63" i="90"/>
  <c r="D63" i="90"/>
  <c r="H62" i="90"/>
  <c r="D62" i="90"/>
  <c r="H61" i="90"/>
  <c r="D61" i="90"/>
  <c r="H60" i="90"/>
  <c r="D60" i="90"/>
  <c r="H59" i="90"/>
  <c r="D59" i="90"/>
  <c r="H58" i="90"/>
  <c r="D58" i="90"/>
  <c r="H57" i="90"/>
  <c r="D57" i="90"/>
  <c r="H56" i="90"/>
  <c r="D56" i="90"/>
  <c r="H55" i="90"/>
  <c r="D55" i="90"/>
  <c r="H54" i="90"/>
  <c r="D54" i="90"/>
  <c r="H53" i="90"/>
  <c r="D53" i="90"/>
  <c r="G49" i="90"/>
  <c r="C49" i="90"/>
  <c r="H48" i="90"/>
  <c r="D48" i="90"/>
  <c r="H47" i="90"/>
  <c r="D47" i="90"/>
  <c r="H46" i="90"/>
  <c r="D46" i="90"/>
  <c r="H45" i="90"/>
  <c r="D45" i="90"/>
  <c r="H44" i="90"/>
  <c r="D44" i="90"/>
  <c r="H43" i="90"/>
  <c r="D43" i="90"/>
  <c r="H42" i="90"/>
  <c r="D42" i="90"/>
  <c r="H41" i="90"/>
  <c r="D41" i="90"/>
  <c r="H40" i="90"/>
  <c r="D40" i="90"/>
  <c r="H39" i="90"/>
  <c r="D39" i="90"/>
  <c r="H38" i="90"/>
  <c r="D38" i="90"/>
  <c r="H37" i="90"/>
  <c r="D37" i="90"/>
  <c r="G34" i="90"/>
  <c r="C34" i="90"/>
  <c r="H33" i="90"/>
  <c r="H32" i="90"/>
  <c r="H31" i="90"/>
  <c r="H30" i="90"/>
  <c r="H29" i="90"/>
  <c r="H28" i="90"/>
  <c r="H27" i="90"/>
  <c r="H26" i="90"/>
  <c r="H25" i="90"/>
  <c r="H24" i="90"/>
  <c r="H23" i="90"/>
  <c r="H22" i="90"/>
  <c r="G19" i="90"/>
  <c r="C19" i="90"/>
  <c r="H18" i="90"/>
  <c r="H17" i="90"/>
  <c r="H16" i="90"/>
  <c r="H15" i="90"/>
  <c r="H14" i="90"/>
  <c r="H13" i="90"/>
  <c r="H12" i="90"/>
  <c r="H11" i="90"/>
  <c r="H10" i="90"/>
  <c r="H9" i="90"/>
  <c r="H8" i="90"/>
  <c r="H7" i="90"/>
  <c r="F112" i="89"/>
  <c r="D31" i="89" s="1"/>
  <c r="F111" i="89"/>
  <c r="D10" i="89" s="1"/>
  <c r="C103" i="89"/>
  <c r="D102" i="89"/>
  <c r="D101" i="89"/>
  <c r="D100" i="89"/>
  <c r="D99" i="89"/>
  <c r="D98" i="89"/>
  <c r="D97" i="89"/>
  <c r="D96" i="89"/>
  <c r="D87" i="89"/>
  <c r="D86" i="89"/>
  <c r="D85" i="89"/>
  <c r="D84" i="89"/>
  <c r="D83" i="89"/>
  <c r="D90" i="89" s="1"/>
  <c r="G80" i="89"/>
  <c r="C80" i="89"/>
  <c r="H79" i="89"/>
  <c r="D79" i="89"/>
  <c r="H78" i="89"/>
  <c r="D78" i="89"/>
  <c r="H77" i="89"/>
  <c r="D77" i="89"/>
  <c r="H76" i="89"/>
  <c r="D76" i="89"/>
  <c r="H75" i="89"/>
  <c r="D75" i="89"/>
  <c r="H74" i="89"/>
  <c r="D74" i="89"/>
  <c r="H73" i="89"/>
  <c r="D73" i="89"/>
  <c r="H72" i="89"/>
  <c r="D72" i="89"/>
  <c r="H71" i="89"/>
  <c r="D71" i="89"/>
  <c r="H70" i="89"/>
  <c r="D70" i="89"/>
  <c r="H69" i="89"/>
  <c r="D69" i="89"/>
  <c r="H68" i="89"/>
  <c r="D68" i="89"/>
  <c r="G65" i="89"/>
  <c r="C65" i="89"/>
  <c r="H64" i="89"/>
  <c r="D64" i="89"/>
  <c r="H63" i="89"/>
  <c r="D63" i="89"/>
  <c r="H62" i="89"/>
  <c r="D62" i="89"/>
  <c r="H61" i="89"/>
  <c r="D61" i="89"/>
  <c r="H60" i="89"/>
  <c r="D60" i="89"/>
  <c r="H59" i="89"/>
  <c r="D59" i="89"/>
  <c r="H58" i="89"/>
  <c r="D58" i="89"/>
  <c r="H57" i="89"/>
  <c r="D57" i="89"/>
  <c r="H56" i="89"/>
  <c r="D56" i="89"/>
  <c r="H55" i="89"/>
  <c r="D55" i="89"/>
  <c r="H54" i="89"/>
  <c r="D54" i="89"/>
  <c r="H53" i="89"/>
  <c r="D53" i="89"/>
  <c r="G49" i="89"/>
  <c r="C49" i="89"/>
  <c r="H48" i="89"/>
  <c r="D48" i="89"/>
  <c r="H47" i="89"/>
  <c r="D47" i="89"/>
  <c r="H46" i="89"/>
  <c r="D46" i="89"/>
  <c r="H45" i="89"/>
  <c r="D45" i="89"/>
  <c r="H44" i="89"/>
  <c r="D44" i="89"/>
  <c r="H43" i="89"/>
  <c r="D43" i="89"/>
  <c r="H42" i="89"/>
  <c r="D42" i="89"/>
  <c r="H41" i="89"/>
  <c r="D41" i="89"/>
  <c r="H40" i="89"/>
  <c r="D40" i="89"/>
  <c r="H39" i="89"/>
  <c r="D39" i="89"/>
  <c r="H38" i="89"/>
  <c r="D38" i="89"/>
  <c r="H37" i="89"/>
  <c r="D37" i="89"/>
  <c r="G34" i="89"/>
  <c r="C34" i="89"/>
  <c r="H33" i="89"/>
  <c r="H32" i="89"/>
  <c r="H31" i="89"/>
  <c r="H30" i="89"/>
  <c r="H29" i="89"/>
  <c r="D29" i="89"/>
  <c r="H28" i="89"/>
  <c r="H27" i="89"/>
  <c r="H26" i="89"/>
  <c r="H25" i="89"/>
  <c r="H24" i="89"/>
  <c r="H23" i="89"/>
  <c r="H22" i="89"/>
  <c r="G19" i="89"/>
  <c r="C19" i="89"/>
  <c r="H18" i="89"/>
  <c r="H17" i="89"/>
  <c r="H16" i="89"/>
  <c r="H15" i="89"/>
  <c r="H14" i="89"/>
  <c r="H13" i="89"/>
  <c r="H12" i="89"/>
  <c r="H11" i="89"/>
  <c r="H10" i="89"/>
  <c r="H9" i="89"/>
  <c r="H8" i="89"/>
  <c r="H7" i="89"/>
  <c r="F112" i="88"/>
  <c r="D25" i="88" s="1"/>
  <c r="F111" i="88"/>
  <c r="C103" i="88"/>
  <c r="D102" i="88"/>
  <c r="D101" i="88"/>
  <c r="D100" i="88"/>
  <c r="D99" i="88"/>
  <c r="D98" i="88"/>
  <c r="D97" i="88"/>
  <c r="D96" i="88"/>
  <c r="D87" i="88"/>
  <c r="D86" i="88"/>
  <c r="D85" i="88"/>
  <c r="D84" i="88"/>
  <c r="D83" i="88"/>
  <c r="D90" i="88" s="1"/>
  <c r="G80" i="88"/>
  <c r="C80" i="88"/>
  <c r="H79" i="88"/>
  <c r="D79" i="88"/>
  <c r="H78" i="88"/>
  <c r="D78" i="88"/>
  <c r="H77" i="88"/>
  <c r="D77" i="88"/>
  <c r="H76" i="88"/>
  <c r="D76" i="88"/>
  <c r="H75" i="88"/>
  <c r="D75" i="88"/>
  <c r="H74" i="88"/>
  <c r="D74" i="88"/>
  <c r="H73" i="88"/>
  <c r="D73" i="88"/>
  <c r="H72" i="88"/>
  <c r="D72" i="88"/>
  <c r="H71" i="88"/>
  <c r="D71" i="88"/>
  <c r="H70" i="88"/>
  <c r="D70" i="88"/>
  <c r="H69" i="88"/>
  <c r="D69" i="88"/>
  <c r="H68" i="88"/>
  <c r="D68" i="88"/>
  <c r="G65" i="88"/>
  <c r="C65" i="88"/>
  <c r="H64" i="88"/>
  <c r="D64" i="88"/>
  <c r="H63" i="88"/>
  <c r="D63" i="88"/>
  <c r="H62" i="88"/>
  <c r="D62" i="88"/>
  <c r="H61" i="88"/>
  <c r="D61" i="88"/>
  <c r="H60" i="88"/>
  <c r="D60" i="88"/>
  <c r="H59" i="88"/>
  <c r="D59" i="88"/>
  <c r="H58" i="88"/>
  <c r="D58" i="88"/>
  <c r="H57" i="88"/>
  <c r="D57" i="88"/>
  <c r="H56" i="88"/>
  <c r="D56" i="88"/>
  <c r="H55" i="88"/>
  <c r="D55" i="88"/>
  <c r="H54" i="88"/>
  <c r="D54" i="88"/>
  <c r="H53" i="88"/>
  <c r="D53" i="88"/>
  <c r="G49" i="88"/>
  <c r="C49" i="88"/>
  <c r="H48" i="88"/>
  <c r="D48" i="88"/>
  <c r="H47" i="88"/>
  <c r="D47" i="88"/>
  <c r="H46" i="88"/>
  <c r="D46" i="88"/>
  <c r="H45" i="88"/>
  <c r="D45" i="88"/>
  <c r="H44" i="88"/>
  <c r="D44" i="88"/>
  <c r="H43" i="88"/>
  <c r="D43" i="88"/>
  <c r="H42" i="88"/>
  <c r="D42" i="88"/>
  <c r="H41" i="88"/>
  <c r="D41" i="88"/>
  <c r="H40" i="88"/>
  <c r="D40" i="88"/>
  <c r="H39" i="88"/>
  <c r="D39" i="88"/>
  <c r="H38" i="88"/>
  <c r="D38" i="88"/>
  <c r="H37" i="88"/>
  <c r="D37" i="88"/>
  <c r="G34" i="88"/>
  <c r="C34" i="88"/>
  <c r="H33" i="88"/>
  <c r="D33" i="88"/>
  <c r="H32" i="88"/>
  <c r="H31" i="88"/>
  <c r="H30" i="88"/>
  <c r="H29" i="88"/>
  <c r="H28" i="88"/>
  <c r="H27" i="88"/>
  <c r="H26" i="88"/>
  <c r="H25" i="88"/>
  <c r="H24" i="88"/>
  <c r="H23" i="88"/>
  <c r="H22" i="88"/>
  <c r="G19" i="88"/>
  <c r="C19" i="88"/>
  <c r="H18" i="88"/>
  <c r="H17" i="88"/>
  <c r="H16" i="88"/>
  <c r="H15" i="88"/>
  <c r="H14" i="88"/>
  <c r="H13" i="88"/>
  <c r="H12" i="88"/>
  <c r="H11" i="88"/>
  <c r="H10" i="88"/>
  <c r="H9" i="88"/>
  <c r="H8" i="88"/>
  <c r="H7" i="88"/>
  <c r="F112" i="87"/>
  <c r="D22" i="87" s="1"/>
  <c r="F111" i="87"/>
  <c r="C103" i="87"/>
  <c r="D102" i="87"/>
  <c r="D101" i="87"/>
  <c r="D100" i="87"/>
  <c r="D99" i="87"/>
  <c r="D98" i="87"/>
  <c r="D97" i="87"/>
  <c r="D96" i="87"/>
  <c r="D87" i="87"/>
  <c r="D86" i="87"/>
  <c r="D85" i="87"/>
  <c r="D84" i="87"/>
  <c r="D83" i="87"/>
  <c r="D90" i="87" s="1"/>
  <c r="G80" i="87"/>
  <c r="C80" i="87"/>
  <c r="H79" i="87"/>
  <c r="D79" i="87"/>
  <c r="H78" i="87"/>
  <c r="D78" i="87"/>
  <c r="H77" i="87"/>
  <c r="D77" i="87"/>
  <c r="H76" i="87"/>
  <c r="D76" i="87"/>
  <c r="H75" i="87"/>
  <c r="D75" i="87"/>
  <c r="H74" i="87"/>
  <c r="D74" i="87"/>
  <c r="H73" i="87"/>
  <c r="D73" i="87"/>
  <c r="H72" i="87"/>
  <c r="D72" i="87"/>
  <c r="H71" i="87"/>
  <c r="D71" i="87"/>
  <c r="H70" i="87"/>
  <c r="D70" i="87"/>
  <c r="H69" i="87"/>
  <c r="D69" i="87"/>
  <c r="H68" i="87"/>
  <c r="D68" i="87"/>
  <c r="G65" i="87"/>
  <c r="C65" i="87"/>
  <c r="H64" i="87"/>
  <c r="D64" i="87"/>
  <c r="H63" i="87"/>
  <c r="D63" i="87"/>
  <c r="H62" i="87"/>
  <c r="D62" i="87"/>
  <c r="H61" i="87"/>
  <c r="D61" i="87"/>
  <c r="H60" i="87"/>
  <c r="D60" i="87"/>
  <c r="H59" i="87"/>
  <c r="D59" i="87"/>
  <c r="H58" i="87"/>
  <c r="D58" i="87"/>
  <c r="H57" i="87"/>
  <c r="D57" i="87"/>
  <c r="H56" i="87"/>
  <c r="D56" i="87"/>
  <c r="H55" i="87"/>
  <c r="D55" i="87"/>
  <c r="H54" i="87"/>
  <c r="D54" i="87"/>
  <c r="H53" i="87"/>
  <c r="D53" i="87"/>
  <c r="G49" i="87"/>
  <c r="C49" i="87"/>
  <c r="H48" i="87"/>
  <c r="D48" i="87"/>
  <c r="H47" i="87"/>
  <c r="D47" i="87"/>
  <c r="H46" i="87"/>
  <c r="D46" i="87"/>
  <c r="H45" i="87"/>
  <c r="D45" i="87"/>
  <c r="H44" i="87"/>
  <c r="D44" i="87"/>
  <c r="H43" i="87"/>
  <c r="D43" i="87"/>
  <c r="H42" i="87"/>
  <c r="D42" i="87"/>
  <c r="H41" i="87"/>
  <c r="D41" i="87"/>
  <c r="H40" i="87"/>
  <c r="D40" i="87"/>
  <c r="H39" i="87"/>
  <c r="D39" i="87"/>
  <c r="H38" i="87"/>
  <c r="D38" i="87"/>
  <c r="H37" i="87"/>
  <c r="D37" i="87"/>
  <c r="G34" i="87"/>
  <c r="C34" i="87"/>
  <c r="H33" i="87"/>
  <c r="H32" i="87"/>
  <c r="H31" i="87"/>
  <c r="H30" i="87"/>
  <c r="H29" i="87"/>
  <c r="H28" i="87"/>
  <c r="H27" i="87"/>
  <c r="H26" i="87"/>
  <c r="H25" i="87"/>
  <c r="H24" i="87"/>
  <c r="H23" i="87"/>
  <c r="H22" i="87"/>
  <c r="G19" i="87"/>
  <c r="C19" i="87"/>
  <c r="H18" i="87"/>
  <c r="H17" i="87"/>
  <c r="H16" i="87"/>
  <c r="H15" i="87"/>
  <c r="H14" i="87"/>
  <c r="H13" i="87"/>
  <c r="H12" i="87"/>
  <c r="H11" i="87"/>
  <c r="H10" i="87"/>
  <c r="H9" i="87"/>
  <c r="H8" i="87"/>
  <c r="H7" i="87"/>
  <c r="F112" i="86"/>
  <c r="F111" i="86"/>
  <c r="D16" i="86" s="1"/>
  <c r="C103" i="86"/>
  <c r="D102" i="86"/>
  <c r="D101" i="86"/>
  <c r="D100" i="86"/>
  <c r="D99" i="86"/>
  <c r="D98" i="86"/>
  <c r="D97" i="86"/>
  <c r="D96" i="86"/>
  <c r="D87" i="86"/>
  <c r="D86" i="86"/>
  <c r="D85" i="86"/>
  <c r="D84" i="86"/>
  <c r="D83" i="86"/>
  <c r="D90" i="86" s="1"/>
  <c r="G80" i="86"/>
  <c r="C80" i="86"/>
  <c r="H79" i="86"/>
  <c r="D79" i="86"/>
  <c r="H78" i="86"/>
  <c r="D78" i="86"/>
  <c r="H77" i="86"/>
  <c r="D77" i="86"/>
  <c r="H76" i="86"/>
  <c r="D76" i="86"/>
  <c r="H75" i="86"/>
  <c r="D75" i="86"/>
  <c r="H74" i="86"/>
  <c r="D74" i="86"/>
  <c r="H73" i="86"/>
  <c r="D73" i="86"/>
  <c r="H72" i="86"/>
  <c r="D72" i="86"/>
  <c r="H71" i="86"/>
  <c r="D71" i="86"/>
  <c r="H70" i="86"/>
  <c r="D70" i="86"/>
  <c r="H69" i="86"/>
  <c r="D69" i="86"/>
  <c r="H68" i="86"/>
  <c r="D68" i="86"/>
  <c r="G65" i="86"/>
  <c r="C65" i="86"/>
  <c r="H64" i="86"/>
  <c r="D64" i="86"/>
  <c r="H63" i="86"/>
  <c r="D63" i="86"/>
  <c r="H62" i="86"/>
  <c r="D62" i="86"/>
  <c r="H61" i="86"/>
  <c r="D61" i="86"/>
  <c r="H60" i="86"/>
  <c r="D60" i="86"/>
  <c r="H59" i="86"/>
  <c r="D59" i="86"/>
  <c r="H58" i="86"/>
  <c r="D58" i="86"/>
  <c r="H57" i="86"/>
  <c r="D57" i="86"/>
  <c r="H56" i="86"/>
  <c r="D56" i="86"/>
  <c r="H55" i="86"/>
  <c r="D55" i="86"/>
  <c r="H54" i="86"/>
  <c r="D54" i="86"/>
  <c r="H53" i="86"/>
  <c r="D53" i="86"/>
  <c r="C49" i="86"/>
  <c r="H48" i="86"/>
  <c r="D48" i="86"/>
  <c r="H47" i="86"/>
  <c r="D47" i="86"/>
  <c r="H46" i="86"/>
  <c r="D46" i="86"/>
  <c r="H45" i="86"/>
  <c r="D45" i="86"/>
  <c r="H44" i="86"/>
  <c r="D44" i="86"/>
  <c r="H43" i="86"/>
  <c r="D43" i="86"/>
  <c r="H42" i="86"/>
  <c r="D42" i="86"/>
  <c r="H41" i="86"/>
  <c r="D41" i="86"/>
  <c r="H40" i="86"/>
  <c r="D40" i="86"/>
  <c r="H39" i="86"/>
  <c r="D39" i="86"/>
  <c r="H38" i="86"/>
  <c r="D38" i="86"/>
  <c r="H37" i="86"/>
  <c r="D37" i="86"/>
  <c r="G34" i="86"/>
  <c r="C34" i="86"/>
  <c r="H33" i="86"/>
  <c r="H32" i="86"/>
  <c r="H31" i="86"/>
  <c r="H30" i="86"/>
  <c r="H29" i="86"/>
  <c r="H28" i="86"/>
  <c r="H27" i="86"/>
  <c r="H26" i="86"/>
  <c r="H25" i="86"/>
  <c r="H24" i="86"/>
  <c r="H23" i="86"/>
  <c r="H22" i="86"/>
  <c r="G19" i="86"/>
  <c r="C19" i="86"/>
  <c r="H18" i="86"/>
  <c r="H17" i="86"/>
  <c r="H16" i="86"/>
  <c r="H15" i="86"/>
  <c r="H14" i="86"/>
  <c r="D14" i="86"/>
  <c r="H13" i="86"/>
  <c r="H12" i="86"/>
  <c r="H11" i="86"/>
  <c r="H10" i="86"/>
  <c r="H9" i="86"/>
  <c r="H8" i="86"/>
  <c r="H7" i="86"/>
  <c r="F112" i="85"/>
  <c r="F111" i="85"/>
  <c r="D13" i="85" s="1"/>
  <c r="C103" i="85"/>
  <c r="D102" i="85"/>
  <c r="D101" i="85"/>
  <c r="D100" i="85"/>
  <c r="D99" i="85"/>
  <c r="D98" i="85"/>
  <c r="D97" i="85"/>
  <c r="D96" i="85"/>
  <c r="D87" i="85"/>
  <c r="D86" i="85"/>
  <c r="D85" i="85"/>
  <c r="D84" i="85"/>
  <c r="D83" i="85"/>
  <c r="D90" i="85" s="1"/>
  <c r="G80" i="85"/>
  <c r="C80" i="85"/>
  <c r="H79" i="85"/>
  <c r="D79" i="85"/>
  <c r="H78" i="85"/>
  <c r="D78" i="85"/>
  <c r="H77" i="85"/>
  <c r="D77" i="85"/>
  <c r="H76" i="85"/>
  <c r="D76" i="85"/>
  <c r="H75" i="85"/>
  <c r="D75" i="85"/>
  <c r="H74" i="85"/>
  <c r="D74" i="85"/>
  <c r="H73" i="85"/>
  <c r="D73" i="85"/>
  <c r="H72" i="85"/>
  <c r="D72" i="85"/>
  <c r="H71" i="85"/>
  <c r="D71" i="85"/>
  <c r="H70" i="85"/>
  <c r="D70" i="85"/>
  <c r="H69" i="85"/>
  <c r="D69" i="85"/>
  <c r="H68" i="85"/>
  <c r="D68" i="85"/>
  <c r="G65" i="85"/>
  <c r="C65" i="85"/>
  <c r="H64" i="85"/>
  <c r="D64" i="85"/>
  <c r="H63" i="85"/>
  <c r="D63" i="85"/>
  <c r="H62" i="85"/>
  <c r="D62" i="85"/>
  <c r="H61" i="85"/>
  <c r="D61" i="85"/>
  <c r="H60" i="85"/>
  <c r="D60" i="85"/>
  <c r="H59" i="85"/>
  <c r="D59" i="85"/>
  <c r="H58" i="85"/>
  <c r="D58" i="85"/>
  <c r="H57" i="85"/>
  <c r="D57" i="85"/>
  <c r="H56" i="85"/>
  <c r="D56" i="85"/>
  <c r="H55" i="85"/>
  <c r="D55" i="85"/>
  <c r="H54" i="85"/>
  <c r="D54" i="85"/>
  <c r="H53" i="85"/>
  <c r="D53" i="85"/>
  <c r="C49" i="85"/>
  <c r="H48" i="85"/>
  <c r="D48" i="85"/>
  <c r="H47" i="85"/>
  <c r="D47" i="85"/>
  <c r="H46" i="85"/>
  <c r="D46" i="85"/>
  <c r="H45" i="85"/>
  <c r="D45" i="85"/>
  <c r="H44" i="85"/>
  <c r="D44" i="85"/>
  <c r="H43" i="85"/>
  <c r="D43" i="85"/>
  <c r="H42" i="85"/>
  <c r="D42" i="85"/>
  <c r="H41" i="85"/>
  <c r="D41" i="85"/>
  <c r="H40" i="85"/>
  <c r="D40" i="85"/>
  <c r="H39" i="85"/>
  <c r="D39" i="85"/>
  <c r="H38" i="85"/>
  <c r="D38" i="85"/>
  <c r="H37" i="85"/>
  <c r="D37" i="85"/>
  <c r="G34" i="85"/>
  <c r="C34" i="85"/>
  <c r="H33" i="85"/>
  <c r="H32" i="85"/>
  <c r="H31" i="85"/>
  <c r="H30" i="85"/>
  <c r="H29" i="85"/>
  <c r="H28" i="85"/>
  <c r="H27" i="85"/>
  <c r="H26" i="85"/>
  <c r="H25" i="85"/>
  <c r="H24" i="85"/>
  <c r="H23" i="85"/>
  <c r="H22" i="85"/>
  <c r="G19" i="85"/>
  <c r="C19" i="85"/>
  <c r="H18" i="85"/>
  <c r="H17" i="85"/>
  <c r="H16" i="85"/>
  <c r="H15" i="85"/>
  <c r="H14" i="85"/>
  <c r="H13" i="85"/>
  <c r="H12" i="85"/>
  <c r="H11" i="85"/>
  <c r="H10" i="85"/>
  <c r="H9" i="85"/>
  <c r="H8" i="85"/>
  <c r="H7" i="85"/>
  <c r="F112" i="84"/>
  <c r="D22" i="84" s="1"/>
  <c r="F111" i="84"/>
  <c r="D18" i="84" s="1"/>
  <c r="C103" i="84"/>
  <c r="D102" i="84"/>
  <c r="D101" i="84"/>
  <c r="D100" i="84"/>
  <c r="D99" i="84"/>
  <c r="D98" i="84"/>
  <c r="D97" i="84"/>
  <c r="D96" i="84"/>
  <c r="D87" i="84"/>
  <c r="D86" i="84"/>
  <c r="D85" i="84"/>
  <c r="D84" i="84"/>
  <c r="D83" i="84"/>
  <c r="D90" i="84" s="1"/>
  <c r="G80" i="84"/>
  <c r="C80" i="84"/>
  <c r="H79" i="84"/>
  <c r="D79" i="84"/>
  <c r="H78" i="84"/>
  <c r="D78" i="84"/>
  <c r="H77" i="84"/>
  <c r="D77" i="84"/>
  <c r="H76" i="84"/>
  <c r="D76" i="84"/>
  <c r="H75" i="84"/>
  <c r="D75" i="84"/>
  <c r="H74" i="84"/>
  <c r="D74" i="84"/>
  <c r="H73" i="84"/>
  <c r="D73" i="84"/>
  <c r="H72" i="84"/>
  <c r="D72" i="84"/>
  <c r="H71" i="84"/>
  <c r="D71" i="84"/>
  <c r="H70" i="84"/>
  <c r="D70" i="84"/>
  <c r="H69" i="84"/>
  <c r="D69" i="84"/>
  <c r="H68" i="84"/>
  <c r="D68" i="84"/>
  <c r="G65" i="84"/>
  <c r="C65" i="84"/>
  <c r="H64" i="84"/>
  <c r="D64" i="84"/>
  <c r="H63" i="84"/>
  <c r="D63" i="84"/>
  <c r="H62" i="84"/>
  <c r="D62" i="84"/>
  <c r="H61" i="84"/>
  <c r="D61" i="84"/>
  <c r="H60" i="84"/>
  <c r="D60" i="84"/>
  <c r="H59" i="84"/>
  <c r="D59" i="84"/>
  <c r="H58" i="84"/>
  <c r="D58" i="84"/>
  <c r="H57" i="84"/>
  <c r="D57" i="84"/>
  <c r="H56" i="84"/>
  <c r="D56" i="84"/>
  <c r="H55" i="84"/>
  <c r="D55" i="84"/>
  <c r="H54" i="84"/>
  <c r="D54" i="84"/>
  <c r="H53" i="84"/>
  <c r="D53" i="84"/>
  <c r="C49" i="84"/>
  <c r="H48" i="84"/>
  <c r="D48" i="84"/>
  <c r="H47" i="84"/>
  <c r="D47" i="84"/>
  <c r="H46" i="84"/>
  <c r="D46" i="84"/>
  <c r="H45" i="84"/>
  <c r="D45" i="84"/>
  <c r="H44" i="84"/>
  <c r="D44" i="84"/>
  <c r="H43" i="84"/>
  <c r="D43" i="84"/>
  <c r="H42" i="84"/>
  <c r="D42" i="84"/>
  <c r="H41" i="84"/>
  <c r="D41" i="84"/>
  <c r="H40" i="84"/>
  <c r="D40" i="84"/>
  <c r="H39" i="84"/>
  <c r="D39" i="84"/>
  <c r="H38" i="84"/>
  <c r="D38" i="84"/>
  <c r="H37" i="84"/>
  <c r="D37" i="84"/>
  <c r="G34" i="84"/>
  <c r="C34" i="84"/>
  <c r="H33" i="84"/>
  <c r="H32" i="84"/>
  <c r="H31" i="84"/>
  <c r="H30" i="84"/>
  <c r="H29" i="84"/>
  <c r="H28" i="84"/>
  <c r="H27" i="84"/>
  <c r="H26" i="84"/>
  <c r="H25" i="84"/>
  <c r="H24" i="84"/>
  <c r="D24" i="84"/>
  <c r="H23" i="84"/>
  <c r="H22" i="84"/>
  <c r="G19" i="84"/>
  <c r="C19" i="84"/>
  <c r="H18" i="84"/>
  <c r="H17" i="84"/>
  <c r="H16" i="84"/>
  <c r="H15" i="84"/>
  <c r="H14" i="84"/>
  <c r="H13" i="84"/>
  <c r="H12" i="84"/>
  <c r="H11" i="84"/>
  <c r="D11" i="84"/>
  <c r="H10" i="84"/>
  <c r="H9" i="84"/>
  <c r="H8" i="84"/>
  <c r="H7" i="84"/>
  <c r="F112" i="83"/>
  <c r="D26" i="83" s="1"/>
  <c r="F111" i="83"/>
  <c r="D11" i="83" s="1"/>
  <c r="C103" i="83"/>
  <c r="D102" i="83"/>
  <c r="D101" i="83"/>
  <c r="D100" i="83"/>
  <c r="D99" i="83"/>
  <c r="D98" i="83"/>
  <c r="D97" i="83"/>
  <c r="D96" i="83"/>
  <c r="D87" i="83"/>
  <c r="D86" i="83"/>
  <c r="D85" i="83"/>
  <c r="D84" i="83"/>
  <c r="D83" i="83"/>
  <c r="D90" i="83" s="1"/>
  <c r="G80" i="83"/>
  <c r="C80" i="83"/>
  <c r="H79" i="83"/>
  <c r="D79" i="83"/>
  <c r="H78" i="83"/>
  <c r="D78" i="83"/>
  <c r="H77" i="83"/>
  <c r="D77" i="83"/>
  <c r="H76" i="83"/>
  <c r="D76" i="83"/>
  <c r="H75" i="83"/>
  <c r="D75" i="83"/>
  <c r="H74" i="83"/>
  <c r="D74" i="83"/>
  <c r="H73" i="83"/>
  <c r="D73" i="83"/>
  <c r="H72" i="83"/>
  <c r="D72" i="83"/>
  <c r="H71" i="83"/>
  <c r="D71" i="83"/>
  <c r="H70" i="83"/>
  <c r="D70" i="83"/>
  <c r="H69" i="83"/>
  <c r="D69" i="83"/>
  <c r="H68" i="83"/>
  <c r="D68" i="83"/>
  <c r="G65" i="83"/>
  <c r="C65" i="83"/>
  <c r="H64" i="83"/>
  <c r="D64" i="83"/>
  <c r="H63" i="83"/>
  <c r="D63" i="83"/>
  <c r="H62" i="83"/>
  <c r="D62" i="83"/>
  <c r="H61" i="83"/>
  <c r="D61" i="83"/>
  <c r="H60" i="83"/>
  <c r="D60" i="83"/>
  <c r="H59" i="83"/>
  <c r="D59" i="83"/>
  <c r="H58" i="83"/>
  <c r="D58" i="83"/>
  <c r="H57" i="83"/>
  <c r="D57" i="83"/>
  <c r="H56" i="83"/>
  <c r="D56" i="83"/>
  <c r="H55" i="83"/>
  <c r="D55" i="83"/>
  <c r="H54" i="83"/>
  <c r="D54" i="83"/>
  <c r="H53" i="83"/>
  <c r="D53" i="83"/>
  <c r="C49" i="83"/>
  <c r="H48" i="83"/>
  <c r="D48" i="83"/>
  <c r="H47" i="83"/>
  <c r="D47" i="83"/>
  <c r="H46" i="83"/>
  <c r="D46" i="83"/>
  <c r="H45" i="83"/>
  <c r="D45" i="83"/>
  <c r="H44" i="83"/>
  <c r="D44" i="83"/>
  <c r="H43" i="83"/>
  <c r="D43" i="83"/>
  <c r="H42" i="83"/>
  <c r="D42" i="83"/>
  <c r="H41" i="83"/>
  <c r="D41" i="83"/>
  <c r="H40" i="83"/>
  <c r="D40" i="83"/>
  <c r="H39" i="83"/>
  <c r="D39" i="83"/>
  <c r="H38" i="83"/>
  <c r="D38" i="83"/>
  <c r="H37" i="83"/>
  <c r="D37" i="83"/>
  <c r="G34" i="83"/>
  <c r="C34" i="83"/>
  <c r="H33" i="83"/>
  <c r="H32" i="83"/>
  <c r="H31" i="83"/>
  <c r="H30" i="83"/>
  <c r="H29" i="83"/>
  <c r="H28" i="83"/>
  <c r="H27" i="83"/>
  <c r="H26" i="83"/>
  <c r="H25" i="83"/>
  <c r="H24" i="83"/>
  <c r="H23" i="83"/>
  <c r="H22" i="83"/>
  <c r="G19" i="83"/>
  <c r="C19" i="83"/>
  <c r="H18" i="83"/>
  <c r="H17" i="83"/>
  <c r="H16" i="83"/>
  <c r="H15" i="83"/>
  <c r="H14" i="83"/>
  <c r="H13" i="83"/>
  <c r="H12" i="83"/>
  <c r="H11" i="83"/>
  <c r="H10" i="83"/>
  <c r="H9" i="83"/>
  <c r="H8" i="83"/>
  <c r="H7" i="83"/>
  <c r="F112" i="82"/>
  <c r="D33" i="82" s="1"/>
  <c r="F111" i="82"/>
  <c r="D10" i="82" s="1"/>
  <c r="C103" i="82"/>
  <c r="D102" i="82"/>
  <c r="D101" i="82"/>
  <c r="D100" i="82"/>
  <c r="D99" i="82"/>
  <c r="D98" i="82"/>
  <c r="D97" i="82"/>
  <c r="D96" i="82"/>
  <c r="D87" i="82"/>
  <c r="D86" i="82"/>
  <c r="D85" i="82"/>
  <c r="D84" i="82"/>
  <c r="D83" i="82"/>
  <c r="D90" i="82" s="1"/>
  <c r="G80" i="82"/>
  <c r="C80" i="82"/>
  <c r="H79" i="82"/>
  <c r="D79" i="82"/>
  <c r="H78" i="82"/>
  <c r="D78" i="82"/>
  <c r="H77" i="82"/>
  <c r="D77" i="82"/>
  <c r="H76" i="82"/>
  <c r="D76" i="82"/>
  <c r="H75" i="82"/>
  <c r="D75" i="82"/>
  <c r="H74" i="82"/>
  <c r="D74" i="82"/>
  <c r="H73" i="82"/>
  <c r="D73" i="82"/>
  <c r="H72" i="82"/>
  <c r="D72" i="82"/>
  <c r="H71" i="82"/>
  <c r="D71" i="82"/>
  <c r="H70" i="82"/>
  <c r="D70" i="82"/>
  <c r="H69" i="82"/>
  <c r="D69" i="82"/>
  <c r="H68" i="82"/>
  <c r="D68" i="82"/>
  <c r="G65" i="82"/>
  <c r="C65" i="82"/>
  <c r="H64" i="82"/>
  <c r="D64" i="82"/>
  <c r="H63" i="82"/>
  <c r="D63" i="82"/>
  <c r="H62" i="82"/>
  <c r="D62" i="82"/>
  <c r="H61" i="82"/>
  <c r="D61" i="82"/>
  <c r="H60" i="82"/>
  <c r="D60" i="82"/>
  <c r="H59" i="82"/>
  <c r="D59" i="82"/>
  <c r="H58" i="82"/>
  <c r="D58" i="82"/>
  <c r="H57" i="82"/>
  <c r="D57" i="82"/>
  <c r="H56" i="82"/>
  <c r="D56" i="82"/>
  <c r="H55" i="82"/>
  <c r="D55" i="82"/>
  <c r="H54" i="82"/>
  <c r="D54" i="82"/>
  <c r="H53" i="82"/>
  <c r="D53" i="82"/>
  <c r="C49" i="82"/>
  <c r="H48" i="82"/>
  <c r="D48" i="82"/>
  <c r="H47" i="82"/>
  <c r="D47" i="82"/>
  <c r="H46" i="82"/>
  <c r="D46" i="82"/>
  <c r="H45" i="82"/>
  <c r="D45" i="82"/>
  <c r="H44" i="82"/>
  <c r="D44" i="82"/>
  <c r="H43" i="82"/>
  <c r="D43" i="82"/>
  <c r="H42" i="82"/>
  <c r="D42" i="82"/>
  <c r="H41" i="82"/>
  <c r="D41" i="82"/>
  <c r="H40" i="82"/>
  <c r="D40" i="82"/>
  <c r="H39" i="82"/>
  <c r="D39" i="82"/>
  <c r="H38" i="82"/>
  <c r="D38" i="82"/>
  <c r="H37" i="82"/>
  <c r="D37" i="82"/>
  <c r="G34" i="82"/>
  <c r="C34" i="82"/>
  <c r="H33" i="82"/>
  <c r="H32" i="82"/>
  <c r="H31" i="82"/>
  <c r="H30" i="82"/>
  <c r="H29" i="82"/>
  <c r="H28" i="82"/>
  <c r="H27" i="82"/>
  <c r="H26" i="82"/>
  <c r="H25" i="82"/>
  <c r="H24" i="82"/>
  <c r="H23" i="82"/>
  <c r="H22" i="82"/>
  <c r="G19" i="82"/>
  <c r="C19" i="82"/>
  <c r="H18" i="82"/>
  <c r="D18" i="82"/>
  <c r="H17" i="82"/>
  <c r="H16" i="82"/>
  <c r="H15" i="82"/>
  <c r="H14" i="82"/>
  <c r="H13" i="82"/>
  <c r="H12" i="82"/>
  <c r="H11" i="82"/>
  <c r="H10" i="82"/>
  <c r="H9" i="82"/>
  <c r="H8" i="82"/>
  <c r="H7" i="82"/>
  <c r="F112" i="81"/>
  <c r="D32" i="81" s="1"/>
  <c r="F111" i="81"/>
  <c r="D17" i="81" s="1"/>
  <c r="C103" i="81"/>
  <c r="D102" i="81"/>
  <c r="D101" i="81"/>
  <c r="D100" i="81"/>
  <c r="D99" i="81"/>
  <c r="D98" i="81"/>
  <c r="D97" i="81"/>
  <c r="D96" i="81"/>
  <c r="D87" i="81"/>
  <c r="D86" i="81"/>
  <c r="D85" i="81"/>
  <c r="D84" i="81"/>
  <c r="D83" i="81"/>
  <c r="D90" i="81" s="1"/>
  <c r="G80" i="81"/>
  <c r="C80" i="81"/>
  <c r="H79" i="81"/>
  <c r="D79" i="81"/>
  <c r="H78" i="81"/>
  <c r="D78" i="81"/>
  <c r="H77" i="81"/>
  <c r="D77" i="81"/>
  <c r="H76" i="81"/>
  <c r="D76" i="81"/>
  <c r="H75" i="81"/>
  <c r="D75" i="81"/>
  <c r="H74" i="81"/>
  <c r="D74" i="81"/>
  <c r="H73" i="81"/>
  <c r="D73" i="81"/>
  <c r="H72" i="81"/>
  <c r="D72" i="81"/>
  <c r="H71" i="81"/>
  <c r="D71" i="81"/>
  <c r="H70" i="81"/>
  <c r="D70" i="81"/>
  <c r="H69" i="81"/>
  <c r="D69" i="81"/>
  <c r="H68" i="81"/>
  <c r="D68" i="81"/>
  <c r="G65" i="81"/>
  <c r="C65" i="81"/>
  <c r="H64" i="81"/>
  <c r="D64" i="81"/>
  <c r="H63" i="81"/>
  <c r="D63" i="81"/>
  <c r="H62" i="81"/>
  <c r="D62" i="81"/>
  <c r="H61" i="81"/>
  <c r="D61" i="81"/>
  <c r="H60" i="81"/>
  <c r="D60" i="81"/>
  <c r="H59" i="81"/>
  <c r="D59" i="81"/>
  <c r="H58" i="81"/>
  <c r="D58" i="81"/>
  <c r="H57" i="81"/>
  <c r="D57" i="81"/>
  <c r="H56" i="81"/>
  <c r="D56" i="81"/>
  <c r="H55" i="81"/>
  <c r="D55" i="81"/>
  <c r="H54" i="81"/>
  <c r="D54" i="81"/>
  <c r="H53" i="81"/>
  <c r="D53" i="81"/>
  <c r="G49" i="81"/>
  <c r="C49" i="81"/>
  <c r="H48" i="81"/>
  <c r="D48" i="81"/>
  <c r="H47" i="81"/>
  <c r="D47" i="81"/>
  <c r="H46" i="81"/>
  <c r="D46" i="81"/>
  <c r="H45" i="81"/>
  <c r="D45" i="81"/>
  <c r="H44" i="81"/>
  <c r="D44" i="81"/>
  <c r="H43" i="81"/>
  <c r="D43" i="81"/>
  <c r="H42" i="81"/>
  <c r="D42" i="81"/>
  <c r="H41" i="81"/>
  <c r="D41" i="81"/>
  <c r="H40" i="81"/>
  <c r="D40" i="81"/>
  <c r="H39" i="81"/>
  <c r="D39" i="81"/>
  <c r="H38" i="81"/>
  <c r="D38" i="81"/>
  <c r="H37" i="81"/>
  <c r="D37" i="81"/>
  <c r="G34" i="81"/>
  <c r="C34" i="81"/>
  <c r="H33" i="81"/>
  <c r="D33" i="81"/>
  <c r="H32" i="81"/>
  <c r="H31" i="81"/>
  <c r="H30" i="81"/>
  <c r="H29" i="81"/>
  <c r="H28" i="81"/>
  <c r="H27" i="81"/>
  <c r="H26" i="81"/>
  <c r="H25" i="81"/>
  <c r="H24" i="81"/>
  <c r="H23" i="81"/>
  <c r="H22" i="81"/>
  <c r="G19" i="81"/>
  <c r="C19" i="81"/>
  <c r="H18" i="81"/>
  <c r="H17" i="81"/>
  <c r="H16" i="81"/>
  <c r="H15" i="81"/>
  <c r="H14" i="81"/>
  <c r="H13" i="81"/>
  <c r="H12" i="81"/>
  <c r="H11" i="81"/>
  <c r="H10" i="81"/>
  <c r="H9" i="81"/>
  <c r="H8" i="81"/>
  <c r="H7" i="81"/>
  <c r="F112" i="77"/>
  <c r="D29" i="77" s="1"/>
  <c r="F111" i="77"/>
  <c r="D14" i="77" s="1"/>
  <c r="C103" i="77"/>
  <c r="D102" i="77"/>
  <c r="D101" i="77"/>
  <c r="D100" i="77"/>
  <c r="D99" i="77"/>
  <c r="D98" i="77"/>
  <c r="D97" i="77"/>
  <c r="D96" i="77"/>
  <c r="D87" i="77"/>
  <c r="D86" i="77"/>
  <c r="D85" i="77"/>
  <c r="D84" i="77"/>
  <c r="D83" i="77"/>
  <c r="D90" i="77" s="1"/>
  <c r="G80" i="77"/>
  <c r="C80" i="77"/>
  <c r="H79" i="77"/>
  <c r="D79" i="77"/>
  <c r="H78" i="77"/>
  <c r="D78" i="77"/>
  <c r="H77" i="77"/>
  <c r="D77" i="77"/>
  <c r="H76" i="77"/>
  <c r="D76" i="77"/>
  <c r="H75" i="77"/>
  <c r="D75" i="77"/>
  <c r="H74" i="77"/>
  <c r="D74" i="77"/>
  <c r="H73" i="77"/>
  <c r="D73" i="77"/>
  <c r="H72" i="77"/>
  <c r="D72" i="77"/>
  <c r="H71" i="77"/>
  <c r="D71" i="77"/>
  <c r="H70" i="77"/>
  <c r="D70" i="77"/>
  <c r="H69" i="77"/>
  <c r="D69" i="77"/>
  <c r="H68" i="77"/>
  <c r="D68" i="77"/>
  <c r="G65" i="77"/>
  <c r="C65" i="77"/>
  <c r="H64" i="77"/>
  <c r="D64" i="77"/>
  <c r="H63" i="77"/>
  <c r="D63" i="77"/>
  <c r="H62" i="77"/>
  <c r="D62" i="77"/>
  <c r="H61" i="77"/>
  <c r="D61" i="77"/>
  <c r="H60" i="77"/>
  <c r="D60" i="77"/>
  <c r="H59" i="77"/>
  <c r="D59" i="77"/>
  <c r="H58" i="77"/>
  <c r="D58" i="77"/>
  <c r="H57" i="77"/>
  <c r="D57" i="77"/>
  <c r="H56" i="77"/>
  <c r="D56" i="77"/>
  <c r="H55" i="77"/>
  <c r="D55" i="77"/>
  <c r="H54" i="77"/>
  <c r="D54" i="77"/>
  <c r="H53" i="77"/>
  <c r="D53" i="77"/>
  <c r="C49" i="77"/>
  <c r="H48" i="77"/>
  <c r="D48" i="77"/>
  <c r="H47" i="77"/>
  <c r="D47" i="77"/>
  <c r="H46" i="77"/>
  <c r="D46" i="77"/>
  <c r="H45" i="77"/>
  <c r="D45" i="77"/>
  <c r="H44" i="77"/>
  <c r="D44" i="77"/>
  <c r="H43" i="77"/>
  <c r="D43" i="77"/>
  <c r="H42" i="77"/>
  <c r="D42" i="77"/>
  <c r="H41" i="77"/>
  <c r="D41" i="77"/>
  <c r="H40" i="77"/>
  <c r="D40" i="77"/>
  <c r="H39" i="77"/>
  <c r="D39" i="77"/>
  <c r="H38" i="77"/>
  <c r="D38" i="77"/>
  <c r="H37" i="77"/>
  <c r="D37" i="77"/>
  <c r="G34" i="77"/>
  <c r="C34" i="77"/>
  <c r="H33" i="77"/>
  <c r="H32" i="77"/>
  <c r="H31" i="77"/>
  <c r="H30" i="77"/>
  <c r="H29" i="77"/>
  <c r="H28" i="77"/>
  <c r="H27" i="77"/>
  <c r="H26" i="77"/>
  <c r="H25" i="77"/>
  <c r="H24" i="77"/>
  <c r="H23" i="77"/>
  <c r="H22" i="77"/>
  <c r="G19" i="77"/>
  <c r="C19" i="77"/>
  <c r="H18" i="77"/>
  <c r="H17" i="77"/>
  <c r="H16" i="77"/>
  <c r="H15" i="77"/>
  <c r="H14" i="77"/>
  <c r="H13" i="77"/>
  <c r="H12" i="77"/>
  <c r="H11" i="77"/>
  <c r="H10" i="77"/>
  <c r="H9" i="77"/>
  <c r="H8" i="77"/>
  <c r="H7" i="77"/>
  <c r="F112" i="76"/>
  <c r="D27" i="76" s="1"/>
  <c r="F111" i="76"/>
  <c r="D18" i="76" s="1"/>
  <c r="C103" i="76"/>
  <c r="D102" i="76"/>
  <c r="D101" i="76"/>
  <c r="D100" i="76"/>
  <c r="D99" i="76"/>
  <c r="D98" i="76"/>
  <c r="D97" i="76"/>
  <c r="D96" i="76"/>
  <c r="D87" i="76"/>
  <c r="D86" i="76"/>
  <c r="D85" i="76"/>
  <c r="D84" i="76"/>
  <c r="D83" i="76"/>
  <c r="D90" i="76" s="1"/>
  <c r="G80" i="76"/>
  <c r="C80" i="76"/>
  <c r="H79" i="76"/>
  <c r="D79" i="76"/>
  <c r="H78" i="76"/>
  <c r="D78" i="76"/>
  <c r="H77" i="76"/>
  <c r="D77" i="76"/>
  <c r="H76" i="76"/>
  <c r="D76" i="76"/>
  <c r="H75" i="76"/>
  <c r="D75" i="76"/>
  <c r="H74" i="76"/>
  <c r="D74" i="76"/>
  <c r="H73" i="76"/>
  <c r="D73" i="76"/>
  <c r="H72" i="76"/>
  <c r="D72" i="76"/>
  <c r="H71" i="76"/>
  <c r="D71" i="76"/>
  <c r="H70" i="76"/>
  <c r="D70" i="76"/>
  <c r="H69" i="76"/>
  <c r="D69" i="76"/>
  <c r="H68" i="76"/>
  <c r="D68" i="76"/>
  <c r="G65" i="76"/>
  <c r="C65" i="76"/>
  <c r="H64" i="76"/>
  <c r="D64" i="76"/>
  <c r="H63" i="76"/>
  <c r="D63" i="76"/>
  <c r="H62" i="76"/>
  <c r="D62" i="76"/>
  <c r="H61" i="76"/>
  <c r="D61" i="76"/>
  <c r="H60" i="76"/>
  <c r="D60" i="76"/>
  <c r="H59" i="76"/>
  <c r="D59" i="76"/>
  <c r="H58" i="76"/>
  <c r="D58" i="76"/>
  <c r="H57" i="76"/>
  <c r="D57" i="76"/>
  <c r="H56" i="76"/>
  <c r="D56" i="76"/>
  <c r="H55" i="76"/>
  <c r="D55" i="76"/>
  <c r="H54" i="76"/>
  <c r="D54" i="76"/>
  <c r="H53" i="76"/>
  <c r="D53" i="76"/>
  <c r="C49" i="76"/>
  <c r="H48" i="76"/>
  <c r="D48" i="76"/>
  <c r="H47" i="76"/>
  <c r="D47" i="76"/>
  <c r="H46" i="76"/>
  <c r="D46" i="76"/>
  <c r="H45" i="76"/>
  <c r="D45" i="76"/>
  <c r="H44" i="76"/>
  <c r="D44" i="76"/>
  <c r="H43" i="76"/>
  <c r="D43" i="76"/>
  <c r="H42" i="76"/>
  <c r="D42" i="76"/>
  <c r="H41" i="76"/>
  <c r="D41" i="76"/>
  <c r="H40" i="76"/>
  <c r="D40" i="76"/>
  <c r="H39" i="76"/>
  <c r="D39" i="76"/>
  <c r="H38" i="76"/>
  <c r="D38" i="76"/>
  <c r="H37" i="76"/>
  <c r="D37" i="76"/>
  <c r="D49" i="76" s="1"/>
  <c r="G34" i="76"/>
  <c r="C34" i="76"/>
  <c r="H33" i="76"/>
  <c r="H32" i="76"/>
  <c r="H31" i="76"/>
  <c r="H30" i="76"/>
  <c r="H29" i="76"/>
  <c r="H28" i="76"/>
  <c r="H27" i="76"/>
  <c r="H26" i="76"/>
  <c r="H25" i="76"/>
  <c r="H24" i="76"/>
  <c r="H23" i="76"/>
  <c r="H22" i="76"/>
  <c r="G19" i="76"/>
  <c r="C19" i="76"/>
  <c r="H18" i="76"/>
  <c r="H17" i="76"/>
  <c r="H16" i="76"/>
  <c r="H15" i="76"/>
  <c r="H14" i="76"/>
  <c r="H13" i="76"/>
  <c r="H12" i="76"/>
  <c r="H11" i="76"/>
  <c r="H10" i="76"/>
  <c r="H9" i="76"/>
  <c r="H8" i="76"/>
  <c r="H7" i="76"/>
  <c r="F112" i="75"/>
  <c r="D33" i="75" s="1"/>
  <c r="F111" i="75"/>
  <c r="D13" i="75" s="1"/>
  <c r="C103" i="75"/>
  <c r="D102" i="75"/>
  <c r="D101" i="75"/>
  <c r="D100" i="75"/>
  <c r="D99" i="75"/>
  <c r="D98" i="75"/>
  <c r="D97" i="75"/>
  <c r="D96" i="75"/>
  <c r="D87" i="75"/>
  <c r="D86" i="75"/>
  <c r="D85" i="75"/>
  <c r="D84" i="75"/>
  <c r="D83" i="75"/>
  <c r="D90" i="75" s="1"/>
  <c r="G80" i="75"/>
  <c r="C80" i="75"/>
  <c r="H79" i="75"/>
  <c r="D79" i="75"/>
  <c r="H78" i="75"/>
  <c r="D78" i="75"/>
  <c r="H77" i="75"/>
  <c r="D77" i="75"/>
  <c r="H76" i="75"/>
  <c r="D76" i="75"/>
  <c r="H75" i="75"/>
  <c r="D75" i="75"/>
  <c r="H74" i="75"/>
  <c r="D74" i="75"/>
  <c r="H73" i="75"/>
  <c r="D73" i="75"/>
  <c r="H72" i="75"/>
  <c r="D72" i="75"/>
  <c r="H71" i="75"/>
  <c r="D71" i="75"/>
  <c r="H70" i="75"/>
  <c r="D70" i="75"/>
  <c r="H69" i="75"/>
  <c r="D69" i="75"/>
  <c r="H68" i="75"/>
  <c r="D68" i="75"/>
  <c r="G65" i="75"/>
  <c r="C65" i="75"/>
  <c r="H64" i="75"/>
  <c r="D64" i="75"/>
  <c r="H63" i="75"/>
  <c r="D63" i="75"/>
  <c r="H62" i="75"/>
  <c r="D62" i="75"/>
  <c r="H61" i="75"/>
  <c r="D61" i="75"/>
  <c r="H60" i="75"/>
  <c r="D60" i="75"/>
  <c r="H59" i="75"/>
  <c r="D59" i="75"/>
  <c r="H58" i="75"/>
  <c r="D58" i="75"/>
  <c r="H57" i="75"/>
  <c r="D57" i="75"/>
  <c r="H56" i="75"/>
  <c r="D56" i="75"/>
  <c r="H55" i="75"/>
  <c r="D55" i="75"/>
  <c r="H54" i="75"/>
  <c r="D54" i="75"/>
  <c r="H53" i="75"/>
  <c r="D53" i="75"/>
  <c r="C49" i="75"/>
  <c r="H48" i="75"/>
  <c r="D48" i="75"/>
  <c r="H47" i="75"/>
  <c r="D47" i="75"/>
  <c r="H46" i="75"/>
  <c r="D46" i="75"/>
  <c r="H45" i="75"/>
  <c r="D45" i="75"/>
  <c r="H44" i="75"/>
  <c r="D44" i="75"/>
  <c r="H43" i="75"/>
  <c r="D43" i="75"/>
  <c r="H42" i="75"/>
  <c r="D42" i="75"/>
  <c r="H41" i="75"/>
  <c r="D41" i="75"/>
  <c r="H40" i="75"/>
  <c r="D40" i="75"/>
  <c r="H39" i="75"/>
  <c r="D39" i="75"/>
  <c r="H38" i="75"/>
  <c r="D38" i="75"/>
  <c r="H37" i="75"/>
  <c r="D37" i="75"/>
  <c r="G34" i="75"/>
  <c r="C34" i="75"/>
  <c r="H33" i="75"/>
  <c r="H32" i="75"/>
  <c r="H31" i="75"/>
  <c r="H30" i="75"/>
  <c r="H29" i="75"/>
  <c r="H28" i="75"/>
  <c r="H27" i="75"/>
  <c r="H26" i="75"/>
  <c r="H25" i="75"/>
  <c r="H24" i="75"/>
  <c r="H23" i="75"/>
  <c r="H22" i="75"/>
  <c r="G19" i="75"/>
  <c r="C19" i="75"/>
  <c r="H18" i="75"/>
  <c r="D18" i="75"/>
  <c r="H17" i="75"/>
  <c r="H16" i="75"/>
  <c r="H15" i="75"/>
  <c r="H14" i="75"/>
  <c r="H13" i="75"/>
  <c r="H12" i="75"/>
  <c r="H11" i="75"/>
  <c r="H10" i="75"/>
  <c r="H9" i="75"/>
  <c r="H8" i="75"/>
  <c r="H7" i="75"/>
  <c r="F112" i="74"/>
  <c r="D31" i="74" s="1"/>
  <c r="F111" i="74"/>
  <c r="D17" i="74" s="1"/>
  <c r="C103" i="74"/>
  <c r="D102" i="74"/>
  <c r="D101" i="74"/>
  <c r="D100" i="74"/>
  <c r="D99" i="74"/>
  <c r="D98" i="74"/>
  <c r="D97" i="74"/>
  <c r="D96" i="74"/>
  <c r="D87" i="74"/>
  <c r="D86" i="74"/>
  <c r="D85" i="74"/>
  <c r="D84" i="74"/>
  <c r="D83" i="74"/>
  <c r="D90" i="74" s="1"/>
  <c r="G80" i="74"/>
  <c r="C80" i="74"/>
  <c r="H79" i="74"/>
  <c r="D79" i="74"/>
  <c r="H78" i="74"/>
  <c r="D78" i="74"/>
  <c r="H77" i="74"/>
  <c r="D77" i="74"/>
  <c r="H76" i="74"/>
  <c r="D76" i="74"/>
  <c r="H75" i="74"/>
  <c r="D75" i="74"/>
  <c r="H74" i="74"/>
  <c r="D74" i="74"/>
  <c r="H73" i="74"/>
  <c r="D73" i="74"/>
  <c r="H72" i="74"/>
  <c r="D72" i="74"/>
  <c r="H71" i="74"/>
  <c r="D71" i="74"/>
  <c r="H70" i="74"/>
  <c r="D70" i="74"/>
  <c r="H69" i="74"/>
  <c r="D69" i="74"/>
  <c r="H68" i="74"/>
  <c r="D68" i="74"/>
  <c r="G65" i="74"/>
  <c r="C65" i="74"/>
  <c r="H64" i="74"/>
  <c r="D64" i="74"/>
  <c r="H63" i="74"/>
  <c r="D63" i="74"/>
  <c r="H62" i="74"/>
  <c r="D62" i="74"/>
  <c r="H61" i="74"/>
  <c r="D61" i="74"/>
  <c r="H60" i="74"/>
  <c r="D60" i="74"/>
  <c r="H59" i="74"/>
  <c r="D59" i="74"/>
  <c r="H58" i="74"/>
  <c r="D58" i="74"/>
  <c r="H57" i="74"/>
  <c r="D57" i="74"/>
  <c r="H56" i="74"/>
  <c r="D56" i="74"/>
  <c r="H55" i="74"/>
  <c r="D55" i="74"/>
  <c r="H54" i="74"/>
  <c r="D54" i="74"/>
  <c r="H53" i="74"/>
  <c r="D53" i="74"/>
  <c r="C49" i="74"/>
  <c r="H48" i="74"/>
  <c r="D48" i="74"/>
  <c r="H47" i="74"/>
  <c r="D47" i="74"/>
  <c r="H46" i="74"/>
  <c r="D46" i="74"/>
  <c r="H45" i="74"/>
  <c r="D45" i="74"/>
  <c r="H44" i="74"/>
  <c r="D44" i="74"/>
  <c r="H43" i="74"/>
  <c r="D43" i="74"/>
  <c r="H42" i="74"/>
  <c r="D42" i="74"/>
  <c r="H41" i="74"/>
  <c r="D41" i="74"/>
  <c r="H40" i="74"/>
  <c r="D40" i="74"/>
  <c r="H39" i="74"/>
  <c r="D39" i="74"/>
  <c r="H38" i="74"/>
  <c r="D38" i="74"/>
  <c r="H37" i="74"/>
  <c r="D37" i="74"/>
  <c r="G34" i="74"/>
  <c r="C34" i="74"/>
  <c r="H33" i="74"/>
  <c r="H32" i="74"/>
  <c r="H31" i="74"/>
  <c r="H30" i="74"/>
  <c r="H29" i="74"/>
  <c r="H28" i="74"/>
  <c r="H27" i="74"/>
  <c r="H26" i="74"/>
  <c r="H25" i="74"/>
  <c r="H24" i="74"/>
  <c r="H23" i="74"/>
  <c r="H22" i="74"/>
  <c r="G19" i="74"/>
  <c r="C19" i="74"/>
  <c r="H18" i="74"/>
  <c r="H17" i="74"/>
  <c r="H16" i="74"/>
  <c r="H15" i="74"/>
  <c r="H14" i="74"/>
  <c r="D14" i="74"/>
  <c r="H13" i="74"/>
  <c r="H12" i="74"/>
  <c r="H11" i="74"/>
  <c r="H10" i="74"/>
  <c r="H9" i="74"/>
  <c r="H8" i="74"/>
  <c r="H7" i="74"/>
  <c r="F112" i="73"/>
  <c r="D33" i="73" s="1"/>
  <c r="F111" i="73"/>
  <c r="D10" i="73" s="1"/>
  <c r="C103" i="73"/>
  <c r="D102" i="73"/>
  <c r="D101" i="73"/>
  <c r="D100" i="73"/>
  <c r="D99" i="73"/>
  <c r="D98" i="73"/>
  <c r="D97" i="73"/>
  <c r="D96" i="73"/>
  <c r="D87" i="73"/>
  <c r="D86" i="73"/>
  <c r="D85" i="73"/>
  <c r="D84" i="73"/>
  <c r="D83" i="73"/>
  <c r="D90" i="73" s="1"/>
  <c r="G80" i="73"/>
  <c r="C80" i="73"/>
  <c r="H79" i="73"/>
  <c r="D79" i="73"/>
  <c r="H78" i="73"/>
  <c r="D78" i="73"/>
  <c r="H77" i="73"/>
  <c r="D77" i="73"/>
  <c r="H76" i="73"/>
  <c r="D76" i="73"/>
  <c r="H75" i="73"/>
  <c r="D75" i="73"/>
  <c r="H74" i="73"/>
  <c r="D74" i="73"/>
  <c r="H73" i="73"/>
  <c r="D73" i="73"/>
  <c r="H72" i="73"/>
  <c r="D72" i="73"/>
  <c r="H71" i="73"/>
  <c r="D71" i="73"/>
  <c r="H70" i="73"/>
  <c r="D70" i="73"/>
  <c r="H69" i="73"/>
  <c r="D69" i="73"/>
  <c r="H68" i="73"/>
  <c r="D68" i="73"/>
  <c r="G65" i="73"/>
  <c r="C65" i="73"/>
  <c r="H64" i="73"/>
  <c r="D64" i="73"/>
  <c r="H63" i="73"/>
  <c r="D63" i="73"/>
  <c r="H62" i="73"/>
  <c r="D62" i="73"/>
  <c r="H61" i="73"/>
  <c r="D61" i="73"/>
  <c r="H60" i="73"/>
  <c r="D60" i="73"/>
  <c r="H59" i="73"/>
  <c r="D59" i="73"/>
  <c r="H58" i="73"/>
  <c r="D58" i="73"/>
  <c r="H57" i="73"/>
  <c r="D57" i="73"/>
  <c r="H56" i="73"/>
  <c r="D56" i="73"/>
  <c r="H55" i="73"/>
  <c r="D55" i="73"/>
  <c r="H54" i="73"/>
  <c r="D54" i="73"/>
  <c r="H53" i="73"/>
  <c r="D53" i="73"/>
  <c r="C49" i="73"/>
  <c r="H48" i="73"/>
  <c r="D48" i="73"/>
  <c r="H47" i="73"/>
  <c r="D47" i="73"/>
  <c r="H46" i="73"/>
  <c r="D46" i="73"/>
  <c r="H45" i="73"/>
  <c r="D45" i="73"/>
  <c r="H44" i="73"/>
  <c r="D44" i="73"/>
  <c r="H43" i="73"/>
  <c r="D43" i="73"/>
  <c r="H42" i="73"/>
  <c r="D42" i="73"/>
  <c r="H41" i="73"/>
  <c r="D41" i="73"/>
  <c r="H40" i="73"/>
  <c r="D40" i="73"/>
  <c r="H39" i="73"/>
  <c r="D39" i="73"/>
  <c r="H38" i="73"/>
  <c r="D38" i="73"/>
  <c r="H37" i="73"/>
  <c r="D37" i="73"/>
  <c r="G34" i="73"/>
  <c r="C34" i="73"/>
  <c r="H33" i="73"/>
  <c r="H32" i="73"/>
  <c r="H31" i="73"/>
  <c r="H30" i="73"/>
  <c r="H29" i="73"/>
  <c r="H28" i="73"/>
  <c r="H27" i="73"/>
  <c r="H26" i="73"/>
  <c r="H25" i="73"/>
  <c r="H24" i="73"/>
  <c r="H23" i="73"/>
  <c r="H22" i="73"/>
  <c r="G19" i="73"/>
  <c r="C19" i="73"/>
  <c r="H18" i="73"/>
  <c r="D18" i="73"/>
  <c r="H17" i="73"/>
  <c r="H16" i="73"/>
  <c r="H15" i="73"/>
  <c r="H14" i="73"/>
  <c r="H13" i="73"/>
  <c r="H12" i="73"/>
  <c r="H11" i="73"/>
  <c r="H10" i="73"/>
  <c r="H9" i="73"/>
  <c r="H8" i="73"/>
  <c r="H7" i="73"/>
  <c r="F112" i="72"/>
  <c r="D22" i="72" s="1"/>
  <c r="F111" i="72"/>
  <c r="D17" i="72" s="1"/>
  <c r="C103" i="72"/>
  <c r="D102" i="72"/>
  <c r="D101" i="72"/>
  <c r="D100" i="72"/>
  <c r="D99" i="72"/>
  <c r="D98" i="72"/>
  <c r="D97" i="72"/>
  <c r="D96" i="72"/>
  <c r="D87" i="72"/>
  <c r="D86" i="72"/>
  <c r="D85" i="72"/>
  <c r="D84" i="72"/>
  <c r="D83" i="72"/>
  <c r="D90" i="72" s="1"/>
  <c r="G80" i="72"/>
  <c r="C80" i="72"/>
  <c r="H79" i="72"/>
  <c r="D79" i="72"/>
  <c r="H78" i="72"/>
  <c r="D78" i="72"/>
  <c r="H77" i="72"/>
  <c r="D77" i="72"/>
  <c r="H76" i="72"/>
  <c r="D76" i="72"/>
  <c r="H75" i="72"/>
  <c r="D75" i="72"/>
  <c r="H74" i="72"/>
  <c r="D74" i="72"/>
  <c r="H73" i="72"/>
  <c r="D73" i="72"/>
  <c r="H72" i="72"/>
  <c r="D72" i="72"/>
  <c r="H71" i="72"/>
  <c r="D71" i="72"/>
  <c r="H70" i="72"/>
  <c r="D70" i="72"/>
  <c r="H69" i="72"/>
  <c r="D69" i="72"/>
  <c r="H68" i="72"/>
  <c r="D68" i="72"/>
  <c r="G65" i="72"/>
  <c r="C65" i="72"/>
  <c r="H64" i="72"/>
  <c r="D64" i="72"/>
  <c r="H63" i="72"/>
  <c r="D63" i="72"/>
  <c r="H62" i="72"/>
  <c r="D62" i="72"/>
  <c r="H61" i="72"/>
  <c r="D61" i="72"/>
  <c r="H60" i="72"/>
  <c r="D60" i="72"/>
  <c r="H59" i="72"/>
  <c r="D59" i="72"/>
  <c r="H58" i="72"/>
  <c r="D58" i="72"/>
  <c r="H57" i="72"/>
  <c r="D57" i="72"/>
  <c r="H56" i="72"/>
  <c r="D56" i="72"/>
  <c r="H55" i="72"/>
  <c r="D55" i="72"/>
  <c r="H54" i="72"/>
  <c r="D54" i="72"/>
  <c r="H53" i="72"/>
  <c r="D53" i="72"/>
  <c r="C49" i="72"/>
  <c r="H48" i="72"/>
  <c r="D48" i="72"/>
  <c r="H47" i="72"/>
  <c r="D47" i="72"/>
  <c r="H46" i="72"/>
  <c r="D46" i="72"/>
  <c r="H45" i="72"/>
  <c r="D45" i="72"/>
  <c r="H44" i="72"/>
  <c r="D44" i="72"/>
  <c r="H43" i="72"/>
  <c r="D43" i="72"/>
  <c r="H42" i="72"/>
  <c r="D42" i="72"/>
  <c r="H41" i="72"/>
  <c r="D41" i="72"/>
  <c r="H40" i="72"/>
  <c r="D40" i="72"/>
  <c r="H39" i="72"/>
  <c r="D39" i="72"/>
  <c r="H38" i="72"/>
  <c r="D38" i="72"/>
  <c r="H37" i="72"/>
  <c r="D37" i="72"/>
  <c r="G34" i="72"/>
  <c r="C34" i="72"/>
  <c r="H33" i="72"/>
  <c r="H32" i="72"/>
  <c r="D32" i="72"/>
  <c r="H31" i="72"/>
  <c r="H30" i="72"/>
  <c r="H29" i="72"/>
  <c r="H28" i="72"/>
  <c r="H27" i="72"/>
  <c r="H26" i="72"/>
  <c r="H25" i="72"/>
  <c r="H24" i="72"/>
  <c r="H23" i="72"/>
  <c r="H22" i="72"/>
  <c r="G19" i="72"/>
  <c r="C19" i="72"/>
  <c r="H18" i="72"/>
  <c r="H17" i="72"/>
  <c r="H16" i="72"/>
  <c r="H15" i="72"/>
  <c r="H14" i="72"/>
  <c r="H13" i="72"/>
  <c r="H12" i="72"/>
  <c r="H11" i="72"/>
  <c r="H10" i="72"/>
  <c r="H9" i="72"/>
  <c r="H8" i="72"/>
  <c r="H7" i="72"/>
  <c r="F112" i="71"/>
  <c r="D32" i="71" s="1"/>
  <c r="F111" i="71"/>
  <c r="D18" i="71" s="1"/>
  <c r="C103" i="71"/>
  <c r="D102" i="71"/>
  <c r="D101" i="71"/>
  <c r="D100" i="71"/>
  <c r="D99" i="71"/>
  <c r="D98" i="71"/>
  <c r="D97" i="71"/>
  <c r="D96" i="71"/>
  <c r="D87" i="71"/>
  <c r="D86" i="71"/>
  <c r="D85" i="71"/>
  <c r="D84" i="71"/>
  <c r="D83" i="71"/>
  <c r="D90" i="71" s="1"/>
  <c r="G80" i="71"/>
  <c r="C80" i="71"/>
  <c r="H79" i="71"/>
  <c r="D79" i="71"/>
  <c r="H78" i="71"/>
  <c r="D78" i="71"/>
  <c r="H77" i="71"/>
  <c r="D77" i="71"/>
  <c r="H76" i="71"/>
  <c r="D76" i="71"/>
  <c r="H75" i="71"/>
  <c r="D75" i="71"/>
  <c r="H74" i="71"/>
  <c r="D74" i="71"/>
  <c r="H73" i="71"/>
  <c r="D73" i="71"/>
  <c r="H72" i="71"/>
  <c r="D72" i="71"/>
  <c r="H71" i="71"/>
  <c r="D71" i="71"/>
  <c r="H70" i="71"/>
  <c r="D70" i="71"/>
  <c r="H69" i="71"/>
  <c r="D69" i="71"/>
  <c r="H68" i="71"/>
  <c r="D68" i="71"/>
  <c r="G65" i="71"/>
  <c r="C65" i="71"/>
  <c r="H64" i="71"/>
  <c r="D64" i="71"/>
  <c r="H63" i="71"/>
  <c r="D63" i="71"/>
  <c r="H62" i="71"/>
  <c r="D62" i="71"/>
  <c r="H61" i="71"/>
  <c r="D61" i="71"/>
  <c r="H60" i="71"/>
  <c r="D60" i="71"/>
  <c r="H59" i="71"/>
  <c r="D59" i="71"/>
  <c r="H58" i="71"/>
  <c r="D58" i="71"/>
  <c r="H57" i="71"/>
  <c r="D57" i="71"/>
  <c r="H56" i="71"/>
  <c r="D56" i="71"/>
  <c r="H55" i="71"/>
  <c r="D55" i="71"/>
  <c r="H54" i="71"/>
  <c r="D54" i="71"/>
  <c r="H53" i="71"/>
  <c r="D53" i="71"/>
  <c r="C49" i="71"/>
  <c r="H48" i="71"/>
  <c r="D48" i="71"/>
  <c r="H47" i="71"/>
  <c r="D47" i="71"/>
  <c r="H46" i="71"/>
  <c r="D46" i="71"/>
  <c r="H45" i="71"/>
  <c r="D45" i="71"/>
  <c r="H44" i="71"/>
  <c r="D44" i="71"/>
  <c r="H43" i="71"/>
  <c r="D43" i="71"/>
  <c r="H42" i="71"/>
  <c r="D42" i="71"/>
  <c r="H41" i="71"/>
  <c r="D41" i="71"/>
  <c r="H40" i="71"/>
  <c r="D40" i="71"/>
  <c r="H39" i="71"/>
  <c r="D39" i="71"/>
  <c r="H38" i="71"/>
  <c r="D38" i="71"/>
  <c r="H37" i="71"/>
  <c r="D37" i="71"/>
  <c r="G34" i="71"/>
  <c r="C34" i="71"/>
  <c r="H33" i="71"/>
  <c r="H32" i="71"/>
  <c r="H31" i="71"/>
  <c r="H30" i="71"/>
  <c r="H29" i="71"/>
  <c r="H28" i="71"/>
  <c r="H27" i="71"/>
  <c r="H26" i="71"/>
  <c r="H25" i="71"/>
  <c r="H24" i="71"/>
  <c r="H23" i="71"/>
  <c r="H22" i="71"/>
  <c r="G19" i="71"/>
  <c r="C19" i="71"/>
  <c r="H18" i="71"/>
  <c r="H17" i="71"/>
  <c r="H16" i="71"/>
  <c r="H15" i="71"/>
  <c r="H14" i="71"/>
  <c r="H13" i="71"/>
  <c r="H12" i="71"/>
  <c r="H11" i="71"/>
  <c r="H10" i="71"/>
  <c r="H9" i="71"/>
  <c r="H8" i="71"/>
  <c r="H7" i="71"/>
  <c r="F112" i="70"/>
  <c r="D33" i="70" s="1"/>
  <c r="F111" i="70"/>
  <c r="D16" i="70" s="1"/>
  <c r="C103" i="70"/>
  <c r="D102" i="70"/>
  <c r="D101" i="70"/>
  <c r="D100" i="70"/>
  <c r="D99" i="70"/>
  <c r="D98" i="70"/>
  <c r="D97" i="70"/>
  <c r="D96" i="70"/>
  <c r="D87" i="70"/>
  <c r="D86" i="70"/>
  <c r="D85" i="70"/>
  <c r="D84" i="70"/>
  <c r="D83" i="70"/>
  <c r="D90" i="70" s="1"/>
  <c r="G80" i="70"/>
  <c r="C80" i="70"/>
  <c r="H79" i="70"/>
  <c r="D79" i="70"/>
  <c r="H78" i="70"/>
  <c r="D78" i="70"/>
  <c r="H77" i="70"/>
  <c r="D77" i="70"/>
  <c r="H76" i="70"/>
  <c r="D76" i="70"/>
  <c r="H75" i="70"/>
  <c r="D75" i="70"/>
  <c r="H74" i="70"/>
  <c r="D74" i="70"/>
  <c r="H73" i="70"/>
  <c r="D73" i="70"/>
  <c r="H72" i="70"/>
  <c r="D72" i="70"/>
  <c r="H71" i="70"/>
  <c r="D71" i="70"/>
  <c r="H70" i="70"/>
  <c r="D70" i="70"/>
  <c r="H69" i="70"/>
  <c r="D69" i="70"/>
  <c r="H68" i="70"/>
  <c r="D68" i="70"/>
  <c r="G65" i="70"/>
  <c r="C65" i="70"/>
  <c r="H64" i="70"/>
  <c r="D64" i="70"/>
  <c r="H63" i="70"/>
  <c r="D63" i="70"/>
  <c r="H62" i="70"/>
  <c r="D62" i="70"/>
  <c r="H61" i="70"/>
  <c r="D61" i="70"/>
  <c r="H60" i="70"/>
  <c r="D60" i="70"/>
  <c r="H59" i="70"/>
  <c r="D59" i="70"/>
  <c r="H58" i="70"/>
  <c r="D58" i="70"/>
  <c r="H57" i="70"/>
  <c r="D57" i="70"/>
  <c r="H56" i="70"/>
  <c r="D56" i="70"/>
  <c r="H55" i="70"/>
  <c r="D55" i="70"/>
  <c r="H54" i="70"/>
  <c r="D54" i="70"/>
  <c r="H53" i="70"/>
  <c r="D53" i="70"/>
  <c r="C49" i="70"/>
  <c r="H48" i="70"/>
  <c r="D48" i="70"/>
  <c r="H47" i="70"/>
  <c r="D47" i="70"/>
  <c r="H46" i="70"/>
  <c r="D46" i="70"/>
  <c r="H45" i="70"/>
  <c r="D45" i="70"/>
  <c r="H44" i="70"/>
  <c r="D44" i="70"/>
  <c r="H43" i="70"/>
  <c r="D43" i="70"/>
  <c r="H42" i="70"/>
  <c r="D42" i="70"/>
  <c r="H41" i="70"/>
  <c r="D41" i="70"/>
  <c r="H40" i="70"/>
  <c r="D40" i="70"/>
  <c r="H39" i="70"/>
  <c r="D39" i="70"/>
  <c r="H38" i="70"/>
  <c r="D38" i="70"/>
  <c r="H37" i="70"/>
  <c r="D37" i="70"/>
  <c r="G34" i="70"/>
  <c r="C34" i="70"/>
  <c r="H33" i="70"/>
  <c r="H32" i="70"/>
  <c r="H31" i="70"/>
  <c r="H30" i="70"/>
  <c r="H29" i="70"/>
  <c r="H28" i="70"/>
  <c r="H27" i="70"/>
  <c r="H26" i="70"/>
  <c r="H25" i="70"/>
  <c r="H24" i="70"/>
  <c r="H23" i="70"/>
  <c r="H22" i="70"/>
  <c r="G19" i="70"/>
  <c r="C19" i="70"/>
  <c r="H18" i="70"/>
  <c r="H17" i="70"/>
  <c r="H16" i="70"/>
  <c r="H15" i="70"/>
  <c r="H14" i="70"/>
  <c r="H13" i="70"/>
  <c r="H12" i="70"/>
  <c r="H11" i="70"/>
  <c r="H10" i="70"/>
  <c r="H9" i="70"/>
  <c r="H8" i="70"/>
  <c r="H7" i="70"/>
  <c r="F112" i="69"/>
  <c r="D33" i="69" s="1"/>
  <c r="F111" i="69"/>
  <c r="D17" i="69" s="1"/>
  <c r="C103" i="69"/>
  <c r="D102" i="69"/>
  <c r="D101" i="69"/>
  <c r="D100" i="69"/>
  <c r="D99" i="69"/>
  <c r="D98" i="69"/>
  <c r="D97" i="69"/>
  <c r="D96" i="69"/>
  <c r="D87" i="69"/>
  <c r="D86" i="69"/>
  <c r="D85" i="69"/>
  <c r="D84" i="69"/>
  <c r="D83" i="69"/>
  <c r="D90" i="69" s="1"/>
  <c r="G80" i="69"/>
  <c r="C80" i="69"/>
  <c r="H79" i="69"/>
  <c r="D79" i="69"/>
  <c r="H78" i="69"/>
  <c r="D78" i="69"/>
  <c r="H77" i="69"/>
  <c r="D77" i="69"/>
  <c r="H76" i="69"/>
  <c r="D76" i="69"/>
  <c r="H75" i="69"/>
  <c r="D75" i="69"/>
  <c r="H74" i="69"/>
  <c r="D74" i="69"/>
  <c r="H73" i="69"/>
  <c r="D73" i="69"/>
  <c r="H72" i="69"/>
  <c r="D72" i="69"/>
  <c r="H71" i="69"/>
  <c r="D71" i="69"/>
  <c r="H70" i="69"/>
  <c r="D70" i="69"/>
  <c r="H69" i="69"/>
  <c r="D69" i="69"/>
  <c r="H68" i="69"/>
  <c r="D68" i="69"/>
  <c r="G65" i="69"/>
  <c r="C65" i="69"/>
  <c r="H64" i="69"/>
  <c r="D64" i="69"/>
  <c r="H63" i="69"/>
  <c r="D63" i="69"/>
  <c r="H62" i="69"/>
  <c r="D62" i="69"/>
  <c r="H61" i="69"/>
  <c r="D61" i="69"/>
  <c r="H60" i="69"/>
  <c r="D60" i="69"/>
  <c r="H59" i="69"/>
  <c r="D59" i="69"/>
  <c r="H58" i="69"/>
  <c r="D58" i="69"/>
  <c r="H57" i="69"/>
  <c r="D57" i="69"/>
  <c r="H56" i="69"/>
  <c r="D56" i="69"/>
  <c r="H55" i="69"/>
  <c r="D55" i="69"/>
  <c r="H54" i="69"/>
  <c r="D54" i="69"/>
  <c r="H53" i="69"/>
  <c r="D53" i="69"/>
  <c r="C49" i="69"/>
  <c r="H48" i="69"/>
  <c r="D48" i="69"/>
  <c r="H47" i="69"/>
  <c r="D47" i="69"/>
  <c r="H46" i="69"/>
  <c r="D46" i="69"/>
  <c r="H45" i="69"/>
  <c r="D45" i="69"/>
  <c r="H44" i="69"/>
  <c r="D44" i="69"/>
  <c r="H43" i="69"/>
  <c r="D43" i="69"/>
  <c r="H42" i="69"/>
  <c r="D42" i="69"/>
  <c r="H41" i="69"/>
  <c r="D41" i="69"/>
  <c r="H40" i="69"/>
  <c r="D40" i="69"/>
  <c r="H39" i="69"/>
  <c r="D39" i="69"/>
  <c r="H38" i="69"/>
  <c r="D38" i="69"/>
  <c r="H37" i="69"/>
  <c r="D37" i="69"/>
  <c r="G34" i="69"/>
  <c r="C34" i="69"/>
  <c r="H33" i="69"/>
  <c r="H32" i="69"/>
  <c r="H31" i="69"/>
  <c r="H30" i="69"/>
  <c r="H29" i="69"/>
  <c r="H28" i="69"/>
  <c r="H27" i="69"/>
  <c r="H26" i="69"/>
  <c r="H25" i="69"/>
  <c r="H24" i="69"/>
  <c r="H23" i="69"/>
  <c r="H22" i="69"/>
  <c r="G19" i="69"/>
  <c r="C19" i="69"/>
  <c r="H18" i="69"/>
  <c r="H17" i="69"/>
  <c r="H16" i="69"/>
  <c r="H15" i="69"/>
  <c r="H14" i="69"/>
  <c r="H13" i="69"/>
  <c r="H12" i="69"/>
  <c r="H11" i="69"/>
  <c r="H10" i="69"/>
  <c r="H9" i="69"/>
  <c r="H8" i="69"/>
  <c r="H7" i="69"/>
  <c r="F112" i="68"/>
  <c r="D32" i="68" s="1"/>
  <c r="F111" i="68"/>
  <c r="D17" i="68" s="1"/>
  <c r="C103" i="68"/>
  <c r="D102" i="68"/>
  <c r="D101" i="68"/>
  <c r="D100" i="68"/>
  <c r="D99" i="68"/>
  <c r="D98" i="68"/>
  <c r="D97" i="68"/>
  <c r="D96" i="68"/>
  <c r="D87" i="68"/>
  <c r="D86" i="68"/>
  <c r="D85" i="68"/>
  <c r="D84" i="68"/>
  <c r="D83" i="68"/>
  <c r="D90" i="68" s="1"/>
  <c r="G80" i="68"/>
  <c r="C80" i="68"/>
  <c r="H79" i="68"/>
  <c r="D79" i="68"/>
  <c r="H78" i="68"/>
  <c r="D78" i="68"/>
  <c r="H77" i="68"/>
  <c r="D77" i="68"/>
  <c r="H76" i="68"/>
  <c r="D76" i="68"/>
  <c r="H75" i="68"/>
  <c r="D75" i="68"/>
  <c r="H74" i="68"/>
  <c r="D74" i="68"/>
  <c r="H73" i="68"/>
  <c r="D73" i="68"/>
  <c r="H72" i="68"/>
  <c r="D72" i="68"/>
  <c r="H71" i="68"/>
  <c r="D71" i="68"/>
  <c r="H70" i="68"/>
  <c r="D70" i="68"/>
  <c r="H69" i="68"/>
  <c r="D69" i="68"/>
  <c r="H68" i="68"/>
  <c r="D68" i="68"/>
  <c r="G65" i="68"/>
  <c r="C65" i="68"/>
  <c r="H64" i="68"/>
  <c r="D64" i="68"/>
  <c r="H63" i="68"/>
  <c r="D63" i="68"/>
  <c r="H62" i="68"/>
  <c r="D62" i="68"/>
  <c r="H61" i="68"/>
  <c r="D61" i="68"/>
  <c r="H60" i="68"/>
  <c r="D60" i="68"/>
  <c r="H59" i="68"/>
  <c r="D59" i="68"/>
  <c r="H58" i="68"/>
  <c r="D58" i="68"/>
  <c r="H57" i="68"/>
  <c r="D57" i="68"/>
  <c r="H56" i="68"/>
  <c r="D56" i="68"/>
  <c r="H55" i="68"/>
  <c r="D55" i="68"/>
  <c r="H54" i="68"/>
  <c r="D54" i="68"/>
  <c r="H53" i="68"/>
  <c r="D53" i="68"/>
  <c r="C49" i="68"/>
  <c r="H48" i="68"/>
  <c r="D48" i="68"/>
  <c r="H47" i="68"/>
  <c r="D47" i="68"/>
  <c r="H46" i="68"/>
  <c r="D46" i="68"/>
  <c r="H45" i="68"/>
  <c r="D45" i="68"/>
  <c r="H44" i="68"/>
  <c r="D44" i="68"/>
  <c r="H43" i="68"/>
  <c r="D43" i="68"/>
  <c r="H42" i="68"/>
  <c r="D42" i="68"/>
  <c r="H41" i="68"/>
  <c r="D41" i="68"/>
  <c r="H40" i="68"/>
  <c r="D40" i="68"/>
  <c r="H39" i="68"/>
  <c r="D39" i="68"/>
  <c r="H38" i="68"/>
  <c r="D38" i="68"/>
  <c r="H37" i="68"/>
  <c r="D37" i="68"/>
  <c r="G34" i="68"/>
  <c r="C34" i="68"/>
  <c r="H33" i="68"/>
  <c r="H32" i="68"/>
  <c r="H31" i="68"/>
  <c r="H30" i="68"/>
  <c r="H29" i="68"/>
  <c r="H28" i="68"/>
  <c r="H27" i="68"/>
  <c r="H26" i="68"/>
  <c r="H25" i="68"/>
  <c r="H24" i="68"/>
  <c r="H23" i="68"/>
  <c r="H22" i="68"/>
  <c r="G19" i="68"/>
  <c r="C19" i="68"/>
  <c r="H18" i="68"/>
  <c r="H17" i="68"/>
  <c r="H16" i="68"/>
  <c r="H15" i="68"/>
  <c r="H14" i="68"/>
  <c r="H13" i="68"/>
  <c r="H12" i="68"/>
  <c r="H11" i="68"/>
  <c r="H10" i="68"/>
  <c r="H9" i="68"/>
  <c r="H8" i="68"/>
  <c r="H7" i="68"/>
  <c r="F112" i="67"/>
  <c r="D32" i="67" s="1"/>
  <c r="F111" i="67"/>
  <c r="D17" i="67" s="1"/>
  <c r="C103" i="67"/>
  <c r="D102" i="67"/>
  <c r="D101" i="67"/>
  <c r="D100" i="67"/>
  <c r="D99" i="67"/>
  <c r="D98" i="67"/>
  <c r="D97" i="67"/>
  <c r="D96" i="67"/>
  <c r="D87" i="67"/>
  <c r="D86" i="67"/>
  <c r="D85" i="67"/>
  <c r="D84" i="67"/>
  <c r="D83" i="67"/>
  <c r="D90" i="67" s="1"/>
  <c r="G80" i="67"/>
  <c r="C80" i="67"/>
  <c r="H79" i="67"/>
  <c r="D79" i="67"/>
  <c r="H78" i="67"/>
  <c r="D78" i="67"/>
  <c r="H77" i="67"/>
  <c r="D77" i="67"/>
  <c r="H76" i="67"/>
  <c r="D76" i="67"/>
  <c r="H75" i="67"/>
  <c r="D75" i="67"/>
  <c r="H74" i="67"/>
  <c r="D74" i="67"/>
  <c r="H73" i="67"/>
  <c r="D73" i="67"/>
  <c r="H72" i="67"/>
  <c r="D72" i="67"/>
  <c r="H71" i="67"/>
  <c r="D71" i="67"/>
  <c r="H70" i="67"/>
  <c r="D70" i="67"/>
  <c r="H69" i="67"/>
  <c r="D69" i="67"/>
  <c r="H68" i="67"/>
  <c r="D68" i="67"/>
  <c r="G65" i="67"/>
  <c r="C65" i="67"/>
  <c r="H64" i="67"/>
  <c r="D64" i="67"/>
  <c r="H63" i="67"/>
  <c r="D63" i="67"/>
  <c r="H62" i="67"/>
  <c r="D62" i="67"/>
  <c r="H61" i="67"/>
  <c r="D61" i="67"/>
  <c r="H60" i="67"/>
  <c r="D60" i="67"/>
  <c r="H59" i="67"/>
  <c r="D59" i="67"/>
  <c r="H58" i="67"/>
  <c r="D58" i="67"/>
  <c r="H57" i="67"/>
  <c r="D57" i="67"/>
  <c r="H56" i="67"/>
  <c r="D56" i="67"/>
  <c r="H55" i="67"/>
  <c r="D55" i="67"/>
  <c r="H54" i="67"/>
  <c r="D54" i="67"/>
  <c r="H53" i="67"/>
  <c r="D53" i="67"/>
  <c r="C49" i="67"/>
  <c r="H48" i="67"/>
  <c r="D48" i="67"/>
  <c r="H47" i="67"/>
  <c r="D47" i="67"/>
  <c r="H46" i="67"/>
  <c r="D46" i="67"/>
  <c r="H45" i="67"/>
  <c r="D45" i="67"/>
  <c r="H44" i="67"/>
  <c r="D44" i="67"/>
  <c r="H43" i="67"/>
  <c r="D43" i="67"/>
  <c r="H42" i="67"/>
  <c r="D42" i="67"/>
  <c r="H41" i="67"/>
  <c r="D41" i="67"/>
  <c r="H40" i="67"/>
  <c r="D40" i="67"/>
  <c r="H39" i="67"/>
  <c r="D39" i="67"/>
  <c r="H38" i="67"/>
  <c r="D38" i="67"/>
  <c r="H37" i="67"/>
  <c r="D37" i="67"/>
  <c r="G34" i="67"/>
  <c r="C34" i="67"/>
  <c r="H33" i="67"/>
  <c r="H32" i="67"/>
  <c r="H31" i="67"/>
  <c r="H30" i="67"/>
  <c r="H29" i="67"/>
  <c r="H28" i="67"/>
  <c r="H27" i="67"/>
  <c r="H26" i="67"/>
  <c r="H25" i="67"/>
  <c r="H24" i="67"/>
  <c r="H23" i="67"/>
  <c r="H22" i="67"/>
  <c r="G19" i="67"/>
  <c r="C19" i="67"/>
  <c r="H18" i="67"/>
  <c r="D18" i="67"/>
  <c r="H17" i="67"/>
  <c r="H16" i="67"/>
  <c r="H15" i="67"/>
  <c r="H14" i="67"/>
  <c r="H13" i="67"/>
  <c r="H12" i="67"/>
  <c r="H11" i="67"/>
  <c r="H10" i="67"/>
  <c r="H9" i="67"/>
  <c r="H8" i="67"/>
  <c r="H7" i="67"/>
  <c r="A1" i="66"/>
  <c r="D1" i="66" s="1"/>
  <c r="D18" i="69" l="1"/>
  <c r="D16" i="101"/>
  <c r="D25" i="70"/>
  <c r="D10" i="67"/>
  <c r="D27" i="70"/>
  <c r="D10" i="75"/>
  <c r="D25" i="67"/>
  <c r="D29" i="67"/>
  <c r="D33" i="67"/>
  <c r="D25" i="68"/>
  <c r="D33" i="68"/>
  <c r="D23" i="67"/>
  <c r="D27" i="67"/>
  <c r="D31" i="67"/>
  <c r="D23" i="68"/>
  <c r="D27" i="68"/>
  <c r="D29" i="68"/>
  <c r="D31" i="68"/>
  <c r="D65" i="68"/>
  <c r="H49" i="67"/>
  <c r="D22" i="67"/>
  <c r="D24" i="67"/>
  <c r="D26" i="67"/>
  <c r="D28" i="67"/>
  <c r="D30" i="67"/>
  <c r="D22" i="68"/>
  <c r="D24" i="68"/>
  <c r="D26" i="68"/>
  <c r="D28" i="68"/>
  <c r="D30" i="68"/>
  <c r="D65" i="67"/>
  <c r="D15" i="83"/>
  <c r="D25" i="100"/>
  <c r="D25" i="105"/>
  <c r="D23" i="105"/>
  <c r="D13" i="106"/>
  <c r="D25" i="77"/>
  <c r="D31" i="105"/>
  <c r="D9" i="92"/>
  <c r="D27" i="77"/>
  <c r="D30" i="94"/>
  <c r="D17" i="76"/>
  <c r="D25" i="76"/>
  <c r="D15" i="92"/>
  <c r="D10" i="69"/>
  <c r="D27" i="71"/>
  <c r="D12" i="75"/>
  <c r="D8" i="75"/>
  <c r="D16" i="75"/>
  <c r="D27" i="81"/>
  <c r="D14" i="75"/>
  <c r="D33" i="76"/>
  <c r="D13" i="98"/>
  <c r="D80" i="101"/>
  <c r="D22" i="103"/>
  <c r="D28" i="103"/>
  <c r="D65" i="103"/>
  <c r="D11" i="76"/>
  <c r="D30" i="103"/>
  <c r="H49" i="92"/>
  <c r="H80" i="92"/>
  <c r="D7" i="98"/>
  <c r="D26" i="103"/>
  <c r="D8" i="67"/>
  <c r="D16" i="67"/>
  <c r="D25" i="81"/>
  <c r="D31" i="81"/>
  <c r="D27" i="93"/>
  <c r="D16" i="97"/>
  <c r="H80" i="100"/>
  <c r="D8" i="104"/>
  <c r="D14" i="67"/>
  <c r="H19" i="69"/>
  <c r="D49" i="86"/>
  <c r="D80" i="87"/>
  <c r="D14" i="97"/>
  <c r="H49" i="101"/>
  <c r="D12" i="67"/>
  <c r="D13" i="76"/>
  <c r="D8" i="97"/>
  <c r="D16" i="69"/>
  <c r="D13" i="70"/>
  <c r="H19" i="67"/>
  <c r="D14" i="69"/>
  <c r="D11" i="70"/>
  <c r="D13" i="77"/>
  <c r="D7" i="83"/>
  <c r="D8" i="69"/>
  <c r="D9" i="83"/>
  <c r="D16" i="104"/>
  <c r="D12" i="69"/>
  <c r="H65" i="73"/>
  <c r="D27" i="75"/>
  <c r="D11" i="77"/>
  <c r="D80" i="81"/>
  <c r="D17" i="83"/>
  <c r="D49" i="107"/>
  <c r="D14" i="104"/>
  <c r="D25" i="107"/>
  <c r="D29" i="74"/>
  <c r="D9" i="70"/>
  <c r="D17" i="70"/>
  <c r="D27" i="74"/>
  <c r="D9" i="76"/>
  <c r="D9" i="77"/>
  <c r="D17" i="77"/>
  <c r="D23" i="81"/>
  <c r="D65" i="89"/>
  <c r="D12" i="90"/>
  <c r="D12" i="104"/>
  <c r="H65" i="104"/>
  <c r="D65" i="105"/>
  <c r="D80" i="105"/>
  <c r="D7" i="67"/>
  <c r="D9" i="67"/>
  <c r="D11" i="67"/>
  <c r="D13" i="67"/>
  <c r="D15" i="67"/>
  <c r="D7" i="69"/>
  <c r="D9" i="69"/>
  <c r="D11" i="69"/>
  <c r="D13" i="69"/>
  <c r="D15" i="69"/>
  <c r="D7" i="70"/>
  <c r="D15" i="70"/>
  <c r="D7" i="77"/>
  <c r="D15" i="77"/>
  <c r="D13" i="84"/>
  <c r="D80" i="95"/>
  <c r="H65" i="96"/>
  <c r="D10" i="104"/>
  <c r="D22" i="104"/>
  <c r="D27" i="105"/>
  <c r="D25" i="71"/>
  <c r="D33" i="71"/>
  <c r="D12" i="73"/>
  <c r="D10" i="70"/>
  <c r="D14" i="70"/>
  <c r="D18" i="70"/>
  <c r="D23" i="71"/>
  <c r="D31" i="71"/>
  <c r="D10" i="74"/>
  <c r="D25" i="74"/>
  <c r="D49" i="74"/>
  <c r="D9" i="75"/>
  <c r="D11" i="75"/>
  <c r="D15" i="75"/>
  <c r="D17" i="75"/>
  <c r="D10" i="77"/>
  <c r="D12" i="77"/>
  <c r="D16" i="77"/>
  <c r="D18" i="77"/>
  <c r="D9" i="84"/>
  <c r="H65" i="85"/>
  <c r="H65" i="93"/>
  <c r="D12" i="97"/>
  <c r="D30" i="104"/>
  <c r="D12" i="74"/>
  <c r="H34" i="86"/>
  <c r="D8" i="70"/>
  <c r="D12" i="70"/>
  <c r="D80" i="70"/>
  <c r="D80" i="72"/>
  <c r="D18" i="74"/>
  <c r="D33" i="74"/>
  <c r="D7" i="75"/>
  <c r="D8" i="77"/>
  <c r="D13" i="83"/>
  <c r="D17" i="84"/>
  <c r="D80" i="91"/>
  <c r="D24" i="94"/>
  <c r="D49" i="96"/>
  <c r="D49" i="70"/>
  <c r="H80" i="70"/>
  <c r="D29" i="71"/>
  <c r="H65" i="71"/>
  <c r="D30" i="72"/>
  <c r="D8" i="74"/>
  <c r="D16" i="74"/>
  <c r="D23" i="74"/>
  <c r="D49" i="75"/>
  <c r="H80" i="75"/>
  <c r="D7" i="76"/>
  <c r="D15" i="76"/>
  <c r="D33" i="77"/>
  <c r="H19" i="81"/>
  <c r="D29" i="81"/>
  <c r="H80" i="83"/>
  <c r="D7" i="84"/>
  <c r="D15" i="84"/>
  <c r="D11" i="85"/>
  <c r="H49" i="91"/>
  <c r="D7" i="92"/>
  <c r="D10" i="97"/>
  <c r="D18" i="97"/>
  <c r="D17" i="82"/>
  <c r="D15" i="82"/>
  <c r="D13" i="82"/>
  <c r="D11" i="82"/>
  <c r="D9" i="82"/>
  <c r="D7" i="82"/>
  <c r="D11" i="105"/>
  <c r="D13" i="105"/>
  <c r="D31" i="106"/>
  <c r="D23" i="106"/>
  <c r="D33" i="106"/>
  <c r="D25" i="106"/>
  <c r="D32" i="70"/>
  <c r="D29" i="70"/>
  <c r="D31" i="70"/>
  <c r="D23" i="70"/>
  <c r="D24" i="72"/>
  <c r="D17" i="73"/>
  <c r="D14" i="73"/>
  <c r="D16" i="73"/>
  <c r="D8" i="73"/>
  <c r="D25" i="75"/>
  <c r="H34" i="76"/>
  <c r="D32" i="76"/>
  <c r="D29" i="76"/>
  <c r="D31" i="76"/>
  <c r="D23" i="76"/>
  <c r="D23" i="77"/>
  <c r="D31" i="77"/>
  <c r="D8" i="82"/>
  <c r="D16" i="82"/>
  <c r="D10" i="90"/>
  <c r="D14" i="90"/>
  <c r="D32" i="93"/>
  <c r="D30" i="93"/>
  <c r="D28" i="93"/>
  <c r="D26" i="93"/>
  <c r="D24" i="93"/>
  <c r="D22" i="93"/>
  <c r="D22" i="96"/>
  <c r="D30" i="96"/>
  <c r="D32" i="99"/>
  <c r="D26" i="99"/>
  <c r="D23" i="100"/>
  <c r="D15" i="102"/>
  <c r="D17" i="102"/>
  <c r="D11" i="102"/>
  <c r="D13" i="102"/>
  <c r="D33" i="104"/>
  <c r="D32" i="104"/>
  <c r="D24" i="104"/>
  <c r="D26" i="104"/>
  <c r="D9" i="105"/>
  <c r="D29" i="106"/>
  <c r="D26" i="108"/>
  <c r="D32" i="75"/>
  <c r="D30" i="75"/>
  <c r="D28" i="75"/>
  <c r="D26" i="75"/>
  <c r="D24" i="75"/>
  <c r="D22" i="75"/>
  <c r="D7" i="96"/>
  <c r="D11" i="96"/>
  <c r="D32" i="100"/>
  <c r="D30" i="100"/>
  <c r="D28" i="100"/>
  <c r="D26" i="100"/>
  <c r="D24" i="100"/>
  <c r="D22" i="100"/>
  <c r="D29" i="101"/>
  <c r="D23" i="101"/>
  <c r="D25" i="101"/>
  <c r="D32" i="74"/>
  <c r="D30" i="74"/>
  <c r="D28" i="74"/>
  <c r="D26" i="74"/>
  <c r="D24" i="74"/>
  <c r="D22" i="74"/>
  <c r="D23" i="75"/>
  <c r="D31" i="75"/>
  <c r="D14" i="82"/>
  <c r="D23" i="93"/>
  <c r="D31" i="93"/>
  <c r="D26" i="94"/>
  <c r="D28" i="94"/>
  <c r="D17" i="96"/>
  <c r="D30" i="99"/>
  <c r="D29" i="100"/>
  <c r="D7" i="105"/>
  <c r="D27" i="106"/>
  <c r="D33" i="107"/>
  <c r="D23" i="107"/>
  <c r="D16" i="88"/>
  <c r="D12" i="88"/>
  <c r="D14" i="88"/>
  <c r="D8" i="88"/>
  <c r="H80" i="67"/>
  <c r="H19" i="68"/>
  <c r="D49" i="68"/>
  <c r="D33" i="72"/>
  <c r="D26" i="72"/>
  <c r="D28" i="72"/>
  <c r="H34" i="74"/>
  <c r="D29" i="75"/>
  <c r="D32" i="77"/>
  <c r="D30" i="77"/>
  <c r="D28" i="77"/>
  <c r="D26" i="77"/>
  <c r="D24" i="77"/>
  <c r="D22" i="77"/>
  <c r="D12" i="82"/>
  <c r="D103" i="85"/>
  <c r="D16" i="93"/>
  <c r="D29" i="93"/>
  <c r="D28" i="98"/>
  <c r="D24" i="99"/>
  <c r="D27" i="100"/>
  <c r="D9" i="102"/>
  <c r="D17" i="105"/>
  <c r="H49" i="70"/>
  <c r="H34" i="72"/>
  <c r="D80" i="73"/>
  <c r="D65" i="74"/>
  <c r="H19" i="75"/>
  <c r="H49" i="75"/>
  <c r="D65" i="75"/>
  <c r="H19" i="76"/>
  <c r="D80" i="77"/>
  <c r="H80" i="81"/>
  <c r="D65" i="82"/>
  <c r="D80" i="82"/>
  <c r="H49" i="83"/>
  <c r="D65" i="83"/>
  <c r="H34" i="84"/>
  <c r="H49" i="84"/>
  <c r="D65" i="84"/>
  <c r="H34" i="88"/>
  <c r="D49" i="90"/>
  <c r="D80" i="90"/>
  <c r="H65" i="91"/>
  <c r="H49" i="94"/>
  <c r="D80" i="94"/>
  <c r="D65" i="97"/>
  <c r="D65" i="99"/>
  <c r="D80" i="102"/>
  <c r="H49" i="106"/>
  <c r="D49" i="69"/>
  <c r="H80" i="69"/>
  <c r="H34" i="71"/>
  <c r="H65" i="72"/>
  <c r="D103" i="72"/>
  <c r="D49" i="77"/>
  <c r="H65" i="77"/>
  <c r="D22" i="81"/>
  <c r="D24" i="81"/>
  <c r="D26" i="81"/>
  <c r="D28" i="81"/>
  <c r="D30" i="81"/>
  <c r="D49" i="82"/>
  <c r="H19" i="84"/>
  <c r="D12" i="86"/>
  <c r="H65" i="87"/>
  <c r="D27" i="89"/>
  <c r="D17" i="92"/>
  <c r="D65" i="92"/>
  <c r="H19" i="96"/>
  <c r="D49" i="98"/>
  <c r="H34" i="99"/>
  <c r="H49" i="99"/>
  <c r="H49" i="102"/>
  <c r="H49" i="104"/>
  <c r="H65" i="108"/>
  <c r="D32" i="88"/>
  <c r="D30" i="88"/>
  <c r="D28" i="88"/>
  <c r="D26" i="88"/>
  <c r="D24" i="88"/>
  <c r="D22" i="88"/>
  <c r="D33" i="97"/>
  <c r="D27" i="97"/>
  <c r="D29" i="97"/>
  <c r="D23" i="97"/>
  <c r="D17" i="101"/>
  <c r="D15" i="101"/>
  <c r="D13" i="101"/>
  <c r="D11" i="101"/>
  <c r="D9" i="101"/>
  <c r="D7" i="101"/>
  <c r="D9" i="71"/>
  <c r="D13" i="71"/>
  <c r="D17" i="71"/>
  <c r="D103" i="81"/>
  <c r="D23" i="88"/>
  <c r="H19" i="89"/>
  <c r="D16" i="89"/>
  <c r="D14" i="89"/>
  <c r="H34" i="67"/>
  <c r="H65" i="67"/>
  <c r="H65" i="68"/>
  <c r="D103" i="68"/>
  <c r="H65" i="69"/>
  <c r="D22" i="70"/>
  <c r="D24" i="70"/>
  <c r="D26" i="70"/>
  <c r="D28" i="70"/>
  <c r="D30" i="70"/>
  <c r="D65" i="70"/>
  <c r="H19" i="71"/>
  <c r="D49" i="71"/>
  <c r="H80" i="71"/>
  <c r="H19" i="72"/>
  <c r="D23" i="72"/>
  <c r="D25" i="72"/>
  <c r="D27" i="72"/>
  <c r="D29" i="72"/>
  <c r="D31" i="72"/>
  <c r="D49" i="72"/>
  <c r="D7" i="73"/>
  <c r="D9" i="73"/>
  <c r="D11" i="73"/>
  <c r="D13" i="73"/>
  <c r="D15" i="73"/>
  <c r="D49" i="73"/>
  <c r="H80" i="73"/>
  <c r="D7" i="74"/>
  <c r="D9" i="74"/>
  <c r="D11" i="74"/>
  <c r="D13" i="74"/>
  <c r="D15" i="74"/>
  <c r="D80" i="74"/>
  <c r="H34" i="75"/>
  <c r="D8" i="76"/>
  <c r="D10" i="76"/>
  <c r="D12" i="76"/>
  <c r="D14" i="76"/>
  <c r="D16" i="76"/>
  <c r="D65" i="76"/>
  <c r="H34" i="77"/>
  <c r="D49" i="81"/>
  <c r="D65" i="81"/>
  <c r="D30" i="82"/>
  <c r="H65" i="83"/>
  <c r="D80" i="83"/>
  <c r="H34" i="85"/>
  <c r="H65" i="86"/>
  <c r="H19" i="87"/>
  <c r="D29" i="88"/>
  <c r="D18" i="89"/>
  <c r="D49" i="89"/>
  <c r="D25" i="92"/>
  <c r="D31" i="92"/>
  <c r="D33" i="94"/>
  <c r="D31" i="94"/>
  <c r="D29" i="94"/>
  <c r="D27" i="94"/>
  <c r="D25" i="94"/>
  <c r="D23" i="94"/>
  <c r="D103" i="95"/>
  <c r="D9" i="96"/>
  <c r="D15" i="96"/>
  <c r="D31" i="97"/>
  <c r="D12" i="101"/>
  <c r="D18" i="105"/>
  <c r="D16" i="105"/>
  <c r="D14" i="105"/>
  <c r="D12" i="105"/>
  <c r="D10" i="105"/>
  <c r="D8" i="105"/>
  <c r="D32" i="106"/>
  <c r="D30" i="106"/>
  <c r="D28" i="106"/>
  <c r="D26" i="106"/>
  <c r="D24" i="106"/>
  <c r="D22" i="106"/>
  <c r="D49" i="67"/>
  <c r="D26" i="96"/>
  <c r="D28" i="96"/>
  <c r="D7" i="71"/>
  <c r="D11" i="71"/>
  <c r="D15" i="71"/>
  <c r="D22" i="82"/>
  <c r="D9" i="85"/>
  <c r="D26" i="87"/>
  <c r="D30" i="87"/>
  <c r="D31" i="88"/>
  <c r="D24" i="96"/>
  <c r="D12" i="100"/>
  <c r="D14" i="100"/>
  <c r="D16" i="100"/>
  <c r="D14" i="101"/>
  <c r="D32" i="101"/>
  <c r="D30" i="101"/>
  <c r="D28" i="101"/>
  <c r="D26" i="101"/>
  <c r="D24" i="101"/>
  <c r="D22" i="101"/>
  <c r="H34" i="104"/>
  <c r="D34" i="109"/>
  <c r="H34" i="68"/>
  <c r="D80" i="68"/>
  <c r="D80" i="69"/>
  <c r="H34" i="70"/>
  <c r="D8" i="71"/>
  <c r="D10" i="71"/>
  <c r="D12" i="71"/>
  <c r="D14" i="71"/>
  <c r="D16" i="71"/>
  <c r="D22" i="71"/>
  <c r="D24" i="71"/>
  <c r="D26" i="71"/>
  <c r="D28" i="71"/>
  <c r="D30" i="71"/>
  <c r="H49" i="71"/>
  <c r="D65" i="71"/>
  <c r="D65" i="72"/>
  <c r="H19" i="73"/>
  <c r="H49" i="73"/>
  <c r="H49" i="74"/>
  <c r="H80" i="74"/>
  <c r="D22" i="76"/>
  <c r="D24" i="76"/>
  <c r="D26" i="76"/>
  <c r="D28" i="76"/>
  <c r="D30" i="76"/>
  <c r="H65" i="76"/>
  <c r="H19" i="77"/>
  <c r="H34" i="81"/>
  <c r="D28" i="83"/>
  <c r="D8" i="84"/>
  <c r="D10" i="84"/>
  <c r="D12" i="84"/>
  <c r="D14" i="84"/>
  <c r="D16" i="84"/>
  <c r="D49" i="84"/>
  <c r="H80" i="84"/>
  <c r="D17" i="85"/>
  <c r="D65" i="85"/>
  <c r="D65" i="87"/>
  <c r="D27" i="88"/>
  <c r="H65" i="88"/>
  <c r="D103" i="88"/>
  <c r="D18" i="88"/>
  <c r="D10" i="88"/>
  <c r="D12" i="89"/>
  <c r="H80" i="89"/>
  <c r="H65" i="90"/>
  <c r="D16" i="90"/>
  <c r="D8" i="90"/>
  <c r="D30" i="91"/>
  <c r="D28" i="91"/>
  <c r="D23" i="92"/>
  <c r="D29" i="92"/>
  <c r="D49" i="93"/>
  <c r="D80" i="93"/>
  <c r="D32" i="96"/>
  <c r="H19" i="101"/>
  <c r="D10" i="101"/>
  <c r="D18" i="101"/>
  <c r="D27" i="101"/>
  <c r="H19" i="105"/>
  <c r="D32" i="105"/>
  <c r="D30" i="105"/>
  <c r="D28" i="105"/>
  <c r="D26" i="105"/>
  <c r="D24" i="105"/>
  <c r="D22" i="105"/>
  <c r="D80" i="86"/>
  <c r="H80" i="87"/>
  <c r="H65" i="89"/>
  <c r="D80" i="89"/>
  <c r="D103" i="92"/>
  <c r="H49" i="93"/>
  <c r="H34" i="94"/>
  <c r="H49" i="95"/>
  <c r="H80" i="95"/>
  <c r="D7" i="97"/>
  <c r="D9" i="97"/>
  <c r="D11" i="97"/>
  <c r="D13" i="97"/>
  <c r="D15" i="97"/>
  <c r="H65" i="97"/>
  <c r="D26" i="98"/>
  <c r="H65" i="98"/>
  <c r="D7" i="102"/>
  <c r="D49" i="102"/>
  <c r="D65" i="102"/>
  <c r="D24" i="103"/>
  <c r="H80" i="103"/>
  <c r="D23" i="104"/>
  <c r="D25" i="104"/>
  <c r="D27" i="104"/>
  <c r="D29" i="104"/>
  <c r="D31" i="104"/>
  <c r="H19" i="106"/>
  <c r="H49" i="107"/>
  <c r="D65" i="107"/>
  <c r="D103" i="107"/>
  <c r="D65" i="94"/>
  <c r="H80" i="94"/>
  <c r="D103" i="94"/>
  <c r="H34" i="95"/>
  <c r="D65" i="95"/>
  <c r="D65" i="96"/>
  <c r="H19" i="97"/>
  <c r="H49" i="98"/>
  <c r="D65" i="98"/>
  <c r="H65" i="99"/>
  <c r="H34" i="100"/>
  <c r="H49" i="100"/>
  <c r="H19" i="102"/>
  <c r="D49" i="103"/>
  <c r="H34" i="105"/>
  <c r="H65" i="105"/>
  <c r="H34" i="106"/>
  <c r="H80" i="107"/>
  <c r="D17" i="94"/>
  <c r="D15" i="94"/>
  <c r="D13" i="94"/>
  <c r="D11" i="94"/>
  <c r="D9" i="94"/>
  <c r="D7" i="94"/>
  <c r="D18" i="94"/>
  <c r="D10" i="94"/>
  <c r="D12" i="94"/>
  <c r="D17" i="107"/>
  <c r="D15" i="107"/>
  <c r="D13" i="107"/>
  <c r="D11" i="107"/>
  <c r="D9" i="107"/>
  <c r="D7" i="107"/>
  <c r="D18" i="107"/>
  <c r="D10" i="107"/>
  <c r="D12" i="107"/>
  <c r="D14" i="107"/>
  <c r="D17" i="108"/>
  <c r="D15" i="108"/>
  <c r="D13" i="108"/>
  <c r="D11" i="108"/>
  <c r="D9" i="108"/>
  <c r="D7" i="108"/>
  <c r="D16" i="108"/>
  <c r="D8" i="108"/>
  <c r="D18" i="108"/>
  <c r="D10" i="108"/>
  <c r="D12" i="108"/>
  <c r="D103" i="67"/>
  <c r="D8" i="68"/>
  <c r="D10" i="68"/>
  <c r="D12" i="68"/>
  <c r="D14" i="68"/>
  <c r="D16" i="68"/>
  <c r="D18" i="68"/>
  <c r="D22" i="69"/>
  <c r="D24" i="69"/>
  <c r="D26" i="69"/>
  <c r="D28" i="69"/>
  <c r="D30" i="69"/>
  <c r="D32" i="69"/>
  <c r="H49" i="69"/>
  <c r="D103" i="71"/>
  <c r="D8" i="72"/>
  <c r="D10" i="72"/>
  <c r="D12" i="72"/>
  <c r="D14" i="72"/>
  <c r="D16" i="72"/>
  <c r="D18" i="72"/>
  <c r="D22" i="73"/>
  <c r="D24" i="73"/>
  <c r="D26" i="73"/>
  <c r="D28" i="73"/>
  <c r="D30" i="73"/>
  <c r="D32" i="73"/>
  <c r="H65" i="75"/>
  <c r="D103" i="75"/>
  <c r="D80" i="76"/>
  <c r="D103" i="76"/>
  <c r="D65" i="77"/>
  <c r="D103" i="77"/>
  <c r="D8" i="81"/>
  <c r="D10" i="81"/>
  <c r="D12" i="81"/>
  <c r="D14" i="81"/>
  <c r="D16" i="81"/>
  <c r="D18" i="81"/>
  <c r="H65" i="81"/>
  <c r="H19" i="82"/>
  <c r="D28" i="82"/>
  <c r="H49" i="82"/>
  <c r="D103" i="83"/>
  <c r="D18" i="83"/>
  <c r="D16" i="83"/>
  <c r="D14" i="83"/>
  <c r="D12" i="83"/>
  <c r="D10" i="83"/>
  <c r="D8" i="83"/>
  <c r="D7" i="85"/>
  <c r="D15" i="85"/>
  <c r="D49" i="85"/>
  <c r="D10" i="86"/>
  <c r="D18" i="86"/>
  <c r="D28" i="87"/>
  <c r="D8" i="89"/>
  <c r="D25" i="89"/>
  <c r="D33" i="89"/>
  <c r="H34" i="90"/>
  <c r="D24" i="91"/>
  <c r="D32" i="91"/>
  <c r="D13" i="92"/>
  <c r="D14" i="93"/>
  <c r="D14" i="94"/>
  <c r="D14" i="108"/>
  <c r="D17" i="95"/>
  <c r="D15" i="95"/>
  <c r="D13" i="95"/>
  <c r="D11" i="95"/>
  <c r="D9" i="95"/>
  <c r="D7" i="95"/>
  <c r="D18" i="95"/>
  <c r="D10" i="95"/>
  <c r="D12" i="95"/>
  <c r="D80" i="67"/>
  <c r="H49" i="68"/>
  <c r="H80" i="68"/>
  <c r="H34" i="69"/>
  <c r="D65" i="69"/>
  <c r="H19" i="70"/>
  <c r="H65" i="70"/>
  <c r="D103" i="70"/>
  <c r="D80" i="71"/>
  <c r="H49" i="72"/>
  <c r="H80" i="72"/>
  <c r="H34" i="73"/>
  <c r="D65" i="73"/>
  <c r="H19" i="74"/>
  <c r="H65" i="74"/>
  <c r="D103" i="74"/>
  <c r="D80" i="75"/>
  <c r="H49" i="76"/>
  <c r="H80" i="76"/>
  <c r="H49" i="77"/>
  <c r="H80" i="77"/>
  <c r="H49" i="81"/>
  <c r="H34" i="82"/>
  <c r="D26" i="82"/>
  <c r="H65" i="82"/>
  <c r="H34" i="83"/>
  <c r="D33" i="83"/>
  <c r="D30" i="83"/>
  <c r="D22" i="83"/>
  <c r="D32" i="83"/>
  <c r="D24" i="83"/>
  <c r="D8" i="86"/>
  <c r="H34" i="87"/>
  <c r="D17" i="88"/>
  <c r="D15" i="88"/>
  <c r="D13" i="88"/>
  <c r="D11" i="88"/>
  <c r="D9" i="88"/>
  <c r="D7" i="88"/>
  <c r="D23" i="89"/>
  <c r="D103" i="89"/>
  <c r="D17" i="89"/>
  <c r="D15" i="89"/>
  <c r="D13" i="89"/>
  <c r="D11" i="89"/>
  <c r="D9" i="89"/>
  <c r="D7" i="89"/>
  <c r="D17" i="90"/>
  <c r="D15" i="90"/>
  <c r="D13" i="90"/>
  <c r="D11" i="90"/>
  <c r="D9" i="90"/>
  <c r="D7" i="90"/>
  <c r="D22" i="91"/>
  <c r="D8" i="94"/>
  <c r="D14" i="95"/>
  <c r="H19" i="99"/>
  <c r="D33" i="87"/>
  <c r="D31" i="87"/>
  <c r="D29" i="87"/>
  <c r="D27" i="87"/>
  <c r="D25" i="87"/>
  <c r="D23" i="87"/>
  <c r="D7" i="68"/>
  <c r="D9" i="68"/>
  <c r="D11" i="68"/>
  <c r="D13" i="68"/>
  <c r="D15" i="68"/>
  <c r="D23" i="69"/>
  <c r="D25" i="69"/>
  <c r="D27" i="69"/>
  <c r="D29" i="69"/>
  <c r="D31" i="69"/>
  <c r="D103" i="69"/>
  <c r="D7" i="72"/>
  <c r="D9" i="72"/>
  <c r="D11" i="72"/>
  <c r="D13" i="72"/>
  <c r="D15" i="72"/>
  <c r="D23" i="73"/>
  <c r="D25" i="73"/>
  <c r="D27" i="73"/>
  <c r="D29" i="73"/>
  <c r="D31" i="73"/>
  <c r="D103" i="73"/>
  <c r="D7" i="81"/>
  <c r="D9" i="81"/>
  <c r="D11" i="81"/>
  <c r="D13" i="81"/>
  <c r="D15" i="81"/>
  <c r="D24" i="82"/>
  <c r="D32" i="82"/>
  <c r="H19" i="83"/>
  <c r="D18" i="85"/>
  <c r="D16" i="85"/>
  <c r="D14" i="85"/>
  <c r="D12" i="85"/>
  <c r="D10" i="85"/>
  <c r="D8" i="85"/>
  <c r="D103" i="86"/>
  <c r="D17" i="86"/>
  <c r="D15" i="86"/>
  <c r="D13" i="86"/>
  <c r="D11" i="86"/>
  <c r="D9" i="86"/>
  <c r="D7" i="86"/>
  <c r="D24" i="87"/>
  <c r="D32" i="87"/>
  <c r="D32" i="89"/>
  <c r="D30" i="89"/>
  <c r="D28" i="89"/>
  <c r="D26" i="89"/>
  <c r="D24" i="89"/>
  <c r="D22" i="89"/>
  <c r="D32" i="90"/>
  <c r="D28" i="90"/>
  <c r="D30" i="90"/>
  <c r="H34" i="91"/>
  <c r="D33" i="91"/>
  <c r="D31" i="91"/>
  <c r="D29" i="91"/>
  <c r="D27" i="91"/>
  <c r="D25" i="91"/>
  <c r="D23" i="91"/>
  <c r="D18" i="92"/>
  <c r="D16" i="92"/>
  <c r="D14" i="92"/>
  <c r="D12" i="92"/>
  <c r="D10" i="92"/>
  <c r="D8" i="92"/>
  <c r="D17" i="93"/>
  <c r="D15" i="93"/>
  <c r="D13" i="93"/>
  <c r="D11" i="93"/>
  <c r="D9" i="93"/>
  <c r="D7" i="93"/>
  <c r="D18" i="93"/>
  <c r="D10" i="93"/>
  <c r="D12" i="93"/>
  <c r="D8" i="95"/>
  <c r="D18" i="98"/>
  <c r="D16" i="98"/>
  <c r="D14" i="98"/>
  <c r="D12" i="98"/>
  <c r="D10" i="98"/>
  <c r="D8" i="98"/>
  <c r="D17" i="98"/>
  <c r="D9" i="98"/>
  <c r="D11" i="98"/>
  <c r="D8" i="107"/>
  <c r="D103" i="103"/>
  <c r="D7" i="103"/>
  <c r="D15" i="103"/>
  <c r="H19" i="104"/>
  <c r="D103" i="106"/>
  <c r="D18" i="106"/>
  <c r="D16" i="106"/>
  <c r="D14" i="106"/>
  <c r="D12" i="106"/>
  <c r="D10" i="106"/>
  <c r="D8" i="106"/>
  <c r="D32" i="107"/>
  <c r="D30" i="107"/>
  <c r="D28" i="107"/>
  <c r="D26" i="107"/>
  <c r="D24" i="107"/>
  <c r="D22" i="107"/>
  <c r="D33" i="108"/>
  <c r="D31" i="108"/>
  <c r="D29" i="108"/>
  <c r="D27" i="108"/>
  <c r="D25" i="108"/>
  <c r="D23" i="108"/>
  <c r="H65" i="84"/>
  <c r="D103" i="84"/>
  <c r="D80" i="85"/>
  <c r="H19" i="86"/>
  <c r="H80" i="86"/>
  <c r="H49" i="87"/>
  <c r="D49" i="88"/>
  <c r="D80" i="88"/>
  <c r="H49" i="89"/>
  <c r="H49" i="90"/>
  <c r="H80" i="90"/>
  <c r="D65" i="91"/>
  <c r="H19" i="92"/>
  <c r="D32" i="92"/>
  <c r="D30" i="92"/>
  <c r="D28" i="92"/>
  <c r="D26" i="92"/>
  <c r="D24" i="92"/>
  <c r="D22" i="92"/>
  <c r="H34" i="97"/>
  <c r="D25" i="97"/>
  <c r="D103" i="100"/>
  <c r="D18" i="102"/>
  <c r="D16" i="102"/>
  <c r="D14" i="102"/>
  <c r="D12" i="102"/>
  <c r="D10" i="102"/>
  <c r="D8" i="102"/>
  <c r="D9" i="106"/>
  <c r="D17" i="106"/>
  <c r="D29" i="107"/>
  <c r="D22" i="108"/>
  <c r="D30" i="108"/>
  <c r="H80" i="82"/>
  <c r="D103" i="82"/>
  <c r="D49" i="83"/>
  <c r="D80" i="84"/>
  <c r="H19" i="85"/>
  <c r="H80" i="85"/>
  <c r="D65" i="86"/>
  <c r="D49" i="87"/>
  <c r="H19" i="88"/>
  <c r="H49" i="88"/>
  <c r="H80" i="88"/>
  <c r="H34" i="89"/>
  <c r="H19" i="90"/>
  <c r="D65" i="90"/>
  <c r="H19" i="91"/>
  <c r="D49" i="91"/>
  <c r="H80" i="91"/>
  <c r="D103" i="91"/>
  <c r="H80" i="93"/>
  <c r="H19" i="95"/>
  <c r="H49" i="96"/>
  <c r="D80" i="97"/>
  <c r="D32" i="97"/>
  <c r="D30" i="97"/>
  <c r="D28" i="97"/>
  <c r="D26" i="97"/>
  <c r="D24" i="97"/>
  <c r="D22" i="97"/>
  <c r="D65" i="101"/>
  <c r="D30" i="102"/>
  <c r="D26" i="102"/>
  <c r="D28" i="102"/>
  <c r="H49" i="103"/>
  <c r="D7" i="106"/>
  <c r="D15" i="106"/>
  <c r="D65" i="106"/>
  <c r="H19" i="107"/>
  <c r="D27" i="107"/>
  <c r="D28" i="108"/>
  <c r="D49" i="92"/>
  <c r="D80" i="92"/>
  <c r="H34" i="93"/>
  <c r="H19" i="94"/>
  <c r="H65" i="95"/>
  <c r="H80" i="96"/>
  <c r="H49" i="97"/>
  <c r="H19" i="98"/>
  <c r="D80" i="98"/>
  <c r="D49" i="99"/>
  <c r="H80" i="99"/>
  <c r="D103" i="99"/>
  <c r="H19" i="100"/>
  <c r="D80" i="100"/>
  <c r="D49" i="101"/>
  <c r="H80" i="101"/>
  <c r="D103" i="101"/>
  <c r="H80" i="102"/>
  <c r="D80" i="103"/>
  <c r="H80" i="104"/>
  <c r="D103" i="104"/>
  <c r="H49" i="105"/>
  <c r="H80" i="105"/>
  <c r="D103" i="105"/>
  <c r="D49" i="106"/>
  <c r="H80" i="106"/>
  <c r="D80" i="107"/>
  <c r="H49" i="108"/>
  <c r="H80" i="108"/>
  <c r="H34" i="92"/>
  <c r="H65" i="92"/>
  <c r="H19" i="93"/>
  <c r="D65" i="93"/>
  <c r="D49" i="95"/>
  <c r="H34" i="96"/>
  <c r="D80" i="96"/>
  <c r="D49" i="97"/>
  <c r="H80" i="97"/>
  <c r="D103" i="97"/>
  <c r="H80" i="98"/>
  <c r="D80" i="99"/>
  <c r="H65" i="100"/>
  <c r="H34" i="101"/>
  <c r="H65" i="101"/>
  <c r="H65" i="102"/>
  <c r="H19" i="103"/>
  <c r="H34" i="103"/>
  <c r="H65" i="103"/>
  <c r="D80" i="104"/>
  <c r="D49" i="105"/>
  <c r="H65" i="106"/>
  <c r="D80" i="106"/>
  <c r="H34" i="107"/>
  <c r="H65" i="107"/>
  <c r="H19" i="108"/>
  <c r="D49" i="108"/>
  <c r="D19" i="109"/>
  <c r="D80" i="108"/>
  <c r="H34" i="108"/>
  <c r="D65" i="108"/>
  <c r="B1" i="66"/>
  <c r="D18" i="91"/>
  <c r="D16" i="91"/>
  <c r="D14" i="91"/>
  <c r="D12" i="91"/>
  <c r="D10" i="91"/>
  <c r="D8" i="91"/>
  <c r="D17" i="91"/>
  <c r="D15" i="91"/>
  <c r="D13" i="91"/>
  <c r="D11" i="91"/>
  <c r="D9" i="91"/>
  <c r="D7" i="91"/>
  <c r="D18" i="99"/>
  <c r="D16" i="99"/>
  <c r="D14" i="99"/>
  <c r="D12" i="99"/>
  <c r="D10" i="99"/>
  <c r="D8" i="99"/>
  <c r="D17" i="99"/>
  <c r="D9" i="99"/>
  <c r="D11" i="99"/>
  <c r="D13" i="99"/>
  <c r="C1" i="66"/>
  <c r="D33" i="84"/>
  <c r="D31" i="84"/>
  <c r="D29" i="84"/>
  <c r="D27" i="84"/>
  <c r="D25" i="84"/>
  <c r="D32" i="84"/>
  <c r="D30" i="84"/>
  <c r="D28" i="84"/>
  <c r="D26" i="84"/>
  <c r="D33" i="85"/>
  <c r="D31" i="85"/>
  <c r="D29" i="85"/>
  <c r="D27" i="85"/>
  <c r="D25" i="85"/>
  <c r="D23" i="85"/>
  <c r="D32" i="85"/>
  <c r="D30" i="85"/>
  <c r="D28" i="85"/>
  <c r="D26" i="85"/>
  <c r="D24" i="85"/>
  <c r="D22" i="85"/>
  <c r="D33" i="86"/>
  <c r="D31" i="86"/>
  <c r="D29" i="86"/>
  <c r="D27" i="86"/>
  <c r="D25" i="86"/>
  <c r="D23" i="86"/>
  <c r="D32" i="86"/>
  <c r="D30" i="86"/>
  <c r="D28" i="86"/>
  <c r="D26" i="86"/>
  <c r="D24" i="86"/>
  <c r="D22" i="86"/>
  <c r="D26" i="90"/>
  <c r="H60" i="94"/>
  <c r="H65" i="94" s="1"/>
  <c r="G65" i="94"/>
  <c r="D33" i="95"/>
  <c r="D31" i="95"/>
  <c r="D29" i="95"/>
  <c r="D27" i="95"/>
  <c r="D25" i="95"/>
  <c r="D23" i="95"/>
  <c r="D30" i="95"/>
  <c r="D22" i="95"/>
  <c r="D32" i="95"/>
  <c r="D24" i="95"/>
  <c r="D26" i="95"/>
  <c r="D15" i="99"/>
  <c r="D23" i="82"/>
  <c r="D25" i="82"/>
  <c r="D27" i="82"/>
  <c r="D29" i="82"/>
  <c r="D31" i="82"/>
  <c r="D23" i="83"/>
  <c r="D25" i="83"/>
  <c r="D27" i="83"/>
  <c r="D29" i="83"/>
  <c r="D31" i="83"/>
  <c r="D23" i="84"/>
  <c r="H49" i="85"/>
  <c r="H49" i="86"/>
  <c r="D103" i="87"/>
  <c r="D18" i="87"/>
  <c r="D16" i="87"/>
  <c r="D14" i="87"/>
  <c r="D12" i="87"/>
  <c r="D10" i="87"/>
  <c r="D8" i="87"/>
  <c r="D17" i="87"/>
  <c r="D15" i="87"/>
  <c r="D13" i="87"/>
  <c r="D11" i="87"/>
  <c r="D9" i="87"/>
  <c r="D7" i="87"/>
  <c r="D65" i="88"/>
  <c r="D24" i="90"/>
  <c r="D103" i="90"/>
  <c r="D28" i="95"/>
  <c r="D103" i="108"/>
  <c r="D33" i="90"/>
  <c r="D31" i="90"/>
  <c r="D29" i="90"/>
  <c r="D27" i="90"/>
  <c r="D25" i="90"/>
  <c r="D23" i="90"/>
  <c r="D18" i="103"/>
  <c r="D16" i="103"/>
  <c r="D14" i="103"/>
  <c r="D12" i="103"/>
  <c r="D10" i="103"/>
  <c r="D8" i="103"/>
  <c r="D17" i="103"/>
  <c r="D9" i="103"/>
  <c r="D11" i="103"/>
  <c r="D13" i="103"/>
  <c r="D103" i="96"/>
  <c r="D18" i="96"/>
  <c r="D16" i="96"/>
  <c r="D14" i="96"/>
  <c r="D12" i="96"/>
  <c r="D10" i="96"/>
  <c r="D8" i="96"/>
  <c r="D24" i="98"/>
  <c r="D32" i="98"/>
  <c r="D33" i="99"/>
  <c r="D31" i="99"/>
  <c r="D29" i="99"/>
  <c r="D27" i="99"/>
  <c r="D25" i="99"/>
  <c r="D23" i="99"/>
  <c r="D65" i="100"/>
  <c r="D17" i="100"/>
  <c r="D15" i="100"/>
  <c r="D13" i="100"/>
  <c r="D11" i="100"/>
  <c r="D9" i="100"/>
  <c r="D7" i="100"/>
  <c r="D24" i="102"/>
  <c r="D32" i="102"/>
  <c r="D33" i="103"/>
  <c r="D31" i="103"/>
  <c r="D29" i="103"/>
  <c r="D27" i="103"/>
  <c r="D25" i="103"/>
  <c r="D23" i="103"/>
  <c r="D65" i="104"/>
  <c r="D17" i="104"/>
  <c r="D15" i="104"/>
  <c r="D13" i="104"/>
  <c r="D11" i="104"/>
  <c r="D9" i="104"/>
  <c r="D7" i="104"/>
  <c r="D103" i="93"/>
  <c r="D49" i="94"/>
  <c r="D13" i="96"/>
  <c r="D33" i="96"/>
  <c r="D31" i="96"/>
  <c r="D29" i="96"/>
  <c r="D27" i="96"/>
  <c r="D25" i="96"/>
  <c r="D23" i="96"/>
  <c r="D22" i="98"/>
  <c r="D103" i="98"/>
  <c r="D28" i="99"/>
  <c r="D10" i="100"/>
  <c r="D18" i="100"/>
  <c r="D49" i="100"/>
  <c r="D22" i="102"/>
  <c r="D103" i="102"/>
  <c r="D49" i="104"/>
  <c r="H34" i="98"/>
  <c r="D33" i="98"/>
  <c r="D31" i="98"/>
  <c r="D29" i="98"/>
  <c r="D27" i="98"/>
  <c r="D25" i="98"/>
  <c r="D23" i="98"/>
  <c r="H34" i="102"/>
  <c r="D33" i="102"/>
  <c r="D31" i="102"/>
  <c r="D29" i="102"/>
  <c r="D27" i="102"/>
  <c r="D25" i="102"/>
  <c r="D23" i="102"/>
  <c r="D34" i="68" l="1"/>
  <c r="D34" i="67"/>
  <c r="D19" i="67"/>
  <c r="D34" i="77"/>
  <c r="D34" i="88"/>
  <c r="D34" i="100"/>
  <c r="D19" i="82"/>
  <c r="D19" i="70"/>
  <c r="D19" i="75"/>
  <c r="D19" i="69"/>
  <c r="D19" i="77"/>
  <c r="D34" i="104"/>
  <c r="D34" i="97"/>
  <c r="D34" i="101"/>
  <c r="D34" i="81"/>
  <c r="D34" i="92"/>
  <c r="D34" i="106"/>
  <c r="D19" i="105"/>
  <c r="D19" i="76"/>
  <c r="D34" i="72"/>
  <c r="D34" i="93"/>
  <c r="D19" i="84"/>
  <c r="D34" i="74"/>
  <c r="D19" i="83"/>
  <c r="D34" i="105"/>
  <c r="D34" i="94"/>
  <c r="D34" i="75"/>
  <c r="D34" i="83"/>
  <c r="D34" i="76"/>
  <c r="D19" i="72"/>
  <c r="D34" i="87"/>
  <c r="D19" i="97"/>
  <c r="D34" i="71"/>
  <c r="D19" i="71"/>
  <c r="D19" i="101"/>
  <c r="D19" i="74"/>
  <c r="D34" i="103"/>
  <c r="D34" i="108"/>
  <c r="D19" i="102"/>
  <c r="D19" i="98"/>
  <c r="D19" i="108"/>
  <c r="D19" i="73"/>
  <c r="D34" i="70"/>
  <c r="D19" i="104"/>
  <c r="D19" i="99"/>
  <c r="D19" i="92"/>
  <c r="D34" i="89"/>
  <c r="D19" i="86"/>
  <c r="D19" i="81"/>
  <c r="D19" i="89"/>
  <c r="D19" i="88"/>
  <c r="D19" i="107"/>
  <c r="D19" i="95"/>
  <c r="D34" i="73"/>
  <c r="D34" i="90"/>
  <c r="D34" i="82"/>
  <c r="D34" i="86"/>
  <c r="D19" i="103"/>
  <c r="D34" i="91"/>
  <c r="D19" i="85"/>
  <c r="D34" i="69"/>
  <c r="D19" i="94"/>
  <c r="D34" i="96"/>
  <c r="D34" i="85"/>
  <c r="D34" i="99"/>
  <c r="D19" i="96"/>
  <c r="D34" i="84"/>
  <c r="D19" i="106"/>
  <c r="D34" i="107"/>
  <c r="D19" i="93"/>
  <c r="D19" i="68"/>
  <c r="D19" i="90"/>
  <c r="D34" i="98"/>
  <c r="D34" i="95"/>
  <c r="D19" i="91"/>
  <c r="D34" i="102"/>
  <c r="D19" i="87"/>
  <c r="D19" i="100"/>
  <c r="F121" i="147" l="1"/>
  <c r="D29" i="147" s="1"/>
  <c r="D30" i="147" l="1"/>
  <c r="D24" i="147"/>
  <c r="D26" i="147"/>
  <c r="D27" i="147"/>
  <c r="D28" i="147"/>
  <c r="D32" i="147"/>
  <c r="D22" i="147"/>
  <c r="D25" i="147"/>
  <c r="D23" i="147"/>
  <c r="D31" i="147"/>
  <c r="D33" i="147"/>
  <c r="D34" i="147" l="1"/>
  <c r="F120" i="167" l="1"/>
  <c r="D17" i="167" s="1"/>
  <c r="D9" i="167" l="1"/>
  <c r="D13" i="167"/>
  <c r="D8" i="167"/>
  <c r="D11" i="167"/>
  <c r="D10" i="167"/>
  <c r="D12" i="167"/>
  <c r="D16" i="167"/>
  <c r="D15" i="167"/>
  <c r="D14" i="167"/>
  <c r="D7" i="167"/>
  <c r="D18" i="167"/>
  <c r="D19" i="167" l="1"/>
</calcChain>
</file>

<file path=xl/sharedStrings.xml><?xml version="1.0" encoding="utf-8"?>
<sst xmlns="http://schemas.openxmlformats.org/spreadsheetml/2006/main" count="19753" uniqueCount="53">
  <si>
    <t>CREDICORP CAPITAL ASSET MANAGEMENT S.A. ADMINISTRADORA GENERAL DE FONDOS</t>
  </si>
  <si>
    <t>LIQUIDEZ</t>
  </si>
  <si>
    <t>Monto</t>
  </si>
  <si>
    <t>% sobre el Patrimonio</t>
  </si>
  <si>
    <t>MACRO 1.5</t>
  </si>
  <si>
    <t>Devengo Intereses Dia Anterior</t>
  </si>
  <si>
    <t>Devengo Reajustes Dia Anterior</t>
  </si>
  <si>
    <t>Dividendos</t>
  </si>
  <si>
    <t>Sorteo de Letras</t>
  </si>
  <si>
    <t xml:space="preserve">Fluctuación Caja </t>
  </si>
  <si>
    <t>Fluctuación Forwards</t>
  </si>
  <si>
    <t>Devengo de Pacto</t>
  </si>
  <si>
    <t>Ajuste de Tasas</t>
  </si>
  <si>
    <t>Ajuste de Precios</t>
  </si>
  <si>
    <t xml:space="preserve">Devengo de Reajuste </t>
  </si>
  <si>
    <t>Utilidad/Perdida en vta. de valores</t>
  </si>
  <si>
    <t xml:space="preserve">Gastos Aceptados </t>
  </si>
  <si>
    <t>Rentabilidad antes de Remuneración</t>
  </si>
  <si>
    <t>M_MARKET</t>
  </si>
  <si>
    <t>DEUDA 360</t>
  </si>
  <si>
    <t xml:space="preserve">  </t>
  </si>
  <si>
    <t>RENTA</t>
  </si>
  <si>
    <t>INDICE</t>
  </si>
  <si>
    <t>Operaciones de Ventas</t>
  </si>
  <si>
    <t>ESTRATEGIA</t>
  </si>
  <si>
    <t>LATAM IG</t>
  </si>
  <si>
    <t>GLOBALESI</t>
  </si>
  <si>
    <t>INTERNAC</t>
  </si>
  <si>
    <t>Op. Ventas</t>
  </si>
  <si>
    <t>PERU</t>
  </si>
  <si>
    <t>Fluctuacion T/c</t>
  </si>
  <si>
    <t>Ajuste Precio</t>
  </si>
  <si>
    <t>Devengo de Reajuste</t>
  </si>
  <si>
    <t>Reusltado en venta</t>
  </si>
  <si>
    <t>Ajuste de precios</t>
  </si>
  <si>
    <t>Intereses</t>
  </si>
  <si>
    <t>Intereses ganados</t>
  </si>
  <si>
    <t>Gastos Aceptados</t>
  </si>
  <si>
    <t>Resultado en Ventas</t>
  </si>
  <si>
    <t>Patrimonios Afectos</t>
  </si>
  <si>
    <t>PATRIMONIO</t>
  </si>
  <si>
    <t>Aportes</t>
  </si>
  <si>
    <t>Patrimonio Tipo1</t>
  </si>
  <si>
    <t>Devengo Intereses</t>
  </si>
  <si>
    <t>Devengo Reajustes</t>
  </si>
  <si>
    <t>Ajuste Sintetico</t>
  </si>
  <si>
    <t/>
  </si>
  <si>
    <t>Ajuste Devengo diario x prima</t>
  </si>
  <si>
    <t>Ajuste precio vta. Corta</t>
  </si>
  <si>
    <t>LIQUIDEZ ARGENTINA</t>
  </si>
  <si>
    <t>ARGENTINA LIQUIDEZ</t>
  </si>
  <si>
    <t>|</t>
  </si>
  <si>
    <t>Patrimonios Netos (cierre dia anterior)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</si>
</sst>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-* #,##0.00_-;\-* #,##0.00_-;_-* &quot;-&quot;??_-;_-@_-"/>
    <numFmt numFmtId="164" formatCode="_ * #,##0_ ;_ * \-#,##0_ ;_ * &quot;-&quot;_ ;_ @_ "/>
    <numFmt numFmtId="165" formatCode="_-&quot;$&quot;\ * #,##0.00_-;\-&quot;$&quot;\ * #,##0.00_-;_-&quot;$&quot;\ * &quot;-&quot;??_-;_-@_-"/>
    <numFmt numFmtId="166" formatCode="[$-F800]dddd\,\ mmmm\ dd\,\ yyyy"/>
    <numFmt numFmtId="167" formatCode="_-* #,##0_-;\-* #,##0_-;_-* &quot;-&quot;??_-;_-@_-"/>
    <numFmt numFmtId="168" formatCode="0.000%"/>
    <numFmt numFmtId="169" formatCode="0.00000%"/>
    <numFmt numFmtId="170" formatCode="_(* #,##0.00_);_(* \(#,##0.00\);_(* &quot;-&quot;??_);_(@_)"/>
    <numFmt numFmtId="171" formatCode="0.0000%"/>
    <numFmt numFmtId="172" formatCode="_-* #,##0.0000_-;\-* #,##0.0000_-;_-* &quot;-&quot;??_-;_-@_-"/>
    <numFmt numFmtId="173" formatCode="#,##0.0000;[Red]\-#,##0.0000"/>
    <numFmt numFmtId="174" formatCode="#,##0.00000;[Red]\-#,##0.00000"/>
    <numFmt numFmtId="175" formatCode="_-* #,##0\ _p_t_a_-;\-* #,##0\ _p_t_a_-;_-* &quot;-&quot;??\ _p_t_a_-;_-@_-"/>
    <numFmt numFmtId="176" formatCode="_-* #,##0.000_-;\-* #,##0.000_-;_-* &quot;-&quot;??_-;_-@_-"/>
  </numFmts>
  <fonts count="25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</borders>
  <cellStyleXfs count="45">
    <xf numFmtId="0" fontId="0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165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223">
    <xf numFmtId="0" fontId="0" fillId="0" borderId="0" xfId="0"/>
    <xf numFmtId="0" fontId="7" fillId="2" borderId="0" xfId="0" applyFont="1" applyFill="1"/>
    <xf numFmtId="0" fontId="7" fillId="2" borderId="0" xfId="0" applyFont="1" applyFill="1" applyBorder="1"/>
    <xf numFmtId="14" fontId="9" fillId="2" borderId="0" xfId="0" applyNumberFormat="1" applyFont="1" applyFill="1"/>
    <xf numFmtId="14" fontId="10" fillId="2" borderId="0" xfId="0" applyNumberFormat="1" applyFont="1" applyFill="1" applyAlignment="1">
      <alignment horizontal="center"/>
    </xf>
    <xf numFmtId="0" fontId="7" fillId="2" borderId="0" xfId="0" applyFont="1" applyFill="1" applyAlignment="1">
      <alignment wrapText="1"/>
    </xf>
    <xf numFmtId="0" fontId="9" fillId="4" borderId="1" xfId="0" applyFont="1" applyFill="1" applyBorder="1" applyAlignment="1">
      <alignment horizontal="center" vertical="center" wrapText="1"/>
    </xf>
    <xf numFmtId="0" fontId="9" fillId="2" borderId="2" xfId="0" applyFont="1" applyFill="1" applyBorder="1" applyAlignment="1">
      <alignment horizontal="center" wrapText="1"/>
    </xf>
    <xf numFmtId="0" fontId="7" fillId="2" borderId="1" xfId="0" applyFont="1" applyFill="1" applyBorder="1"/>
    <xf numFmtId="167" fontId="7" fillId="2" borderId="1" xfId="1" applyNumberFormat="1" applyFont="1" applyFill="1" applyBorder="1"/>
    <xf numFmtId="168" fontId="7" fillId="2" borderId="1" xfId="2" applyNumberFormat="1" applyFont="1" applyFill="1" applyBorder="1"/>
    <xf numFmtId="168" fontId="7" fillId="2" borderId="3" xfId="2" applyNumberFormat="1" applyFont="1" applyFill="1" applyBorder="1"/>
    <xf numFmtId="168" fontId="7" fillId="2" borderId="4" xfId="2" applyNumberFormat="1" applyFont="1" applyFill="1" applyBorder="1"/>
    <xf numFmtId="168" fontId="7" fillId="2" borderId="0" xfId="2" applyNumberFormat="1" applyFont="1" applyFill="1"/>
    <xf numFmtId="43" fontId="7" fillId="2" borderId="1" xfId="1" applyFont="1" applyFill="1" applyBorder="1"/>
    <xf numFmtId="3" fontId="7" fillId="2" borderId="1" xfId="0" applyNumberFormat="1" applyFont="1" applyFill="1" applyBorder="1"/>
    <xf numFmtId="43" fontId="7" fillId="2" borderId="0" xfId="1" applyFont="1" applyFill="1"/>
    <xf numFmtId="168" fontId="7" fillId="2" borderId="0" xfId="2" applyNumberFormat="1" applyFont="1" applyFill="1" applyBorder="1"/>
    <xf numFmtId="0" fontId="9" fillId="2" borderId="5" xfId="0" applyFont="1" applyFill="1" applyBorder="1"/>
    <xf numFmtId="3" fontId="9" fillId="2" borderId="1" xfId="0" applyNumberFormat="1" applyFont="1" applyFill="1" applyBorder="1"/>
    <xf numFmtId="168" fontId="9" fillId="2" borderId="6" xfId="2" applyNumberFormat="1" applyFont="1" applyFill="1" applyBorder="1"/>
    <xf numFmtId="168" fontId="9" fillId="2" borderId="0" xfId="2" applyNumberFormat="1" applyFont="1" applyFill="1" applyBorder="1"/>
    <xf numFmtId="0" fontId="9" fillId="2" borderId="0" xfId="0" applyFont="1" applyFill="1" applyBorder="1" applyAlignment="1">
      <alignment horizontal="center"/>
    </xf>
    <xf numFmtId="43" fontId="7" fillId="2" borderId="0" xfId="0" applyNumberFormat="1" applyFont="1" applyFill="1"/>
    <xf numFmtId="43" fontId="9" fillId="2" borderId="0" xfId="0" applyNumberFormat="1" applyFont="1" applyFill="1"/>
    <xf numFmtId="38" fontId="7" fillId="2" borderId="0" xfId="0" applyNumberFormat="1" applyFont="1" applyFill="1"/>
    <xf numFmtId="0" fontId="9" fillId="2" borderId="2" xfId="0" applyFont="1" applyFill="1" applyBorder="1" applyAlignment="1">
      <alignment horizontal="center"/>
    </xf>
    <xf numFmtId="169" fontId="7" fillId="2" borderId="0" xfId="0" applyNumberFormat="1" applyFont="1" applyFill="1"/>
    <xf numFmtId="10" fontId="7" fillId="2" borderId="0" xfId="0" applyNumberFormat="1" applyFont="1" applyFill="1"/>
    <xf numFmtId="3" fontId="9" fillId="2" borderId="0" xfId="0" applyNumberFormat="1" applyFont="1" applyFill="1"/>
    <xf numFmtId="40" fontId="7" fillId="2" borderId="0" xfId="0" applyNumberFormat="1" applyFont="1" applyFill="1"/>
    <xf numFmtId="43" fontId="7" fillId="2" borderId="1" xfId="1" applyNumberFormat="1" applyFont="1" applyFill="1" applyBorder="1"/>
    <xf numFmtId="4" fontId="7" fillId="2" borderId="1" xfId="0" applyNumberFormat="1" applyFont="1" applyFill="1" applyBorder="1"/>
    <xf numFmtId="0" fontId="7" fillId="2" borderId="7" xfId="0" applyFont="1" applyFill="1" applyBorder="1"/>
    <xf numFmtId="40" fontId="7" fillId="2" borderId="8" xfId="0" applyNumberFormat="1" applyFont="1" applyFill="1" applyBorder="1"/>
    <xf numFmtId="0" fontId="7" fillId="2" borderId="9" xfId="0" applyFont="1" applyFill="1" applyBorder="1"/>
    <xf numFmtId="40" fontId="7" fillId="2" borderId="10" xfId="1" applyNumberFormat="1" applyFont="1" applyFill="1" applyBorder="1"/>
    <xf numFmtId="167" fontId="7" fillId="2" borderId="10" xfId="1" applyNumberFormat="1" applyFont="1" applyFill="1" applyBorder="1"/>
    <xf numFmtId="4" fontId="9" fillId="2" borderId="11" xfId="0" applyNumberFormat="1" applyFont="1" applyFill="1" applyBorder="1"/>
    <xf numFmtId="0" fontId="9" fillId="2" borderId="0" xfId="0" applyFont="1" applyFill="1" applyBorder="1"/>
    <xf numFmtId="40" fontId="9" fillId="2" borderId="0" xfId="0" applyNumberFormat="1" applyFont="1" applyFill="1"/>
    <xf numFmtId="38" fontId="7" fillId="2" borderId="8" xfId="0" applyNumberFormat="1" applyFont="1" applyFill="1" applyBorder="1"/>
    <xf numFmtId="43" fontId="7" fillId="2" borderId="8" xfId="1" applyNumberFormat="1" applyFont="1" applyFill="1" applyBorder="1"/>
    <xf numFmtId="3" fontId="7" fillId="2" borderId="0" xfId="0" applyNumberFormat="1" applyFont="1" applyFill="1" applyBorder="1"/>
    <xf numFmtId="168" fontId="7" fillId="2" borderId="0" xfId="0" applyNumberFormat="1" applyFont="1" applyFill="1" applyBorder="1"/>
    <xf numFmtId="38" fontId="7" fillId="2" borderId="12" xfId="0" applyNumberFormat="1" applyFont="1" applyFill="1" applyBorder="1"/>
    <xf numFmtId="38" fontId="7" fillId="5" borderId="12" xfId="0" applyNumberFormat="1" applyFont="1" applyFill="1" applyBorder="1"/>
    <xf numFmtId="38" fontId="7" fillId="2" borderId="0" xfId="0" applyNumberFormat="1" applyFont="1" applyFill="1" applyBorder="1"/>
    <xf numFmtId="40" fontId="7" fillId="2" borderId="12" xfId="0" applyNumberFormat="1" applyFont="1" applyFill="1" applyBorder="1"/>
    <xf numFmtId="167" fontId="7" fillId="2" borderId="0" xfId="1" applyNumberFormat="1" applyFont="1" applyFill="1"/>
    <xf numFmtId="3" fontId="7" fillId="2" borderId="0" xfId="0" applyNumberFormat="1" applyFont="1" applyFill="1"/>
    <xf numFmtId="38" fontId="0" fillId="2" borderId="12" xfId="0" applyNumberFormat="1" applyFont="1" applyFill="1" applyBorder="1" applyAlignment="1">
      <alignment wrapText="1"/>
    </xf>
    <xf numFmtId="0" fontId="0" fillId="2" borderId="0" xfId="0" applyFont="1" applyFill="1"/>
    <xf numFmtId="43" fontId="0" fillId="2" borderId="12" xfId="1" applyFont="1" applyFill="1" applyBorder="1" applyAlignment="1">
      <alignment wrapText="1"/>
    </xf>
    <xf numFmtId="3" fontId="0" fillId="2" borderId="1" xfId="0" applyNumberFormat="1" applyFont="1" applyFill="1" applyBorder="1"/>
    <xf numFmtId="14" fontId="6" fillId="2" borderId="0" xfId="0" applyNumberFormat="1" applyFont="1" applyFill="1"/>
    <xf numFmtId="0" fontId="6" fillId="2" borderId="0" xfId="0" applyFont="1" applyFill="1"/>
    <xf numFmtId="4" fontId="9" fillId="2" borderId="1" xfId="0" applyNumberFormat="1" applyFont="1" applyFill="1" applyBorder="1"/>
    <xf numFmtId="0" fontId="11" fillId="2" borderId="0" xfId="0" applyFont="1" applyFill="1"/>
    <xf numFmtId="0" fontId="11" fillId="2" borderId="0" xfId="0" applyFont="1" applyFill="1" applyBorder="1"/>
    <xf numFmtId="14" fontId="12" fillId="2" borderId="0" xfId="0" applyNumberFormat="1" applyFont="1" applyFill="1"/>
    <xf numFmtId="14" fontId="12" fillId="2" borderId="0" xfId="0" applyNumberFormat="1" applyFont="1" applyFill="1" applyAlignment="1">
      <alignment horizontal="center"/>
    </xf>
    <xf numFmtId="0" fontId="11" fillId="2" borderId="0" xfId="0" applyFont="1" applyFill="1" applyAlignment="1">
      <alignment wrapText="1"/>
    </xf>
    <xf numFmtId="0" fontId="12" fillId="4" borderId="1" xfId="0" applyFont="1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wrapText="1"/>
    </xf>
    <xf numFmtId="0" fontId="11" fillId="2" borderId="1" xfId="0" applyFont="1" applyFill="1" applyBorder="1"/>
    <xf numFmtId="167" fontId="11" fillId="2" borderId="1" xfId="1" applyNumberFormat="1" applyFont="1" applyFill="1" applyBorder="1"/>
    <xf numFmtId="168" fontId="11" fillId="2" borderId="1" xfId="2" applyNumberFormat="1" applyFont="1" applyFill="1" applyBorder="1"/>
    <xf numFmtId="168" fontId="11" fillId="2" borderId="3" xfId="2" applyNumberFormat="1" applyFont="1" applyFill="1" applyBorder="1"/>
    <xf numFmtId="168" fontId="11" fillId="2" borderId="4" xfId="2" applyNumberFormat="1" applyFont="1" applyFill="1" applyBorder="1"/>
    <xf numFmtId="168" fontId="11" fillId="2" borderId="0" xfId="2" applyNumberFormat="1" applyFont="1" applyFill="1"/>
    <xf numFmtId="43" fontId="11" fillId="2" borderId="1" xfId="1" applyFont="1" applyFill="1" applyBorder="1"/>
    <xf numFmtId="3" fontId="11" fillId="2" borderId="1" xfId="0" applyNumberFormat="1" applyFont="1" applyFill="1" applyBorder="1"/>
    <xf numFmtId="3" fontId="13" fillId="2" borderId="1" xfId="0" applyNumberFormat="1" applyFont="1" applyFill="1" applyBorder="1"/>
    <xf numFmtId="43" fontId="11" fillId="2" borderId="0" xfId="1" applyFont="1" applyFill="1"/>
    <xf numFmtId="168" fontId="11" fillId="2" borderId="0" xfId="2" applyNumberFormat="1" applyFont="1" applyFill="1" applyBorder="1"/>
    <xf numFmtId="0" fontId="12" fillId="2" borderId="5" xfId="0" applyFont="1" applyFill="1" applyBorder="1"/>
    <xf numFmtId="3" fontId="12" fillId="2" borderId="1" xfId="0" applyNumberFormat="1" applyFont="1" applyFill="1" applyBorder="1"/>
    <xf numFmtId="168" fontId="12" fillId="2" borderId="6" xfId="2" applyNumberFormat="1" applyFont="1" applyFill="1" applyBorder="1"/>
    <xf numFmtId="168" fontId="12" fillId="2" borderId="0" xfId="2" applyNumberFormat="1" applyFont="1" applyFill="1" applyBorder="1"/>
    <xf numFmtId="0" fontId="12" fillId="2" borderId="0" xfId="0" applyFont="1" applyFill="1"/>
    <xf numFmtId="0" fontId="12" fillId="2" borderId="0" xfId="0" applyFont="1" applyFill="1" applyBorder="1" applyAlignment="1">
      <alignment horizontal="center"/>
    </xf>
    <xf numFmtId="43" fontId="11" fillId="2" borderId="0" xfId="0" applyNumberFormat="1" applyFont="1" applyFill="1"/>
    <xf numFmtId="43" fontId="12" fillId="2" borderId="0" xfId="0" applyNumberFormat="1" applyFont="1" applyFill="1"/>
    <xf numFmtId="38" fontId="11" fillId="2" borderId="0" xfId="0" applyNumberFormat="1" applyFont="1" applyFill="1"/>
    <xf numFmtId="0" fontId="12" fillId="2" borderId="2" xfId="0" applyFont="1" applyFill="1" applyBorder="1" applyAlignment="1">
      <alignment horizontal="center"/>
    </xf>
    <xf numFmtId="169" fontId="11" fillId="2" borderId="0" xfId="0" applyNumberFormat="1" applyFont="1" applyFill="1"/>
    <xf numFmtId="10" fontId="11" fillId="2" borderId="0" xfId="0" applyNumberFormat="1" applyFont="1" applyFill="1"/>
    <xf numFmtId="0" fontId="13" fillId="2" borderId="0" xfId="0" applyFont="1" applyFill="1"/>
    <xf numFmtId="3" fontId="12" fillId="2" borderId="0" xfId="0" applyNumberFormat="1" applyFont="1" applyFill="1"/>
    <xf numFmtId="40" fontId="11" fillId="2" borderId="0" xfId="0" applyNumberFormat="1" applyFont="1" applyFill="1"/>
    <xf numFmtId="43" fontId="11" fillId="2" borderId="1" xfId="1" applyNumberFormat="1" applyFont="1" applyFill="1" applyBorder="1"/>
    <xf numFmtId="4" fontId="11" fillId="2" borderId="1" xfId="0" applyNumberFormat="1" applyFont="1" applyFill="1" applyBorder="1"/>
    <xf numFmtId="4" fontId="12" fillId="2" borderId="1" xfId="0" applyNumberFormat="1" applyFont="1" applyFill="1" applyBorder="1"/>
    <xf numFmtId="0" fontId="11" fillId="2" borderId="7" xfId="0" applyFont="1" applyFill="1" applyBorder="1"/>
    <xf numFmtId="40" fontId="11" fillId="2" borderId="8" xfId="0" applyNumberFormat="1" applyFont="1" applyFill="1" applyBorder="1"/>
    <xf numFmtId="0" fontId="11" fillId="2" borderId="9" xfId="0" applyFont="1" applyFill="1" applyBorder="1"/>
    <xf numFmtId="40" fontId="11" fillId="2" borderId="10" xfId="1" applyNumberFormat="1" applyFont="1" applyFill="1" applyBorder="1"/>
    <xf numFmtId="167" fontId="11" fillId="2" borderId="10" xfId="1" applyNumberFormat="1" applyFont="1" applyFill="1" applyBorder="1"/>
    <xf numFmtId="4" fontId="12" fillId="2" borderId="11" xfId="0" applyNumberFormat="1" applyFont="1" applyFill="1" applyBorder="1"/>
    <xf numFmtId="0" fontId="12" fillId="2" borderId="0" xfId="0" applyFont="1" applyFill="1" applyBorder="1"/>
    <xf numFmtId="40" fontId="12" fillId="2" borderId="0" xfId="0" applyNumberFormat="1" applyFont="1" applyFill="1"/>
    <xf numFmtId="38" fontId="11" fillId="2" borderId="8" xfId="0" applyNumberFormat="1" applyFont="1" applyFill="1" applyBorder="1"/>
    <xf numFmtId="43" fontId="11" fillId="2" borderId="8" xfId="1" applyNumberFormat="1" applyFont="1" applyFill="1" applyBorder="1"/>
    <xf numFmtId="3" fontId="11" fillId="2" borderId="0" xfId="0" applyNumberFormat="1" applyFont="1" applyFill="1" applyBorder="1"/>
    <xf numFmtId="168" fontId="11" fillId="2" borderId="0" xfId="0" applyNumberFormat="1" applyFont="1" applyFill="1" applyBorder="1"/>
    <xf numFmtId="38" fontId="11" fillId="2" borderId="12" xfId="0" applyNumberFormat="1" applyFont="1" applyFill="1" applyBorder="1"/>
    <xf numFmtId="38" fontId="11" fillId="5" borderId="12" xfId="0" applyNumberFormat="1" applyFont="1" applyFill="1" applyBorder="1"/>
    <xf numFmtId="38" fontId="11" fillId="2" borderId="0" xfId="0" applyNumberFormat="1" applyFont="1" applyFill="1" applyBorder="1"/>
    <xf numFmtId="38" fontId="13" fillId="2" borderId="12" xfId="0" applyNumberFormat="1" applyFont="1" applyFill="1" applyBorder="1" applyAlignment="1">
      <alignment wrapText="1"/>
    </xf>
    <xf numFmtId="40" fontId="11" fillId="2" borderId="12" xfId="0" applyNumberFormat="1" applyFont="1" applyFill="1" applyBorder="1"/>
    <xf numFmtId="43" fontId="13" fillId="2" borderId="12" xfId="1" applyFont="1" applyFill="1" applyBorder="1" applyAlignment="1">
      <alignment wrapText="1"/>
    </xf>
    <xf numFmtId="167" fontId="11" fillId="2" borderId="0" xfId="1" applyNumberFormat="1" applyFont="1" applyFill="1"/>
    <xf numFmtId="3" fontId="11" fillId="2" borderId="0" xfId="0" applyNumberFormat="1" applyFont="1" applyFill="1"/>
    <xf numFmtId="170" fontId="11" fillId="2" borderId="0" xfId="0" applyNumberFormat="1" applyFont="1" applyFill="1"/>
    <xf numFmtId="170" fontId="12" fillId="2" borderId="0" xfId="0" applyNumberFormat="1" applyFont="1" applyFill="1"/>
    <xf numFmtId="170" fontId="11" fillId="2" borderId="1" xfId="1" applyNumberFormat="1" applyFont="1" applyFill="1" applyBorder="1"/>
    <xf numFmtId="170" fontId="11" fillId="2" borderId="8" xfId="1" applyNumberFormat="1" applyFont="1" applyFill="1" applyBorder="1"/>
    <xf numFmtId="43" fontId="0" fillId="2" borderId="1" xfId="1" applyNumberFormat="1" applyFont="1" applyFill="1" applyBorder="1"/>
    <xf numFmtId="0" fontId="14" fillId="0" borderId="1" xfId="3" applyFont="1" applyBorder="1" applyAlignment="1">
      <alignment horizontal="left"/>
    </xf>
    <xf numFmtId="167" fontId="15" fillId="0" borderId="1" xfId="7" applyNumberFormat="1" applyFont="1" applyFill="1" applyBorder="1" applyAlignment="1">
      <alignment horizontal="left"/>
    </xf>
    <xf numFmtId="43" fontId="15" fillId="0" borderId="1" xfId="7" applyNumberFormat="1" applyFont="1" applyFill="1" applyBorder="1" applyAlignment="1">
      <alignment horizontal="left"/>
    </xf>
    <xf numFmtId="0" fontId="14" fillId="0" borderId="1" xfId="8" applyFont="1" applyBorder="1" applyAlignment="1">
      <alignment horizontal="left"/>
    </xf>
    <xf numFmtId="167" fontId="15" fillId="0" borderId="1" xfId="9" applyNumberFormat="1" applyFont="1" applyFill="1" applyBorder="1" applyAlignment="1">
      <alignment horizontal="left"/>
    </xf>
    <xf numFmtId="43" fontId="15" fillId="0" borderId="1" xfId="9" applyNumberFormat="1" applyFont="1" applyFill="1" applyBorder="1" applyAlignment="1">
      <alignment horizontal="left"/>
    </xf>
    <xf numFmtId="0" fontId="16" fillId="2" borderId="0" xfId="0" applyFont="1" applyFill="1"/>
    <xf numFmtId="0" fontId="16" fillId="2" borderId="0" xfId="0" applyFont="1" applyFill="1" applyBorder="1"/>
    <xf numFmtId="14" fontId="18" fillId="2" borderId="0" xfId="0" applyNumberFormat="1" applyFont="1" applyFill="1"/>
    <xf numFmtId="14" fontId="19" fillId="2" borderId="0" xfId="0" applyNumberFormat="1" applyFont="1" applyFill="1" applyAlignment="1">
      <alignment horizontal="center"/>
    </xf>
    <xf numFmtId="0" fontId="16" fillId="2" borderId="0" xfId="0" applyFont="1" applyFill="1" applyAlignment="1">
      <alignment wrapText="1"/>
    </xf>
    <xf numFmtId="0" fontId="18" fillId="4" borderId="1" xfId="0" applyFont="1" applyFill="1" applyBorder="1" applyAlignment="1">
      <alignment horizontal="center" vertical="center" wrapText="1"/>
    </xf>
    <xf numFmtId="0" fontId="18" fillId="2" borderId="2" xfId="0" applyFont="1" applyFill="1" applyBorder="1" applyAlignment="1">
      <alignment horizontal="center" wrapText="1"/>
    </xf>
    <xf numFmtId="0" fontId="16" fillId="2" borderId="1" xfId="0" applyFont="1" applyFill="1" applyBorder="1"/>
    <xf numFmtId="167" fontId="16" fillId="2" borderId="1" xfId="1" applyNumberFormat="1" applyFont="1" applyFill="1" applyBorder="1"/>
    <xf numFmtId="168" fontId="16" fillId="2" borderId="1" xfId="2" applyNumberFormat="1" applyFont="1" applyFill="1" applyBorder="1"/>
    <xf numFmtId="168" fontId="16" fillId="2" borderId="3" xfId="2" applyNumberFormat="1" applyFont="1" applyFill="1" applyBorder="1"/>
    <xf numFmtId="168" fontId="16" fillId="2" borderId="4" xfId="2" applyNumberFormat="1" applyFont="1" applyFill="1" applyBorder="1"/>
    <xf numFmtId="168" fontId="16" fillId="2" borderId="0" xfId="2" applyNumberFormat="1" applyFont="1" applyFill="1"/>
    <xf numFmtId="43" fontId="16" fillId="2" borderId="1" xfId="1" applyFont="1" applyFill="1" applyBorder="1"/>
    <xf numFmtId="3" fontId="16" fillId="2" borderId="1" xfId="0" applyNumberFormat="1" applyFont="1" applyFill="1" applyBorder="1"/>
    <xf numFmtId="43" fontId="16" fillId="2" borderId="0" xfId="1" applyFont="1" applyFill="1"/>
    <xf numFmtId="168" fontId="16" fillId="2" borderId="0" xfId="2" applyNumberFormat="1" applyFont="1" applyFill="1" applyBorder="1"/>
    <xf numFmtId="0" fontId="18" fillId="2" borderId="5" xfId="0" applyFont="1" applyFill="1" applyBorder="1"/>
    <xf numFmtId="3" fontId="18" fillId="2" borderId="1" xfId="0" applyNumberFormat="1" applyFont="1" applyFill="1" applyBorder="1"/>
    <xf numFmtId="168" fontId="18" fillId="2" borderId="6" xfId="2" applyNumberFormat="1" applyFont="1" applyFill="1" applyBorder="1"/>
    <xf numFmtId="168" fontId="18" fillId="2" borderId="0" xfId="2" applyNumberFormat="1" applyFont="1" applyFill="1" applyBorder="1"/>
    <xf numFmtId="0" fontId="18" fillId="2" borderId="0" xfId="0" applyFont="1" applyFill="1" applyBorder="1" applyAlignment="1">
      <alignment horizontal="center"/>
    </xf>
    <xf numFmtId="43" fontId="16" fillId="2" borderId="0" xfId="0" applyNumberFormat="1" applyFont="1" applyFill="1"/>
    <xf numFmtId="4" fontId="18" fillId="2" borderId="1" xfId="0" applyNumberFormat="1" applyFont="1" applyFill="1" applyBorder="1"/>
    <xf numFmtId="43" fontId="18" fillId="2" borderId="0" xfId="0" applyNumberFormat="1" applyFont="1" applyFill="1"/>
    <xf numFmtId="38" fontId="16" fillId="2" borderId="0" xfId="0" applyNumberFormat="1" applyFont="1" applyFill="1"/>
    <xf numFmtId="0" fontId="18" fillId="2" borderId="2" xfId="0" applyFont="1" applyFill="1" applyBorder="1" applyAlignment="1">
      <alignment horizontal="center"/>
    </xf>
    <xf numFmtId="169" fontId="16" fillId="2" borderId="0" xfId="0" applyNumberFormat="1" applyFont="1" applyFill="1"/>
    <xf numFmtId="10" fontId="16" fillId="2" borderId="0" xfId="0" applyNumberFormat="1" applyFont="1" applyFill="1"/>
    <xf numFmtId="3" fontId="18" fillId="2" borderId="0" xfId="0" applyNumberFormat="1" applyFont="1" applyFill="1"/>
    <xf numFmtId="40" fontId="16" fillId="2" borderId="0" xfId="0" applyNumberFormat="1" applyFont="1" applyFill="1"/>
    <xf numFmtId="43" fontId="16" fillId="2" borderId="1" xfId="1" applyNumberFormat="1" applyFont="1" applyFill="1" applyBorder="1"/>
    <xf numFmtId="4" fontId="16" fillId="2" borderId="1" xfId="0" applyNumberFormat="1" applyFont="1" applyFill="1" applyBorder="1"/>
    <xf numFmtId="0" fontId="16" fillId="2" borderId="7" xfId="0" applyFont="1" applyFill="1" applyBorder="1"/>
    <xf numFmtId="40" fontId="16" fillId="2" borderId="8" xfId="0" applyNumberFormat="1" applyFont="1" applyFill="1" applyBorder="1"/>
    <xf numFmtId="0" fontId="16" fillId="2" borderId="9" xfId="0" applyFont="1" applyFill="1" applyBorder="1"/>
    <xf numFmtId="40" fontId="16" fillId="2" borderId="10" xfId="1" applyNumberFormat="1" applyFont="1" applyFill="1" applyBorder="1"/>
    <xf numFmtId="167" fontId="16" fillId="2" borderId="10" xfId="1" applyNumberFormat="1" applyFont="1" applyFill="1" applyBorder="1"/>
    <xf numFmtId="4" fontId="18" fillId="2" borderId="11" xfId="0" applyNumberFormat="1" applyFont="1" applyFill="1" applyBorder="1"/>
    <xf numFmtId="0" fontId="18" fillId="2" borderId="0" xfId="0" applyFont="1" applyFill="1" applyBorder="1"/>
    <xf numFmtId="40" fontId="18" fillId="2" borderId="0" xfId="0" applyNumberFormat="1" applyFont="1" applyFill="1"/>
    <xf numFmtId="38" fontId="16" fillId="2" borderId="8" xfId="0" applyNumberFormat="1" applyFont="1" applyFill="1" applyBorder="1"/>
    <xf numFmtId="43" fontId="16" fillId="2" borderId="8" xfId="1" applyNumberFormat="1" applyFont="1" applyFill="1" applyBorder="1"/>
    <xf numFmtId="3" fontId="16" fillId="2" borderId="0" xfId="0" applyNumberFormat="1" applyFont="1" applyFill="1" applyBorder="1"/>
    <xf numFmtId="168" fontId="16" fillId="2" borderId="0" xfId="0" applyNumberFormat="1" applyFont="1" applyFill="1" applyBorder="1"/>
    <xf numFmtId="0" fontId="20" fillId="0" borderId="1" xfId="13" applyFont="1" applyBorder="1" applyAlignment="1">
      <alignment horizontal="left"/>
    </xf>
    <xf numFmtId="167" fontId="21" fillId="0" borderId="1" xfId="14" applyNumberFormat="1" applyFont="1" applyFill="1" applyBorder="1" applyAlignment="1">
      <alignment horizontal="left"/>
    </xf>
    <xf numFmtId="38" fontId="16" fillId="5" borderId="12" xfId="0" applyNumberFormat="1" applyFont="1" applyFill="1" applyBorder="1"/>
    <xf numFmtId="38" fontId="16" fillId="2" borderId="12" xfId="0" applyNumberFormat="1" applyFont="1" applyFill="1" applyBorder="1"/>
    <xf numFmtId="38" fontId="16" fillId="2" borderId="0" xfId="0" applyNumberFormat="1" applyFont="1" applyFill="1" applyBorder="1"/>
    <xf numFmtId="38" fontId="16" fillId="2" borderId="12" xfId="0" applyNumberFormat="1" applyFont="1" applyFill="1" applyBorder="1" applyAlignment="1">
      <alignment wrapText="1"/>
    </xf>
    <xf numFmtId="43" fontId="21" fillId="0" borderId="1" xfId="14" applyNumberFormat="1" applyFont="1" applyFill="1" applyBorder="1" applyAlignment="1">
      <alignment horizontal="left"/>
    </xf>
    <xf numFmtId="43" fontId="16" fillId="2" borderId="12" xfId="1" applyFont="1" applyFill="1" applyBorder="1" applyAlignment="1">
      <alignment wrapText="1"/>
    </xf>
    <xf numFmtId="167" fontId="16" fillId="2" borderId="0" xfId="1" applyNumberFormat="1" applyFont="1" applyFill="1"/>
    <xf numFmtId="3" fontId="16" fillId="2" borderId="0" xfId="0" applyNumberFormat="1" applyFont="1" applyFill="1"/>
    <xf numFmtId="0" fontId="14" fillId="0" borderId="1" xfId="18" applyFont="1" applyBorder="1" applyAlignment="1">
      <alignment horizontal="left"/>
    </xf>
    <xf numFmtId="167" fontId="15" fillId="0" borderId="1" xfId="19" applyNumberFormat="1" applyFont="1" applyFill="1" applyBorder="1" applyAlignment="1">
      <alignment horizontal="left"/>
    </xf>
    <xf numFmtId="43" fontId="15" fillId="0" borderId="1" xfId="19" applyNumberFormat="1" applyFont="1" applyFill="1" applyBorder="1" applyAlignment="1">
      <alignment horizontal="left"/>
    </xf>
    <xf numFmtId="0" fontId="8" fillId="3" borderId="0" xfId="0" applyFont="1" applyFill="1" applyBorder="1" applyAlignment="1">
      <alignment horizontal="center" vertical="top" wrapText="1"/>
    </xf>
    <xf numFmtId="166" fontId="9" fillId="2" borderId="0" xfId="0" applyNumberFormat="1" applyFont="1" applyFill="1" applyAlignment="1">
      <alignment horizontal="center"/>
    </xf>
    <xf numFmtId="0" fontId="12" fillId="3" borderId="0" xfId="0" applyFont="1" applyFill="1" applyBorder="1" applyAlignment="1">
      <alignment horizontal="center" vertical="top" wrapText="1"/>
    </xf>
    <xf numFmtId="166" fontId="12" fillId="2" borderId="0" xfId="0" applyNumberFormat="1" applyFont="1" applyFill="1" applyAlignment="1">
      <alignment horizontal="center"/>
    </xf>
    <xf numFmtId="0" fontId="17" fillId="3" borderId="0" xfId="0" applyFont="1" applyFill="1" applyBorder="1" applyAlignment="1">
      <alignment horizontal="center" vertical="top" wrapText="1"/>
    </xf>
    <xf numFmtId="166" fontId="18" fillId="2" borderId="0" xfId="0" applyNumberFormat="1" applyFont="1" applyFill="1" applyAlignment="1">
      <alignment horizontal="center"/>
    </xf>
    <xf numFmtId="0" fontId="22" fillId="0" borderId="1" xfId="18" applyFont="1" applyBorder="1" applyAlignment="1">
      <alignment horizontal="left"/>
    </xf>
    <xf numFmtId="167" fontId="13" fillId="0" borderId="1" xfId="19" applyNumberFormat="1" applyFont="1" applyFill="1" applyBorder="1" applyAlignment="1">
      <alignment horizontal="left"/>
    </xf>
    <xf numFmtId="38" fontId="11" fillId="2" borderId="12" xfId="0" applyNumberFormat="1" applyFont="1" applyFill="1" applyBorder="1" applyAlignment="1">
      <alignment wrapText="1"/>
    </xf>
    <xf numFmtId="170" fontId="13" fillId="0" borderId="1" xfId="19" applyNumberFormat="1" applyFont="1" applyFill="1" applyBorder="1" applyAlignment="1">
      <alignment horizontal="left"/>
    </xf>
    <xf numFmtId="43" fontId="11" fillId="2" borderId="12" xfId="1" applyFont="1" applyFill="1" applyBorder="1" applyAlignment="1">
      <alignment wrapText="1"/>
    </xf>
    <xf numFmtId="4" fontId="12" fillId="2" borderId="0" xfId="0" applyNumberFormat="1" applyFont="1" applyFill="1" applyBorder="1"/>
    <xf numFmtId="0" fontId="22" fillId="0" borderId="1" xfId="39" applyFont="1" applyBorder="1" applyAlignment="1">
      <alignment horizontal="left"/>
    </xf>
    <xf numFmtId="43" fontId="13" fillId="0" borderId="1" xfId="40" applyNumberFormat="1" applyFont="1" applyFill="1" applyBorder="1" applyAlignment="1">
      <alignment horizontal="left"/>
    </xf>
    <xf numFmtId="0" fontId="11" fillId="2" borderId="0" xfId="0" applyFont="1" applyFill="1" applyAlignment="1">
      <alignment wrapText="1"/>
    </xf>
    <xf numFmtId="0" fontId="12" fillId="4" borderId="1" xfId="0" applyFont="1" applyFill="1" applyBorder="1" applyAlignment="1">
      <alignment horizontal="center" vertical="center" wrapText="1"/>
    </xf>
    <xf numFmtId="0" fontId="11" fillId="2" borderId="1" xfId="0" applyFont="1" applyFill="1" applyBorder="1"/>
    <xf numFmtId="168" fontId="11" fillId="2" borderId="4" xfId="2" applyNumberFormat="1" applyFont="1" applyFill="1" applyBorder="1"/>
    <xf numFmtId="0" fontId="12" fillId="2" borderId="5" xfId="0" applyFont="1" applyFill="1" applyBorder="1"/>
    <xf numFmtId="43" fontId="11" fillId="2" borderId="1" xfId="23" applyNumberFormat="1" applyFont="1" applyFill="1" applyBorder="1"/>
    <xf numFmtId="4" fontId="12" fillId="2" borderId="1" xfId="0" applyNumberFormat="1" applyFont="1" applyFill="1" applyBorder="1"/>
    <xf numFmtId="38" fontId="11" fillId="2" borderId="12" xfId="0" applyNumberFormat="1" applyFont="1" applyFill="1" applyBorder="1"/>
    <xf numFmtId="38" fontId="11" fillId="5" borderId="12" xfId="0" applyNumberFormat="1" applyFont="1" applyFill="1" applyBorder="1"/>
    <xf numFmtId="38" fontId="11" fillId="2" borderId="0" xfId="0" applyNumberFormat="1" applyFont="1" applyFill="1" applyBorder="1"/>
    <xf numFmtId="43" fontId="11" fillId="2" borderId="1" xfId="0" applyNumberFormat="1" applyFont="1" applyFill="1" applyBorder="1"/>
    <xf numFmtId="10" fontId="12" fillId="2" borderId="6" xfId="2" applyNumberFormat="1" applyFont="1" applyFill="1" applyBorder="1"/>
    <xf numFmtId="171" fontId="12" fillId="2" borderId="6" xfId="2" applyNumberFormat="1" applyFont="1" applyFill="1" applyBorder="1"/>
    <xf numFmtId="171" fontId="11" fillId="2" borderId="0" xfId="2" applyNumberFormat="1" applyFont="1" applyFill="1"/>
    <xf numFmtId="172" fontId="11" fillId="2" borderId="0" xfId="1" applyNumberFormat="1" applyFont="1" applyFill="1"/>
    <xf numFmtId="174" fontId="11" fillId="2" borderId="0" xfId="0" applyNumberFormat="1" applyFont="1" applyFill="1"/>
    <xf numFmtId="173" fontId="12" fillId="2" borderId="0" xfId="0" applyNumberFormat="1" applyFont="1" applyFill="1"/>
    <xf numFmtId="175" fontId="24" fillId="2" borderId="1" xfId="1" applyNumberFormat="1" applyFont="1" applyFill="1" applyBorder="1" applyAlignment="1" applyProtection="1">
      <alignment vertical="center"/>
      <protection locked="0"/>
    </xf>
    <xf numFmtId="175" fontId="24" fillId="2" borderId="1" xfId="7" applyNumberFormat="1" applyFont="1" applyFill="1" applyBorder="1" applyAlignment="1" applyProtection="1">
      <alignment vertical="center"/>
      <protection locked="0"/>
    </xf>
    <xf numFmtId="176" fontId="11" fillId="2" borderId="0" xfId="1" applyNumberFormat="1" applyFont="1" applyFill="1"/>
    <xf numFmtId="164" fontId="6" fillId="2" borderId="0" xfId="44" applyFont="1" applyFill="1" applyAlignment="1" applyProtection="1">
      <alignment vertical="center"/>
      <protection locked="0"/>
    </xf>
    <xf numFmtId="175" fontId="6" fillId="2" borderId="1" xfId="1" applyNumberFormat="1" applyFont="1" applyFill="1" applyBorder="1" applyAlignment="1" applyProtection="1">
      <alignment vertical="center"/>
      <protection locked="0"/>
    </xf>
    <xf numFmtId="175" fontId="6" fillId="2" borderId="1" xfId="7" applyNumberFormat="1" applyFont="1" applyFill="1" applyBorder="1" applyAlignment="1" applyProtection="1">
      <alignment vertical="center"/>
      <protection locked="0"/>
    </xf>
    <xf numFmtId="3" fontId="24" fillId="6" borderId="1" xfId="0" applyNumberFormat="1" applyFont="1" applyFill="1" applyBorder="1" applyAlignment="1" applyProtection="1">
      <alignment vertical="center"/>
      <protection locked="0"/>
    </xf>
    <xf numFmtId="0" fontId="12" fillId="3" borderId="0" xfId="0" applyFont="1" applyFill="1" applyBorder="1" applyAlignment="1">
      <alignment horizontal="center" vertical="top" wrapText="1"/>
    </xf>
    <xf numFmtId="166" fontId="12" fillId="2" borderId="0" xfId="0" applyNumberFormat="1" applyFont="1" applyFill="1" applyAlignment="1">
      <alignment horizontal="center"/>
    </xf>
  </cellXfs>
  <cellStyles count="45">
    <cellStyle name="Millares" xfId="1" builtinId="3"/>
    <cellStyle name="Millares [0]" xfId="44" builtinId="6"/>
    <cellStyle name="Millares 2" xfId="7" xr:uid="{00000000-0005-0000-0000-000002000000}"/>
    <cellStyle name="Millares 2 2" xfId="12" xr:uid="{00000000-0005-0000-0000-000003000000}"/>
    <cellStyle name="Millares 2 2 2" xfId="33" xr:uid="{00000000-0005-0000-0000-000004000000}"/>
    <cellStyle name="Millares 2 3" xfId="17" xr:uid="{00000000-0005-0000-0000-000005000000}"/>
    <cellStyle name="Millares 2 3 2" xfId="38" xr:uid="{00000000-0005-0000-0000-000006000000}"/>
    <cellStyle name="Millares 2 4" xfId="22" xr:uid="{00000000-0005-0000-0000-000007000000}"/>
    <cellStyle name="Millares 2 4 2" xfId="43" xr:uid="{00000000-0005-0000-0000-000008000000}"/>
    <cellStyle name="Millares 2 5" xfId="28" xr:uid="{00000000-0005-0000-0000-000009000000}"/>
    <cellStyle name="Millares 3" xfId="4" xr:uid="{00000000-0005-0000-0000-00000A000000}"/>
    <cellStyle name="Millares 3 2" xfId="25" xr:uid="{00000000-0005-0000-0000-00000B000000}"/>
    <cellStyle name="Millares 4" xfId="9" xr:uid="{00000000-0005-0000-0000-00000C000000}"/>
    <cellStyle name="Millares 4 2" xfId="30" xr:uid="{00000000-0005-0000-0000-00000D000000}"/>
    <cellStyle name="Millares 5" xfId="14" xr:uid="{00000000-0005-0000-0000-00000E000000}"/>
    <cellStyle name="Millares 5 2" xfId="35" xr:uid="{00000000-0005-0000-0000-00000F000000}"/>
    <cellStyle name="Millares 6" xfId="19" xr:uid="{00000000-0005-0000-0000-000010000000}"/>
    <cellStyle name="Millares 6 2" xfId="40" xr:uid="{00000000-0005-0000-0000-000011000000}"/>
    <cellStyle name="Millares 7" xfId="23" xr:uid="{00000000-0005-0000-0000-000012000000}"/>
    <cellStyle name="Moneda 2" xfId="5" xr:uid="{00000000-0005-0000-0000-000013000000}"/>
    <cellStyle name="Moneda 2 2" xfId="26" xr:uid="{00000000-0005-0000-0000-000014000000}"/>
    <cellStyle name="Moneda 3" xfId="10" xr:uid="{00000000-0005-0000-0000-000015000000}"/>
    <cellStyle name="Moneda 3 2" xfId="31" xr:uid="{00000000-0005-0000-0000-000016000000}"/>
    <cellStyle name="Moneda 4" xfId="15" xr:uid="{00000000-0005-0000-0000-000017000000}"/>
    <cellStyle name="Moneda 4 2" xfId="36" xr:uid="{00000000-0005-0000-0000-000018000000}"/>
    <cellStyle name="Moneda 5" xfId="20" xr:uid="{00000000-0005-0000-0000-000019000000}"/>
    <cellStyle name="Moneda 5 2" xfId="41" xr:uid="{00000000-0005-0000-0000-00001A000000}"/>
    <cellStyle name="Normal" xfId="0" builtinId="0"/>
    <cellStyle name="Normal 2" xfId="3" xr:uid="{00000000-0005-0000-0000-00001C000000}"/>
    <cellStyle name="Normal 2 2" xfId="24" xr:uid="{00000000-0005-0000-0000-00001D000000}"/>
    <cellStyle name="Normal 3" xfId="8" xr:uid="{00000000-0005-0000-0000-00001E000000}"/>
    <cellStyle name="Normal 3 2" xfId="29" xr:uid="{00000000-0005-0000-0000-00001F000000}"/>
    <cellStyle name="Normal 4" xfId="13" xr:uid="{00000000-0005-0000-0000-000020000000}"/>
    <cellStyle name="Normal 4 2" xfId="34" xr:uid="{00000000-0005-0000-0000-000021000000}"/>
    <cellStyle name="Normal 5" xfId="18" xr:uid="{00000000-0005-0000-0000-000022000000}"/>
    <cellStyle name="Normal 5 2" xfId="39" xr:uid="{00000000-0005-0000-0000-000023000000}"/>
    <cellStyle name="Porcentaje" xfId="2" builtinId="5"/>
    <cellStyle name="Porcentaje 2" xfId="6" xr:uid="{00000000-0005-0000-0000-000025000000}"/>
    <cellStyle name="Porcentaje 2 2" xfId="27" xr:uid="{00000000-0005-0000-0000-000026000000}"/>
    <cellStyle name="Porcentaje 3" xfId="11" xr:uid="{00000000-0005-0000-0000-000027000000}"/>
    <cellStyle name="Porcentaje 3 2" xfId="32" xr:uid="{00000000-0005-0000-0000-000028000000}"/>
    <cellStyle name="Porcentaje 4" xfId="16" xr:uid="{00000000-0005-0000-0000-000029000000}"/>
    <cellStyle name="Porcentaje 4 2" xfId="37" xr:uid="{00000000-0005-0000-0000-00002A000000}"/>
    <cellStyle name="Porcentaje 5" xfId="21" xr:uid="{00000000-0005-0000-0000-00002B000000}"/>
    <cellStyle name="Porcentaje 5 2" xfId="42" xr:uid="{00000000-0005-0000-0000-00002C000000}"/>
  </cellStyles>
  <dxfs count="2824"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07" Type="http://schemas.microsoft.com/office/2006/relationships/vbaProject" Target="vbaProject.bin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3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3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3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3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3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3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3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3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3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3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3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3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3C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3D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3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3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40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4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4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4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4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4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46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47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48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49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4A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4B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4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4D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4E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4F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5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51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52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53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5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5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5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57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58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59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5A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5B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5C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5D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5E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5F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60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01377" name="Button 1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61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02401" name="Button 1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62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63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64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0</xdr:rowOff>
        </xdr:from>
        <xdr:to>
          <xdr:col>9</xdr:col>
          <xdr:colOff>752475</xdr:colOff>
          <xdr:row>6</xdr:row>
          <xdr:rowOff>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65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contenido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6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38.vml"/><Relationship Id="rId1" Type="http://schemas.openxmlformats.org/officeDocument/2006/relationships/drawing" Target="../drawings/drawing38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39.vml"/><Relationship Id="rId1" Type="http://schemas.openxmlformats.org/officeDocument/2006/relationships/drawing" Target="../drawings/drawing39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40.vml"/><Relationship Id="rId1" Type="http://schemas.openxmlformats.org/officeDocument/2006/relationships/drawing" Target="../drawings/drawing40.xml"/></Relationships>
</file>

<file path=xl/worksheets/_rels/sheet8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1.xml"/><Relationship Id="rId2" Type="http://schemas.openxmlformats.org/officeDocument/2006/relationships/vmlDrawing" Target="../drawings/vmlDrawing41.vml"/><Relationship Id="rId1" Type="http://schemas.openxmlformats.org/officeDocument/2006/relationships/drawing" Target="../drawings/drawing41.xml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42.vml"/><Relationship Id="rId1" Type="http://schemas.openxmlformats.org/officeDocument/2006/relationships/drawing" Target="../drawings/drawing42.xml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43.vml"/><Relationship Id="rId1" Type="http://schemas.openxmlformats.org/officeDocument/2006/relationships/drawing" Target="../drawings/drawing43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44.vml"/><Relationship Id="rId1" Type="http://schemas.openxmlformats.org/officeDocument/2006/relationships/drawing" Target="../drawings/drawing44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45.vml"/><Relationship Id="rId1" Type="http://schemas.openxmlformats.org/officeDocument/2006/relationships/drawing" Target="../drawings/drawing45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46.vml"/><Relationship Id="rId1" Type="http://schemas.openxmlformats.org/officeDocument/2006/relationships/drawing" Target="../drawings/drawing46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47.vml"/><Relationship Id="rId1" Type="http://schemas.openxmlformats.org/officeDocument/2006/relationships/drawing" Target="../drawings/drawing47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48.vml"/><Relationship Id="rId1" Type="http://schemas.openxmlformats.org/officeDocument/2006/relationships/drawing" Target="../drawings/drawing48.xml"/></Relationships>
</file>

<file path=xl/worksheets/_rels/sheet9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9.xml"/><Relationship Id="rId2" Type="http://schemas.openxmlformats.org/officeDocument/2006/relationships/vmlDrawing" Target="../drawings/vmlDrawing49.vml"/><Relationship Id="rId1" Type="http://schemas.openxmlformats.org/officeDocument/2006/relationships/drawing" Target="../drawings/drawing49.xml"/></Relationships>
</file>

<file path=xl/worksheets/_rels/sheet9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50.vml"/><Relationship Id="rId1" Type="http://schemas.openxmlformats.org/officeDocument/2006/relationships/drawing" Target="../drawings/drawing50.xml"/></Relationships>
</file>

<file path=xl/worksheets/_rels/sheet9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51.vml"/><Relationship Id="rId1" Type="http://schemas.openxmlformats.org/officeDocument/2006/relationships/drawing" Target="../drawings/drawing51.xml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.xml"/><Relationship Id="rId2" Type="http://schemas.openxmlformats.org/officeDocument/2006/relationships/vmlDrawing" Target="../drawings/vmlDrawing52.vml"/><Relationship Id="rId1" Type="http://schemas.openxmlformats.org/officeDocument/2006/relationships/drawing" Target="../drawings/drawing52.xml"/></Relationships>
</file>

<file path=xl/worksheets/_rels/sheet10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53.vml"/><Relationship Id="rId1" Type="http://schemas.openxmlformats.org/officeDocument/2006/relationships/drawing" Target="../drawings/drawing53.xml"/></Relationships>
</file>

<file path=xl/worksheets/_rels/sheet10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4.xml"/><Relationship Id="rId2" Type="http://schemas.openxmlformats.org/officeDocument/2006/relationships/vmlDrawing" Target="../drawings/vmlDrawing54.v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2"/>
  <dimension ref="A1:D1"/>
  <sheetViews>
    <sheetView workbookViewId="0"/>
  </sheetViews>
  <sheetFormatPr baseColWidth="10" defaultRowHeight="12.75" x14ac:dyDescent="0.2"/>
  <sheetData>
    <row r="1" spans="1:4" x14ac:dyDescent="0.2">
      <c r="A1" s="55">
        <f ca="1">+TODAY()</f>
        <v>43165</v>
      </c>
      <c r="B1" s="56" t="str">
        <f ca="1">+TEXT(MID(A1,1,5),"DD-MM")</f>
        <v>06-03</v>
      </c>
      <c r="C1" s="56" t="str">
        <f ca="1">+TEXT(A1+1,"DD-MM")</f>
        <v>07-03</v>
      </c>
      <c r="D1" s="56" t="str">
        <f ca="1">+TEXT(A1+2,"DD-MM")</f>
        <v>08-03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3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42979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5576396</v>
      </c>
      <c r="D7" s="10">
        <f>+IF(C7/$F$111=0,"",C7/$F$111)</f>
        <v>7.8881033613952543E-5</v>
      </c>
      <c r="E7" s="11"/>
      <c r="F7" s="8" t="s">
        <v>5</v>
      </c>
      <c r="G7" s="9">
        <v>964437</v>
      </c>
      <c r="H7" s="12">
        <f>+IF(G7/$C$113=0,"",G7/$C$113)</f>
        <v>1.0217391166117187E-4</v>
      </c>
      <c r="I7" s="13"/>
    </row>
    <row r="8" spans="1:9" x14ac:dyDescent="0.2">
      <c r="B8" s="8" t="s">
        <v>6</v>
      </c>
      <c r="C8" s="9">
        <v>6878</v>
      </c>
      <c r="D8" s="10">
        <f>+IF(C8/$F$111=0,"",C8/$F$111)</f>
        <v>9.7292901938234951E-8</v>
      </c>
      <c r="E8" s="11"/>
      <c r="F8" s="8" t="s">
        <v>6</v>
      </c>
      <c r="G8" s="9">
        <v>129138</v>
      </c>
      <c r="H8" s="12">
        <f>+IF(G8/$C$113=0,"",G8/$C$113)</f>
        <v>1.368107466231637E-5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-97607</v>
      </c>
      <c r="H11" s="12">
        <f t="shared" si="0"/>
        <v>-1.0340632924195155E-5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9045110</v>
      </c>
      <c r="H14" s="12">
        <f t="shared" si="0"/>
        <v>9.5825260758927982E-4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-95124</v>
      </c>
      <c r="D18" s="10">
        <f>+IF(C18/$F$111=0,"",C18/$F$111)</f>
        <v>-1.3455786571638065E-6</v>
      </c>
      <c r="E18" s="17"/>
      <c r="F18" s="8" t="s">
        <v>16</v>
      </c>
      <c r="G18" s="15">
        <v>-32181</v>
      </c>
      <c r="H18" s="12">
        <f t="shared" si="0"/>
        <v>-3.4093037193390255E-6</v>
      </c>
    </row>
    <row r="19" spans="2:9" x14ac:dyDescent="0.2">
      <c r="B19" s="18" t="s">
        <v>17</v>
      </c>
      <c r="C19" s="19">
        <f>SUM(C7:C18)</f>
        <v>5488150</v>
      </c>
      <c r="D19" s="20">
        <f>SUM(D7:D18)</f>
        <v>7.7632747858726977E-5</v>
      </c>
      <c r="E19" s="21"/>
      <c r="F19" s="18" t="s">
        <v>17</v>
      </c>
      <c r="G19" s="19">
        <f>SUM(G7:G18)</f>
        <v>10008897</v>
      </c>
      <c r="H19" s="20">
        <f>SUM(H7:H18)</f>
        <v>1.0603576572692339E-3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2481.9576999999999</v>
      </c>
      <c r="D22" s="12">
        <f>+IF(C22/$F$112=0,"",C22/$F$112)</f>
        <v>6.0933940319152018E-5</v>
      </c>
      <c r="E22" s="17"/>
      <c r="F22" s="8" t="s">
        <v>5</v>
      </c>
      <c r="G22" s="9">
        <v>1740059</v>
      </c>
      <c r="H22" s="12">
        <f t="shared" ref="H22:H33" si="2">+IF(G22/$C$106=0,"",G22/$C$106)</f>
        <v>7.4377749581932341E-5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392880</v>
      </c>
      <c r="H23" s="12">
        <f t="shared" si="2"/>
        <v>1.6793413473767028E-5</v>
      </c>
      <c r="I23" s="23"/>
    </row>
    <row r="24" spans="2:9" x14ac:dyDescent="0.2">
      <c r="B24" s="8" t="s">
        <v>45</v>
      </c>
      <c r="C24" s="14">
        <v>-7269.6</v>
      </c>
      <c r="D24" s="12">
        <f>+IF(C24/$F$112=0,"",C24/$F$112)</f>
        <v>-1.7847418291782634E-4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23.19</v>
      </c>
      <c r="D26" s="12">
        <f>+IF(C26/$F$112=0,"",C26/$F$112)</f>
        <v>5.6933205428969862E-7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-140080.82999999996</v>
      </c>
      <c r="D27" s="12">
        <f t="shared" ref="D27:D33" si="3">+IF(C27/$F$112=0,"",C27/$F$112)</f>
        <v>-3.4390904144245803E-3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4892633</v>
      </c>
      <c r="H29" s="12">
        <f t="shared" si="2"/>
        <v>2.0913258232640295E-4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147016.8124</v>
      </c>
      <c r="D31" s="12">
        <f t="shared" si="3"/>
        <v>3.6093740327216572E-3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-2.77</v>
      </c>
      <c r="D32" s="12">
        <f t="shared" si="3"/>
        <v>-6.8005596825462059E-8</v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-56.36</v>
      </c>
      <c r="D33" s="12">
        <f t="shared" si="3"/>
        <v>-1.3836806632068741E-6</v>
      </c>
      <c r="E33" s="17"/>
      <c r="F33" s="8" t="s">
        <v>16</v>
      </c>
      <c r="G33" s="15">
        <v>-46175</v>
      </c>
      <c r="H33" s="12">
        <f t="shared" si="2"/>
        <v>-1.9737219180187143E-6</v>
      </c>
    </row>
    <row r="34" spans="1:13" x14ac:dyDescent="0.2">
      <c r="B34" s="18" t="s">
        <v>17</v>
      </c>
      <c r="C34" s="19">
        <f>SUM(C22:C33)</f>
        <v>2112.4001000000326</v>
      </c>
      <c r="D34" s="20">
        <f>SUM(D22:D33)</f>
        <v>5.1861021492659862E-5</v>
      </c>
      <c r="E34" s="21"/>
      <c r="F34" s="18" t="s">
        <v>17</v>
      </c>
      <c r="G34" s="19">
        <f>SUM(G22:G33)</f>
        <v>6979397</v>
      </c>
      <c r="H34" s="20">
        <f>SUM(H22:H33)</f>
        <v>2.9833002346408362E-4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4478716</v>
      </c>
      <c r="D37" s="12">
        <f t="shared" ref="D37:D48" si="4">+IF(C37/$C$114=0,"",C37/$C$114)</f>
        <v>5.2467514704548294E-5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2680499</v>
      </c>
      <c r="D38" s="12">
        <f t="shared" si="4"/>
        <v>3.1401660810381146E-5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53908839</v>
      </c>
      <c r="D44" s="12">
        <f t="shared" si="4"/>
        <v>6.3153430647034249E-4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16675888</v>
      </c>
      <c r="D45" s="12">
        <f t="shared" si="4"/>
        <v>1.9535563292055142E-4</v>
      </c>
      <c r="E45" s="11"/>
      <c r="F45" s="8" t="s">
        <v>13</v>
      </c>
      <c r="G45" s="15">
        <v>10641387</v>
      </c>
      <c r="H45" s="12">
        <f t="shared" si="5"/>
        <v>2.142385696230052E-3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-55195</v>
      </c>
      <c r="D48" s="12">
        <f t="shared" si="4"/>
        <v>-6.4660149786625076E-7</v>
      </c>
      <c r="E48" s="11"/>
      <c r="F48" s="8" t="s">
        <v>16</v>
      </c>
      <c r="G48" s="15">
        <v>-40825</v>
      </c>
      <c r="H48" s="12">
        <f t="shared" si="5"/>
        <v>-8.2191255753213261E-6</v>
      </c>
    </row>
    <row r="49" spans="2:9" x14ac:dyDescent="0.2">
      <c r="B49" s="18" t="s">
        <v>17</v>
      </c>
      <c r="C49" s="19">
        <f>SUM(C37:C48)</f>
        <v>77688747</v>
      </c>
      <c r="D49" s="20">
        <f>SUM(D37:D48)</f>
        <v>9.1011251340795702E-4</v>
      </c>
      <c r="E49" s="21"/>
      <c r="F49" s="18" t="s">
        <v>17</v>
      </c>
      <c r="G49" s="19">
        <v>-17610970</v>
      </c>
      <c r="H49" s="20">
        <f>SUM(H37:H48)</f>
        <v>2.1341665706547308E-3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14189.3855</v>
      </c>
      <c r="H53" s="12">
        <f t="shared" ref="H53:H64" si="7">+IF(G53/$C$115=0,"",G53/$C$115)</f>
        <v>1.2294149028091678E-4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>
        <v>3620.33</v>
      </c>
      <c r="H55" s="12">
        <f t="shared" si="7"/>
        <v>3.1367726636837899E-5</v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-49493.487200000003</v>
      </c>
      <c r="H60" s="12">
        <f t="shared" si="7"/>
        <v>-4.288278076289829E-4</v>
      </c>
    </row>
    <row r="61" spans="2:9" x14ac:dyDescent="0.2">
      <c r="B61" s="8" t="s">
        <v>13</v>
      </c>
      <c r="C61" s="15">
        <v>40234432</v>
      </c>
      <c r="D61" s="12">
        <f t="shared" si="6"/>
        <v>2.4740495082217571E-3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-133665</v>
      </c>
      <c r="D64" s="12">
        <f t="shared" si="6"/>
        <v>-8.2191747485452549E-6</v>
      </c>
      <c r="E64" s="11"/>
      <c r="F64" s="8" t="s">
        <v>16</v>
      </c>
      <c r="G64" s="32">
        <v>-42.98</v>
      </c>
      <c r="H64" s="12">
        <f t="shared" si="7"/>
        <v>-3.7239281801694671E-7</v>
      </c>
    </row>
    <row r="65" spans="2:8" x14ac:dyDescent="0.2">
      <c r="B65" s="18" t="s">
        <v>17</v>
      </c>
      <c r="C65" s="19">
        <f>SUM(C53:C64)</f>
        <v>40100767</v>
      </c>
      <c r="D65" s="20">
        <f>SUM(D53:D64)</f>
        <v>2.4658303334732117E-3</v>
      </c>
      <c r="E65" s="21"/>
      <c r="F65" s="18" t="s">
        <v>17</v>
      </c>
      <c r="G65" s="19">
        <f>SUM(G53:G64)</f>
        <v>-31726.751700000004</v>
      </c>
      <c r="H65" s="20">
        <f>SUM(H53:H64)</f>
        <v>-2.7489098352924515E-4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-2756805</v>
      </c>
      <c r="D72" s="12">
        <f t="shared" si="8"/>
        <v>-2.6608524990695776E-4</v>
      </c>
      <c r="E72" s="11"/>
      <c r="F72" s="8" t="s">
        <v>9</v>
      </c>
      <c r="G72" s="9">
        <v>-519139</v>
      </c>
      <c r="H72" s="12">
        <f t="shared" si="9"/>
        <v>-8.5242916712119566E-5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26342013</v>
      </c>
      <c r="D76" s="12">
        <f t="shared" si="8"/>
        <v>2.5425161054762053E-3</v>
      </c>
      <c r="E76" s="11"/>
      <c r="F76" s="8" t="s">
        <v>13</v>
      </c>
      <c r="G76" s="15">
        <v>5486313</v>
      </c>
      <c r="H76" s="12">
        <f t="shared" si="9"/>
        <v>9.0085569012464655E-4</v>
      </c>
    </row>
    <row r="77" spans="2:8" x14ac:dyDescent="0.2">
      <c r="B77" s="8" t="s">
        <v>14</v>
      </c>
      <c r="C77" s="9">
        <v>-74149719</v>
      </c>
      <c r="D77" s="12">
        <f t="shared" si="8"/>
        <v>-7.1568886847802778E-3</v>
      </c>
      <c r="E77" s="11"/>
      <c r="F77" s="8" t="s">
        <v>14</v>
      </c>
      <c r="G77" s="9">
        <v>-44600081</v>
      </c>
      <c r="H77" s="12">
        <f t="shared" si="9"/>
        <v>-7.323358464759509E-3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>
        <v>63</v>
      </c>
      <c r="H78" s="12">
        <f t="shared" si="9"/>
        <v>1.0344635546286318E-8</v>
      </c>
    </row>
    <row r="79" spans="2:8" x14ac:dyDescent="0.2">
      <c r="B79" s="8" t="s">
        <v>16</v>
      </c>
      <c r="C79" s="15">
        <v>-12404</v>
      </c>
      <c r="D79" s="12">
        <f t="shared" si="8"/>
        <v>-1.1972270218045543E-6</v>
      </c>
      <c r="E79" s="11"/>
      <c r="F79" s="8" t="s">
        <v>16</v>
      </c>
      <c r="G79" s="15">
        <v>-12404</v>
      </c>
      <c r="H79" s="12">
        <f t="shared" si="9"/>
        <v>-2.0367437986688174E-6</v>
      </c>
    </row>
    <row r="80" spans="2:8" x14ac:dyDescent="0.2">
      <c r="B80" s="18" t="s">
        <v>17</v>
      </c>
      <c r="C80" s="19">
        <f>SUM(C68:C79)</f>
        <v>-50576915</v>
      </c>
      <c r="D80" s="20">
        <f>SUM(D68:D79)</f>
        <v>-4.8816550562328347E-3</v>
      </c>
      <c r="E80" s="21"/>
      <c r="F80" s="18" t="s">
        <v>17</v>
      </c>
      <c r="G80" s="19">
        <f>SUM(G68:G79)</f>
        <v>-39645248</v>
      </c>
      <c r="H80" s="20">
        <f>SUM(H68:H79)</f>
        <v>-6.5097720905101042E-3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23394886371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16262581596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10360608117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4967073398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6090113056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63169227101</v>
      </c>
      <c r="D111" s="51">
        <v>7524522011</v>
      </c>
      <c r="F111" s="45">
        <f>+C111+D111</f>
        <v>70693749112</v>
      </c>
      <c r="G111" s="5"/>
      <c r="H111" s="5"/>
    </row>
    <row r="112" spans="2:8" x14ac:dyDescent="0.2">
      <c r="B112" s="35" t="s">
        <v>18</v>
      </c>
      <c r="C112" s="48">
        <v>40731941.623999998</v>
      </c>
      <c r="D112" s="53"/>
      <c r="F112" s="45">
        <f>+C112+D112</f>
        <v>40731941.623999998</v>
      </c>
      <c r="H112" s="17"/>
    </row>
    <row r="113" spans="1:13" x14ac:dyDescent="0.2">
      <c r="B113" s="35" t="s">
        <v>4</v>
      </c>
      <c r="C113" s="45">
        <v>9439170766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85361695236</v>
      </c>
      <c r="D114" s="46"/>
      <c r="F114" s="45"/>
      <c r="H114" s="17"/>
    </row>
    <row r="115" spans="1:13" x14ac:dyDescent="0.2">
      <c r="B115" s="35" t="s">
        <v>25</v>
      </c>
      <c r="C115" s="48">
        <v>115415759.70469999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4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42980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5577275</v>
      </c>
      <c r="D7" s="10">
        <f>+IF(C7/$F$111=0,"",C7/$F$111)</f>
        <v>7.8888708592781518E-5</v>
      </c>
      <c r="E7" s="11"/>
      <c r="F7" s="8" t="s">
        <v>5</v>
      </c>
      <c r="G7" s="9">
        <v>483268</v>
      </c>
      <c r="H7" s="12">
        <f>+IF(G7/$C$113=0,"",G7/$C$113)</f>
        <v>5.1144706602028235E-5</v>
      </c>
      <c r="I7" s="13"/>
    </row>
    <row r="8" spans="1:9" x14ac:dyDescent="0.2">
      <c r="B8" s="8" t="s">
        <v>6</v>
      </c>
      <c r="C8" s="9">
        <v>6838</v>
      </c>
      <c r="D8" s="10">
        <f>+IF(C8/$F$111=0,"",C8/$F$111)</f>
        <v>9.6721246371649247E-8</v>
      </c>
      <c r="E8" s="11"/>
      <c r="F8" s="8" t="s">
        <v>6</v>
      </c>
      <c r="G8" s="9">
        <v>129314</v>
      </c>
      <c r="H8" s="12">
        <f>+IF(G8/$C$113=0,"",G8/$C$113)</f>
        <v>1.36854221457549E-5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/>
      <c r="H11" s="12" t="str">
        <f t="shared" si="0"/>
        <v/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/>
      <c r="H14" s="12" t="str">
        <f t="shared" si="0"/>
        <v/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-95124</v>
      </c>
      <c r="D18" s="10">
        <f>+IF(C18/$F$111=0,"",C18/$F$111)</f>
        <v>-1.3454974904733494E-6</v>
      </c>
      <c r="E18" s="17"/>
      <c r="F18" s="8" t="s">
        <v>16</v>
      </c>
      <c r="G18" s="15">
        <v>-32181</v>
      </c>
      <c r="H18" s="12">
        <f t="shared" si="0"/>
        <v>-3.4057454728222653E-6</v>
      </c>
    </row>
    <row r="19" spans="2:9" x14ac:dyDescent="0.2">
      <c r="B19" s="18" t="s">
        <v>17</v>
      </c>
      <c r="C19" s="19">
        <f>SUM(C7:C18)</f>
        <v>5488989</v>
      </c>
      <c r="D19" s="20">
        <f>SUM(D7:D18)</f>
        <v>7.7639932348679821E-5</v>
      </c>
      <c r="E19" s="21"/>
      <c r="F19" s="18" t="s">
        <v>17</v>
      </c>
      <c r="G19" s="19">
        <f>SUM(G7:G18)</f>
        <v>580401</v>
      </c>
      <c r="H19" s="20">
        <f>SUM(H7:H18)</f>
        <v>6.1424383274960868E-5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2327.0542</v>
      </c>
      <c r="D22" s="12">
        <f>+IF(C22/$F$112=0,"",C22/$F$112)</f>
        <v>5.7128725247345902E-5</v>
      </c>
      <c r="E22" s="17"/>
      <c r="F22" s="8" t="s">
        <v>5</v>
      </c>
      <c r="G22" s="9">
        <v>1588129</v>
      </c>
      <c r="H22" s="12">
        <f t="shared" ref="H22:H33" si="2">+IF(G22/$C$106=0,"",G22/$C$106)</f>
        <v>6.6896433247965001E-5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361891</v>
      </c>
      <c r="H23" s="12">
        <f t="shared" si="2"/>
        <v>1.5243860621233729E-5</v>
      </c>
      <c r="I23" s="23"/>
    </row>
    <row r="24" spans="2:9" x14ac:dyDescent="0.2">
      <c r="B24" s="8" t="s">
        <v>45</v>
      </c>
      <c r="C24" s="14">
        <v>-333.69160344079137</v>
      </c>
      <c r="D24" s="12">
        <f>+IF(C24/$F$112=0,"",C24/$F$112)</f>
        <v>-8.192063567026189E-6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/>
      <c r="D26" s="12" t="str">
        <f>+IF(C26/$F$112=0,"",C26/$F$112)</f>
        <v/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/>
      <c r="D27" s="12" t="str">
        <f t="shared" ref="D27:D33" si="3">+IF(C27/$F$112=0,"",C27/$F$112)</f>
        <v/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/>
      <c r="H29" s="12" t="str">
        <f t="shared" si="2"/>
        <v/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/>
      <c r="D31" s="12" t="str">
        <f t="shared" si="3"/>
        <v/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-56.36</v>
      </c>
      <c r="D33" s="12">
        <f t="shared" si="3"/>
        <v>-1.3836269713616533E-6</v>
      </c>
      <c r="E33" s="17"/>
      <c r="F33" s="8" t="s">
        <v>16</v>
      </c>
      <c r="G33" s="15">
        <v>-46175</v>
      </c>
      <c r="H33" s="12">
        <f t="shared" si="2"/>
        <v>-1.9450200866710346E-6</v>
      </c>
    </row>
    <row r="34" spans="1:13" x14ac:dyDescent="0.2">
      <c r="B34" s="18" t="s">
        <v>17</v>
      </c>
      <c r="C34" s="19">
        <f>SUM(C22:C33)</f>
        <v>1937.0025965592088</v>
      </c>
      <c r="D34" s="20">
        <f>SUM(D22:D33)</f>
        <v>4.7553034708958062E-5</v>
      </c>
      <c r="E34" s="21"/>
      <c r="F34" s="18" t="s">
        <v>17</v>
      </c>
      <c r="G34" s="19">
        <f>SUM(G22:G33)</f>
        <v>1903845</v>
      </c>
      <c r="H34" s="20">
        <f>SUM(H22:H33)</f>
        <v>8.0195273782527696E-5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2685920</v>
      </c>
      <c r="D37" s="12">
        <f t="shared" ref="D37:D48" si="4">+IF(C37/$C$114=0,"",C37/$C$114)</f>
        <v>3.1427120974429451E-5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3861778</v>
      </c>
      <c r="D38" s="12">
        <f t="shared" si="4"/>
        <v>4.5185472531717329E-5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/>
      <c r="D44" s="12" t="str">
        <f t="shared" si="4"/>
        <v/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2707130.2954654694</v>
      </c>
      <c r="D45" s="12">
        <f t="shared" si="4"/>
        <v>3.1675296095615749E-5</v>
      </c>
      <c r="E45" s="11"/>
      <c r="F45" s="8" t="s">
        <v>13</v>
      </c>
      <c r="G45" s="15"/>
      <c r="H45" s="12" t="str">
        <f t="shared" si="5"/>
        <v/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-55195</v>
      </c>
      <c r="D48" s="12">
        <f t="shared" si="4"/>
        <v>-6.45819660370984E-7</v>
      </c>
      <c r="E48" s="11"/>
      <c r="F48" s="8" t="s">
        <v>16</v>
      </c>
      <c r="G48" s="15">
        <v>-40825</v>
      </c>
      <c r="H48" s="12">
        <f t="shared" si="5"/>
        <v>-8.2016941779906534E-6</v>
      </c>
    </row>
    <row r="49" spans="2:9" x14ac:dyDescent="0.2">
      <c r="B49" s="18" t="s">
        <v>17</v>
      </c>
      <c r="C49" s="19">
        <f>SUM(C37:C48)</f>
        <v>9199633.2954654694</v>
      </c>
      <c r="D49" s="20">
        <f>SUM(D37:D48)</f>
        <v>1.0764206994139154E-4</v>
      </c>
      <c r="E49" s="21"/>
      <c r="F49" s="18" t="s">
        <v>17</v>
      </c>
      <c r="G49" s="19">
        <v>-17610970</v>
      </c>
      <c r="H49" s="20">
        <f>SUM(H37:H48)</f>
        <v>-8.2016941779906534E-6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14974.1551</v>
      </c>
      <c r="H53" s="12">
        <f t="shared" ref="H53:H64" si="7">+IF(G53/$C$115=0,"",G53/$C$115)</f>
        <v>1.2977837197217335E-4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/>
      <c r="H60" s="12" t="str">
        <f t="shared" si="7"/>
        <v/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-133665</v>
      </c>
      <c r="D64" s="12">
        <f t="shared" si="6"/>
        <v>-8.1991106611969763E-6</v>
      </c>
      <c r="E64" s="11"/>
      <c r="F64" s="8" t="s">
        <v>16</v>
      </c>
      <c r="G64" s="32">
        <v>-42.98</v>
      </c>
      <c r="H64" s="12">
        <f t="shared" si="7"/>
        <v>-3.725001103644245E-7</v>
      </c>
    </row>
    <row r="65" spans="2:8" x14ac:dyDescent="0.2">
      <c r="B65" s="18" t="s">
        <v>17</v>
      </c>
      <c r="C65" s="19">
        <f>SUM(C53:C64)</f>
        <v>-133665</v>
      </c>
      <c r="D65" s="20">
        <f>SUM(D53:D64)</f>
        <v>-8.1991106611969763E-6</v>
      </c>
      <c r="E65" s="21"/>
      <c r="F65" s="18" t="s">
        <v>17</v>
      </c>
      <c r="G65" s="19">
        <f>SUM(G53:G64)</f>
        <v>14931.1751</v>
      </c>
      <c r="H65" s="20">
        <f>SUM(H53:H64)</f>
        <v>1.2940587186180893E-4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/>
      <c r="D72" s="12" t="str">
        <f t="shared" si="8"/>
        <v/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-12404</v>
      </c>
      <c r="D79" s="12">
        <f t="shared" si="8"/>
        <v>-1.2031660038057464E-6</v>
      </c>
      <c r="E79" s="11"/>
      <c r="F79" s="8" t="s">
        <v>16</v>
      </c>
      <c r="G79" s="15">
        <v>-12404</v>
      </c>
      <c r="H79" s="12">
        <f t="shared" si="9"/>
        <v>-2.0501719867032196E-6</v>
      </c>
    </row>
    <row r="80" spans="2:8" x14ac:dyDescent="0.2">
      <c r="B80" s="18" t="s">
        <v>17</v>
      </c>
      <c r="C80" s="19">
        <f>SUM(C68:C79)</f>
        <v>-12404</v>
      </c>
      <c r="D80" s="20">
        <f>SUM(D68:D79)</f>
        <v>-1.2031660038057464E-6</v>
      </c>
      <c r="E80" s="21"/>
      <c r="F80" s="18" t="s">
        <v>17</v>
      </c>
      <c r="G80" s="19">
        <f>SUM(G68:G79)</f>
        <v>-12404</v>
      </c>
      <c r="H80" s="20">
        <f>SUM(H68:H79)</f>
        <v>-2.0501719867032196E-6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23740114725.000099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16302377846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10309466824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4977630123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6050224118.0001001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70698013689</v>
      </c>
      <c r="D111" s="51"/>
      <c r="F111" s="45">
        <f>+C111+D111</f>
        <v>70698013689</v>
      </c>
      <c r="G111" s="5"/>
      <c r="H111" s="5"/>
    </row>
    <row r="112" spans="2:8" x14ac:dyDescent="0.2">
      <c r="B112" s="35" t="s">
        <v>18</v>
      </c>
      <c r="C112" s="48">
        <v>40733522.232900001</v>
      </c>
      <c r="D112" s="53"/>
      <c r="F112" s="45">
        <f>+C112+D112</f>
        <v>40733522.232900001</v>
      </c>
      <c r="H112" s="17"/>
    </row>
    <row r="113" spans="1:13" x14ac:dyDescent="0.2">
      <c r="B113" s="35" t="s">
        <v>4</v>
      </c>
      <c r="C113" s="45">
        <v>9449032600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85465035190</v>
      </c>
      <c r="D114" s="46"/>
      <c r="F114" s="45"/>
      <c r="H114" s="17"/>
    </row>
    <row r="115" spans="1:13" x14ac:dyDescent="0.2">
      <c r="B115" s="35" t="s">
        <v>25</v>
      </c>
      <c r="C115" s="48">
        <v>115382516.15000001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5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42981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5578444</v>
      </c>
      <c r="D7" s="10">
        <f>+IF(C7/$F$111=0,"",C7/$F$111)</f>
        <v>7.8900483486340976E-5</v>
      </c>
      <c r="E7" s="11"/>
      <c r="F7" s="8" t="s">
        <v>5</v>
      </c>
      <c r="G7" s="9">
        <v>844369</v>
      </c>
      <c r="H7" s="12">
        <f>+IF(G7/$C$113=0,"",G7/$C$113)</f>
        <v>8.9356266912461103E-5</v>
      </c>
      <c r="I7" s="13"/>
    </row>
    <row r="8" spans="1:9" x14ac:dyDescent="0.2">
      <c r="B8" s="8" t="s">
        <v>6</v>
      </c>
      <c r="C8" s="9">
        <v>6878</v>
      </c>
      <c r="D8" s="10">
        <f>+IF(C8/$F$111=0,"",C8/$F$111)</f>
        <v>9.7281163962397622E-8</v>
      </c>
      <c r="E8" s="11"/>
      <c r="F8" s="8" t="s">
        <v>6</v>
      </c>
      <c r="G8" s="9">
        <v>128565</v>
      </c>
      <c r="H8" s="12">
        <f>+IF(G8/$C$113=0,"",G8/$C$113)</f>
        <v>1.3605530823136048E-5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/>
      <c r="H11" s="12" t="str">
        <f t="shared" si="0"/>
        <v/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/>
      <c r="H14" s="12" t="str">
        <f t="shared" si="0"/>
        <v/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-95124</v>
      </c>
      <c r="D18" s="10">
        <f>+IF(C18/$F$111=0,"",C18/$F$111)</f>
        <v>-1.3454163188076637E-6</v>
      </c>
      <c r="E18" s="17"/>
      <c r="F18" s="8" t="s">
        <v>16</v>
      </c>
      <c r="G18" s="15">
        <v>-32181</v>
      </c>
      <c r="H18" s="12">
        <f t="shared" si="0"/>
        <v>-3.4055892927261785E-6</v>
      </c>
    </row>
    <row r="19" spans="2:9" x14ac:dyDescent="0.2">
      <c r="B19" s="18" t="s">
        <v>17</v>
      </c>
      <c r="C19" s="19">
        <f>SUM(C7:C18)</f>
        <v>5490198</v>
      </c>
      <c r="D19" s="20">
        <f>SUM(D7:D18)</f>
        <v>7.7652348331495709E-5</v>
      </c>
      <c r="E19" s="21"/>
      <c r="F19" s="18" t="s">
        <v>17</v>
      </c>
      <c r="G19" s="19">
        <f>SUM(G7:G18)</f>
        <v>940753</v>
      </c>
      <c r="H19" s="20">
        <f>SUM(H7:H18)</f>
        <v>9.9556208442870976E-5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2327.3537999999999</v>
      </c>
      <c r="D22" s="12">
        <f>+IF(C22/$F$112=0,"",C22/$F$112)</f>
        <v>5.7134109397240533E-5</v>
      </c>
      <c r="E22" s="17"/>
      <c r="F22" s="8" t="s">
        <v>5</v>
      </c>
      <c r="G22" s="9"/>
      <c r="H22" s="12" t="str">
        <f t="shared" ref="H22:H33" si="2">+IF(G22/$C$106=0,"",G22/$C$106)</f>
        <v/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/>
      <c r="H23" s="12" t="str">
        <f t="shared" si="2"/>
        <v/>
      </c>
      <c r="I23" s="23"/>
    </row>
    <row r="24" spans="2:9" x14ac:dyDescent="0.2">
      <c r="B24" s="8" t="s">
        <v>45</v>
      </c>
      <c r="C24" s="14">
        <v>-333.78</v>
      </c>
      <c r="D24" s="12">
        <f>+IF(C24/$F$112=0,"",C24/$F$112)</f>
        <v>-8.1939510162189114E-6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/>
      <c r="D26" s="12" t="str">
        <f>+IF(C26/$F$112=0,"",C26/$F$112)</f>
        <v/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/>
      <c r="D27" s="12" t="str">
        <f t="shared" ref="D27:D33" si="3">+IF(C27/$F$112=0,"",C27/$F$112)</f>
        <v/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/>
      <c r="H29" s="12" t="str">
        <f t="shared" si="2"/>
        <v/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/>
      <c r="D31" s="12" t="str">
        <f t="shared" si="3"/>
        <v/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-56.36</v>
      </c>
      <c r="D33" s="12">
        <f t="shared" si="3"/>
        <v>-1.383579241638498E-6</v>
      </c>
      <c r="E33" s="17"/>
      <c r="F33" s="8" t="s">
        <v>16</v>
      </c>
      <c r="G33" s="15"/>
      <c r="H33" s="12" t="str">
        <f t="shared" si="2"/>
        <v/>
      </c>
    </row>
    <row r="34" spans="1:13" x14ac:dyDescent="0.2">
      <c r="B34" s="18" t="s">
        <v>17</v>
      </c>
      <c r="C34" s="19">
        <f>SUM(C22:C33)</f>
        <v>1937.2138</v>
      </c>
      <c r="D34" s="20">
        <f>SUM(D22:D33)</f>
        <v>4.7556579139383128E-5</v>
      </c>
      <c r="E34" s="21"/>
      <c r="F34" s="18" t="s">
        <v>17</v>
      </c>
      <c r="G34" s="19">
        <f>SUM(G22:G33)</f>
        <v>0</v>
      </c>
      <c r="H34" s="20">
        <f>SUM(H22:H33)</f>
        <v>0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4554106</v>
      </c>
      <c r="D37" s="12">
        <f t="shared" ref="D37:D48" si="4">+IF(C37/$C$114=0,"",C37/$C$114)</f>
        <v>5.3282163494578535E-5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2670451</v>
      </c>
      <c r="D38" s="12">
        <f t="shared" si="4"/>
        <v>3.1243762614717522E-5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2987563.9165085554</v>
      </c>
      <c r="D44" s="12">
        <f t="shared" si="4"/>
        <v>3.4953922690844752E-5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/>
      <c r="D45" s="12" t="str">
        <f t="shared" si="4"/>
        <v/>
      </c>
      <c r="E45" s="11"/>
      <c r="F45" s="8" t="s">
        <v>13</v>
      </c>
      <c r="G45" s="15"/>
      <c r="H45" s="12" t="str">
        <f t="shared" si="5"/>
        <v/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-55195</v>
      </c>
      <c r="D48" s="12">
        <f t="shared" si="4"/>
        <v>-6.4577087447750713E-7</v>
      </c>
      <c r="E48" s="11"/>
      <c r="F48" s="8" t="s">
        <v>16</v>
      </c>
      <c r="G48" s="15">
        <v>-40825</v>
      </c>
      <c r="H48" s="12">
        <f t="shared" si="5"/>
        <v>-8.2019290312670146E-6</v>
      </c>
    </row>
    <row r="49" spans="2:9" x14ac:dyDescent="0.2">
      <c r="B49" s="18" t="s">
        <v>17</v>
      </c>
      <c r="C49" s="19">
        <f>SUM(C37:C48)</f>
        <v>10156925.916508555</v>
      </c>
      <c r="D49" s="20">
        <f>SUM(D37:D48)</f>
        <v>1.188340779256633E-4</v>
      </c>
      <c r="E49" s="21"/>
      <c r="F49" s="18" t="s">
        <v>17</v>
      </c>
      <c r="G49" s="19">
        <v>-17610970</v>
      </c>
      <c r="H49" s="20">
        <f>SUM(H37:H48)</f>
        <v>-8.2019290312670146E-6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14974.098099999999</v>
      </c>
      <c r="H53" s="12">
        <f t="shared" ref="H53:H64" si="7">+IF(G53/$C$115=0,"",G53/$C$115)</f>
        <v>1.2976279194492084E-4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/>
      <c r="H60" s="12" t="str">
        <f t="shared" si="7"/>
        <v/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-133665</v>
      </c>
      <c r="D64" s="12">
        <f t="shared" si="6"/>
        <v>-8.1995339589909063E-6</v>
      </c>
      <c r="E64" s="11"/>
      <c r="F64" s="8" t="s">
        <v>16</v>
      </c>
      <c r="G64" s="32">
        <v>-42.98</v>
      </c>
      <c r="H64" s="12">
        <f t="shared" si="7"/>
        <v>-3.7245680912112482E-7</v>
      </c>
    </row>
    <row r="65" spans="2:8" x14ac:dyDescent="0.2">
      <c r="B65" s="18" t="s">
        <v>17</v>
      </c>
      <c r="C65" s="19">
        <f>SUM(C53:C64)</f>
        <v>-133665</v>
      </c>
      <c r="D65" s="20">
        <f>SUM(D53:D64)</f>
        <v>-8.1995339589909063E-6</v>
      </c>
      <c r="E65" s="21"/>
      <c r="F65" s="18" t="s">
        <v>17</v>
      </c>
      <c r="G65" s="19">
        <f>SUM(G53:G64)</f>
        <v>14931.1181</v>
      </c>
      <c r="H65" s="20">
        <f>SUM(H53:H64)</f>
        <v>1.2939033513579971E-4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/>
      <c r="D72" s="12" t="str">
        <f t="shared" si="8"/>
        <v/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-12404</v>
      </c>
      <c r="D79" s="12">
        <f t="shared" si="8"/>
        <v>-1.203233315644926E-6</v>
      </c>
      <c r="E79" s="11"/>
      <c r="F79" s="8" t="s">
        <v>16</v>
      </c>
      <c r="G79" s="15">
        <v>-12404</v>
      </c>
      <c r="H79" s="12">
        <f t="shared" si="9"/>
        <v>-2.0502587663672187E-6</v>
      </c>
    </row>
    <row r="80" spans="2:8" x14ac:dyDescent="0.2">
      <c r="B80" s="18" t="s">
        <v>17</v>
      </c>
      <c r="C80" s="19">
        <f>SUM(C68:C79)</f>
        <v>-12404</v>
      </c>
      <c r="D80" s="20">
        <f>SUM(D68:D79)</f>
        <v>-1.203233315644926E-6</v>
      </c>
      <c r="E80" s="21"/>
      <c r="F80" s="18" t="s">
        <v>17</v>
      </c>
      <c r="G80" s="19">
        <f>SUM(G68:G79)</f>
        <v>-12404</v>
      </c>
      <c r="H80" s="20">
        <f>SUM(H68:H79)</f>
        <v>-2.0502587663672187E-6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23741634743.000099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16301536242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10308890086.999901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4977487594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6049968034.9998999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70702279042.000092</v>
      </c>
      <c r="D111" s="51"/>
      <c r="F111" s="45">
        <f>+C111+D111</f>
        <v>70702279042.000092</v>
      </c>
      <c r="G111" s="5"/>
      <c r="H111" s="5"/>
    </row>
    <row r="112" spans="2:8" x14ac:dyDescent="0.2">
      <c r="B112" s="35" t="s">
        <v>18</v>
      </c>
      <c r="C112" s="48">
        <v>40734927.4287</v>
      </c>
      <c r="D112" s="53"/>
      <c r="F112" s="45">
        <f>+C112+D112</f>
        <v>40734927.4287</v>
      </c>
      <c r="H112" s="17"/>
    </row>
    <row r="113" spans="1:13" x14ac:dyDescent="0.2">
      <c r="B113" s="35" t="s">
        <v>4</v>
      </c>
      <c r="C113" s="45">
        <v>9449465932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85471491796</v>
      </c>
      <c r="D114" s="46"/>
      <c r="F114" s="45"/>
      <c r="H114" s="17"/>
    </row>
    <row r="115" spans="1:13" x14ac:dyDescent="0.2">
      <c r="B115" s="35" t="s">
        <v>25</v>
      </c>
      <c r="C115" s="48">
        <v>115395930.34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6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42982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5442985</v>
      </c>
      <c r="D7" s="10">
        <f>+IF(C7/$F$111=0,"",C7/$F$111)</f>
        <v>7.8477143101350879E-5</v>
      </c>
      <c r="E7" s="11"/>
      <c r="F7" s="8" t="s">
        <v>5</v>
      </c>
      <c r="G7" s="9">
        <v>785656</v>
      </c>
      <c r="H7" s="12">
        <f>+IF(G7/$C$113=0,"",G7/$C$113)</f>
        <v>8.3175523517502328E-5</v>
      </c>
      <c r="I7" s="13"/>
    </row>
    <row r="8" spans="1:9" x14ac:dyDescent="0.2">
      <c r="B8" s="8" t="s">
        <v>6</v>
      </c>
      <c r="C8" s="9">
        <v>6838</v>
      </c>
      <c r="D8" s="10">
        <f>+IF(C8/$F$111=0,"",C8/$F$111)</f>
        <v>9.8590516881276971E-8</v>
      </c>
      <c r="E8" s="11"/>
      <c r="F8" s="8" t="s">
        <v>6</v>
      </c>
      <c r="G8" s="9">
        <v>129320</v>
      </c>
      <c r="H8" s="12">
        <f>+IF(G8/$C$113=0,"",G8/$C$113)</f>
        <v>1.3690799410026019E-5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8354</v>
      </c>
      <c r="H11" s="12">
        <f t="shared" si="0"/>
        <v>8.844180194197136E-7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-2524496</v>
      </c>
      <c r="H14" s="12">
        <f t="shared" si="0"/>
        <v>-2.6726235963047513E-4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1642075</v>
      </c>
      <c r="D17" s="10">
        <f>+IF(C17/$F$111=0,"",C17/$F$111)</f>
        <v>2.367549327403084E-5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-234898</v>
      </c>
      <c r="D18" s="10">
        <f>+IF(C18/$F$111=0,"",C18/$F$111)</f>
        <v>-3.386767363904387E-6</v>
      </c>
      <c r="E18" s="17"/>
      <c r="F18" s="8" t="s">
        <v>16</v>
      </c>
      <c r="G18" s="15">
        <v>-31332</v>
      </c>
      <c r="H18" s="12">
        <f t="shared" si="0"/>
        <v>-3.3170439770718775E-6</v>
      </c>
    </row>
    <row r="19" spans="2:9" x14ac:dyDescent="0.2">
      <c r="B19" s="18" t="s">
        <v>17</v>
      </c>
      <c r="C19" s="19">
        <f>SUM(C7:C18)</f>
        <v>6857000</v>
      </c>
      <c r="D19" s="20">
        <f>SUM(D7:D18)</f>
        <v>9.886445952835861E-5</v>
      </c>
      <c r="E19" s="21"/>
      <c r="F19" s="18" t="s">
        <v>17</v>
      </c>
      <c r="G19" s="19">
        <f>SUM(G7:G18)</f>
        <v>-1632498</v>
      </c>
      <c r="H19" s="20">
        <f>SUM(H7:H18)</f>
        <v>-1.7282866266059893E-4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2819.2873</v>
      </c>
      <c r="D22" s="12">
        <f>+IF(C22/$F$112=0,"",C22/$F$112)</f>
        <v>6.9208176216012748E-5</v>
      </c>
      <c r="E22" s="17"/>
      <c r="F22" s="8" t="s">
        <v>5</v>
      </c>
      <c r="G22" s="9">
        <v>1721699</v>
      </c>
      <c r="H22" s="12">
        <f t="shared" ref="H22:H33" si="2">+IF(G22/$C$106=0,"",G22/$C$106)</f>
        <v>7.286863897090148E-5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361911</v>
      </c>
      <c r="H23" s="12">
        <f t="shared" si="2"/>
        <v>1.5317405654878072E-5</v>
      </c>
      <c r="I23" s="23"/>
    </row>
    <row r="24" spans="2:9" x14ac:dyDescent="0.2">
      <c r="B24" s="8" t="s">
        <v>45</v>
      </c>
      <c r="C24" s="14">
        <v>-4669.9207599572837</v>
      </c>
      <c r="D24" s="12">
        <f>+IF(C24/$F$112=0,"",C24/$F$112)</f>
        <v>-1.1463773091516422E-4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-2.39</v>
      </c>
      <c r="D26" s="12">
        <f>+IF(C26/$F$112=0,"",C26/$F$112)</f>
        <v>-5.8669984132610562E-8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19488.390000000014</v>
      </c>
      <c r="D27" s="12">
        <f t="shared" ref="D27:D33" si="3">+IF(C27/$F$112=0,"",C27/$F$112)</f>
        <v>4.7840315149377702E-4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230900</v>
      </c>
      <c r="H29" s="12">
        <f t="shared" si="2"/>
        <v>9.7725379049306235E-6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-15151.218699999999</v>
      </c>
      <c r="D31" s="12">
        <f t="shared" si="3"/>
        <v>-3.7193379109569553E-4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-52.63</v>
      </c>
      <c r="D33" s="12">
        <f t="shared" si="3"/>
        <v>-1.2919670564432191E-6</v>
      </c>
      <c r="E33" s="17"/>
      <c r="F33" s="8" t="s">
        <v>16</v>
      </c>
      <c r="G33" s="15">
        <v>-43749</v>
      </c>
      <c r="H33" s="12">
        <f t="shared" si="2"/>
        <v>-1.8516187128748803E-6</v>
      </c>
    </row>
    <row r="34" spans="1:13" x14ac:dyDescent="0.2">
      <c r="B34" s="18" t="s">
        <v>17</v>
      </c>
      <c r="C34" s="19">
        <f>SUM(C22:C33)</f>
        <v>2431.5178400427312</v>
      </c>
      <c r="D34" s="20">
        <f>SUM(D22:D33)</f>
        <v>5.9689168658354193E-5</v>
      </c>
      <c r="E34" s="21"/>
      <c r="F34" s="18" t="s">
        <v>17</v>
      </c>
      <c r="G34" s="19">
        <f>SUM(G22:G33)</f>
        <v>2270761</v>
      </c>
      <c r="H34" s="20">
        <f>SUM(H22:H33)</f>
        <v>9.6106963817835293E-5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4028878</v>
      </c>
      <c r="D37" s="12">
        <f t="shared" ref="D37:D48" si="4">+IF(C37/$C$114=0,"",C37/$C$114)</f>
        <v>4.7267963701985759E-5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2686216</v>
      </c>
      <c r="D38" s="12">
        <f t="shared" si="4"/>
        <v>3.1515464202116164E-5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9217072</v>
      </c>
      <c r="D44" s="12">
        <f t="shared" si="4"/>
        <v>1.0813735852378485E-4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10067605</v>
      </c>
      <c r="D45" s="12">
        <f t="shared" si="4"/>
        <v>1.1811605804542364E-4</v>
      </c>
      <c r="E45" s="11"/>
      <c r="F45" s="8" t="s">
        <v>13</v>
      </c>
      <c r="G45" s="15">
        <v>-8183156</v>
      </c>
      <c r="H45" s="12">
        <f t="shared" si="5"/>
        <v>-1.6442548038405548E-3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-29053</v>
      </c>
      <c r="D47" s="12">
        <f t="shared" si="4"/>
        <v>-3.4085821150052005E-7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-54963</v>
      </c>
      <c r="D48" s="12">
        <f t="shared" si="4"/>
        <v>-6.4484183659873624E-7</v>
      </c>
      <c r="E48" s="11"/>
      <c r="F48" s="8" t="s">
        <v>16</v>
      </c>
      <c r="G48" s="15">
        <v>-40905</v>
      </c>
      <c r="H48" s="12">
        <f t="shared" si="5"/>
        <v>-8.2191079763233022E-6</v>
      </c>
    </row>
    <row r="49" spans="2:9" x14ac:dyDescent="0.2">
      <c r="B49" s="18" t="s">
        <v>17</v>
      </c>
      <c r="C49" s="19">
        <f>SUM(C37:C48)</f>
        <v>25915755</v>
      </c>
      <c r="D49" s="20">
        <f>SUM(D37:D48)</f>
        <v>3.0405114442521116E-4</v>
      </c>
      <c r="E49" s="21"/>
      <c r="F49" s="18" t="s">
        <v>17</v>
      </c>
      <c r="G49" s="19">
        <v>-17610970</v>
      </c>
      <c r="H49" s="20">
        <f>SUM(H37:H48)</f>
        <v>-1.6524739118168781E-3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14974.21</v>
      </c>
      <c r="H53" s="12">
        <f t="shared" ref="H53:H64" si="7">+IF(G53/$C$115=0,"",G53/$C$115)</f>
        <v>1.2974867930966438E-4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-1195.95</v>
      </c>
      <c r="H60" s="12">
        <f t="shared" si="7"/>
        <v>-1.0362679100960462E-5</v>
      </c>
    </row>
    <row r="61" spans="2:9" x14ac:dyDescent="0.2">
      <c r="B61" s="8" t="s">
        <v>13</v>
      </c>
      <c r="C61" s="15">
        <v>-15964701</v>
      </c>
      <c r="D61" s="12">
        <f t="shared" si="6"/>
        <v>-9.7938776841678568E-4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-133978</v>
      </c>
      <c r="D64" s="12">
        <f t="shared" si="6"/>
        <v>-8.2191589079522456E-6</v>
      </c>
      <c r="E64" s="11"/>
      <c r="F64" s="8" t="s">
        <v>16</v>
      </c>
      <c r="G64" s="32">
        <v>-43.14</v>
      </c>
      <c r="H64" s="12">
        <f t="shared" si="7"/>
        <v>-3.7379988830254968E-7</v>
      </c>
    </row>
    <row r="65" spans="2:8" x14ac:dyDescent="0.2">
      <c r="B65" s="18" t="s">
        <v>17</v>
      </c>
      <c r="C65" s="19">
        <f>SUM(C53:C64)</f>
        <v>-16098679</v>
      </c>
      <c r="D65" s="20">
        <f>SUM(D53:D64)</f>
        <v>-9.8760692732473786E-4</v>
      </c>
      <c r="E65" s="21"/>
      <c r="F65" s="18" t="s">
        <v>17</v>
      </c>
      <c r="G65" s="57">
        <f>SUM(G53:G64)</f>
        <v>13735.119999999999</v>
      </c>
      <c r="H65" s="20">
        <f>SUM(H53:H64)</f>
        <v>1.1901220032040137E-4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282146</v>
      </c>
      <c r="D72" s="12">
        <f t="shared" si="8"/>
        <v>2.7377148992365407E-5</v>
      </c>
      <c r="E72" s="11"/>
      <c r="F72" s="8" t="s">
        <v>9</v>
      </c>
      <c r="G72" s="9">
        <v>53132</v>
      </c>
      <c r="H72" s="12">
        <f t="shared" si="9"/>
        <v>8.7825668918078101E-6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>
        <v>148748</v>
      </c>
      <c r="H76" s="12">
        <f t="shared" si="9"/>
        <v>2.458761687914304E-5</v>
      </c>
    </row>
    <row r="77" spans="2:8" x14ac:dyDescent="0.2">
      <c r="B77" s="8" t="s">
        <v>14</v>
      </c>
      <c r="C77" s="9">
        <v>7588882</v>
      </c>
      <c r="D77" s="12">
        <f t="shared" si="8"/>
        <v>7.3636327716671511E-4</v>
      </c>
      <c r="E77" s="11"/>
      <c r="F77" s="8" t="s">
        <v>14</v>
      </c>
      <c r="G77" s="9">
        <v>4564729</v>
      </c>
      <c r="H77" s="12">
        <f t="shared" si="9"/>
        <v>7.5453658408256746E-4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-12401</v>
      </c>
      <c r="D79" s="12">
        <f t="shared" si="8"/>
        <v>-1.2032920000791203E-6</v>
      </c>
      <c r="E79" s="11"/>
      <c r="F79" s="8" t="s">
        <v>16</v>
      </c>
      <c r="G79" s="15">
        <v>-12401</v>
      </c>
      <c r="H79" s="12">
        <f t="shared" si="9"/>
        <v>-2.0498496579332349E-6</v>
      </c>
    </row>
    <row r="80" spans="2:8" x14ac:dyDescent="0.2">
      <c r="B80" s="18" t="s">
        <v>17</v>
      </c>
      <c r="C80" s="19">
        <f>SUM(C68:C79)</f>
        <v>7858627</v>
      </c>
      <c r="D80" s="20">
        <f>SUM(D68:D79)</f>
        <v>7.6253713415900138E-4</v>
      </c>
      <c r="E80" s="21"/>
      <c r="F80" s="18" t="s">
        <v>17</v>
      </c>
      <c r="G80" s="19">
        <f>SUM(G68:G79)</f>
        <v>4754208</v>
      </c>
      <c r="H80" s="20">
        <f>SUM(H68:H79)</f>
        <v>7.8585691819558503E-4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23627434576.999901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16300694694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10305894163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4976817450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6049711964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60991855433.000099</v>
      </c>
      <c r="D111" s="51">
        <v>8365727997</v>
      </c>
      <c r="F111" s="45">
        <f>+C111+D111</f>
        <v>69357583430.000092</v>
      </c>
      <c r="G111" s="5"/>
      <c r="H111" s="5"/>
    </row>
    <row r="112" spans="2:8" x14ac:dyDescent="0.2">
      <c r="B112" s="35" t="s">
        <v>18</v>
      </c>
      <c r="C112" s="48">
        <v>40736332.817100003</v>
      </c>
      <c r="D112" s="53"/>
      <c r="F112" s="45">
        <f>+C112+D112</f>
        <v>40736332.817100003</v>
      </c>
      <c r="H112" s="17"/>
    </row>
    <row r="113" spans="1:13" x14ac:dyDescent="0.2">
      <c r="B113" s="35" t="s">
        <v>4</v>
      </c>
      <c r="C113" s="45">
        <v>9445759603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85234854317</v>
      </c>
      <c r="D114" s="46"/>
      <c r="F114" s="45"/>
      <c r="H114" s="17"/>
    </row>
    <row r="115" spans="1:13" x14ac:dyDescent="0.2">
      <c r="B115" s="35" t="s">
        <v>25</v>
      </c>
      <c r="C115" s="48">
        <v>115409344.2775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7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42983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5165094</v>
      </c>
      <c r="D7" s="10">
        <f>+IF(C7/$F$111=0,"",C7/$F$111)</f>
        <v>7.8652553432440357E-5</v>
      </c>
      <c r="E7" s="11"/>
      <c r="F7" s="8" t="s">
        <v>5</v>
      </c>
      <c r="G7" s="9">
        <v>863061</v>
      </c>
      <c r="H7" s="12">
        <f>+IF(G7/$C$113=0,"",G7/$C$113)</f>
        <v>9.1388042822195252E-5</v>
      </c>
      <c r="I7" s="13"/>
    </row>
    <row r="8" spans="1:9" x14ac:dyDescent="0.2">
      <c r="B8" s="8" t="s">
        <v>6</v>
      </c>
      <c r="C8" s="9">
        <v>6878</v>
      </c>
      <c r="D8" s="10">
        <f>+IF(C8/$F$111=0,"",C8/$F$111)</f>
        <v>1.0473618921714199E-7</v>
      </c>
      <c r="E8" s="11"/>
      <c r="F8" s="8" t="s">
        <v>6</v>
      </c>
      <c r="G8" s="9">
        <v>128621</v>
      </c>
      <c r="H8" s="12">
        <f>+IF(G8/$C$113=0,"",G8/$C$113)</f>
        <v>1.3619456163392361E-5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-68017</v>
      </c>
      <c r="H11" s="12">
        <f t="shared" si="0"/>
        <v>-7.202202982914596E-6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5085754</v>
      </c>
      <c r="H14" s="12">
        <f t="shared" si="0"/>
        <v>5.3852173176073396E-4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42625</v>
      </c>
      <c r="D17" s="10">
        <f>+IF(C17/$F$111=0,"",C17/$F$111)</f>
        <v>6.4908113774072071E-7</v>
      </c>
      <c r="E17" s="11"/>
      <c r="F17" s="8" t="s">
        <v>15</v>
      </c>
      <c r="G17" s="15">
        <v>8042</v>
      </c>
      <c r="H17" s="12">
        <f t="shared" si="0"/>
        <v>8.5155352909712547E-7</v>
      </c>
    </row>
    <row r="18" spans="2:9" x14ac:dyDescent="0.2">
      <c r="B18" s="8" t="s">
        <v>16</v>
      </c>
      <c r="C18" s="15">
        <v>-88811</v>
      </c>
      <c r="D18" s="10">
        <f>+IF(C18/$F$111=0,"",C18/$F$111)</f>
        <v>-1.3523881507071238E-6</v>
      </c>
      <c r="E18" s="17"/>
      <c r="F18" s="8" t="s">
        <v>16</v>
      </c>
      <c r="G18" s="15">
        <v>-39012</v>
      </c>
      <c r="H18" s="12">
        <f t="shared" si="0"/>
        <v>-4.1309134888257965E-6</v>
      </c>
    </row>
    <row r="19" spans="2:9" x14ac:dyDescent="0.2">
      <c r="B19" s="18" t="s">
        <v>17</v>
      </c>
      <c r="C19" s="19">
        <f>SUM(C7:C18)</f>
        <v>5125786</v>
      </c>
      <c r="D19" s="20">
        <f>SUM(D7:D18)</f>
        <v>7.8053982608691089E-5</v>
      </c>
      <c r="E19" s="21"/>
      <c r="F19" s="18" t="s">
        <v>17</v>
      </c>
      <c r="G19" s="19">
        <f>SUM(G7:G18)</f>
        <v>5978449</v>
      </c>
      <c r="H19" s="20">
        <f>SUM(H7:H18)</f>
        <v>6.3304766780367821E-4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2548.9449999999997</v>
      </c>
      <c r="D22" s="12">
        <f>+IF(C22/$F$112=0,"",C22/$F$112)</f>
        <v>6.1363829114019508E-5</v>
      </c>
      <c r="E22" s="17"/>
      <c r="F22" s="8" t="s">
        <v>5</v>
      </c>
      <c r="G22" s="9">
        <v>1592621</v>
      </c>
      <c r="H22" s="12">
        <f t="shared" ref="H22:H33" si="2">+IF(G22/$C$106=0,"",G22/$C$106)</f>
        <v>6.6221910977837519E-5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359854</v>
      </c>
      <c r="H23" s="12">
        <f t="shared" si="2"/>
        <v>1.4962894218410245E-5</v>
      </c>
      <c r="I23" s="23"/>
    </row>
    <row r="24" spans="2:9" x14ac:dyDescent="0.2">
      <c r="B24" s="8" t="s">
        <v>45</v>
      </c>
      <c r="C24" s="14">
        <v>-5799.0452383533102</v>
      </c>
      <c r="D24" s="12">
        <f>+IF(C24/$F$112=0,"",C24/$F$112)</f>
        <v>-1.3960741445216788E-4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15.643710884080065</v>
      </c>
      <c r="D26" s="12">
        <f>+IF(C26/$F$112=0,"",C26/$F$112)</f>
        <v>3.7660993132445628E-7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-93768.080497143907</v>
      </c>
      <c r="D27" s="12">
        <f t="shared" ref="D27:D33" si="3">+IF(C27/$F$112=0,"",C27/$F$112)</f>
        <v>-2.2573921634152028E-3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364470</v>
      </c>
      <c r="H29" s="12">
        <f t="shared" si="2"/>
        <v>1.5154829613632145E-5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99227.048599999995</v>
      </c>
      <c r="D31" s="12">
        <f t="shared" si="3"/>
        <v>2.3888124905711615E-3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-52.61</v>
      </c>
      <c r="D33" s="12">
        <f t="shared" si="3"/>
        <v>-1.2665440210316686E-6</v>
      </c>
      <c r="E33" s="17"/>
      <c r="F33" s="8" t="s">
        <v>16</v>
      </c>
      <c r="G33" s="15">
        <v>-40401</v>
      </c>
      <c r="H33" s="12">
        <f t="shared" si="2"/>
        <v>-1.6798920932322338E-6</v>
      </c>
    </row>
    <row r="34" spans="1:13" x14ac:dyDescent="0.2">
      <c r="B34" s="18" t="s">
        <v>17</v>
      </c>
      <c r="C34" s="19">
        <f>SUM(C22:C33)</f>
        <v>2171.9015753868593</v>
      </c>
      <c r="D34" s="20">
        <f>SUM(D22:D33)</f>
        <v>5.2286807728102943E-5</v>
      </c>
      <c r="E34" s="21"/>
      <c r="F34" s="18" t="s">
        <v>17</v>
      </c>
      <c r="G34" s="19">
        <f>SUM(G22:G33)</f>
        <v>2276544</v>
      </c>
      <c r="H34" s="20">
        <f>SUM(H22:H33)</f>
        <v>9.4659742716647667E-5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4191170</v>
      </c>
      <c r="D37" s="12">
        <f t="shared" ref="D37:D48" si="4">+IF(C37/$C$114=0,"",C37/$C$114)</f>
        <v>4.908306524205885E-5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2671901</v>
      </c>
      <c r="D38" s="12">
        <f t="shared" si="4"/>
        <v>3.1290806887652444E-5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-278404</v>
      </c>
      <c r="H39" s="12">
        <f t="shared" si="5"/>
        <v>-5.6032325856332763E-5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>
        <v>11524689</v>
      </c>
      <c r="D43" s="12">
        <f t="shared" si="4"/>
        <v>1.349663845850772E-4</v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34951722</v>
      </c>
      <c r="D44" s="12">
        <f t="shared" si="4"/>
        <v>4.0932189609304886E-4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/>
      <c r="D45" s="12" t="str">
        <f t="shared" si="4"/>
        <v/>
      </c>
      <c r="E45" s="11"/>
      <c r="F45" s="8" t="s">
        <v>13</v>
      </c>
      <c r="G45" s="15">
        <v>-23638633</v>
      </c>
      <c r="H45" s="12">
        <f t="shared" si="5"/>
        <v>-4.7575738389328487E-3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43430</v>
      </c>
      <c r="D47" s="12">
        <f t="shared" si="4"/>
        <v>5.0861156275279122E-7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-106798</v>
      </c>
      <c r="D48" s="12">
        <f t="shared" si="4"/>
        <v>-1.2507183439758828E-6</v>
      </c>
      <c r="E48" s="11"/>
      <c r="F48" s="8" t="s">
        <v>16</v>
      </c>
      <c r="G48" s="15">
        <v>-40838</v>
      </c>
      <c r="H48" s="12">
        <f t="shared" si="5"/>
        <v>-8.2191639607222495E-6</v>
      </c>
    </row>
    <row r="49" spans="2:9" x14ac:dyDescent="0.2">
      <c r="B49" s="18" t="s">
        <v>17</v>
      </c>
      <c r="C49" s="19">
        <f>SUM(C37:C48)</f>
        <v>53276114</v>
      </c>
      <c r="D49" s="20">
        <f>SUM(D37:D48)</f>
        <v>6.239200460266143E-4</v>
      </c>
      <c r="E49" s="21"/>
      <c r="F49" s="18" t="s">
        <v>17</v>
      </c>
      <c r="G49" s="19">
        <v>-17610970</v>
      </c>
      <c r="H49" s="20">
        <f>SUM(H37:H48)</f>
        <v>-4.8218253287499032E-3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14974</v>
      </c>
      <c r="H53" s="12">
        <f t="shared" ref="H53:H64" si="7">+IF(G53/$C$115=0,"",G53/$C$115)</f>
        <v>1.2973312552718274E-4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280946</v>
      </c>
      <c r="H60" s="12">
        <f t="shared" si="7"/>
        <v>2.4340859278990171E-3</v>
      </c>
    </row>
    <row r="61" spans="2:9" x14ac:dyDescent="0.2">
      <c r="B61" s="8" t="s">
        <v>13</v>
      </c>
      <c r="C61" s="15">
        <v>-61451229</v>
      </c>
      <c r="D61" s="12">
        <f t="shared" si="6"/>
        <v>-3.7739012718086802E-3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-133835</v>
      </c>
      <c r="D64" s="12">
        <f t="shared" si="6"/>
        <v>-8.2192022020017654E-6</v>
      </c>
      <c r="E64" s="11"/>
      <c r="F64" s="8" t="s">
        <v>16</v>
      </c>
      <c r="G64" s="32">
        <v>-43.12</v>
      </c>
      <c r="H64" s="12">
        <f t="shared" si="7"/>
        <v>-3.7358704238894881E-7</v>
      </c>
    </row>
    <row r="65" spans="2:8" x14ac:dyDescent="0.2">
      <c r="B65" s="18" t="s">
        <v>17</v>
      </c>
      <c r="C65" s="19">
        <f>SUM(C53:C64)</f>
        <v>-61585064</v>
      </c>
      <c r="D65" s="20">
        <f>SUM(D53:D64)</f>
        <v>-3.7821204740106822E-3</v>
      </c>
      <c r="E65" s="21"/>
      <c r="F65" s="18" t="s">
        <v>17</v>
      </c>
      <c r="G65" s="57">
        <f>SUM(G53:G64)</f>
        <v>295876.88</v>
      </c>
      <c r="H65" s="20">
        <f>SUM(H53:H64)</f>
        <v>2.563445466383811E-3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-1839830</v>
      </c>
      <c r="D72" s="12">
        <f t="shared" si="8"/>
        <v>-1.7911805505601471E-4</v>
      </c>
      <c r="E72" s="11"/>
      <c r="F72" s="8" t="s">
        <v>9</v>
      </c>
      <c r="G72" s="9">
        <v>-346462</v>
      </c>
      <c r="H72" s="12">
        <f t="shared" si="9"/>
        <v>-5.7994372424036598E-5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-77529196</v>
      </c>
      <c r="D76" s="12">
        <f t="shared" si="8"/>
        <v>-7.5479140994420988E-3</v>
      </c>
      <c r="E76" s="11"/>
      <c r="F76" s="8" t="s">
        <v>13</v>
      </c>
      <c r="G76" s="15">
        <v>2649147</v>
      </c>
      <c r="H76" s="12">
        <f t="shared" si="9"/>
        <v>4.4344146753184845E-4</v>
      </c>
    </row>
    <row r="77" spans="2:8" x14ac:dyDescent="0.2">
      <c r="B77" s="8" t="s">
        <v>14</v>
      </c>
      <c r="C77" s="9">
        <v>-49097384</v>
      </c>
      <c r="D77" s="12">
        <f t="shared" si="8"/>
        <v>-4.7799133237409414E-3</v>
      </c>
      <c r="E77" s="11"/>
      <c r="F77" s="8" t="s">
        <v>14</v>
      </c>
      <c r="G77" s="9">
        <v>-29779107</v>
      </c>
      <c r="H77" s="12">
        <f t="shared" si="9"/>
        <v>-4.984733165002901E-3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-12401</v>
      </c>
      <c r="D79" s="12">
        <f t="shared" si="8"/>
        <v>-1.2073088278534638E-6</v>
      </c>
      <c r="E79" s="11"/>
      <c r="F79" s="8" t="s">
        <v>16</v>
      </c>
      <c r="G79" s="15">
        <v>-12401</v>
      </c>
      <c r="H79" s="12">
        <f t="shared" si="9"/>
        <v>-2.0758069064730848E-6</v>
      </c>
    </row>
    <row r="80" spans="2:8" x14ac:dyDescent="0.2">
      <c r="B80" s="18" t="s">
        <v>17</v>
      </c>
      <c r="C80" s="19">
        <f>SUM(C68:C79)</f>
        <v>-128478811</v>
      </c>
      <c r="D80" s="20">
        <f>SUM(D68:D79)</f>
        <v>-1.2508152787066908E-2</v>
      </c>
      <c r="E80" s="21"/>
      <c r="F80" s="18" t="s">
        <v>17</v>
      </c>
      <c r="G80" s="19">
        <f>SUM(G68:G79)</f>
        <v>-27488823</v>
      </c>
      <c r="H80" s="20">
        <f>SUM(H68:H79)</f>
        <v>-4.6013618768015619E-3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24049759007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16283210549.000101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10271605502.999901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4968631870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5974062404.9999008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59838086143.999893</v>
      </c>
      <c r="D111" s="51">
        <v>5831669949</v>
      </c>
      <c r="F111" s="45">
        <f>+C111+D111</f>
        <v>65669756092.999893</v>
      </c>
      <c r="G111" s="5"/>
      <c r="H111" s="5"/>
    </row>
    <row r="112" spans="2:8" x14ac:dyDescent="0.2">
      <c r="B112" s="35" t="s">
        <v>18</v>
      </c>
      <c r="C112" s="48">
        <v>40538232.486500002</v>
      </c>
      <c r="D112" s="53">
        <v>1000000</v>
      </c>
      <c r="F112" s="45">
        <f>+C112+D112</f>
        <v>41538232.486500002</v>
      </c>
      <c r="H112" s="17"/>
    </row>
    <row r="113" spans="1:13" x14ac:dyDescent="0.2">
      <c r="B113" s="35" t="s">
        <v>4</v>
      </c>
      <c r="C113" s="45">
        <v>9443916002.0000992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85389328872.000092</v>
      </c>
      <c r="D114" s="46"/>
      <c r="F114" s="45"/>
      <c r="H114" s="17"/>
    </row>
    <row r="115" spans="1:13" x14ac:dyDescent="0.2">
      <c r="B115" s="35" t="s">
        <v>25</v>
      </c>
      <c r="C115" s="48">
        <v>115421562.06560001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8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42984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5074482</v>
      </c>
      <c r="D7" s="10">
        <f>+IF(C7/$F$111=0,"",C7/$F$111)</f>
        <v>7.8981758451804408E-5</v>
      </c>
      <c r="E7" s="11"/>
      <c r="F7" s="8" t="s">
        <v>5</v>
      </c>
      <c r="G7" s="9">
        <v>855049</v>
      </c>
      <c r="H7" s="12">
        <f>+IF(G7/$C$113=0,"",G7/$C$113)</f>
        <v>9.0483793771345414E-5</v>
      </c>
      <c r="I7" s="13"/>
    </row>
    <row r="8" spans="1:9" x14ac:dyDescent="0.2">
      <c r="B8" s="8" t="s">
        <v>6</v>
      </c>
      <c r="C8" s="9">
        <v>6840</v>
      </c>
      <c r="D8" s="10">
        <f>+IF(C8/$F$111=0,"",C8/$F$111)</f>
        <v>1.0646115757437747E-7</v>
      </c>
      <c r="E8" s="11"/>
      <c r="F8" s="8" t="s">
        <v>6</v>
      </c>
      <c r="G8" s="9">
        <v>125128</v>
      </c>
      <c r="H8" s="12">
        <f>+IF(G8/$C$113=0,"",G8/$C$113)</f>
        <v>1.3241412067636954E-5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/>
      <c r="H11" s="12" t="str">
        <f t="shared" si="0"/>
        <v/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-524485</v>
      </c>
      <c r="H14" s="12">
        <f t="shared" si="0"/>
        <v>-5.5502541463897507E-5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>
        <v>-9206</v>
      </c>
      <c r="H15" s="12">
        <f t="shared" si="0"/>
        <v>-9.7420592908594244E-7</v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-14</v>
      </c>
      <c r="D17" s="10">
        <f>+IF(C17/$F$111=0,"",C17/$F$111)</f>
        <v>-2.1790295409960299E-10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-109521</v>
      </c>
      <c r="D18" s="10">
        <f>+IF(C18/$F$111=0,"",C18/$F$111)</f>
        <v>-1.7046392454244729E-6</v>
      </c>
      <c r="E18" s="17"/>
      <c r="F18" s="8" t="s">
        <v>16</v>
      </c>
      <c r="G18" s="15">
        <v>-31315</v>
      </c>
      <c r="H18" s="12">
        <f t="shared" si="0"/>
        <v>-3.3138451737265135E-6</v>
      </c>
    </row>
    <row r="19" spans="2:9" x14ac:dyDescent="0.2">
      <c r="B19" s="18" t="s">
        <v>17</v>
      </c>
      <c r="C19" s="19">
        <f>SUM(C7:C18)</f>
        <v>4971787</v>
      </c>
      <c r="D19" s="20">
        <f>SUM(D7:D18)</f>
        <v>7.738336246100022E-5</v>
      </c>
      <c r="E19" s="21"/>
      <c r="F19" s="18" t="s">
        <v>17</v>
      </c>
      <c r="G19" s="19">
        <f>SUM(G7:G18)</f>
        <v>415171</v>
      </c>
      <c r="H19" s="20">
        <f>SUM(H7:H18)</f>
        <v>4.3934613272272405E-5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2597.2511</v>
      </c>
      <c r="D22" s="12">
        <f>+IF(C22/$F$112=0,"",C22/$F$112)</f>
        <v>6.3217026546795145E-5</v>
      </c>
      <c r="E22" s="17"/>
      <c r="F22" s="8" t="s">
        <v>5</v>
      </c>
      <c r="G22" s="9">
        <v>1705215</v>
      </c>
      <c r="H22" s="12">
        <f t="shared" ref="H22:H33" si="2">+IF(G22/$C$106=0,"",G22/$C$106)</f>
        <v>7.286886004497211E-5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361983</v>
      </c>
      <c r="H23" s="12">
        <f t="shared" si="2"/>
        <v>1.5468599892482262E-5</v>
      </c>
      <c r="I23" s="23"/>
    </row>
    <row r="24" spans="2:9" x14ac:dyDescent="0.2">
      <c r="B24" s="8" t="s">
        <v>45</v>
      </c>
      <c r="C24" s="14">
        <v>-6523.68</v>
      </c>
      <c r="D24" s="12">
        <f>+IF(C24/$F$112=0,"",C24/$F$112)</f>
        <v>-1.5878620736470056E-4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-8024.26</v>
      </c>
      <c r="D26" s="12">
        <f>+IF(C26/$F$112=0,"",C26/$F$112)</f>
        <v>-1.9531028687922645E-4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-19022.780000000028</v>
      </c>
      <c r="D27" s="12">
        <f t="shared" ref="D27:D33" si="3">+IF(C27/$F$112=0,"",C27/$F$112)</f>
        <v>-4.6301398746307032E-4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-514674</v>
      </c>
      <c r="H29" s="12">
        <f t="shared" si="2"/>
        <v>-2.1993536108224462E-5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33115.995499999997</v>
      </c>
      <c r="D31" s="12">
        <f t="shared" si="3"/>
        <v>8.0604249879691976E-4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-193553</v>
      </c>
      <c r="H32" s="12">
        <f t="shared" si="2"/>
        <v>-8.2710898439695215E-6</v>
      </c>
    </row>
    <row r="33" spans="1:13" x14ac:dyDescent="0.2">
      <c r="B33" s="8" t="s">
        <v>16</v>
      </c>
      <c r="C33" s="14">
        <v>-52.79</v>
      </c>
      <c r="D33" s="12">
        <f t="shared" si="3"/>
        <v>-1.2849072742351773E-6</v>
      </c>
      <c r="E33" s="17"/>
      <c r="F33" s="8" t="s">
        <v>16</v>
      </c>
      <c r="G33" s="15">
        <v>-40401</v>
      </c>
      <c r="H33" s="12">
        <f t="shared" si="2"/>
        <v>-1.726453740247956E-6</v>
      </c>
    </row>
    <row r="34" spans="1:13" x14ac:dyDescent="0.2">
      <c r="B34" s="18" t="s">
        <v>17</v>
      </c>
      <c r="C34" s="19">
        <f>SUM(C22:C33)</f>
        <v>2089.7365999999683</v>
      </c>
      <c r="D34" s="20">
        <f>SUM(D22:D33)</f>
        <v>5.0864136362482469E-5</v>
      </c>
      <c r="E34" s="21"/>
      <c r="F34" s="18" t="s">
        <v>17</v>
      </c>
      <c r="G34" s="19">
        <f>SUM(G22:G33)</f>
        <v>1318570</v>
      </c>
      <c r="H34" s="20">
        <f>SUM(H22:H33)</f>
        <v>5.6346380245012451E-5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4550690</v>
      </c>
      <c r="D37" s="12">
        <f t="shared" ref="D37:D48" si="4">+IF(C37/$C$114=0,"",C37/$C$114)</f>
        <v>5.3094059427724281E-5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2664880</v>
      </c>
      <c r="D38" s="12">
        <f t="shared" si="4"/>
        <v>3.1091833785152118E-5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25279</v>
      </c>
      <c r="D44" s="12">
        <f t="shared" si="4"/>
        <v>2.9493653232222852E-7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-1360796</v>
      </c>
      <c r="D45" s="12">
        <f t="shared" si="4"/>
        <v>-1.5876753567702808E-5</v>
      </c>
      <c r="E45" s="11"/>
      <c r="F45" s="8" t="s">
        <v>13</v>
      </c>
      <c r="G45" s="15">
        <v>-23257614</v>
      </c>
      <c r="H45" s="12">
        <f t="shared" si="5"/>
        <v>-4.9365088719830223E-3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-135875</v>
      </c>
      <c r="D47" s="12">
        <f t="shared" si="4"/>
        <v>-1.5852882364525021E-6</v>
      </c>
      <c r="E47" s="11"/>
      <c r="F47" s="8" t="s">
        <v>15</v>
      </c>
      <c r="G47" s="15">
        <v>-993849</v>
      </c>
      <c r="H47" s="12">
        <f t="shared" si="5"/>
        <v>-2.1094788166625583E-4</v>
      </c>
    </row>
    <row r="48" spans="1:13" x14ac:dyDescent="0.2">
      <c r="B48" s="8" t="s">
        <v>16</v>
      </c>
      <c r="C48" s="15">
        <v>-58599</v>
      </c>
      <c r="D48" s="12">
        <f t="shared" si="4"/>
        <v>-6.8368945992920086E-7</v>
      </c>
      <c r="E48" s="11"/>
      <c r="F48" s="8" t="s">
        <v>16</v>
      </c>
      <c r="G48" s="15">
        <v>-38723</v>
      </c>
      <c r="H48" s="12">
        <f t="shared" si="5"/>
        <v>-8.2190904471025532E-6</v>
      </c>
    </row>
    <row r="49" spans="2:9" x14ac:dyDescent="0.2">
      <c r="B49" s="18" t="s">
        <v>17</v>
      </c>
      <c r="C49" s="19">
        <f>SUM(C37:C48)</f>
        <v>5685579</v>
      </c>
      <c r="D49" s="20">
        <f>SUM(D37:D48)</f>
        <v>6.6335098481114113E-5</v>
      </c>
      <c r="E49" s="21"/>
      <c r="F49" s="18" t="s">
        <v>17</v>
      </c>
      <c r="G49" s="19">
        <v>-17610970</v>
      </c>
      <c r="H49" s="20">
        <f>SUM(H37:H48)</f>
        <v>-5.1556758440963807E-3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14974.1711</v>
      </c>
      <c r="H53" s="12">
        <f t="shared" ref="H53:H64" si="7">+IF(G53/$C$115=0,"",G53/$C$115)</f>
        <v>1.294045905152105E-4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-64001.288399999998</v>
      </c>
      <c r="H60" s="12">
        <f t="shared" si="7"/>
        <v>-5.5308974784239585E-4</v>
      </c>
    </row>
    <row r="61" spans="2:9" x14ac:dyDescent="0.2">
      <c r="B61" s="8" t="s">
        <v>13</v>
      </c>
      <c r="C61" s="15">
        <v>-57904675</v>
      </c>
      <c r="D61" s="12">
        <f t="shared" si="6"/>
        <v>-3.6255124115467945E-3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>
        <v>-31</v>
      </c>
      <c r="D62" s="12">
        <f t="shared" si="6"/>
        <v>-1.9409639162632488E-9</v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-3569905</v>
      </c>
      <c r="D63" s="12">
        <f t="shared" si="6"/>
        <v>-2.2351796095121783E-4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-131272</v>
      </c>
      <c r="D64" s="12">
        <f t="shared" si="6"/>
        <v>-8.2191682327648131E-6</v>
      </c>
      <c r="E64" s="11"/>
      <c r="F64" s="8" t="s">
        <v>16</v>
      </c>
      <c r="G64" s="32">
        <v>-43.23</v>
      </c>
      <c r="H64" s="12">
        <f t="shared" si="7"/>
        <v>-3.7358731983318588E-7</v>
      </c>
    </row>
    <row r="65" spans="2:8" x14ac:dyDescent="0.2">
      <c r="B65" s="18" t="s">
        <v>17</v>
      </c>
      <c r="C65" s="19">
        <f>SUM(C53:C64)</f>
        <v>-61605883</v>
      </c>
      <c r="D65" s="20">
        <f>SUM(D53:D64)</f>
        <v>-3.8572514816946932E-3</v>
      </c>
      <c r="E65" s="21"/>
      <c r="F65" s="18" t="s">
        <v>17</v>
      </c>
      <c r="G65" s="57">
        <f>SUM(G53:G64)</f>
        <v>-49070.347300000001</v>
      </c>
      <c r="H65" s="20">
        <f>SUM(H53:H64)</f>
        <v>-4.2405874464701858E-4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338537</v>
      </c>
      <c r="D72" s="12">
        <f t="shared" si="8"/>
        <v>3.2748700192749964E-5</v>
      </c>
      <c r="E72" s="11"/>
      <c r="F72" s="8" t="s">
        <v>9</v>
      </c>
      <c r="G72" s="9">
        <v>-106263</v>
      </c>
      <c r="H72" s="12">
        <f t="shared" si="9"/>
        <v>-1.7870334538667943E-5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47247695</v>
      </c>
      <c r="D76" s="12">
        <f t="shared" si="8"/>
        <v>4.5705509245769042E-3</v>
      </c>
      <c r="E76" s="11"/>
      <c r="F76" s="8" t="s">
        <v>13</v>
      </c>
      <c r="G76" s="15">
        <v>15392203</v>
      </c>
      <c r="H76" s="12">
        <f t="shared" si="9"/>
        <v>2.5885192107985688E-3</v>
      </c>
    </row>
    <row r="77" spans="2:8" x14ac:dyDescent="0.2">
      <c r="B77" s="8" t="s">
        <v>14</v>
      </c>
      <c r="C77" s="9">
        <v>-15881816</v>
      </c>
      <c r="D77" s="12">
        <f t="shared" si="8"/>
        <v>-1.5363426470383426E-3</v>
      </c>
      <c r="E77" s="11"/>
      <c r="F77" s="8" t="s">
        <v>14</v>
      </c>
      <c r="G77" s="9">
        <v>-9157300</v>
      </c>
      <c r="H77" s="12">
        <f t="shared" si="9"/>
        <v>-1.5399905373549021E-3</v>
      </c>
    </row>
    <row r="78" spans="2:8" x14ac:dyDescent="0.2">
      <c r="B78" s="8" t="s">
        <v>15</v>
      </c>
      <c r="C78" s="15">
        <v>3489143</v>
      </c>
      <c r="D78" s="12">
        <f t="shared" si="8"/>
        <v>3.375255822454626E-4</v>
      </c>
      <c r="E78" s="11"/>
      <c r="F78" s="8" t="s">
        <v>15</v>
      </c>
      <c r="G78" s="15">
        <v>16</v>
      </c>
      <c r="H78" s="12">
        <f t="shared" si="9"/>
        <v>2.6907329232064507E-9</v>
      </c>
    </row>
    <row r="79" spans="2:8" x14ac:dyDescent="0.2">
      <c r="B79" s="8" t="s">
        <v>16</v>
      </c>
      <c r="C79" s="15">
        <v>-12399</v>
      </c>
      <c r="D79" s="12">
        <f t="shared" si="8"/>
        <v>-1.1994291131838078E-6</v>
      </c>
      <c r="E79" s="11"/>
      <c r="F79" s="8" t="s">
        <v>16</v>
      </c>
      <c r="G79" s="15">
        <v>-12399</v>
      </c>
      <c r="H79" s="12">
        <f t="shared" si="9"/>
        <v>-2.0851498446772991E-6</v>
      </c>
    </row>
    <row r="80" spans="2:8" x14ac:dyDescent="0.2">
      <c r="B80" s="18" t="s">
        <v>17</v>
      </c>
      <c r="C80" s="19">
        <f>SUM(C68:C79)</f>
        <v>35181160</v>
      </c>
      <c r="D80" s="20">
        <f>SUM(D68:D79)</f>
        <v>3.4032831308635908E-3</v>
      </c>
      <c r="E80" s="21"/>
      <c r="F80" s="18" t="s">
        <v>17</v>
      </c>
      <c r="G80" s="19">
        <f>SUM(G68:G79)</f>
        <v>6116257</v>
      </c>
      <c r="H80" s="20">
        <f>SUM(H68:H79)</f>
        <v>1.0285758797932444E-3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23401148295.000099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15971445806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10337417913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4711348567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5946335239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59435705412</v>
      </c>
      <c r="D111" s="51">
        <v>4813079364</v>
      </c>
      <c r="F111" s="45">
        <f>+C111+D111</f>
        <v>64248784776</v>
      </c>
      <c r="G111" s="5"/>
      <c r="H111" s="5"/>
    </row>
    <row r="112" spans="2:8" x14ac:dyDescent="0.2">
      <c r="B112" s="35" t="s">
        <v>18</v>
      </c>
      <c r="C112" s="48">
        <v>41084676.737800002</v>
      </c>
      <c r="D112" s="53"/>
      <c r="F112" s="45">
        <f>+C112+D112</f>
        <v>41084676.737800002</v>
      </c>
      <c r="H112" s="17"/>
    </row>
    <row r="113" spans="1:13" x14ac:dyDescent="0.2">
      <c r="B113" s="35" t="s">
        <v>4</v>
      </c>
      <c r="C113" s="45">
        <v>9449747456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85709965466</v>
      </c>
      <c r="D114" s="46"/>
      <c r="F114" s="45"/>
      <c r="H114" s="17"/>
    </row>
    <row r="115" spans="1:13" x14ac:dyDescent="0.2">
      <c r="B115" s="35" t="s">
        <v>25</v>
      </c>
      <c r="C115" s="48">
        <v>115715918.88960001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29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42985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4776322</v>
      </c>
      <c r="D7" s="10">
        <f>+IF(C7/$F$111=0,"",C7/$F$111)</f>
        <v>7.8740705909395657E-5</v>
      </c>
      <c r="E7" s="11"/>
      <c r="F7" s="8" t="s">
        <v>5</v>
      </c>
      <c r="G7" s="9">
        <v>923557</v>
      </c>
      <c r="H7" s="12">
        <f>+IF(G7/$C$113=0,"",G7/$C$113)</f>
        <v>9.7730737827360638E-5</v>
      </c>
      <c r="I7" s="13"/>
    </row>
    <row r="8" spans="1:9" x14ac:dyDescent="0.2">
      <c r="B8" s="8" t="s">
        <v>6</v>
      </c>
      <c r="C8" s="9">
        <v>6880</v>
      </c>
      <c r="D8" s="10">
        <f>+IF(C8/$F$111=0,"",C8/$F$111)</f>
        <v>1.1342117567798864E-7</v>
      </c>
      <c r="E8" s="11"/>
      <c r="F8" s="8" t="s">
        <v>6</v>
      </c>
      <c r="G8" s="9">
        <v>124439</v>
      </c>
      <c r="H8" s="12">
        <f>+IF(G8/$C$113=0,"",G8/$C$113)</f>
        <v>1.3168126368485032E-5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-110167</v>
      </c>
      <c r="H11" s="12">
        <f t="shared" si="0"/>
        <v>-1.1657864316145988E-5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-3579392</v>
      </c>
      <c r="H14" s="12">
        <f t="shared" si="0"/>
        <v>-3.7877101373640402E-4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1778737</v>
      </c>
      <c r="D17" s="10">
        <f>+IF(C17/$F$111=0,"",C17/$F$111)</f>
        <v>2.9323610721211989E-5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-83191</v>
      </c>
      <c r="D18" s="10">
        <f>+IF(C18/$F$111=0,"",C18/$F$111)</f>
        <v>-1.3714565444516793E-6</v>
      </c>
      <c r="E18" s="17"/>
      <c r="F18" s="8" t="s">
        <v>16</v>
      </c>
      <c r="G18" s="15">
        <v>-31039</v>
      </c>
      <c r="H18" s="12">
        <f t="shared" si="0"/>
        <v>-3.284544832017349E-6</v>
      </c>
    </row>
    <row r="19" spans="2:9" x14ac:dyDescent="0.2">
      <c r="B19" s="18" t="s">
        <v>17</v>
      </c>
      <c r="C19" s="19">
        <f>SUM(C7:C18)</f>
        <v>6478748</v>
      </c>
      <c r="D19" s="20">
        <f>SUM(D7:D18)</f>
        <v>1.0680628126183394E-4</v>
      </c>
      <c r="E19" s="21"/>
      <c r="F19" s="18" t="s">
        <v>17</v>
      </c>
      <c r="G19" s="19">
        <f>SUM(G7:G18)</f>
        <v>-2672602</v>
      </c>
      <c r="H19" s="20">
        <f>SUM(H7:H18)</f>
        <v>-2.8281455868872169E-4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2740.4231</v>
      </c>
      <c r="D22" s="12">
        <f>+IF(C22/$F$112=0,"",C22/$F$112)</f>
        <v>6.6637245019274163E-5</v>
      </c>
      <c r="E22" s="17"/>
      <c r="F22" s="8" t="s">
        <v>5</v>
      </c>
      <c r="G22" s="9">
        <v>1614685</v>
      </c>
      <c r="H22" s="12">
        <f t="shared" ref="H22:H33" si="2">+IF(G22/$C$106=0,"",G22/$C$106)</f>
        <v>7.2418785102786165E-5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359884</v>
      </c>
      <c r="H23" s="12">
        <f t="shared" si="2"/>
        <v>1.6140833696932278E-5</v>
      </c>
      <c r="I23" s="23"/>
    </row>
    <row r="24" spans="2:9" x14ac:dyDescent="0.2">
      <c r="B24" s="8" t="s">
        <v>45</v>
      </c>
      <c r="C24" s="14">
        <v>-7032.7017255499959</v>
      </c>
      <c r="D24" s="12">
        <f>+IF(C24/$F$112=0,"",C24/$F$112)</f>
        <v>-1.7101004149065423E-4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-23347.91</v>
      </c>
      <c r="D26" s="12">
        <f>+IF(C26/$F$112=0,"",C26/$F$112)</f>
        <v>-5.6773729551395241E-4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-165628.72999999998</v>
      </c>
      <c r="D27" s="12">
        <f t="shared" ref="D27:D33" si="3">+IF(C27/$F$112=0,"",C27/$F$112)</f>
        <v>-4.0274957043097484E-3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-1917579</v>
      </c>
      <c r="H29" s="12">
        <f t="shared" si="2"/>
        <v>-8.6003611551860323E-5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195439.18479999999</v>
      </c>
      <c r="D31" s="12">
        <f t="shared" si="3"/>
        <v>4.7523788731326936E-3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-1</v>
      </c>
      <c r="H32" s="12">
        <f t="shared" si="2"/>
        <v>-4.4850100857310355E-11</v>
      </c>
    </row>
    <row r="33" spans="1:13" x14ac:dyDescent="0.2">
      <c r="B33" s="8" t="s">
        <v>16</v>
      </c>
      <c r="C33" s="14">
        <v>-52.85</v>
      </c>
      <c r="D33" s="12">
        <f t="shared" si="3"/>
        <v>-1.2851221401792445E-6</v>
      </c>
      <c r="E33" s="17"/>
      <c r="F33" s="8" t="s">
        <v>16</v>
      </c>
      <c r="G33" s="15">
        <v>-40401</v>
      </c>
      <c r="H33" s="12">
        <f t="shared" si="2"/>
        <v>-1.8119889247361955E-6</v>
      </c>
    </row>
    <row r="34" spans="1:13" x14ac:dyDescent="0.2">
      <c r="B34" s="18" t="s">
        <v>17</v>
      </c>
      <c r="C34" s="19">
        <f>SUM(C22:C33)</f>
        <v>2117.416174450022</v>
      </c>
      <c r="D34" s="20">
        <f>SUM(D22:D33)</f>
        <v>5.1487954697433302E-5</v>
      </c>
      <c r="E34" s="21"/>
      <c r="F34" s="18" t="s">
        <v>17</v>
      </c>
      <c r="G34" s="19">
        <f>SUM(G22:G33)</f>
        <v>16588</v>
      </c>
      <c r="H34" s="20">
        <f>SUM(H22:H33)</f>
        <v>7.4397347302107059E-7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4760627</v>
      </c>
      <c r="D37" s="12">
        <f t="shared" ref="D37:D48" si="4">+IF(C37/$C$114=0,"",C37/$C$114)</f>
        <v>5.5513432622254605E-5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2649229</v>
      </c>
      <c r="D38" s="12">
        <f t="shared" si="4"/>
        <v>3.0892526466035448E-5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-24487748</v>
      </c>
      <c r="D44" s="12">
        <f t="shared" si="4"/>
        <v>-2.8555040095952695E-4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4019027</v>
      </c>
      <c r="D45" s="12">
        <f t="shared" si="4"/>
        <v>4.6865672225847991E-5</v>
      </c>
      <c r="E45" s="11"/>
      <c r="F45" s="8" t="s">
        <v>13</v>
      </c>
      <c r="G45" s="15">
        <v>2993749</v>
      </c>
      <c r="H45" s="12">
        <f t="shared" si="5"/>
        <v>6.3084124870490805E-4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-86585</v>
      </c>
      <c r="D48" s="12">
        <f t="shared" si="4"/>
        <v>-1.0096633413199385E-6</v>
      </c>
      <c r="E48" s="11"/>
      <c r="F48" s="8" t="s">
        <v>16</v>
      </c>
      <c r="G48" s="15">
        <v>-39005</v>
      </c>
      <c r="H48" s="12">
        <f t="shared" si="5"/>
        <v>-8.2191135281330991E-6</v>
      </c>
    </row>
    <row r="49" spans="2:9" x14ac:dyDescent="0.2">
      <c r="B49" s="18" t="s">
        <v>17</v>
      </c>
      <c r="C49" s="19">
        <f>SUM(C37:C48)</f>
        <v>-13145450</v>
      </c>
      <c r="D49" s="20">
        <f>SUM(D37:D48)</f>
        <v>-1.5328843298670887E-4</v>
      </c>
      <c r="E49" s="21"/>
      <c r="F49" s="18" t="s">
        <v>17</v>
      </c>
      <c r="G49" s="19">
        <v>-17610970</v>
      </c>
      <c r="H49" s="20">
        <f>SUM(H37:H48)</f>
        <v>6.2262213517677491E-4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14974.1489</v>
      </c>
      <c r="H53" s="12">
        <f t="shared" ref="H53:H64" si="7">+IF(G53/$C$115=0,"",G53/$C$115)</f>
        <v>1.2358443744598543E-4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239022.6967</v>
      </c>
      <c r="H60" s="12">
        <f t="shared" si="7"/>
        <v>1.9726987961560805E-3</v>
      </c>
    </row>
    <row r="61" spans="2:9" x14ac:dyDescent="0.2">
      <c r="B61" s="8" t="s">
        <v>13</v>
      </c>
      <c r="C61" s="15">
        <v>2787362</v>
      </c>
      <c r="D61" s="12">
        <f t="shared" si="6"/>
        <v>1.7453241927067772E-4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-131264</v>
      </c>
      <c r="D64" s="12">
        <f t="shared" si="6"/>
        <v>-8.2191776608658081E-6</v>
      </c>
      <c r="E64" s="11"/>
      <c r="F64" s="8" t="s">
        <v>16</v>
      </c>
      <c r="G64" s="32">
        <v>-43.27</v>
      </c>
      <c r="H64" s="12">
        <f t="shared" si="7"/>
        <v>-3.5711536221519668E-7</v>
      </c>
    </row>
    <row r="65" spans="2:8" x14ac:dyDescent="0.2">
      <c r="B65" s="18" t="s">
        <v>17</v>
      </c>
      <c r="C65" s="19">
        <f>SUM(C53:C64)</f>
        <v>2656098</v>
      </c>
      <c r="D65" s="20">
        <f>SUM(D53:D64)</f>
        <v>1.663132416098119E-4</v>
      </c>
      <c r="E65" s="21"/>
      <c r="F65" s="18" t="s">
        <v>17</v>
      </c>
      <c r="G65" s="57">
        <f>SUM(G53:G64)</f>
        <v>253953.57560000001</v>
      </c>
      <c r="H65" s="20">
        <f>SUM(H53:H64)</f>
        <v>2.0959261182398508E-3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-59823</v>
      </c>
      <c r="D72" s="12">
        <f t="shared" si="8"/>
        <v>-5.767723617614421E-6</v>
      </c>
      <c r="E72" s="11"/>
      <c r="F72" s="8" t="s">
        <v>9</v>
      </c>
      <c r="G72" s="9">
        <v>-554560</v>
      </c>
      <c r="H72" s="12">
        <f t="shared" si="9"/>
        <v>-9.3182229478536667E-5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45204962</v>
      </c>
      <c r="D76" s="12">
        <f t="shared" si="8"/>
        <v>4.3583525894850209E-3</v>
      </c>
      <c r="E76" s="11"/>
      <c r="F76" s="8" t="s">
        <v>13</v>
      </c>
      <c r="G76" s="15">
        <v>-3138365</v>
      </c>
      <c r="H76" s="12">
        <f t="shared" si="9"/>
        <v>-5.2733671310121132E-4</v>
      </c>
    </row>
    <row r="77" spans="2:8" x14ac:dyDescent="0.2">
      <c r="B77" s="8" t="s">
        <v>14</v>
      </c>
      <c r="C77" s="9">
        <v>-83248165</v>
      </c>
      <c r="D77" s="12">
        <f t="shared" si="8"/>
        <v>-8.0262174647470399E-3</v>
      </c>
      <c r="E77" s="11"/>
      <c r="F77" s="8" t="s">
        <v>14</v>
      </c>
      <c r="G77" s="9">
        <v>-47764331</v>
      </c>
      <c r="H77" s="12">
        <f t="shared" si="9"/>
        <v>-8.0257985648636444E-3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-12398</v>
      </c>
      <c r="D79" s="12">
        <f t="shared" si="8"/>
        <v>-1.1953301808866756E-6</v>
      </c>
      <c r="E79" s="11"/>
      <c r="F79" s="8" t="s">
        <v>16</v>
      </c>
      <c r="G79" s="15">
        <v>-12398</v>
      </c>
      <c r="H79" s="12">
        <f t="shared" si="9"/>
        <v>-2.0832250452158425E-6</v>
      </c>
    </row>
    <row r="80" spans="2:8" x14ac:dyDescent="0.2">
      <c r="B80" s="18" t="s">
        <v>17</v>
      </c>
      <c r="C80" s="19">
        <f>SUM(C68:C79)</f>
        <v>-38115424</v>
      </c>
      <c r="D80" s="20">
        <f>SUM(D68:D79)</f>
        <v>-3.6748279290605198E-3</v>
      </c>
      <c r="E80" s="21"/>
      <c r="F80" s="18" t="s">
        <v>17</v>
      </c>
      <c r="G80" s="19">
        <f>SUM(G68:G79)</f>
        <v>-51469654</v>
      </c>
      <c r="H80" s="20">
        <f>SUM(H68:H79)</f>
        <v>-8.6484007324886068E-3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22296493895.999897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15970454152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10372029585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4745645606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5951349341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56988208052</v>
      </c>
      <c r="D111" s="51">
        <v>3670658856</v>
      </c>
      <c r="F111" s="45">
        <f>+C111+D111</f>
        <v>60658866908</v>
      </c>
      <c r="G111" s="5"/>
      <c r="H111" s="5"/>
    </row>
    <row r="112" spans="2:8" x14ac:dyDescent="0.2">
      <c r="B112" s="35" t="s">
        <v>18</v>
      </c>
      <c r="C112" s="48">
        <v>40801234.076200001</v>
      </c>
      <c r="D112" s="53">
        <v>323261.68</v>
      </c>
      <c r="F112" s="45">
        <f>+C112+D112</f>
        <v>41124495.756200001</v>
      </c>
      <c r="H112" s="17"/>
    </row>
    <row r="113" spans="1:13" x14ac:dyDescent="0.2">
      <c r="B113" s="35" t="s">
        <v>4</v>
      </c>
      <c r="C113" s="45">
        <v>9450015630.0000992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85756307530</v>
      </c>
      <c r="D114" s="46"/>
      <c r="F114" s="45"/>
      <c r="H114" s="17"/>
    </row>
    <row r="115" spans="1:13" x14ac:dyDescent="0.2">
      <c r="B115" s="35" t="s">
        <v>25</v>
      </c>
      <c r="C115" s="48">
        <v>121165328.00940001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30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42986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4612072</v>
      </c>
      <c r="D7" s="10">
        <f>+IF(C7/$F$111=0,"",C7/$F$111)</f>
        <v>7.8567851613733033E-5</v>
      </c>
      <c r="E7" s="11"/>
      <c r="F7" s="8" t="s">
        <v>5</v>
      </c>
      <c r="G7" s="9">
        <v>851866</v>
      </c>
      <c r="H7" s="12">
        <f>+IF(G7/$C$113=0,"",G7/$C$113)</f>
        <v>9.0155927198417592E-5</v>
      </c>
      <c r="I7" s="13"/>
    </row>
    <row r="8" spans="1:9" x14ac:dyDescent="0.2">
      <c r="B8" s="8" t="s">
        <v>6</v>
      </c>
      <c r="C8" s="9">
        <v>6840</v>
      </c>
      <c r="D8" s="10">
        <f>+IF(C8/$F$111=0,"",C8/$F$111)</f>
        <v>1.165211872316681E-7</v>
      </c>
      <c r="E8" s="11"/>
      <c r="F8" s="8" t="s">
        <v>6</v>
      </c>
      <c r="G8" s="9">
        <v>125091</v>
      </c>
      <c r="H8" s="12">
        <f>+IF(G8/$C$113=0,"",G8/$C$113)</f>
        <v>1.3238813486131922E-5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67578</v>
      </c>
      <c r="H11" s="12">
        <f t="shared" si="0"/>
        <v>7.1520136361994307E-6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9526647</v>
      </c>
      <c r="H14" s="12">
        <f t="shared" si="0"/>
        <v>1.0082380249675693E-3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55291</v>
      </c>
      <c r="D17" s="10">
        <f>+IF(C17/$F$111=0,"",C17/$F$111)</f>
        <v>9.4189663205060831E-7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-87620</v>
      </c>
      <c r="D18" s="10">
        <f>+IF(C18/$F$111=0,"",C18/$F$111)</f>
        <v>-1.4926295943331519E-6</v>
      </c>
      <c r="E18" s="17"/>
      <c r="F18" s="8" t="s">
        <v>16</v>
      </c>
      <c r="G18" s="15">
        <v>-31278</v>
      </c>
      <c r="H18" s="12">
        <f t="shared" si="0"/>
        <v>-3.3102589972039097E-6</v>
      </c>
    </row>
    <row r="19" spans="2:9" x14ac:dyDescent="0.2">
      <c r="B19" s="18" t="s">
        <v>17</v>
      </c>
      <c r="C19" s="19">
        <f>SUM(C7:C18)</f>
        <v>4586583</v>
      </c>
      <c r="D19" s="20">
        <f>SUM(D7:D18)</f>
        <v>7.8133639838682151E-5</v>
      </c>
      <c r="E19" s="21"/>
      <c r="F19" s="18" t="s">
        <v>17</v>
      </c>
      <c r="G19" s="19">
        <f>SUM(G7:G18)</f>
        <v>10539904</v>
      </c>
      <c r="H19" s="20">
        <f>SUM(H7:H18)</f>
        <v>1.1154745202911142E-3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2705.9998000000001</v>
      </c>
      <c r="D22" s="12">
        <f>+IF(C22/$F$112=0,"",C22/$F$112)</f>
        <v>6.7884089462333716E-5</v>
      </c>
      <c r="E22" s="17"/>
      <c r="F22" s="8" t="s">
        <v>5</v>
      </c>
      <c r="G22" s="9">
        <v>1625712</v>
      </c>
      <c r="H22" s="12">
        <f t="shared" ref="H22:H33" si="2">+IF(G22/$C$106=0,"",G22/$C$106)</f>
        <v>7.2884681123144243E-5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361927</v>
      </c>
      <c r="H23" s="12">
        <f t="shared" si="2"/>
        <v>1.6226080624893108E-5</v>
      </c>
      <c r="I23" s="23"/>
    </row>
    <row r="24" spans="2:9" x14ac:dyDescent="0.2">
      <c r="B24" s="8" t="s">
        <v>45</v>
      </c>
      <c r="C24" s="14">
        <v>-4283.9399999999996</v>
      </c>
      <c r="D24" s="12">
        <f>+IF(C24/$F$112=0,"",C24/$F$112)</f>
        <v>-1.0746910114748341E-4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-9.8000000000000007</v>
      </c>
      <c r="D26" s="12">
        <f>+IF(C26/$F$112=0,"",C26/$F$112)</f>
        <v>-2.4584779227658128E-7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112658.60999999999</v>
      </c>
      <c r="D27" s="12">
        <f t="shared" ref="D27:D33" si="3">+IF(C27/$F$112=0,"",C27/$F$112)</f>
        <v>2.8262112805559569E-3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669932</v>
      </c>
      <c r="H29" s="12">
        <f t="shared" si="2"/>
        <v>3.003470491341041E-5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-108846.3355</v>
      </c>
      <c r="D31" s="12">
        <f t="shared" si="3"/>
        <v>-2.7305746204154156E-3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5.4599000000000002</v>
      </c>
      <c r="D32" s="12">
        <f t="shared" si="3"/>
        <v>1.3696983276029655E-7</v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-53.15</v>
      </c>
      <c r="D33" s="12">
        <f t="shared" si="3"/>
        <v>-1.3333479754592137E-6</v>
      </c>
      <c r="E33" s="17"/>
      <c r="F33" s="8" t="s">
        <v>16</v>
      </c>
      <c r="G33" s="15">
        <v>-48691</v>
      </c>
      <c r="H33" s="12">
        <f t="shared" si="2"/>
        <v>-2.1829376965704973E-6</v>
      </c>
    </row>
    <row r="34" spans="1:13" x14ac:dyDescent="0.2">
      <c r="B34" s="18" t="s">
        <v>17</v>
      </c>
      <c r="C34" s="19">
        <f>SUM(C22:C33)</f>
        <v>2176.8441999999845</v>
      </c>
      <c r="D34" s="20">
        <f>SUM(D22:D33)</f>
        <v>5.4609422520416236E-5</v>
      </c>
      <c r="E34" s="21"/>
      <c r="F34" s="18" t="s">
        <v>17</v>
      </c>
      <c r="G34" s="19">
        <f>SUM(G22:G33)</f>
        <v>2608880</v>
      </c>
      <c r="H34" s="20">
        <f>SUM(H22:H33)</f>
        <v>1.1696252896487727E-4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4650834</v>
      </c>
      <c r="D37" s="12">
        <f t="shared" ref="D37:D48" si="4">+IF(C37/$C$114=0,"",C37/$C$114)</f>
        <v>5.3972674519514812E-5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2664104</v>
      </c>
      <c r="D38" s="12">
        <f t="shared" si="4"/>
        <v>3.0916781394076309E-5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2323629</v>
      </c>
      <c r="H39" s="12">
        <f t="shared" si="5"/>
        <v>4.9034177621097986E-4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33933870</v>
      </c>
      <c r="D44" s="12">
        <f t="shared" si="4"/>
        <v>3.9380070772199741E-4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8080775</v>
      </c>
      <c r="D45" s="12">
        <f t="shared" si="4"/>
        <v>9.3776952464962686E-5</v>
      </c>
      <c r="E45" s="11"/>
      <c r="F45" s="8" t="s">
        <v>13</v>
      </c>
      <c r="G45" s="15">
        <v>-6762716</v>
      </c>
      <c r="H45" s="12">
        <f t="shared" si="5"/>
        <v>-1.4270962255379033E-3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-150204</v>
      </c>
      <c r="D47" s="12">
        <f t="shared" si="4"/>
        <v>-1.7431092151491974E-6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-56039</v>
      </c>
      <c r="D48" s="12">
        <f t="shared" si="4"/>
        <v>-6.5032953388555476E-7</v>
      </c>
      <c r="E48" s="11"/>
      <c r="F48" s="8" t="s">
        <v>16</v>
      </c>
      <c r="G48" s="15">
        <v>-38949</v>
      </c>
      <c r="H48" s="12">
        <f t="shared" si="5"/>
        <v>-8.219178638948581E-6</v>
      </c>
    </row>
    <row r="49" spans="2:9" x14ac:dyDescent="0.2">
      <c r="B49" s="18" t="s">
        <v>17</v>
      </c>
      <c r="C49" s="19">
        <f>SUM(C37:C48)</f>
        <v>49123340</v>
      </c>
      <c r="D49" s="20">
        <f>SUM(D37:D48)</f>
        <v>5.7007367735151639E-4</v>
      </c>
      <c r="E49" s="21"/>
      <c r="F49" s="18" t="s">
        <v>17</v>
      </c>
      <c r="G49" s="19">
        <v>-17610970</v>
      </c>
      <c r="H49" s="20">
        <f>SUM(H37:H48)</f>
        <v>-9.44973627965872E-4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15053.2181</v>
      </c>
      <c r="H53" s="12">
        <f t="shared" ref="H53:H64" si="7">+IF(G53/$C$115=0,"",G53/$C$115)</f>
        <v>1.23978792502972E-4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>
        <v>13595720</v>
      </c>
      <c r="D55" s="12">
        <f t="shared" si="6"/>
        <v>8.5119987841639742E-4</v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12338.852199999999</v>
      </c>
      <c r="H60" s="12">
        <f t="shared" si="7"/>
        <v>1.0162318691367659E-4</v>
      </c>
    </row>
    <row r="61" spans="2:9" x14ac:dyDescent="0.2">
      <c r="B61" s="8" t="s">
        <v>13</v>
      </c>
      <c r="C61" s="15">
        <v>-56945599</v>
      </c>
      <c r="D61" s="12">
        <f t="shared" si="6"/>
        <v>-3.5652460439865581E-3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-481370</v>
      </c>
      <c r="D63" s="12">
        <f t="shared" si="6"/>
        <v>-3.0137578993484806E-5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-131280</v>
      </c>
      <c r="D64" s="12">
        <f t="shared" si="6"/>
        <v>-8.2191689765973887E-6</v>
      </c>
      <c r="E64" s="11"/>
      <c r="F64" s="8" t="s">
        <v>16</v>
      </c>
      <c r="G64" s="32">
        <v>-43.45</v>
      </c>
      <c r="H64" s="12">
        <f t="shared" si="7"/>
        <v>-3.5785560924372273E-7</v>
      </c>
    </row>
    <row r="65" spans="2:8" x14ac:dyDescent="0.2">
      <c r="B65" s="18" t="s">
        <v>17</v>
      </c>
      <c r="C65" s="19">
        <f>SUM(C53:C64)</f>
        <v>-43962529</v>
      </c>
      <c r="D65" s="20">
        <f>SUM(D53:D64)</f>
        <v>-2.7524029135402427E-3</v>
      </c>
      <c r="E65" s="21"/>
      <c r="F65" s="18" t="s">
        <v>17</v>
      </c>
      <c r="G65" s="57">
        <f>SUM(G53:G64)</f>
        <v>27348.620299999999</v>
      </c>
      <c r="H65" s="20">
        <f>SUM(H53:H64)</f>
        <v>2.2524412380740488E-4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33194</v>
      </c>
      <c r="D72" s="12">
        <f t="shared" si="8"/>
        <v>3.2123183914711401E-6</v>
      </c>
      <c r="E72" s="11"/>
      <c r="F72" s="8" t="s">
        <v>9</v>
      </c>
      <c r="G72" s="9">
        <v>307720</v>
      </c>
      <c r="H72" s="12">
        <f t="shared" si="9"/>
        <v>5.2159086192607711E-5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-16192036</v>
      </c>
      <c r="D76" s="12">
        <f t="shared" si="8"/>
        <v>-1.5669691823270108E-3</v>
      </c>
      <c r="E76" s="11"/>
      <c r="F76" s="8" t="s">
        <v>13</v>
      </c>
      <c r="G76" s="15">
        <v>7599623</v>
      </c>
      <c r="H76" s="12">
        <f t="shared" si="9"/>
        <v>1.2881495875741713E-3</v>
      </c>
    </row>
    <row r="77" spans="2:8" x14ac:dyDescent="0.2">
      <c r="B77" s="8" t="s">
        <v>14</v>
      </c>
      <c r="C77" s="9">
        <v>46120460</v>
      </c>
      <c r="D77" s="12">
        <f t="shared" si="8"/>
        <v>4.4632645020518487E-3</v>
      </c>
      <c r="E77" s="11"/>
      <c r="F77" s="8" t="s">
        <v>14</v>
      </c>
      <c r="G77" s="9">
        <v>26538276</v>
      </c>
      <c r="H77" s="12">
        <f t="shared" si="9"/>
        <v>4.4982848865436518E-3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-12395</v>
      </c>
      <c r="D79" s="12">
        <f t="shared" si="8"/>
        <v>-1.1995145647491951E-6</v>
      </c>
      <c r="E79" s="11"/>
      <c r="F79" s="8" t="s">
        <v>16</v>
      </c>
      <c r="G79" s="15">
        <v>-12395</v>
      </c>
      <c r="H79" s="12">
        <f t="shared" si="9"/>
        <v>-2.1009745007063972E-6</v>
      </c>
    </row>
    <row r="80" spans="2:8" x14ac:dyDescent="0.2">
      <c r="B80" s="18" t="s">
        <v>17</v>
      </c>
      <c r="C80" s="19">
        <f>SUM(C68:C79)</f>
        <v>29949223</v>
      </c>
      <c r="D80" s="20">
        <f>SUM(D68:D79)</f>
        <v>2.8983081235515597E-3</v>
      </c>
      <c r="E80" s="21"/>
      <c r="F80" s="18" t="s">
        <v>17</v>
      </c>
      <c r="G80" s="19">
        <f>SUM(G68:G79)</f>
        <v>34433224</v>
      </c>
      <c r="H80" s="20">
        <f>SUM(H68:H79)</f>
        <v>5.8364925858097249E-3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22305263259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15972417695.000099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10333346808.999901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4738794679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5899643235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57265039626</v>
      </c>
      <c r="D111" s="51">
        <v>1436730949</v>
      </c>
      <c r="F111" s="45">
        <f>+C111+D111</f>
        <v>58701770575</v>
      </c>
      <c r="G111" s="5"/>
      <c r="H111" s="5"/>
    </row>
    <row r="112" spans="2:8" x14ac:dyDescent="0.2">
      <c r="B112" s="35" t="s">
        <v>18</v>
      </c>
      <c r="C112" s="48">
        <v>39834607.941</v>
      </c>
      <c r="D112" s="53">
        <v>27454.31</v>
      </c>
      <c r="F112" s="45">
        <f>+C112+D112</f>
        <v>39862062.251000002</v>
      </c>
      <c r="H112" s="17"/>
    </row>
    <row r="113" spans="1:13" x14ac:dyDescent="0.2">
      <c r="B113" s="35" t="s">
        <v>4</v>
      </c>
      <c r="C113" s="45">
        <v>9448807488.0000992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86170160019.000092</v>
      </c>
      <c r="D114" s="46"/>
      <c r="F114" s="45"/>
      <c r="H114" s="17"/>
    </row>
    <row r="115" spans="1:13" x14ac:dyDescent="0.2">
      <c r="B115" s="35" t="s">
        <v>25</v>
      </c>
      <c r="C115" s="48">
        <v>121417686.00979999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35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42987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4613055</v>
      </c>
      <c r="D7" s="10">
        <f>+IF(C7/$F$111=0,"",C7/$F$111)</f>
        <v>7.8579885704833607E-5</v>
      </c>
      <c r="E7" s="11"/>
      <c r="F7" s="8" t="s">
        <v>5</v>
      </c>
      <c r="G7" s="9">
        <v>905367</v>
      </c>
      <c r="H7" s="12">
        <f>+IF(G7/$C$113=0,"",G7/$C$113)</f>
        <v>9.5712848684157572E-5</v>
      </c>
      <c r="I7" s="13"/>
    </row>
    <row r="8" spans="1:9" x14ac:dyDescent="0.2">
      <c r="B8" s="8" t="s">
        <v>6</v>
      </c>
      <c r="C8" s="9">
        <v>7080</v>
      </c>
      <c r="D8" s="10">
        <f>+IF(C8/$F$111=0,"",C8/$F$111)</f>
        <v>1.2060241874207481E-7</v>
      </c>
      <c r="E8" s="11"/>
      <c r="F8" s="8" t="s">
        <v>6</v>
      </c>
      <c r="G8" s="9">
        <v>124403</v>
      </c>
      <c r="H8" s="12">
        <f>+IF(G8/$C$113=0,"",G8/$C$113)</f>
        <v>1.3151534697923885E-5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/>
      <c r="H11" s="12" t="str">
        <f t="shared" si="0"/>
        <v/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/>
      <c r="H14" s="12" t="str">
        <f t="shared" si="0"/>
        <v/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-87620</v>
      </c>
      <c r="D18" s="10">
        <f>+IF(C18/$F$111=0,"",C18/$F$111)</f>
        <v>-1.4925401031328525E-6</v>
      </c>
      <c r="E18" s="17"/>
      <c r="F18" s="8" t="s">
        <v>16</v>
      </c>
      <c r="G18" s="15">
        <v>-31278</v>
      </c>
      <c r="H18" s="12">
        <f t="shared" si="0"/>
        <v>-3.3066220451408993E-6</v>
      </c>
    </row>
    <row r="19" spans="2:9" x14ac:dyDescent="0.2">
      <c r="B19" s="18" t="s">
        <v>17</v>
      </c>
      <c r="C19" s="19">
        <f>SUM(C7:C18)</f>
        <v>4532515</v>
      </c>
      <c r="D19" s="20">
        <f>SUM(D7:D18)</f>
        <v>7.7207948020442836E-5</v>
      </c>
      <c r="E19" s="21"/>
      <c r="F19" s="18" t="s">
        <v>17</v>
      </c>
      <c r="G19" s="19">
        <f>SUM(G7:G18)</f>
        <v>998492</v>
      </c>
      <c r="H19" s="20">
        <f>SUM(H7:H18)</f>
        <v>1.0555776133694056E-4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2525.7298000000001</v>
      </c>
      <c r="D22" s="12">
        <f>+IF(C22/$F$112=0,"",C22/$F$112)</f>
        <v>6.3359110634196236E-5</v>
      </c>
      <c r="E22" s="17"/>
      <c r="F22" s="8" t="s">
        <v>5</v>
      </c>
      <c r="G22" s="9">
        <v>1592471</v>
      </c>
      <c r="H22" s="12">
        <f t="shared" ref="H22:H33" si="2">+IF(G22/$C$106=0,"",G22/$C$106)</f>
        <v>6.9654260405043687E-5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359717</v>
      </c>
      <c r="H23" s="12">
        <f t="shared" si="2"/>
        <v>1.5733926451483953E-5</v>
      </c>
      <c r="I23" s="23"/>
    </row>
    <row r="24" spans="2:9" x14ac:dyDescent="0.2">
      <c r="B24" s="8" t="s">
        <v>45</v>
      </c>
      <c r="C24" s="14">
        <v>-471.78</v>
      </c>
      <c r="D24" s="12">
        <f>+IF(C24/$F$112=0,"",C24/$F$112)</f>
        <v>-1.1834821450418448E-5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/>
      <c r="D26" s="12" t="str">
        <f>+IF(C26/$F$112=0,"",C26/$F$112)</f>
        <v/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/>
      <c r="D27" s="12" t="str">
        <f t="shared" ref="D27:D33" si="3">+IF(C27/$F$112=0,"",C27/$F$112)</f>
        <v/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/>
      <c r="H29" s="12" t="str">
        <f t="shared" si="2"/>
        <v/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/>
      <c r="D31" s="12" t="str">
        <f t="shared" si="3"/>
        <v/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-53.15</v>
      </c>
      <c r="D33" s="12">
        <f t="shared" si="3"/>
        <v>-1.333292551803257E-6</v>
      </c>
      <c r="E33" s="17"/>
      <c r="F33" s="8" t="s">
        <v>16</v>
      </c>
      <c r="G33" s="15">
        <v>-48691</v>
      </c>
      <c r="H33" s="12">
        <f t="shared" si="2"/>
        <v>-2.1297314634815844E-6</v>
      </c>
    </row>
    <row r="34" spans="1:13" x14ac:dyDescent="0.2">
      <c r="B34" s="18" t="s">
        <v>17</v>
      </c>
      <c r="C34" s="19">
        <f>SUM(C22:C33)</f>
        <v>2000.7998000000002</v>
      </c>
      <c r="D34" s="20">
        <f>SUM(D22:D33)</f>
        <v>5.0190996631974525E-5</v>
      </c>
      <c r="E34" s="21"/>
      <c r="F34" s="18" t="s">
        <v>17</v>
      </c>
      <c r="G34" s="19">
        <f>SUM(G22:G33)</f>
        <v>1903497</v>
      </c>
      <c r="H34" s="20">
        <f>SUM(H22:H33)</f>
        <v>8.3258455393046048E-5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4431215</v>
      </c>
      <c r="D37" s="12">
        <f t="shared" ref="D37:D48" si="4">+IF(C37/$C$114=0,"",C37/$C$114)</f>
        <v>5.1189228632291695E-5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2648067</v>
      </c>
      <c r="D38" s="12">
        <f t="shared" si="4"/>
        <v>3.0590370157310528E-5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2918123.9512976408</v>
      </c>
      <c r="D44" s="12">
        <f t="shared" si="4"/>
        <v>3.3710057878108231E-5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/>
      <c r="D45" s="12" t="str">
        <f t="shared" si="4"/>
        <v/>
      </c>
      <c r="E45" s="11"/>
      <c r="F45" s="8" t="s">
        <v>13</v>
      </c>
      <c r="G45" s="15"/>
      <c r="H45" s="12" t="str">
        <f t="shared" si="5"/>
        <v/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-56039</v>
      </c>
      <c r="D48" s="12">
        <f t="shared" si="4"/>
        <v>-6.4736041544474695E-7</v>
      </c>
      <c r="E48" s="11"/>
      <c r="F48" s="8" t="s">
        <v>16</v>
      </c>
      <c r="G48" s="15">
        <v>-38949</v>
      </c>
      <c r="H48" s="12">
        <f t="shared" si="5"/>
        <v>-8.2271205170940403E-6</v>
      </c>
    </row>
    <row r="49" spans="2:9" x14ac:dyDescent="0.2">
      <c r="B49" s="18" t="s">
        <v>17</v>
      </c>
      <c r="C49" s="19">
        <f>SUM(C37:C48)</f>
        <v>9941366.9512976408</v>
      </c>
      <c r="D49" s="20">
        <f>SUM(D37:D48)</f>
        <v>1.148422962522657E-4</v>
      </c>
      <c r="E49" s="21"/>
      <c r="F49" s="18" t="s">
        <v>17</v>
      </c>
      <c r="G49" s="19">
        <v>-17610970</v>
      </c>
      <c r="H49" s="20">
        <f>SUM(H37:H48)</f>
        <v>-8.2271205170940403E-6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15413.8145</v>
      </c>
      <c r="H53" s="12">
        <f t="shared" ref="H53:H64" si="7">+IF(G53/$C$115=0,"",G53/$C$115)</f>
        <v>1.26713077681729E-4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/>
      <c r="H60" s="12" t="str">
        <f t="shared" si="7"/>
        <v/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-131280</v>
      </c>
      <c r="D64" s="12">
        <f t="shared" si="6"/>
        <v>-8.2422112310720709E-6</v>
      </c>
      <c r="E64" s="11"/>
      <c r="F64" s="8" t="s">
        <v>16</v>
      </c>
      <c r="G64" s="32">
        <v>-43.45</v>
      </c>
      <c r="H64" s="12">
        <f t="shared" si="7"/>
        <v>-3.571914807506685E-7</v>
      </c>
    </row>
    <row r="65" spans="2:8" x14ac:dyDescent="0.2">
      <c r="B65" s="18" t="s">
        <v>17</v>
      </c>
      <c r="C65" s="19">
        <f>SUM(C53:C64)</f>
        <v>-131280</v>
      </c>
      <c r="D65" s="20">
        <f>SUM(D53:D64)</f>
        <v>-8.2422112310720709E-6</v>
      </c>
      <c r="E65" s="21"/>
      <c r="F65" s="18" t="s">
        <v>17</v>
      </c>
      <c r="G65" s="57">
        <f>SUM(G53:G64)</f>
        <v>15370.3645</v>
      </c>
      <c r="H65" s="20">
        <f>SUM(H53:H64)</f>
        <v>1.2635588620097833E-4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/>
      <c r="D72" s="12" t="str">
        <f t="shared" si="8"/>
        <v/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-12395</v>
      </c>
      <c r="D79" s="12">
        <f t="shared" si="8"/>
        <v>-1.1961137164291699E-6</v>
      </c>
      <c r="E79" s="11"/>
      <c r="F79" s="8" t="s">
        <v>16</v>
      </c>
      <c r="G79" s="15">
        <v>-12395</v>
      </c>
      <c r="H79" s="12">
        <f t="shared" si="9"/>
        <v>-2.0888670478051048E-6</v>
      </c>
    </row>
    <row r="80" spans="2:8" x14ac:dyDescent="0.2">
      <c r="B80" s="18" t="s">
        <v>17</v>
      </c>
      <c r="C80" s="19">
        <f>SUM(C68:C79)</f>
        <v>-12395</v>
      </c>
      <c r="D80" s="20">
        <f>SUM(D68:D79)</f>
        <v>-1.1961137164291699E-6</v>
      </c>
      <c r="E80" s="21"/>
      <c r="F80" s="18" t="s">
        <v>17</v>
      </c>
      <c r="G80" s="19">
        <f>SUM(G68:G79)</f>
        <v>-12395</v>
      </c>
      <c r="H80" s="20">
        <f>SUM(H68:H79)</f>
        <v>-2.0888670478051048E-6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22862506769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15927764567.000101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10362727080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4734220183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5933838639.0001001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58705290274</v>
      </c>
      <c r="D111" s="51"/>
      <c r="F111" s="45">
        <f>+C111+D111</f>
        <v>58705290274</v>
      </c>
      <c r="G111" s="5"/>
      <c r="H111" s="5"/>
    </row>
    <row r="112" spans="2:8" x14ac:dyDescent="0.2">
      <c r="B112" s="35" t="s">
        <v>18</v>
      </c>
      <c r="C112" s="48">
        <v>39863719.277600005</v>
      </c>
      <c r="D112" s="53"/>
      <c r="F112" s="45">
        <f>+C112+D112</f>
        <v>39863719.277600005</v>
      </c>
      <c r="H112" s="17"/>
    </row>
    <row r="113" spans="1:13" x14ac:dyDescent="0.2">
      <c r="B113" s="35" t="s">
        <v>4</v>
      </c>
      <c r="C113" s="45">
        <v>9459200227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86565379444</v>
      </c>
      <c r="D114" s="46"/>
      <c r="F114" s="45"/>
      <c r="H114" s="17"/>
    </row>
    <row r="115" spans="1:13" x14ac:dyDescent="0.2">
      <c r="B115" s="35" t="s">
        <v>25</v>
      </c>
      <c r="C115" s="48">
        <v>121643438.72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6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42988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4613530</v>
      </c>
      <c r="D7" s="10">
        <f>+IF(C7/$F$111=0,"",C7/$F$111)</f>
        <v>7.8583337920332385E-5</v>
      </c>
      <c r="E7" s="11"/>
      <c r="F7" s="8" t="s">
        <v>5</v>
      </c>
      <c r="G7" s="9">
        <v>852889</v>
      </c>
      <c r="H7" s="12">
        <f>+IF(G7/$C$113=0,"",G7/$C$113)</f>
        <v>9.0156908384031917E-5</v>
      </c>
      <c r="I7" s="13"/>
    </row>
    <row r="8" spans="1:9" x14ac:dyDescent="0.2">
      <c r="B8" s="8" t="s">
        <v>6</v>
      </c>
      <c r="C8" s="9">
        <v>7120</v>
      </c>
      <c r="D8" s="10">
        <f>+IF(C8/$F$111=0,"",C8/$F$111)</f>
        <v>1.2127662895716873E-7</v>
      </c>
      <c r="E8" s="11"/>
      <c r="F8" s="8" t="s">
        <v>6</v>
      </c>
      <c r="G8" s="9">
        <v>128773</v>
      </c>
      <c r="H8" s="12">
        <f>+IF(G8/$C$113=0,"",G8/$C$113)</f>
        <v>1.3612293702154608E-5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/>
      <c r="H11" s="12" t="str">
        <f t="shared" si="0"/>
        <v/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/>
      <c r="H14" s="12" t="str">
        <f t="shared" si="0"/>
        <v/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-87620</v>
      </c>
      <c r="D18" s="10">
        <f>+IF(C18/$F$111=0,"",C18/$F$111)</f>
        <v>-1.4924519984869555E-6</v>
      </c>
      <c r="E18" s="17"/>
      <c r="F18" s="8" t="s">
        <v>16</v>
      </c>
      <c r="G18" s="15">
        <v>-31278</v>
      </c>
      <c r="H18" s="12">
        <f t="shared" si="0"/>
        <v>-3.3063244811877633E-6</v>
      </c>
    </row>
    <row r="19" spans="2:9" x14ac:dyDescent="0.2">
      <c r="B19" s="18" t="s">
        <v>17</v>
      </c>
      <c r="C19" s="19">
        <f>SUM(C7:C18)</f>
        <v>4533030</v>
      </c>
      <c r="D19" s="20">
        <f>SUM(D7:D18)</f>
        <v>7.721216255080259E-5</v>
      </c>
      <c r="E19" s="21"/>
      <c r="F19" s="18" t="s">
        <v>17</v>
      </c>
      <c r="G19" s="19">
        <f>SUM(G7:G18)</f>
        <v>950384</v>
      </c>
      <c r="H19" s="20">
        <f>SUM(H7:H18)</f>
        <v>1.0046287760499875E-4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2526.0444000000002</v>
      </c>
      <c r="D22" s="12">
        <f>+IF(C22/$F$112=0,"",C22/$F$112)</f>
        <v>6.336464848250516E-5</v>
      </c>
      <c r="E22" s="17"/>
      <c r="F22" s="8" t="s">
        <v>5</v>
      </c>
      <c r="G22" s="9"/>
      <c r="H22" s="12" t="str">
        <f t="shared" ref="H22:H33" si="2">+IF(G22/$C$106=0,"",G22/$C$106)</f>
        <v/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/>
      <c r="H23" s="12" t="str">
        <f t="shared" si="2"/>
        <v/>
      </c>
      <c r="I23" s="23"/>
    </row>
    <row r="24" spans="2:9" x14ac:dyDescent="0.2">
      <c r="B24" s="8" t="s">
        <v>45</v>
      </c>
      <c r="C24" s="14">
        <v>-471.88</v>
      </c>
      <c r="D24" s="12">
        <f>+IF(C24/$F$112=0,"",C24/$F$112)</f>
        <v>-1.1836890248613417E-5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/>
      <c r="D26" s="12" t="str">
        <f>+IF(C26/$F$112=0,"",C26/$F$112)</f>
        <v/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/>
      <c r="D27" s="12" t="str">
        <f t="shared" ref="D27:D33" si="3">+IF(C27/$F$112=0,"",C27/$F$112)</f>
        <v/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/>
      <c r="H29" s="12" t="str">
        <f t="shared" si="2"/>
        <v/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/>
      <c r="D31" s="12" t="str">
        <f t="shared" si="3"/>
        <v/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-53.15</v>
      </c>
      <c r="D33" s="12">
        <f t="shared" si="3"/>
        <v>-1.3332430209243941E-6</v>
      </c>
      <c r="E33" s="17"/>
      <c r="F33" s="8" t="s">
        <v>16</v>
      </c>
      <c r="G33" s="15"/>
      <c r="H33" s="12" t="str">
        <f t="shared" si="2"/>
        <v/>
      </c>
    </row>
    <row r="34" spans="1:13" x14ac:dyDescent="0.2">
      <c r="B34" s="18" t="s">
        <v>17</v>
      </c>
      <c r="C34" s="19">
        <f>SUM(C22:C33)</f>
        <v>2001.0144</v>
      </c>
      <c r="D34" s="20">
        <f>SUM(D22:D33)</f>
        <v>5.0194515212967342E-5</v>
      </c>
      <c r="E34" s="21"/>
      <c r="F34" s="18" t="s">
        <v>17</v>
      </c>
      <c r="G34" s="19">
        <f>SUM(G22:G33)</f>
        <v>0</v>
      </c>
      <c r="H34" s="20">
        <f>SUM(H22:H33)</f>
        <v>0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4558947</v>
      </c>
      <c r="D37" s="12" t="e">
        <f t="shared" ref="D37:D48" si="4">+IF(C37/$C$114=0,"",C37/$C$114)</f>
        <v>#DIV/0!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2741119</v>
      </c>
      <c r="D38" s="12" t="e">
        <f t="shared" si="4"/>
        <v>#DIV/0!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e">
        <f t="shared" si="4"/>
        <v>#DIV/0!</v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e">
        <f t="shared" si="4"/>
        <v>#DIV/0!</v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e">
        <f t="shared" si="4"/>
        <v>#DIV/0!</v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e">
        <f t="shared" si="4"/>
        <v>#DIV/0!</v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e">
        <f t="shared" si="4"/>
        <v>#DIV/0!</v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2947771.1894375086</v>
      </c>
      <c r="D44" s="12" t="e">
        <f t="shared" si="4"/>
        <v>#DIV/0!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/>
      <c r="D45" s="12" t="e">
        <f t="shared" si="4"/>
        <v>#DIV/0!</v>
      </c>
      <c r="E45" s="11"/>
      <c r="F45" s="8" t="s">
        <v>13</v>
      </c>
      <c r="G45" s="15"/>
      <c r="H45" s="12" t="str">
        <f t="shared" si="5"/>
        <v/>
      </c>
    </row>
    <row r="46" spans="1:13" x14ac:dyDescent="0.2">
      <c r="B46" s="8" t="s">
        <v>14</v>
      </c>
      <c r="C46" s="9"/>
      <c r="D46" s="12" t="e">
        <f t="shared" si="4"/>
        <v>#DIV/0!</v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e">
        <f t="shared" si="4"/>
        <v>#DIV/0!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-56039</v>
      </c>
      <c r="D48" s="12" t="e">
        <f t="shared" si="4"/>
        <v>#DIV/0!</v>
      </c>
      <c r="E48" s="11"/>
      <c r="F48" s="8" t="s">
        <v>16</v>
      </c>
      <c r="G48" s="15">
        <v>-38949</v>
      </c>
      <c r="H48" s="12">
        <f t="shared" si="5"/>
        <v>-8.2273558338998357E-6</v>
      </c>
    </row>
    <row r="49" spans="2:9" x14ac:dyDescent="0.2">
      <c r="B49" s="18" t="s">
        <v>17</v>
      </c>
      <c r="C49" s="19">
        <f>SUM(C37:C48)</f>
        <v>10191798.189437509</v>
      </c>
      <c r="D49" s="20" t="e">
        <f>SUM(D37:D48)</f>
        <v>#DIV/0!</v>
      </c>
      <c r="E49" s="21"/>
      <c r="F49" s="18" t="s">
        <v>17</v>
      </c>
      <c r="G49" s="19">
        <v>-17610970</v>
      </c>
      <c r="H49" s="20">
        <f>SUM(H37:H48)</f>
        <v>-8.2273558338998357E-6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15413.8799</v>
      </c>
      <c r="H53" s="12">
        <f t="shared" ref="H53:H64" si="7">+IF(G53/$C$115=0,"",G53/$C$115)</f>
        <v>1.2669927466603837E-4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/>
      <c r="H60" s="12" t="str">
        <f t="shared" si="7"/>
        <v/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-131280</v>
      </c>
      <c r="D64" s="12">
        <f t="shared" si="6"/>
        <v>-8.2426365274921563E-6</v>
      </c>
      <c r="E64" s="11"/>
      <c r="F64" s="8" t="s">
        <v>16</v>
      </c>
      <c r="G64" s="32">
        <v>-43.45</v>
      </c>
      <c r="H64" s="12">
        <f t="shared" si="7"/>
        <v>-3.5715105605820684E-7</v>
      </c>
    </row>
    <row r="65" spans="2:8" x14ac:dyDescent="0.2">
      <c r="B65" s="18" t="s">
        <v>17</v>
      </c>
      <c r="C65" s="19">
        <f>SUM(C53:C64)</f>
        <v>-131280</v>
      </c>
      <c r="D65" s="20">
        <f>SUM(D53:D64)</f>
        <v>-8.2426365274921563E-6</v>
      </c>
      <c r="E65" s="21"/>
      <c r="F65" s="18" t="s">
        <v>17</v>
      </c>
      <c r="G65" s="57">
        <f>SUM(G53:G64)</f>
        <v>15370.429899999999</v>
      </c>
      <c r="H65" s="20">
        <f>SUM(H53:H64)</f>
        <v>1.2634212360998015E-4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/>
      <c r="D72" s="12" t="str">
        <f t="shared" si="8"/>
        <v/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-12395</v>
      </c>
      <c r="D79" s="12">
        <f t="shared" si="8"/>
        <v>-1.1961808167489766E-6</v>
      </c>
      <c r="E79" s="11"/>
      <c r="F79" s="8" t="s">
        <v>16</v>
      </c>
      <c r="G79" s="15">
        <v>-12395</v>
      </c>
      <c r="H79" s="12">
        <f t="shared" si="9"/>
        <v>-2.0889551302505777E-6</v>
      </c>
    </row>
    <row r="80" spans="2:8" x14ac:dyDescent="0.2">
      <c r="B80" s="18" t="s">
        <v>17</v>
      </c>
      <c r="C80" s="19">
        <f>SUM(C68:C79)</f>
        <v>-12395</v>
      </c>
      <c r="D80" s="20">
        <f>SUM(D68:D79)</f>
        <v>-1.1961808167489766E-6</v>
      </c>
      <c r="E80" s="21"/>
      <c r="F80" s="18" t="s">
        <v>17</v>
      </c>
      <c r="G80" s="19">
        <f>SUM(G68:G79)</f>
        <v>-12395</v>
      </c>
      <c r="H80" s="20">
        <f>SUM(H68:H79)</f>
        <v>-2.0889551302505777E-6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22864033572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15926942740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10362145778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4734084776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5933588434.0001001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58708755851.999901</v>
      </c>
      <c r="D111" s="51"/>
      <c r="F111" s="45">
        <f>+C111+D111</f>
        <v>58708755851.999901</v>
      </c>
      <c r="G111" s="5"/>
      <c r="H111" s="5"/>
    </row>
    <row r="112" spans="2:8" x14ac:dyDescent="0.2">
      <c r="B112" s="35" t="s">
        <v>18</v>
      </c>
      <c r="C112" s="48">
        <v>39865200.241700001</v>
      </c>
      <c r="D112" s="53"/>
      <c r="F112" s="45">
        <f>+C112+D112</f>
        <v>39865200.241700001</v>
      </c>
      <c r="H112" s="17"/>
    </row>
    <row r="113" spans="1:13" x14ac:dyDescent="0.2">
      <c r="B113" s="35" t="s">
        <v>4</v>
      </c>
      <c r="C113" s="45">
        <v>9460051540</v>
      </c>
      <c r="D113" s="46"/>
      <c r="F113" s="45"/>
      <c r="G113" s="5"/>
      <c r="H113" s="5"/>
    </row>
    <row r="114" spans="1:13" x14ac:dyDescent="0.2">
      <c r="B114" s="35" t="s">
        <v>21</v>
      </c>
      <c r="C114" s="45"/>
      <c r="D114" s="46"/>
      <c r="F114" s="45"/>
      <c r="H114" s="17"/>
    </row>
    <row r="115" spans="1:13" x14ac:dyDescent="0.2">
      <c r="B115" s="35" t="s">
        <v>25</v>
      </c>
      <c r="C115" s="48">
        <v>121657207.12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37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42989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4505186</v>
      </c>
      <c r="D7" s="10">
        <f>+IF(C7/$F$111=0,"",C7/$F$111)</f>
        <v>7.8952326873509257E-5</v>
      </c>
      <c r="E7" s="11"/>
      <c r="F7" s="8" t="s">
        <v>5</v>
      </c>
      <c r="G7" s="9">
        <v>381413</v>
      </c>
      <c r="H7" s="12">
        <f>+IF(G7/$C$113=0,"",G7/$C$113)</f>
        <v>4.0314856393364122E-5</v>
      </c>
      <c r="I7" s="13"/>
    </row>
    <row r="8" spans="1:9" x14ac:dyDescent="0.2">
      <c r="B8" s="8" t="s">
        <v>6</v>
      </c>
      <c r="C8" s="9">
        <v>7080</v>
      </c>
      <c r="D8" s="10">
        <f>+IF(C8/$F$111=0,"",C8/$F$111)</f>
        <v>1.2407533768071854E-7</v>
      </c>
      <c r="E8" s="11"/>
      <c r="F8" s="8" t="s">
        <v>6</v>
      </c>
      <c r="G8" s="9">
        <v>129505</v>
      </c>
      <c r="H8" s="12">
        <f>+IF(G8/$C$113=0,"",G8/$C$113)</f>
        <v>1.3688509508649733E-5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80608</v>
      </c>
      <c r="H11" s="12">
        <f t="shared" si="0"/>
        <v>8.5201604144491544E-6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-7198946</v>
      </c>
      <c r="H14" s="12">
        <f t="shared" si="0"/>
        <v>-7.6091919828003528E-4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-15992</v>
      </c>
      <c r="D17" s="10">
        <f>+IF(C17/$F$111=0,"",C17/$F$111)</f>
        <v>-2.8025604522458342E-7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-77555</v>
      </c>
      <c r="D18" s="10">
        <f>+IF(C18/$F$111=0,"",C18/$F$111)</f>
        <v>-1.359133165794933E-6</v>
      </c>
      <c r="E18" s="17"/>
      <c r="F18" s="8" t="s">
        <v>16</v>
      </c>
      <c r="G18" s="15">
        <v>-36946</v>
      </c>
      <c r="H18" s="12">
        <f t="shared" si="0"/>
        <v>-3.9051439890859276E-6</v>
      </c>
    </row>
    <row r="19" spans="2:9" x14ac:dyDescent="0.2">
      <c r="B19" s="18" t="s">
        <v>17</v>
      </c>
      <c r="C19" s="19">
        <f>SUM(C7:C18)</f>
        <v>4418719</v>
      </c>
      <c r="D19" s="20">
        <f>SUM(D7:D18)</f>
        <v>7.7437013000170463E-5</v>
      </c>
      <c r="E19" s="21"/>
      <c r="F19" s="18" t="s">
        <v>17</v>
      </c>
      <c r="G19" s="19">
        <f>SUM(G7:G18)</f>
        <v>-6644366</v>
      </c>
      <c r="H19" s="20">
        <f>SUM(H7:H18)</f>
        <v>-7.0230081595265819E-4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3052.7709</v>
      </c>
      <c r="D22" s="12">
        <f>+IF(C22/$F$112=0,"",C22/$F$112)</f>
        <v>7.7288834276616862E-5</v>
      </c>
      <c r="E22" s="17"/>
      <c r="F22" s="8" t="s">
        <v>5</v>
      </c>
      <c r="G22" s="9"/>
      <c r="H22" s="12" t="str">
        <f t="shared" ref="H22:H33" si="2">+IF(G22/$C$106=0,"",G22/$C$106)</f>
        <v/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/>
      <c r="H23" s="12" t="str">
        <f t="shared" si="2"/>
        <v/>
      </c>
      <c r="I23" s="23"/>
    </row>
    <row r="24" spans="2:9" x14ac:dyDescent="0.2">
      <c r="B24" s="8" t="s">
        <v>45</v>
      </c>
      <c r="C24" s="14">
        <v>-6037.77</v>
      </c>
      <c r="D24" s="12">
        <f>+IF(C24/$F$112=0,"",C24/$F$112)</f>
        <v>-1.5286184919095273E-4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4697.53</v>
      </c>
      <c r="D26" s="12">
        <f>+IF(C26/$F$112=0,"",C26/$F$112)</f>
        <v>1.1893018820358777E-4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127410.07999999996</v>
      </c>
      <c r="D27" s="12">
        <f t="shared" ref="D27:D33" si="3">+IF(C27/$F$112=0,"",C27/$F$112)</f>
        <v>3.2257175139773818E-3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/>
      <c r="H29" s="12" t="str">
        <f t="shared" si="2"/>
        <v/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-126508.0604</v>
      </c>
      <c r="D31" s="12">
        <f t="shared" si="3"/>
        <v>-3.2028805420386565E-3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-52.98</v>
      </c>
      <c r="D33" s="12">
        <f t="shared" si="3"/>
        <v>-1.3413264781759947E-6</v>
      </c>
      <c r="E33" s="17"/>
      <c r="F33" s="8" t="s">
        <v>16</v>
      </c>
      <c r="G33" s="15"/>
      <c r="H33" s="12" t="str">
        <f t="shared" si="2"/>
        <v/>
      </c>
    </row>
    <row r="34" spans="1:13" x14ac:dyDescent="0.2">
      <c r="B34" s="18" t="s">
        <v>17</v>
      </c>
      <c r="C34" s="19">
        <f>SUM(C22:C33)</f>
        <v>2561.5704999999539</v>
      </c>
      <c r="D34" s="20">
        <f>SUM(D22:D33)</f>
        <v>6.4852818749801106E-5</v>
      </c>
      <c r="E34" s="21"/>
      <c r="F34" s="18" t="s">
        <v>17</v>
      </c>
      <c r="G34" s="19">
        <f>SUM(G22:G33)</f>
        <v>0</v>
      </c>
      <c r="H34" s="20">
        <f>SUM(H22:H33)</f>
        <v>0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3796091</v>
      </c>
      <c r="D37" s="12">
        <f t="shared" ref="D37:D48" si="4">+IF(C37/$C$114=0,"",C37/$C$114)</f>
        <v>4.4007678463428594E-5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2756731</v>
      </c>
      <c r="D38" s="12">
        <f t="shared" si="4"/>
        <v>3.1958488734375962E-5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-42173783</v>
      </c>
      <c r="D44" s="12">
        <f t="shared" si="4"/>
        <v>-4.8891617241272954E-4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-8996571</v>
      </c>
      <c r="D45" s="12">
        <f t="shared" si="4"/>
        <v>-1.0429628895656249E-4</v>
      </c>
      <c r="E45" s="11"/>
      <c r="F45" s="8" t="s">
        <v>13</v>
      </c>
      <c r="G45" s="15"/>
      <c r="H45" s="12" t="str">
        <f t="shared" si="5"/>
        <v/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-102854</v>
      </c>
      <c r="D48" s="12">
        <f t="shared" si="4"/>
        <v>-1.1923754621997957E-6</v>
      </c>
      <c r="E48" s="11"/>
      <c r="F48" s="8" t="s">
        <v>16</v>
      </c>
      <c r="G48" s="15"/>
      <c r="H48" s="12" t="str">
        <f t="shared" si="5"/>
        <v/>
      </c>
    </row>
    <row r="49" spans="2:9" x14ac:dyDescent="0.2">
      <c r="B49" s="18" t="s">
        <v>17</v>
      </c>
      <c r="C49" s="19">
        <f>SUM(C37:C48)</f>
        <v>-44720386</v>
      </c>
      <c r="D49" s="20">
        <f>SUM(D37:D48)</f>
        <v>-5.1843866963368723E-4</v>
      </c>
      <c r="E49" s="21"/>
      <c r="F49" s="18" t="s">
        <v>17</v>
      </c>
      <c r="G49" s="19">
        <v>-17610970</v>
      </c>
      <c r="H49" s="20">
        <f>SUM(H37:H48)</f>
        <v>0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15413.695100000001</v>
      </c>
      <c r="H53" s="12">
        <f t="shared" ref="H53:H64" si="7">+IF(G53/$C$115=0,"",G53/$C$115)</f>
        <v>1.2668341852358628E-4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-182026.8033</v>
      </c>
      <c r="H60" s="12">
        <f t="shared" si="7"/>
        <v>-1.4960577301781721E-3</v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/>
      <c r="D64" s="12" t="str">
        <f t="shared" si="6"/>
        <v/>
      </c>
      <c r="E64" s="11"/>
      <c r="F64" s="8" t="s">
        <v>16</v>
      </c>
      <c r="G64" s="32">
        <v>-43.35</v>
      </c>
      <c r="H64" s="12">
        <f t="shared" si="7"/>
        <v>-3.5628875213688798E-7</v>
      </c>
    </row>
    <row r="65" spans="2:8" x14ac:dyDescent="0.2">
      <c r="B65" s="18" t="s">
        <v>17</v>
      </c>
      <c r="C65" s="19">
        <f>SUM(C53:C64)</f>
        <v>0</v>
      </c>
      <c r="D65" s="20">
        <f>SUM(D53:D64)</f>
        <v>0</v>
      </c>
      <c r="E65" s="21"/>
      <c r="F65" s="18" t="s">
        <v>17</v>
      </c>
      <c r="G65" s="57">
        <f>SUM(G53:G64)</f>
        <v>-166656.45819999999</v>
      </c>
      <c r="H65" s="20">
        <f>SUM(H53:H64)</f>
        <v>-1.3697306004067228E-3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/>
      <c r="D72" s="12" t="str">
        <f t="shared" si="8"/>
        <v/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/>
      <c r="D79" s="12" t="str">
        <f t="shared" si="8"/>
        <v/>
      </c>
      <c r="E79" s="11"/>
      <c r="F79" s="8" t="s">
        <v>16</v>
      </c>
      <c r="G79" s="15"/>
      <c r="H79" s="12" t="str">
        <f t="shared" si="9"/>
        <v/>
      </c>
    </row>
    <row r="80" spans="2:8" x14ac:dyDescent="0.2">
      <c r="B80" s="18" t="s">
        <v>17</v>
      </c>
      <c r="C80" s="19">
        <f>SUM(C68:C79)</f>
        <v>0</v>
      </c>
      <c r="D80" s="20">
        <f>SUM(D68:D79)</f>
        <v>0</v>
      </c>
      <c r="E80" s="21"/>
      <c r="F80" s="18" t="s">
        <v>17</v>
      </c>
      <c r="G80" s="19">
        <f>SUM(G68:G79)</f>
        <v>0</v>
      </c>
      <c r="H80" s="20">
        <f>SUM(H68:H79)</f>
        <v>0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22865172587.999996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15865554340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10360659269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4732393736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5928338241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55894128209.999901</v>
      </c>
      <c r="D111" s="51">
        <v>1167977220</v>
      </c>
      <c r="F111" s="45">
        <f>+C111+D111</f>
        <v>57062105429.999901</v>
      </c>
      <c r="G111" s="5"/>
      <c r="H111" s="5"/>
    </row>
    <row r="112" spans="2:8" x14ac:dyDescent="0.2">
      <c r="B112" s="35" t="s">
        <v>18</v>
      </c>
      <c r="C112" s="48">
        <v>39497316.112100005</v>
      </c>
      <c r="D112" s="53">
        <v>897.68000000000006</v>
      </c>
      <c r="F112" s="45">
        <f>+C112+D112</f>
        <v>39498213.792100005</v>
      </c>
      <c r="H112" s="17"/>
    </row>
    <row r="113" spans="1:13" x14ac:dyDescent="0.2">
      <c r="B113" s="35" t="s">
        <v>4</v>
      </c>
      <c r="C113" s="45">
        <v>9460854734.9999008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86259742220.999908</v>
      </c>
      <c r="D114" s="46"/>
      <c r="F114" s="45"/>
      <c r="H114" s="17"/>
    </row>
    <row r="115" spans="1:13" x14ac:dyDescent="0.2">
      <c r="B115" s="35" t="s">
        <v>25</v>
      </c>
      <c r="C115" s="48">
        <v>121670975.40970001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38"/>
  <dimension ref="A2:M121"/>
  <sheetViews>
    <sheetView workbookViewId="0"/>
  </sheetViews>
  <sheetFormatPr baseColWidth="10" defaultRowHeight="12.75" x14ac:dyDescent="0.2"/>
  <sheetData>
    <row r="2" spans="1:9" ht="108" x14ac:dyDescent="0.2">
      <c r="B2" s="185" t="s">
        <v>0</v>
      </c>
      <c r="C2" s="185"/>
      <c r="D2" s="185"/>
      <c r="E2" s="185"/>
      <c r="F2" s="185"/>
      <c r="G2" s="185"/>
      <c r="H2" s="185"/>
    </row>
    <row r="4" spans="1:9" x14ac:dyDescent="0.2">
      <c r="A4" s="60"/>
      <c r="B4" s="186">
        <v>42990</v>
      </c>
      <c r="C4" s="186"/>
      <c r="D4" s="186"/>
      <c r="E4" s="186"/>
      <c r="F4" s="186"/>
      <c r="G4" s="186"/>
      <c r="H4" s="186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4417370</v>
      </c>
      <c r="D7" s="67">
        <v>7.6893918138932148E-5</v>
      </c>
      <c r="E7" s="68"/>
      <c r="F7" s="65" t="s">
        <v>5</v>
      </c>
      <c r="G7" s="66">
        <v>496454</v>
      </c>
      <c r="H7" s="69">
        <v>5.2512235742611468E-5</v>
      </c>
      <c r="I7" s="70"/>
    </row>
    <row r="8" spans="1:9" x14ac:dyDescent="0.2">
      <c r="B8" s="65" t="s">
        <v>6</v>
      </c>
      <c r="C8" s="66">
        <v>95203</v>
      </c>
      <c r="D8" s="67">
        <v>1.6572149692194126E-6</v>
      </c>
      <c r="E8" s="68"/>
      <c r="F8" s="65" t="s">
        <v>6</v>
      </c>
      <c r="G8" s="66">
        <v>130559</v>
      </c>
      <c r="H8" s="69">
        <v>1.3809829281906501E-5</v>
      </c>
    </row>
    <row r="9" spans="1:9" x14ac:dyDescent="0.2">
      <c r="B9" s="65" t="s">
        <v>7</v>
      </c>
      <c r="C9" s="71"/>
      <c r="D9" s="67" t="s">
        <v>46</v>
      </c>
      <c r="E9" s="68"/>
      <c r="F9" s="65" t="s">
        <v>7</v>
      </c>
      <c r="G9" s="66"/>
      <c r="H9" s="69" t="s">
        <v>46</v>
      </c>
    </row>
    <row r="10" spans="1:9" x14ac:dyDescent="0.2">
      <c r="B10" s="65" t="s">
        <v>8</v>
      </c>
      <c r="C10" s="66"/>
      <c r="D10" s="67" t="s">
        <v>46</v>
      </c>
      <c r="E10" s="68"/>
      <c r="F10" s="65" t="s">
        <v>8</v>
      </c>
      <c r="G10" s="66"/>
      <c r="H10" s="69" t="s">
        <v>46</v>
      </c>
    </row>
    <row r="11" spans="1:9" x14ac:dyDescent="0.2">
      <c r="B11" s="65" t="s">
        <v>9</v>
      </c>
      <c r="C11" s="66"/>
      <c r="D11" s="67" t="s">
        <v>46</v>
      </c>
      <c r="E11" s="68"/>
      <c r="F11" s="65" t="s">
        <v>9</v>
      </c>
      <c r="G11" s="66">
        <v>43150</v>
      </c>
      <c r="H11" s="69">
        <v>4.5641750742136931E-6</v>
      </c>
    </row>
    <row r="12" spans="1:9" x14ac:dyDescent="0.2">
      <c r="B12" s="65" t="s">
        <v>10</v>
      </c>
      <c r="C12" s="66"/>
      <c r="D12" s="67" t="s">
        <v>46</v>
      </c>
      <c r="E12" s="68"/>
      <c r="F12" s="65" t="s">
        <v>10</v>
      </c>
      <c r="G12" s="66"/>
      <c r="H12" s="69" t="s">
        <v>46</v>
      </c>
    </row>
    <row r="13" spans="1:9" x14ac:dyDescent="0.2">
      <c r="B13" s="65" t="s">
        <v>11</v>
      </c>
      <c r="C13" s="66"/>
      <c r="D13" s="67" t="s">
        <v>46</v>
      </c>
      <c r="E13" s="68"/>
      <c r="F13" s="65" t="s">
        <v>11</v>
      </c>
      <c r="G13" s="66"/>
      <c r="H13" s="69" t="s">
        <v>46</v>
      </c>
    </row>
    <row r="14" spans="1:9" x14ac:dyDescent="0.2">
      <c r="B14" s="65" t="s">
        <v>12</v>
      </c>
      <c r="C14" s="72"/>
      <c r="D14" s="67" t="s">
        <v>46</v>
      </c>
      <c r="E14" s="68"/>
      <c r="F14" s="65" t="s">
        <v>12</v>
      </c>
      <c r="G14" s="73">
        <v>-11310156</v>
      </c>
      <c r="H14" s="69">
        <v>-1.1963275110236024E-3</v>
      </c>
      <c r="I14" s="74"/>
    </row>
    <row r="15" spans="1:9" x14ac:dyDescent="0.2">
      <c r="B15" s="65" t="s">
        <v>13</v>
      </c>
      <c r="C15" s="72"/>
      <c r="D15" s="67" t="s">
        <v>46</v>
      </c>
      <c r="E15" s="68"/>
      <c r="F15" s="65" t="s">
        <v>13</v>
      </c>
      <c r="G15" s="72"/>
      <c r="H15" s="69" t="s">
        <v>46</v>
      </c>
      <c r="I15" s="74"/>
    </row>
    <row r="16" spans="1:9" x14ac:dyDescent="0.2">
      <c r="B16" s="65" t="s">
        <v>14</v>
      </c>
      <c r="C16" s="66"/>
      <c r="D16" s="67" t="s">
        <v>46</v>
      </c>
      <c r="E16" s="68"/>
      <c r="F16" s="65" t="s">
        <v>14</v>
      </c>
      <c r="G16" s="66"/>
      <c r="H16" s="69" t="s">
        <v>46</v>
      </c>
    </row>
    <row r="17" spans="2:9" x14ac:dyDescent="0.2">
      <c r="B17" s="65" t="s">
        <v>15</v>
      </c>
      <c r="C17" s="72">
        <v>-3</v>
      </c>
      <c r="D17" s="67">
        <v>-5.2221515158747499E-11</v>
      </c>
      <c r="E17" s="68"/>
      <c r="F17" s="65" t="s">
        <v>15</v>
      </c>
      <c r="G17" s="72"/>
      <c r="H17" s="69" t="s">
        <v>46</v>
      </c>
    </row>
    <row r="18" spans="2:9" x14ac:dyDescent="0.2">
      <c r="B18" s="65" t="s">
        <v>16</v>
      </c>
      <c r="C18" s="72">
        <v>-64205</v>
      </c>
      <c r="D18" s="67">
        <v>-1.1176274602557944E-6</v>
      </c>
      <c r="E18" s="75"/>
      <c r="F18" s="65" t="s">
        <v>16</v>
      </c>
      <c r="G18" s="72">
        <v>-31316</v>
      </c>
      <c r="H18" s="69">
        <v>-3.312438160465261E-6</v>
      </c>
    </row>
    <row r="19" spans="2:9" x14ac:dyDescent="0.2">
      <c r="B19" s="76" t="s">
        <v>17</v>
      </c>
      <c r="C19" s="77">
        <v>4448365</v>
      </c>
      <c r="D19" s="78">
        <v>7.7433453426380605E-5</v>
      </c>
      <c r="E19" s="79"/>
      <c r="F19" s="76" t="s">
        <v>17</v>
      </c>
      <c r="G19" s="77">
        <v>-10671309</v>
      </c>
      <c r="H19" s="78">
        <v>-1.1287537090853359E-3</v>
      </c>
    </row>
    <row r="21" spans="2:9" ht="24" x14ac:dyDescent="0.2">
      <c r="B21" s="63" t="s">
        <v>18</v>
      </c>
      <c r="C21" s="63"/>
      <c r="D21" s="63" t="s">
        <v>3</v>
      </c>
      <c r="E21" s="81"/>
      <c r="F21" s="63" t="s">
        <v>19</v>
      </c>
      <c r="G21" s="63"/>
      <c r="H21" s="63" t="s">
        <v>3</v>
      </c>
    </row>
    <row r="22" spans="2:9" x14ac:dyDescent="0.2">
      <c r="B22" s="65" t="s">
        <v>43</v>
      </c>
      <c r="C22" s="71">
        <v>2646.614</v>
      </c>
      <c r="D22" s="69">
        <v>6.7237278642909656E-5</v>
      </c>
      <c r="E22" s="75"/>
      <c r="F22" s="65" t="s">
        <v>5</v>
      </c>
      <c r="G22" s="66">
        <v>1598535</v>
      </c>
      <c r="H22" s="69">
        <v>7.0079626647703554E-5</v>
      </c>
      <c r="I22" s="82"/>
    </row>
    <row r="23" spans="2:9" x14ac:dyDescent="0.2">
      <c r="B23" s="65" t="s">
        <v>44</v>
      </c>
      <c r="C23" s="71"/>
      <c r="D23" s="69" t="s">
        <v>46</v>
      </c>
      <c r="E23" s="75"/>
      <c r="F23" s="65" t="s">
        <v>6</v>
      </c>
      <c r="G23" s="66">
        <v>372213</v>
      </c>
      <c r="H23" s="69">
        <v>1.6317783516420777E-5</v>
      </c>
      <c r="I23" s="82"/>
    </row>
    <row r="24" spans="2:9" x14ac:dyDescent="0.2">
      <c r="B24" s="65" t="s">
        <v>45</v>
      </c>
      <c r="C24" s="71">
        <v>-7915.6884741261601</v>
      </c>
      <c r="D24" s="69">
        <v>-2.0109821514784136E-4</v>
      </c>
      <c r="E24" s="75"/>
      <c r="F24" s="65" t="s">
        <v>7</v>
      </c>
      <c r="G24" s="71"/>
      <c r="H24" s="69" t="s">
        <v>46</v>
      </c>
      <c r="I24" s="82"/>
    </row>
    <row r="25" spans="2:9" x14ac:dyDescent="0.2">
      <c r="B25" s="65" t="s">
        <v>8</v>
      </c>
      <c r="C25" s="71"/>
      <c r="D25" s="69" t="s">
        <v>46</v>
      </c>
      <c r="E25" s="75"/>
      <c r="F25" s="65" t="s">
        <v>8</v>
      </c>
      <c r="G25" s="66"/>
      <c r="H25" s="69" t="s">
        <v>46</v>
      </c>
      <c r="I25" s="82"/>
    </row>
    <row r="26" spans="2:9" x14ac:dyDescent="0.2">
      <c r="B26" s="65" t="s">
        <v>9</v>
      </c>
      <c r="C26" s="71">
        <v>-9.06</v>
      </c>
      <c r="D26" s="69">
        <v>-2.3016947106935939E-7</v>
      </c>
      <c r="E26" s="75"/>
      <c r="F26" s="65" t="s">
        <v>9</v>
      </c>
      <c r="G26" s="66"/>
      <c r="H26" s="69" t="s">
        <v>46</v>
      </c>
      <c r="I26" s="82"/>
    </row>
    <row r="27" spans="2:9" x14ac:dyDescent="0.2">
      <c r="B27" s="65" t="s">
        <v>10</v>
      </c>
      <c r="C27" s="71">
        <v>103404.18</v>
      </c>
      <c r="D27" s="69">
        <v>2.6269851453599147E-3</v>
      </c>
      <c r="E27" s="75"/>
      <c r="F27" s="65" t="s">
        <v>10</v>
      </c>
      <c r="G27" s="66"/>
      <c r="H27" s="69" t="s">
        <v>46</v>
      </c>
      <c r="I27" s="82"/>
    </row>
    <row r="28" spans="2:9" x14ac:dyDescent="0.2">
      <c r="B28" s="65" t="s">
        <v>11</v>
      </c>
      <c r="C28" s="71"/>
      <c r="D28" s="69" t="s">
        <v>46</v>
      </c>
      <c r="E28" s="75"/>
      <c r="F28" s="65" t="s">
        <v>11</v>
      </c>
      <c r="G28" s="66"/>
      <c r="H28" s="69" t="s">
        <v>46</v>
      </c>
      <c r="I28" s="82"/>
    </row>
    <row r="29" spans="2:9" x14ac:dyDescent="0.2">
      <c r="B29" s="65" t="s">
        <v>12</v>
      </c>
      <c r="C29" s="71"/>
      <c r="D29" s="69" t="s">
        <v>46</v>
      </c>
      <c r="E29" s="75"/>
      <c r="F29" s="65" t="s">
        <v>12</v>
      </c>
      <c r="G29" s="73">
        <v>-8449508</v>
      </c>
      <c r="H29" s="69">
        <v>-3.7042564973352752E-4</v>
      </c>
      <c r="I29" s="82"/>
    </row>
    <row r="30" spans="2:9" x14ac:dyDescent="0.2">
      <c r="B30" s="65" t="s">
        <v>13</v>
      </c>
      <c r="C30" s="71"/>
      <c r="D30" s="69" t="s">
        <v>46</v>
      </c>
      <c r="E30" s="75"/>
      <c r="F30" s="65" t="s">
        <v>13</v>
      </c>
      <c r="G30" s="72"/>
      <c r="H30" s="69" t="s">
        <v>46</v>
      </c>
      <c r="I30" s="82"/>
    </row>
    <row r="31" spans="2:9" x14ac:dyDescent="0.2">
      <c r="B31" s="65" t="s">
        <v>14</v>
      </c>
      <c r="C31" s="71">
        <v>-95893.306200000006</v>
      </c>
      <c r="D31" s="69">
        <v>-2.4361712546518898E-3</v>
      </c>
      <c r="E31" s="75"/>
      <c r="F31" s="65" t="s">
        <v>14</v>
      </c>
      <c r="G31" s="66"/>
      <c r="H31" s="69" t="s">
        <v>46</v>
      </c>
    </row>
    <row r="32" spans="2:9" x14ac:dyDescent="0.2">
      <c r="B32" s="65" t="s">
        <v>15</v>
      </c>
      <c r="C32" s="71"/>
      <c r="D32" s="69" t="s">
        <v>46</v>
      </c>
      <c r="E32" s="75"/>
      <c r="F32" s="65" t="s">
        <v>15</v>
      </c>
      <c r="G32" s="72">
        <v>-40950</v>
      </c>
      <c r="H32" s="69">
        <v>-1.7952442149990214E-6</v>
      </c>
    </row>
    <row r="33" spans="1:13" x14ac:dyDescent="0.2">
      <c r="B33" s="65" t="s">
        <v>16</v>
      </c>
      <c r="C33" s="71">
        <v>-52.78</v>
      </c>
      <c r="D33" s="69">
        <v>-1.3408768965828683E-6</v>
      </c>
      <c r="E33" s="75"/>
      <c r="F33" s="65" t="s">
        <v>16</v>
      </c>
      <c r="G33" s="72">
        <v>-51819</v>
      </c>
      <c r="H33" s="69">
        <v>-2.2717401703793475E-6</v>
      </c>
    </row>
    <row r="34" spans="1:13" x14ac:dyDescent="0.2">
      <c r="B34" s="76" t="s">
        <v>17</v>
      </c>
      <c r="C34" s="77">
        <v>2179.95932587383</v>
      </c>
      <c r="D34" s="78">
        <v>5.5381907835440785E-5</v>
      </c>
      <c r="E34" s="79"/>
      <c r="F34" s="76" t="s">
        <v>17</v>
      </c>
      <c r="G34" s="77">
        <v>-6571529</v>
      </c>
      <c r="H34" s="78">
        <v>-2.8809522395478157E-4</v>
      </c>
      <c r="I34" s="83"/>
    </row>
    <row r="35" spans="1:13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/>
      <c r="D36" s="63" t="s">
        <v>3</v>
      </c>
      <c r="E36" s="85"/>
      <c r="F36" s="63" t="s">
        <v>22</v>
      </c>
      <c r="G36" s="63"/>
      <c r="H36" s="63" t="s">
        <v>3</v>
      </c>
    </row>
    <row r="37" spans="1:13" x14ac:dyDescent="0.2">
      <c r="B37" s="65" t="s">
        <v>5</v>
      </c>
      <c r="C37" s="66">
        <v>4021740</v>
      </c>
      <c r="D37" s="69">
        <v>4.5891826620789347E-5</v>
      </c>
      <c r="E37" s="68"/>
      <c r="F37" s="65" t="s">
        <v>5</v>
      </c>
      <c r="G37" s="66"/>
      <c r="H37" s="69" t="s">
        <v>46</v>
      </c>
      <c r="K37" s="86"/>
      <c r="M37" s="87"/>
    </row>
    <row r="38" spans="1:13" x14ac:dyDescent="0.2">
      <c r="B38" s="65" t="s">
        <v>6</v>
      </c>
      <c r="C38" s="66">
        <v>2738035</v>
      </c>
      <c r="D38" s="69">
        <v>3.124354819099518E-5</v>
      </c>
      <c r="E38" s="68"/>
      <c r="F38" s="65" t="s">
        <v>6</v>
      </c>
      <c r="G38" s="66"/>
      <c r="H38" s="69" t="s">
        <v>46</v>
      </c>
    </row>
    <row r="39" spans="1:13" x14ac:dyDescent="0.2">
      <c r="B39" s="65" t="s">
        <v>7</v>
      </c>
      <c r="C39" s="71"/>
      <c r="D39" s="69" t="s">
        <v>46</v>
      </c>
      <c r="E39" s="68"/>
      <c r="F39" s="65" t="s">
        <v>7</v>
      </c>
      <c r="G39" s="71"/>
      <c r="H39" s="69" t="s">
        <v>46</v>
      </c>
    </row>
    <row r="40" spans="1:13" x14ac:dyDescent="0.2">
      <c r="B40" s="65" t="s">
        <v>8</v>
      </c>
      <c r="C40" s="66"/>
      <c r="D40" s="69" t="s">
        <v>46</v>
      </c>
      <c r="E40" s="68"/>
      <c r="F40" s="65" t="s">
        <v>8</v>
      </c>
      <c r="G40" s="66"/>
      <c r="H40" s="69" t="s">
        <v>46</v>
      </c>
    </row>
    <row r="41" spans="1:13" x14ac:dyDescent="0.2">
      <c r="B41" s="65" t="s">
        <v>9</v>
      </c>
      <c r="C41" s="66"/>
      <c r="D41" s="69" t="s">
        <v>46</v>
      </c>
      <c r="E41" s="68"/>
      <c r="F41" s="65" t="s">
        <v>9</v>
      </c>
      <c r="G41" s="66"/>
      <c r="H41" s="69" t="s">
        <v>46</v>
      </c>
    </row>
    <row r="42" spans="1:13" x14ac:dyDescent="0.2">
      <c r="B42" s="65" t="s">
        <v>10</v>
      </c>
      <c r="C42" s="66"/>
      <c r="D42" s="69" t="s">
        <v>46</v>
      </c>
      <c r="E42" s="68"/>
      <c r="F42" s="65" t="s">
        <v>10</v>
      </c>
      <c r="G42" s="66"/>
      <c r="H42" s="69" t="s">
        <v>46</v>
      </c>
    </row>
    <row r="43" spans="1:13" x14ac:dyDescent="0.2">
      <c r="B43" s="65" t="s">
        <v>11</v>
      </c>
      <c r="C43" s="66"/>
      <c r="D43" s="69" t="s">
        <v>46</v>
      </c>
      <c r="E43" s="68"/>
      <c r="F43" s="65" t="s">
        <v>23</v>
      </c>
      <c r="G43" s="66"/>
      <c r="H43" s="69" t="s">
        <v>46</v>
      </c>
      <c r="I43" s="88"/>
    </row>
    <row r="44" spans="1:13" x14ac:dyDescent="0.2">
      <c r="B44" s="65" t="s">
        <v>12</v>
      </c>
      <c r="C44" s="72">
        <v>-94206712</v>
      </c>
      <c r="D44" s="69">
        <v>-1.0749869692269105E-3</v>
      </c>
      <c r="E44" s="68"/>
      <c r="F44" s="65" t="s">
        <v>12</v>
      </c>
      <c r="G44" s="72"/>
      <c r="H44" s="69" t="s">
        <v>46</v>
      </c>
    </row>
    <row r="45" spans="1:13" x14ac:dyDescent="0.2">
      <c r="B45" s="65" t="s">
        <v>13</v>
      </c>
      <c r="C45" s="72">
        <v>-24921911</v>
      </c>
      <c r="D45" s="69">
        <v>-2.8438238639761466E-4</v>
      </c>
      <c r="E45" s="68"/>
      <c r="F45" s="65" t="s">
        <v>13</v>
      </c>
      <c r="G45" s="72">
        <v>29834868</v>
      </c>
      <c r="H45" s="69">
        <v>6.2526760081106653E-3</v>
      </c>
    </row>
    <row r="46" spans="1:13" x14ac:dyDescent="0.2">
      <c r="B46" s="65" t="s">
        <v>14</v>
      </c>
      <c r="C46" s="66"/>
      <c r="D46" s="69" t="s">
        <v>46</v>
      </c>
      <c r="E46" s="68"/>
      <c r="F46" s="65" t="s">
        <v>14</v>
      </c>
      <c r="G46" s="66"/>
      <c r="H46" s="69" t="s">
        <v>46</v>
      </c>
    </row>
    <row r="47" spans="1:13" x14ac:dyDescent="0.2">
      <c r="B47" s="65" t="s">
        <v>15</v>
      </c>
      <c r="C47" s="72">
        <v>-15946</v>
      </c>
      <c r="D47" s="69">
        <v>-1.8195882063363293E-7</v>
      </c>
      <c r="E47" s="68"/>
      <c r="F47" s="65" t="s">
        <v>15</v>
      </c>
      <c r="G47" s="72"/>
      <c r="H47" s="69" t="s">
        <v>46</v>
      </c>
    </row>
    <row r="48" spans="1:13" x14ac:dyDescent="0.2">
      <c r="B48" s="65" t="s">
        <v>16</v>
      </c>
      <c r="C48" s="72">
        <v>-55236</v>
      </c>
      <c r="D48" s="69">
        <v>-6.3029458274923798E-7</v>
      </c>
      <c r="E48" s="68"/>
      <c r="F48" s="65" t="s">
        <v>16</v>
      </c>
      <c r="G48" s="72">
        <v>-39218</v>
      </c>
      <c r="H48" s="69">
        <v>-8.219156447619747E-6</v>
      </c>
    </row>
    <row r="49" spans="2:9" x14ac:dyDescent="0.2">
      <c r="B49" s="76" t="s">
        <v>17</v>
      </c>
      <c r="C49" s="77">
        <v>-112440030</v>
      </c>
      <c r="D49" s="78">
        <v>-1.2830462342161236E-3</v>
      </c>
      <c r="E49" s="79"/>
      <c r="F49" s="76" t="s">
        <v>17</v>
      </c>
      <c r="G49" s="77">
        <v>-17610970</v>
      </c>
      <c r="H49" s="78">
        <v>6.2444568516630454E-3</v>
      </c>
      <c r="I49" s="89"/>
    </row>
    <row r="50" spans="2:9" x14ac:dyDescent="0.2">
      <c r="C50" s="84"/>
      <c r="G50" s="90"/>
    </row>
    <row r="51" spans="2:9" x14ac:dyDescent="0.2">
      <c r="C51" s="84"/>
      <c r="G51" s="90"/>
    </row>
    <row r="52" spans="2:9" ht="24" x14ac:dyDescent="0.2">
      <c r="B52" s="63" t="s">
        <v>24</v>
      </c>
      <c r="C52" s="63"/>
      <c r="D52" s="63" t="s">
        <v>3</v>
      </c>
      <c r="E52" s="85"/>
      <c r="F52" s="63" t="s">
        <v>25</v>
      </c>
      <c r="G52" s="63"/>
      <c r="H52" s="63" t="s">
        <v>3</v>
      </c>
    </row>
    <row r="53" spans="2:9" x14ac:dyDescent="0.2">
      <c r="B53" s="65" t="s">
        <v>5</v>
      </c>
      <c r="C53" s="66"/>
      <c r="D53" s="69" t="s">
        <v>46</v>
      </c>
      <c r="E53" s="68"/>
      <c r="F53" s="65" t="s">
        <v>5</v>
      </c>
      <c r="G53" s="91">
        <v>15454.3981</v>
      </c>
      <c r="H53" s="69">
        <v>1.2719384573250386E-4</v>
      </c>
    </row>
    <row r="54" spans="2:9" x14ac:dyDescent="0.2">
      <c r="B54" s="65" t="s">
        <v>6</v>
      </c>
      <c r="C54" s="66"/>
      <c r="D54" s="69" t="s">
        <v>46</v>
      </c>
      <c r="E54" s="68"/>
      <c r="F54" s="65" t="s">
        <v>6</v>
      </c>
      <c r="G54" s="66"/>
      <c r="H54" s="69" t="s">
        <v>46</v>
      </c>
    </row>
    <row r="55" spans="2:9" x14ac:dyDescent="0.2">
      <c r="B55" s="65" t="s">
        <v>7</v>
      </c>
      <c r="C55" s="71"/>
      <c r="D55" s="69" t="s">
        <v>46</v>
      </c>
      <c r="E55" s="68"/>
      <c r="F55" s="65" t="s">
        <v>7</v>
      </c>
      <c r="G55" s="71"/>
      <c r="H55" s="69" t="s">
        <v>46</v>
      </c>
    </row>
    <row r="56" spans="2:9" x14ac:dyDescent="0.2">
      <c r="B56" s="65" t="s">
        <v>8</v>
      </c>
      <c r="C56" s="66"/>
      <c r="D56" s="69" t="s">
        <v>46</v>
      </c>
      <c r="E56" s="68"/>
      <c r="F56" s="65" t="s">
        <v>8</v>
      </c>
      <c r="G56" s="66"/>
      <c r="H56" s="69" t="s">
        <v>46</v>
      </c>
    </row>
    <row r="57" spans="2:9" x14ac:dyDescent="0.2">
      <c r="B57" s="65" t="s">
        <v>9</v>
      </c>
      <c r="C57" s="66"/>
      <c r="D57" s="69" t="s">
        <v>46</v>
      </c>
      <c r="E57" s="68"/>
      <c r="F57" s="65" t="s">
        <v>9</v>
      </c>
      <c r="G57" s="66"/>
      <c r="H57" s="69" t="s">
        <v>46</v>
      </c>
    </row>
    <row r="58" spans="2:9" x14ac:dyDescent="0.2">
      <c r="B58" s="65" t="s">
        <v>10</v>
      </c>
      <c r="C58" s="66"/>
      <c r="D58" s="69" t="s">
        <v>46</v>
      </c>
      <c r="E58" s="68"/>
      <c r="F58" s="65" t="s">
        <v>10</v>
      </c>
      <c r="G58" s="66"/>
      <c r="H58" s="69" t="s">
        <v>46</v>
      </c>
    </row>
    <row r="59" spans="2:9" x14ac:dyDescent="0.2">
      <c r="B59" s="65" t="s">
        <v>11</v>
      </c>
      <c r="C59" s="66"/>
      <c r="D59" s="69" t="s">
        <v>46</v>
      </c>
      <c r="E59" s="68"/>
      <c r="F59" s="65" t="s">
        <v>11</v>
      </c>
      <c r="G59" s="66"/>
      <c r="H59" s="69" t="s">
        <v>46</v>
      </c>
    </row>
    <row r="60" spans="2:9" x14ac:dyDescent="0.2">
      <c r="B60" s="65" t="s">
        <v>12</v>
      </c>
      <c r="C60" s="72"/>
      <c r="D60" s="69" t="s">
        <v>46</v>
      </c>
      <c r="E60" s="68"/>
      <c r="F60" s="65" t="s">
        <v>12</v>
      </c>
      <c r="G60" s="92">
        <v>9995.0172999999995</v>
      </c>
      <c r="H60" s="69">
        <v>8.2261675952938416E-5</v>
      </c>
    </row>
    <row r="61" spans="2:9" x14ac:dyDescent="0.2">
      <c r="B61" s="65" t="s">
        <v>13</v>
      </c>
      <c r="C61" s="72">
        <v>114092079</v>
      </c>
      <c r="D61" s="69">
        <v>7.1455771985339559E-3</v>
      </c>
      <c r="E61" s="68"/>
      <c r="F61" s="65" t="s">
        <v>13</v>
      </c>
      <c r="G61" s="72"/>
      <c r="H61" s="69" t="s">
        <v>46</v>
      </c>
    </row>
    <row r="62" spans="2:9" x14ac:dyDescent="0.2">
      <c r="B62" s="65" t="s">
        <v>14</v>
      </c>
      <c r="C62" s="66"/>
      <c r="D62" s="69" t="s">
        <v>46</v>
      </c>
      <c r="E62" s="68"/>
      <c r="F62" s="65" t="s">
        <v>14</v>
      </c>
      <c r="G62" s="66"/>
      <c r="H62" s="69" t="s">
        <v>46</v>
      </c>
    </row>
    <row r="63" spans="2:9" x14ac:dyDescent="0.2">
      <c r="B63" s="65" t="s">
        <v>15</v>
      </c>
      <c r="C63" s="72">
        <v>19571118</v>
      </c>
      <c r="D63" s="69">
        <v>1.2257374548378375E-3</v>
      </c>
      <c r="E63" s="68"/>
      <c r="F63" s="65" t="s">
        <v>15</v>
      </c>
      <c r="G63" s="92"/>
      <c r="H63" s="69" t="s">
        <v>46</v>
      </c>
    </row>
    <row r="64" spans="2:9" x14ac:dyDescent="0.2">
      <c r="B64" s="65" t="s">
        <v>16</v>
      </c>
      <c r="C64" s="72">
        <v>-131234</v>
      </c>
      <c r="D64" s="69">
        <v>-8.2191742519864604E-6</v>
      </c>
      <c r="E64" s="68"/>
      <c r="F64" s="65" t="s">
        <v>16</v>
      </c>
      <c r="G64" s="92">
        <v>-43.23</v>
      </c>
      <c r="H64" s="69">
        <v>-3.5579450687349259E-7</v>
      </c>
    </row>
    <row r="65" spans="2:8" x14ac:dyDescent="0.2">
      <c r="B65" s="76" t="s">
        <v>17</v>
      </c>
      <c r="C65" s="77">
        <v>133531963</v>
      </c>
      <c r="D65" s="78">
        <v>8.3630954791198073E-3</v>
      </c>
      <c r="E65" s="79"/>
      <c r="F65" s="76" t="s">
        <v>17</v>
      </c>
      <c r="G65" s="93">
        <v>25406.185399999998</v>
      </c>
      <c r="H65" s="78">
        <v>2.090997271785688E-4</v>
      </c>
    </row>
    <row r="66" spans="2:8" x14ac:dyDescent="0.2">
      <c r="C66" s="84"/>
      <c r="G66" s="90"/>
    </row>
    <row r="67" spans="2:8" ht="24" x14ac:dyDescent="0.2">
      <c r="B67" s="63" t="s">
        <v>26</v>
      </c>
      <c r="C67" s="63"/>
      <c r="D67" s="63" t="s">
        <v>3</v>
      </c>
      <c r="E67" s="85"/>
      <c r="F67" s="63" t="s">
        <v>27</v>
      </c>
      <c r="G67" s="63"/>
      <c r="H67" s="63" t="s">
        <v>3</v>
      </c>
    </row>
    <row r="68" spans="2:8" x14ac:dyDescent="0.2">
      <c r="B68" s="65" t="s">
        <v>5</v>
      </c>
      <c r="C68" s="66"/>
      <c r="D68" s="69" t="s">
        <v>46</v>
      </c>
      <c r="E68" s="68"/>
      <c r="F68" s="65" t="s">
        <v>5</v>
      </c>
      <c r="G68" s="66"/>
      <c r="H68" s="69" t="s">
        <v>46</v>
      </c>
    </row>
    <row r="69" spans="2:8" x14ac:dyDescent="0.2">
      <c r="B69" s="65" t="s">
        <v>6</v>
      </c>
      <c r="C69" s="66"/>
      <c r="D69" s="69" t="s">
        <v>46</v>
      </c>
      <c r="E69" s="68"/>
      <c r="F69" s="65" t="s">
        <v>6</v>
      </c>
      <c r="G69" s="66"/>
      <c r="H69" s="69" t="s">
        <v>46</v>
      </c>
    </row>
    <row r="70" spans="2:8" x14ac:dyDescent="0.2">
      <c r="B70" s="65" t="s">
        <v>7</v>
      </c>
      <c r="C70" s="71"/>
      <c r="D70" s="69" t="s">
        <v>46</v>
      </c>
      <c r="E70" s="68"/>
      <c r="F70" s="65" t="s">
        <v>7</v>
      </c>
      <c r="G70" s="71"/>
      <c r="H70" s="69" t="s">
        <v>46</v>
      </c>
    </row>
    <row r="71" spans="2:8" x14ac:dyDescent="0.2">
      <c r="B71" s="65" t="s">
        <v>8</v>
      </c>
      <c r="C71" s="66"/>
      <c r="D71" s="69" t="s">
        <v>46</v>
      </c>
      <c r="E71" s="68"/>
      <c r="F71" s="65" t="s">
        <v>8</v>
      </c>
      <c r="G71" s="66"/>
      <c r="H71" s="69" t="s">
        <v>46</v>
      </c>
    </row>
    <row r="72" spans="2:8" x14ac:dyDescent="0.2">
      <c r="B72" s="65" t="s">
        <v>9</v>
      </c>
      <c r="C72" s="66">
        <v>31284</v>
      </c>
      <c r="D72" s="69">
        <v>2.9747649578932747E-6</v>
      </c>
      <c r="E72" s="68"/>
      <c r="F72" s="65" t="s">
        <v>9</v>
      </c>
      <c r="G72" s="66">
        <v>29922</v>
      </c>
      <c r="H72" s="69">
        <v>5.0218730979002142E-6</v>
      </c>
    </row>
    <row r="73" spans="2:8" x14ac:dyDescent="0.2">
      <c r="B73" s="65" t="s">
        <v>10</v>
      </c>
      <c r="C73" s="66"/>
      <c r="D73" s="69" t="s">
        <v>46</v>
      </c>
      <c r="E73" s="68"/>
      <c r="F73" s="65" t="s">
        <v>28</v>
      </c>
      <c r="G73" s="66"/>
      <c r="H73" s="69" t="s">
        <v>46</v>
      </c>
    </row>
    <row r="74" spans="2:8" x14ac:dyDescent="0.2">
      <c r="B74" s="65" t="s">
        <v>11</v>
      </c>
      <c r="C74" s="66"/>
      <c r="D74" s="69" t="s">
        <v>46</v>
      </c>
      <c r="E74" s="68"/>
      <c r="F74" s="65" t="s">
        <v>11</v>
      </c>
      <c r="G74" s="66"/>
      <c r="H74" s="69" t="s">
        <v>46</v>
      </c>
    </row>
    <row r="75" spans="2:8" x14ac:dyDescent="0.2">
      <c r="B75" s="65" t="s">
        <v>12</v>
      </c>
      <c r="C75" s="72"/>
      <c r="D75" s="69" t="s">
        <v>46</v>
      </c>
      <c r="E75" s="68"/>
      <c r="F75" s="65" t="s">
        <v>12</v>
      </c>
      <c r="G75" s="72"/>
      <c r="H75" s="69" t="s">
        <v>46</v>
      </c>
    </row>
    <row r="76" spans="2:8" x14ac:dyDescent="0.2">
      <c r="B76" s="65" t="s">
        <v>13</v>
      </c>
      <c r="C76" s="72">
        <v>27572189</v>
      </c>
      <c r="D76" s="69">
        <v>2.6218124808084138E-3</v>
      </c>
      <c r="E76" s="68"/>
      <c r="F76" s="65" t="s">
        <v>13</v>
      </c>
      <c r="G76" s="72">
        <v>-6056096</v>
      </c>
      <c r="H76" s="69">
        <v>-1.0164075122218133E-3</v>
      </c>
    </row>
    <row r="77" spans="2:8" x14ac:dyDescent="0.2">
      <c r="B77" s="65" t="s">
        <v>14</v>
      </c>
      <c r="C77" s="66">
        <v>44014414</v>
      </c>
      <c r="D77" s="69">
        <v>4.1852875722224511E-3</v>
      </c>
      <c r="E77" s="68"/>
      <c r="F77" s="65" t="s">
        <v>14</v>
      </c>
      <c r="G77" s="66">
        <v>24976337</v>
      </c>
      <c r="H77" s="69">
        <v>4.1918319251517192E-3</v>
      </c>
    </row>
    <row r="78" spans="2:8" x14ac:dyDescent="0.2">
      <c r="B78" s="65" t="s">
        <v>15</v>
      </c>
      <c r="C78" s="72"/>
      <c r="D78" s="69" t="s">
        <v>46</v>
      </c>
      <c r="E78" s="68"/>
      <c r="F78" s="65" t="s">
        <v>15</v>
      </c>
      <c r="G78" s="72"/>
      <c r="H78" s="69" t="s">
        <v>46</v>
      </c>
    </row>
    <row r="79" spans="2:8" x14ac:dyDescent="0.2">
      <c r="B79" s="65" t="s">
        <v>16</v>
      </c>
      <c r="C79" s="72">
        <v>-12399</v>
      </c>
      <c r="D79" s="69">
        <v>-1.1790087812593886E-6</v>
      </c>
      <c r="E79" s="68"/>
      <c r="F79" s="65" t="s">
        <v>16</v>
      </c>
      <c r="G79" s="72">
        <v>-12399</v>
      </c>
      <c r="H79" s="69">
        <v>-2.0809506229819118E-6</v>
      </c>
    </row>
    <row r="80" spans="2:8" x14ac:dyDescent="0.2">
      <c r="B80" s="76" t="s">
        <v>17</v>
      </c>
      <c r="C80" s="77">
        <v>71605488</v>
      </c>
      <c r="D80" s="78">
        <v>6.8088958092074985E-3</v>
      </c>
      <c r="E80" s="79"/>
      <c r="F80" s="76" t="s">
        <v>17</v>
      </c>
      <c r="G80" s="77">
        <v>18937764</v>
      </c>
      <c r="H80" s="78">
        <v>3.178365335404824E-3</v>
      </c>
    </row>
    <row r="81" spans="2:7" x14ac:dyDescent="0.2">
      <c r="C81" s="84"/>
      <c r="G81" s="90"/>
    </row>
    <row r="82" spans="2:7" ht="24" x14ac:dyDescent="0.2">
      <c r="B82" s="63" t="s">
        <v>29</v>
      </c>
      <c r="C82" s="63"/>
      <c r="D82" s="63" t="s">
        <v>3</v>
      </c>
      <c r="G82" s="90"/>
    </row>
    <row r="83" spans="2:7" x14ac:dyDescent="0.2">
      <c r="B83" s="94" t="s">
        <v>30</v>
      </c>
      <c r="C83" s="95"/>
      <c r="D83" s="69" t="e">
        <v>#REF!</v>
      </c>
      <c r="G83" s="90"/>
    </row>
    <row r="84" spans="2:7" x14ac:dyDescent="0.2">
      <c r="B84" s="96" t="s">
        <v>31</v>
      </c>
      <c r="C84" s="95"/>
      <c r="D84" s="69" t="e">
        <v>#REF!</v>
      </c>
      <c r="G84" s="90"/>
    </row>
    <row r="85" spans="2:7" x14ac:dyDescent="0.2">
      <c r="B85" s="96" t="s">
        <v>32</v>
      </c>
      <c r="C85" s="97"/>
      <c r="D85" s="69" t="e">
        <v>#REF!</v>
      </c>
      <c r="G85" s="90"/>
    </row>
    <row r="86" spans="2:7" x14ac:dyDescent="0.2">
      <c r="B86" s="96" t="s">
        <v>33</v>
      </c>
      <c r="C86" s="95"/>
      <c r="D86" s="69" t="e">
        <v>#REF!</v>
      </c>
      <c r="G86" s="90"/>
    </row>
    <row r="87" spans="2:7" x14ac:dyDescent="0.2">
      <c r="B87" s="96" t="s">
        <v>7</v>
      </c>
      <c r="C87" s="95"/>
      <c r="D87" s="69" t="e">
        <v>#REF!</v>
      </c>
      <c r="G87" s="90"/>
    </row>
    <row r="88" spans="2:7" x14ac:dyDescent="0.2">
      <c r="B88" s="96"/>
      <c r="C88" s="98"/>
      <c r="D88" s="69"/>
      <c r="G88" s="90"/>
    </row>
    <row r="89" spans="2:7" x14ac:dyDescent="0.2">
      <c r="B89" s="96"/>
      <c r="C89" s="98"/>
      <c r="D89" s="69"/>
      <c r="G89" s="90"/>
    </row>
    <row r="90" spans="2:7" x14ac:dyDescent="0.2">
      <c r="B90" s="76" t="s">
        <v>17</v>
      </c>
      <c r="C90" s="99"/>
      <c r="D90" s="78" t="e">
        <v>#REF!</v>
      </c>
      <c r="E90" s="100"/>
      <c r="G90" s="101"/>
    </row>
    <row r="91" spans="2:7" x14ac:dyDescent="0.2">
      <c r="C91" s="84"/>
      <c r="G91" s="90"/>
    </row>
    <row r="92" spans="2:7" x14ac:dyDescent="0.2">
      <c r="C92" s="84"/>
      <c r="G92" s="90"/>
    </row>
    <row r="93" spans="2:7" x14ac:dyDescent="0.2">
      <c r="C93" s="84"/>
      <c r="G93" s="90"/>
    </row>
    <row r="94" spans="2:7" x14ac:dyDescent="0.2">
      <c r="C94" s="84"/>
      <c r="G94" s="90"/>
    </row>
    <row r="95" spans="2:7" ht="24" x14ac:dyDescent="0.2">
      <c r="B95" s="63" t="s">
        <v>25</v>
      </c>
      <c r="C95" s="63"/>
      <c r="D95" s="63" t="s">
        <v>3</v>
      </c>
      <c r="E95" s="81"/>
      <c r="F95" s="59"/>
    </row>
    <row r="96" spans="2:7" x14ac:dyDescent="0.2">
      <c r="B96" s="94"/>
      <c r="C96" s="102"/>
      <c r="D96" s="69" t="s">
        <v>46</v>
      </c>
      <c r="E96" s="75"/>
      <c r="F96" s="59"/>
    </row>
    <row r="97" spans="2:8" x14ac:dyDescent="0.2">
      <c r="B97" s="96" t="s">
        <v>34</v>
      </c>
      <c r="C97" s="103"/>
      <c r="D97" s="69" t="s">
        <v>46</v>
      </c>
      <c r="E97" s="75"/>
      <c r="F97" s="59"/>
    </row>
    <row r="98" spans="2:8" x14ac:dyDescent="0.2">
      <c r="B98" s="96" t="s">
        <v>35</v>
      </c>
      <c r="C98" s="103"/>
      <c r="D98" s="69" t="s">
        <v>46</v>
      </c>
      <c r="E98" s="75"/>
      <c r="F98" s="59"/>
    </row>
    <row r="99" spans="2:8" x14ac:dyDescent="0.2">
      <c r="B99" s="96" t="s">
        <v>36</v>
      </c>
      <c r="C99" s="103"/>
      <c r="D99" s="69" t="s">
        <v>46</v>
      </c>
      <c r="E99" s="75"/>
      <c r="F99" s="59"/>
    </row>
    <row r="100" spans="2:8" x14ac:dyDescent="0.2">
      <c r="B100" s="96" t="s">
        <v>37</v>
      </c>
      <c r="C100" s="103"/>
      <c r="D100" s="69" t="s">
        <v>46</v>
      </c>
      <c r="E100" s="75"/>
      <c r="F100" s="59"/>
    </row>
    <row r="101" spans="2:8" x14ac:dyDescent="0.2">
      <c r="B101" s="96" t="s">
        <v>38</v>
      </c>
      <c r="C101" s="98"/>
      <c r="D101" s="69" t="s">
        <v>46</v>
      </c>
      <c r="E101" s="75"/>
      <c r="F101" s="59"/>
    </row>
    <row r="102" spans="2:8" x14ac:dyDescent="0.2">
      <c r="B102" s="96"/>
      <c r="C102" s="102"/>
      <c r="D102" s="69" t="s">
        <v>46</v>
      </c>
      <c r="E102" s="75"/>
      <c r="F102" s="59"/>
    </row>
    <row r="103" spans="2:8" x14ac:dyDescent="0.2">
      <c r="B103" s="76" t="s">
        <v>17</v>
      </c>
      <c r="C103" s="99">
        <v>0</v>
      </c>
      <c r="D103" s="78"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ht="24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94" t="s">
        <v>19</v>
      </c>
      <c r="C106" s="106">
        <v>22810267069.999901</v>
      </c>
      <c r="D106" s="107"/>
      <c r="E106" s="58"/>
      <c r="F106" s="106"/>
      <c r="H106" s="75"/>
    </row>
    <row r="107" spans="2:8" x14ac:dyDescent="0.2">
      <c r="B107" s="96" t="s">
        <v>24</v>
      </c>
      <c r="C107" s="106">
        <v>15966810773.999901</v>
      </c>
      <c r="D107" s="107"/>
      <c r="E107" s="108"/>
      <c r="F107" s="106"/>
      <c r="G107" s="62"/>
      <c r="H107" s="62"/>
    </row>
    <row r="108" spans="2:8" x14ac:dyDescent="0.2">
      <c r="B108" s="96" t="s">
        <v>26</v>
      </c>
      <c r="C108" s="106">
        <v>10516461113.000099</v>
      </c>
      <c r="D108" s="107"/>
      <c r="E108" s="108"/>
      <c r="F108" s="106"/>
      <c r="H108" s="75"/>
    </row>
    <row r="109" spans="2:8" x14ac:dyDescent="0.2">
      <c r="B109" s="96" t="s">
        <v>22</v>
      </c>
      <c r="C109" s="106">
        <v>4771535893</v>
      </c>
      <c r="D109" s="107"/>
      <c r="E109" s="108"/>
      <c r="F109" s="106"/>
      <c r="G109" s="62"/>
      <c r="H109" s="62"/>
    </row>
    <row r="110" spans="2:8" x14ac:dyDescent="0.2">
      <c r="B110" s="96" t="s">
        <v>27</v>
      </c>
      <c r="C110" s="106">
        <v>5958334553</v>
      </c>
      <c r="D110" s="107"/>
      <c r="E110" s="108"/>
      <c r="F110" s="106"/>
      <c r="H110" s="75"/>
    </row>
    <row r="111" spans="2:8" x14ac:dyDescent="0.2">
      <c r="B111" s="96" t="s">
        <v>1</v>
      </c>
      <c r="C111" s="106">
        <v>56201189841</v>
      </c>
      <c r="D111" s="109">
        <v>1246396482</v>
      </c>
      <c r="F111" s="106">
        <v>57447586323</v>
      </c>
      <c r="G111" s="62"/>
      <c r="H111" s="62"/>
    </row>
    <row r="112" spans="2:8" x14ac:dyDescent="0.2">
      <c r="B112" s="96" t="s">
        <v>18</v>
      </c>
      <c r="C112" s="110">
        <v>39292403.024599999</v>
      </c>
      <c r="D112" s="111">
        <v>69897.97</v>
      </c>
      <c r="F112" s="106">
        <v>39362300.994599998</v>
      </c>
      <c r="H112" s="75"/>
    </row>
    <row r="113" spans="1:13" x14ac:dyDescent="0.2">
      <c r="B113" s="96" t="s">
        <v>4</v>
      </c>
      <c r="C113" s="106">
        <v>9454063286</v>
      </c>
      <c r="D113" s="107"/>
      <c r="F113" s="106"/>
      <c r="G113" s="62"/>
      <c r="H113" s="62"/>
    </row>
    <row r="114" spans="1:13" x14ac:dyDescent="0.2">
      <c r="B114" s="96" t="s">
        <v>21</v>
      </c>
      <c r="C114" s="106">
        <v>87635212981</v>
      </c>
      <c r="D114" s="107"/>
      <c r="F114" s="106"/>
      <c r="H114" s="75"/>
    </row>
    <row r="115" spans="1:13" x14ac:dyDescent="0.2">
      <c r="B115" s="96" t="s">
        <v>25</v>
      </c>
      <c r="C115" s="110">
        <v>121502719.02700001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39"/>
  <dimension ref="A2:M121"/>
  <sheetViews>
    <sheetView workbookViewId="0"/>
  </sheetViews>
  <sheetFormatPr baseColWidth="10" defaultRowHeight="12.75" x14ac:dyDescent="0.2"/>
  <sheetData>
    <row r="2" spans="1:9" ht="108" x14ac:dyDescent="0.2">
      <c r="B2" s="185" t="s">
        <v>0</v>
      </c>
      <c r="C2" s="185"/>
      <c r="D2" s="185"/>
      <c r="E2" s="185"/>
      <c r="F2" s="185"/>
      <c r="G2" s="185"/>
      <c r="H2" s="185"/>
    </row>
    <row r="4" spans="1:9" x14ac:dyDescent="0.2">
      <c r="A4" s="60"/>
      <c r="B4" s="186">
        <v>42991</v>
      </c>
      <c r="C4" s="186"/>
      <c r="D4" s="186"/>
      <c r="E4" s="186"/>
      <c r="F4" s="186"/>
      <c r="G4" s="186"/>
      <c r="H4" s="186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4978732</v>
      </c>
      <c r="D7" s="67">
        <v>7.8283531455984332E-5</v>
      </c>
      <c r="E7" s="68"/>
      <c r="F7" s="65" t="s">
        <v>5</v>
      </c>
      <c r="G7" s="66">
        <v>464131</v>
      </c>
      <c r="H7" s="69">
        <v>4.9149524014634269E-5</v>
      </c>
      <c r="I7" s="70"/>
    </row>
    <row r="8" spans="1:9" x14ac:dyDescent="0.2">
      <c r="B8" s="65" t="s">
        <v>6</v>
      </c>
      <c r="C8" s="66">
        <v>88620</v>
      </c>
      <c r="D8" s="67">
        <v>1.393424381474908E-6</v>
      </c>
      <c r="E8" s="68"/>
      <c r="F8" s="65" t="s">
        <v>6</v>
      </c>
      <c r="G8" s="66">
        <v>130110</v>
      </c>
      <c r="H8" s="69">
        <v>1.3778102668307149E-5</v>
      </c>
    </row>
    <row r="9" spans="1:9" x14ac:dyDescent="0.2">
      <c r="B9" s="65" t="s">
        <v>7</v>
      </c>
      <c r="C9" s="71"/>
      <c r="D9" s="67" t="s">
        <v>46</v>
      </c>
      <c r="E9" s="68"/>
      <c r="F9" s="65" t="s">
        <v>7</v>
      </c>
      <c r="G9" s="66"/>
      <c r="H9" s="69" t="s">
        <v>46</v>
      </c>
    </row>
    <row r="10" spans="1:9" x14ac:dyDescent="0.2">
      <c r="B10" s="65" t="s">
        <v>8</v>
      </c>
      <c r="C10" s="66"/>
      <c r="D10" s="67" t="s">
        <v>46</v>
      </c>
      <c r="E10" s="68"/>
      <c r="F10" s="65" t="s">
        <v>8</v>
      </c>
      <c r="G10" s="66"/>
      <c r="H10" s="69" t="s">
        <v>46</v>
      </c>
    </row>
    <row r="11" spans="1:9" x14ac:dyDescent="0.2">
      <c r="B11" s="65" t="s">
        <v>9</v>
      </c>
      <c r="C11" s="66"/>
      <c r="D11" s="67" t="s">
        <v>46</v>
      </c>
      <c r="E11" s="68"/>
      <c r="F11" s="65" t="s">
        <v>9</v>
      </c>
      <c r="G11" s="66">
        <v>34709</v>
      </c>
      <c r="H11" s="69">
        <v>3.6755373569615927E-6</v>
      </c>
    </row>
    <row r="12" spans="1:9" x14ac:dyDescent="0.2">
      <c r="B12" s="65" t="s">
        <v>10</v>
      </c>
      <c r="C12" s="66"/>
      <c r="D12" s="67" t="s">
        <v>46</v>
      </c>
      <c r="E12" s="68"/>
      <c r="F12" s="65" t="s">
        <v>10</v>
      </c>
      <c r="G12" s="66"/>
      <c r="H12" s="69" t="s">
        <v>46</v>
      </c>
    </row>
    <row r="13" spans="1:9" x14ac:dyDescent="0.2">
      <c r="B13" s="65" t="s">
        <v>11</v>
      </c>
      <c r="C13" s="66"/>
      <c r="D13" s="67" t="s">
        <v>46</v>
      </c>
      <c r="E13" s="68"/>
      <c r="F13" s="65" t="s">
        <v>11</v>
      </c>
      <c r="G13" s="66"/>
      <c r="H13" s="69" t="s">
        <v>46</v>
      </c>
    </row>
    <row r="14" spans="1:9" x14ac:dyDescent="0.2">
      <c r="B14" s="65" t="s">
        <v>12</v>
      </c>
      <c r="C14" s="72"/>
      <c r="D14" s="67" t="s">
        <v>46</v>
      </c>
      <c r="E14" s="68"/>
      <c r="F14" s="65" t="s">
        <v>12</v>
      </c>
      <c r="G14" s="73">
        <v>-4038562</v>
      </c>
      <c r="H14" s="69">
        <v>-4.2766675788428142E-4</v>
      </c>
      <c r="I14" s="74"/>
    </row>
    <row r="15" spans="1:9" x14ac:dyDescent="0.2">
      <c r="B15" s="65" t="s">
        <v>13</v>
      </c>
      <c r="C15" s="72"/>
      <c r="D15" s="67" t="s">
        <v>46</v>
      </c>
      <c r="E15" s="68"/>
      <c r="F15" s="65" t="s">
        <v>13</v>
      </c>
      <c r="G15" s="72"/>
      <c r="H15" s="69" t="s">
        <v>46</v>
      </c>
      <c r="I15" s="74"/>
    </row>
    <row r="16" spans="1:9" x14ac:dyDescent="0.2">
      <c r="B16" s="65" t="s">
        <v>14</v>
      </c>
      <c r="C16" s="66"/>
      <c r="D16" s="67" t="s">
        <v>46</v>
      </c>
      <c r="E16" s="68"/>
      <c r="F16" s="65" t="s">
        <v>14</v>
      </c>
      <c r="G16" s="66"/>
      <c r="H16" s="69" t="s">
        <v>46</v>
      </c>
    </row>
    <row r="17" spans="2:9" x14ac:dyDescent="0.2">
      <c r="B17" s="65" t="s">
        <v>15</v>
      </c>
      <c r="C17" s="72"/>
      <c r="D17" s="67" t="s">
        <v>46</v>
      </c>
      <c r="E17" s="68"/>
      <c r="F17" s="65" t="s">
        <v>15</v>
      </c>
      <c r="G17" s="72"/>
      <c r="H17" s="69" t="s">
        <v>46</v>
      </c>
    </row>
    <row r="18" spans="2:9" x14ac:dyDescent="0.2">
      <c r="B18" s="65" t="s">
        <v>16</v>
      </c>
      <c r="C18" s="72">
        <v>-128277</v>
      </c>
      <c r="D18" s="67">
        <v>-2.0169747165702638E-6</v>
      </c>
      <c r="E18" s="75"/>
      <c r="F18" s="65" t="s">
        <v>16</v>
      </c>
      <c r="G18" s="72">
        <v>-31316</v>
      </c>
      <c r="H18" s="69">
        <v>-3.3162329041634516E-6</v>
      </c>
    </row>
    <row r="19" spans="2:9" x14ac:dyDescent="0.2">
      <c r="B19" s="76" t="s">
        <v>17</v>
      </c>
      <c r="C19" s="77">
        <v>4939075</v>
      </c>
      <c r="D19" s="78">
        <v>7.7659981120888983E-5</v>
      </c>
      <c r="E19" s="79"/>
      <c r="F19" s="76" t="s">
        <v>17</v>
      </c>
      <c r="G19" s="77">
        <v>-3440928</v>
      </c>
      <c r="H19" s="78">
        <v>-3.6437982674854188E-4</v>
      </c>
    </row>
    <row r="21" spans="2:9" ht="24" x14ac:dyDescent="0.2">
      <c r="B21" s="63" t="s">
        <v>18</v>
      </c>
      <c r="C21" s="63"/>
      <c r="D21" s="63" t="s">
        <v>3</v>
      </c>
      <c r="E21" s="81"/>
      <c r="F21" s="63" t="s">
        <v>19</v>
      </c>
      <c r="G21" s="63"/>
      <c r="H21" s="63" t="s">
        <v>3</v>
      </c>
    </row>
    <row r="22" spans="2:9" x14ac:dyDescent="0.2">
      <c r="B22" s="65" t="s">
        <v>43</v>
      </c>
      <c r="C22" s="71">
        <v>2744.8739</v>
      </c>
      <c r="D22" s="69">
        <v>6.637022014486107E-5</v>
      </c>
      <c r="E22" s="75"/>
      <c r="F22" s="65" t="s">
        <v>5</v>
      </c>
      <c r="G22" s="66">
        <v>1536315</v>
      </c>
      <c r="H22" s="69">
        <v>6.742885456738038E-5</v>
      </c>
      <c r="I22" s="114"/>
    </row>
    <row r="23" spans="2:9" x14ac:dyDescent="0.2">
      <c r="B23" s="65" t="s">
        <v>44</v>
      </c>
      <c r="C23" s="71"/>
      <c r="D23" s="69" t="s">
        <v>46</v>
      </c>
      <c r="E23" s="75"/>
      <c r="F23" s="65" t="s">
        <v>6</v>
      </c>
      <c r="G23" s="66">
        <v>392538</v>
      </c>
      <c r="H23" s="69">
        <v>1.7228490064973887E-5</v>
      </c>
      <c r="I23" s="114"/>
    </row>
    <row r="24" spans="2:9" x14ac:dyDescent="0.2">
      <c r="B24" s="65" t="s">
        <v>45</v>
      </c>
      <c r="C24" s="71">
        <v>-6533.2351586222649</v>
      </c>
      <c r="D24" s="69">
        <v>-1.5797164880175589E-4</v>
      </c>
      <c r="E24" s="75"/>
      <c r="F24" s="65" t="s">
        <v>7</v>
      </c>
      <c r="G24" s="71"/>
      <c r="H24" s="69" t="s">
        <v>46</v>
      </c>
      <c r="I24" s="114"/>
    </row>
    <row r="25" spans="2:9" x14ac:dyDescent="0.2">
      <c r="B25" s="65" t="s">
        <v>8</v>
      </c>
      <c r="C25" s="71"/>
      <c r="D25" s="69" t="s">
        <v>46</v>
      </c>
      <c r="E25" s="75"/>
      <c r="F25" s="65" t="s">
        <v>8</v>
      </c>
      <c r="G25" s="66"/>
      <c r="H25" s="69" t="s">
        <v>46</v>
      </c>
      <c r="I25" s="114"/>
    </row>
    <row r="26" spans="2:9" x14ac:dyDescent="0.2">
      <c r="B26" s="65" t="s">
        <v>9</v>
      </c>
      <c r="C26" s="71">
        <v>9276.559922698525</v>
      </c>
      <c r="D26" s="69">
        <v>2.2430441130883881E-4</v>
      </c>
      <c r="E26" s="75"/>
      <c r="F26" s="65" t="s">
        <v>9</v>
      </c>
      <c r="G26" s="66"/>
      <c r="H26" s="69" t="s">
        <v>46</v>
      </c>
      <c r="I26" s="114"/>
    </row>
    <row r="27" spans="2:9" x14ac:dyDescent="0.2">
      <c r="B27" s="65" t="s">
        <v>10</v>
      </c>
      <c r="C27" s="71">
        <v>65055.424999999988</v>
      </c>
      <c r="D27" s="69">
        <v>1.5730204869766503E-3</v>
      </c>
      <c r="E27" s="75"/>
      <c r="F27" s="65" t="s">
        <v>10</v>
      </c>
      <c r="G27" s="66"/>
      <c r="H27" s="69" t="s">
        <v>46</v>
      </c>
      <c r="I27" s="114"/>
    </row>
    <row r="28" spans="2:9" x14ac:dyDescent="0.2">
      <c r="B28" s="65" t="s">
        <v>11</v>
      </c>
      <c r="C28" s="71"/>
      <c r="D28" s="69" t="s">
        <v>46</v>
      </c>
      <c r="E28" s="75"/>
      <c r="F28" s="65" t="s">
        <v>11</v>
      </c>
      <c r="G28" s="66"/>
      <c r="H28" s="69" t="s">
        <v>46</v>
      </c>
      <c r="I28" s="114"/>
    </row>
    <row r="29" spans="2:9" x14ac:dyDescent="0.2">
      <c r="B29" s="65" t="s">
        <v>12</v>
      </c>
      <c r="C29" s="71"/>
      <c r="D29" s="69" t="s">
        <v>46</v>
      </c>
      <c r="E29" s="75"/>
      <c r="F29" s="65" t="s">
        <v>12</v>
      </c>
      <c r="G29" s="73">
        <v>-6690393</v>
      </c>
      <c r="H29" s="69">
        <v>-2.9364130181350813E-4</v>
      </c>
      <c r="I29" s="114"/>
    </row>
    <row r="30" spans="2:9" x14ac:dyDescent="0.2">
      <c r="B30" s="65" t="s">
        <v>13</v>
      </c>
      <c r="C30" s="71"/>
      <c r="D30" s="69" t="s">
        <v>46</v>
      </c>
      <c r="E30" s="75"/>
      <c r="F30" s="65" t="s">
        <v>13</v>
      </c>
      <c r="G30" s="72"/>
      <c r="H30" s="69" t="s">
        <v>46</v>
      </c>
      <c r="I30" s="114"/>
    </row>
    <row r="31" spans="2:9" x14ac:dyDescent="0.2">
      <c r="B31" s="65" t="s">
        <v>14</v>
      </c>
      <c r="C31" s="71">
        <v>-68314.299400000004</v>
      </c>
      <c r="D31" s="69">
        <v>-1.651819083645318E-3</v>
      </c>
      <c r="E31" s="75"/>
      <c r="F31" s="65" t="s">
        <v>14</v>
      </c>
      <c r="G31" s="66"/>
      <c r="H31" s="69" t="s">
        <v>46</v>
      </c>
    </row>
    <row r="32" spans="2:9" x14ac:dyDescent="0.2">
      <c r="B32" s="65" t="s">
        <v>15</v>
      </c>
      <c r="C32" s="71"/>
      <c r="D32" s="69" t="s">
        <v>46</v>
      </c>
      <c r="E32" s="75"/>
      <c r="F32" s="65" t="s">
        <v>15</v>
      </c>
      <c r="G32" s="72"/>
      <c r="H32" s="69" t="s">
        <v>46</v>
      </c>
    </row>
    <row r="33" spans="1:13" x14ac:dyDescent="0.2">
      <c r="B33" s="65" t="s">
        <v>16</v>
      </c>
      <c r="C33" s="71">
        <v>-52.63</v>
      </c>
      <c r="D33" s="69">
        <v>-1.2725774711268296E-6</v>
      </c>
      <c r="E33" s="75"/>
      <c r="F33" s="65" t="s">
        <v>16</v>
      </c>
      <c r="G33" s="72">
        <v>-47941</v>
      </c>
      <c r="H33" s="69">
        <v>-2.1041301535263165E-6</v>
      </c>
    </row>
    <row r="34" spans="1:13" x14ac:dyDescent="0.2">
      <c r="B34" s="76" t="s">
        <v>17</v>
      </c>
      <c r="C34" s="77">
        <v>2176.6942640762472</v>
      </c>
      <c r="D34" s="78">
        <v>5.2631808512149346E-5</v>
      </c>
      <c r="E34" s="79"/>
      <c r="F34" s="76" t="s">
        <v>17</v>
      </c>
      <c r="G34" s="77">
        <v>-4809481</v>
      </c>
      <c r="H34" s="78">
        <v>-2.1108808733468019E-4</v>
      </c>
      <c r="I34" s="115"/>
    </row>
    <row r="35" spans="1:13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/>
      <c r="D36" s="63" t="s">
        <v>3</v>
      </c>
      <c r="E36" s="85"/>
      <c r="F36" s="63" t="s">
        <v>22</v>
      </c>
      <c r="G36" s="63"/>
      <c r="H36" s="63" t="s">
        <v>3</v>
      </c>
    </row>
    <row r="37" spans="1:13" x14ac:dyDescent="0.2">
      <c r="B37" s="65" t="s">
        <v>5</v>
      </c>
      <c r="C37" s="66">
        <v>3734426</v>
      </c>
      <c r="D37" s="69">
        <v>4.568079826962916E-5</v>
      </c>
      <c r="E37" s="68"/>
      <c r="F37" s="65" t="s">
        <v>5</v>
      </c>
      <c r="G37" s="66"/>
      <c r="H37" s="69" t="s">
        <v>46</v>
      </c>
      <c r="K37" s="86"/>
      <c r="M37" s="87"/>
    </row>
    <row r="38" spans="1:13" x14ac:dyDescent="0.2">
      <c r="B38" s="65" t="s">
        <v>6</v>
      </c>
      <c r="C38" s="66">
        <v>2732226</v>
      </c>
      <c r="D38" s="69">
        <v>3.3421539142303478E-5</v>
      </c>
      <c r="E38" s="68"/>
      <c r="F38" s="65" t="s">
        <v>6</v>
      </c>
      <c r="G38" s="66"/>
      <c r="H38" s="69" t="s">
        <v>46</v>
      </c>
    </row>
    <row r="39" spans="1:13" x14ac:dyDescent="0.2">
      <c r="B39" s="65" t="s">
        <v>7</v>
      </c>
      <c r="C39" s="71"/>
      <c r="D39" s="69" t="s">
        <v>46</v>
      </c>
      <c r="E39" s="68"/>
      <c r="F39" s="65" t="s">
        <v>7</v>
      </c>
      <c r="G39" s="71">
        <v>122725</v>
      </c>
      <c r="H39" s="69">
        <v>2.5548548401718805E-5</v>
      </c>
    </row>
    <row r="40" spans="1:13" x14ac:dyDescent="0.2">
      <c r="B40" s="65" t="s">
        <v>8</v>
      </c>
      <c r="C40" s="66"/>
      <c r="D40" s="69" t="s">
        <v>46</v>
      </c>
      <c r="E40" s="68"/>
      <c r="F40" s="65" t="s">
        <v>8</v>
      </c>
      <c r="G40" s="66"/>
      <c r="H40" s="69" t="s">
        <v>46</v>
      </c>
    </row>
    <row r="41" spans="1:13" x14ac:dyDescent="0.2">
      <c r="B41" s="65" t="s">
        <v>9</v>
      </c>
      <c r="C41" s="66"/>
      <c r="D41" s="69" t="s">
        <v>46</v>
      </c>
      <c r="E41" s="68"/>
      <c r="F41" s="65" t="s">
        <v>9</v>
      </c>
      <c r="G41" s="66"/>
      <c r="H41" s="69" t="s">
        <v>46</v>
      </c>
    </row>
    <row r="42" spans="1:13" x14ac:dyDescent="0.2">
      <c r="B42" s="65" t="s">
        <v>10</v>
      </c>
      <c r="C42" s="66"/>
      <c r="D42" s="69" t="s">
        <v>46</v>
      </c>
      <c r="E42" s="68"/>
      <c r="F42" s="65" t="s">
        <v>10</v>
      </c>
      <c r="G42" s="66"/>
      <c r="H42" s="69" t="s">
        <v>46</v>
      </c>
    </row>
    <row r="43" spans="1:13" x14ac:dyDescent="0.2">
      <c r="B43" s="65" t="s">
        <v>11</v>
      </c>
      <c r="C43" s="66"/>
      <c r="D43" s="69" t="s">
        <v>46</v>
      </c>
      <c r="E43" s="68"/>
      <c r="F43" s="65" t="s">
        <v>23</v>
      </c>
      <c r="G43" s="66"/>
      <c r="H43" s="69" t="s">
        <v>46</v>
      </c>
      <c r="I43" s="88"/>
    </row>
    <row r="44" spans="1:13" x14ac:dyDescent="0.2">
      <c r="B44" s="65" t="s">
        <v>12</v>
      </c>
      <c r="C44" s="72">
        <v>-43774241</v>
      </c>
      <c r="D44" s="69">
        <v>-5.3546174767611675E-4</v>
      </c>
      <c r="E44" s="68"/>
      <c r="F44" s="65" t="s">
        <v>12</v>
      </c>
      <c r="G44" s="72"/>
      <c r="H44" s="69" t="s">
        <v>46</v>
      </c>
    </row>
    <row r="45" spans="1:13" x14ac:dyDescent="0.2">
      <c r="B45" s="65" t="s">
        <v>13</v>
      </c>
      <c r="C45" s="72">
        <v>-15882445</v>
      </c>
      <c r="D45" s="69">
        <v>-1.9427959372430472E-4</v>
      </c>
      <c r="E45" s="68"/>
      <c r="F45" s="65" t="s">
        <v>13</v>
      </c>
      <c r="G45" s="72">
        <v>-6599684</v>
      </c>
      <c r="H45" s="69">
        <v>-1.3739038183748151E-3</v>
      </c>
    </row>
    <row r="46" spans="1:13" x14ac:dyDescent="0.2">
      <c r="B46" s="65" t="s">
        <v>14</v>
      </c>
      <c r="C46" s="66"/>
      <c r="D46" s="69" t="s">
        <v>46</v>
      </c>
      <c r="E46" s="68"/>
      <c r="F46" s="65" t="s">
        <v>14</v>
      </c>
      <c r="G46" s="66"/>
      <c r="H46" s="69" t="s">
        <v>46</v>
      </c>
    </row>
    <row r="47" spans="1:13" x14ac:dyDescent="0.2">
      <c r="B47" s="65" t="s">
        <v>15</v>
      </c>
      <c r="C47" s="72">
        <v>-3753761</v>
      </c>
      <c r="D47" s="69">
        <v>-4.5917310717470756E-5</v>
      </c>
      <c r="E47" s="68"/>
      <c r="F47" s="65" t="s">
        <v>15</v>
      </c>
      <c r="G47" s="72">
        <v>7</v>
      </c>
      <c r="H47" s="69">
        <v>1.4572404873663201E-9</v>
      </c>
    </row>
    <row r="48" spans="1:13" x14ac:dyDescent="0.2">
      <c r="B48" s="65" t="s">
        <v>16</v>
      </c>
      <c r="C48" s="72">
        <v>-55236</v>
      </c>
      <c r="D48" s="69">
        <v>-6.7566597201852076E-7</v>
      </c>
      <c r="E48" s="68"/>
      <c r="F48" s="65" t="s">
        <v>16</v>
      </c>
      <c r="G48" s="72">
        <v>-39482</v>
      </c>
      <c r="H48" s="69">
        <v>-8.2192527031710078E-6</v>
      </c>
    </row>
    <row r="49" spans="2:9" x14ac:dyDescent="0.2">
      <c r="B49" s="76" t="s">
        <v>17</v>
      </c>
      <c r="C49" s="77">
        <v>-56999031</v>
      </c>
      <c r="D49" s="78">
        <v>-6.9723198067797815E-4</v>
      </c>
      <c r="E49" s="79"/>
      <c r="F49" s="76" t="s">
        <v>17</v>
      </c>
      <c r="G49" s="77">
        <v>-17610970</v>
      </c>
      <c r="H49" s="78">
        <v>-1.3565730654357799E-3</v>
      </c>
      <c r="I49" s="89"/>
    </row>
    <row r="50" spans="2:9" x14ac:dyDescent="0.2">
      <c r="C50" s="84"/>
      <c r="G50" s="90"/>
    </row>
    <row r="51" spans="2:9" x14ac:dyDescent="0.2">
      <c r="C51" s="84"/>
      <c r="G51" s="90"/>
    </row>
    <row r="52" spans="2:9" ht="24" x14ac:dyDescent="0.2">
      <c r="B52" s="63" t="s">
        <v>24</v>
      </c>
      <c r="C52" s="63"/>
      <c r="D52" s="63" t="s">
        <v>3</v>
      </c>
      <c r="E52" s="85"/>
      <c r="F52" s="63" t="s">
        <v>25</v>
      </c>
      <c r="G52" s="63"/>
      <c r="H52" s="63" t="s">
        <v>3</v>
      </c>
    </row>
    <row r="53" spans="2:9" x14ac:dyDescent="0.2">
      <c r="B53" s="65" t="s">
        <v>5</v>
      </c>
      <c r="C53" s="66"/>
      <c r="D53" s="69" t="s">
        <v>46</v>
      </c>
      <c r="E53" s="68"/>
      <c r="F53" s="65" t="s">
        <v>5</v>
      </c>
      <c r="G53" s="116">
        <v>15497.4833</v>
      </c>
      <c r="H53" s="69">
        <v>1.2749173736017054E-4</v>
      </c>
    </row>
    <row r="54" spans="2:9" x14ac:dyDescent="0.2">
      <c r="B54" s="65" t="s">
        <v>6</v>
      </c>
      <c r="C54" s="66"/>
      <c r="D54" s="69" t="s">
        <v>46</v>
      </c>
      <c r="E54" s="68"/>
      <c r="F54" s="65" t="s">
        <v>6</v>
      </c>
      <c r="G54" s="66"/>
      <c r="H54" s="69" t="s">
        <v>46</v>
      </c>
    </row>
    <row r="55" spans="2:9" x14ac:dyDescent="0.2">
      <c r="B55" s="65" t="s">
        <v>7</v>
      </c>
      <c r="C55" s="71">
        <v>1441340</v>
      </c>
      <c r="D55" s="69">
        <v>8.9518779987714112E-5</v>
      </c>
      <c r="E55" s="68"/>
      <c r="F55" s="65" t="s">
        <v>7</v>
      </c>
      <c r="G55" s="71"/>
      <c r="H55" s="69" t="s">
        <v>46</v>
      </c>
    </row>
    <row r="56" spans="2:9" x14ac:dyDescent="0.2">
      <c r="B56" s="65" t="s">
        <v>8</v>
      </c>
      <c r="C56" s="66"/>
      <c r="D56" s="69" t="s">
        <v>46</v>
      </c>
      <c r="E56" s="68"/>
      <c r="F56" s="65" t="s">
        <v>8</v>
      </c>
      <c r="G56" s="66"/>
      <c r="H56" s="69" t="s">
        <v>46</v>
      </c>
    </row>
    <row r="57" spans="2:9" x14ac:dyDescent="0.2">
      <c r="B57" s="65" t="s">
        <v>9</v>
      </c>
      <c r="C57" s="66"/>
      <c r="D57" s="69" t="s">
        <v>46</v>
      </c>
      <c r="E57" s="68"/>
      <c r="F57" s="65" t="s">
        <v>9</v>
      </c>
      <c r="G57" s="66"/>
      <c r="H57" s="69" t="s">
        <v>46</v>
      </c>
    </row>
    <row r="58" spans="2:9" x14ac:dyDescent="0.2">
      <c r="B58" s="65" t="s">
        <v>10</v>
      </c>
      <c r="C58" s="66"/>
      <c r="D58" s="69" t="s">
        <v>46</v>
      </c>
      <c r="E58" s="68"/>
      <c r="F58" s="65" t="s">
        <v>10</v>
      </c>
      <c r="G58" s="66"/>
      <c r="H58" s="69" t="s">
        <v>46</v>
      </c>
    </row>
    <row r="59" spans="2:9" x14ac:dyDescent="0.2">
      <c r="B59" s="65" t="s">
        <v>11</v>
      </c>
      <c r="C59" s="66"/>
      <c r="D59" s="69" t="s">
        <v>46</v>
      </c>
      <c r="E59" s="68"/>
      <c r="F59" s="65" t="s">
        <v>11</v>
      </c>
      <c r="G59" s="66"/>
      <c r="H59" s="69" t="s">
        <v>46</v>
      </c>
    </row>
    <row r="60" spans="2:9" x14ac:dyDescent="0.2">
      <c r="B60" s="65" t="s">
        <v>12</v>
      </c>
      <c r="C60" s="72"/>
      <c r="D60" s="69" t="s">
        <v>46</v>
      </c>
      <c r="E60" s="68"/>
      <c r="F60" s="65" t="s">
        <v>12</v>
      </c>
      <c r="G60" s="92">
        <v>-32251.134999999998</v>
      </c>
      <c r="H60" s="69">
        <v>-2.6531748112852645E-4</v>
      </c>
    </row>
    <row r="61" spans="2:9" x14ac:dyDescent="0.2">
      <c r="B61" s="65" t="s">
        <v>13</v>
      </c>
      <c r="C61" s="72">
        <v>15723118</v>
      </c>
      <c r="D61" s="69">
        <v>9.7653179746823619E-4</v>
      </c>
      <c r="E61" s="68"/>
      <c r="F61" s="65" t="s">
        <v>13</v>
      </c>
      <c r="G61" s="72"/>
      <c r="H61" s="69" t="s">
        <v>46</v>
      </c>
    </row>
    <row r="62" spans="2:9" x14ac:dyDescent="0.2">
      <c r="B62" s="65" t="s">
        <v>14</v>
      </c>
      <c r="C62" s="66"/>
      <c r="D62" s="69" t="s">
        <v>46</v>
      </c>
      <c r="E62" s="68"/>
      <c r="F62" s="65" t="s">
        <v>14</v>
      </c>
      <c r="G62" s="66"/>
      <c r="H62" s="69" t="s">
        <v>46</v>
      </c>
    </row>
    <row r="63" spans="2:9" x14ac:dyDescent="0.2">
      <c r="B63" s="65" t="s">
        <v>15</v>
      </c>
      <c r="C63" s="72">
        <v>19</v>
      </c>
      <c r="D63" s="69">
        <v>1.1800524649052744E-9</v>
      </c>
      <c r="E63" s="68"/>
      <c r="F63" s="65" t="s">
        <v>15</v>
      </c>
      <c r="G63" s="92"/>
      <c r="H63" s="69" t="s">
        <v>46</v>
      </c>
    </row>
    <row r="64" spans="2:9" x14ac:dyDescent="0.2">
      <c r="B64" s="65" t="s">
        <v>16</v>
      </c>
      <c r="C64" s="72">
        <v>-132337</v>
      </c>
      <c r="D64" s="69">
        <v>-8.2191896341141727E-6</v>
      </c>
      <c r="E64" s="68"/>
      <c r="F64" s="65" t="s">
        <v>16</v>
      </c>
      <c r="G64" s="92">
        <v>-43.23</v>
      </c>
      <c r="H64" s="69">
        <v>-3.5563631199913422E-7</v>
      </c>
    </row>
    <row r="65" spans="2:8" x14ac:dyDescent="0.2">
      <c r="B65" s="76" t="s">
        <v>17</v>
      </c>
      <c r="C65" s="77">
        <v>17032140</v>
      </c>
      <c r="D65" s="78">
        <v>1.0578325678743008E-3</v>
      </c>
      <c r="E65" s="79"/>
      <c r="F65" s="76" t="s">
        <v>17</v>
      </c>
      <c r="G65" s="93">
        <v>-16796.881699999998</v>
      </c>
      <c r="H65" s="78">
        <v>-1.3818138008035504E-4</v>
      </c>
    </row>
    <row r="66" spans="2:8" x14ac:dyDescent="0.2">
      <c r="C66" s="84"/>
      <c r="G66" s="90"/>
    </row>
    <row r="67" spans="2:8" ht="24" x14ac:dyDescent="0.2">
      <c r="B67" s="63" t="s">
        <v>26</v>
      </c>
      <c r="C67" s="63"/>
      <c r="D67" s="63" t="s">
        <v>3</v>
      </c>
      <c r="E67" s="85"/>
      <c r="F67" s="63" t="s">
        <v>27</v>
      </c>
      <c r="G67" s="63"/>
      <c r="H67" s="63" t="s">
        <v>3</v>
      </c>
    </row>
    <row r="68" spans="2:8" x14ac:dyDescent="0.2">
      <c r="B68" s="65" t="s">
        <v>5</v>
      </c>
      <c r="C68" s="66"/>
      <c r="D68" s="69" t="s">
        <v>46</v>
      </c>
      <c r="E68" s="68"/>
      <c r="F68" s="65" t="s">
        <v>5</v>
      </c>
      <c r="G68" s="66"/>
      <c r="H68" s="69" t="s">
        <v>46</v>
      </c>
    </row>
    <row r="69" spans="2:8" x14ac:dyDescent="0.2">
      <c r="B69" s="65" t="s">
        <v>6</v>
      </c>
      <c r="C69" s="66"/>
      <c r="D69" s="69" t="s">
        <v>46</v>
      </c>
      <c r="E69" s="68"/>
      <c r="F69" s="65" t="s">
        <v>6</v>
      </c>
      <c r="G69" s="66"/>
      <c r="H69" s="69" t="s">
        <v>46</v>
      </c>
    </row>
    <row r="70" spans="2:8" x14ac:dyDescent="0.2">
      <c r="B70" s="65" t="s">
        <v>7</v>
      </c>
      <c r="C70" s="71"/>
      <c r="D70" s="69" t="s">
        <v>46</v>
      </c>
      <c r="E70" s="68"/>
      <c r="F70" s="65" t="s">
        <v>7</v>
      </c>
      <c r="G70" s="71"/>
      <c r="H70" s="69" t="s">
        <v>46</v>
      </c>
    </row>
    <row r="71" spans="2:8" x14ac:dyDescent="0.2">
      <c r="B71" s="65" t="s">
        <v>8</v>
      </c>
      <c r="C71" s="66"/>
      <c r="D71" s="69" t="s">
        <v>46</v>
      </c>
      <c r="E71" s="68"/>
      <c r="F71" s="65" t="s">
        <v>8</v>
      </c>
      <c r="G71" s="66"/>
      <c r="H71" s="69" t="s">
        <v>46</v>
      </c>
    </row>
    <row r="72" spans="2:8" x14ac:dyDescent="0.2">
      <c r="B72" s="65" t="s">
        <v>9</v>
      </c>
      <c r="C72" s="66">
        <v>21613</v>
      </c>
      <c r="D72" s="69">
        <v>2.0414513618860087E-6</v>
      </c>
      <c r="E72" s="68"/>
      <c r="F72" s="65" t="s">
        <v>9</v>
      </c>
      <c r="G72" s="66">
        <v>20671</v>
      </c>
      <c r="H72" s="69">
        <v>3.4584049531924466E-6</v>
      </c>
    </row>
    <row r="73" spans="2:8" x14ac:dyDescent="0.2">
      <c r="B73" s="65" t="s">
        <v>10</v>
      </c>
      <c r="C73" s="66"/>
      <c r="D73" s="69" t="s">
        <v>46</v>
      </c>
      <c r="E73" s="68"/>
      <c r="F73" s="65" t="s">
        <v>28</v>
      </c>
      <c r="G73" s="66"/>
      <c r="H73" s="69" t="s">
        <v>46</v>
      </c>
    </row>
    <row r="74" spans="2:8" x14ac:dyDescent="0.2">
      <c r="B74" s="65" t="s">
        <v>11</v>
      </c>
      <c r="C74" s="66"/>
      <c r="D74" s="69" t="s">
        <v>46</v>
      </c>
      <c r="E74" s="68"/>
      <c r="F74" s="65" t="s">
        <v>11</v>
      </c>
      <c r="G74" s="66"/>
      <c r="H74" s="69" t="s">
        <v>46</v>
      </c>
    </row>
    <row r="75" spans="2:8" x14ac:dyDescent="0.2">
      <c r="B75" s="65" t="s">
        <v>12</v>
      </c>
      <c r="C75" s="72"/>
      <c r="D75" s="69" t="s">
        <v>46</v>
      </c>
      <c r="E75" s="68"/>
      <c r="F75" s="65" t="s">
        <v>12</v>
      </c>
      <c r="G75" s="72"/>
      <c r="H75" s="69" t="s">
        <v>46</v>
      </c>
    </row>
    <row r="76" spans="2:8" x14ac:dyDescent="0.2">
      <c r="B76" s="65" t="s">
        <v>13</v>
      </c>
      <c r="C76" s="72">
        <v>-29380034</v>
      </c>
      <c r="D76" s="69">
        <v>-2.7750849221097134E-3</v>
      </c>
      <c r="E76" s="68"/>
      <c r="F76" s="65" t="s">
        <v>13</v>
      </c>
      <c r="G76" s="72">
        <v>-2363487</v>
      </c>
      <c r="H76" s="69">
        <v>-3.9542814317671888E-4</v>
      </c>
    </row>
    <row r="77" spans="2:8" x14ac:dyDescent="0.2">
      <c r="B77" s="65" t="s">
        <v>14</v>
      </c>
      <c r="C77" s="66">
        <v>30321728</v>
      </c>
      <c r="D77" s="69">
        <v>2.8640324304972527E-3</v>
      </c>
      <c r="E77" s="68"/>
      <c r="F77" s="65" t="s">
        <v>14</v>
      </c>
      <c r="G77" s="66">
        <v>17247788</v>
      </c>
      <c r="H77" s="69">
        <v>2.8856772991540441E-3</v>
      </c>
    </row>
    <row r="78" spans="2:8" x14ac:dyDescent="0.2">
      <c r="B78" s="65" t="s">
        <v>15</v>
      </c>
      <c r="C78" s="72">
        <v>21</v>
      </c>
      <c r="D78" s="69">
        <v>1.9835505760239756E-9</v>
      </c>
      <c r="E78" s="68"/>
      <c r="F78" s="65" t="s">
        <v>15</v>
      </c>
      <c r="G78" s="72">
        <v>-4</v>
      </c>
      <c r="H78" s="69">
        <v>-6.6922837853852188E-10</v>
      </c>
    </row>
    <row r="79" spans="2:8" x14ac:dyDescent="0.2">
      <c r="B79" s="65" t="s">
        <v>16</v>
      </c>
      <c r="C79" s="72">
        <v>-12401</v>
      </c>
      <c r="D79" s="69">
        <v>-1.1713338425368248E-6</v>
      </c>
      <c r="E79" s="68"/>
      <c r="F79" s="65" t="s">
        <v>16</v>
      </c>
      <c r="G79" s="72">
        <v>-12401</v>
      </c>
      <c r="H79" s="69">
        <v>-2.0747752805640525E-6</v>
      </c>
    </row>
    <row r="80" spans="2:8" x14ac:dyDescent="0.2">
      <c r="B80" s="76" t="s">
        <v>17</v>
      </c>
      <c r="C80" s="77">
        <v>950927</v>
      </c>
      <c r="D80" s="78">
        <v>8.9819609457464722E-5</v>
      </c>
      <c r="E80" s="79"/>
      <c r="F80" s="76" t="s">
        <v>17</v>
      </c>
      <c r="G80" s="77">
        <v>14892567</v>
      </c>
      <c r="H80" s="78">
        <v>2.4916321164215752E-3</v>
      </c>
    </row>
    <row r="81" spans="2:7" x14ac:dyDescent="0.2">
      <c r="C81" s="84"/>
      <c r="G81" s="90"/>
    </row>
    <row r="82" spans="2:7" ht="24" x14ac:dyDescent="0.2">
      <c r="B82" s="63" t="s">
        <v>29</v>
      </c>
      <c r="C82" s="63"/>
      <c r="D82" s="63" t="s">
        <v>3</v>
      </c>
      <c r="G82" s="90"/>
    </row>
    <row r="83" spans="2:7" x14ac:dyDescent="0.2">
      <c r="B83" s="94" t="s">
        <v>30</v>
      </c>
      <c r="C83" s="95"/>
      <c r="D83" s="69" t="e">
        <v>#REF!</v>
      </c>
      <c r="G83" s="90"/>
    </row>
    <row r="84" spans="2:7" x14ac:dyDescent="0.2">
      <c r="B84" s="96" t="s">
        <v>31</v>
      </c>
      <c r="C84" s="95"/>
      <c r="D84" s="69" t="e">
        <v>#REF!</v>
      </c>
      <c r="G84" s="90"/>
    </row>
    <row r="85" spans="2:7" x14ac:dyDescent="0.2">
      <c r="B85" s="96" t="s">
        <v>32</v>
      </c>
      <c r="C85" s="97"/>
      <c r="D85" s="69" t="e">
        <v>#REF!</v>
      </c>
      <c r="G85" s="90"/>
    </row>
    <row r="86" spans="2:7" x14ac:dyDescent="0.2">
      <c r="B86" s="96" t="s">
        <v>33</v>
      </c>
      <c r="C86" s="95"/>
      <c r="D86" s="69" t="e">
        <v>#REF!</v>
      </c>
      <c r="G86" s="90"/>
    </row>
    <row r="87" spans="2:7" x14ac:dyDescent="0.2">
      <c r="B87" s="96" t="s">
        <v>7</v>
      </c>
      <c r="C87" s="95"/>
      <c r="D87" s="69" t="e">
        <v>#REF!</v>
      </c>
      <c r="G87" s="90"/>
    </row>
    <row r="88" spans="2:7" x14ac:dyDescent="0.2">
      <c r="B88" s="96"/>
      <c r="C88" s="98"/>
      <c r="D88" s="69"/>
      <c r="G88" s="90"/>
    </row>
    <row r="89" spans="2:7" x14ac:dyDescent="0.2">
      <c r="B89" s="96"/>
      <c r="C89" s="98"/>
      <c r="D89" s="69"/>
      <c r="G89" s="90"/>
    </row>
    <row r="90" spans="2:7" x14ac:dyDescent="0.2">
      <c r="B90" s="76" t="s">
        <v>17</v>
      </c>
      <c r="C90" s="99"/>
      <c r="D90" s="78" t="e">
        <v>#REF!</v>
      </c>
      <c r="E90" s="100"/>
      <c r="G90" s="101"/>
    </row>
    <row r="91" spans="2:7" x14ac:dyDescent="0.2">
      <c r="C91" s="84"/>
      <c r="G91" s="90"/>
    </row>
    <row r="92" spans="2:7" x14ac:dyDescent="0.2">
      <c r="C92" s="84"/>
      <c r="G92" s="90"/>
    </row>
    <row r="93" spans="2:7" x14ac:dyDescent="0.2">
      <c r="C93" s="84"/>
      <c r="G93" s="90"/>
    </row>
    <row r="94" spans="2:7" x14ac:dyDescent="0.2">
      <c r="C94" s="84"/>
      <c r="G94" s="90"/>
    </row>
    <row r="95" spans="2:7" ht="24" x14ac:dyDescent="0.2">
      <c r="B95" s="63" t="s">
        <v>25</v>
      </c>
      <c r="C95" s="63"/>
      <c r="D95" s="63" t="s">
        <v>3</v>
      </c>
      <c r="E95" s="81"/>
      <c r="F95" s="59"/>
    </row>
    <row r="96" spans="2:7" x14ac:dyDescent="0.2">
      <c r="B96" s="94"/>
      <c r="C96" s="102"/>
      <c r="D96" s="69" t="s">
        <v>46</v>
      </c>
      <c r="E96" s="75"/>
      <c r="F96" s="59"/>
    </row>
    <row r="97" spans="2:8" x14ac:dyDescent="0.2">
      <c r="B97" s="96" t="s">
        <v>34</v>
      </c>
      <c r="C97" s="117"/>
      <c r="D97" s="69" t="s">
        <v>46</v>
      </c>
      <c r="E97" s="75"/>
      <c r="F97" s="59"/>
    </row>
    <row r="98" spans="2:8" x14ac:dyDescent="0.2">
      <c r="B98" s="96" t="s">
        <v>35</v>
      </c>
      <c r="C98" s="117"/>
      <c r="D98" s="69" t="s">
        <v>46</v>
      </c>
      <c r="E98" s="75"/>
      <c r="F98" s="59"/>
    </row>
    <row r="99" spans="2:8" x14ac:dyDescent="0.2">
      <c r="B99" s="96" t="s">
        <v>36</v>
      </c>
      <c r="C99" s="117"/>
      <c r="D99" s="69" t="s">
        <v>46</v>
      </c>
      <c r="E99" s="75"/>
      <c r="F99" s="59"/>
    </row>
    <row r="100" spans="2:8" x14ac:dyDescent="0.2">
      <c r="B100" s="96" t="s">
        <v>37</v>
      </c>
      <c r="C100" s="117"/>
      <c r="D100" s="69" t="s">
        <v>46</v>
      </c>
      <c r="E100" s="75"/>
      <c r="F100" s="59"/>
    </row>
    <row r="101" spans="2:8" x14ac:dyDescent="0.2">
      <c r="B101" s="96" t="s">
        <v>38</v>
      </c>
      <c r="C101" s="98"/>
      <c r="D101" s="69" t="s">
        <v>46</v>
      </c>
      <c r="E101" s="75"/>
      <c r="F101" s="59"/>
    </row>
    <row r="102" spans="2:8" x14ac:dyDescent="0.2">
      <c r="B102" s="96"/>
      <c r="C102" s="102"/>
      <c r="D102" s="69" t="s">
        <v>46</v>
      </c>
      <c r="E102" s="75"/>
      <c r="F102" s="59"/>
    </row>
    <row r="103" spans="2:8" x14ac:dyDescent="0.2">
      <c r="B103" s="76" t="s">
        <v>17</v>
      </c>
      <c r="C103" s="99">
        <v>0</v>
      </c>
      <c r="D103" s="78"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ht="24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94" t="s">
        <v>19</v>
      </c>
      <c r="C106" s="106">
        <v>22784236954.000004</v>
      </c>
      <c r="D106" s="107"/>
      <c r="E106" s="58"/>
      <c r="F106" s="106"/>
      <c r="H106" s="75"/>
    </row>
    <row r="107" spans="2:8" x14ac:dyDescent="0.2">
      <c r="B107" s="96" t="s">
        <v>24</v>
      </c>
      <c r="C107" s="106">
        <v>16100979037</v>
      </c>
      <c r="D107" s="107"/>
      <c r="E107" s="108"/>
      <c r="F107" s="106"/>
      <c r="G107" s="62"/>
      <c r="H107" s="62"/>
    </row>
    <row r="108" spans="2:8" x14ac:dyDescent="0.2">
      <c r="B108" s="96" t="s">
        <v>26</v>
      </c>
      <c r="C108" s="106">
        <v>10587075648.000099</v>
      </c>
      <c r="D108" s="107"/>
      <c r="E108" s="108"/>
      <c r="F108" s="106"/>
      <c r="H108" s="75"/>
    </row>
    <row r="109" spans="2:8" x14ac:dyDescent="0.2">
      <c r="B109" s="96" t="s">
        <v>22</v>
      </c>
      <c r="C109" s="106">
        <v>4803599722</v>
      </c>
      <c r="D109" s="107"/>
      <c r="E109" s="108"/>
      <c r="F109" s="106"/>
      <c r="G109" s="62"/>
      <c r="H109" s="62"/>
    </row>
    <row r="110" spans="2:8" x14ac:dyDescent="0.2">
      <c r="B110" s="96" t="s">
        <v>27</v>
      </c>
      <c r="C110" s="106">
        <v>5977032845.9998999</v>
      </c>
      <c r="D110" s="107"/>
      <c r="E110" s="108"/>
      <c r="F110" s="106"/>
      <c r="H110" s="75"/>
    </row>
    <row r="111" spans="2:8" x14ac:dyDescent="0.2">
      <c r="B111" s="96" t="s">
        <v>1</v>
      </c>
      <c r="C111" s="106">
        <v>55999948810</v>
      </c>
      <c r="D111" s="109">
        <v>7598766110</v>
      </c>
      <c r="F111" s="106">
        <v>63598714920</v>
      </c>
      <c r="G111" s="62"/>
      <c r="H111" s="62"/>
    </row>
    <row r="112" spans="2:8" x14ac:dyDescent="0.2">
      <c r="B112" s="96" t="s">
        <v>18</v>
      </c>
      <c r="C112" s="110">
        <v>39126466.329300001</v>
      </c>
      <c r="D112" s="111">
        <v>2230544.2999999998</v>
      </c>
      <c r="F112" s="106">
        <v>41357010.629299998</v>
      </c>
      <c r="H112" s="75"/>
    </row>
    <row r="113" spans="1:13" x14ac:dyDescent="0.2">
      <c r="B113" s="96" t="s">
        <v>4</v>
      </c>
      <c r="C113" s="106">
        <v>9443245063.0001011</v>
      </c>
      <c r="D113" s="107"/>
      <c r="F113" s="106"/>
      <c r="G113" s="62"/>
      <c r="H113" s="62"/>
    </row>
    <row r="114" spans="1:13" x14ac:dyDescent="0.2">
      <c r="B114" s="96" t="s">
        <v>21</v>
      </c>
      <c r="C114" s="106">
        <v>81750454052</v>
      </c>
      <c r="D114" s="107"/>
      <c r="F114" s="106"/>
      <c r="H114" s="75"/>
    </row>
    <row r="115" spans="1:13" x14ac:dyDescent="0.2">
      <c r="B115" s="96" t="s">
        <v>25</v>
      </c>
      <c r="C115" s="110">
        <v>121556766.11589999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40"/>
  <dimension ref="A2:M121"/>
  <sheetViews>
    <sheetView workbookViewId="0"/>
  </sheetViews>
  <sheetFormatPr baseColWidth="10" defaultRowHeight="12.75" x14ac:dyDescent="0.2"/>
  <sheetData>
    <row r="2" spans="1:9" ht="108" x14ac:dyDescent="0.2">
      <c r="B2" s="185" t="s">
        <v>0</v>
      </c>
      <c r="C2" s="185"/>
      <c r="D2" s="185"/>
      <c r="E2" s="185"/>
      <c r="F2" s="185"/>
      <c r="G2" s="185"/>
      <c r="H2" s="185"/>
    </row>
    <row r="4" spans="1:9" x14ac:dyDescent="0.2">
      <c r="A4" s="60"/>
      <c r="B4" s="186">
        <v>42992</v>
      </c>
      <c r="C4" s="186"/>
      <c r="D4" s="186"/>
      <c r="E4" s="186"/>
      <c r="F4" s="186"/>
      <c r="G4" s="186"/>
      <c r="H4" s="186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5025431</v>
      </c>
      <c r="D7" s="67">
        <v>7.853506215870244E-5</v>
      </c>
      <c r="E7" s="68"/>
      <c r="F7" s="65" t="s">
        <v>5</v>
      </c>
      <c r="G7" s="66">
        <v>933833</v>
      </c>
      <c r="H7" s="69">
        <v>9.8926579035560257E-5</v>
      </c>
      <c r="I7" s="70"/>
    </row>
    <row r="8" spans="1:9" x14ac:dyDescent="0.2">
      <c r="B8" s="65" t="s">
        <v>6</v>
      </c>
      <c r="C8" s="66">
        <v>88121</v>
      </c>
      <c r="D8" s="67">
        <v>1.3771133684826272E-6</v>
      </c>
      <c r="E8" s="68"/>
      <c r="F8" s="65" t="s">
        <v>6</v>
      </c>
      <c r="G8" s="66">
        <v>130718</v>
      </c>
      <c r="H8" s="69">
        <v>1.3847748535734296E-5</v>
      </c>
    </row>
    <row r="9" spans="1:9" x14ac:dyDescent="0.2">
      <c r="B9" s="65" t="s">
        <v>7</v>
      </c>
      <c r="C9" s="71"/>
      <c r="D9" s="67" t="s">
        <v>46</v>
      </c>
      <c r="E9" s="68"/>
      <c r="F9" s="65" t="s">
        <v>7</v>
      </c>
      <c r="G9" s="66"/>
      <c r="H9" s="69" t="s">
        <v>46</v>
      </c>
    </row>
    <row r="10" spans="1:9" x14ac:dyDescent="0.2">
      <c r="B10" s="65" t="s">
        <v>8</v>
      </c>
      <c r="C10" s="66"/>
      <c r="D10" s="67" t="s">
        <v>46</v>
      </c>
      <c r="E10" s="68"/>
      <c r="F10" s="65" t="s">
        <v>8</v>
      </c>
      <c r="G10" s="66"/>
      <c r="H10" s="69" t="s">
        <v>46</v>
      </c>
    </row>
    <row r="11" spans="1:9" x14ac:dyDescent="0.2">
      <c r="B11" s="65" t="s">
        <v>9</v>
      </c>
      <c r="C11" s="66"/>
      <c r="D11" s="67" t="s">
        <v>46</v>
      </c>
      <c r="E11" s="68"/>
      <c r="F11" s="65" t="s">
        <v>9</v>
      </c>
      <c r="G11" s="66">
        <v>29015</v>
      </c>
      <c r="H11" s="69">
        <v>3.0737344800588337E-6</v>
      </c>
    </row>
    <row r="12" spans="1:9" x14ac:dyDescent="0.2">
      <c r="B12" s="65" t="s">
        <v>10</v>
      </c>
      <c r="C12" s="66"/>
      <c r="D12" s="67" t="s">
        <v>46</v>
      </c>
      <c r="E12" s="68"/>
      <c r="F12" s="65" t="s">
        <v>10</v>
      </c>
      <c r="G12" s="66"/>
      <c r="H12" s="69" t="s">
        <v>46</v>
      </c>
    </row>
    <row r="13" spans="1:9" x14ac:dyDescent="0.2">
      <c r="B13" s="65" t="s">
        <v>11</v>
      </c>
      <c r="C13" s="66"/>
      <c r="D13" s="67" t="s">
        <v>46</v>
      </c>
      <c r="E13" s="68"/>
      <c r="F13" s="65" t="s">
        <v>11</v>
      </c>
      <c r="G13" s="66"/>
      <c r="H13" s="69" t="s">
        <v>46</v>
      </c>
    </row>
    <row r="14" spans="1:9" x14ac:dyDescent="0.2">
      <c r="B14" s="65" t="s">
        <v>12</v>
      </c>
      <c r="C14" s="72"/>
      <c r="D14" s="67" t="s">
        <v>46</v>
      </c>
      <c r="E14" s="68"/>
      <c r="F14" s="65" t="s">
        <v>12</v>
      </c>
      <c r="G14" s="73">
        <v>-2128429</v>
      </c>
      <c r="H14" s="69">
        <v>-2.2547736018118709E-4</v>
      </c>
      <c r="I14" s="74"/>
    </row>
    <row r="15" spans="1:9" x14ac:dyDescent="0.2">
      <c r="B15" s="65" t="s">
        <v>13</v>
      </c>
      <c r="C15" s="72"/>
      <c r="D15" s="67" t="s">
        <v>46</v>
      </c>
      <c r="E15" s="68"/>
      <c r="F15" s="65" t="s">
        <v>13</v>
      </c>
      <c r="G15" s="72"/>
      <c r="H15" s="69" t="s">
        <v>46</v>
      </c>
      <c r="I15" s="74"/>
    </row>
    <row r="16" spans="1:9" x14ac:dyDescent="0.2">
      <c r="B16" s="65" t="s">
        <v>14</v>
      </c>
      <c r="C16" s="66"/>
      <c r="D16" s="67" t="s">
        <v>46</v>
      </c>
      <c r="E16" s="68"/>
      <c r="F16" s="65" t="s">
        <v>14</v>
      </c>
      <c r="G16" s="66"/>
      <c r="H16" s="69" t="s">
        <v>46</v>
      </c>
    </row>
    <row r="17" spans="2:9" x14ac:dyDescent="0.2">
      <c r="B17" s="65" t="s">
        <v>15</v>
      </c>
      <c r="C17" s="72">
        <v>-90503</v>
      </c>
      <c r="D17" s="67">
        <v>-1.4143381394648632E-6</v>
      </c>
      <c r="E17" s="68"/>
      <c r="F17" s="65" t="s">
        <v>15</v>
      </c>
      <c r="G17" s="72"/>
      <c r="H17" s="69" t="s">
        <v>46</v>
      </c>
    </row>
    <row r="18" spans="2:9" x14ac:dyDescent="0.2">
      <c r="B18" s="65" t="s">
        <v>16</v>
      </c>
      <c r="C18" s="72">
        <v>-63923</v>
      </c>
      <c r="D18" s="67">
        <v>-9.9895845318953468E-7</v>
      </c>
      <c r="E18" s="75"/>
      <c r="F18" s="65" t="s">
        <v>16</v>
      </c>
      <c r="G18" s="72">
        <v>-31344</v>
      </c>
      <c r="H18" s="69">
        <v>-3.3204595396506662E-6</v>
      </c>
    </row>
    <row r="19" spans="2:9" x14ac:dyDescent="0.2">
      <c r="B19" s="76" t="s">
        <v>17</v>
      </c>
      <c r="C19" s="77">
        <v>4959126</v>
      </c>
      <c r="D19" s="78">
        <v>7.7498878934530676E-5</v>
      </c>
      <c r="E19" s="79"/>
      <c r="F19" s="76" t="s">
        <v>17</v>
      </c>
      <c r="G19" s="77">
        <v>-1066207</v>
      </c>
      <c r="H19" s="78">
        <v>-1.1294975766948437E-4</v>
      </c>
    </row>
    <row r="21" spans="2:9" ht="24" x14ac:dyDescent="0.2">
      <c r="B21" s="63" t="s">
        <v>18</v>
      </c>
      <c r="C21" s="63"/>
      <c r="D21" s="63" t="s">
        <v>3</v>
      </c>
      <c r="E21" s="81"/>
      <c r="F21" s="63" t="s">
        <v>19</v>
      </c>
      <c r="G21" s="63"/>
      <c r="H21" s="63" t="s">
        <v>3</v>
      </c>
    </row>
    <row r="22" spans="2:9" x14ac:dyDescent="0.2">
      <c r="B22" s="65" t="s">
        <v>43</v>
      </c>
      <c r="C22" s="71">
        <v>2747.9418000000001</v>
      </c>
      <c r="D22" s="69">
        <v>6.6613926026940913E-5</v>
      </c>
      <c r="E22" s="75"/>
      <c r="F22" s="65" t="s">
        <v>5</v>
      </c>
      <c r="G22" s="66">
        <v>1608369</v>
      </c>
      <c r="H22" s="69">
        <v>7.0567442087166209E-5</v>
      </c>
      <c r="I22" s="114"/>
    </row>
    <row r="23" spans="2:9" x14ac:dyDescent="0.2">
      <c r="B23" s="65" t="s">
        <v>44</v>
      </c>
      <c r="C23" s="71"/>
      <c r="D23" s="69" t="s">
        <v>46</v>
      </c>
      <c r="E23" s="75"/>
      <c r="F23" s="65" t="s">
        <v>6</v>
      </c>
      <c r="G23" s="66">
        <v>412704</v>
      </c>
      <c r="H23" s="69">
        <v>1.8107452717095296E-5</v>
      </c>
      <c r="I23" s="114"/>
    </row>
    <row r="24" spans="2:9" x14ac:dyDescent="0.2">
      <c r="B24" s="65" t="s">
        <v>45</v>
      </c>
      <c r="C24" s="71">
        <v>-6513.7622914612293</v>
      </c>
      <c r="D24" s="69">
        <v>-1.579026453327634E-4</v>
      </c>
      <c r="E24" s="75"/>
      <c r="F24" s="65" t="s">
        <v>7</v>
      </c>
      <c r="G24" s="71"/>
      <c r="H24" s="69" t="s">
        <v>46</v>
      </c>
      <c r="I24" s="114"/>
    </row>
    <row r="25" spans="2:9" x14ac:dyDescent="0.2">
      <c r="B25" s="65" t="s">
        <v>8</v>
      </c>
      <c r="C25" s="71"/>
      <c r="D25" s="69" t="s">
        <v>46</v>
      </c>
      <c r="E25" s="75"/>
      <c r="F25" s="65" t="s">
        <v>8</v>
      </c>
      <c r="G25" s="66"/>
      <c r="H25" s="69" t="s">
        <v>46</v>
      </c>
      <c r="I25" s="114"/>
    </row>
    <row r="26" spans="2:9" x14ac:dyDescent="0.2">
      <c r="B26" s="65" t="s">
        <v>9</v>
      </c>
      <c r="C26" s="71">
        <v>-3.9</v>
      </c>
      <c r="D26" s="69">
        <v>-9.454141696344136E-8</v>
      </c>
      <c r="E26" s="75"/>
      <c r="F26" s="65" t="s">
        <v>9</v>
      </c>
      <c r="G26" s="66"/>
      <c r="H26" s="69" t="s">
        <v>46</v>
      </c>
      <c r="I26" s="114"/>
    </row>
    <row r="27" spans="2:9" x14ac:dyDescent="0.2">
      <c r="B27" s="65" t="s">
        <v>10</v>
      </c>
      <c r="C27" s="71">
        <v>48835.28</v>
      </c>
      <c r="D27" s="69">
        <v>1.183835017693951E-3</v>
      </c>
      <c r="E27" s="75"/>
      <c r="F27" s="65" t="s">
        <v>10</v>
      </c>
      <c r="G27" s="66"/>
      <c r="H27" s="69" t="s">
        <v>46</v>
      </c>
      <c r="I27" s="114"/>
    </row>
    <row r="28" spans="2:9" x14ac:dyDescent="0.2">
      <c r="B28" s="65" t="s">
        <v>11</v>
      </c>
      <c r="C28" s="71"/>
      <c r="D28" s="69" t="s">
        <v>46</v>
      </c>
      <c r="E28" s="75"/>
      <c r="F28" s="65" t="s">
        <v>11</v>
      </c>
      <c r="G28" s="66"/>
      <c r="H28" s="69" t="s">
        <v>46</v>
      </c>
      <c r="I28" s="114"/>
    </row>
    <row r="29" spans="2:9" x14ac:dyDescent="0.2">
      <c r="B29" s="65" t="s">
        <v>12</v>
      </c>
      <c r="C29" s="71"/>
      <c r="D29" s="69" t="s">
        <v>46</v>
      </c>
      <c r="E29" s="75"/>
      <c r="F29" s="65" t="s">
        <v>12</v>
      </c>
      <c r="G29" s="73">
        <v>-1508679</v>
      </c>
      <c r="H29" s="69">
        <v>-6.6193527704540338E-5</v>
      </c>
      <c r="I29" s="114"/>
    </row>
    <row r="30" spans="2:9" x14ac:dyDescent="0.2">
      <c r="B30" s="65" t="s">
        <v>13</v>
      </c>
      <c r="C30" s="71"/>
      <c r="D30" s="69" t="s">
        <v>46</v>
      </c>
      <c r="E30" s="75"/>
      <c r="F30" s="65" t="s">
        <v>13</v>
      </c>
      <c r="G30" s="72"/>
      <c r="H30" s="69" t="s">
        <v>46</v>
      </c>
      <c r="I30" s="114"/>
    </row>
    <row r="31" spans="2:9" x14ac:dyDescent="0.2">
      <c r="B31" s="65" t="s">
        <v>14</v>
      </c>
      <c r="C31" s="71">
        <v>-42827.466500000002</v>
      </c>
      <c r="D31" s="69">
        <v>-1.0381972738113632E-3</v>
      </c>
      <c r="E31" s="75"/>
      <c r="F31" s="65" t="s">
        <v>14</v>
      </c>
      <c r="G31" s="66"/>
      <c r="H31" s="69" t="s">
        <v>46</v>
      </c>
    </row>
    <row r="32" spans="2:9" x14ac:dyDescent="0.2">
      <c r="B32" s="65" t="s">
        <v>15</v>
      </c>
      <c r="C32" s="71"/>
      <c r="D32" s="69" t="s">
        <v>46</v>
      </c>
      <c r="E32" s="75"/>
      <c r="F32" s="65" t="s">
        <v>15</v>
      </c>
      <c r="G32" s="72"/>
      <c r="H32" s="69" t="s">
        <v>46</v>
      </c>
    </row>
    <row r="33" spans="1:13" x14ac:dyDescent="0.2">
      <c r="B33" s="65" t="s">
        <v>16</v>
      </c>
      <c r="C33" s="71">
        <v>-52.52</v>
      </c>
      <c r="D33" s="69">
        <v>-1.2731577484410104E-6</v>
      </c>
      <c r="E33" s="75"/>
      <c r="F33" s="65" t="s">
        <v>16</v>
      </c>
      <c r="G33" s="72">
        <v>-40401</v>
      </c>
      <c r="H33" s="69">
        <v>-1.7726002103768491E-6</v>
      </c>
    </row>
    <row r="34" spans="1:13" x14ac:dyDescent="0.2">
      <c r="B34" s="76" t="s">
        <v>17</v>
      </c>
      <c r="C34" s="77">
        <v>2185.5730085387663</v>
      </c>
      <c r="D34" s="78">
        <v>5.298132541136076E-5</v>
      </c>
      <c r="E34" s="79"/>
      <c r="F34" s="76" t="s">
        <v>17</v>
      </c>
      <c r="G34" s="77">
        <v>471993</v>
      </c>
      <c r="H34" s="78">
        <v>2.0708766889344314E-5</v>
      </c>
      <c r="I34" s="115"/>
    </row>
    <row r="35" spans="1:13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/>
      <c r="D36" s="63" t="s">
        <v>3</v>
      </c>
      <c r="E36" s="85"/>
      <c r="F36" s="63" t="s">
        <v>22</v>
      </c>
      <c r="G36" s="63"/>
      <c r="H36" s="63" t="s">
        <v>3</v>
      </c>
    </row>
    <row r="37" spans="1:13" x14ac:dyDescent="0.2">
      <c r="B37" s="65" t="s">
        <v>5</v>
      </c>
      <c r="C37" s="66">
        <v>4652051</v>
      </c>
      <c r="D37" s="69">
        <v>5.6853901483556809E-5</v>
      </c>
      <c r="E37" s="68"/>
      <c r="F37" s="65" t="s">
        <v>5</v>
      </c>
      <c r="G37" s="66"/>
      <c r="H37" s="69" t="s">
        <v>46</v>
      </c>
      <c r="K37" s="86"/>
      <c r="M37" s="87"/>
    </row>
    <row r="38" spans="1:13" x14ac:dyDescent="0.2">
      <c r="B38" s="65" t="s">
        <v>6</v>
      </c>
      <c r="C38" s="66">
        <v>2744864</v>
      </c>
      <c r="D38" s="69">
        <v>3.3545682848653562E-5</v>
      </c>
      <c r="E38" s="68"/>
      <c r="F38" s="65" t="s">
        <v>6</v>
      </c>
      <c r="G38" s="66"/>
      <c r="H38" s="69" t="s">
        <v>46</v>
      </c>
    </row>
    <row r="39" spans="1:13" x14ac:dyDescent="0.2">
      <c r="B39" s="65" t="s">
        <v>7</v>
      </c>
      <c r="C39" s="71"/>
      <c r="D39" s="69" t="s">
        <v>46</v>
      </c>
      <c r="E39" s="68"/>
      <c r="F39" s="65" t="s">
        <v>7</v>
      </c>
      <c r="G39" s="71">
        <v>-2323629</v>
      </c>
      <c r="H39" s="69">
        <v>-4.8436126817062963E-4</v>
      </c>
    </row>
    <row r="40" spans="1:13" x14ac:dyDescent="0.2">
      <c r="B40" s="65" t="s">
        <v>8</v>
      </c>
      <c r="C40" s="66"/>
      <c r="D40" s="69" t="s">
        <v>46</v>
      </c>
      <c r="E40" s="68"/>
      <c r="F40" s="65" t="s">
        <v>8</v>
      </c>
      <c r="G40" s="66"/>
      <c r="H40" s="69" t="s">
        <v>46</v>
      </c>
    </row>
    <row r="41" spans="1:13" x14ac:dyDescent="0.2">
      <c r="B41" s="65" t="s">
        <v>9</v>
      </c>
      <c r="C41" s="66"/>
      <c r="D41" s="69" t="s">
        <v>46</v>
      </c>
      <c r="E41" s="68"/>
      <c r="F41" s="65" t="s">
        <v>9</v>
      </c>
      <c r="G41" s="66"/>
      <c r="H41" s="69" t="s">
        <v>46</v>
      </c>
    </row>
    <row r="42" spans="1:13" x14ac:dyDescent="0.2">
      <c r="B42" s="65" t="s">
        <v>10</v>
      </c>
      <c r="C42" s="66"/>
      <c r="D42" s="69" t="s">
        <v>46</v>
      </c>
      <c r="E42" s="68"/>
      <c r="F42" s="65" t="s">
        <v>10</v>
      </c>
      <c r="G42" s="66"/>
      <c r="H42" s="69" t="s">
        <v>46</v>
      </c>
    </row>
    <row r="43" spans="1:13" x14ac:dyDescent="0.2">
      <c r="B43" s="65" t="s">
        <v>11</v>
      </c>
      <c r="C43" s="66"/>
      <c r="D43" s="69" t="s">
        <v>46</v>
      </c>
      <c r="E43" s="68"/>
      <c r="F43" s="65" t="s">
        <v>23</v>
      </c>
      <c r="G43" s="66"/>
      <c r="H43" s="69" t="s">
        <v>46</v>
      </c>
      <c r="I43" s="88"/>
    </row>
    <row r="44" spans="1:13" x14ac:dyDescent="0.2">
      <c r="B44" s="65" t="s">
        <v>12</v>
      </c>
      <c r="C44" s="72">
        <v>-21562070</v>
      </c>
      <c r="D44" s="69">
        <v>-2.6351555551767502E-4</v>
      </c>
      <c r="E44" s="68"/>
      <c r="F44" s="65" t="s">
        <v>12</v>
      </c>
      <c r="G44" s="72"/>
      <c r="H44" s="69" t="s">
        <v>46</v>
      </c>
    </row>
    <row r="45" spans="1:13" x14ac:dyDescent="0.2">
      <c r="B45" s="65" t="s">
        <v>13</v>
      </c>
      <c r="C45" s="72">
        <v>-9260227</v>
      </c>
      <c r="D45" s="69">
        <v>-1.1317159540455872E-4</v>
      </c>
      <c r="E45" s="68"/>
      <c r="F45" s="65" t="s">
        <v>13</v>
      </c>
      <c r="G45" s="72">
        <v>-11865201</v>
      </c>
      <c r="H45" s="69">
        <v>-2.4733052494436175E-3</v>
      </c>
    </row>
    <row r="46" spans="1:13" x14ac:dyDescent="0.2">
      <c r="B46" s="65" t="s">
        <v>14</v>
      </c>
      <c r="C46" s="66"/>
      <c r="D46" s="69" t="s">
        <v>46</v>
      </c>
      <c r="E46" s="68"/>
      <c r="F46" s="65" t="s">
        <v>14</v>
      </c>
      <c r="G46" s="66"/>
      <c r="H46" s="69" t="s">
        <v>46</v>
      </c>
    </row>
    <row r="47" spans="1:13" x14ac:dyDescent="0.2">
      <c r="B47" s="65" t="s">
        <v>15</v>
      </c>
      <c r="C47" s="72"/>
      <c r="D47" s="69" t="s">
        <v>46</v>
      </c>
      <c r="E47" s="68"/>
      <c r="F47" s="65" t="s">
        <v>15</v>
      </c>
      <c r="G47" s="72"/>
      <c r="H47" s="69" t="s">
        <v>46</v>
      </c>
    </row>
    <row r="48" spans="1:13" x14ac:dyDescent="0.2">
      <c r="B48" s="65" t="s">
        <v>16</v>
      </c>
      <c r="C48" s="72">
        <v>-53157</v>
      </c>
      <c r="D48" s="69">
        <v>-6.496452513442843E-7</v>
      </c>
      <c r="E48" s="68"/>
      <c r="F48" s="65" t="s">
        <v>16</v>
      </c>
      <c r="G48" s="72">
        <v>-39430</v>
      </c>
      <c r="H48" s="69">
        <v>-8.2191971282713061E-6</v>
      </c>
    </row>
    <row r="49" spans="2:9" x14ac:dyDescent="0.2">
      <c r="B49" s="76" t="s">
        <v>17</v>
      </c>
      <c r="C49" s="77">
        <v>-23478539</v>
      </c>
      <c r="D49" s="78">
        <v>-2.8693721184136766E-4</v>
      </c>
      <c r="E49" s="79"/>
      <c r="F49" s="76" t="s">
        <v>17</v>
      </c>
      <c r="G49" s="77">
        <v>-17610970</v>
      </c>
      <c r="H49" s="78">
        <v>-2.9658857147425188E-3</v>
      </c>
      <c r="I49" s="89"/>
    </row>
    <row r="50" spans="2:9" x14ac:dyDescent="0.2">
      <c r="C50" s="84"/>
      <c r="G50" s="90"/>
    </row>
    <row r="51" spans="2:9" x14ac:dyDescent="0.2">
      <c r="C51" s="84"/>
      <c r="G51" s="90"/>
    </row>
    <row r="52" spans="2:9" ht="24" x14ac:dyDescent="0.2">
      <c r="B52" s="63" t="s">
        <v>24</v>
      </c>
      <c r="C52" s="63"/>
      <c r="D52" s="63" t="s">
        <v>3</v>
      </c>
      <c r="E52" s="85"/>
      <c r="F52" s="63" t="s">
        <v>25</v>
      </c>
      <c r="G52" s="63"/>
      <c r="H52" s="63" t="s">
        <v>3</v>
      </c>
    </row>
    <row r="53" spans="2:9" x14ac:dyDescent="0.2">
      <c r="B53" s="65" t="s">
        <v>5</v>
      </c>
      <c r="C53" s="66"/>
      <c r="D53" s="69" t="s">
        <v>46</v>
      </c>
      <c r="E53" s="68"/>
      <c r="F53" s="65" t="s">
        <v>5</v>
      </c>
      <c r="G53" s="116">
        <v>15497.4151</v>
      </c>
      <c r="H53" s="69">
        <v>1.275104750742054E-4</v>
      </c>
    </row>
    <row r="54" spans="2:9" x14ac:dyDescent="0.2">
      <c r="B54" s="65" t="s">
        <v>6</v>
      </c>
      <c r="C54" s="66"/>
      <c r="D54" s="69" t="s">
        <v>46</v>
      </c>
      <c r="E54" s="68"/>
      <c r="F54" s="65" t="s">
        <v>6</v>
      </c>
      <c r="G54" s="66"/>
      <c r="H54" s="69" t="s">
        <v>46</v>
      </c>
    </row>
    <row r="55" spans="2:9" x14ac:dyDescent="0.2">
      <c r="B55" s="65" t="s">
        <v>7</v>
      </c>
      <c r="C55" s="71">
        <v>-13595720</v>
      </c>
      <c r="D55" s="69">
        <v>-8.4039617531206303E-4</v>
      </c>
      <c r="E55" s="68"/>
      <c r="F55" s="65" t="s">
        <v>7</v>
      </c>
      <c r="G55" s="71"/>
      <c r="H55" s="69" t="s">
        <v>46</v>
      </c>
    </row>
    <row r="56" spans="2:9" x14ac:dyDescent="0.2">
      <c r="B56" s="65" t="s">
        <v>8</v>
      </c>
      <c r="C56" s="66"/>
      <c r="D56" s="69" t="s">
        <v>46</v>
      </c>
      <c r="E56" s="68"/>
      <c r="F56" s="65" t="s">
        <v>8</v>
      </c>
      <c r="G56" s="66"/>
      <c r="H56" s="69" t="s">
        <v>46</v>
      </c>
    </row>
    <row r="57" spans="2:9" x14ac:dyDescent="0.2">
      <c r="B57" s="65" t="s">
        <v>9</v>
      </c>
      <c r="C57" s="66"/>
      <c r="D57" s="69" t="s">
        <v>46</v>
      </c>
      <c r="E57" s="68"/>
      <c r="F57" s="65" t="s">
        <v>9</v>
      </c>
      <c r="G57" s="66"/>
      <c r="H57" s="69" t="s">
        <v>46</v>
      </c>
    </row>
    <row r="58" spans="2:9" x14ac:dyDescent="0.2">
      <c r="B58" s="65" t="s">
        <v>10</v>
      </c>
      <c r="C58" s="66"/>
      <c r="D58" s="69" t="s">
        <v>46</v>
      </c>
      <c r="E58" s="68"/>
      <c r="F58" s="65" t="s">
        <v>10</v>
      </c>
      <c r="G58" s="66"/>
      <c r="H58" s="69" t="s">
        <v>46</v>
      </c>
    </row>
    <row r="59" spans="2:9" x14ac:dyDescent="0.2">
      <c r="B59" s="65" t="s">
        <v>11</v>
      </c>
      <c r="C59" s="66"/>
      <c r="D59" s="69" t="s">
        <v>46</v>
      </c>
      <c r="E59" s="68"/>
      <c r="F59" s="65" t="s">
        <v>11</v>
      </c>
      <c r="G59" s="66"/>
      <c r="H59" s="69" t="s">
        <v>46</v>
      </c>
    </row>
    <row r="60" spans="2:9" x14ac:dyDescent="0.2">
      <c r="B60" s="65" t="s">
        <v>12</v>
      </c>
      <c r="C60" s="72"/>
      <c r="D60" s="69" t="s">
        <v>46</v>
      </c>
      <c r="E60" s="68"/>
      <c r="F60" s="65" t="s">
        <v>12</v>
      </c>
      <c r="G60" s="92">
        <v>46438.001100000001</v>
      </c>
      <c r="H60" s="69">
        <v>3.8208511184277901E-4</v>
      </c>
    </row>
    <row r="61" spans="2:9" x14ac:dyDescent="0.2">
      <c r="B61" s="65" t="s">
        <v>13</v>
      </c>
      <c r="C61" s="72">
        <v>-32920567</v>
      </c>
      <c r="D61" s="69">
        <v>-2.0349285360322599E-3</v>
      </c>
      <c r="E61" s="68"/>
      <c r="F61" s="65" t="s">
        <v>13</v>
      </c>
      <c r="G61" s="72"/>
      <c r="H61" s="69" t="s">
        <v>46</v>
      </c>
    </row>
    <row r="62" spans="2:9" x14ac:dyDescent="0.2">
      <c r="B62" s="65" t="s">
        <v>14</v>
      </c>
      <c r="C62" s="66"/>
      <c r="D62" s="69" t="s">
        <v>46</v>
      </c>
      <c r="E62" s="68"/>
      <c r="F62" s="65" t="s">
        <v>14</v>
      </c>
      <c r="G62" s="66"/>
      <c r="H62" s="69" t="s">
        <v>46</v>
      </c>
    </row>
    <row r="63" spans="2:9" x14ac:dyDescent="0.2">
      <c r="B63" s="65" t="s">
        <v>15</v>
      </c>
      <c r="C63" s="72">
        <v>2</v>
      </c>
      <c r="D63" s="69">
        <v>1.2362657885158903E-10</v>
      </c>
      <c r="E63" s="68"/>
      <c r="F63" s="65" t="s">
        <v>15</v>
      </c>
      <c r="G63" s="92">
        <v>933.54</v>
      </c>
      <c r="H63" s="69">
        <v>7.6810311998917605E-6</v>
      </c>
    </row>
    <row r="64" spans="2:9" x14ac:dyDescent="0.2">
      <c r="B64" s="65" t="s">
        <v>16</v>
      </c>
      <c r="C64" s="72">
        <v>-132968</v>
      </c>
      <c r="D64" s="69">
        <v>-8.2191894683690458E-6</v>
      </c>
      <c r="E64" s="68"/>
      <c r="F64" s="65" t="s">
        <v>16</v>
      </c>
      <c r="G64" s="92">
        <v>-43.07</v>
      </c>
      <c r="H64" s="69">
        <v>-3.5437368916097666E-7</v>
      </c>
    </row>
    <row r="65" spans="2:8" x14ac:dyDescent="0.2">
      <c r="B65" s="76" t="s">
        <v>17</v>
      </c>
      <c r="C65" s="77">
        <v>-46649253</v>
      </c>
      <c r="D65" s="78">
        <v>-2.8835437771861133E-3</v>
      </c>
      <c r="E65" s="79"/>
      <c r="F65" s="76" t="s">
        <v>17</v>
      </c>
      <c r="G65" s="93">
        <v>62825.886200000001</v>
      </c>
      <c r="H65" s="78">
        <v>5.1692224442771533E-4</v>
      </c>
    </row>
    <row r="66" spans="2:8" x14ac:dyDescent="0.2">
      <c r="C66" s="84"/>
      <c r="G66" s="90"/>
    </row>
    <row r="67" spans="2:8" ht="24" x14ac:dyDescent="0.2">
      <c r="B67" s="63" t="s">
        <v>26</v>
      </c>
      <c r="C67" s="63"/>
      <c r="D67" s="63" t="s">
        <v>3</v>
      </c>
      <c r="E67" s="85"/>
      <c r="F67" s="63" t="s">
        <v>27</v>
      </c>
      <c r="G67" s="63"/>
      <c r="H67" s="63" t="s">
        <v>3</v>
      </c>
    </row>
    <row r="68" spans="2:8" x14ac:dyDescent="0.2">
      <c r="B68" s="65" t="s">
        <v>5</v>
      </c>
      <c r="C68" s="66"/>
      <c r="D68" s="69" t="s">
        <v>46</v>
      </c>
      <c r="E68" s="68"/>
      <c r="F68" s="65" t="s">
        <v>5</v>
      </c>
      <c r="G68" s="66"/>
      <c r="H68" s="69" t="s">
        <v>46</v>
      </c>
    </row>
    <row r="69" spans="2:8" x14ac:dyDescent="0.2">
      <c r="B69" s="65" t="s">
        <v>6</v>
      </c>
      <c r="C69" s="66"/>
      <c r="D69" s="69" t="s">
        <v>46</v>
      </c>
      <c r="E69" s="68"/>
      <c r="F69" s="65" t="s">
        <v>6</v>
      </c>
      <c r="G69" s="66"/>
      <c r="H69" s="69" t="s">
        <v>46</v>
      </c>
    </row>
    <row r="70" spans="2:8" x14ac:dyDescent="0.2">
      <c r="B70" s="65" t="s">
        <v>7</v>
      </c>
      <c r="C70" s="71"/>
      <c r="D70" s="69" t="s">
        <v>46</v>
      </c>
      <c r="E70" s="68"/>
      <c r="F70" s="65" t="s">
        <v>7</v>
      </c>
      <c r="G70" s="71"/>
      <c r="H70" s="69" t="s">
        <v>46</v>
      </c>
    </row>
    <row r="71" spans="2:8" x14ac:dyDescent="0.2">
      <c r="B71" s="65" t="s">
        <v>8</v>
      </c>
      <c r="C71" s="66"/>
      <c r="D71" s="69" t="s">
        <v>46</v>
      </c>
      <c r="E71" s="68"/>
      <c r="F71" s="65" t="s">
        <v>8</v>
      </c>
      <c r="G71" s="66"/>
      <c r="H71" s="69" t="s">
        <v>46</v>
      </c>
    </row>
    <row r="72" spans="2:8" x14ac:dyDescent="0.2">
      <c r="B72" s="65" t="s">
        <v>9</v>
      </c>
      <c r="C72" s="66">
        <v>13612</v>
      </c>
      <c r="D72" s="69">
        <v>1.2735034241933309E-6</v>
      </c>
      <c r="E72" s="68"/>
      <c r="F72" s="65" t="s">
        <v>9</v>
      </c>
      <c r="G72" s="66">
        <v>13019</v>
      </c>
      <c r="H72" s="69">
        <v>2.1670575655505156E-6</v>
      </c>
    </row>
    <row r="73" spans="2:8" x14ac:dyDescent="0.2">
      <c r="B73" s="65" t="s">
        <v>10</v>
      </c>
      <c r="C73" s="66"/>
      <c r="D73" s="69" t="s">
        <v>46</v>
      </c>
      <c r="E73" s="68"/>
      <c r="F73" s="65" t="s">
        <v>28</v>
      </c>
      <c r="G73" s="66"/>
      <c r="H73" s="69" t="s">
        <v>46</v>
      </c>
    </row>
    <row r="74" spans="2:8" x14ac:dyDescent="0.2">
      <c r="B74" s="65" t="s">
        <v>11</v>
      </c>
      <c r="C74" s="66"/>
      <c r="D74" s="69" t="s">
        <v>46</v>
      </c>
      <c r="E74" s="68"/>
      <c r="F74" s="65" t="s">
        <v>11</v>
      </c>
      <c r="G74" s="66"/>
      <c r="H74" s="69" t="s">
        <v>46</v>
      </c>
    </row>
    <row r="75" spans="2:8" x14ac:dyDescent="0.2">
      <c r="B75" s="65" t="s">
        <v>12</v>
      </c>
      <c r="C75" s="72"/>
      <c r="D75" s="69" t="s">
        <v>46</v>
      </c>
      <c r="E75" s="68"/>
      <c r="F75" s="65" t="s">
        <v>12</v>
      </c>
      <c r="G75" s="72"/>
      <c r="H75" s="69" t="s">
        <v>46</v>
      </c>
    </row>
    <row r="76" spans="2:8" x14ac:dyDescent="0.2">
      <c r="B76" s="65" t="s">
        <v>13</v>
      </c>
      <c r="C76" s="72">
        <v>11550842</v>
      </c>
      <c r="D76" s="69">
        <v>1.0806668262794699E-3</v>
      </c>
      <c r="E76" s="68"/>
      <c r="F76" s="65" t="s">
        <v>13</v>
      </c>
      <c r="G76" s="72">
        <v>-1815227</v>
      </c>
      <c r="H76" s="69">
        <v>-3.021508106261284E-4</v>
      </c>
    </row>
    <row r="77" spans="2:8" x14ac:dyDescent="0.2">
      <c r="B77" s="65" t="s">
        <v>14</v>
      </c>
      <c r="C77" s="66">
        <v>19118692</v>
      </c>
      <c r="D77" s="69">
        <v>1.7886952489052045E-3</v>
      </c>
      <c r="E77" s="68"/>
      <c r="F77" s="65" t="s">
        <v>14</v>
      </c>
      <c r="G77" s="66">
        <v>10859940</v>
      </c>
      <c r="H77" s="69">
        <v>1.8076745632095142E-3</v>
      </c>
    </row>
    <row r="78" spans="2:8" x14ac:dyDescent="0.2">
      <c r="B78" s="65" t="s">
        <v>15</v>
      </c>
      <c r="C78" s="72"/>
      <c r="D78" s="69" t="s">
        <v>46</v>
      </c>
      <c r="E78" s="68"/>
      <c r="F78" s="65" t="s">
        <v>15</v>
      </c>
      <c r="G78" s="72"/>
      <c r="H78" s="69" t="s">
        <v>46</v>
      </c>
    </row>
    <row r="79" spans="2:8" x14ac:dyDescent="0.2">
      <c r="B79" s="65" t="s">
        <v>16</v>
      </c>
      <c r="C79" s="72">
        <v>-12402</v>
      </c>
      <c r="D79" s="69">
        <v>-1.1602989617136124E-6</v>
      </c>
      <c r="E79" s="68"/>
      <c r="F79" s="65" t="s">
        <v>16</v>
      </c>
      <c r="G79" s="72">
        <v>-12402</v>
      </c>
      <c r="H79" s="69">
        <v>-2.0643557821612641E-6</v>
      </c>
    </row>
    <row r="80" spans="2:8" x14ac:dyDescent="0.2">
      <c r="B80" s="76" t="s">
        <v>17</v>
      </c>
      <c r="C80" s="77">
        <v>30670744</v>
      </c>
      <c r="D80" s="78">
        <v>2.8694752796471542E-3</v>
      </c>
      <c r="E80" s="79"/>
      <c r="F80" s="76" t="s">
        <v>17</v>
      </c>
      <c r="G80" s="77">
        <v>9045330</v>
      </c>
      <c r="H80" s="78">
        <v>1.505626454366775E-3</v>
      </c>
    </row>
    <row r="81" spans="2:7" x14ac:dyDescent="0.2">
      <c r="C81" s="84"/>
      <c r="G81" s="90"/>
    </row>
    <row r="82" spans="2:7" ht="24" x14ac:dyDescent="0.2">
      <c r="B82" s="63" t="s">
        <v>29</v>
      </c>
      <c r="C82" s="63"/>
      <c r="D82" s="63" t="s">
        <v>3</v>
      </c>
      <c r="G82" s="90"/>
    </row>
    <row r="83" spans="2:7" x14ac:dyDescent="0.2">
      <c r="B83" s="94" t="s">
        <v>30</v>
      </c>
      <c r="C83" s="95"/>
      <c r="D83" s="69" t="e">
        <v>#REF!</v>
      </c>
      <c r="G83" s="90"/>
    </row>
    <row r="84" spans="2:7" x14ac:dyDescent="0.2">
      <c r="B84" s="96" t="s">
        <v>31</v>
      </c>
      <c r="C84" s="95"/>
      <c r="D84" s="69" t="e">
        <v>#REF!</v>
      </c>
      <c r="G84" s="90"/>
    </row>
    <row r="85" spans="2:7" x14ac:dyDescent="0.2">
      <c r="B85" s="96" t="s">
        <v>32</v>
      </c>
      <c r="C85" s="97"/>
      <c r="D85" s="69" t="e">
        <v>#REF!</v>
      </c>
      <c r="G85" s="90"/>
    </row>
    <row r="86" spans="2:7" x14ac:dyDescent="0.2">
      <c r="B86" s="96" t="s">
        <v>33</v>
      </c>
      <c r="C86" s="95"/>
      <c r="D86" s="69" t="e">
        <v>#REF!</v>
      </c>
      <c r="G86" s="90"/>
    </row>
    <row r="87" spans="2:7" x14ac:dyDescent="0.2">
      <c r="B87" s="96" t="s">
        <v>7</v>
      </c>
      <c r="C87" s="95"/>
      <c r="D87" s="69" t="e">
        <v>#REF!</v>
      </c>
      <c r="G87" s="90"/>
    </row>
    <row r="88" spans="2:7" x14ac:dyDescent="0.2">
      <c r="B88" s="96"/>
      <c r="C88" s="98"/>
      <c r="D88" s="69"/>
      <c r="G88" s="90"/>
    </row>
    <row r="89" spans="2:7" x14ac:dyDescent="0.2">
      <c r="B89" s="96"/>
      <c r="C89" s="98"/>
      <c r="D89" s="69"/>
      <c r="G89" s="90"/>
    </row>
    <row r="90" spans="2:7" x14ac:dyDescent="0.2">
      <c r="B90" s="76" t="s">
        <v>17</v>
      </c>
      <c r="C90" s="99"/>
      <c r="D90" s="78" t="e">
        <v>#REF!</v>
      </c>
      <c r="E90" s="100"/>
      <c r="G90" s="101"/>
    </row>
    <row r="91" spans="2:7" x14ac:dyDescent="0.2">
      <c r="C91" s="84"/>
      <c r="G91" s="90"/>
    </row>
    <row r="92" spans="2:7" x14ac:dyDescent="0.2">
      <c r="C92" s="84"/>
      <c r="G92" s="90"/>
    </row>
    <row r="93" spans="2:7" x14ac:dyDescent="0.2">
      <c r="C93" s="84"/>
      <c r="G93" s="90"/>
    </row>
    <row r="94" spans="2:7" x14ac:dyDescent="0.2">
      <c r="C94" s="84"/>
      <c r="G94" s="90"/>
    </row>
    <row r="95" spans="2:7" ht="24" x14ac:dyDescent="0.2">
      <c r="B95" s="63" t="s">
        <v>25</v>
      </c>
      <c r="C95" s="63"/>
      <c r="D95" s="63" t="s">
        <v>3</v>
      </c>
      <c r="E95" s="81"/>
      <c r="F95" s="59"/>
    </row>
    <row r="96" spans="2:7" x14ac:dyDescent="0.2">
      <c r="B96" s="94"/>
      <c r="C96" s="102"/>
      <c r="D96" s="69" t="s">
        <v>46</v>
      </c>
      <c r="E96" s="75"/>
      <c r="F96" s="59"/>
    </row>
    <row r="97" spans="2:8" x14ac:dyDescent="0.2">
      <c r="B97" s="96" t="s">
        <v>34</v>
      </c>
      <c r="C97" s="117"/>
      <c r="D97" s="69" t="s">
        <v>46</v>
      </c>
      <c r="E97" s="75"/>
      <c r="F97" s="59"/>
    </row>
    <row r="98" spans="2:8" x14ac:dyDescent="0.2">
      <c r="B98" s="96" t="s">
        <v>35</v>
      </c>
      <c r="C98" s="117"/>
      <c r="D98" s="69" t="s">
        <v>46</v>
      </c>
      <c r="E98" s="75"/>
      <c r="F98" s="59"/>
    </row>
    <row r="99" spans="2:8" x14ac:dyDescent="0.2">
      <c r="B99" s="96" t="s">
        <v>36</v>
      </c>
      <c r="C99" s="117"/>
      <c r="D99" s="69" t="s">
        <v>46</v>
      </c>
      <c r="E99" s="75"/>
      <c r="F99" s="59"/>
    </row>
    <row r="100" spans="2:8" x14ac:dyDescent="0.2">
      <c r="B100" s="96" t="s">
        <v>37</v>
      </c>
      <c r="C100" s="117"/>
      <c r="D100" s="69" t="s">
        <v>46</v>
      </c>
      <c r="E100" s="75"/>
      <c r="F100" s="59"/>
    </row>
    <row r="101" spans="2:8" x14ac:dyDescent="0.2">
      <c r="B101" s="96" t="s">
        <v>38</v>
      </c>
      <c r="C101" s="98"/>
      <c r="D101" s="69" t="s">
        <v>46</v>
      </c>
      <c r="E101" s="75"/>
      <c r="F101" s="59"/>
    </row>
    <row r="102" spans="2:8" x14ac:dyDescent="0.2">
      <c r="B102" s="96"/>
      <c r="C102" s="102"/>
      <c r="D102" s="69" t="s">
        <v>46</v>
      </c>
      <c r="E102" s="75"/>
      <c r="F102" s="59"/>
    </row>
    <row r="103" spans="2:8" x14ac:dyDescent="0.2">
      <c r="B103" s="76" t="s">
        <v>17</v>
      </c>
      <c r="C103" s="99">
        <v>0</v>
      </c>
      <c r="D103" s="78"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ht="24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94" t="s">
        <v>19</v>
      </c>
      <c r="C106" s="106">
        <v>22791941332</v>
      </c>
      <c r="D106" s="107"/>
      <c r="E106" s="58"/>
      <c r="F106" s="106"/>
      <c r="H106" s="75"/>
    </row>
    <row r="107" spans="2:8" x14ac:dyDescent="0.2">
      <c r="B107" s="96" t="s">
        <v>24</v>
      </c>
      <c r="C107" s="106">
        <v>16177750921.999998</v>
      </c>
      <c r="D107" s="107"/>
      <c r="E107" s="108"/>
      <c r="F107" s="106"/>
      <c r="G107" s="62"/>
      <c r="H107" s="62"/>
    </row>
    <row r="108" spans="2:8" x14ac:dyDescent="0.2">
      <c r="B108" s="96" t="s">
        <v>26</v>
      </c>
      <c r="C108" s="106">
        <v>10688624578.000002</v>
      </c>
      <c r="D108" s="107"/>
      <c r="E108" s="108"/>
      <c r="F108" s="106"/>
      <c r="H108" s="75"/>
    </row>
    <row r="109" spans="2:8" x14ac:dyDescent="0.2">
      <c r="B109" s="96" t="s">
        <v>22</v>
      </c>
      <c r="C109" s="106">
        <v>4797305550</v>
      </c>
      <c r="D109" s="107"/>
      <c r="E109" s="108"/>
      <c r="F109" s="106"/>
      <c r="G109" s="62"/>
      <c r="H109" s="62"/>
    </row>
    <row r="110" spans="2:8" x14ac:dyDescent="0.2">
      <c r="B110" s="96" t="s">
        <v>27</v>
      </c>
      <c r="C110" s="106">
        <v>6007685355.0000992</v>
      </c>
      <c r="D110" s="107"/>
      <c r="E110" s="108"/>
      <c r="F110" s="106"/>
      <c r="H110" s="75"/>
    </row>
    <row r="111" spans="2:8" x14ac:dyDescent="0.2">
      <c r="B111" s="96" t="s">
        <v>1</v>
      </c>
      <c r="C111" s="106">
        <v>58033934630.000092</v>
      </c>
      <c r="D111" s="109">
        <v>5955713584</v>
      </c>
      <c r="F111" s="106">
        <v>63989648214.000092</v>
      </c>
      <c r="G111" s="62"/>
      <c r="H111" s="62"/>
    </row>
    <row r="112" spans="2:8" x14ac:dyDescent="0.2">
      <c r="B112" s="96" t="s">
        <v>18</v>
      </c>
      <c r="C112" s="110">
        <v>41251758.664499998</v>
      </c>
      <c r="D112" s="111">
        <v>3</v>
      </c>
      <c r="F112" s="106">
        <v>41251761.664499998</v>
      </c>
      <c r="H112" s="75"/>
    </row>
    <row r="113" spans="1:13" x14ac:dyDescent="0.2">
      <c r="B113" s="96" t="s">
        <v>4</v>
      </c>
      <c r="C113" s="106">
        <v>9439657260.0000992</v>
      </c>
      <c r="D113" s="107"/>
      <c r="F113" s="106"/>
      <c r="G113" s="62"/>
      <c r="H113" s="62"/>
    </row>
    <row r="114" spans="1:13" x14ac:dyDescent="0.2">
      <c r="B114" s="96" t="s">
        <v>21</v>
      </c>
      <c r="C114" s="106">
        <v>81824657211</v>
      </c>
      <c r="D114" s="107"/>
      <c r="F114" s="106"/>
      <c r="H114" s="75"/>
    </row>
    <row r="115" spans="1:13" x14ac:dyDescent="0.2">
      <c r="B115" s="96" t="s">
        <v>25</v>
      </c>
      <c r="C115" s="110">
        <v>121538368.4437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41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42993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5350795</v>
      </c>
      <c r="D7" s="10">
        <f>+IF(C7/$F$111=0,"",C7/$F$111)</f>
        <v>7.5241745527694301E-5</v>
      </c>
      <c r="E7" s="11"/>
      <c r="F7" s="8" t="s">
        <v>5</v>
      </c>
      <c r="G7" s="9">
        <v>449862</v>
      </c>
      <c r="H7" s="12">
        <f>+IF(G7/$C$113=0,"",G7/$C$113)</f>
        <v>4.767788243449437E-5</v>
      </c>
      <c r="I7" s="13"/>
    </row>
    <row r="8" spans="1:9" x14ac:dyDescent="0.2">
      <c r="B8" s="8" t="s">
        <v>6</v>
      </c>
      <c r="C8" s="9">
        <v>196468</v>
      </c>
      <c r="D8" s="10">
        <f>+IF(C8/$F$111=0,"",C8/$F$111)</f>
        <v>2.7626913870434287E-6</v>
      </c>
      <c r="E8" s="11"/>
      <c r="F8" s="8" t="s">
        <v>6</v>
      </c>
      <c r="G8" s="9">
        <v>129947</v>
      </c>
      <c r="H8" s="12">
        <f>+IF(G8/$C$113=0,"",G8/$C$113)</f>
        <v>1.3772218566394226E-5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-36732</v>
      </c>
      <c r="H11" s="12">
        <f t="shared" si="0"/>
        <v>-3.8929804641953471E-6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-3962578</v>
      </c>
      <c r="H14" s="12">
        <f t="shared" si="0"/>
        <v>-4.1996729668545868E-4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>
        <v>-1363</v>
      </c>
      <c r="H17" s="12">
        <f t="shared" si="0"/>
        <v>-1.4445530797937105E-7</v>
      </c>
    </row>
    <row r="18" spans="2:9" x14ac:dyDescent="0.2">
      <c r="B18" s="8" t="s">
        <v>16</v>
      </c>
      <c r="C18" s="15">
        <v>-114992</v>
      </c>
      <c r="D18" s="10">
        <f>+IF(C18/$F$111=0,"",C18/$F$111)</f>
        <v>-1.6169931387243621E-6</v>
      </c>
      <c r="E18" s="17"/>
      <c r="F18" s="8" t="s">
        <v>16</v>
      </c>
      <c r="G18" s="15">
        <v>-31351</v>
      </c>
      <c r="H18" s="12">
        <f t="shared" si="0"/>
        <v>-3.3226840502283655E-6</v>
      </c>
    </row>
    <row r="19" spans="2:9" x14ac:dyDescent="0.2">
      <c r="B19" s="18" t="s">
        <v>17</v>
      </c>
      <c r="C19" s="19">
        <f>SUM(C7:C18)</f>
        <v>5432271</v>
      </c>
      <c r="D19" s="20">
        <f>SUM(D7:D18)</f>
        <v>7.6387443776013359E-5</v>
      </c>
      <c r="E19" s="21"/>
      <c r="F19" s="18" t="s">
        <v>17</v>
      </c>
      <c r="G19" s="19">
        <f>SUM(G7:G18)</f>
        <v>-3452215</v>
      </c>
      <c r="H19" s="20">
        <f>SUM(H7:H18)</f>
        <v>-3.6587731550697316E-4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2847.76</v>
      </c>
      <c r="D22" s="12">
        <f>+IF(C22/$F$112=0,"",C22/$F$112)</f>
        <v>6.9557625287854194E-5</v>
      </c>
      <c r="E22" s="17"/>
      <c r="F22" s="8" t="s">
        <v>5</v>
      </c>
      <c r="G22" s="9">
        <v>1639979</v>
      </c>
      <c r="H22" s="12">
        <f t="shared" ref="H22:H33" si="2">+IF(G22/$C$106=0,"",G22/$C$106)</f>
        <v>7.1942974308166125E-5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415762</v>
      </c>
      <c r="H23" s="12">
        <f t="shared" si="2"/>
        <v>1.8238742620674875E-5</v>
      </c>
      <c r="I23" s="23"/>
    </row>
    <row r="24" spans="2:9" x14ac:dyDescent="0.2">
      <c r="B24" s="8" t="s">
        <v>45</v>
      </c>
      <c r="C24" s="14">
        <v>-2671.88</v>
      </c>
      <c r="D24" s="12">
        <f>+IF(C24/$F$112=0,"",C24/$F$112)</f>
        <v>-6.5261689136061974E-5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-3686.41</v>
      </c>
      <c r="D26" s="12">
        <f>+IF(C26/$F$112=0,"",C26/$F$112)</f>
        <v>-9.0041971738277993E-5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-64391.76</v>
      </c>
      <c r="D27" s="12">
        <f t="shared" ref="D27:D33" si="3">+IF(C27/$F$112=0,"",C27/$F$112)</f>
        <v>-1.5727933230698645E-3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134895</v>
      </c>
      <c r="H29" s="12">
        <f t="shared" si="2"/>
        <v>5.9176047493901257E-6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70103.23</v>
      </c>
      <c r="D31" s="12">
        <f t="shared" si="3"/>
        <v>1.712298158485356E-3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3028</v>
      </c>
      <c r="H32" s="12">
        <f t="shared" si="2"/>
        <v>1.3283299737687312E-7</v>
      </c>
    </row>
    <row r="33" spans="1:13" x14ac:dyDescent="0.2">
      <c r="B33" s="8" t="s">
        <v>16</v>
      </c>
      <c r="C33" s="14">
        <v>-52.45</v>
      </c>
      <c r="D33" s="12">
        <f t="shared" si="3"/>
        <v>-1.2811112756510213E-6</v>
      </c>
      <c r="E33" s="17"/>
      <c r="F33" s="8" t="s">
        <v>16</v>
      </c>
      <c r="G33" s="15">
        <v>-67204</v>
      </c>
      <c r="H33" s="12">
        <f t="shared" si="2"/>
        <v>-2.9481204609363876E-6</v>
      </c>
    </row>
    <row r="34" spans="1:13" x14ac:dyDescent="0.2">
      <c r="B34" s="18" t="s">
        <v>17</v>
      </c>
      <c r="C34" s="19">
        <f>SUM(C22:C33)</f>
        <v>2148.489999999988</v>
      </c>
      <c r="D34" s="20">
        <f>SUM(D22:D33)</f>
        <v>5.2477688553354625E-5</v>
      </c>
      <c r="E34" s="21"/>
      <c r="F34" s="18" t="s">
        <v>17</v>
      </c>
      <c r="G34" s="19">
        <f>SUM(G22:G33)</f>
        <v>2126460</v>
      </c>
      <c r="H34" s="20">
        <f>SUM(H22:H33)</f>
        <v>9.3284034214671606E-5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3890426</v>
      </c>
      <c r="D37" s="12">
        <f t="shared" ref="D37:D48" si="4">+IF(C37/$C$114=0,"",C37/$C$114)</f>
        <v>4.7552574935972184E-5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2728381</v>
      </c>
      <c r="D38" s="12">
        <f t="shared" si="4"/>
        <v>3.3348929386237579E-5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-52479772</v>
      </c>
      <c r="D44" s="12">
        <f t="shared" si="4"/>
        <v>-6.414588763936738E-4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-19598334</v>
      </c>
      <c r="D45" s="12">
        <f t="shared" si="4"/>
        <v>-2.3954992233632294E-4</v>
      </c>
      <c r="E45" s="11"/>
      <c r="F45" s="8" t="s">
        <v>13</v>
      </c>
      <c r="G45" s="15">
        <v>31478779</v>
      </c>
      <c r="H45" s="12">
        <f t="shared" si="5"/>
        <v>6.5790621781251068E-3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-735178</v>
      </c>
      <c r="D47" s="12">
        <f t="shared" si="4"/>
        <v>-8.9860614072284521E-6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-76915</v>
      </c>
      <c r="D48" s="12">
        <f t="shared" si="4"/>
        <v>-9.401300272001833E-7</v>
      </c>
      <c r="E48" s="11"/>
      <c r="F48" s="8" t="s">
        <v>16</v>
      </c>
      <c r="G48" s="15">
        <v>-39326</v>
      </c>
      <c r="H48" s="12">
        <f t="shared" si="5"/>
        <v>-8.2191307107860809E-6</v>
      </c>
    </row>
    <row r="49" spans="2:9" x14ac:dyDescent="0.2">
      <c r="B49" s="18" t="s">
        <v>17</v>
      </c>
      <c r="C49" s="19">
        <f>SUM(C37:C48)</f>
        <v>-66271392</v>
      </c>
      <c r="D49" s="20">
        <f>SUM(D37:D48)</f>
        <v>-8.1003348584221568E-4</v>
      </c>
      <c r="E49" s="21"/>
      <c r="F49" s="18" t="s">
        <v>17</v>
      </c>
      <c r="G49" s="19">
        <f>SUM(G37:G48)</f>
        <v>31439453</v>
      </c>
      <c r="H49" s="20">
        <f>SUM(H37:H48)</f>
        <v>6.5708430474143206E-3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118">
        <v>15417.69</v>
      </c>
      <c r="H53" s="12">
        <f t="shared" ref="H53:H64" si="7">+IF(G53/$C$115=0,"",G53/$C$115)</f>
        <v>1.2679063856004937E-4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1763.21</v>
      </c>
      <c r="H60" s="12">
        <f t="shared" si="7"/>
        <v>1.4500130811779498E-5</v>
      </c>
    </row>
    <row r="61" spans="2:9" x14ac:dyDescent="0.2">
      <c r="B61" s="8" t="s">
        <v>13</v>
      </c>
      <c r="C61" s="15">
        <v>126866984</v>
      </c>
      <c r="D61" s="12">
        <f t="shared" si="6"/>
        <v>7.858038841928365E-3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>
        <v>-5841.45</v>
      </c>
      <c r="H63" s="12">
        <f t="shared" si="7"/>
        <v>-4.8038401058563275E-5</v>
      </c>
    </row>
    <row r="64" spans="2:9" x14ac:dyDescent="0.2">
      <c r="B64" s="8" t="s">
        <v>16</v>
      </c>
      <c r="C64" s="15">
        <v>-132698</v>
      </c>
      <c r="D64" s="12">
        <f t="shared" si="6"/>
        <v>-8.2192072781221789E-6</v>
      </c>
      <c r="E64" s="11"/>
      <c r="F64" s="8" t="s">
        <v>16</v>
      </c>
      <c r="G64" s="32">
        <v>-43.03</v>
      </c>
      <c r="H64" s="12">
        <f t="shared" si="7"/>
        <v>-3.5386631701888705E-7</v>
      </c>
    </row>
    <row r="65" spans="2:8" x14ac:dyDescent="0.2">
      <c r="B65" s="18" t="s">
        <v>17</v>
      </c>
      <c r="C65" s="19">
        <f>SUM(C53:C64)</f>
        <v>126734286</v>
      </c>
      <c r="D65" s="20">
        <f>SUM(D53:D64)</f>
        <v>7.849819634650243E-3</v>
      </c>
      <c r="E65" s="21"/>
      <c r="F65" s="18" t="s">
        <v>17</v>
      </c>
      <c r="G65" s="19">
        <f>SUM(G53:G64)</f>
        <v>11296.42</v>
      </c>
      <c r="H65" s="20">
        <f>SUM(H53:H64)</f>
        <v>9.2898501996246699E-5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-20657</v>
      </c>
      <c r="D72" s="12">
        <f t="shared" si="8"/>
        <v>-1.9271916357487197E-6</v>
      </c>
      <c r="E72" s="11"/>
      <c r="F72" s="8" t="s">
        <v>9</v>
      </c>
      <c r="G72" s="9">
        <v>-19758</v>
      </c>
      <c r="H72" s="12">
        <f t="shared" si="9"/>
        <v>-3.2839748724317413E-6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16743368</v>
      </c>
      <c r="D76" s="12">
        <f t="shared" si="8"/>
        <v>1.5620699406430154E-3</v>
      </c>
      <c r="E76" s="11"/>
      <c r="F76" s="8" t="s">
        <v>13</v>
      </c>
      <c r="G76" s="15">
        <v>2589115</v>
      </c>
      <c r="H76" s="12">
        <f t="shared" si="9"/>
        <v>4.3033650176313941E-4</v>
      </c>
    </row>
    <row r="77" spans="2:8" x14ac:dyDescent="0.2">
      <c r="B77" s="8" t="s">
        <v>14</v>
      </c>
      <c r="C77" s="9">
        <v>-29059637</v>
      </c>
      <c r="D77" s="12">
        <f t="shared" si="8"/>
        <v>-2.7111143614413523E-3</v>
      </c>
      <c r="E77" s="11"/>
      <c r="F77" s="8" t="s">
        <v>14</v>
      </c>
      <c r="G77" s="9">
        <v>-16487577</v>
      </c>
      <c r="H77" s="12">
        <f t="shared" si="9"/>
        <v>-2.7403982475596475E-3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-12403</v>
      </c>
      <c r="D79" s="12">
        <f t="shared" si="8"/>
        <v>-1.1571359760948526E-6</v>
      </c>
      <c r="E79" s="11"/>
      <c r="F79" s="8" t="s">
        <v>16</v>
      </c>
      <c r="G79" s="15">
        <v>-12403</v>
      </c>
      <c r="H79" s="12">
        <f t="shared" si="9"/>
        <v>-2.0615011814338948E-6</v>
      </c>
    </row>
    <row r="80" spans="2:8" x14ac:dyDescent="0.2">
      <c r="B80" s="18" t="s">
        <v>17</v>
      </c>
      <c r="C80" s="19">
        <f>SUM(C68:C79)</f>
        <v>-12349329</v>
      </c>
      <c r="D80" s="20">
        <f>SUM(D68:D79)</f>
        <v>-1.1521287484101805E-3</v>
      </c>
      <c r="E80" s="21"/>
      <c r="F80" s="18" t="s">
        <v>17</v>
      </c>
      <c r="G80" s="19">
        <f>SUM(G68:G79)</f>
        <v>-13930623</v>
      </c>
      <c r="H80" s="20">
        <f>SUM(H68:H79)</f>
        <v>-2.3154072218503738E-3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22795540715.000004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16144865984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10718705715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4784690910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6016489397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58471578140.000092</v>
      </c>
      <c r="D111" s="51">
        <v>12643133015</v>
      </c>
      <c r="F111" s="45">
        <f>+C111+D111</f>
        <v>71114711155.000092</v>
      </c>
      <c r="G111" s="5"/>
      <c r="H111" s="5"/>
    </row>
    <row r="112" spans="2:8" x14ac:dyDescent="0.2">
      <c r="B112" s="35" t="s">
        <v>18</v>
      </c>
      <c r="C112" s="48">
        <v>40941018.1589</v>
      </c>
      <c r="D112" s="53"/>
      <c r="F112" s="45">
        <f>+C112+D112</f>
        <v>40941018.1589</v>
      </c>
      <c r="H112" s="17"/>
    </row>
    <row r="113" spans="1:13" x14ac:dyDescent="0.2">
      <c r="B113" s="35" t="s">
        <v>4</v>
      </c>
      <c r="C113" s="45">
        <v>9435444215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81813151133</v>
      </c>
      <c r="D114" s="46"/>
      <c r="F114" s="45"/>
      <c r="H114" s="17"/>
    </row>
    <row r="115" spans="1:13" x14ac:dyDescent="0.2">
      <c r="B115" s="35" t="s">
        <v>25</v>
      </c>
      <c r="C115" s="48">
        <v>121599592.6442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42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42998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5257472</v>
      </c>
      <c r="D7" s="10">
        <f>+IF(C7/$F$111=0,"",C7/$F$111)</f>
        <v>7.4376162235633816E-5</v>
      </c>
      <c r="E7" s="11"/>
      <c r="F7" s="8" t="s">
        <v>5</v>
      </c>
      <c r="G7" s="9">
        <v>912619</v>
      </c>
      <c r="H7" s="12">
        <f>+IF(G7/$C$113=0,"",G7/$C$113)</f>
        <v>9.673025761244909E-5</v>
      </c>
      <c r="I7" s="13"/>
    </row>
    <row r="8" spans="1:9" x14ac:dyDescent="0.2">
      <c r="B8" s="8" t="s">
        <v>6</v>
      </c>
      <c r="C8" s="9">
        <v>277762</v>
      </c>
      <c r="D8" s="10">
        <f>+IF(C8/$F$111=0,"",C8/$F$111)</f>
        <v>3.9294306417407681E-6</v>
      </c>
      <c r="E8" s="11"/>
      <c r="F8" s="8" t="s">
        <v>6</v>
      </c>
      <c r="G8" s="9">
        <v>130583</v>
      </c>
      <c r="H8" s="12">
        <f>+IF(G8/$C$113=0,"",G8/$C$113)</f>
        <v>1.3840745403948899E-5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-80559</v>
      </c>
      <c r="H11" s="12">
        <f t="shared" si="0"/>
        <v>-8.5386046345750925E-6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-4737224</v>
      </c>
      <c r="H14" s="12">
        <f t="shared" si="0"/>
        <v>-5.0210755845306375E-4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-8671</v>
      </c>
      <c r="D17" s="10">
        <f>+IF(C17/$F$111=0,"",C17/$F$111)</f>
        <v>-1.2266650259767067E-7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-119260</v>
      </c>
      <c r="D18" s="10">
        <f>+IF(C18/$F$111=0,"",C18/$F$111)</f>
        <v>-1.6871418636602703E-6</v>
      </c>
      <c r="E18" s="17"/>
      <c r="F18" s="8" t="s">
        <v>16</v>
      </c>
      <c r="G18" s="15">
        <v>-31340</v>
      </c>
      <c r="H18" s="12">
        <f t="shared" si="0"/>
        <v>-3.3217873763028762E-6</v>
      </c>
    </row>
    <row r="19" spans="2:9" x14ac:dyDescent="0.2">
      <c r="B19" s="18" t="s">
        <v>17</v>
      </c>
      <c r="C19" s="19">
        <f>SUM(C7:C18)</f>
        <v>5407303</v>
      </c>
      <c r="D19" s="20">
        <f>SUM(D7:D18)</f>
        <v>7.6495784511116638E-5</v>
      </c>
      <c r="E19" s="21"/>
      <c r="F19" s="18" t="s">
        <v>17</v>
      </c>
      <c r="G19" s="19">
        <f>SUM(G7:G18)</f>
        <v>-3805921</v>
      </c>
      <c r="H19" s="20">
        <f>SUM(H7:H18)</f>
        <v>-4.0339694744754369E-4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3808.6819999999998</v>
      </c>
      <c r="D22" s="12">
        <f>+IF(C22/$F$112=0,"",C22/$F$112)</f>
        <v>9.3051095538615499E-5</v>
      </c>
      <c r="E22" s="17"/>
      <c r="F22" s="8" t="s">
        <v>5</v>
      </c>
      <c r="G22" s="9">
        <v>1697238</v>
      </c>
      <c r="H22" s="12">
        <f t="shared" ref="H22:H33" si="2">+IF(G22/$C$106=0,"",G22/$C$106)</f>
        <v>7.1805907839873529E-5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454188</v>
      </c>
      <c r="H23" s="12">
        <f t="shared" si="2"/>
        <v>1.9215561795090894E-5</v>
      </c>
      <c r="I23" s="23"/>
    </row>
    <row r="24" spans="2:9" x14ac:dyDescent="0.2">
      <c r="B24" s="8" t="s">
        <v>45</v>
      </c>
      <c r="C24" s="14">
        <v>-2907.55</v>
      </c>
      <c r="D24" s="12">
        <f>+IF(C24/$F$112=0,"",C24/$F$112)</f>
        <v>-7.1035259135129045E-5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-18091.09</v>
      </c>
      <c r="D26" s="12">
        <f>+IF(C26/$F$112=0,"",C26/$F$112)</f>
        <v>-4.4198905132738613E-4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-128717.27000000002</v>
      </c>
      <c r="D27" s="12">
        <f t="shared" ref="D27:D33" si="3">+IF(C27/$F$112=0,"",C27/$F$112)</f>
        <v>-3.1447316914984683E-3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-2603679</v>
      </c>
      <c r="H29" s="12">
        <f t="shared" si="2"/>
        <v>-1.1015516640483779E-4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149147.19029999999</v>
      </c>
      <c r="D31" s="12">
        <f t="shared" si="3"/>
        <v>3.6438614339347228E-3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-52256</v>
      </c>
      <c r="H32" s="12">
        <f t="shared" si="2"/>
        <v>-2.2108210634456871E-6</v>
      </c>
    </row>
    <row r="33" spans="1:13" x14ac:dyDescent="0.2">
      <c r="B33" s="8" t="s">
        <v>16</v>
      </c>
      <c r="C33" s="14">
        <v>-52.56</v>
      </c>
      <c r="D33" s="12">
        <f t="shared" si="3"/>
        <v>-1.2841097212919406E-6</v>
      </c>
      <c r="E33" s="17"/>
      <c r="F33" s="8" t="s">
        <v>16</v>
      </c>
      <c r="G33" s="15">
        <v>-57495</v>
      </c>
      <c r="H33" s="12">
        <f t="shared" si="2"/>
        <v>-2.4324700903783257E-6</v>
      </c>
    </row>
    <row r="34" spans="1:13" x14ac:dyDescent="0.2">
      <c r="B34" s="18" t="s">
        <v>17</v>
      </c>
      <c r="C34" s="19">
        <f>SUM(C22:C33)</f>
        <v>3187.4022999999847</v>
      </c>
      <c r="D34" s="20">
        <f>SUM(D22:D33)</f>
        <v>7.7872417791062965E-5</v>
      </c>
      <c r="E34" s="21"/>
      <c r="F34" s="18" t="s">
        <v>17</v>
      </c>
      <c r="G34" s="19">
        <f>SUM(G22:G33)</f>
        <v>-562004</v>
      </c>
      <c r="H34" s="20">
        <f>SUM(H22:H33)</f>
        <v>-2.3776987923697375E-5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4070003</v>
      </c>
      <c r="D37" s="12">
        <f t="shared" ref="D37:D48" si="4">+IF(C37/$C$114=0,"",C37/$C$114)</f>
        <v>4.9820382133979503E-5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2703095</v>
      </c>
      <c r="D38" s="12">
        <f t="shared" si="4"/>
        <v>3.3088237488878836E-5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153574</v>
      </c>
      <c r="H39" s="12">
        <f t="shared" si="5"/>
        <v>3.1891716197447902E-5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-29785112</v>
      </c>
      <c r="D44" s="12">
        <f t="shared" si="4"/>
        <v>-3.6459571694256207E-4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-7630221</v>
      </c>
      <c r="D45" s="12">
        <f t="shared" si="4"/>
        <v>-9.3400551789940989E-5</v>
      </c>
      <c r="E45" s="11"/>
      <c r="F45" s="8" t="s">
        <v>13</v>
      </c>
      <c r="G45" s="15">
        <v>41073469</v>
      </c>
      <c r="H45" s="12">
        <f t="shared" si="5"/>
        <v>8.5294608240501276E-3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>
        <v>9</v>
      </c>
      <c r="H47" s="12">
        <f t="shared" si="5"/>
        <v>1.8689716083258306E-9</v>
      </c>
    </row>
    <row r="48" spans="1:13" x14ac:dyDescent="0.2">
      <c r="B48" s="8" t="s">
        <v>16</v>
      </c>
      <c r="C48" s="15">
        <v>-59379</v>
      </c>
      <c r="D48" s="12">
        <f t="shared" si="4"/>
        <v>-7.2685068554828307E-7</v>
      </c>
      <c r="E48" s="11"/>
      <c r="F48" s="8" t="s">
        <v>16</v>
      </c>
      <c r="G48" s="15">
        <v>-39579</v>
      </c>
      <c r="H48" s="12">
        <f t="shared" si="5"/>
        <v>-8.2191141428808961E-6</v>
      </c>
    </row>
    <row r="49" spans="2:9" x14ac:dyDescent="0.2">
      <c r="B49" s="18" t="s">
        <v>17</v>
      </c>
      <c r="C49" s="19">
        <f>SUM(C37:C48)</f>
        <v>-30701614</v>
      </c>
      <c r="D49" s="20">
        <f>SUM(D37:D48)</f>
        <v>-3.75814499795193E-4</v>
      </c>
      <c r="E49" s="21"/>
      <c r="F49" s="18" t="s">
        <v>17</v>
      </c>
      <c r="G49" s="19">
        <v>-17610970</v>
      </c>
      <c r="H49" s="20">
        <f>SUM(H37:H48)</f>
        <v>8.5531352950763018E-3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15309.9851</v>
      </c>
      <c r="H53" s="12">
        <f t="shared" ref="H53:H64" si="7">+IF(G53/$C$115=0,"",G53/$C$115)</f>
        <v>1.2583872725645013E-4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-184067.72159999999</v>
      </c>
      <c r="H60" s="12">
        <f t="shared" si="7"/>
        <v>-1.5129242558922275E-3</v>
      </c>
    </row>
    <row r="61" spans="2:9" x14ac:dyDescent="0.2">
      <c r="B61" s="8" t="s">
        <v>13</v>
      </c>
      <c r="C61" s="15">
        <v>172434919</v>
      </c>
      <c r="D61" s="12">
        <f t="shared" si="6"/>
        <v>1.0599926567969908E-2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-20</v>
      </c>
      <c r="D63" s="12">
        <f t="shared" si="6"/>
        <v>-1.2294408382527101E-9</v>
      </c>
      <c r="E63" s="11"/>
      <c r="F63" s="8" t="s">
        <v>15</v>
      </c>
      <c r="G63" s="32">
        <v>71.010000000000005</v>
      </c>
      <c r="H63" s="12">
        <f t="shared" si="7"/>
        <v>5.836588320703541E-7</v>
      </c>
    </row>
    <row r="64" spans="2:9" x14ac:dyDescent="0.2">
      <c r="B64" s="8" t="s">
        <v>16</v>
      </c>
      <c r="C64" s="15">
        <v>-133706</v>
      </c>
      <c r="D64" s="12">
        <f t="shared" si="6"/>
        <v>-8.2191808359708421E-6</v>
      </c>
      <c r="E64" s="11"/>
      <c r="F64" s="8" t="s">
        <v>16</v>
      </c>
      <c r="G64" s="32">
        <v>-43.09</v>
      </c>
      <c r="H64" s="12">
        <f t="shared" si="7"/>
        <v>-3.5417348364894464E-7</v>
      </c>
    </row>
    <row r="65" spans="2:8" x14ac:dyDescent="0.2">
      <c r="B65" s="18" t="s">
        <v>17</v>
      </c>
      <c r="C65" s="19">
        <f>SUM(C53:C64)</f>
        <v>172301193</v>
      </c>
      <c r="D65" s="20">
        <f>SUM(D53:D64)</f>
        <v>1.0591706157693098E-2</v>
      </c>
      <c r="E65" s="21"/>
      <c r="F65" s="18" t="s">
        <v>17</v>
      </c>
      <c r="G65" s="57">
        <f>SUM(G53:G64)</f>
        <v>-168729.81649999999</v>
      </c>
      <c r="H65" s="20">
        <f>SUM(H53:H64)</f>
        <v>-1.3868560432873558E-3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-43703</v>
      </c>
      <c r="D72" s="12">
        <f t="shared" si="8"/>
        <v>-4.0831092708084903E-6</v>
      </c>
      <c r="E72" s="11"/>
      <c r="F72" s="8" t="s">
        <v>9</v>
      </c>
      <c r="G72" s="9">
        <v>-41800</v>
      </c>
      <c r="H72" s="12">
        <f t="shared" si="9"/>
        <v>-6.9651509488255134E-6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24567510</v>
      </c>
      <c r="D76" s="12">
        <f t="shared" si="8"/>
        <v>2.2953075953980342E-3</v>
      </c>
      <c r="E76" s="11"/>
      <c r="F76" s="8" t="s">
        <v>13</v>
      </c>
      <c r="G76" s="15">
        <v>1685759</v>
      </c>
      <c r="H76" s="12">
        <f t="shared" si="9"/>
        <v>2.8089870570194135E-4</v>
      </c>
    </row>
    <row r="77" spans="2:8" x14ac:dyDescent="0.2">
      <c r="B77" s="8" t="s">
        <v>14</v>
      </c>
      <c r="C77" s="9">
        <v>-61622507</v>
      </c>
      <c r="D77" s="12">
        <f t="shared" si="8"/>
        <v>-5.7573033801377729E-3</v>
      </c>
      <c r="E77" s="11"/>
      <c r="F77" s="8" t="s">
        <v>14</v>
      </c>
      <c r="G77" s="9">
        <v>-34891101</v>
      </c>
      <c r="H77" s="12">
        <f t="shared" si="9"/>
        <v>-5.8139183070745649E-3</v>
      </c>
    </row>
    <row r="78" spans="2:8" x14ac:dyDescent="0.2">
      <c r="B78" s="8" t="s">
        <v>15</v>
      </c>
      <c r="C78" s="15">
        <v>-8</v>
      </c>
      <c r="D78" s="12">
        <f t="shared" si="8"/>
        <v>-7.4742864715163547E-10</v>
      </c>
      <c r="E78" s="11"/>
      <c r="F78" s="8" t="s">
        <v>15</v>
      </c>
      <c r="G78" s="15">
        <v>4</v>
      </c>
      <c r="H78" s="12">
        <f t="shared" si="9"/>
        <v>6.665216218971783E-10</v>
      </c>
    </row>
    <row r="79" spans="2:8" x14ac:dyDescent="0.2">
      <c r="B79" s="8" t="s">
        <v>16</v>
      </c>
      <c r="C79" s="15">
        <v>-12402</v>
      </c>
      <c r="D79" s="12">
        <f t="shared" si="8"/>
        <v>-1.1587012602468228E-6</v>
      </c>
      <c r="E79" s="11"/>
      <c r="F79" s="8" t="s">
        <v>16</v>
      </c>
      <c r="G79" s="15">
        <v>-12402</v>
      </c>
      <c r="H79" s="12">
        <f t="shared" si="9"/>
        <v>-2.0665502886922016E-6</v>
      </c>
    </row>
    <row r="80" spans="2:8" x14ac:dyDescent="0.2">
      <c r="B80" s="18" t="s">
        <v>17</v>
      </c>
      <c r="C80" s="19">
        <f>SUM(C68:C79)</f>
        <v>-37111110</v>
      </c>
      <c r="D80" s="20">
        <f>SUM(D68:D79)</f>
        <v>-3.467238342699441E-3</v>
      </c>
      <c r="E80" s="21"/>
      <c r="F80" s="18" t="s">
        <v>17</v>
      </c>
      <c r="G80" s="19">
        <f>SUM(G68:G79)</f>
        <v>-33259540</v>
      </c>
      <c r="H80" s="20">
        <f>SUM(H68:H79)</f>
        <v>-5.5420506360885202E-3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23636467403.000099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16267557883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10703362830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4815482461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6001305687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64236121328</v>
      </c>
      <c r="D111" s="51">
        <v>6451473218</v>
      </c>
      <c r="F111" s="45">
        <f>+C111+D111</f>
        <v>70687594546</v>
      </c>
      <c r="G111" s="5"/>
      <c r="H111" s="5"/>
    </row>
    <row r="112" spans="2:8" x14ac:dyDescent="0.2">
      <c r="B112" s="35" t="s">
        <v>18</v>
      </c>
      <c r="C112" s="48">
        <v>40924234.287</v>
      </c>
      <c r="D112" s="53">
        <v>6847.4800000000005</v>
      </c>
      <c r="F112" s="45">
        <f>+C112+D112</f>
        <v>40931081.766999997</v>
      </c>
      <c r="H112" s="17"/>
    </row>
    <row r="113" spans="1:13" x14ac:dyDescent="0.2">
      <c r="B113" s="35" t="s">
        <v>4</v>
      </c>
      <c r="C113" s="45">
        <v>9434679721.9999008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81693532359</v>
      </c>
      <c r="D114" s="46"/>
      <c r="F114" s="45"/>
      <c r="H114" s="17"/>
    </row>
    <row r="115" spans="1:13" x14ac:dyDescent="0.2">
      <c r="B115" s="35" t="s">
        <v>25</v>
      </c>
      <c r="C115" s="48">
        <v>121663540.5792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43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42999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4812259</v>
      </c>
      <c r="D7" s="10">
        <f>+IF(C7/$F$111=0,"",C7/$F$111)</f>
        <v>7.316823069389323E-5</v>
      </c>
      <c r="E7" s="11"/>
      <c r="F7" s="8" t="s">
        <v>5</v>
      </c>
      <c r="G7" s="9">
        <v>884066</v>
      </c>
      <c r="H7" s="12">
        <f>+IF(G7/$C$113=0,"",G7/$C$113)</f>
        <v>9.3297835505676808E-5</v>
      </c>
      <c r="I7" s="13"/>
    </row>
    <row r="8" spans="1:9" x14ac:dyDescent="0.2">
      <c r="B8" s="8" t="s">
        <v>6</v>
      </c>
      <c r="C8" s="9">
        <v>351980</v>
      </c>
      <c r="D8" s="10">
        <f>+IF(C8/$F$111=0,"",C8/$F$111)</f>
        <v>5.3516973711590624E-6</v>
      </c>
      <c r="E8" s="11"/>
      <c r="F8" s="8" t="s">
        <v>6</v>
      </c>
      <c r="G8" s="9">
        <v>129770</v>
      </c>
      <c r="H8" s="12">
        <f>+IF(G8/$C$113=0,"",G8/$C$113)</f>
        <v>1.369497312821857E-5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33651</v>
      </c>
      <c r="H11" s="12">
        <f t="shared" si="0"/>
        <v>3.5512795001747949E-6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3087423</v>
      </c>
      <c r="H14" s="12">
        <f t="shared" si="0"/>
        <v>3.2582395792898178E-4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-9131</v>
      </c>
      <c r="D17" s="10">
        <f>+IF(C17/$F$111=0,"",C17/$F$111)</f>
        <v>-1.3883274247415592E-7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-142861</v>
      </c>
      <c r="D18" s="10">
        <f>+IF(C18/$F$111=0,"",C18/$F$111)</f>
        <v>-2.1721371616033716E-6</v>
      </c>
      <c r="E18" s="17"/>
      <c r="F18" s="8" t="s">
        <v>16</v>
      </c>
      <c r="G18" s="15">
        <v>-31914</v>
      </c>
      <c r="H18" s="12">
        <f t="shared" si="0"/>
        <v>-3.3679692718961814E-6</v>
      </c>
    </row>
    <row r="19" spans="2:9" x14ac:dyDescent="0.2">
      <c r="B19" s="18" t="s">
        <v>17</v>
      </c>
      <c r="C19" s="19">
        <f>SUM(C7:C18)</f>
        <v>5012247</v>
      </c>
      <c r="D19" s="20">
        <f>SUM(D7:D18)</f>
        <v>7.620895816097477E-5</v>
      </c>
      <c r="E19" s="21"/>
      <c r="F19" s="18" t="s">
        <v>17</v>
      </c>
      <c r="G19" s="19">
        <f>SUM(G7:G18)</f>
        <v>4102996</v>
      </c>
      <c r="H19" s="20">
        <f>SUM(H7:H18)</f>
        <v>4.3300007679115574E-4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2875.0014999999994</v>
      </c>
      <c r="D22" s="12">
        <f>+IF(C22/$F$112=0,"",C22/$F$112)</f>
        <v>7.0946672793595868E-5</v>
      </c>
      <c r="E22" s="17"/>
      <c r="F22" s="8" t="s">
        <v>5</v>
      </c>
      <c r="G22" s="9">
        <v>1651339</v>
      </c>
      <c r="H22" s="12">
        <f t="shared" ref="H22:H33" si="2">+IF(G22/$C$106=0,"",G22/$C$106)</f>
        <v>7.0858110305042571E-5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478618</v>
      </c>
      <c r="H23" s="12">
        <f t="shared" si="2"/>
        <v>2.0537253124875549E-5</v>
      </c>
      <c r="I23" s="23"/>
    </row>
    <row r="24" spans="2:9" x14ac:dyDescent="0.2">
      <c r="B24" s="8" t="s">
        <v>45</v>
      </c>
      <c r="C24" s="14">
        <v>-730.01</v>
      </c>
      <c r="D24" s="12">
        <f>+IF(C24/$F$112=0,"",C24/$F$112)</f>
        <v>-1.8014522985832505E-5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10564.96</v>
      </c>
      <c r="D26" s="12">
        <f>+IF(C26/$F$112=0,"",C26/$F$112)</f>
        <v>2.6071247621868327E-4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74259.705999999991</v>
      </c>
      <c r="D27" s="12">
        <f t="shared" ref="D27:D33" si="3">+IF(C27/$F$112=0,"",C27/$F$112)</f>
        <v>1.8325135007166531E-3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-2610217</v>
      </c>
      <c r="H29" s="12">
        <f t="shared" si="2"/>
        <v>-1.1200307393339424E-4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-84710.550199999998</v>
      </c>
      <c r="D31" s="12">
        <f t="shared" si="3"/>
        <v>-2.0904099309878199E-3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-106650</v>
      </c>
      <c r="H32" s="12">
        <f t="shared" si="2"/>
        <v>-4.5762968500306659E-6</v>
      </c>
    </row>
    <row r="33" spans="1:13" x14ac:dyDescent="0.2">
      <c r="B33" s="8" t="s">
        <v>16</v>
      </c>
      <c r="C33" s="14">
        <v>-116.77</v>
      </c>
      <c r="D33" s="12">
        <f t="shared" si="3"/>
        <v>-2.8815438816669111E-6</v>
      </c>
      <c r="E33" s="17"/>
      <c r="F33" s="8" t="s">
        <v>16</v>
      </c>
      <c r="G33" s="15">
        <v>-55630</v>
      </c>
      <c r="H33" s="12">
        <f t="shared" si="2"/>
        <v>-2.3870547938790993E-6</v>
      </c>
    </row>
    <row r="34" spans="1:13" x14ac:dyDescent="0.2">
      <c r="B34" s="18" t="s">
        <v>17</v>
      </c>
      <c r="C34" s="19">
        <f>SUM(C22:C33)</f>
        <v>2142.3372999999888</v>
      </c>
      <c r="D34" s="20">
        <f>SUM(D22:D33)</f>
        <v>5.2866651873612691E-5</v>
      </c>
      <c r="E34" s="21"/>
      <c r="F34" s="18" t="s">
        <v>17</v>
      </c>
      <c r="G34" s="19">
        <f>SUM(G22:G33)</f>
        <v>-642540</v>
      </c>
      <c r="H34" s="20">
        <f>SUM(H22:H33)</f>
        <v>-2.7571062147385888E-5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4110713</v>
      </c>
      <c r="D37" s="12">
        <f t="shared" ref="D37:D48" si="4">+IF(C37/$C$114=0,"",C37/$C$114)</f>
        <v>5.1056039217175304E-5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2686492</v>
      </c>
      <c r="D38" s="12">
        <f t="shared" si="4"/>
        <v>3.3366873559070585E-5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921162</v>
      </c>
      <c r="H39" s="12">
        <f t="shared" si="5"/>
        <v>1.8979929176645712E-4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12268409</v>
      </c>
      <c r="D44" s="12">
        <f t="shared" si="4"/>
        <v>1.523765757999516E-4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-3607323</v>
      </c>
      <c r="D45" s="12">
        <f t="shared" si="4"/>
        <v>-4.4803814948165555E-5</v>
      </c>
      <c r="E45" s="11"/>
      <c r="F45" s="8" t="s">
        <v>13</v>
      </c>
      <c r="G45" s="15">
        <v>24419347</v>
      </c>
      <c r="H45" s="12">
        <f t="shared" si="5"/>
        <v>5.0314437265099512E-3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-263306</v>
      </c>
      <c r="D47" s="12">
        <f t="shared" si="4"/>
        <v>-3.2703235331966891E-6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-77120</v>
      </c>
      <c r="D48" s="12">
        <f t="shared" si="4"/>
        <v>-9.5784885600832734E-7</v>
      </c>
      <c r="E48" s="11"/>
      <c r="F48" s="8" t="s">
        <v>16</v>
      </c>
      <c r="G48" s="15">
        <v>-39891</v>
      </c>
      <c r="H48" s="12">
        <f t="shared" si="5"/>
        <v>-8.2192747289355632E-6</v>
      </c>
    </row>
    <row r="49" spans="2:9" x14ac:dyDescent="0.2">
      <c r="B49" s="18" t="s">
        <v>17</v>
      </c>
      <c r="C49" s="19">
        <f>SUM(C37:C48)</f>
        <v>15117865</v>
      </c>
      <c r="D49" s="20">
        <f>SUM(D37:D48)</f>
        <v>1.8776750123882693E-4</v>
      </c>
      <c r="E49" s="21"/>
      <c r="F49" s="18" t="s">
        <v>17</v>
      </c>
      <c r="G49" s="19">
        <v>-17610970</v>
      </c>
      <c r="H49" s="20">
        <f>SUM(H37:H48)</f>
        <v>5.2130237435474734E-3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15453.4581</v>
      </c>
      <c r="H53" s="12">
        <f t="shared" ref="H53:H64" si="7">+IF(G53/$C$115=0,"",G53/$C$115)</f>
        <v>1.271960633701929E-4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>
        <v>-1441340</v>
      </c>
      <c r="D55" s="12">
        <f t="shared" si="6"/>
        <v>-8.7676247684676323E-5</v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-109197.0151</v>
      </c>
      <c r="H60" s="12">
        <f t="shared" si="7"/>
        <v>-8.9879109016353497E-4</v>
      </c>
    </row>
    <row r="61" spans="2:9" x14ac:dyDescent="0.2">
      <c r="B61" s="8" t="s">
        <v>13</v>
      </c>
      <c r="C61" s="15">
        <v>46892431</v>
      </c>
      <c r="D61" s="12">
        <f t="shared" si="6"/>
        <v>2.8524514652286028E-3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-135118</v>
      </c>
      <c r="D64" s="12">
        <f t="shared" si="6"/>
        <v>-8.2191843941457913E-6</v>
      </c>
      <c r="E64" s="11"/>
      <c r="F64" s="8" t="s">
        <v>16</v>
      </c>
      <c r="G64" s="32">
        <v>-43.22</v>
      </c>
      <c r="H64" s="12">
        <f t="shared" si="7"/>
        <v>-3.5574004363850035E-7</v>
      </c>
    </row>
    <row r="65" spans="2:8" x14ac:dyDescent="0.2">
      <c r="B65" s="18" t="s">
        <v>17</v>
      </c>
      <c r="C65" s="19">
        <f>SUM(C53:C64)</f>
        <v>45315973</v>
      </c>
      <c r="D65" s="20">
        <f>SUM(D53:D64)</f>
        <v>2.7565560331497809E-3</v>
      </c>
      <c r="E65" s="21"/>
      <c r="F65" s="18" t="s">
        <v>17</v>
      </c>
      <c r="G65" s="57">
        <f>SUM(G53:G64)</f>
        <v>-93786.777000000002</v>
      </c>
      <c r="H65" s="20">
        <f>SUM(H53:H64)</f>
        <v>-7.7195076683698061E-4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-2461668</v>
      </c>
      <c r="D72" s="12">
        <f t="shared" si="8"/>
        <v>-2.3101964770446697E-4</v>
      </c>
      <c r="E72" s="11"/>
      <c r="F72" s="8" t="s">
        <v>9</v>
      </c>
      <c r="G72" s="9">
        <v>-95259</v>
      </c>
      <c r="H72" s="12">
        <f t="shared" si="9"/>
        <v>-1.5975530130620116E-5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-20427684</v>
      </c>
      <c r="D76" s="12">
        <f t="shared" si="8"/>
        <v>-1.917072635748678E-3</v>
      </c>
      <c r="E76" s="11"/>
      <c r="F76" s="8" t="s">
        <v>13</v>
      </c>
      <c r="G76" s="15">
        <v>-3987578</v>
      </c>
      <c r="H76" s="12">
        <f t="shared" si="9"/>
        <v>-6.6874177229655888E-4</v>
      </c>
    </row>
    <row r="77" spans="2:8" x14ac:dyDescent="0.2">
      <c r="B77" s="8" t="s">
        <v>14</v>
      </c>
      <c r="C77" s="9">
        <v>36857153</v>
      </c>
      <c r="D77" s="12">
        <f t="shared" si="8"/>
        <v>3.4589256152534127E-3</v>
      </c>
      <c r="E77" s="11"/>
      <c r="F77" s="8" t="s">
        <v>14</v>
      </c>
      <c r="G77" s="9">
        <v>19720221</v>
      </c>
      <c r="H77" s="12">
        <f t="shared" si="9"/>
        <v>3.3072044086961605E-3</v>
      </c>
    </row>
    <row r="78" spans="2:8" x14ac:dyDescent="0.2">
      <c r="B78" s="8" t="s">
        <v>15</v>
      </c>
      <c r="C78" s="15">
        <v>218618</v>
      </c>
      <c r="D78" s="12">
        <f t="shared" si="8"/>
        <v>2.0516598234146589E-5</v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-12399</v>
      </c>
      <c r="D79" s="12">
        <f t="shared" si="8"/>
        <v>-1.1636063887931621E-6</v>
      </c>
      <c r="E79" s="11"/>
      <c r="F79" s="8" t="s">
        <v>16</v>
      </c>
      <c r="G79" s="15">
        <v>-12399</v>
      </c>
      <c r="H79" s="12">
        <f t="shared" si="9"/>
        <v>-2.0793898538674438E-6</v>
      </c>
    </row>
    <row r="80" spans="2:8" x14ac:dyDescent="0.2">
      <c r="B80" s="18" t="s">
        <v>17</v>
      </c>
      <c r="C80" s="19">
        <f>SUM(C68:C79)</f>
        <v>14174020</v>
      </c>
      <c r="D80" s="20">
        <f>SUM(D68:D79)</f>
        <v>1.3301863236456213E-3</v>
      </c>
      <c r="E80" s="21"/>
      <c r="F80" s="18" t="s">
        <v>17</v>
      </c>
      <c r="G80" s="19">
        <f>SUM(G68:G79)</f>
        <v>15624985</v>
      </c>
      <c r="H80" s="20">
        <f>SUM(H68:H79)</f>
        <v>2.6204077164151138E-3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23304869306.999901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16439344042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10655665111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4853347931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5962806818.9999008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59560122989</v>
      </c>
      <c r="D111" s="51">
        <v>6209664723</v>
      </c>
      <c r="F111" s="45">
        <f>+C111+D111</f>
        <v>65769787712</v>
      </c>
      <c r="G111" s="5"/>
      <c r="H111" s="5"/>
    </row>
    <row r="112" spans="2:8" x14ac:dyDescent="0.2">
      <c r="B112" s="35" t="s">
        <v>18</v>
      </c>
      <c r="C112" s="48">
        <v>40523412.9406</v>
      </c>
      <c r="D112" s="53">
        <v>2.56</v>
      </c>
      <c r="F112" s="45">
        <f>+C112+D112</f>
        <v>40523415.500600003</v>
      </c>
      <c r="H112" s="17"/>
    </row>
    <row r="113" spans="1:13" x14ac:dyDescent="0.2">
      <c r="B113" s="35" t="s">
        <v>4</v>
      </c>
      <c r="C113" s="45">
        <v>9475739659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80513746523</v>
      </c>
      <c r="D114" s="46"/>
      <c r="F114" s="45"/>
      <c r="H114" s="17"/>
    </row>
    <row r="115" spans="1:13" x14ac:dyDescent="0.2">
      <c r="B115" s="35" t="s">
        <v>25</v>
      </c>
      <c r="C115" s="48">
        <v>121493210.4858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44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43000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5094650</v>
      </c>
      <c r="D7" s="10">
        <f>+IF(C7/$F$111=0,"",C7/$F$111)</f>
        <v>7.5017515987003901E-5</v>
      </c>
      <c r="E7" s="11"/>
      <c r="F7" s="8" t="s">
        <v>5</v>
      </c>
      <c r="G7" s="9">
        <v>865212</v>
      </c>
      <c r="H7" s="12">
        <f>+IF(G7/$C$113=0,"",G7/$C$113)</f>
        <v>9.1259052314269875E-5</v>
      </c>
      <c r="I7" s="13"/>
    </row>
    <row r="8" spans="1:9" x14ac:dyDescent="0.2">
      <c r="B8" s="8" t="s">
        <v>6</v>
      </c>
      <c r="C8" s="9">
        <v>350005</v>
      </c>
      <c r="D8" s="10">
        <f>+IF(C8/$F$111=0,"",C8/$F$111)</f>
        <v>5.1537408228300867E-6</v>
      </c>
      <c r="E8" s="11"/>
      <c r="F8" s="8" t="s">
        <v>6</v>
      </c>
      <c r="G8" s="9">
        <v>130587</v>
      </c>
      <c r="H8" s="12">
        <f>+IF(G8/$C$113=0,"",G8/$C$113)</f>
        <v>1.377378707711354E-5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5825</v>
      </c>
      <c r="H11" s="12">
        <f t="shared" si="0"/>
        <v>6.1439737281801687E-7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10285781</v>
      </c>
      <c r="H14" s="12">
        <f t="shared" si="0"/>
        <v>1.0849024590182789E-3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-75100</v>
      </c>
      <c r="D18" s="10">
        <f>+IF(C18/$F$111=0,"",C18/$F$111)</f>
        <v>-1.1058297332739233E-6</v>
      </c>
      <c r="E18" s="17"/>
      <c r="F18" s="8" t="s">
        <v>16</v>
      </c>
      <c r="G18" s="15">
        <v>-31330</v>
      </c>
      <c r="H18" s="12">
        <f t="shared" si="0"/>
        <v>-3.3045613202383639E-6</v>
      </c>
    </row>
    <row r="19" spans="2:9" x14ac:dyDescent="0.2">
      <c r="B19" s="18" t="s">
        <v>17</v>
      </c>
      <c r="C19" s="19">
        <f>SUM(C7:C18)</f>
        <v>5369555</v>
      </c>
      <c r="D19" s="20">
        <f>SUM(D7:D18)</f>
        <v>7.9065427076560073E-5</v>
      </c>
      <c r="E19" s="21"/>
      <c r="F19" s="18" t="s">
        <v>17</v>
      </c>
      <c r="G19" s="19">
        <f>SUM(G7:G18)</f>
        <v>11256075</v>
      </c>
      <c r="H19" s="20">
        <f>SUM(H7:H18)</f>
        <v>1.1872451344622421E-3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2852.7981</v>
      </c>
      <c r="D22" s="12">
        <f>+IF(C22/$F$112=0,"",C22/$F$112)</f>
        <v>7.3017103154695908E-5</v>
      </c>
      <c r="E22" s="17"/>
      <c r="F22" s="8" t="s">
        <v>5</v>
      </c>
      <c r="G22" s="9">
        <v>1578119</v>
      </c>
      <c r="H22" s="12">
        <f t="shared" ref="H22:H33" si="2">+IF(G22/$C$106=0,"",G22/$C$106)</f>
        <v>6.6633967056447342E-5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463122</v>
      </c>
      <c r="H23" s="12">
        <f t="shared" si="2"/>
        <v>1.955470790929962E-5</v>
      </c>
      <c r="I23" s="23"/>
    </row>
    <row r="24" spans="2:9" x14ac:dyDescent="0.2">
      <c r="B24" s="8" t="s">
        <v>45</v>
      </c>
      <c r="C24" s="14">
        <v>-229.23</v>
      </c>
      <c r="D24" s="12">
        <f>+IF(C24/$F$112=0,"",C24/$F$112)</f>
        <v>-5.8671206196298796E-6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0.31330848761717789</v>
      </c>
      <c r="D26" s="12">
        <f>+IF(C26/$F$112=0,"",C26/$F$112)</f>
        <v>8.0191017231767106E-9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-4071.1300000000047</v>
      </c>
      <c r="D27" s="12">
        <f t="shared" ref="D27:D33" si="3">+IF(C27/$F$112=0,"",C27/$F$112)</f>
        <v>-1.0420019529814518E-4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415065</v>
      </c>
      <c r="H29" s="12">
        <f t="shared" si="2"/>
        <v>1.7525565268705541E-5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3671.6484</v>
      </c>
      <c r="D31" s="12">
        <f t="shared" si="3"/>
        <v>9.3975500744540675E-5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-17.479299999999999</v>
      </c>
      <c r="D32" s="12">
        <f t="shared" si="3"/>
        <v>-4.4738106463681263E-7</v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-59.65</v>
      </c>
      <c r="D33" s="12">
        <f t="shared" si="3"/>
        <v>-1.5267362254544445E-6</v>
      </c>
      <c r="E33" s="17"/>
      <c r="F33" s="8" t="s">
        <v>16</v>
      </c>
      <c r="G33" s="15">
        <v>-40984</v>
      </c>
      <c r="H33" s="12">
        <f t="shared" si="2"/>
        <v>-1.7304946622158646E-6</v>
      </c>
    </row>
    <row r="34" spans="1:13" x14ac:dyDescent="0.2">
      <c r="B34" s="18" t="s">
        <v>17</v>
      </c>
      <c r="C34" s="19">
        <f>SUM(C22:C33)</f>
        <v>2147.2705084876125</v>
      </c>
      <c r="D34" s="20">
        <f>SUM(D22:D33)</f>
        <v>5.4959189793093446E-5</v>
      </c>
      <c r="E34" s="21"/>
      <c r="F34" s="18" t="s">
        <v>17</v>
      </c>
      <c r="G34" s="19">
        <f>SUM(G22:G33)</f>
        <v>2415322</v>
      </c>
      <c r="H34" s="20">
        <f>SUM(H22:H33)</f>
        <v>1.0198374557223664E-4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4564102</v>
      </c>
      <c r="D37" s="12">
        <f t="shared" ref="D37:D48" si="4">+IF(C37/$C$114=0,"",C37/$C$114)</f>
        <v>5.6701636480742532E-5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2691328</v>
      </c>
      <c r="D38" s="12">
        <f t="shared" si="4"/>
        <v>3.3435427583880433E-5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211013</v>
      </c>
      <c r="H39" s="12">
        <f t="shared" si="5"/>
        <v>4.3252192858639667E-5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78738625</v>
      </c>
      <c r="D44" s="12">
        <f t="shared" si="4"/>
        <v>9.7820094549672782E-4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20348992</v>
      </c>
      <c r="D45" s="12">
        <f t="shared" si="4"/>
        <v>2.5280354101059484E-4</v>
      </c>
      <c r="E45" s="11"/>
      <c r="F45" s="8" t="s">
        <v>13</v>
      </c>
      <c r="G45" s="15">
        <v>17169239</v>
      </c>
      <c r="H45" s="12">
        <f t="shared" si="5"/>
        <v>3.5192487499067721E-3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2334</v>
      </c>
      <c r="D47" s="12">
        <f t="shared" si="4"/>
        <v>2.8996201124789296E-8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-56482</v>
      </c>
      <c r="D48" s="12">
        <f t="shared" si="4"/>
        <v>-7.0169812850486253E-7</v>
      </c>
      <c r="E48" s="11"/>
      <c r="F48" s="8" t="s">
        <v>16</v>
      </c>
      <c r="G48" s="15">
        <v>-40099</v>
      </c>
      <c r="H48" s="12">
        <f t="shared" si="5"/>
        <v>-8.2192551238008647E-6</v>
      </c>
    </row>
    <row r="49" spans="2:9" x14ac:dyDescent="0.2">
      <c r="B49" s="18" t="s">
        <v>17</v>
      </c>
      <c r="C49" s="19">
        <f>SUM(C37:C48)</f>
        <v>106288899</v>
      </c>
      <c r="D49" s="20">
        <f>SUM(D37:D48)</f>
        <v>1.3204688486445654E-3</v>
      </c>
      <c r="E49" s="21"/>
      <c r="F49" s="18" t="s">
        <v>17</v>
      </c>
      <c r="G49" s="19">
        <v>-17610970</v>
      </c>
      <c r="H49" s="20">
        <f>SUM(H37:H48)</f>
        <v>3.554281687641611E-3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15453.618899999999</v>
      </c>
      <c r="H53" s="12">
        <f t="shared" ref="H53:H64" si="7">+IF(G53/$C$115=0,"",G53/$C$115)</f>
        <v>1.272973295819038E-4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>
        <v>5412033</v>
      </c>
      <c r="D55" s="12">
        <f t="shared" si="6"/>
        <v>3.229215682422485E-4</v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135893.0784</v>
      </c>
      <c r="H60" s="12">
        <f t="shared" si="7"/>
        <v>1.1194029114425937E-3</v>
      </c>
    </row>
    <row r="61" spans="2:9" x14ac:dyDescent="0.2">
      <c r="B61" s="8" t="s">
        <v>13</v>
      </c>
      <c r="C61" s="15">
        <v>28514872</v>
      </c>
      <c r="D61" s="12">
        <f t="shared" si="6"/>
        <v>1.7014063263226555E-3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-137750</v>
      </c>
      <c r="D64" s="12">
        <f t="shared" si="6"/>
        <v>-8.2191749431996671E-6</v>
      </c>
      <c r="E64" s="11"/>
      <c r="F64" s="8" t="s">
        <v>16</v>
      </c>
      <c r="G64" s="32">
        <v>-43.15</v>
      </c>
      <c r="H64" s="12">
        <f t="shared" si="7"/>
        <v>-3.5544294232978327E-7</v>
      </c>
    </row>
    <row r="65" spans="2:8" x14ac:dyDescent="0.2">
      <c r="B65" s="18" t="s">
        <v>17</v>
      </c>
      <c r="C65" s="19">
        <f>SUM(C53:C64)</f>
        <v>33789155</v>
      </c>
      <c r="D65" s="20">
        <f>SUM(D53:D64)</f>
        <v>2.0161087196217046E-3</v>
      </c>
      <c r="E65" s="21"/>
      <c r="F65" s="18" t="s">
        <v>17</v>
      </c>
      <c r="G65" s="57">
        <f>SUM(G53:G64)</f>
        <v>151303.54730000001</v>
      </c>
      <c r="H65" s="20">
        <f>SUM(H53:H64)</f>
        <v>1.2463447980821678E-3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-1876</v>
      </c>
      <c r="D72" s="12">
        <f t="shared" si="8"/>
        <v>-1.675146334651578E-7</v>
      </c>
      <c r="E72" s="11"/>
      <c r="F72" s="8" t="s">
        <v>9</v>
      </c>
      <c r="G72" s="9">
        <v>-27128</v>
      </c>
      <c r="H72" s="12">
        <f t="shared" si="9"/>
        <v>-4.4031869034538861E-6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815162</v>
      </c>
      <c r="D76" s="12">
        <f t="shared" si="8"/>
        <v>7.278867998119667E-5</v>
      </c>
      <c r="E76" s="11"/>
      <c r="F76" s="8" t="s">
        <v>13</v>
      </c>
      <c r="G76" s="15">
        <v>1152510</v>
      </c>
      <c r="H76" s="12">
        <f t="shared" si="9"/>
        <v>1.8706564944336618E-4</v>
      </c>
    </row>
    <row r="77" spans="2:8" x14ac:dyDescent="0.2">
      <c r="B77" s="8" t="s">
        <v>14</v>
      </c>
      <c r="C77" s="9">
        <v>-1602604</v>
      </c>
      <c r="D77" s="12">
        <f t="shared" si="8"/>
        <v>-1.431021437365649E-4</v>
      </c>
      <c r="E77" s="11"/>
      <c r="F77" s="8" t="s">
        <v>14</v>
      </c>
      <c r="G77" s="9">
        <v>-857572</v>
      </c>
      <c r="H77" s="12">
        <f t="shared" si="9"/>
        <v>-1.3919381447835284E-4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-12400</v>
      </c>
      <c r="D79" s="12">
        <f t="shared" si="8"/>
        <v>-1.1072395815394224E-6</v>
      </c>
      <c r="E79" s="11"/>
      <c r="F79" s="8" t="s">
        <v>16</v>
      </c>
      <c r="G79" s="15">
        <v>-12400</v>
      </c>
      <c r="H79" s="12">
        <f t="shared" si="9"/>
        <v>-2.0126628429234805E-6</v>
      </c>
    </row>
    <row r="80" spans="2:8" x14ac:dyDescent="0.2">
      <c r="B80" s="18" t="s">
        <v>17</v>
      </c>
      <c r="C80" s="19">
        <f>SUM(C68:C79)</f>
        <v>-801718</v>
      </c>
      <c r="D80" s="20">
        <f>SUM(D68:D79)</f>
        <v>-7.158821797037281E-5</v>
      </c>
      <c r="E80" s="21"/>
      <c r="F80" s="18" t="s">
        <v>17</v>
      </c>
      <c r="G80" s="19">
        <f>SUM(G68:G79)</f>
        <v>255410</v>
      </c>
      <c r="H80" s="20">
        <f>SUM(H68:H79)</f>
        <v>4.1455985218635971E-5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23683401570.000099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16759589734.000099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11199021608.999901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4878665937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6160992161.9998999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58361939001</v>
      </c>
      <c r="D111" s="51">
        <v>9550866868</v>
      </c>
      <c r="F111" s="45">
        <f>+C111+D111</f>
        <v>67912805869</v>
      </c>
      <c r="G111" s="5"/>
      <c r="H111" s="5"/>
    </row>
    <row r="112" spans="2:8" x14ac:dyDescent="0.2">
      <c r="B112" s="35" t="s">
        <v>18</v>
      </c>
      <c r="C112" s="48">
        <v>37870272.161499999</v>
      </c>
      <c r="D112" s="53">
        <v>1200000.1000000001</v>
      </c>
      <c r="F112" s="45">
        <f>+C112+D112</f>
        <v>39070272.261500001</v>
      </c>
      <c r="H112" s="17"/>
    </row>
    <row r="113" spans="1:13" x14ac:dyDescent="0.2">
      <c r="B113" s="35" t="s">
        <v>4</v>
      </c>
      <c r="C113" s="45">
        <v>9480834811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80493302897.000107</v>
      </c>
      <c r="D114" s="46"/>
      <c r="F114" s="45"/>
      <c r="H114" s="17"/>
    </row>
    <row r="115" spans="1:13" x14ac:dyDescent="0.2">
      <c r="B115" s="35" t="s">
        <v>25</v>
      </c>
      <c r="C115" s="48">
        <v>121397824.6893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45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43003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5303515</v>
      </c>
      <c r="D7" s="10">
        <f>+IF(C7/$F$111=0,"",C7/$F$111)</f>
        <v>7.4995300487263811E-5</v>
      </c>
      <c r="E7" s="11"/>
      <c r="F7" s="8" t="s">
        <v>5</v>
      </c>
      <c r="G7" s="9">
        <v>934193</v>
      </c>
      <c r="H7" s="12">
        <f>+IF(G7/$C$113=0,"",G7/$C$113)</f>
        <v>9.8406992294636209E-5</v>
      </c>
      <c r="I7" s="13"/>
    </row>
    <row r="8" spans="1:9" x14ac:dyDescent="0.2">
      <c r="B8" s="8" t="s">
        <v>6</v>
      </c>
      <c r="C8" s="9">
        <v>351994</v>
      </c>
      <c r="D8" s="10">
        <f>+IF(C8/$F$111=0,"",C8/$F$111)</f>
        <v>4.9774339847655641E-6</v>
      </c>
      <c r="E8" s="11"/>
      <c r="F8" s="8" t="s">
        <v>6</v>
      </c>
      <c r="G8" s="9">
        <v>130073</v>
      </c>
      <c r="H8" s="12">
        <f>+IF(G8/$C$113=0,"",G8/$C$113)</f>
        <v>1.370176474105481E-5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86743</v>
      </c>
      <c r="H11" s="12">
        <f t="shared" si="0"/>
        <v>9.1374242074321149E-6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-3964754</v>
      </c>
      <c r="H14" s="12">
        <f t="shared" si="0"/>
        <v>-4.1764337382974194E-4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-98831</v>
      </c>
      <c r="D18" s="10">
        <f>+IF(C18/$F$111=0,"",C18/$F$111)</f>
        <v>-1.3975373959452873E-6</v>
      </c>
      <c r="E18" s="17"/>
      <c r="F18" s="8" t="s">
        <v>16</v>
      </c>
      <c r="G18" s="15">
        <v>-31330</v>
      </c>
      <c r="H18" s="12">
        <f t="shared" si="0"/>
        <v>-3.3002720728917392E-6</v>
      </c>
    </row>
    <row r="19" spans="2:9" x14ac:dyDescent="0.2">
      <c r="B19" s="18" t="s">
        <v>17</v>
      </c>
      <c r="C19" s="19">
        <f>SUM(C7:C18)</f>
        <v>5556678</v>
      </c>
      <c r="D19" s="20">
        <f>SUM(D7:D18)</f>
        <v>7.8575197076084089E-5</v>
      </c>
      <c r="E19" s="21"/>
      <c r="F19" s="18" t="s">
        <v>17</v>
      </c>
      <c r="G19" s="19">
        <f>SUM(G7:G18)</f>
        <v>-2845075</v>
      </c>
      <c r="H19" s="20">
        <f>SUM(H7:H18)</f>
        <v>-2.9969746465951055E-4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3379.1421</v>
      </c>
      <c r="D22" s="12">
        <f>+IF(C22/$F$112=0,"",C22/$F$112)</f>
        <v>8.6463569869001586E-5</v>
      </c>
      <c r="E22" s="17"/>
      <c r="F22" s="8" t="s">
        <v>5</v>
      </c>
      <c r="G22" s="9">
        <v>1679924</v>
      </c>
      <c r="H22" s="12">
        <f t="shared" ref="H22:H33" si="2">+IF(G22/$C$106=0,"",G22/$C$106)</f>
        <v>7.0879213747911362E-5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460472</v>
      </c>
      <c r="H23" s="12">
        <f t="shared" si="2"/>
        <v>1.942819634276803E-5</v>
      </c>
      <c r="I23" s="23"/>
    </row>
    <row r="24" spans="2:9" x14ac:dyDescent="0.2">
      <c r="B24" s="8" t="s">
        <v>45</v>
      </c>
      <c r="C24" s="14">
        <v>-1067.4582725428045</v>
      </c>
      <c r="D24" s="12">
        <f>+IF(C24/$F$112=0,"",C24/$F$112)</f>
        <v>-2.7313516330150342E-5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-15.4719085888887</v>
      </c>
      <c r="D26" s="12">
        <f>+IF(C26/$F$112=0,"",C26/$F$112)</f>
        <v>-3.9588641427129798E-7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183590.78999999998</v>
      </c>
      <c r="D27" s="12">
        <f t="shared" ref="D27:D33" si="3">+IF(C27/$F$112=0,"",C27/$F$112)</f>
        <v>4.6976169183504286E-3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1702566</v>
      </c>
      <c r="H29" s="12">
        <f t="shared" si="2"/>
        <v>7.1834523129573992E-5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/>
      <c r="D31" s="12" t="str">
        <f t="shared" si="3"/>
        <v/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-183138.94769999999</v>
      </c>
      <c r="D32" s="12">
        <f t="shared" si="3"/>
        <v>-4.6860554340684216E-3</v>
      </c>
      <c r="E32" s="17"/>
      <c r="F32" s="8" t="s">
        <v>15</v>
      </c>
      <c r="G32" s="15">
        <v>200</v>
      </c>
      <c r="H32" s="12">
        <f t="shared" si="2"/>
        <v>8.4383833730468001E-9</v>
      </c>
    </row>
    <row r="33" spans="1:13" x14ac:dyDescent="0.2">
      <c r="B33" s="8" t="s">
        <v>16</v>
      </c>
      <c r="C33" s="14">
        <v>-52.66</v>
      </c>
      <c r="D33" s="12">
        <f t="shared" si="3"/>
        <v>-1.3474341873050037E-6</v>
      </c>
      <c r="E33" s="17"/>
      <c r="F33" s="8" t="s">
        <v>16</v>
      </c>
      <c r="G33" s="15">
        <v>-45061</v>
      </c>
      <c r="H33" s="12">
        <f t="shared" si="2"/>
        <v>-1.9012099658643094E-6</v>
      </c>
    </row>
    <row r="34" spans="1:13" x14ac:dyDescent="0.2">
      <c r="B34" s="18" t="s">
        <v>17</v>
      </c>
      <c r="C34" s="19">
        <f>SUM(C22:C33)</f>
        <v>2695.3942188682886</v>
      </c>
      <c r="D34" s="20">
        <f>SUM(D22:D33)</f>
        <v>6.8968217219282134E-5</v>
      </c>
      <c r="E34" s="21"/>
      <c r="F34" s="18" t="s">
        <v>17</v>
      </c>
      <c r="G34" s="19">
        <f>SUM(G22:G33)</f>
        <v>3798101</v>
      </c>
      <c r="H34" s="20">
        <f>SUM(H22:H33)</f>
        <v>1.6024916163776212E-4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4227268</v>
      </c>
      <c r="D37" s="12">
        <f t="shared" ref="D37:D48" si="4">+IF(C37/$C$114=0,"",C37/$C$114)</f>
        <v>5.2247284427969387E-5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2679894</v>
      </c>
      <c r="D38" s="12">
        <f t="shared" si="4"/>
        <v>3.3122381655198722E-5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-24696941</v>
      </c>
      <c r="D44" s="12">
        <f t="shared" si="4"/>
        <v>-3.0524397812671885E-4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-2824447</v>
      </c>
      <c r="D45" s="12">
        <f t="shared" si="4"/>
        <v>-3.4908996959910004E-5</v>
      </c>
      <c r="E45" s="11"/>
      <c r="F45" s="8" t="s">
        <v>13</v>
      </c>
      <c r="G45" s="15">
        <v>-25223999</v>
      </c>
      <c r="H45" s="12">
        <f t="shared" si="5"/>
        <v>-5.1523106467404531E-3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-174349</v>
      </c>
      <c r="D47" s="12">
        <f t="shared" si="4"/>
        <v>-2.154881543524573E-6</v>
      </c>
      <c r="E47" s="11"/>
      <c r="F47" s="8" t="s">
        <v>15</v>
      </c>
      <c r="G47" s="15">
        <v>1047</v>
      </c>
      <c r="H47" s="12">
        <f t="shared" si="5"/>
        <v>2.1386256981445546E-7</v>
      </c>
    </row>
    <row r="48" spans="1:13" x14ac:dyDescent="0.2">
      <c r="B48" s="8" t="s">
        <v>16</v>
      </c>
      <c r="C48" s="15">
        <v>-64106</v>
      </c>
      <c r="D48" s="12">
        <f t="shared" si="4"/>
        <v>-7.9232365100566257E-7</v>
      </c>
      <c r="E48" s="11"/>
      <c r="F48" s="8" t="s">
        <v>16</v>
      </c>
      <c r="G48" s="15">
        <v>-40238</v>
      </c>
      <c r="H48" s="12">
        <f t="shared" si="5"/>
        <v>-8.2191041873868762E-6</v>
      </c>
    </row>
    <row r="49" spans="2:9" x14ac:dyDescent="0.2">
      <c r="B49" s="18" t="s">
        <v>17</v>
      </c>
      <c r="C49" s="19">
        <f>SUM(C37:C48)</f>
        <v>-20852681</v>
      </c>
      <c r="D49" s="20">
        <f>SUM(D37:D48)</f>
        <v>-2.57730514197991E-4</v>
      </c>
      <c r="E49" s="21"/>
      <c r="F49" s="18" t="s">
        <v>17</v>
      </c>
      <c r="G49" s="19">
        <v>-17610970</v>
      </c>
      <c r="H49" s="20">
        <f>SUM(H37:H48)</f>
        <v>-5.1603158883580256E-3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15513.5489</v>
      </c>
      <c r="H53" s="12">
        <f t="shared" ref="H53:H64" si="7">+IF(G53/$C$115=0,"",G53/$C$115)</f>
        <v>1.2760448305650126E-4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77678.152100000007</v>
      </c>
      <c r="H60" s="12">
        <f t="shared" si="7"/>
        <v>6.3893055724372513E-4</v>
      </c>
    </row>
    <row r="61" spans="2:9" x14ac:dyDescent="0.2">
      <c r="B61" s="8" t="s">
        <v>13</v>
      </c>
      <c r="C61" s="15">
        <v>-73133915</v>
      </c>
      <c r="D61" s="12">
        <f t="shared" si="6"/>
        <v>-4.3419984054750777E-3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-2548311</v>
      </c>
      <c r="D63" s="12">
        <f t="shared" si="6"/>
        <v>-1.5129454369637674E-4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-138439</v>
      </c>
      <c r="D64" s="12">
        <f t="shared" si="6"/>
        <v>-8.2191951197411536E-6</v>
      </c>
      <c r="E64" s="11"/>
      <c r="F64" s="8" t="s">
        <v>16</v>
      </c>
      <c r="G64" s="32">
        <v>-43.15</v>
      </c>
      <c r="H64" s="12">
        <f t="shared" si="7"/>
        <v>-3.5492416850460499E-7</v>
      </c>
    </row>
    <row r="65" spans="2:8" x14ac:dyDescent="0.2">
      <c r="B65" s="18" t="s">
        <v>17</v>
      </c>
      <c r="C65" s="19">
        <f>SUM(C53:C64)</f>
        <v>-75820665</v>
      </c>
      <c r="D65" s="20">
        <f>SUM(D53:D64)</f>
        <v>-4.5015121442911954E-3</v>
      </c>
      <c r="E65" s="21"/>
      <c r="F65" s="18" t="s">
        <v>17</v>
      </c>
      <c r="G65" s="57">
        <f>SUM(G53:G64)</f>
        <v>93148.551000000007</v>
      </c>
      <c r="H65" s="20">
        <f>SUM(H53:H64)</f>
        <v>7.6618011613172185E-4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>
        <v>8571531</v>
      </c>
      <c r="D70" s="12">
        <f t="shared" si="8"/>
        <v>7.6547234209828395E-4</v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156286</v>
      </c>
      <c r="D72" s="12">
        <f t="shared" si="8"/>
        <v>1.3956971100865459E-5</v>
      </c>
      <c r="E72" s="11"/>
      <c r="F72" s="8" t="s">
        <v>9</v>
      </c>
      <c r="G72" s="9">
        <v>1362422</v>
      </c>
      <c r="H72" s="12">
        <f t="shared" si="9"/>
        <v>2.2115485162631153E-4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-60959732</v>
      </c>
      <c r="D76" s="12">
        <f t="shared" si="8"/>
        <v>-5.4439503080282517E-3</v>
      </c>
      <c r="E76" s="11"/>
      <c r="F76" s="8" t="s">
        <v>13</v>
      </c>
      <c r="G76" s="15">
        <v>4728952</v>
      </c>
      <c r="H76" s="12">
        <f t="shared" si="9"/>
        <v>7.6762609375652271E-4</v>
      </c>
    </row>
    <row r="77" spans="2:8" x14ac:dyDescent="0.2">
      <c r="B77" s="8" t="s">
        <v>14</v>
      </c>
      <c r="C77" s="9">
        <v>80044585</v>
      </c>
      <c r="D77" s="12">
        <f t="shared" si="8"/>
        <v>7.1483047721854088E-3</v>
      </c>
      <c r="E77" s="11"/>
      <c r="F77" s="8" t="s">
        <v>14</v>
      </c>
      <c r="G77" s="9">
        <v>43103189</v>
      </c>
      <c r="H77" s="12">
        <f t="shared" si="9"/>
        <v>6.9967156783403853E-3</v>
      </c>
    </row>
    <row r="78" spans="2:8" x14ac:dyDescent="0.2">
      <c r="B78" s="8" t="s">
        <v>15</v>
      </c>
      <c r="C78" s="15">
        <v>1</v>
      </c>
      <c r="D78" s="12">
        <f t="shared" si="8"/>
        <v>8.9304039394862359E-11</v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-12400</v>
      </c>
      <c r="D79" s="12">
        <f t="shared" si="8"/>
        <v>-1.1073700884962932E-6</v>
      </c>
      <c r="E79" s="11"/>
      <c r="F79" s="8" t="s">
        <v>16</v>
      </c>
      <c r="G79" s="15">
        <v>-12400</v>
      </c>
      <c r="H79" s="12">
        <f t="shared" si="9"/>
        <v>-2.0128272739035798E-6</v>
      </c>
    </row>
    <row r="80" spans="2:8" x14ac:dyDescent="0.2">
      <c r="B80" s="18" t="s">
        <v>17</v>
      </c>
      <c r="C80" s="19">
        <f>SUM(C68:C79)</f>
        <v>27800271</v>
      </c>
      <c r="D80" s="20">
        <f>SUM(D68:D79)</f>
        <v>2.4826764965718497E-3</v>
      </c>
      <c r="E80" s="21"/>
      <c r="F80" s="18" t="s">
        <v>17</v>
      </c>
      <c r="G80" s="19">
        <f>SUM(G68:G79)</f>
        <v>49182163</v>
      </c>
      <c r="H80" s="20">
        <f>SUM(H68:H79)</f>
        <v>7.9834837964493158E-3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23701222279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16843376752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11197701770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4895667348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6160488861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60085245279</v>
      </c>
      <c r="D111" s="51">
        <v>10632719254</v>
      </c>
      <c r="F111" s="45">
        <f>+C111+D111</f>
        <v>70717964533</v>
      </c>
      <c r="G111" s="5"/>
      <c r="H111" s="5"/>
    </row>
    <row r="112" spans="2:8" x14ac:dyDescent="0.2">
      <c r="B112" s="35" t="s">
        <v>18</v>
      </c>
      <c r="C112" s="48">
        <v>39074686.138099998</v>
      </c>
      <c r="D112" s="53">
        <v>7000</v>
      </c>
      <c r="F112" s="45">
        <f>+C112+D112</f>
        <v>39081686.138099998</v>
      </c>
      <c r="H112" s="17"/>
    </row>
    <row r="113" spans="1:13" x14ac:dyDescent="0.2">
      <c r="B113" s="35" t="s">
        <v>4</v>
      </c>
      <c r="C113" s="45">
        <v>9493156718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80908855767</v>
      </c>
      <c r="D114" s="46"/>
      <c r="F114" s="45"/>
      <c r="H114" s="17"/>
    </row>
    <row r="115" spans="1:13" x14ac:dyDescent="0.2">
      <c r="B115" s="35" t="s">
        <v>25</v>
      </c>
      <c r="C115" s="48">
        <v>121575265.44839999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46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43004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4758373</v>
      </c>
      <c r="D7" s="10">
        <f>+IF(C7/$F$111=0,"",C7/$F$111)</f>
        <v>8.0271726339644915E-5</v>
      </c>
      <c r="E7" s="11"/>
      <c r="F7" s="8" t="s">
        <v>5</v>
      </c>
      <c r="G7" s="9">
        <v>881236</v>
      </c>
      <c r="H7" s="12">
        <f>+IF(G7/$C$113=0,"",G7/$C$113)</f>
        <v>9.2857831653048005E-5</v>
      </c>
      <c r="I7" s="13"/>
    </row>
    <row r="8" spans="1:9" x14ac:dyDescent="0.2">
      <c r="B8" s="8" t="s">
        <v>6</v>
      </c>
      <c r="C8" s="9">
        <v>409316</v>
      </c>
      <c r="D8" s="10">
        <f>+IF(C8/$F$111=0,"",C8/$F$111)</f>
        <v>6.904986628504764E-6</v>
      </c>
      <c r="E8" s="11"/>
      <c r="F8" s="8" t="s">
        <v>6</v>
      </c>
      <c r="G8" s="9">
        <v>130714</v>
      </c>
      <c r="H8" s="12">
        <f>+IF(G8/$C$113=0,"",G8/$C$113)</f>
        <v>1.3773630000018742E-5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107584</v>
      </c>
      <c r="H11" s="12">
        <f t="shared" si="0"/>
        <v>1.1336369554309534E-5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-2625664</v>
      </c>
      <c r="H14" s="12">
        <f t="shared" si="0"/>
        <v>-2.7667215784360673E-4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394139</v>
      </c>
      <c r="D17" s="10">
        <f>+IF(C17/$F$111=0,"",C17/$F$111)</f>
        <v>6.6489571010472089E-6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-151320</v>
      </c>
      <c r="D18" s="10">
        <f>+IF(C18/$F$111=0,"",C18/$F$111)</f>
        <v>-2.5527039661907691E-6</v>
      </c>
      <c r="E18" s="17"/>
      <c r="F18" s="8" t="s">
        <v>16</v>
      </c>
      <c r="G18" s="15">
        <v>-31358</v>
      </c>
      <c r="H18" s="12">
        <f t="shared" si="0"/>
        <v>-3.3042634265693628E-6</v>
      </c>
    </row>
    <row r="19" spans="2:9" x14ac:dyDescent="0.2">
      <c r="B19" s="18" t="s">
        <v>17</v>
      </c>
      <c r="C19" s="19">
        <f>SUM(C7:C18)</f>
        <v>5410508</v>
      </c>
      <c r="D19" s="20">
        <f>SUM(D7:D18)</f>
        <v>9.1272966103006124E-5</v>
      </c>
      <c r="E19" s="21"/>
      <c r="F19" s="18" t="s">
        <v>17</v>
      </c>
      <c r="G19" s="19">
        <f>SUM(G7:G18)</f>
        <v>-1537488</v>
      </c>
      <c r="H19" s="20">
        <f>SUM(H7:H18)</f>
        <v>-1.6200859006279981E-4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2853.0769999999998</v>
      </c>
      <c r="D22" s="12">
        <f>+IF(C22/$F$112=0,"",C22/$F$112)</f>
        <v>7.3052868626438103E-5</v>
      </c>
      <c r="E22" s="17"/>
      <c r="F22" s="8" t="s">
        <v>5</v>
      </c>
      <c r="G22" s="9">
        <v>1504041</v>
      </c>
      <c r="H22" s="12">
        <f t="shared" ref="H22:H33" si="2">+IF(G22/$C$106=0,"",G22/$C$106)</f>
        <v>6.3447617526262578E-5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481569</v>
      </c>
      <c r="H23" s="12">
        <f t="shared" si="2"/>
        <v>2.031487554162735E-5</v>
      </c>
      <c r="I23" s="23"/>
    </row>
    <row r="24" spans="2:9" x14ac:dyDescent="0.2">
      <c r="B24" s="8" t="s">
        <v>45</v>
      </c>
      <c r="C24" s="14">
        <v>-2316.7848275117576</v>
      </c>
      <c r="D24" s="12">
        <f>+IF(C24/$F$112=0,"",C24/$F$112)</f>
        <v>-5.9321139121005667E-5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-16.863206814341993</v>
      </c>
      <c r="D26" s="12">
        <f>+IF(C26/$F$112=0,"",C26/$F$112)</f>
        <v>-4.3178141775654195E-7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201272.81</v>
      </c>
      <c r="D27" s="12">
        <f t="shared" ref="D27:D33" si="3">+IF(C27/$F$112=0,"",C27/$F$112)</f>
        <v>5.1535784512664875E-3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-2030906</v>
      </c>
      <c r="H29" s="12">
        <f t="shared" si="2"/>
        <v>-8.5673294225218467E-5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-199557.04180000001</v>
      </c>
      <c r="D31" s="12">
        <f t="shared" si="3"/>
        <v>-5.1096463075115109E-3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-1.3893</v>
      </c>
      <c r="D32" s="12">
        <f t="shared" si="3"/>
        <v>-3.5572944712922385E-8</v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-53.39</v>
      </c>
      <c r="D33" s="12">
        <f t="shared" si="3"/>
        <v>-1.3670478069696437E-6</v>
      </c>
      <c r="E33" s="17"/>
      <c r="F33" s="8" t="s">
        <v>16</v>
      </c>
      <c r="G33" s="15">
        <v>-40401</v>
      </c>
      <c r="H33" s="12">
        <f t="shared" si="2"/>
        <v>-1.7043067281267826E-6</v>
      </c>
    </row>
    <row r="34" spans="1:13" x14ac:dyDescent="0.2">
      <c r="B34" s="18" t="s">
        <v>17</v>
      </c>
      <c r="C34" s="19">
        <f>SUM(C22:C33)</f>
        <v>2180.41786567389</v>
      </c>
      <c r="D34" s="20">
        <f>SUM(D22:D33)</f>
        <v>5.5829471090969785E-5</v>
      </c>
      <c r="E34" s="21"/>
      <c r="F34" s="18" t="s">
        <v>17</v>
      </c>
      <c r="G34" s="19">
        <f>SUM(G22:G33)</f>
        <v>-85697</v>
      </c>
      <c r="H34" s="20">
        <f>SUM(H22:H33)</f>
        <v>-3.6151078854553175E-6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4084571</v>
      </c>
      <c r="D37" s="12">
        <f t="shared" ref="D37:D48" si="4">+IF(C37/$C$114=0,"",C37/$C$114)</f>
        <v>5.0464861385430645E-5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2721700</v>
      </c>
      <c r="D38" s="12">
        <f t="shared" si="4"/>
        <v>3.3626594624680684E-5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-150251</v>
      </c>
      <c r="H39" s="12">
        <f t="shared" si="5"/>
        <v>-3.0849479579816495E-5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-8031867</v>
      </c>
      <c r="D44" s="12">
        <f t="shared" si="4"/>
        <v>-9.9233690593507784E-5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2747211</v>
      </c>
      <c r="D45" s="12">
        <f t="shared" si="4"/>
        <v>3.3941782946490666E-5</v>
      </c>
      <c r="E45" s="11"/>
      <c r="F45" s="8" t="s">
        <v>13</v>
      </c>
      <c r="G45" s="15">
        <v>5018005</v>
      </c>
      <c r="H45" s="12">
        <f t="shared" si="5"/>
        <v>1.0302949250182499E-3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-53669</v>
      </c>
      <c r="D48" s="12">
        <f t="shared" si="4"/>
        <v>-6.6308031998823802E-7</v>
      </c>
      <c r="E48" s="11"/>
      <c r="F48" s="8" t="s">
        <v>16</v>
      </c>
      <c r="G48" s="15">
        <v>-40031</v>
      </c>
      <c r="H48" s="12">
        <f t="shared" si="5"/>
        <v>-8.2191500692816292E-6</v>
      </c>
    </row>
    <row r="49" spans="2:9" x14ac:dyDescent="0.2">
      <c r="B49" s="18" t="s">
        <v>17</v>
      </c>
      <c r="C49" s="19">
        <f>SUM(C37:C48)</f>
        <v>1467946</v>
      </c>
      <c r="D49" s="20">
        <f>SUM(D37:D48)</f>
        <v>1.8136468043105968E-5</v>
      </c>
      <c r="E49" s="21"/>
      <c r="F49" s="18" t="s">
        <v>17</v>
      </c>
      <c r="G49" s="19">
        <v>-17610970</v>
      </c>
      <c r="H49" s="20">
        <f>SUM(H37:H48)</f>
        <v>9.9122629536915166E-4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15872.908100000001</v>
      </c>
      <c r="H53" s="12">
        <f t="shared" ref="H53:H64" si="7">+IF(G53/$C$115=0,"",G53/$C$115)</f>
        <v>1.3046210311484002E-4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-39951.507799999999</v>
      </c>
      <c r="H60" s="12">
        <f t="shared" si="7"/>
        <v>-3.2836816652374715E-4</v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>
        <v>9622446</v>
      </c>
      <c r="D62" s="12">
        <f t="shared" si="6"/>
        <v>5.7390091073922852E-4</v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1721918</v>
      </c>
      <c r="D63" s="12">
        <f t="shared" si="6"/>
        <v>1.0269845197554457E-4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-137809</v>
      </c>
      <c r="D64" s="12">
        <f t="shared" si="6"/>
        <v>-8.2191898617110803E-6</v>
      </c>
      <c r="E64" s="11"/>
      <c r="F64" s="8" t="s">
        <v>16</v>
      </c>
      <c r="G64" s="32">
        <v>-42.99</v>
      </c>
      <c r="H64" s="12">
        <f t="shared" si="7"/>
        <v>-3.5334204529962421E-7</v>
      </c>
    </row>
    <row r="65" spans="2:8" x14ac:dyDescent="0.2">
      <c r="B65" s="18" t="s">
        <v>17</v>
      </c>
      <c r="C65" s="19">
        <f>SUM(C53:C64)</f>
        <v>11206555</v>
      </c>
      <c r="D65" s="20">
        <f>SUM(D53:D64)</f>
        <v>6.6838017285306204E-4</v>
      </c>
      <c r="E65" s="21"/>
      <c r="F65" s="18" t="s">
        <v>17</v>
      </c>
      <c r="G65" s="57">
        <f>SUM(G53:G64)</f>
        <v>-24121.5897</v>
      </c>
      <c r="H65" s="20">
        <f>SUM(H53:H64)</f>
        <v>-1.9825940545420678E-4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-7356955</v>
      </c>
      <c r="D72" s="12">
        <f t="shared" si="8"/>
        <v>-6.635719040549423E-4</v>
      </c>
      <c r="E72" s="11"/>
      <c r="F72" s="8" t="s">
        <v>9</v>
      </c>
      <c r="G72" s="9">
        <v>1507104</v>
      </c>
      <c r="H72" s="12">
        <f t="shared" si="9"/>
        <v>2.4271234969993491E-4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>
        <v>-18490154</v>
      </c>
      <c r="D75" s="12">
        <f t="shared" si="8"/>
        <v>-1.6677479604060522E-3</v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93397597</v>
      </c>
      <c r="D76" s="12">
        <f t="shared" si="8"/>
        <v>8.4241403237407548E-3</v>
      </c>
      <c r="E76" s="11"/>
      <c r="F76" s="8" t="s">
        <v>13</v>
      </c>
      <c r="G76" s="15">
        <v>4356493</v>
      </c>
      <c r="H76" s="12">
        <f t="shared" si="9"/>
        <v>7.0159368728456599E-4</v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>
        <v>47715187</v>
      </c>
      <c r="H77" s="12">
        <f t="shared" si="9"/>
        <v>7.6843171759492295E-3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-12403</v>
      </c>
      <c r="D79" s="12">
        <f t="shared" si="8"/>
        <v>-1.118707716167008E-6</v>
      </c>
      <c r="E79" s="11"/>
      <c r="F79" s="8" t="s">
        <v>16</v>
      </c>
      <c r="G79" s="15">
        <v>-12403</v>
      </c>
      <c r="H79" s="12">
        <f t="shared" si="9"/>
        <v>-1.9974476037010669E-6</v>
      </c>
    </row>
    <row r="80" spans="2:8" x14ac:dyDescent="0.2">
      <c r="B80" s="18" t="s">
        <v>17</v>
      </c>
      <c r="C80" s="19">
        <f>SUM(C68:C79)</f>
        <v>67538085</v>
      </c>
      <c r="D80" s="20">
        <f>SUM(D68:D79)</f>
        <v>6.0917017515635932E-3</v>
      </c>
      <c r="E80" s="21"/>
      <c r="F80" s="18" t="s">
        <v>17</v>
      </c>
      <c r="G80" s="19">
        <f>SUM(G68:G79)</f>
        <v>53566381</v>
      </c>
      <c r="H80" s="20">
        <f>SUM(H68:H79)</f>
        <v>8.6266257653300291E-3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23705239986.000095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16766737637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11086899482.999901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4870454933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6209424456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59278318992</v>
      </c>
      <c r="D111" s="51"/>
      <c r="F111" s="45">
        <f>+C111+D111</f>
        <v>59278318992</v>
      </c>
      <c r="G111" s="5"/>
      <c r="H111" s="5"/>
    </row>
    <row r="112" spans="2:8" x14ac:dyDescent="0.2">
      <c r="B112" s="35" t="s">
        <v>18</v>
      </c>
      <c r="C112" s="48">
        <v>39054961.887799993</v>
      </c>
      <c r="D112" s="53"/>
      <c r="F112" s="45">
        <f>+C112+D112</f>
        <v>39054961.887799993</v>
      </c>
      <c r="H112" s="17"/>
    </row>
    <row r="113" spans="1:13" x14ac:dyDescent="0.2">
      <c r="B113" s="35" t="s">
        <v>4</v>
      </c>
      <c r="C113" s="45">
        <v>9490163449.9999008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80938912500</v>
      </c>
      <c r="D114" s="46"/>
      <c r="F114" s="45"/>
      <c r="H114" s="17"/>
    </row>
    <row r="115" spans="1:13" x14ac:dyDescent="0.2">
      <c r="B115" s="35" t="s">
        <v>25</v>
      </c>
      <c r="C115" s="48">
        <v>121666811.442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47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43005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5076511</v>
      </c>
      <c r="D7" s="10">
        <f>+IF(C7/$F$111=0,"",C7/$F$111)</f>
        <v>7.434818653219102E-5</v>
      </c>
      <c r="E7" s="11"/>
      <c r="F7" s="8" t="s">
        <v>5</v>
      </c>
      <c r="G7" s="9">
        <v>499388</v>
      </c>
      <c r="H7" s="12">
        <f>+IF(G7/$C$113=0,"",G7/$C$113)</f>
        <v>5.2630994914885865E-5</v>
      </c>
      <c r="I7" s="13"/>
    </row>
    <row r="8" spans="1:9" x14ac:dyDescent="0.2">
      <c r="B8" s="8" t="s">
        <v>6</v>
      </c>
      <c r="C8" s="9">
        <v>411632</v>
      </c>
      <c r="D8" s="10">
        <f>+IF(C8/$F$111=0,"",C8/$F$111)</f>
        <v>6.0285681876034264E-6</v>
      </c>
      <c r="E8" s="11"/>
      <c r="F8" s="8" t="s">
        <v>6</v>
      </c>
      <c r="G8" s="9">
        <v>129956</v>
      </c>
      <c r="H8" s="12">
        <f>+IF(G8/$C$113=0,"",G8/$C$113)</f>
        <v>1.3696191288454883E-5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97379</v>
      </c>
      <c r="H11" s="12">
        <f t="shared" si="0"/>
        <v>1.0262869059362E-5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-4451157</v>
      </c>
      <c r="H14" s="12">
        <f t="shared" si="0"/>
        <v>-4.6911183575167731E-4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-180529</v>
      </c>
      <c r="D17" s="10">
        <f>+IF(C17/$F$111=0,"",C17/$F$111)</f>
        <v>-2.6439426146165968E-6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-91304</v>
      </c>
      <c r="D18" s="10">
        <f>+IF(C18/$F$111=0,"",C18/$F$111)</f>
        <v>-1.3371953341842793E-6</v>
      </c>
      <c r="E18" s="17"/>
      <c r="F18" s="8" t="s">
        <v>16</v>
      </c>
      <c r="G18" s="15">
        <v>-32888</v>
      </c>
      <c r="H18" s="12">
        <f t="shared" si="0"/>
        <v>-3.4660988264851503E-6</v>
      </c>
    </row>
    <row r="19" spans="2:9" x14ac:dyDescent="0.2">
      <c r="B19" s="18" t="s">
        <v>17</v>
      </c>
      <c r="C19" s="19">
        <f>SUM(C7:C18)</f>
        <v>5216310</v>
      </c>
      <c r="D19" s="20">
        <f>SUM(D7:D18)</f>
        <v>7.6395616770993574E-5</v>
      </c>
      <c r="E19" s="21"/>
      <c r="F19" s="18" t="s">
        <v>17</v>
      </c>
      <c r="G19" s="19">
        <f>SUM(G7:G18)</f>
        <v>-3757322</v>
      </c>
      <c r="H19" s="20">
        <f>SUM(H7:H18)</f>
        <v>-3.9598787931545973E-4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2832.7175999999999</v>
      </c>
      <c r="D22" s="12">
        <f>+IF(C22/$F$112=0,"",C22/$F$112)</f>
        <v>7.3278955402534185E-5</v>
      </c>
      <c r="E22" s="17"/>
      <c r="F22" s="8" t="s">
        <v>5</v>
      </c>
      <c r="G22" s="9">
        <v>1640272</v>
      </c>
      <c r="H22" s="12">
        <f t="shared" ref="H22:H33" si="2">+IF(G22/$C$106=0,"",G22/$C$106)</f>
        <v>6.9459486857987221E-5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478825</v>
      </c>
      <c r="H23" s="12">
        <f t="shared" si="2"/>
        <v>2.0276477800496339E-5</v>
      </c>
      <c r="I23" s="23"/>
    </row>
    <row r="24" spans="2:9" x14ac:dyDescent="0.2">
      <c r="B24" s="8" t="s">
        <v>45</v>
      </c>
      <c r="C24" s="14">
        <v>-2357.9372537769377</v>
      </c>
      <c r="D24" s="12">
        <f>+IF(C24/$F$112=0,"",C24/$F$112)</f>
        <v>-6.099696590351758E-5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-16.303923669862797</v>
      </c>
      <c r="D26" s="12">
        <f>+IF(C26/$F$112=0,"",C26/$F$112)</f>
        <v>-4.2176265487607991E-7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194707.71000000002</v>
      </c>
      <c r="D27" s="12">
        <f t="shared" ref="D27:D33" si="3">+IF(C27/$F$112=0,"",C27/$F$112)</f>
        <v>5.036851395853777E-3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-3211997</v>
      </c>
      <c r="H29" s="12">
        <f t="shared" si="2"/>
        <v>-1.3601626035766897E-4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-192936.696</v>
      </c>
      <c r="D31" s="12">
        <f t="shared" si="3"/>
        <v>-4.9910374199307042E-3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-29.150400000000001</v>
      </c>
      <c r="D32" s="12">
        <f t="shared" si="3"/>
        <v>-7.5408535660809696E-7</v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-55.1</v>
      </c>
      <c r="D33" s="12">
        <f t="shared" si="3"/>
        <v>-1.4253699142758296E-6</v>
      </c>
      <c r="E33" s="17"/>
      <c r="F33" s="8" t="s">
        <v>16</v>
      </c>
      <c r="G33" s="15">
        <v>-42926</v>
      </c>
      <c r="H33" s="12">
        <f t="shared" si="2"/>
        <v>-1.8177582333088413E-6</v>
      </c>
    </row>
    <row r="34" spans="1:13" x14ac:dyDescent="0.2">
      <c r="B34" s="18" t="s">
        <v>17</v>
      </c>
      <c r="C34" s="19">
        <f>SUM(C22:C33)</f>
        <v>2145.2400225532374</v>
      </c>
      <c r="D34" s="20">
        <f>SUM(D22:D33)</f>
        <v>5.5494747496329429E-5</v>
      </c>
      <c r="E34" s="21"/>
      <c r="F34" s="18" t="s">
        <v>17</v>
      </c>
      <c r="G34" s="19">
        <f>SUM(G22:G33)</f>
        <v>-1135826</v>
      </c>
      <c r="H34" s="20">
        <f>SUM(H22:H33)</f>
        <v>-4.8098053932494246E-5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3663981</v>
      </c>
      <c r="D37" s="12">
        <f t="shared" ref="D37:D48" si="4">+IF(C37/$C$114=0,"",C37/$C$114)</f>
        <v>4.5231721767077076E-5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2706199</v>
      </c>
      <c r="D38" s="12">
        <f t="shared" si="4"/>
        <v>3.3407935307072339E-5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-1045902</v>
      </c>
      <c r="H39" s="12">
        <f t="shared" si="5"/>
        <v>-2.14443043426302E-4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-29793798</v>
      </c>
      <c r="D44" s="12">
        <f t="shared" si="4"/>
        <v>-3.6780343061836219E-4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-10079736</v>
      </c>
      <c r="D45" s="12">
        <f t="shared" si="4"/>
        <v>-1.2443400067783933E-4</v>
      </c>
      <c r="E45" s="11"/>
      <c r="F45" s="8" t="s">
        <v>13</v>
      </c>
      <c r="G45" s="15">
        <v>35243195</v>
      </c>
      <c r="H45" s="12">
        <f t="shared" si="5"/>
        <v>7.2259714541769975E-3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>
        <v>12</v>
      </c>
      <c r="H47" s="12">
        <f t="shared" si="5"/>
        <v>2.4603801514057953E-9</v>
      </c>
    </row>
    <row r="48" spans="1:13" x14ac:dyDescent="0.2">
      <c r="B48" s="8" t="s">
        <v>16</v>
      </c>
      <c r="C48" s="15">
        <v>-53247</v>
      </c>
      <c r="D48" s="12">
        <f t="shared" si="4"/>
        <v>-6.5733241764396517E-7</v>
      </c>
      <c r="E48" s="11"/>
      <c r="F48" s="8" t="s">
        <v>16</v>
      </c>
      <c r="G48" s="15">
        <v>-40087</v>
      </c>
      <c r="H48" s="12">
        <f t="shared" si="5"/>
        <v>-8.2191049274503433E-6</v>
      </c>
    </row>
    <row r="49" spans="2:9" x14ac:dyDescent="0.2">
      <c r="B49" s="18" t="s">
        <v>17</v>
      </c>
      <c r="C49" s="19">
        <f>SUM(C37:C48)</f>
        <v>-33556601</v>
      </c>
      <c r="D49" s="20">
        <f>SUM(D37:D48)</f>
        <v>-4.1425510663969608E-4</v>
      </c>
      <c r="E49" s="21"/>
      <c r="F49" s="18" t="s">
        <v>17</v>
      </c>
      <c r="G49" s="19">
        <f>SUM(G37:G48)</f>
        <v>34157218</v>
      </c>
      <c r="H49" s="20">
        <f>SUM(H37:H48)</f>
        <v>7.0033117662033958E-3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15872.924499999999</v>
      </c>
      <c r="H53" s="12">
        <f t="shared" ref="H53:H64" si="7">+IF(G53/$C$115=0,"",G53/$C$115)</f>
        <v>1.3039496898297175E-4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>
        <v>24</v>
      </c>
      <c r="D57" s="12">
        <f t="shared" si="6"/>
        <v>1.4068926154860106E-9</v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-259829.7599</v>
      </c>
      <c r="H60" s="12">
        <f t="shared" si="7"/>
        <v>-2.1344833765834081E-3</v>
      </c>
    </row>
    <row r="61" spans="2:9" x14ac:dyDescent="0.2">
      <c r="B61" s="8" t="s">
        <v>13</v>
      </c>
      <c r="C61" s="15">
        <v>124990259</v>
      </c>
      <c r="D61" s="12">
        <f t="shared" si="6"/>
        <v>7.3269946831159951E-3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15130</v>
      </c>
      <c r="D63" s="12">
        <f t="shared" si="6"/>
        <v>8.8692855301263927E-7</v>
      </c>
      <c r="E63" s="11"/>
      <c r="F63" s="8" t="s">
        <v>15</v>
      </c>
      <c r="G63" s="32">
        <v>-1115.03</v>
      </c>
      <c r="H63" s="12">
        <f t="shared" si="7"/>
        <v>-9.1598937716287252E-6</v>
      </c>
    </row>
    <row r="64" spans="2:9" x14ac:dyDescent="0.2">
      <c r="B64" s="8" t="s">
        <v>16</v>
      </c>
      <c r="C64" s="15">
        <v>-140210</v>
      </c>
      <c r="D64" s="12">
        <f t="shared" si="6"/>
        <v>-8.2191839007205646E-6</v>
      </c>
      <c r="E64" s="11"/>
      <c r="F64" s="8" t="s">
        <v>16</v>
      </c>
      <c r="G64" s="32">
        <v>-42.82</v>
      </c>
      <c r="H64" s="12">
        <f t="shared" si="7"/>
        <v>-3.5176331695213765E-7</v>
      </c>
    </row>
    <row r="65" spans="2:8" x14ac:dyDescent="0.2">
      <c r="B65" s="18" t="s">
        <v>17</v>
      </c>
      <c r="C65" s="19">
        <f>SUM(C53:C64)</f>
        <v>124865203</v>
      </c>
      <c r="D65" s="20">
        <f>SUM(D53:D64)</f>
        <v>7.3196638346609026E-3</v>
      </c>
      <c r="E65" s="21"/>
      <c r="F65" s="18" t="s">
        <v>17</v>
      </c>
      <c r="G65" s="57">
        <f>SUM(G53:G64)</f>
        <v>-245114.68540000002</v>
      </c>
      <c r="H65" s="20">
        <f>SUM(H53:H64)</f>
        <v>-2.0136000646890171E-3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>
        <v>2259801</v>
      </c>
      <c r="D70" s="12">
        <f t="shared" si="8"/>
        <v>1.8987904728441759E-4</v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206104</v>
      </c>
      <c r="D72" s="12">
        <f t="shared" si="8"/>
        <v>1.7317821861972626E-5</v>
      </c>
      <c r="E72" s="11"/>
      <c r="F72" s="8" t="s">
        <v>9</v>
      </c>
      <c r="G72" s="9">
        <v>1479976</v>
      </c>
      <c r="H72" s="12">
        <f t="shared" si="9"/>
        <v>2.3421944135996201E-4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17656327</v>
      </c>
      <c r="D76" s="12">
        <f t="shared" si="8"/>
        <v>1.4835671589233472E-3</v>
      </c>
      <c r="E76" s="11"/>
      <c r="F76" s="8" t="s">
        <v>13</v>
      </c>
      <c r="G76" s="15">
        <v>-2070462</v>
      </c>
      <c r="H76" s="12">
        <f t="shared" si="9"/>
        <v>-3.2766913314609809E-4</v>
      </c>
    </row>
    <row r="77" spans="2:8" x14ac:dyDescent="0.2">
      <c r="B77" s="8" t="s">
        <v>14</v>
      </c>
      <c r="C77" s="9">
        <v>91853321</v>
      </c>
      <c r="D77" s="12">
        <f t="shared" si="8"/>
        <v>7.7179455542279105E-3</v>
      </c>
      <c r="E77" s="11"/>
      <c r="F77" s="8" t="s">
        <v>14</v>
      </c>
      <c r="G77" s="9">
        <v>46840262</v>
      </c>
      <c r="H77" s="12">
        <f t="shared" si="9"/>
        <v>7.4128904784903655E-3</v>
      </c>
    </row>
    <row r="78" spans="2:8" x14ac:dyDescent="0.2">
      <c r="B78" s="8" t="s">
        <v>15</v>
      </c>
      <c r="C78" s="15">
        <v>-18</v>
      </c>
      <c r="D78" s="12">
        <f t="shared" si="8"/>
        <v>-1.5124441714644416E-9</v>
      </c>
      <c r="E78" s="11"/>
      <c r="F78" s="8" t="s">
        <v>15</v>
      </c>
      <c r="G78" s="15">
        <v>7</v>
      </c>
      <c r="H78" s="12">
        <f t="shared" si="9"/>
        <v>1.1078126196098681E-9</v>
      </c>
    </row>
    <row r="79" spans="2:8" x14ac:dyDescent="0.2">
      <c r="B79" s="8" t="s">
        <v>16</v>
      </c>
      <c r="C79" s="15">
        <v>-12407</v>
      </c>
      <c r="D79" s="12">
        <f t="shared" si="8"/>
        <v>-1.0424941575199627E-6</v>
      </c>
      <c r="E79" s="11"/>
      <c r="F79" s="8" t="s">
        <v>16</v>
      </c>
      <c r="G79" s="15">
        <v>-12407</v>
      </c>
      <c r="H79" s="12">
        <f t="shared" si="9"/>
        <v>-1.9635187387856619E-6</v>
      </c>
    </row>
    <row r="80" spans="2:8" x14ac:dyDescent="0.2">
      <c r="B80" s="18" t="s">
        <v>17</v>
      </c>
      <c r="C80" s="19">
        <f>SUM(C68:C79)</f>
        <v>111963128</v>
      </c>
      <c r="D80" s="20">
        <f>SUM(D68:D79)</f>
        <v>9.407665575695957E-3</v>
      </c>
      <c r="E80" s="21"/>
      <c r="F80" s="18" t="s">
        <v>17</v>
      </c>
      <c r="G80" s="19">
        <f>SUM(G68:G79)</f>
        <v>46237376</v>
      </c>
      <c r="H80" s="20">
        <f>SUM(H68:H79)</f>
        <v>7.3174783757780628E-3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23614801580.000202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17058871257.000099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11901265739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4877295077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6318758133.0001001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59709832677</v>
      </c>
      <c r="D111" s="51">
        <v>8570393604</v>
      </c>
      <c r="F111" s="45">
        <f>+C111+D111</f>
        <v>68280226281</v>
      </c>
      <c r="G111" s="5"/>
      <c r="H111" s="5"/>
    </row>
    <row r="112" spans="2:8" x14ac:dyDescent="0.2">
      <c r="B112" s="35" t="s">
        <v>18</v>
      </c>
      <c r="C112" s="48">
        <v>38656631.831600003</v>
      </c>
      <c r="D112" s="53"/>
      <c r="F112" s="45">
        <f>+C112+D112</f>
        <v>38656631.831600003</v>
      </c>
      <c r="H112" s="17"/>
    </row>
    <row r="113" spans="1:13" x14ac:dyDescent="0.2">
      <c r="B113" s="35" t="s">
        <v>4</v>
      </c>
      <c r="C113" s="45">
        <v>9488477290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81004676736.999893</v>
      </c>
      <c r="D114" s="46"/>
      <c r="F114" s="45"/>
      <c r="H114" s="17"/>
    </row>
    <row r="115" spans="1:13" x14ac:dyDescent="0.2">
      <c r="B115" s="35" t="s">
        <v>25</v>
      </c>
      <c r="C115" s="48">
        <v>121729577.6348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48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43006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4873281</v>
      </c>
      <c r="D7" s="10">
        <f>+IF(C7/$F$111=0,"",C7/$F$111)</f>
        <v>7.6039980752453854E-5</v>
      </c>
      <c r="E7" s="11"/>
      <c r="F7" s="8" t="s">
        <v>5</v>
      </c>
      <c r="G7" s="9">
        <v>927045</v>
      </c>
      <c r="H7" s="12">
        <f>+IF(G7/$C$113=0,"",G7/$C$113)</f>
        <v>9.6020897836381378E-5</v>
      </c>
      <c r="I7" s="13"/>
    </row>
    <row r="8" spans="1:9" x14ac:dyDescent="0.2">
      <c r="B8" s="8" t="s">
        <v>6</v>
      </c>
      <c r="C8" s="9">
        <v>409331</v>
      </c>
      <c r="D8" s="10">
        <f>+IF(C8/$F$111=0,"",C8/$F$111)</f>
        <v>6.3869744760014223E-6</v>
      </c>
      <c r="E8" s="11"/>
      <c r="F8" s="8" t="s">
        <v>6</v>
      </c>
      <c r="G8" s="9">
        <v>130587</v>
      </c>
      <c r="H8" s="12">
        <f>+IF(G8/$C$113=0,"",G8/$C$113)</f>
        <v>1.3525860110091241E-5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-31416</v>
      </c>
      <c r="H11" s="12">
        <f t="shared" si="0"/>
        <v>-3.2539871596608117E-6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-6924973</v>
      </c>
      <c r="H14" s="12">
        <f t="shared" si="0"/>
        <v>-7.1727060169970113E-4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>
        <v>173090</v>
      </c>
      <c r="D17" s="10">
        <f>+IF(C17/$F$111=0,"",C17/$F$111)</f>
        <v>2.7008006040370413E-6</v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-106630</v>
      </c>
      <c r="D18" s="10">
        <f>+IF(C18/$F$111=0,"",C18/$F$111)</f>
        <v>-1.6637955306977279E-6</v>
      </c>
      <c r="E18" s="17"/>
      <c r="F18" s="8" t="s">
        <v>16</v>
      </c>
      <c r="G18" s="15">
        <v>-44913</v>
      </c>
      <c r="H18" s="12">
        <f t="shared" si="0"/>
        <v>-4.6519711389688708E-6</v>
      </c>
    </row>
    <row r="19" spans="2:9" x14ac:dyDescent="0.2">
      <c r="B19" s="18" t="s">
        <v>17</v>
      </c>
      <c r="C19" s="19">
        <f>SUM(C7:C18)</f>
        <v>5349072</v>
      </c>
      <c r="D19" s="20">
        <f>SUM(D7:D18)</f>
        <v>8.3463960301794596E-5</v>
      </c>
      <c r="E19" s="21"/>
      <c r="F19" s="18" t="s">
        <v>17</v>
      </c>
      <c r="G19" s="19">
        <f>SUM(G7:G18)</f>
        <v>-5943670</v>
      </c>
      <c r="H19" s="20">
        <f>SUM(H7:H18)</f>
        <v>-6.1562980205185822E-4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2858.9295999999999</v>
      </c>
      <c r="D22" s="12">
        <f>+IF(C22/$F$112=0,"",C22/$F$112)</f>
        <v>7.3631113307283546E-5</v>
      </c>
      <c r="E22" s="17"/>
      <c r="F22" s="8" t="s">
        <v>5</v>
      </c>
      <c r="G22" s="9">
        <v>1551413</v>
      </c>
      <c r="H22" s="12">
        <f t="shared" ref="H22:H33" si="2">+IF(G22/$C$106=0,"",G22/$C$106)</f>
        <v>6.4665412120777993E-5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481492</v>
      </c>
      <c r="H23" s="12">
        <f t="shared" si="2"/>
        <v>2.0069368126254994E-5</v>
      </c>
      <c r="I23" s="23"/>
    </row>
    <row r="24" spans="2:9" x14ac:dyDescent="0.2">
      <c r="B24" s="8" t="s">
        <v>45</v>
      </c>
      <c r="C24" s="14">
        <v>-287.03151747956872</v>
      </c>
      <c r="D24" s="12">
        <f>+IF(C24/$F$112=0,"",C24/$F$112)</f>
        <v>-7.3924346322832376E-6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-2306.0086872890006</v>
      </c>
      <c r="D26" s="12">
        <f>+IF(C26/$F$112=0,"",C26/$F$112)</f>
        <v>-5.9390754827036175E-5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-54244.489999999991</v>
      </c>
      <c r="D27" s="12">
        <f t="shared" ref="D27:D33" si="3">+IF(C27/$F$112=0,"",C27/$F$112)</f>
        <v>-1.3970551039402331E-3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-1392960</v>
      </c>
      <c r="H29" s="12">
        <f t="shared" si="2"/>
        <v>-5.8060833877090706E-5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56237.633600000001</v>
      </c>
      <c r="D31" s="12">
        <f t="shared" si="3"/>
        <v>1.4483880861337391E-3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-58.82</v>
      </c>
      <c r="D33" s="12">
        <f t="shared" si="3"/>
        <v>-1.514896374060564E-6</v>
      </c>
      <c r="E33" s="17"/>
      <c r="F33" s="8" t="s">
        <v>16</v>
      </c>
      <c r="G33" s="15">
        <v>-48578</v>
      </c>
      <c r="H33" s="12">
        <f t="shared" si="2"/>
        <v>-2.0248098926611765E-6</v>
      </c>
    </row>
    <row r="34" spans="1:13" x14ac:dyDescent="0.2">
      <c r="B34" s="18" t="s">
        <v>17</v>
      </c>
      <c r="C34" s="19">
        <f>SUM(C22:C33)</f>
        <v>2200.2129952314422</v>
      </c>
      <c r="D34" s="20">
        <f>SUM(D22:D33)</f>
        <v>5.6666009667409711E-5</v>
      </c>
      <c r="E34" s="21"/>
      <c r="F34" s="18" t="s">
        <v>17</v>
      </c>
      <c r="G34" s="19">
        <f>SUM(G22:G33)</f>
        <v>591367</v>
      </c>
      <c r="H34" s="20">
        <f>SUM(H22:H33)</f>
        <v>2.464913647728111E-5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4203334</v>
      </c>
      <c r="D37" s="12">
        <f t="shared" ref="D37:D48" si="4">+IF(C37/$C$114=0,"",C37/$C$114)</f>
        <v>5.1918296341273338E-5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2719990</v>
      </c>
      <c r="D38" s="12">
        <f t="shared" si="4"/>
        <v>3.3596484805942151E-5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-54148</v>
      </c>
      <c r="H39" s="12">
        <f t="shared" si="5"/>
        <v>-1.1019019766243173E-5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-55350227</v>
      </c>
      <c r="D44" s="12">
        <f t="shared" si="4"/>
        <v>-6.8366907981681887E-4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-4398266</v>
      </c>
      <c r="D45" s="12">
        <f t="shared" si="4"/>
        <v>-5.4326036802154411E-5</v>
      </c>
      <c r="E45" s="11"/>
      <c r="F45" s="8" t="s">
        <v>13</v>
      </c>
      <c r="G45" s="15">
        <v>15621474</v>
      </c>
      <c r="H45" s="12">
        <f t="shared" si="5"/>
        <v>3.1789416189675298E-3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-53907</v>
      </c>
      <c r="D48" s="12">
        <f t="shared" si="4"/>
        <v>-6.6584278119916753E-7</v>
      </c>
      <c r="E48" s="11"/>
      <c r="F48" s="8" t="s">
        <v>16</v>
      </c>
      <c r="G48" s="15">
        <v>-40389</v>
      </c>
      <c r="H48" s="12">
        <f t="shared" si="5"/>
        <v>-8.2190882274284457E-6</v>
      </c>
    </row>
    <row r="49" spans="2:9" x14ac:dyDescent="0.2">
      <c r="B49" s="18" t="s">
        <v>17</v>
      </c>
      <c r="C49" s="19">
        <f>SUM(C37:C48)</f>
        <v>-52879076</v>
      </c>
      <c r="D49" s="20">
        <f>SUM(D37:D48)</f>
        <v>-6.5314617825295695E-4</v>
      </c>
      <c r="E49" s="21"/>
      <c r="F49" s="18" t="s">
        <v>17</v>
      </c>
      <c r="G49" s="19">
        <f>SUM(G37:G48)</f>
        <v>15526937</v>
      </c>
      <c r="H49" s="20">
        <f>SUM(H37:H48)</f>
        <v>3.1597035109738585E-3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15621.2199</v>
      </c>
      <c r="H53" s="12">
        <f t="shared" ref="H53:H64" si="7">+IF(G53/$C$115=0,"",G53/$C$115)</f>
        <v>1.2858784845666351E-4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117450.035</v>
      </c>
      <c r="H60" s="12">
        <f t="shared" si="7"/>
        <v>9.6680332256316457E-4</v>
      </c>
    </row>
    <row r="61" spans="2:9" x14ac:dyDescent="0.2">
      <c r="B61" s="8" t="s">
        <v>13</v>
      </c>
      <c r="C61" s="15">
        <v>70182673</v>
      </c>
      <c r="D61" s="12">
        <f t="shared" si="6"/>
        <v>4.0890303692492384E-3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>
        <v>-255.33</v>
      </c>
      <c r="H63" s="12">
        <f t="shared" si="7"/>
        <v>-2.1017779377422307E-6</v>
      </c>
    </row>
    <row r="64" spans="2:9" x14ac:dyDescent="0.2">
      <c r="B64" s="8" t="s">
        <v>16</v>
      </c>
      <c r="C64" s="15">
        <v>-141071</v>
      </c>
      <c r="D64" s="12">
        <f t="shared" si="6"/>
        <v>-8.2191740291846571E-6</v>
      </c>
      <c r="E64" s="11"/>
      <c r="F64" s="8" t="s">
        <v>16</v>
      </c>
      <c r="G64" s="32">
        <v>-42.66</v>
      </c>
      <c r="H64" s="12">
        <f t="shared" si="7"/>
        <v>-3.5116064240035852E-7</v>
      </c>
    </row>
    <row r="65" spans="2:8" x14ac:dyDescent="0.2">
      <c r="B65" s="18" t="s">
        <v>17</v>
      </c>
      <c r="C65" s="19">
        <f>SUM(C53:C64)</f>
        <v>70041602</v>
      </c>
      <c r="D65" s="20">
        <f>SUM(D53:D64)</f>
        <v>4.0808111952200538E-3</v>
      </c>
      <c r="E65" s="21"/>
      <c r="F65" s="18" t="s">
        <v>17</v>
      </c>
      <c r="G65" s="57">
        <f>SUM(G53:G64)</f>
        <v>132773.26490000001</v>
      </c>
      <c r="H65" s="20">
        <f>SUM(H53:H64)</f>
        <v>1.0929382324396855E-3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-152593</v>
      </c>
      <c r="D72" s="12">
        <f t="shared" si="8"/>
        <v>-1.2634377979618997E-5</v>
      </c>
      <c r="E72" s="11"/>
      <c r="F72" s="8" t="s">
        <v>9</v>
      </c>
      <c r="G72" s="9">
        <v>-466032</v>
      </c>
      <c r="H72" s="12">
        <f t="shared" si="9"/>
        <v>-7.3220861484304256E-5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19776330</v>
      </c>
      <c r="D76" s="12">
        <f t="shared" si="8"/>
        <v>1.6374383377329139E-3</v>
      </c>
      <c r="E76" s="11"/>
      <c r="F76" s="8" t="s">
        <v>13</v>
      </c>
      <c r="G76" s="15">
        <v>-4933304</v>
      </c>
      <c r="H76" s="12">
        <f t="shared" si="9"/>
        <v>-7.7509863881442497E-4</v>
      </c>
    </row>
    <row r="77" spans="2:8" x14ac:dyDescent="0.2">
      <c r="B77" s="8" t="s">
        <v>14</v>
      </c>
      <c r="C77" s="9">
        <v>-26795886</v>
      </c>
      <c r="D77" s="12">
        <f t="shared" si="8"/>
        <v>-2.2186427426079897E-3</v>
      </c>
      <c r="E77" s="11"/>
      <c r="F77" s="8" t="s">
        <v>14</v>
      </c>
      <c r="G77" s="9">
        <v>-13630816</v>
      </c>
      <c r="H77" s="12">
        <f t="shared" si="9"/>
        <v>-2.141612786791547E-3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-12410</v>
      </c>
      <c r="D79" s="12">
        <f t="shared" si="8"/>
        <v>-1.027521778371693E-6</v>
      </c>
      <c r="E79" s="11"/>
      <c r="F79" s="8" t="s">
        <v>16</v>
      </c>
      <c r="G79" s="15">
        <v>-12410</v>
      </c>
      <c r="H79" s="12">
        <f t="shared" si="9"/>
        <v>-1.9498036422825382E-6</v>
      </c>
    </row>
    <row r="80" spans="2:8" x14ac:dyDescent="0.2">
      <c r="B80" s="18" t="s">
        <v>17</v>
      </c>
      <c r="C80" s="19">
        <f>SUM(C68:C79)</f>
        <v>-7184559</v>
      </c>
      <c r="D80" s="20">
        <f>SUM(D68:D79)</f>
        <v>-5.948663046330666E-4</v>
      </c>
      <c r="E80" s="21"/>
      <c r="F80" s="18" t="s">
        <v>17</v>
      </c>
      <c r="G80" s="19">
        <f>SUM(G68:G79)</f>
        <v>-19042562</v>
      </c>
      <c r="H80" s="20">
        <f>SUM(H68:H79)</f>
        <v>-2.991882090732559E-3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23991388117.999901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17163646796.999899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12077602890.000099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4914048722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6364743470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59472196018.999893</v>
      </c>
      <c r="D111" s="51">
        <v>4616207894</v>
      </c>
      <c r="F111" s="45">
        <f>+C111+D111</f>
        <v>64088403912.999893</v>
      </c>
      <c r="G111" s="5"/>
      <c r="H111" s="5"/>
    </row>
    <row r="112" spans="2:8" x14ac:dyDescent="0.2">
      <c r="B112" s="35" t="s">
        <v>18</v>
      </c>
      <c r="C112" s="48">
        <v>38599829.324000001</v>
      </c>
      <c r="D112" s="53">
        <v>227909</v>
      </c>
      <c r="F112" s="45">
        <f>+C112+D112</f>
        <v>38827738.324000001</v>
      </c>
      <c r="H112" s="17"/>
    </row>
    <row r="113" spans="1:13" x14ac:dyDescent="0.2">
      <c r="B113" s="35" t="s">
        <v>4</v>
      </c>
      <c r="C113" s="45">
        <v>9654617077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80960553335.000092</v>
      </c>
      <c r="D114" s="46"/>
      <c r="F114" s="45"/>
      <c r="H114" s="17"/>
    </row>
    <row r="115" spans="1:13" x14ac:dyDescent="0.2">
      <c r="B115" s="35" t="s">
        <v>25</v>
      </c>
      <c r="C115" s="48">
        <v>121482862.3971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49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43007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4952866</v>
      </c>
      <c r="D7" s="10">
        <f>+IF(C7/$F$111=0,"",C7/$F$111)</f>
        <v>7.494894428801558E-5</v>
      </c>
      <c r="E7" s="11"/>
      <c r="F7" s="8" t="s">
        <v>5</v>
      </c>
      <c r="G7" s="9">
        <v>940830</v>
      </c>
      <c r="H7" s="12">
        <f>+IF(G7/$C$113=0,"",G7/$C$113)</f>
        <v>9.7509467132008738E-5</v>
      </c>
      <c r="I7" s="13"/>
    </row>
    <row r="8" spans="1:9" x14ac:dyDescent="0.2">
      <c r="B8" s="8" t="s">
        <v>6</v>
      </c>
      <c r="C8" s="9">
        <v>411662</v>
      </c>
      <c r="D8" s="10">
        <f>+IF(C8/$F$111=0,"",C8/$F$111)</f>
        <v>6.2294502422421828E-6</v>
      </c>
      <c r="E8" s="11"/>
      <c r="F8" s="8" t="s">
        <v>6</v>
      </c>
      <c r="G8" s="9">
        <v>140383</v>
      </c>
      <c r="H8" s="12">
        <f>+IF(G8/$C$113=0,"",G8/$C$113)</f>
        <v>1.4549569554959752E-5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34809</v>
      </c>
      <c r="H11" s="12">
        <f t="shared" si="0"/>
        <v>3.6076730561292605E-6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-15857367</v>
      </c>
      <c r="H14" s="12">
        <f t="shared" si="0"/>
        <v>-1.6434886284309599E-3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-91209</v>
      </c>
      <c r="D18" s="10">
        <f>+IF(C18/$F$111=0,"",C18/$F$111)</f>
        <v>-1.3802146594649669E-6</v>
      </c>
      <c r="E18" s="17"/>
      <c r="F18" s="8" t="s">
        <v>16</v>
      </c>
      <c r="G18" s="15">
        <v>-31460</v>
      </c>
      <c r="H18" s="12">
        <f t="shared" si="0"/>
        <v>-3.260576125307436E-6</v>
      </c>
    </row>
    <row r="19" spans="2:9" x14ac:dyDescent="0.2">
      <c r="B19" s="18" t="s">
        <v>17</v>
      </c>
      <c r="C19" s="19">
        <f>SUM(C7:C18)</f>
        <v>5273319</v>
      </c>
      <c r="D19" s="20">
        <f>SUM(D7:D18)</f>
        <v>7.9798179870792791E-5</v>
      </c>
      <c r="E19" s="21"/>
      <c r="F19" s="18" t="s">
        <v>17</v>
      </c>
      <c r="G19" s="19">
        <f>SUM(G7:G18)</f>
        <v>-14772805</v>
      </c>
      <c r="H19" s="20">
        <f>SUM(H7:H18)</f>
        <v>-1.5310824948131694E-3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2882.4904000000001</v>
      </c>
      <c r="D22" s="12">
        <f>+IF(C22/$F$112=0,"",C22/$F$112)</f>
        <v>7.356938607617522E-5</v>
      </c>
      <c r="E22" s="17"/>
      <c r="F22" s="8" t="s">
        <v>5</v>
      </c>
      <c r="G22" s="9">
        <v>1655041</v>
      </c>
      <c r="H22" s="12">
        <f t="shared" ref="H22:H33" si="2">+IF(G22/$C$106=0,"",G22/$C$106)</f>
        <v>6.8749837020450172E-5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478657</v>
      </c>
      <c r="H23" s="12">
        <f t="shared" si="2"/>
        <v>1.988324805167825E-5</v>
      </c>
      <c r="I23" s="23"/>
    </row>
    <row r="24" spans="2:9" x14ac:dyDescent="0.2">
      <c r="B24" s="8" t="s">
        <v>45</v>
      </c>
      <c r="C24" s="14">
        <v>-513.13</v>
      </c>
      <c r="D24" s="12">
        <f>+IF(C24/$F$112=0,"",C24/$F$112)</f>
        <v>-1.3096542863514061E-5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-3.57</v>
      </c>
      <c r="D26" s="12">
        <f>+IF(C26/$F$112=0,"",C26/$F$112)</f>
        <v>-9.1116594279705331E-8</v>
      </c>
      <c r="E26" s="17"/>
      <c r="F26" s="8" t="s">
        <v>9</v>
      </c>
      <c r="G26" s="9">
        <v>-50</v>
      </c>
      <c r="H26" s="12">
        <f t="shared" si="2"/>
        <v>-2.0769828971140348E-9</v>
      </c>
      <c r="I26" s="23"/>
    </row>
    <row r="27" spans="2:9" x14ac:dyDescent="0.2">
      <c r="B27" s="8" t="s">
        <v>10</v>
      </c>
      <c r="C27" s="14">
        <v>42426.640000000014</v>
      </c>
      <c r="D27" s="12">
        <f t="shared" ref="D27:D33" si="3">+IF(C27/$F$112=0,"",C27/$F$112)</f>
        <v>1.0828490037902293E-3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-6501565</v>
      </c>
      <c r="H29" s="12">
        <f t="shared" si="2"/>
        <v>-2.7007278618950418E-4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-42499.623800000001</v>
      </c>
      <c r="D31" s="12">
        <f t="shared" si="3"/>
        <v>-1.0847117587744282E-3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-1329</v>
      </c>
      <c r="H32" s="12">
        <f t="shared" si="2"/>
        <v>-5.5206205405291038E-8</v>
      </c>
    </row>
    <row r="33" spans="1:13" x14ac:dyDescent="0.2">
      <c r="B33" s="8" t="s">
        <v>16</v>
      </c>
      <c r="C33" s="14">
        <v>-54.9</v>
      </c>
      <c r="D33" s="12">
        <f t="shared" si="3"/>
        <v>-1.4012047691753003E-6</v>
      </c>
      <c r="E33" s="17"/>
      <c r="F33" s="8" t="s">
        <v>16</v>
      </c>
      <c r="G33" s="15">
        <v>-40734</v>
      </c>
      <c r="H33" s="12">
        <f t="shared" si="2"/>
        <v>-1.6920764266208617E-6</v>
      </c>
    </row>
    <row r="34" spans="1:13" x14ac:dyDescent="0.2">
      <c r="B34" s="18" t="s">
        <v>17</v>
      </c>
      <c r="C34" s="19">
        <f>SUM(C22:C33)</f>
        <v>2237.9066000000107</v>
      </c>
      <c r="D34" s="20">
        <f>SUM(D22:D33)</f>
        <v>5.7117766865007343E-5</v>
      </c>
      <c r="E34" s="21"/>
      <c r="F34" s="18" t="s">
        <v>17</v>
      </c>
      <c r="G34" s="19">
        <f>SUM(G22:G33)</f>
        <v>-4409980</v>
      </c>
      <c r="H34" s="20">
        <f>SUM(H22:H33)</f>
        <v>-1.8318906073229902E-4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4150109</v>
      </c>
      <c r="D37" s="12">
        <f t="shared" ref="D37:D48" si="4">+IF(C37/$C$114=0,"",C37/$C$114)</f>
        <v>5.1310419825547558E-5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2701904</v>
      </c>
      <c r="D38" s="12">
        <f t="shared" si="4"/>
        <v>3.3405346357969455E-5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45657</v>
      </c>
      <c r="H39" s="12">
        <f t="shared" si="5"/>
        <v>9.2612496343221739E-6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-113837666</v>
      </c>
      <c r="D44" s="12">
        <f t="shared" si="4"/>
        <v>-1.4074469934212477E-3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-37354807</v>
      </c>
      <c r="D45" s="12">
        <f t="shared" si="4"/>
        <v>-4.6184108168539738E-4</v>
      </c>
      <c r="E45" s="11"/>
      <c r="F45" s="8" t="s">
        <v>13</v>
      </c>
      <c r="G45" s="15">
        <v>30645582</v>
      </c>
      <c r="H45" s="12">
        <f t="shared" si="5"/>
        <v>6.2162731912103336E-3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-54146</v>
      </c>
      <c r="D48" s="12">
        <f t="shared" si="4"/>
        <v>-6.6944121030895769E-7</v>
      </c>
      <c r="E48" s="11"/>
      <c r="F48" s="8" t="s">
        <v>16</v>
      </c>
      <c r="G48" s="15">
        <v>-40520</v>
      </c>
      <c r="H48" s="12">
        <f t="shared" si="5"/>
        <v>-8.2192398795964369E-6</v>
      </c>
    </row>
    <row r="49" spans="2:9" x14ac:dyDescent="0.2">
      <c r="B49" s="18" t="s">
        <v>17</v>
      </c>
      <c r="C49" s="19">
        <f>SUM(C37:C48)</f>
        <v>-144394606</v>
      </c>
      <c r="D49" s="20">
        <f>SUM(D37:D48)</f>
        <v>-1.785241750133437E-3</v>
      </c>
      <c r="E49" s="21"/>
      <c r="F49" s="18" t="s">
        <v>17</v>
      </c>
      <c r="G49" s="19">
        <f>SUM(G37:G48)</f>
        <v>30650719</v>
      </c>
      <c r="H49" s="20">
        <f>SUM(H37:H48)</f>
        <v>6.217315200965059E-3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15496.3395</v>
      </c>
      <c r="H53" s="12">
        <f t="shared" ref="H53:H64" si="7">+IF(G53/$C$115=0,"",G53/$C$115)</f>
        <v>1.27422297155962E-4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>
        <v>-5412033</v>
      </c>
      <c r="D55" s="12">
        <f t="shared" si="6"/>
        <v>-3.1322125714173735E-4</v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53219.931700000001</v>
      </c>
      <c r="H60" s="12">
        <f t="shared" si="7"/>
        <v>4.3761340874710463E-4</v>
      </c>
    </row>
    <row r="61" spans="2:9" x14ac:dyDescent="0.2">
      <c r="B61" s="8" t="s">
        <v>13</v>
      </c>
      <c r="C61" s="15">
        <v>124479948</v>
      </c>
      <c r="D61" s="12">
        <f t="shared" si="6"/>
        <v>7.2042734775449625E-3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-305761</v>
      </c>
      <c r="D63" s="12">
        <f t="shared" si="6"/>
        <v>-1.7695909246103037E-5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-142016</v>
      </c>
      <c r="D64" s="12">
        <f t="shared" si="6"/>
        <v>-8.2191719921591338E-6</v>
      </c>
      <c r="E64" s="11"/>
      <c r="F64" s="8" t="s">
        <v>16</v>
      </c>
      <c r="G64" s="32">
        <v>-42.7</v>
      </c>
      <c r="H64" s="12">
        <f t="shared" si="7"/>
        <v>-3.5111079545976509E-7</v>
      </c>
    </row>
    <row r="65" spans="2:8" x14ac:dyDescent="0.2">
      <c r="B65" s="18" t="s">
        <v>17</v>
      </c>
      <c r="C65" s="19">
        <f>SUM(C53:C64)</f>
        <v>118620138</v>
      </c>
      <c r="D65" s="20">
        <f>SUM(D53:D64)</f>
        <v>6.8651371391649629E-3</v>
      </c>
      <c r="E65" s="21"/>
      <c r="F65" s="18" t="s">
        <v>17</v>
      </c>
      <c r="G65" s="57">
        <f>SUM(G53:G64)</f>
        <v>68673.571200000006</v>
      </c>
      <c r="H65" s="20">
        <f>SUM(H53:H64)</f>
        <v>5.6468459510760694E-4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>
        <v>1922574</v>
      </c>
      <c r="D70" s="12">
        <f t="shared" si="8"/>
        <v>1.5813580913762073E-4</v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346798</v>
      </c>
      <c r="D72" s="12">
        <f t="shared" si="8"/>
        <v>2.8524874640616484E-5</v>
      </c>
      <c r="E72" s="11"/>
      <c r="F72" s="8" t="s">
        <v>9</v>
      </c>
      <c r="G72" s="9">
        <v>433543</v>
      </c>
      <c r="H72" s="12">
        <f t="shared" si="9"/>
        <v>6.7997202717262281E-5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>
        <v>5152</v>
      </c>
      <c r="H73" s="12">
        <f t="shared" si="9"/>
        <v>8.0804346604451068E-7</v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68644905</v>
      </c>
      <c r="D76" s="12">
        <f t="shared" si="8"/>
        <v>5.6461897411231544E-3</v>
      </c>
      <c r="E76" s="11"/>
      <c r="F76" s="8" t="s">
        <v>13</v>
      </c>
      <c r="G76" s="15">
        <v>2118548</v>
      </c>
      <c r="H76" s="12">
        <f t="shared" si="9"/>
        <v>3.322746251750128E-4</v>
      </c>
    </row>
    <row r="77" spans="2:8" x14ac:dyDescent="0.2">
      <c r="B77" s="8" t="s">
        <v>14</v>
      </c>
      <c r="C77" s="9">
        <v>20353863</v>
      </c>
      <c r="D77" s="12">
        <f t="shared" si="8"/>
        <v>1.6741486125274141E-3</v>
      </c>
      <c r="E77" s="11"/>
      <c r="F77" s="8" t="s">
        <v>14</v>
      </c>
      <c r="G77" s="9">
        <v>10298192</v>
      </c>
      <c r="H77" s="12">
        <f t="shared" si="9"/>
        <v>1.6151760011009029E-3</v>
      </c>
    </row>
    <row r="78" spans="2:8" x14ac:dyDescent="0.2">
      <c r="B78" s="8" t="s">
        <v>15</v>
      </c>
      <c r="C78" s="15">
        <v>-8</v>
      </c>
      <c r="D78" s="12">
        <f t="shared" si="8"/>
        <v>-6.5801705063158337E-10</v>
      </c>
      <c r="E78" s="11"/>
      <c r="F78" s="8" t="s">
        <v>15</v>
      </c>
      <c r="G78" s="15">
        <v>4</v>
      </c>
      <c r="H78" s="12">
        <f t="shared" si="9"/>
        <v>6.2736293947555173E-10</v>
      </c>
    </row>
    <row r="79" spans="2:8" x14ac:dyDescent="0.2">
      <c r="B79" s="8" t="s">
        <v>16</v>
      </c>
      <c r="C79" s="15">
        <v>-12409</v>
      </c>
      <c r="D79" s="12">
        <f t="shared" si="8"/>
        <v>-1.0206666976609149E-6</v>
      </c>
      <c r="E79" s="11"/>
      <c r="F79" s="8" t="s">
        <v>16</v>
      </c>
      <c r="G79" s="15">
        <v>-12409</v>
      </c>
      <c r="H79" s="12">
        <f t="shared" si="9"/>
        <v>-1.9462366789880304E-6</v>
      </c>
    </row>
    <row r="80" spans="2:8" x14ac:dyDescent="0.2">
      <c r="B80" s="18" t="s">
        <v>17</v>
      </c>
      <c r="C80" s="19">
        <f>SUM(C68:C79)</f>
        <v>91255723</v>
      </c>
      <c r="D80" s="20">
        <f>SUM(D68:D79)</f>
        <v>7.505977712714094E-3</v>
      </c>
      <c r="E80" s="21"/>
      <c r="F80" s="18" t="s">
        <v>17</v>
      </c>
      <c r="G80" s="19">
        <f>SUM(G68:G79)</f>
        <v>12843030</v>
      </c>
      <c r="H80" s="20">
        <f>SUM(H68:H79)</f>
        <v>2.0143102631431735E-3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24073380705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17278626136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12157739670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4929896267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6375894635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61480703015</v>
      </c>
      <c r="D111" s="51">
        <v>4602495982</v>
      </c>
      <c r="F111" s="45">
        <f>+C111+D111</f>
        <v>66083198997</v>
      </c>
      <c r="G111" s="5"/>
      <c r="H111" s="5"/>
    </row>
    <row r="112" spans="2:8" x14ac:dyDescent="0.2">
      <c r="B112" s="35" t="s">
        <v>18</v>
      </c>
      <c r="C112" s="48">
        <v>38814087.028799996</v>
      </c>
      <c r="D112" s="53">
        <v>366481.87</v>
      </c>
      <c r="F112" s="45">
        <f>+C112+D112</f>
        <v>39180568.898799993</v>
      </c>
      <c r="H112" s="17"/>
    </row>
    <row r="113" spans="1:13" x14ac:dyDescent="0.2">
      <c r="B113" s="35" t="s">
        <v>4</v>
      </c>
      <c r="C113" s="45">
        <v>9648601594.0001011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80882382450</v>
      </c>
      <c r="D114" s="46"/>
      <c r="F114" s="45"/>
      <c r="H114" s="17"/>
    </row>
    <row r="115" spans="1:13" x14ac:dyDescent="0.2">
      <c r="B115" s="35" t="s">
        <v>25</v>
      </c>
      <c r="C115" s="48">
        <v>121614033.38250001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50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43010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4923075</v>
      </c>
      <c r="D7" s="10">
        <f>+IF(C7/$F$111=0,"",C7/$F$111)</f>
        <v>7.5332670800314563E-5</v>
      </c>
      <c r="E7" s="11"/>
      <c r="F7" s="8" t="s">
        <v>5</v>
      </c>
      <c r="G7" s="9">
        <v>453739</v>
      </c>
      <c r="H7" s="12">
        <f>+IF(G7/$C$113=0,"",G7/$C$113)</f>
        <v>4.709083968605073E-5</v>
      </c>
      <c r="I7" s="13"/>
    </row>
    <row r="8" spans="1:9" x14ac:dyDescent="0.2">
      <c r="B8" s="8" t="s">
        <v>6</v>
      </c>
      <c r="C8" s="9">
        <v>147454</v>
      </c>
      <c r="D8" s="10">
        <f>+IF(C8/$F$111=0,"",C8/$F$111)</f>
        <v>2.2563344332941472E-6</v>
      </c>
      <c r="E8" s="11"/>
      <c r="F8" s="8" t="s">
        <v>6</v>
      </c>
      <c r="G8" s="9">
        <v>140818</v>
      </c>
      <c r="H8" s="12">
        <f>+IF(G8/$C$113=0,"",G8/$C$113)</f>
        <v>1.4614652615072302E-5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>
        <v>-6188.0209253430367</v>
      </c>
      <c r="H9" s="12">
        <f t="shared" ref="H9:H18" si="0">+IF(G9/$C$113=0,"",G9/$C$113)</f>
        <v>-6.4221744520364402E-7</v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>
        <v>263393</v>
      </c>
      <c r="D11" s="10">
        <f t="shared" ref="D11:D14" si="1">+IF(C11/$F$111=0,"",C11/$F$111)</f>
        <v>4.0304277631576316E-6</v>
      </c>
      <c r="E11" s="11"/>
      <c r="F11" s="8" t="s">
        <v>9</v>
      </c>
      <c r="G11" s="9">
        <v>60980</v>
      </c>
      <c r="H11" s="12">
        <f t="shared" si="0"/>
        <v>6.3287471521191115E-6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-2707346</v>
      </c>
      <c r="H14" s="12">
        <f t="shared" si="0"/>
        <v>-2.8097914541326774E-4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-90571</v>
      </c>
      <c r="D18" s="10">
        <f>+IF(C18/$F$111=0,"",C18/$F$111)</f>
        <v>-1.3859133421805053E-6</v>
      </c>
      <c r="E18" s="17"/>
      <c r="F18" s="8" t="s">
        <v>16</v>
      </c>
      <c r="G18" s="15">
        <v>-30707</v>
      </c>
      <c r="H18" s="12">
        <f t="shared" si="0"/>
        <v>-3.1868946999036002E-6</v>
      </c>
    </row>
    <row r="19" spans="2:9" x14ac:dyDescent="0.2">
      <c r="B19" s="18" t="s">
        <v>17</v>
      </c>
      <c r="C19" s="19">
        <f>SUM(C7:C18)</f>
        <v>5243351</v>
      </c>
      <c r="D19" s="20">
        <f>SUM(D7:D18)</f>
        <v>8.0233519654585831E-5</v>
      </c>
      <c r="E19" s="21"/>
      <c r="F19" s="18" t="s">
        <v>17</v>
      </c>
      <c r="G19" s="19">
        <f>SUM(G7:G18)</f>
        <v>-2088704.020925343</v>
      </c>
      <c r="H19" s="20">
        <f>SUM(H7:H18)</f>
        <v>-2.1677401810513283E-4</v>
      </c>
    </row>
    <row r="21" spans="2:9" ht="25.5" x14ac:dyDescent="0.2">
      <c r="B21" s="6" t="s">
        <v>18</v>
      </c>
      <c r="C21" s="6"/>
      <c r="D21" s="6" t="s">
        <v>3</v>
      </c>
      <c r="E21" s="22"/>
      <c r="F21" s="6" t="s">
        <v>19</v>
      </c>
      <c r="G21" s="6"/>
      <c r="H21" s="6" t="s">
        <v>3</v>
      </c>
    </row>
    <row r="22" spans="2:9" x14ac:dyDescent="0.2">
      <c r="B22" s="8" t="s">
        <v>43</v>
      </c>
      <c r="C22" s="14">
        <v>3354.5212000000001</v>
      </c>
      <c r="D22" s="12">
        <f>+IF(C22/$F$112=0,"",C22/$F$112)</f>
        <v>9.0746898682326853E-5</v>
      </c>
      <c r="E22" s="17"/>
      <c r="F22" s="8" t="s">
        <v>5</v>
      </c>
      <c r="G22" s="9">
        <v>1565294</v>
      </c>
      <c r="H22" s="12">
        <f t="shared" ref="H22:H33" si="2">+IF(G22/$C$106=0,"",G22/$C$106)</f>
        <v>6.5325503732690084E-5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387728</v>
      </c>
      <c r="H23" s="12">
        <f t="shared" si="2"/>
        <v>1.6181322429695929E-5</v>
      </c>
      <c r="I23" s="23"/>
    </row>
    <row r="24" spans="2:9" x14ac:dyDescent="0.2">
      <c r="B24" s="8" t="s">
        <v>45</v>
      </c>
      <c r="C24" s="14">
        <v>-1111.0849032886326</v>
      </c>
      <c r="D24" s="12">
        <f>+IF(C24/$F$112=0,"",C24/$F$112)</f>
        <v>-3.0057198370425104E-5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7545.6878261412603</v>
      </c>
      <c r="D26" s="12">
        <f>+IF(C26/$F$112=0,"",C26/$F$112)</f>
        <v>2.0412682699614719E-4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84939.167000000016</v>
      </c>
      <c r="D27" s="12">
        <f t="shared" ref="D27:D33" si="3">+IF(C27/$F$112=0,"",C27/$F$112)</f>
        <v>2.2977842506734618E-3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2831558</v>
      </c>
      <c r="H29" s="12">
        <f t="shared" si="2"/>
        <v>1.1817138039136958E-4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-91787.280199999994</v>
      </c>
      <c r="D31" s="12">
        <f t="shared" si="3"/>
        <v>-2.4830402075371426E-3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93413</v>
      </c>
      <c r="H32" s="12">
        <f t="shared" si="2"/>
        <v>3.8984697316809362E-6</v>
      </c>
    </row>
    <row r="33" spans="1:13" x14ac:dyDescent="0.2">
      <c r="B33" s="8" t="s">
        <v>16</v>
      </c>
      <c r="C33" s="14">
        <v>-69.64</v>
      </c>
      <c r="D33" s="12">
        <f t="shared" si="3"/>
        <v>-1.8839094009115941E-6</v>
      </c>
      <c r="E33" s="17"/>
      <c r="F33" s="8" t="s">
        <v>16</v>
      </c>
      <c r="G33" s="15">
        <v>-54374</v>
      </c>
      <c r="H33" s="12">
        <f t="shared" si="2"/>
        <v>-2.2692279788725255E-6</v>
      </c>
    </row>
    <row r="34" spans="1:13" x14ac:dyDescent="0.2">
      <c r="B34" s="18" t="s">
        <v>17</v>
      </c>
      <c r="C34" s="19">
        <f>SUM(C22:C33)</f>
        <v>2871.3709228526563</v>
      </c>
      <c r="D34" s="20">
        <f>SUM(D22:D33)</f>
        <v>7.7676661043456579E-5</v>
      </c>
      <c r="E34" s="21"/>
      <c r="F34" s="18" t="s">
        <v>17</v>
      </c>
      <c r="G34" s="19">
        <f>SUM(G22:G33)</f>
        <v>4823619</v>
      </c>
      <c r="H34" s="20">
        <f>SUM(H22:H33)</f>
        <v>2.0130744830656403E-4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/>
      <c r="D36" s="6" t="s">
        <v>3</v>
      </c>
      <c r="E36" s="26"/>
      <c r="F36" s="6" t="s">
        <v>22</v>
      </c>
      <c r="G36" s="6"/>
      <c r="H36" s="6" t="s">
        <v>3</v>
      </c>
    </row>
    <row r="37" spans="1:13" x14ac:dyDescent="0.2">
      <c r="B37" s="8" t="s">
        <v>5</v>
      </c>
      <c r="C37" s="9">
        <v>3750891</v>
      </c>
      <c r="D37" s="12">
        <f t="shared" ref="D37:D48" si="4">+IF(C37/$C$114=0,"",C37/$C$114)</f>
        <v>4.6767185219346033E-5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2705779</v>
      </c>
      <c r="D38" s="12">
        <f t="shared" si="4"/>
        <v>3.373642893265011E-5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1261</v>
      </c>
      <c r="H39" s="12">
        <f t="shared" si="5"/>
        <v>2.541086105360622E-7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-47393239</v>
      </c>
      <c r="D44" s="12">
        <f t="shared" si="4"/>
        <v>-5.9091250224486242E-4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-16032171</v>
      </c>
      <c r="D45" s="12">
        <f t="shared" si="4"/>
        <v>-1.9989370808835239E-4</v>
      </c>
      <c r="E45" s="11"/>
      <c r="F45" s="8" t="s">
        <v>13</v>
      </c>
      <c r="G45" s="15">
        <v>16143145</v>
      </c>
      <c r="H45" s="12">
        <f t="shared" si="5"/>
        <v>3.2530627641809513E-3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-604810</v>
      </c>
      <c r="D47" s="12">
        <f t="shared" si="4"/>
        <v>-7.540944616229231E-6</v>
      </c>
      <c r="E47" s="11"/>
      <c r="F47" s="8" t="s">
        <v>15</v>
      </c>
      <c r="G47" s="15">
        <v>-12</v>
      </c>
      <c r="H47" s="12">
        <f t="shared" si="5"/>
        <v>-2.4181628282575306E-9</v>
      </c>
    </row>
    <row r="48" spans="1:13" x14ac:dyDescent="0.2">
      <c r="B48" s="8" t="s">
        <v>16</v>
      </c>
      <c r="C48" s="15">
        <v>-52583</v>
      </c>
      <c r="D48" s="12">
        <f t="shared" si="4"/>
        <v>-6.5561993147464762E-7</v>
      </c>
      <c r="E48" s="11"/>
      <c r="F48" s="8" t="s">
        <v>16</v>
      </c>
      <c r="G48" s="15">
        <v>-40787</v>
      </c>
      <c r="H48" s="12">
        <f t="shared" si="5"/>
        <v>-8.2191339396783254E-6</v>
      </c>
    </row>
    <row r="49" spans="2:9" x14ac:dyDescent="0.2">
      <c r="B49" s="18" t="s">
        <v>17</v>
      </c>
      <c r="C49" s="19">
        <f>SUM(C37:C48)</f>
        <v>-57626133</v>
      </c>
      <c r="D49" s="20">
        <f>SUM(D37:D48)</f>
        <v>-7.1849916072892251E-4</v>
      </c>
      <c r="E49" s="21"/>
      <c r="F49" s="18" t="s">
        <v>17</v>
      </c>
      <c r="G49" s="19">
        <f>SUM(G37:G48)</f>
        <v>16103607</v>
      </c>
      <c r="H49" s="20">
        <f>SUM(H37:H48)</f>
        <v>3.2450953206889809E-3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/>
      <c r="D52" s="6" t="s">
        <v>3</v>
      </c>
      <c r="E52" s="26"/>
      <c r="F52" s="6" t="s">
        <v>25</v>
      </c>
      <c r="G52" s="6"/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15791.1451</v>
      </c>
      <c r="H53" s="12">
        <f t="shared" ref="H53:H64" si="7">+IF(G53/$C$115=0,"",G53/$C$115)</f>
        <v>1.2995310760014815E-4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>
        <v>1443.9776989705861</v>
      </c>
      <c r="H55" s="12">
        <f t="shared" si="7"/>
        <v>1.1883203409139651E-5</v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32808.998299999999</v>
      </c>
      <c r="H60" s="12">
        <f t="shared" si="7"/>
        <v>2.700014001095448E-4</v>
      </c>
    </row>
    <row r="61" spans="2:9" x14ac:dyDescent="0.2">
      <c r="B61" s="8" t="s">
        <v>13</v>
      </c>
      <c r="C61" s="15">
        <v>48874023</v>
      </c>
      <c r="D61" s="12">
        <f t="shared" si="6"/>
        <v>2.8088249184340733E-3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7211977</v>
      </c>
      <c r="D63" s="12">
        <f t="shared" si="6"/>
        <v>4.1447745582092583E-4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-143015</v>
      </c>
      <c r="D64" s="12">
        <f t="shared" si="6"/>
        <v>-8.2191739302870367E-6</v>
      </c>
      <c r="E64" s="11"/>
      <c r="F64" s="8" t="s">
        <v>16</v>
      </c>
      <c r="G64" s="32">
        <v>-41.98</v>
      </c>
      <c r="H64" s="12">
        <f t="shared" si="7"/>
        <v>-3.4547408832651526E-7</v>
      </c>
    </row>
    <row r="65" spans="2:8" x14ac:dyDescent="0.2">
      <c r="B65" s="18" t="s">
        <v>17</v>
      </c>
      <c r="C65" s="19">
        <f>SUM(C53:C64)</f>
        <v>55942985</v>
      </c>
      <c r="D65" s="20">
        <f>SUM(D53:D64)</f>
        <v>3.2150832003247122E-3</v>
      </c>
      <c r="E65" s="21"/>
      <c r="F65" s="18" t="s">
        <v>17</v>
      </c>
      <c r="G65" s="57">
        <f>SUM(G53:G64)</f>
        <v>50002.141098970584</v>
      </c>
      <c r="H65" s="20">
        <f>SUM(H53:H64)</f>
        <v>4.1149223703050613E-4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/>
      <c r="D67" s="6" t="s">
        <v>3</v>
      </c>
      <c r="E67" s="26"/>
      <c r="F67" s="6" t="s">
        <v>27</v>
      </c>
      <c r="G67" s="6"/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>
        <v>2747571</v>
      </c>
      <c r="D70" s="12">
        <f t="shared" si="8"/>
        <v>2.2434548606145973E-4</v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842827</v>
      </c>
      <c r="D72" s="12">
        <f t="shared" si="8"/>
        <v>6.8818761364391283E-5</v>
      </c>
      <c r="E72" s="11"/>
      <c r="F72" s="8" t="s">
        <v>9</v>
      </c>
      <c r="G72" s="9">
        <v>1039701</v>
      </c>
      <c r="H72" s="12">
        <f t="shared" si="9"/>
        <v>1.6275905444765635E-4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17285814</v>
      </c>
      <c r="D76" s="12">
        <f t="shared" si="8"/>
        <v>1.4114264358584311E-3</v>
      </c>
      <c r="E76" s="11"/>
      <c r="F76" s="8" t="s">
        <v>13</v>
      </c>
      <c r="G76" s="15">
        <v>3346019</v>
      </c>
      <c r="H76" s="12">
        <f t="shared" si="9"/>
        <v>5.237995237129643E-4</v>
      </c>
    </row>
    <row r="77" spans="2:8" x14ac:dyDescent="0.2">
      <c r="B77" s="8" t="s">
        <v>14</v>
      </c>
      <c r="C77" s="9">
        <v>48881763</v>
      </c>
      <c r="D77" s="12">
        <f t="shared" si="8"/>
        <v>3.9913082791222061E-3</v>
      </c>
      <c r="E77" s="11"/>
      <c r="F77" s="8" t="s">
        <v>14</v>
      </c>
      <c r="G77" s="9">
        <v>24710182</v>
      </c>
      <c r="H77" s="12">
        <f t="shared" si="9"/>
        <v>3.8682331339005139E-3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-12312</v>
      </c>
      <c r="D79" s="12">
        <f t="shared" si="8"/>
        <v>-1.0053030929459847E-6</v>
      </c>
      <c r="E79" s="11"/>
      <c r="F79" s="8" t="s">
        <v>16</v>
      </c>
      <c r="G79" s="15">
        <v>-12312</v>
      </c>
      <c r="H79" s="12">
        <f t="shared" si="9"/>
        <v>-1.9273709252559584E-6</v>
      </c>
    </row>
    <row r="80" spans="2:8" x14ac:dyDescent="0.2">
      <c r="B80" s="18" t="s">
        <v>17</v>
      </c>
      <c r="C80" s="19">
        <f>SUM(C68:C79)</f>
        <v>69745663</v>
      </c>
      <c r="D80" s="20">
        <f>SUM(D68:D79)</f>
        <v>5.6948936593135425E-3</v>
      </c>
      <c r="E80" s="21"/>
      <c r="F80" s="18" t="s">
        <v>17</v>
      </c>
      <c r="G80" s="19">
        <f>SUM(G68:G79)</f>
        <v>29083590</v>
      </c>
      <c r="H80" s="20">
        <f>SUM(H68:H79)</f>
        <v>4.5528643411358784E-3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23961453192.999996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17400167123.000099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12247052741.000099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4962444985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6387976407.9998999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60821374371.000099</v>
      </c>
      <c r="D111" s="51">
        <v>4529753469</v>
      </c>
      <c r="F111" s="45">
        <f>+C111+D111</f>
        <v>65351127840.000099</v>
      </c>
      <c r="G111" s="5"/>
      <c r="H111" s="5"/>
    </row>
    <row r="112" spans="2:8" x14ac:dyDescent="0.2">
      <c r="B112" s="35" t="s">
        <v>18</v>
      </c>
      <c r="C112" s="48">
        <v>36965684.213</v>
      </c>
      <c r="D112" s="53"/>
      <c r="F112" s="45">
        <f>+C112+D112</f>
        <v>36965684.213</v>
      </c>
      <c r="H112" s="17"/>
    </row>
    <row r="113" spans="1:13" x14ac:dyDescent="0.2">
      <c r="B113" s="35" t="s">
        <v>4</v>
      </c>
      <c r="C113" s="45">
        <v>9635398371.0000992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80203479906</v>
      </c>
      <c r="D114" s="46"/>
      <c r="F114" s="45"/>
      <c r="H114" s="17"/>
    </row>
    <row r="115" spans="1:13" x14ac:dyDescent="0.2">
      <c r="B115" s="35" t="s">
        <v>25</v>
      </c>
      <c r="C115" s="48">
        <v>121514178.39570001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51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43011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5199925</v>
      </c>
      <c r="D7" s="10">
        <f>+IF(C7/$F$111=0,"",C7/$F$111)</f>
        <v>7.644831689682303E-5</v>
      </c>
      <c r="E7" s="11"/>
      <c r="F7" s="8" t="s">
        <v>5</v>
      </c>
      <c r="G7" s="9">
        <v>915124</v>
      </c>
      <c r="H7" s="12">
        <f>+IF(G7/$C$113=0,"",G7/$C$113)</f>
        <v>9.4997283275079052E-5</v>
      </c>
      <c r="I7" s="13"/>
    </row>
    <row r="8" spans="1:9" x14ac:dyDescent="0.2">
      <c r="B8" s="8" t="s">
        <v>6</v>
      </c>
      <c r="C8" s="9">
        <v>148287</v>
      </c>
      <c r="D8" s="10">
        <f>+IF(C8/$F$111=0,"",C8/$F$111)</f>
        <v>2.1800875142774553E-6</v>
      </c>
      <c r="E8" s="11"/>
      <c r="F8" s="8" t="s">
        <v>6</v>
      </c>
      <c r="G8" s="9">
        <v>139877</v>
      </c>
      <c r="H8" s="12">
        <f>+IF(G8/$C$113=0,"",G8/$C$113)</f>
        <v>1.4520365538078154E-5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-102020</v>
      </c>
      <c r="H11" s="12">
        <f t="shared" si="0"/>
        <v>-1.0590502314138374E-5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-8105101</v>
      </c>
      <c r="H14" s="12">
        <f t="shared" si="0"/>
        <v>-8.4137513131567578E-4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-84367</v>
      </c>
      <c r="D18" s="10">
        <f>+IF(C18/$F$111=0,"",C18/$F$111)</f>
        <v>-1.2403477264834143E-6</v>
      </c>
      <c r="E18" s="17"/>
      <c r="F18" s="8" t="s">
        <v>16</v>
      </c>
      <c r="G18" s="15">
        <v>-30723</v>
      </c>
      <c r="H18" s="12">
        <f t="shared" si="0"/>
        <v>-3.1892962418866228E-6</v>
      </c>
    </row>
    <row r="19" spans="2:9" x14ac:dyDescent="0.2">
      <c r="B19" s="18" t="s">
        <v>17</v>
      </c>
      <c r="C19" s="19">
        <f>SUM(C7:C18)</f>
        <v>5263845</v>
      </c>
      <c r="D19" s="20">
        <f>SUM(D7:D18)</f>
        <v>7.7388056684617068E-5</v>
      </c>
      <c r="E19" s="21"/>
      <c r="F19" s="18" t="s">
        <v>17</v>
      </c>
      <c r="G19" s="19">
        <f>SUM(G7:G18)</f>
        <v>-7182843</v>
      </c>
      <c r="H19" s="20">
        <f>SUM(H7:H18)</f>
        <v>-7.4563728105854358E-4</v>
      </c>
    </row>
    <row r="21" spans="2:9" ht="25.5" x14ac:dyDescent="0.2">
      <c r="B21" s="6" t="s">
        <v>18</v>
      </c>
      <c r="C21" s="6" t="s">
        <v>2</v>
      </c>
      <c r="D21" s="6" t="s">
        <v>3</v>
      </c>
      <c r="E21" s="22"/>
      <c r="F21" s="6" t="s">
        <v>19</v>
      </c>
      <c r="G21" s="6" t="s">
        <v>2</v>
      </c>
      <c r="H21" s="6" t="s">
        <v>3</v>
      </c>
    </row>
    <row r="22" spans="2:9" x14ac:dyDescent="0.2">
      <c r="B22" s="8" t="s">
        <v>43</v>
      </c>
      <c r="C22" s="14">
        <v>2720.8505999999998</v>
      </c>
      <c r="D22" s="12">
        <f>+IF(C22/$F$112=0,"",C22/$F$112)</f>
        <v>7.5613116832268302E-5</v>
      </c>
      <c r="E22" s="17"/>
      <c r="F22" s="8" t="s">
        <v>5</v>
      </c>
      <c r="G22" s="9">
        <v>1724016</v>
      </c>
      <c r="H22" s="12">
        <f t="shared" ref="H22:H33" si="2">+IF(G22/$C$106=0,"",G22/$C$106)</f>
        <v>7.2018394850909077E-5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385480</v>
      </c>
      <c r="H23" s="12">
        <f t="shared" si="2"/>
        <v>1.6102896288159989E-5</v>
      </c>
      <c r="I23" s="23"/>
    </row>
    <row r="24" spans="2:9" x14ac:dyDescent="0.2">
      <c r="B24" s="8" t="s">
        <v>45</v>
      </c>
      <c r="C24" s="14">
        <v>-2027.17</v>
      </c>
      <c r="D24" s="12">
        <f>+IF(C24/$F$112=0,"",C24/$F$112)</f>
        <v>-5.6335559934407775E-5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15.59</v>
      </c>
      <c r="D26" s="12">
        <f>+IF(C26/$F$112=0,"",C26/$F$112)</f>
        <v>4.3324998859366369E-7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-166688.38</v>
      </c>
      <c r="D27" s="12">
        <f t="shared" ref="D27:D33" si="3">+IF(C27/$F$112=0,"",C27/$F$112)</f>
        <v>-4.6323116570683954E-3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-1267757</v>
      </c>
      <c r="H29" s="12">
        <f t="shared" si="2"/>
        <v>-5.2958803283150463E-5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168203.62599999999</v>
      </c>
      <c r="D31" s="12">
        <f t="shared" si="3"/>
        <v>4.674420721354257E-3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>
        <v>-7.4892000000000003</v>
      </c>
      <c r="D32" s="12">
        <f t="shared" si="3"/>
        <v>-2.0812673602153085E-7</v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-56.01</v>
      </c>
      <c r="D33" s="12">
        <f t="shared" si="3"/>
        <v>-1.5565318705023158E-6</v>
      </c>
      <c r="E33" s="17"/>
      <c r="F33" s="8" t="s">
        <v>16</v>
      </c>
      <c r="G33" s="15">
        <v>-44016</v>
      </c>
      <c r="H33" s="12">
        <f t="shared" si="2"/>
        <v>-1.8387078007150826E-6</v>
      </c>
    </row>
    <row r="34" spans="1:13" x14ac:dyDescent="0.2">
      <c r="B34" s="18" t="s">
        <v>17</v>
      </c>
      <c r="C34" s="19">
        <f>SUM(C22:C33)</f>
        <v>2161.0173999999733</v>
      </c>
      <c r="D34" s="20">
        <f>SUM(D22:D33)</f>
        <v>6.0055212565792144E-5</v>
      </c>
      <c r="E34" s="21"/>
      <c r="F34" s="18" t="s">
        <v>17</v>
      </c>
      <c r="G34" s="19">
        <f>SUM(G22:G33)</f>
        <v>797723</v>
      </c>
      <c r="H34" s="20">
        <f>SUM(H22:H33)</f>
        <v>3.3323780055203515E-5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 t="s">
        <v>2</v>
      </c>
      <c r="D36" s="6" t="s">
        <v>3</v>
      </c>
      <c r="E36" s="26"/>
      <c r="F36" s="6" t="s">
        <v>22</v>
      </c>
      <c r="G36" s="6" t="s">
        <v>2</v>
      </c>
      <c r="H36" s="6" t="s">
        <v>3</v>
      </c>
    </row>
    <row r="37" spans="1:13" x14ac:dyDescent="0.2">
      <c r="B37" s="8" t="s">
        <v>5</v>
      </c>
      <c r="C37" s="9">
        <v>3802767</v>
      </c>
      <c r="D37" s="12">
        <f t="shared" ref="D37:D48" si="4">+IF(C37/$C$114=0,"",C37/$C$114)</f>
        <v>4.770765482463774E-5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2686834</v>
      </c>
      <c r="D38" s="12">
        <f t="shared" si="4"/>
        <v>3.3707705216517528E-5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-77852773</v>
      </c>
      <c r="D44" s="12">
        <f t="shared" si="4"/>
        <v>-9.7670281177491994E-4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-12366418</v>
      </c>
      <c r="D45" s="12">
        <f t="shared" si="4"/>
        <v>-1.5514303173483598E-4</v>
      </c>
      <c r="E45" s="11"/>
      <c r="F45" s="8" t="s">
        <v>13</v>
      </c>
      <c r="G45" s="15">
        <v>44783540</v>
      </c>
      <c r="H45" s="12">
        <f t="shared" si="5"/>
        <v>8.9942912702766654E-3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-355062</v>
      </c>
      <c r="D47" s="12">
        <f t="shared" si="4"/>
        <v>-4.4544341889328281E-6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-73396</v>
      </c>
      <c r="D48" s="12">
        <f t="shared" si="4"/>
        <v>-9.2079031755274815E-7</v>
      </c>
      <c r="E48" s="11"/>
      <c r="F48" s="8" t="s">
        <v>16</v>
      </c>
      <c r="G48" s="15">
        <v>-40924</v>
      </c>
      <c r="H48" s="12">
        <f t="shared" si="5"/>
        <v>-8.2191442647187391E-6</v>
      </c>
    </row>
    <row r="49" spans="2:9" x14ac:dyDescent="0.2">
      <c r="B49" s="18" t="s">
        <v>17</v>
      </c>
      <c r="C49" s="19">
        <f>SUM(C37:C48)</f>
        <v>-84158048</v>
      </c>
      <c r="D49" s="20">
        <f>SUM(D37:D48)</f>
        <v>-1.055805707975086E-3</v>
      </c>
      <c r="E49" s="21"/>
      <c r="F49" s="18" t="s">
        <v>17</v>
      </c>
      <c r="G49" s="19">
        <f>SUM(G37:G48)</f>
        <v>44742616</v>
      </c>
      <c r="H49" s="20">
        <f>SUM(H37:H48)</f>
        <v>8.9860721260119469E-3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 t="s">
        <v>2</v>
      </c>
      <c r="D52" s="6" t="s">
        <v>3</v>
      </c>
      <c r="E52" s="26"/>
      <c r="F52" s="6" t="s">
        <v>25</v>
      </c>
      <c r="G52" s="6" t="s">
        <v>2</v>
      </c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15791.071099999999</v>
      </c>
      <c r="H53" s="12">
        <f t="shared" ref="H53:H64" si="7">+IF(G53/$C$115=0,"",G53/$C$115)</f>
        <v>1.2990075427562055E-4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80557.718800000002</v>
      </c>
      <c r="H60" s="12">
        <f t="shared" si="7"/>
        <v>6.6268515723694871E-4</v>
      </c>
    </row>
    <row r="61" spans="2:9" x14ac:dyDescent="0.2">
      <c r="B61" s="8" t="s">
        <v>13</v>
      </c>
      <c r="C61" s="15">
        <v>172254951</v>
      </c>
      <c r="D61" s="12">
        <f t="shared" si="6"/>
        <v>9.7629439584661411E-3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-1699533</v>
      </c>
      <c r="D63" s="12">
        <f t="shared" si="6"/>
        <v>-9.6324926153001182E-5</v>
      </c>
      <c r="E63" s="11"/>
      <c r="F63" s="8" t="s">
        <v>15</v>
      </c>
      <c r="G63" s="32">
        <v>740.67</v>
      </c>
      <c r="H63" s="12">
        <f t="shared" si="7"/>
        <v>6.0929110546100867E-6</v>
      </c>
    </row>
    <row r="64" spans="2:9" x14ac:dyDescent="0.2">
      <c r="B64" s="8" t="s">
        <v>16</v>
      </c>
      <c r="C64" s="15">
        <v>-145017</v>
      </c>
      <c r="D64" s="12">
        <f t="shared" si="6"/>
        <v>-8.2191706874357672E-6</v>
      </c>
      <c r="E64" s="11"/>
      <c r="F64" s="8" t="s">
        <v>16</v>
      </c>
      <c r="G64" s="32">
        <v>-41.9</v>
      </c>
      <c r="H64" s="12">
        <f t="shared" si="7"/>
        <v>-3.4467843059414132E-7</v>
      </c>
    </row>
    <row r="65" spans="2:8" x14ac:dyDescent="0.2">
      <c r="B65" s="18" t="s">
        <v>17</v>
      </c>
      <c r="C65" s="19">
        <f>SUM(C53:C64)</f>
        <v>170410401</v>
      </c>
      <c r="D65" s="20">
        <f>SUM(D53:D64)</f>
        <v>9.6583998616257046E-3</v>
      </c>
      <c r="E65" s="21"/>
      <c r="F65" s="18" t="s">
        <v>17</v>
      </c>
      <c r="G65" s="57">
        <f>SUM(G53:G64)</f>
        <v>97047.559900000007</v>
      </c>
      <c r="H65" s="20">
        <f>SUM(H53:H64)</f>
        <v>7.983341441365852E-4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 t="s">
        <v>2</v>
      </c>
      <c r="D67" s="6" t="s">
        <v>3</v>
      </c>
      <c r="E67" s="26"/>
      <c r="F67" s="6" t="s">
        <v>27</v>
      </c>
      <c r="G67" s="6" t="s">
        <v>2</v>
      </c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-1539217</v>
      </c>
      <c r="D72" s="12">
        <f t="shared" si="8"/>
        <v>-1.2511115829290799E-4</v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56145192</v>
      </c>
      <c r="D76" s="12">
        <f t="shared" si="8"/>
        <v>4.5636125404655168E-3</v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>
        <v>-89685158</v>
      </c>
      <c r="D77" s="12">
        <f t="shared" si="8"/>
        <v>-7.2898194335577525E-3</v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-12314</v>
      </c>
      <c r="D79" s="12">
        <f t="shared" si="8"/>
        <v>-1.0009107248808119E-6</v>
      </c>
      <c r="E79" s="11"/>
      <c r="F79" s="8" t="s">
        <v>16</v>
      </c>
      <c r="G79" s="15"/>
      <c r="H79" s="12" t="str">
        <f t="shared" si="9"/>
        <v/>
      </c>
    </row>
    <row r="80" spans="2:8" x14ac:dyDescent="0.2">
      <c r="B80" s="18" t="s">
        <v>17</v>
      </c>
      <c r="C80" s="19">
        <f>SUM(C68:C79)</f>
        <v>-35091497</v>
      </c>
      <c r="D80" s="20">
        <f>SUM(D68:D79)</f>
        <v>-2.8523189621100244E-3</v>
      </c>
      <c r="E80" s="21"/>
      <c r="F80" s="18" t="s">
        <v>17</v>
      </c>
      <c r="G80" s="19">
        <f>SUM(G68:G79)</f>
        <v>0</v>
      </c>
      <c r="H80" s="20">
        <f>SUM(H68:H79)</f>
        <v>0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23938550748.999901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17643750874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12302795538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4979107153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6416813422.9999008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59745570465.000107</v>
      </c>
      <c r="D111" s="51">
        <v>8273258609</v>
      </c>
      <c r="F111" s="45">
        <f>+C111+D111</f>
        <v>68018829074.000107</v>
      </c>
      <c r="G111" s="5"/>
      <c r="H111" s="5"/>
    </row>
    <row r="112" spans="2:8" x14ac:dyDescent="0.2">
      <c r="B112" s="35" t="s">
        <v>18</v>
      </c>
      <c r="C112" s="48">
        <v>35915316.904100001</v>
      </c>
      <c r="D112" s="53">
        <v>68527.09</v>
      </c>
      <c r="F112" s="45">
        <f>+C112+D112</f>
        <v>35983843.994100004</v>
      </c>
      <c r="H112" s="17"/>
    </row>
    <row r="113" spans="1:13" x14ac:dyDescent="0.2">
      <c r="B113" s="35" t="s">
        <v>4</v>
      </c>
      <c r="C113" s="45">
        <v>9633159691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79709786909</v>
      </c>
      <c r="D114" s="46"/>
      <c r="F114" s="45"/>
      <c r="H114" s="17"/>
    </row>
    <row r="115" spans="1:13" x14ac:dyDescent="0.2">
      <c r="B115" s="35" t="s">
        <v>25</v>
      </c>
      <c r="C115" s="48">
        <v>121562582.0501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52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43012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5164092</v>
      </c>
      <c r="D7" s="10">
        <f>+IF(C7/$F$111=0,"",C7/$F$111)</f>
        <v>7.5396283592156263E-5</v>
      </c>
      <c r="E7" s="11"/>
      <c r="F7" s="8" t="s">
        <v>5</v>
      </c>
      <c r="G7" s="9">
        <v>915136</v>
      </c>
      <c r="H7" s="12">
        <f>+IF(G7/$C$113=0,"",G7/$C$113)</f>
        <v>9.50709141129675E-5</v>
      </c>
      <c r="I7" s="13"/>
    </row>
    <row r="8" spans="1:9" x14ac:dyDescent="0.2">
      <c r="B8" s="8" t="s">
        <v>6</v>
      </c>
      <c r="C8" s="9">
        <v>147462</v>
      </c>
      <c r="D8" s="10">
        <f>+IF(C8/$F$111=0,"",C8/$F$111)</f>
        <v>2.1529606310395992E-6</v>
      </c>
      <c r="E8" s="11"/>
      <c r="F8" s="8" t="s">
        <v>6</v>
      </c>
      <c r="G8" s="9">
        <v>140460</v>
      </c>
      <c r="H8" s="12">
        <f>+IF(G8/$C$113=0,"",G8/$C$113)</f>
        <v>1.4591995721190528E-5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-108664</v>
      </c>
      <c r="H11" s="12">
        <f t="shared" si="0"/>
        <v>-1.1288798398458263E-5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-1441675</v>
      </c>
      <c r="H14" s="12">
        <f t="shared" si="0"/>
        <v>-1.4977157504874949E-4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-81798</v>
      </c>
      <c r="D18" s="10">
        <f>+IF(C18/$F$111=0,"",C18/$F$111)</f>
        <v>-1.1942593596843738E-6</v>
      </c>
      <c r="E18" s="17"/>
      <c r="F18" s="8" t="s">
        <v>16</v>
      </c>
      <c r="G18" s="15">
        <v>-30694</v>
      </c>
      <c r="H18" s="12">
        <f t="shared" si="0"/>
        <v>-3.1887136313984202E-6</v>
      </c>
    </row>
    <row r="19" spans="2:9" x14ac:dyDescent="0.2">
      <c r="B19" s="18" t="s">
        <v>17</v>
      </c>
      <c r="C19" s="19">
        <f>SUM(C7:C18)</f>
        <v>5229756</v>
      </c>
      <c r="D19" s="20">
        <f>SUM(D7:D18)</f>
        <v>7.6354984863511485E-5</v>
      </c>
      <c r="E19" s="21"/>
      <c r="F19" s="18" t="s">
        <v>17</v>
      </c>
      <c r="G19" s="19">
        <f>SUM(G7:G18)</f>
        <v>-525437</v>
      </c>
      <c r="H19" s="20">
        <f>SUM(H7:H18)</f>
        <v>-5.4586177244448138E-5</v>
      </c>
    </row>
    <row r="21" spans="2:9" ht="25.5" x14ac:dyDescent="0.2">
      <c r="B21" s="6" t="s">
        <v>18</v>
      </c>
      <c r="C21" s="6" t="s">
        <v>2</v>
      </c>
      <c r="D21" s="6" t="s">
        <v>3</v>
      </c>
      <c r="E21" s="22"/>
      <c r="F21" s="6" t="s">
        <v>19</v>
      </c>
      <c r="G21" s="6" t="s">
        <v>2</v>
      </c>
      <c r="H21" s="6" t="s">
        <v>3</v>
      </c>
    </row>
    <row r="22" spans="2:9" x14ac:dyDescent="0.2">
      <c r="B22" s="8" t="s">
        <v>43</v>
      </c>
      <c r="C22" s="14">
        <v>2744.6608000000001</v>
      </c>
      <c r="D22" s="12">
        <f>+IF(C22/$F$112=0,"",C22/$F$112)</f>
        <v>7.6527382440533094E-5</v>
      </c>
      <c r="E22" s="17"/>
      <c r="F22" s="8" t="s">
        <v>5</v>
      </c>
      <c r="G22" s="9">
        <v>1777915</v>
      </c>
      <c r="H22" s="12">
        <f t="shared" ref="H22:H33" si="2">+IF(G22/$C$106=0,"",G22/$C$106)</f>
        <v>7.8277874789605252E-5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387574</v>
      </c>
      <c r="H23" s="12">
        <f t="shared" si="2"/>
        <v>1.706407170405023E-5</v>
      </c>
      <c r="I23" s="23"/>
    </row>
    <row r="24" spans="2:9" x14ac:dyDescent="0.2">
      <c r="B24" s="8" t="s">
        <v>45</v>
      </c>
      <c r="C24" s="14">
        <v>-850.76</v>
      </c>
      <c r="D24" s="12">
        <f>+IF(C24/$F$112=0,"",C24/$F$112)</f>
        <v>-2.3721122801443417E-5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17.133931850254612</v>
      </c>
      <c r="D26" s="12">
        <f>+IF(C26/$F$112=0,"",C26/$F$112)</f>
        <v>4.7773296992271878E-7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-184604.76</v>
      </c>
      <c r="D27" s="12">
        <f t="shared" ref="D27:D33" si="3">+IF(C27/$F$112=0,"",C27/$F$112)</f>
        <v>-5.1472003640168672E-3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-2949819</v>
      </c>
      <c r="H29" s="12">
        <f t="shared" si="2"/>
        <v>-1.2987435413616431E-4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184929.7739</v>
      </c>
      <c r="D31" s="12">
        <f t="shared" si="3"/>
        <v>5.1562624903910212E-3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-1774500</v>
      </c>
      <c r="H32" s="12">
        <f t="shared" si="2"/>
        <v>-7.8127519490051283E-5</v>
      </c>
    </row>
    <row r="33" spans="1:13" x14ac:dyDescent="0.2">
      <c r="B33" s="8" t="s">
        <v>16</v>
      </c>
      <c r="C33" s="14">
        <v>-50.76</v>
      </c>
      <c r="D33" s="12">
        <f t="shared" si="3"/>
        <v>-1.4153041908426205E-6</v>
      </c>
      <c r="E33" s="17"/>
      <c r="F33" s="8" t="s">
        <v>16</v>
      </c>
      <c r="G33" s="15">
        <v>-60860</v>
      </c>
      <c r="H33" s="12">
        <f t="shared" si="2"/>
        <v>-2.6795383692107753E-6</v>
      </c>
    </row>
    <row r="34" spans="1:13" x14ac:dyDescent="0.2">
      <c r="B34" s="18" t="s">
        <v>17</v>
      </c>
      <c r="C34" s="19">
        <f>SUM(C22:C33)</f>
        <v>2185.2886318502515</v>
      </c>
      <c r="D34" s="20">
        <f>SUM(D22:D33)</f>
        <v>6.0930814792324032E-5</v>
      </c>
      <c r="E34" s="21"/>
      <c r="F34" s="18" t="s">
        <v>17</v>
      </c>
      <c r="G34" s="19">
        <f>SUM(G22:G33)</f>
        <v>-2619690</v>
      </c>
      <c r="H34" s="20">
        <f>SUM(H22:H33)</f>
        <v>-1.1533946550177088E-4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 t="s">
        <v>2</v>
      </c>
      <c r="D36" s="6" t="s">
        <v>3</v>
      </c>
      <c r="E36" s="26"/>
      <c r="F36" s="6" t="s">
        <v>22</v>
      </c>
      <c r="G36" s="6" t="s">
        <v>2</v>
      </c>
      <c r="H36" s="6" t="s">
        <v>3</v>
      </c>
    </row>
    <row r="37" spans="1:13" x14ac:dyDescent="0.2">
      <c r="B37" s="8" t="s">
        <v>5</v>
      </c>
      <c r="C37" s="9">
        <v>4214247</v>
      </c>
      <c r="D37" s="12">
        <f t="shared" ref="D37:D48" si="4">+IF(C37/$C$114=0,"",C37/$C$114)</f>
        <v>5.399463718754803E-5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2673081</v>
      </c>
      <c r="D38" s="12">
        <f t="shared" si="4"/>
        <v>3.4248595008296399E-5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-32802029</v>
      </c>
      <c r="D44" s="12">
        <f t="shared" si="4"/>
        <v>-4.2027286366234083E-4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-19339407</v>
      </c>
      <c r="D45" s="12">
        <f t="shared" si="4"/>
        <v>-2.4778430509349043E-4</v>
      </c>
      <c r="E45" s="11"/>
      <c r="F45" s="8" t="s">
        <v>13</v>
      </c>
      <c r="G45" s="15">
        <v>26005161</v>
      </c>
      <c r="H45" s="12">
        <f t="shared" si="5"/>
        <v>5.1627786873438093E-3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-3072337</v>
      </c>
      <c r="D47" s="12">
        <f t="shared" si="4"/>
        <v>-3.9364024375619122E-5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-132568</v>
      </c>
      <c r="D48" s="12">
        <f t="shared" si="4"/>
        <v>-1.6985148385177393E-6</v>
      </c>
      <c r="E48" s="11"/>
      <c r="F48" s="8" t="s">
        <v>16</v>
      </c>
      <c r="G48" s="15">
        <v>-41400</v>
      </c>
      <c r="H48" s="12">
        <f t="shared" si="5"/>
        <v>-8.2191007260456382E-6</v>
      </c>
    </row>
    <row r="49" spans="2:9" x14ac:dyDescent="0.2">
      <c r="B49" s="18" t="s">
        <v>17</v>
      </c>
      <c r="C49" s="19">
        <f>SUM(C37:C48)</f>
        <v>-48459013</v>
      </c>
      <c r="D49" s="20">
        <f>SUM(D37:D48)</f>
        <v>-6.2087647577412368E-4</v>
      </c>
      <c r="E49" s="21"/>
      <c r="F49" s="18" t="s">
        <v>17</v>
      </c>
      <c r="G49" s="19">
        <f>SUM(G37:G48)</f>
        <v>25963761</v>
      </c>
      <c r="H49" s="20">
        <f>SUM(H37:H48)</f>
        <v>5.1545595866177634E-3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 t="s">
        <v>2</v>
      </c>
      <c r="D52" s="6" t="s">
        <v>3</v>
      </c>
      <c r="E52" s="26"/>
      <c r="F52" s="6" t="s">
        <v>25</v>
      </c>
      <c r="G52" s="6" t="s">
        <v>2</v>
      </c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15738.368899999999</v>
      </c>
      <c r="H53" s="12">
        <f t="shared" ref="H53:H64" si="7">+IF(G53/$C$115=0,"",G53/$C$115)</f>
        <v>1.2936564005237036E-4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91176.063399999999</v>
      </c>
      <c r="H60" s="12">
        <f t="shared" si="7"/>
        <v>7.4944550316116297E-4</v>
      </c>
    </row>
    <row r="61" spans="2:9" x14ac:dyDescent="0.2">
      <c r="B61" s="8" t="s">
        <v>13</v>
      </c>
      <c r="C61" s="15">
        <v>106341434</v>
      </c>
      <c r="D61" s="12">
        <f t="shared" si="6"/>
        <v>5.9157600792629226E-3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>
        <v>-16449.489999999998</v>
      </c>
      <c r="H63" s="12">
        <f t="shared" si="7"/>
        <v>-1.3521088595051711E-4</v>
      </c>
    </row>
    <row r="64" spans="2:9" x14ac:dyDescent="0.2">
      <c r="B64" s="8" t="s">
        <v>16</v>
      </c>
      <c r="C64" s="15">
        <v>-147748</v>
      </c>
      <c r="D64" s="12">
        <f t="shared" si="6"/>
        <v>-8.2192019358224782E-6</v>
      </c>
      <c r="E64" s="11"/>
      <c r="F64" s="8" t="s">
        <v>16</v>
      </c>
      <c r="G64" s="32">
        <v>-42.06</v>
      </c>
      <c r="H64" s="12">
        <f t="shared" si="7"/>
        <v>-3.4572317215176582E-7</v>
      </c>
    </row>
    <row r="65" spans="2:8" x14ac:dyDescent="0.2">
      <c r="B65" s="18" t="s">
        <v>17</v>
      </c>
      <c r="C65" s="19">
        <f>SUM(C53:C64)</f>
        <v>106193686</v>
      </c>
      <c r="D65" s="20">
        <f>SUM(D53:D64)</f>
        <v>5.9075408773271E-3</v>
      </c>
      <c r="E65" s="21"/>
      <c r="F65" s="18" t="s">
        <v>17</v>
      </c>
      <c r="G65" s="57">
        <f>SUM(G53:G64)</f>
        <v>90422.882299999997</v>
      </c>
      <c r="H65" s="20">
        <f>SUM(H53:H64)</f>
        <v>7.4325453409086447E-4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 t="s">
        <v>2</v>
      </c>
      <c r="D67" s="6" t="s">
        <v>3</v>
      </c>
      <c r="E67" s="26"/>
      <c r="F67" s="6" t="s">
        <v>27</v>
      </c>
      <c r="G67" s="6" t="s">
        <v>2</v>
      </c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-1666129</v>
      </c>
      <c r="D72" s="12">
        <f t="shared" si="8"/>
        <v>-1.3582132703544007E-4</v>
      </c>
      <c r="E72" s="11"/>
      <c r="F72" s="8" t="s">
        <v>9</v>
      </c>
      <c r="G72" s="9">
        <v>-2055316</v>
      </c>
      <c r="H72" s="12">
        <f t="shared" si="9"/>
        <v>-3.242020613132494E-4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-2572212</v>
      </c>
      <c r="D76" s="12">
        <f t="shared" si="8"/>
        <v>-2.0968439253892307E-4</v>
      </c>
      <c r="E76" s="11"/>
      <c r="F76" s="8" t="s">
        <v>13</v>
      </c>
      <c r="G76" s="15">
        <v>2993388</v>
      </c>
      <c r="H76" s="12">
        <f t="shared" si="9"/>
        <v>4.7217194821153773E-4</v>
      </c>
    </row>
    <row r="77" spans="2:8" x14ac:dyDescent="0.2">
      <c r="B77" s="8" t="s">
        <v>14</v>
      </c>
      <c r="C77" s="9">
        <v>-97059202</v>
      </c>
      <c r="D77" s="12">
        <f t="shared" si="8"/>
        <v>-7.9121782386843021E-3</v>
      </c>
      <c r="E77" s="11"/>
      <c r="F77" s="8" t="s">
        <v>14</v>
      </c>
      <c r="G77" s="9">
        <v>-48911820</v>
      </c>
      <c r="H77" s="12">
        <f t="shared" si="9"/>
        <v>-7.7152675630329437E-3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-12311</v>
      </c>
      <c r="D79" s="12">
        <f t="shared" si="8"/>
        <v>-1.003581569694365E-6</v>
      </c>
      <c r="E79" s="11"/>
      <c r="F79" s="8" t="s">
        <v>16</v>
      </c>
      <c r="G79" s="15">
        <v>-12311</v>
      </c>
      <c r="H79" s="12">
        <f t="shared" si="9"/>
        <v>-1.9419162682660053E-6</v>
      </c>
    </row>
    <row r="80" spans="2:8" x14ac:dyDescent="0.2">
      <c r="B80" s="18" t="s">
        <v>17</v>
      </c>
      <c r="C80" s="19">
        <f>SUM(C68:C79)</f>
        <v>-101309854</v>
      </c>
      <c r="D80" s="20">
        <f>SUM(D68:D79)</f>
        <v>-8.2586875398283598E-3</v>
      </c>
      <c r="E80" s="21"/>
      <c r="F80" s="18" t="s">
        <v>17</v>
      </c>
      <c r="G80" s="19">
        <f>SUM(G68:G79)</f>
        <v>-47986059</v>
      </c>
      <c r="H80" s="20">
        <f>SUM(H68:H79)</f>
        <v>-7.5692395924029212E-3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22712867521.999901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17975954497.000099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12267064653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5037047407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6339614226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60081919738.000107</v>
      </c>
      <c r="D111" s="51">
        <v>8410740032</v>
      </c>
      <c r="F111" s="45">
        <f>+C111+D111</f>
        <v>68492659770.000107</v>
      </c>
      <c r="G111" s="5"/>
      <c r="H111" s="5"/>
    </row>
    <row r="112" spans="2:8" x14ac:dyDescent="0.2">
      <c r="B112" s="35" t="s">
        <v>18</v>
      </c>
      <c r="C112" s="48">
        <v>35865081.392700002</v>
      </c>
      <c r="D112" s="53"/>
      <c r="F112" s="45">
        <f>+C112+D112</f>
        <v>35865081.392700002</v>
      </c>
      <c r="H112" s="17"/>
    </row>
    <row r="113" spans="1:13" x14ac:dyDescent="0.2">
      <c r="B113" s="35" t="s">
        <v>4</v>
      </c>
      <c r="C113" s="45">
        <v>9625825191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78049362298</v>
      </c>
      <c r="D114" s="46"/>
      <c r="F114" s="45"/>
      <c r="H114" s="17"/>
    </row>
    <row r="115" spans="1:13" x14ac:dyDescent="0.2">
      <c r="B115" s="35" t="s">
        <v>25</v>
      </c>
      <c r="C115" s="48">
        <v>121658029.85730001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53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43013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5203092</v>
      </c>
      <c r="D7" s="10">
        <f>+IF(C7/$F$111=0,"",C7/$F$111)</f>
        <v>7.698180657146851E-5</v>
      </c>
      <c r="E7" s="11"/>
      <c r="F7" s="8" t="s">
        <v>5</v>
      </c>
      <c r="G7" s="9">
        <v>880291</v>
      </c>
      <c r="H7" s="12">
        <f>+IF(G7/$C$113=0,"",G7/$C$113)</f>
        <v>9.2167460526741918E-5</v>
      </c>
      <c r="I7" s="13"/>
    </row>
    <row r="8" spans="1:9" x14ac:dyDescent="0.2">
      <c r="B8" s="8" t="s">
        <v>6</v>
      </c>
      <c r="C8" s="9">
        <v>148296</v>
      </c>
      <c r="D8" s="10">
        <f>+IF(C8/$F$111=0,"",C8/$F$111)</f>
        <v>2.1940980454165512E-6</v>
      </c>
      <c r="E8" s="11"/>
      <c r="F8" s="8" t="s">
        <v>6</v>
      </c>
      <c r="G8" s="9">
        <v>139640</v>
      </c>
      <c r="H8" s="12">
        <f>+IF(G8/$C$113=0,"",G8/$C$113)</f>
        <v>1.4620465491472981E-5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-42816</v>
      </c>
      <c r="H11" s="12">
        <f t="shared" si="0"/>
        <v>-4.4828834895653619E-6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/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-13587838</v>
      </c>
      <c r="H14" s="12">
        <f t="shared" si="0"/>
        <v>-1.4226619634970298E-3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>
        <v>1873</v>
      </c>
      <c r="H17" s="12">
        <f t="shared" si="0"/>
        <v>1.9610521244291673E-7</v>
      </c>
    </row>
    <row r="18" spans="2:9" x14ac:dyDescent="0.2">
      <c r="B18" s="8" t="s">
        <v>16</v>
      </c>
      <c r="C18" s="15">
        <v>-57065</v>
      </c>
      <c r="D18" s="10">
        <f>+IF(C18/$F$111=0,"",C18/$F$111)</f>
        <v>-8.4429927281717293E-7</v>
      </c>
      <c r="E18" s="17"/>
      <c r="F18" s="8" t="s">
        <v>16</v>
      </c>
      <c r="G18" s="15">
        <v>-30761</v>
      </c>
      <c r="H18" s="12">
        <f t="shared" si="0"/>
        <v>-3.2207113934631937E-6</v>
      </c>
    </row>
    <row r="19" spans="2:9" x14ac:dyDescent="0.2">
      <c r="B19" s="18" t="s">
        <v>17</v>
      </c>
      <c r="C19" s="19">
        <f>SUM(C7:C18)</f>
        <v>5294323</v>
      </c>
      <c r="D19" s="20">
        <f>SUM(D7:D18)</f>
        <v>7.8331605344067888E-5</v>
      </c>
      <c r="E19" s="21"/>
      <c r="F19" s="18" t="s">
        <v>17</v>
      </c>
      <c r="G19" s="19">
        <f>SUM(G7:G18)</f>
        <v>-12639611</v>
      </c>
      <c r="H19" s="20">
        <f>SUM(H7:H18)</f>
        <v>-1.3233815271494005E-3</v>
      </c>
    </row>
    <row r="21" spans="2:9" ht="25.5" x14ac:dyDescent="0.2">
      <c r="B21" s="6" t="s">
        <v>18</v>
      </c>
      <c r="C21" s="6" t="s">
        <v>2</v>
      </c>
      <c r="D21" s="6" t="s">
        <v>3</v>
      </c>
      <c r="E21" s="22"/>
      <c r="F21" s="6" t="s">
        <v>19</v>
      </c>
      <c r="G21" s="6" t="s">
        <v>2</v>
      </c>
      <c r="H21" s="6" t="s">
        <v>3</v>
      </c>
    </row>
    <row r="22" spans="2:9" x14ac:dyDescent="0.2">
      <c r="B22" s="8" t="s">
        <v>43</v>
      </c>
      <c r="C22" s="14">
        <v>2834.5991999999997</v>
      </c>
      <c r="D22" s="12">
        <f>+IF(C22/$F$112=0,"",C22/$F$112)</f>
        <v>7.6395447922042261E-5</v>
      </c>
      <c r="E22" s="17"/>
      <c r="F22" s="8" t="s">
        <v>5</v>
      </c>
      <c r="G22" s="9">
        <v>1638701</v>
      </c>
      <c r="H22" s="12">
        <f t="shared" ref="H22:H33" si="2">+IF(G22/$C$106=0,"",G22/$C$106)</f>
        <v>7.2221165983845834E-5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379977</v>
      </c>
      <c r="H23" s="12">
        <f t="shared" si="2"/>
        <v>1.674642414146558E-5</v>
      </c>
      <c r="I23" s="23"/>
    </row>
    <row r="24" spans="2:9" x14ac:dyDescent="0.2">
      <c r="B24" s="8" t="s">
        <v>45</v>
      </c>
      <c r="C24" s="14">
        <v>15.69</v>
      </c>
      <c r="D24" s="12">
        <f>+IF(C24/$F$112=0,"",C24/$F$112)</f>
        <v>4.2286210265523363E-7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-4597.9630589657154</v>
      </c>
      <c r="D26" s="12">
        <f>+IF(C26/$F$112=0,"",C26/$F$112)</f>
        <v>-1.2391996985629906E-4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-65124.880000000005</v>
      </c>
      <c r="D27" s="12">
        <f t="shared" ref="D27:D33" si="3">+IF(C27/$F$112=0,"",C27/$F$112)</f>
        <v>-1.7551844290611711E-3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-3819660</v>
      </c>
      <c r="H29" s="12">
        <f t="shared" si="2"/>
        <v>-1.6834083756698542E-4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69122.502999999997</v>
      </c>
      <c r="D31" s="12">
        <f t="shared" si="3"/>
        <v>1.8629245990677307E-3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>
        <v>333</v>
      </c>
      <c r="H32" s="12">
        <f t="shared" si="2"/>
        <v>1.4676044179274109E-8</v>
      </c>
    </row>
    <row r="33" spans="1:13" x14ac:dyDescent="0.2">
      <c r="B33" s="8" t="s">
        <v>16</v>
      </c>
      <c r="C33" s="14">
        <v>-58.05</v>
      </c>
      <c r="D33" s="12">
        <f t="shared" si="3"/>
        <v>-1.5645089266498606E-6</v>
      </c>
      <c r="E33" s="17"/>
      <c r="F33" s="8" t="s">
        <v>16</v>
      </c>
      <c r="G33" s="15">
        <v>-41067</v>
      </c>
      <c r="H33" s="12">
        <f t="shared" si="2"/>
        <v>-1.8099132321629126E-6</v>
      </c>
    </row>
    <row r="34" spans="1:13" x14ac:dyDescent="0.2">
      <c r="B34" s="18" t="s">
        <v>17</v>
      </c>
      <c r="C34" s="19">
        <f>SUM(C22:C33)</f>
        <v>2191.8991410342742</v>
      </c>
      <c r="D34" s="20">
        <f>SUM(D22:D33)</f>
        <v>5.9074001248308203E-5</v>
      </c>
      <c r="E34" s="21"/>
      <c r="F34" s="18" t="s">
        <v>17</v>
      </c>
      <c r="G34" s="19">
        <f>SUM(G22:G33)</f>
        <v>-1841716</v>
      </c>
      <c r="H34" s="20">
        <f>SUM(H22:H33)</f>
        <v>-8.1168484629657645E-5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 t="s">
        <v>2</v>
      </c>
      <c r="D36" s="6" t="s">
        <v>3</v>
      </c>
      <c r="E36" s="26"/>
      <c r="F36" s="6" t="s">
        <v>22</v>
      </c>
      <c r="G36" s="6" t="s">
        <v>2</v>
      </c>
      <c r="H36" s="6" t="s">
        <v>3</v>
      </c>
    </row>
    <row r="37" spans="1:13" x14ac:dyDescent="0.2">
      <c r="B37" s="8" t="s">
        <v>5</v>
      </c>
      <c r="C37" s="9">
        <v>3852914</v>
      </c>
      <c r="D37" s="12">
        <f t="shared" ref="D37:D48" si="4">+IF(C37/$C$114=0,"",C37/$C$114)</f>
        <v>4.9394117382776413E-5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2542045</v>
      </c>
      <c r="D38" s="12">
        <f t="shared" si="4"/>
        <v>3.2588858490560616E-5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-84427563</v>
      </c>
      <c r="D44" s="12">
        <f t="shared" si="4"/>
        <v>-1.0823560964931349E-3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-25265711</v>
      </c>
      <c r="D45" s="12">
        <f t="shared" si="4"/>
        <v>-3.2390484056828291E-4</v>
      </c>
      <c r="E45" s="11"/>
      <c r="F45" s="8" t="s">
        <v>13</v>
      </c>
      <c r="G45" s="15">
        <v>8415091</v>
      </c>
      <c r="H45" s="12">
        <f t="shared" si="5"/>
        <v>1.6615898967031119E-3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-68630</v>
      </c>
      <c r="D48" s="12">
        <f t="shared" si="4"/>
        <v>-8.7983232327011327E-7</v>
      </c>
      <c r="E48" s="11"/>
      <c r="F48" s="8" t="s">
        <v>16</v>
      </c>
      <c r="G48" s="15">
        <v>-41626</v>
      </c>
      <c r="H48" s="12">
        <f t="shared" si="5"/>
        <v>-8.2192029819004618E-6</v>
      </c>
    </row>
    <row r="49" spans="2:9" x14ac:dyDescent="0.2">
      <c r="B49" s="18" t="s">
        <v>17</v>
      </c>
      <c r="C49" s="19">
        <f>SUM(C37:C48)</f>
        <v>-103366945</v>
      </c>
      <c r="D49" s="20">
        <f>SUM(D37:D48)</f>
        <v>-1.325157793511351E-3</v>
      </c>
      <c r="E49" s="21"/>
      <c r="F49" s="18" t="s">
        <v>17</v>
      </c>
      <c r="G49" s="19">
        <f>SUM(G37:G48)</f>
        <v>8373465</v>
      </c>
      <c r="H49" s="20">
        <f>SUM(H37:H48)</f>
        <v>1.6533706937212115E-3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 t="s">
        <v>2</v>
      </c>
      <c r="D52" s="6" t="s">
        <v>3</v>
      </c>
      <c r="E52" s="26"/>
      <c r="F52" s="6" t="s">
        <v>25</v>
      </c>
      <c r="G52" s="6" t="s">
        <v>2</v>
      </c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15643.2201</v>
      </c>
      <c r="H53" s="12">
        <f t="shared" ref="H53:H64" si="7">+IF(G53/$C$115=0,"",G53/$C$115)</f>
        <v>1.2848972984638775E-4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-52567.8128</v>
      </c>
      <c r="H60" s="12">
        <f t="shared" si="7"/>
        <v>-4.3177964780329877E-4</v>
      </c>
    </row>
    <row r="61" spans="2:9" x14ac:dyDescent="0.2">
      <c r="B61" s="8" t="s">
        <v>13</v>
      </c>
      <c r="C61" s="15">
        <v>27036163</v>
      </c>
      <c r="D61" s="12">
        <f t="shared" si="6"/>
        <v>1.3465343110243666E-3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-165027</v>
      </c>
      <c r="D64" s="12">
        <f t="shared" si="6"/>
        <v>-8.2191588261033248E-6</v>
      </c>
      <c r="E64" s="11"/>
      <c r="F64" s="8" t="s">
        <v>16</v>
      </c>
      <c r="G64" s="32">
        <v>-42.23</v>
      </c>
      <c r="H64" s="12">
        <f t="shared" si="7"/>
        <v>-3.4686728542628858E-7</v>
      </c>
    </row>
    <row r="65" spans="2:8" x14ac:dyDescent="0.2">
      <c r="B65" s="18" t="s">
        <v>17</v>
      </c>
      <c r="C65" s="19">
        <f>SUM(C53:C64)</f>
        <v>26871136</v>
      </c>
      <c r="D65" s="20">
        <f>SUM(D53:D64)</f>
        <v>1.3383151521982632E-3</v>
      </c>
      <c r="E65" s="21"/>
      <c r="F65" s="18" t="s">
        <v>17</v>
      </c>
      <c r="G65" s="57">
        <f>SUM(G53:G64)</f>
        <v>-36966.822700000004</v>
      </c>
      <c r="H65" s="20">
        <f>SUM(H53:H64)</f>
        <v>-3.0363678524233728E-4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 t="s">
        <v>2</v>
      </c>
      <c r="D67" s="6" t="s">
        <v>3</v>
      </c>
      <c r="E67" s="26"/>
      <c r="F67" s="6" t="s">
        <v>27</v>
      </c>
      <c r="G67" s="6" t="s">
        <v>2</v>
      </c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-595511</v>
      </c>
      <c r="D72" s="12">
        <f t="shared" si="8"/>
        <v>-4.8952449109575065E-5</v>
      </c>
      <c r="E72" s="11"/>
      <c r="F72" s="8" t="s">
        <v>9</v>
      </c>
      <c r="G72" s="9">
        <v>-734615</v>
      </c>
      <c r="H72" s="12">
        <f t="shared" si="9"/>
        <v>-1.167651870962505E-4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39845359</v>
      </c>
      <c r="D76" s="12">
        <f t="shared" si="8"/>
        <v>3.2753851880154166E-3</v>
      </c>
      <c r="E76" s="11"/>
      <c r="F76" s="8" t="s">
        <v>13</v>
      </c>
      <c r="G76" s="15">
        <v>1179791</v>
      </c>
      <c r="H76" s="12">
        <f t="shared" si="9"/>
        <v>1.8752478080283206E-4</v>
      </c>
    </row>
    <row r="77" spans="2:8" x14ac:dyDescent="0.2">
      <c r="B77" s="8" t="s">
        <v>14</v>
      </c>
      <c r="C77" s="9">
        <v>-34806698</v>
      </c>
      <c r="D77" s="12">
        <f t="shared" si="8"/>
        <v>-2.861195028332555E-3</v>
      </c>
      <c r="E77" s="11"/>
      <c r="F77" s="8" t="s">
        <v>14</v>
      </c>
      <c r="G77" s="9">
        <v>-17485573</v>
      </c>
      <c r="H77" s="12">
        <f t="shared" si="9"/>
        <v>-2.7792873856784116E-3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-12308</v>
      </c>
      <c r="D79" s="12">
        <f t="shared" si="8"/>
        <v>-1.0117474633393001E-6</v>
      </c>
      <c r="E79" s="11"/>
      <c r="F79" s="8" t="s">
        <v>16</v>
      </c>
      <c r="G79" s="15">
        <v>-12308</v>
      </c>
      <c r="H79" s="12">
        <f t="shared" si="9"/>
        <v>-1.9563253170445078E-6</v>
      </c>
    </row>
    <row r="80" spans="2:8" x14ac:dyDescent="0.2">
      <c r="B80" s="18" t="s">
        <v>17</v>
      </c>
      <c r="C80" s="19">
        <f>SUM(C68:C79)</f>
        <v>4430842</v>
      </c>
      <c r="D80" s="20">
        <f>SUM(D68:D79)</f>
        <v>3.6422596310994713E-4</v>
      </c>
      <c r="E80" s="21"/>
      <c r="F80" s="18" t="s">
        <v>17</v>
      </c>
      <c r="G80" s="19">
        <f>SUM(G68:G79)</f>
        <v>-17052705</v>
      </c>
      <c r="H80" s="20">
        <f>SUM(H68:H79)</f>
        <v>-2.7104841172888748E-3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33" t="s">
        <v>19</v>
      </c>
      <c r="C106" s="45">
        <v>22690037992</v>
      </c>
      <c r="D106" s="46"/>
      <c r="E106" s="1"/>
      <c r="F106" s="45"/>
      <c r="H106" s="17"/>
    </row>
    <row r="107" spans="2:8" x14ac:dyDescent="0.2">
      <c r="B107" s="35" t="s">
        <v>24</v>
      </c>
      <c r="C107" s="45">
        <v>20078332040.000099</v>
      </c>
      <c r="D107" s="46"/>
      <c r="E107" s="47"/>
      <c r="F107" s="45"/>
      <c r="G107" s="5"/>
      <c r="H107" s="5"/>
    </row>
    <row r="108" spans="2:8" x14ac:dyDescent="0.2">
      <c r="B108" s="35" t="s">
        <v>26</v>
      </c>
      <c r="C108" s="45">
        <v>12165091039.000099</v>
      </c>
      <c r="D108" s="46"/>
      <c r="E108" s="47"/>
      <c r="F108" s="45"/>
      <c r="H108" s="17"/>
    </row>
    <row r="109" spans="2:8" x14ac:dyDescent="0.2">
      <c r="B109" s="35" t="s">
        <v>22</v>
      </c>
      <c r="C109" s="45">
        <v>5064481324</v>
      </c>
      <c r="D109" s="46"/>
      <c r="E109" s="47"/>
      <c r="F109" s="45"/>
      <c r="G109" s="5"/>
      <c r="H109" s="5"/>
    </row>
    <row r="110" spans="2:8" x14ac:dyDescent="0.2">
      <c r="B110" s="35" t="s">
        <v>27</v>
      </c>
      <c r="C110" s="45">
        <v>6291387170</v>
      </c>
      <c r="D110" s="46"/>
      <c r="E110" s="47"/>
      <c r="F110" s="45"/>
      <c r="H110" s="17"/>
    </row>
    <row r="111" spans="2:8" x14ac:dyDescent="0.2">
      <c r="B111" s="35" t="s">
        <v>1</v>
      </c>
      <c r="C111" s="45">
        <v>63233975845</v>
      </c>
      <c r="D111" s="51">
        <v>4354617249</v>
      </c>
      <c r="F111" s="45">
        <f>+C111+D111</f>
        <v>67588593094</v>
      </c>
      <c r="G111" s="5"/>
      <c r="H111" s="5"/>
    </row>
    <row r="112" spans="2:8" x14ac:dyDescent="0.2">
      <c r="B112" s="35" t="s">
        <v>18</v>
      </c>
      <c r="C112" s="48">
        <v>35677753.074100003</v>
      </c>
      <c r="D112" s="53">
        <v>1426541.45</v>
      </c>
      <c r="F112" s="45">
        <f>+C112+D112</f>
        <v>37104294.524100006</v>
      </c>
      <c r="H112" s="17"/>
    </row>
    <row r="113" spans="1:13" x14ac:dyDescent="0.2">
      <c r="B113" s="35" t="s">
        <v>4</v>
      </c>
      <c r="C113" s="45">
        <v>9550995492</v>
      </c>
      <c r="D113" s="46"/>
      <c r="F113" s="45"/>
      <c r="G113" s="5"/>
      <c r="H113" s="5"/>
    </row>
    <row r="114" spans="1:13" x14ac:dyDescent="0.2">
      <c r="B114" s="35" t="s">
        <v>21</v>
      </c>
      <c r="C114" s="45">
        <v>78003499286</v>
      </c>
      <c r="D114" s="46"/>
      <c r="F114" s="45"/>
      <c r="H114" s="17"/>
    </row>
    <row r="115" spans="1:13" x14ac:dyDescent="0.2">
      <c r="B115" s="35" t="s">
        <v>25</v>
      </c>
      <c r="C115" s="48">
        <v>121746851.81999999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54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43014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5156841</v>
      </c>
      <c r="D7" s="10">
        <f>+IF(C7/$F$111=0,"",C7/$F$111)</f>
        <v>7.5530585248928588E-5</v>
      </c>
      <c r="E7" s="11"/>
      <c r="F7" s="8" t="s">
        <v>5</v>
      </c>
      <c r="G7" s="9">
        <v>462129</v>
      </c>
      <c r="H7" s="12">
        <f>+IF(G7/$C$113=0,"",G7/$C$113)</f>
        <v>4.8450301730943682E-5</v>
      </c>
      <c r="I7" s="13"/>
    </row>
    <row r="8" spans="1:9" x14ac:dyDescent="0.2">
      <c r="B8" s="8" t="s">
        <v>6</v>
      </c>
      <c r="C8" s="9">
        <v>148303</v>
      </c>
      <c r="D8" s="10">
        <f>+IF(C8/$F$111=0,"",C8/$F$111)</f>
        <v>2.1721461616078249E-6</v>
      </c>
      <c r="E8" s="11"/>
      <c r="F8" s="8" t="s">
        <v>6</v>
      </c>
      <c r="G8" s="9">
        <v>140089</v>
      </c>
      <c r="H8" s="12">
        <f>+IF(G8/$C$113=0,"",G8/$C$113)</f>
        <v>1.4687142159843181E-5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90461</v>
      </c>
      <c r="H11" s="12">
        <f t="shared" si="0"/>
        <v>9.4840677492278055E-6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-13396831</v>
      </c>
      <c r="H14" s="12">
        <f t="shared" si="0"/>
        <v>-1.4045439783879827E-3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-83981</v>
      </c>
      <c r="D18" s="10">
        <f>+IF(C18/$F$111=0,"",C18/$F$111)</f>
        <v>-1.2300425938651729E-6</v>
      </c>
      <c r="E18" s="17"/>
      <c r="F18" s="8" t="s">
        <v>16</v>
      </c>
      <c r="G18" s="15">
        <v>-42624</v>
      </c>
      <c r="H18" s="12">
        <f t="shared" si="0"/>
        <v>-4.4687644813022846E-6</v>
      </c>
    </row>
    <row r="19" spans="2:9" x14ac:dyDescent="0.2">
      <c r="B19" s="18" t="s">
        <v>17</v>
      </c>
      <c r="C19" s="19">
        <f>SUM(C7:C18)</f>
        <v>5221163</v>
      </c>
      <c r="D19" s="20">
        <f>SUM(D7:D18)</f>
        <v>7.6472688816671232E-5</v>
      </c>
      <c r="E19" s="21"/>
      <c r="F19" s="18" t="s">
        <v>17</v>
      </c>
      <c r="G19" s="19">
        <f>SUM(G7:G18)</f>
        <v>-12746776</v>
      </c>
      <c r="H19" s="20">
        <f>SUM(H7:H18)</f>
        <v>-1.3363912312292705E-3</v>
      </c>
    </row>
    <row r="21" spans="2:9" ht="25.5" x14ac:dyDescent="0.2">
      <c r="B21" s="6" t="s">
        <v>18</v>
      </c>
      <c r="C21" s="6" t="s">
        <v>2</v>
      </c>
      <c r="D21" s="6" t="s">
        <v>3</v>
      </c>
      <c r="E21" s="22"/>
      <c r="F21" s="6" t="s">
        <v>19</v>
      </c>
      <c r="G21" s="6" t="s">
        <v>2</v>
      </c>
      <c r="H21" s="6" t="s">
        <v>3</v>
      </c>
    </row>
    <row r="22" spans="2:9" x14ac:dyDescent="0.2">
      <c r="B22" s="8" t="s">
        <v>43</v>
      </c>
      <c r="C22" s="14">
        <v>2804.5760999999998</v>
      </c>
      <c r="D22" s="12">
        <f>+IF(C22/$F$112=0,"",C22/$F$112)</f>
        <v>7.6496519140891294E-5</v>
      </c>
      <c r="E22" s="17"/>
      <c r="F22" s="8" t="s">
        <v>5</v>
      </c>
      <c r="G22" s="9">
        <v>1588299</v>
      </c>
      <c r="H22" s="12">
        <f t="shared" ref="H22:H33" si="2">+IF(G22/$C$106=0,"",G22/$C$106)</f>
        <v>7.2203612399308727E-5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382017</v>
      </c>
      <c r="H23" s="12">
        <f t="shared" si="2"/>
        <v>1.7366382147156627E-5</v>
      </c>
      <c r="I23" s="23"/>
    </row>
    <row r="24" spans="2:9" x14ac:dyDescent="0.2">
      <c r="B24" s="8" t="s">
        <v>45</v>
      </c>
      <c r="C24" s="14">
        <v>1788.680167503655</v>
      </c>
      <c r="D24" s="12">
        <f>+IF(C24/$F$112=0,"",C24/$F$112)</f>
        <v>4.8787339616270706E-5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9326.3246226236333</v>
      </c>
      <c r="D26" s="12">
        <f>+IF(C26/$F$112=0,"",C26/$F$112)</f>
        <v>2.5438117725124111E-4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151236.13</v>
      </c>
      <c r="D27" s="12">
        <f t="shared" ref="D27:D33" si="3">+IF(C27/$F$112=0,"",C27/$F$112)</f>
        <v>4.125057442135132E-3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-15855200</v>
      </c>
      <c r="H29" s="12">
        <f t="shared" si="2"/>
        <v>-7.2077279864403345E-4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-164567.5981</v>
      </c>
      <c r="D31" s="12">
        <f t="shared" si="3"/>
        <v>-4.4886813440459528E-3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-62.15</v>
      </c>
      <c r="D33" s="12">
        <f t="shared" si="3"/>
        <v>-1.6951790556178504E-6</v>
      </c>
      <c r="E33" s="17"/>
      <c r="F33" s="8" t="s">
        <v>16</v>
      </c>
      <c r="G33" s="15">
        <v>-40733</v>
      </c>
      <c r="H33" s="12">
        <f t="shared" si="2"/>
        <v>-1.8517103793813648E-6</v>
      </c>
    </row>
    <row r="34" spans="1:13" x14ac:dyDescent="0.2">
      <c r="B34" s="18" t="s">
        <v>17</v>
      </c>
      <c r="C34" s="57">
        <f>SUM(C22:C33)</f>
        <v>525.96279012728485</v>
      </c>
      <c r="D34" s="20">
        <f>SUM(D22:D33)</f>
        <v>1.4345955041964639E-5</v>
      </c>
      <c r="E34" s="21"/>
      <c r="F34" s="18" t="s">
        <v>17</v>
      </c>
      <c r="G34" s="19">
        <f>SUM(G22:G33)</f>
        <v>-13925617</v>
      </c>
      <c r="H34" s="20">
        <f>SUM(H22:H33)</f>
        <v>-6.3305451447694951E-4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 t="s">
        <v>2</v>
      </c>
      <c r="D36" s="6" t="s">
        <v>3</v>
      </c>
      <c r="E36" s="26"/>
      <c r="F36" s="6" t="s">
        <v>22</v>
      </c>
      <c r="G36" s="6" t="s">
        <v>2</v>
      </c>
      <c r="H36" s="6" t="s">
        <v>3</v>
      </c>
    </row>
    <row r="37" spans="1:13" x14ac:dyDescent="0.2">
      <c r="B37" s="8" t="s">
        <v>5</v>
      </c>
      <c r="C37" s="9">
        <v>3826770</v>
      </c>
      <c r="D37" s="12">
        <f t="shared" ref="D37:D48" si="4">+IF(C37/$C$114=0,"",C37/$C$114)</f>
        <v>4.916635133128394E-5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2564864</v>
      </c>
      <c r="D38" s="12">
        <f t="shared" si="4"/>
        <v>3.2953379623275572E-5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>
        <v>-193020</v>
      </c>
      <c r="H39" s="12">
        <f t="shared" si="5"/>
        <v>-3.8123695330491523E-5</v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-191196403</v>
      </c>
      <c r="D44" s="12">
        <f t="shared" si="4"/>
        <v>-2.4564919039230869E-3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-101879621</v>
      </c>
      <c r="D45" s="12">
        <f t="shared" si="4"/>
        <v>-1.3089496467214004E-3</v>
      </c>
      <c r="E45" s="11"/>
      <c r="F45" s="8" t="s">
        <v>13</v>
      </c>
      <c r="G45" s="15">
        <v>12658485</v>
      </c>
      <c r="H45" s="12">
        <f t="shared" si="5"/>
        <v>2.5001980389886902E-3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>
        <v>-142447</v>
      </c>
      <c r="D47" s="12">
        <f t="shared" si="4"/>
        <v>-1.8301594420588128E-6</v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-57993</v>
      </c>
      <c r="D48" s="12">
        <f t="shared" si="4"/>
        <v>-7.4509422117220251E-7</v>
      </c>
      <c r="E48" s="11"/>
      <c r="F48" s="8" t="s">
        <v>16</v>
      </c>
      <c r="G48" s="15">
        <v>-41614</v>
      </c>
      <c r="H48" s="12">
        <f t="shared" si="5"/>
        <v>-8.2192490803184863E-6</v>
      </c>
    </row>
    <row r="49" spans="2:9" x14ac:dyDescent="0.2">
      <c r="B49" s="18" t="s">
        <v>17</v>
      </c>
      <c r="C49" s="19">
        <f>SUM(C37:C48)</f>
        <v>-286884830</v>
      </c>
      <c r="D49" s="20">
        <f>SUM(D37:D48)</f>
        <v>-3.6858970733531587E-3</v>
      </c>
      <c r="E49" s="21"/>
      <c r="F49" s="18" t="s">
        <v>17</v>
      </c>
      <c r="G49" s="19">
        <f>SUM(G37:G48)</f>
        <v>12423851</v>
      </c>
      <c r="H49" s="20">
        <f>SUM(H37:H48)</f>
        <v>2.4538550945778803E-3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 t="s">
        <v>2</v>
      </c>
      <c r="D52" s="6" t="s">
        <v>3</v>
      </c>
      <c r="E52" s="26"/>
      <c r="F52" s="6" t="s">
        <v>25</v>
      </c>
      <c r="G52" s="6" t="s">
        <v>2</v>
      </c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15643.2521</v>
      </c>
      <c r="H53" s="12">
        <f t="shared" ref="H53:H64" si="7">+IF(G53/$C$115=0,"",G53/$C$115)</f>
        <v>1.2853070892573999E-4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f>-88946.0523-364.15</f>
        <v>-89310.20229999999</v>
      </c>
      <c r="H60" s="12">
        <f t="shared" si="7"/>
        <v>-7.3380544803214244E-4</v>
      </c>
    </row>
    <row r="61" spans="2:9" x14ac:dyDescent="0.2">
      <c r="B61" s="8" t="s">
        <v>13</v>
      </c>
      <c r="C61" s="15">
        <v>31809584</v>
      </c>
      <c r="D61" s="12">
        <f t="shared" si="6"/>
        <v>1.5161066137877122E-3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>
        <v>-62248</v>
      </c>
      <c r="D63" s="12">
        <f t="shared" si="6"/>
        <v>-2.9668606950363612E-6</v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-172447</v>
      </c>
      <c r="D64" s="12">
        <f t="shared" si="6"/>
        <v>-8.219159270610066E-6</v>
      </c>
      <c r="E64" s="11"/>
      <c r="F64" s="8" t="s">
        <v>16</v>
      </c>
      <c r="G64" s="32">
        <v>-42.3</v>
      </c>
      <c r="H64" s="12">
        <f t="shared" si="7"/>
        <v>-3.4755234735102184E-7</v>
      </c>
    </row>
    <row r="65" spans="2:8" x14ac:dyDescent="0.2">
      <c r="B65" s="18" t="s">
        <v>17</v>
      </c>
      <c r="C65" s="19">
        <f>SUM(C53:C64)</f>
        <v>31574889</v>
      </c>
      <c r="D65" s="20">
        <f>SUM(D53:D64)</f>
        <v>1.5049205938220658E-3</v>
      </c>
      <c r="E65" s="21"/>
      <c r="F65" s="18" t="s">
        <v>17</v>
      </c>
      <c r="G65" s="57">
        <f>SUM(G53:G64)</f>
        <v>-73709.250199999995</v>
      </c>
      <c r="H65" s="20">
        <f>SUM(H53:H64)</f>
        <v>-6.0562229145375349E-4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 t="s">
        <v>2</v>
      </c>
      <c r="D67" s="6" t="s">
        <v>3</v>
      </c>
      <c r="E67" s="26"/>
      <c r="F67" s="6" t="s">
        <v>27</v>
      </c>
      <c r="G67" s="6" t="s">
        <v>2</v>
      </c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>
        <v>462952</v>
      </c>
      <c r="H70" s="12">
        <f t="shared" si="9"/>
        <v>7.3787863288913097E-5</v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1457863</v>
      </c>
      <c r="D72" s="12">
        <f t="shared" si="8"/>
        <v>1.1986476431365179E-4</v>
      </c>
      <c r="E72" s="11"/>
      <c r="F72" s="8" t="s">
        <v>9</v>
      </c>
      <c r="G72" s="9">
        <v>1801700</v>
      </c>
      <c r="H72" s="12">
        <f t="shared" si="9"/>
        <v>2.8716496156758089E-4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-16629730</v>
      </c>
      <c r="D76" s="12">
        <f t="shared" si="8"/>
        <v>-1.3672880559076296E-3</v>
      </c>
      <c r="E76" s="11"/>
      <c r="F76" s="8" t="s">
        <v>13</v>
      </c>
      <c r="G76" s="15">
        <v>-2804460</v>
      </c>
      <c r="H76" s="12">
        <f t="shared" si="9"/>
        <v>-4.4699042466438252E-4</v>
      </c>
    </row>
    <row r="77" spans="2:8" x14ac:dyDescent="0.2">
      <c r="B77" s="8" t="s">
        <v>14</v>
      </c>
      <c r="C77" s="9">
        <v>85091376</v>
      </c>
      <c r="D77" s="12">
        <f t="shared" si="8"/>
        <v>6.9961702364106405E-3</v>
      </c>
      <c r="E77" s="11"/>
      <c r="F77" s="8" t="s">
        <v>14</v>
      </c>
      <c r="G77" s="9">
        <v>42786244</v>
      </c>
      <c r="H77" s="12">
        <f t="shared" si="9"/>
        <v>6.8195094154860072E-3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-12306</v>
      </c>
      <c r="D79" s="12">
        <f t="shared" si="8"/>
        <v>-1.0117931449277462E-6</v>
      </c>
      <c r="E79" s="11"/>
      <c r="F79" s="8" t="s">
        <v>16</v>
      </c>
      <c r="G79" s="15">
        <v>-12306</v>
      </c>
      <c r="H79" s="12">
        <f t="shared" si="9"/>
        <v>-1.9613986884890106E-6</v>
      </c>
    </row>
    <row r="80" spans="2:8" x14ac:dyDescent="0.2">
      <c r="B80" s="18" t="s">
        <v>17</v>
      </c>
      <c r="C80" s="19">
        <f>SUM(C68:C79)</f>
        <v>69907203</v>
      </c>
      <c r="D80" s="20">
        <f>SUM(D68:D79)</f>
        <v>5.7477351516717354E-3</v>
      </c>
      <c r="E80" s="21"/>
      <c r="F80" s="18" t="s">
        <v>17</v>
      </c>
      <c r="G80" s="19">
        <f>SUM(G68:G79)</f>
        <v>42234130</v>
      </c>
      <c r="H80" s="20">
        <f>SUM(H68:H79)</f>
        <v>6.731510416989629E-3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119" t="s">
        <v>19</v>
      </c>
      <c r="C106" s="120">
        <v>21997500501.999901</v>
      </c>
      <c r="D106" s="46"/>
      <c r="E106" s="1"/>
      <c r="F106" s="45"/>
      <c r="H106" s="17"/>
    </row>
    <row r="107" spans="2:8" x14ac:dyDescent="0.2">
      <c r="B107" s="119" t="s">
        <v>24</v>
      </c>
      <c r="C107" s="120">
        <v>20981099687</v>
      </c>
      <c r="D107" s="46"/>
      <c r="E107" s="47"/>
      <c r="F107" s="45"/>
      <c r="G107" s="5"/>
      <c r="H107" s="5"/>
    </row>
    <row r="108" spans="2:8" x14ac:dyDescent="0.2">
      <c r="B108" s="119" t="s">
        <v>26</v>
      </c>
      <c r="C108" s="120">
        <v>12162565107</v>
      </c>
      <c r="D108" s="46"/>
      <c r="E108" s="47"/>
      <c r="F108" s="45"/>
      <c r="H108" s="17"/>
    </row>
    <row r="109" spans="2:8" x14ac:dyDescent="0.2">
      <c r="B109" s="119" t="s">
        <v>22</v>
      </c>
      <c r="C109" s="120">
        <v>5062992932</v>
      </c>
      <c r="D109" s="46"/>
      <c r="E109" s="47"/>
      <c r="F109" s="45"/>
      <c r="G109" s="5"/>
      <c r="H109" s="5"/>
    </row>
    <row r="110" spans="2:8" x14ac:dyDescent="0.2">
      <c r="B110" s="119" t="s">
        <v>27</v>
      </c>
      <c r="C110" s="120">
        <v>6274094131</v>
      </c>
      <c r="D110" s="46"/>
      <c r="E110" s="47"/>
      <c r="F110" s="45"/>
      <c r="H110" s="17"/>
    </row>
    <row r="111" spans="2:8" x14ac:dyDescent="0.2">
      <c r="B111" s="119" t="s">
        <v>1</v>
      </c>
      <c r="C111" s="120">
        <v>63150253777.999893</v>
      </c>
      <c r="D111" s="51">
        <v>5124617693</v>
      </c>
      <c r="F111" s="45">
        <f>+C111+D111</f>
        <v>68274871470.999893</v>
      </c>
      <c r="G111" s="5"/>
      <c r="H111" s="5"/>
    </row>
    <row r="112" spans="2:8" x14ac:dyDescent="0.2">
      <c r="B112" s="119" t="s">
        <v>18</v>
      </c>
      <c r="C112" s="121">
        <v>36662793.699599996</v>
      </c>
      <c r="D112" s="53"/>
      <c r="F112" s="45">
        <f>+C112+D112</f>
        <v>36662793.699599996</v>
      </c>
      <c r="H112" s="17"/>
    </row>
    <row r="113" spans="1:13" x14ac:dyDescent="0.2">
      <c r="B113" s="119" t="s">
        <v>4</v>
      </c>
      <c r="C113" s="120">
        <v>9538206852.9999008</v>
      </c>
      <c r="D113" s="46"/>
      <c r="F113" s="45"/>
      <c r="G113" s="5"/>
      <c r="H113" s="5"/>
    </row>
    <row r="114" spans="1:13" x14ac:dyDescent="0.2">
      <c r="B114" s="119" t="s">
        <v>21</v>
      </c>
      <c r="C114" s="120">
        <v>77833109359.999908</v>
      </c>
      <c r="D114" s="46"/>
      <c r="F114" s="45"/>
      <c r="H114" s="17"/>
    </row>
    <row r="115" spans="1:13" x14ac:dyDescent="0.2">
      <c r="B115" s="119" t="s">
        <v>25</v>
      </c>
      <c r="C115" s="121">
        <v>121708284.5862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55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43014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5647503</v>
      </c>
      <c r="D7" s="10">
        <f>+IF(C7/$F$111=0,"",C7/$F$111)</f>
        <v>7.7931433731090441E-5</v>
      </c>
      <c r="E7" s="11"/>
      <c r="F7" s="8" t="s">
        <v>5</v>
      </c>
      <c r="G7" s="9">
        <v>959052</v>
      </c>
      <c r="H7" s="12">
        <f>+IF(G7/$C$113=0,"",G7/$C$113)</f>
        <v>1.0054845892740988E-4</v>
      </c>
      <c r="I7" s="13"/>
    </row>
    <row r="8" spans="1:9" x14ac:dyDescent="0.2">
      <c r="B8" s="8" t="s">
        <v>6</v>
      </c>
      <c r="C8" s="9"/>
      <c r="D8" s="10" t="str">
        <f>+IF(C8/$F$111=0,"",C8/$F$111)</f>
        <v/>
      </c>
      <c r="E8" s="11"/>
      <c r="F8" s="8" t="s">
        <v>6</v>
      </c>
      <c r="G8" s="9">
        <v>-134264</v>
      </c>
      <c r="H8" s="12">
        <f>+IF(G8/$C$113=0,"",G8/$C$113)</f>
        <v>-1.4076440369687734E-5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-111012</v>
      </c>
      <c r="H11" s="12">
        <f t="shared" si="0"/>
        <v>-1.1638665601499841E-5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-10981743</v>
      </c>
      <c r="H14" s="12">
        <f t="shared" si="0"/>
        <v>-1.1513425080046452E-3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-164850</v>
      </c>
      <c r="D18" s="10">
        <f>+IF(C18/$F$111=0,"",C18/$F$111)</f>
        <v>-2.2748100975900782E-6</v>
      </c>
      <c r="E18" s="17"/>
      <c r="F18" s="8" t="s">
        <v>16</v>
      </c>
      <c r="G18" s="15">
        <v>-39679</v>
      </c>
      <c r="H18" s="12">
        <f t="shared" si="0"/>
        <v>-4.1600062371807751E-6</v>
      </c>
    </row>
    <row r="19" spans="2:9" x14ac:dyDescent="0.2">
      <c r="B19" s="18" t="s">
        <v>17</v>
      </c>
      <c r="C19" s="19">
        <f>SUM(C7:C18)</f>
        <v>5482653</v>
      </c>
      <c r="D19" s="20">
        <f>SUM(D7:D18)</f>
        <v>7.5656623633500359E-5</v>
      </c>
      <c r="E19" s="21"/>
      <c r="F19" s="18" t="s">
        <v>17</v>
      </c>
      <c r="G19" s="19">
        <f>SUM(G7:G18)</f>
        <v>-10307646</v>
      </c>
      <c r="H19" s="20">
        <f>SUM(H7:H18)</f>
        <v>-1.0806691612856036E-3</v>
      </c>
    </row>
    <row r="21" spans="2:9" ht="25.5" x14ac:dyDescent="0.2">
      <c r="B21" s="6" t="s">
        <v>18</v>
      </c>
      <c r="C21" s="6" t="s">
        <v>2</v>
      </c>
      <c r="D21" s="6" t="s">
        <v>3</v>
      </c>
      <c r="E21" s="22"/>
      <c r="F21" s="6" t="s">
        <v>19</v>
      </c>
      <c r="G21" s="6" t="s">
        <v>2</v>
      </c>
      <c r="H21" s="6" t="s">
        <v>3</v>
      </c>
    </row>
    <row r="22" spans="2:9" x14ac:dyDescent="0.2">
      <c r="B22" s="8" t="s">
        <v>43</v>
      </c>
      <c r="C22" s="14">
        <v>3963.8492000000001</v>
      </c>
      <c r="D22" s="12">
        <f>+IF(C22/$F$112=0,"",C22/$F$112)</f>
        <v>1.0811639812498105E-4</v>
      </c>
      <c r="E22" s="17"/>
      <c r="F22" s="8" t="s">
        <v>5</v>
      </c>
      <c r="G22" s="9"/>
      <c r="H22" s="12" t="str">
        <f t="shared" ref="H22:H33" si="2">+IF(G22/$C$106=0,"",G22/$C$106)</f>
        <v/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/>
      <c r="H23" s="12" t="str">
        <f t="shared" si="2"/>
        <v/>
      </c>
      <c r="I23" s="23"/>
    </row>
    <row r="24" spans="2:9" x14ac:dyDescent="0.2">
      <c r="B24" s="8" t="s">
        <v>45</v>
      </c>
      <c r="C24" s="14">
        <v>989.4</v>
      </c>
      <c r="D24" s="12">
        <f>+IF(C24/$F$112=0,"",C24/$F$112)</f>
        <v>2.6986486848403882E-5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12.62</v>
      </c>
      <c r="D26" s="12">
        <f>+IF(C26/$F$112=0,"",C26/$F$112)</f>
        <v>3.4421817669987563E-7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-167598.93</v>
      </c>
      <c r="D27" s="12">
        <f t="shared" ref="D27:D33" si="3">+IF(C27/$F$112=0,"",C27/$F$112)</f>
        <v>-4.5713627655665683E-3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/>
      <c r="H29" s="12" t="str">
        <f t="shared" si="2"/>
        <v/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/>
      <c r="H30" s="12" t="str">
        <f t="shared" si="2"/>
        <v/>
      </c>
      <c r="I30" s="23"/>
    </row>
    <row r="31" spans="2:9" x14ac:dyDescent="0.2">
      <c r="B31" s="8" t="s">
        <v>14</v>
      </c>
      <c r="C31" s="14">
        <v>166096.62640000001</v>
      </c>
      <c r="D31" s="12">
        <f t="shared" si="3"/>
        <v>4.5303865210307792E-3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-50.9</v>
      </c>
      <c r="D33" s="12">
        <f t="shared" si="3"/>
        <v>-1.3883284622839676E-6</v>
      </c>
      <c r="E33" s="17"/>
      <c r="F33" s="8" t="s">
        <v>16</v>
      </c>
      <c r="G33" s="15"/>
      <c r="H33" s="12" t="str">
        <f t="shared" si="2"/>
        <v/>
      </c>
    </row>
    <row r="34" spans="1:13" x14ac:dyDescent="0.2">
      <c r="B34" s="18" t="s">
        <v>17</v>
      </c>
      <c r="C34" s="57">
        <f>SUM(C22:C33)</f>
        <v>3412.6656000000016</v>
      </c>
      <c r="D34" s="20">
        <f>SUM(D22:D33)</f>
        <v>9.3082530152012162E-5</v>
      </c>
      <c r="E34" s="21"/>
      <c r="F34" s="18" t="s">
        <v>17</v>
      </c>
      <c r="G34" s="19">
        <f>SUM(G22:G33)</f>
        <v>0</v>
      </c>
      <c r="H34" s="20">
        <f>SUM(H22:H33)</f>
        <v>0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 t="s">
        <v>2</v>
      </c>
      <c r="D36" s="6" t="s">
        <v>3</v>
      </c>
      <c r="E36" s="26"/>
      <c r="F36" s="6" t="s">
        <v>22</v>
      </c>
      <c r="G36" s="6" t="s">
        <v>2</v>
      </c>
      <c r="H36" s="6" t="s">
        <v>3</v>
      </c>
    </row>
    <row r="37" spans="1:13" x14ac:dyDescent="0.2">
      <c r="B37" s="8" t="s">
        <v>5</v>
      </c>
      <c r="C37" s="9">
        <v>5034644</v>
      </c>
      <c r="D37" s="12">
        <f t="shared" ref="D37:D48" si="4">+IF(C37/$C$114=0,"",C37/$C$114)</f>
        <v>6.4685119756855184E-5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-2464368</v>
      </c>
      <c r="D38" s="12">
        <f t="shared" si="4"/>
        <v>-3.1662206742912052E-5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-127086549</v>
      </c>
      <c r="D44" s="12">
        <f t="shared" si="4"/>
        <v>-1.6328083259810314E-3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-53494621</v>
      </c>
      <c r="D45" s="12">
        <f t="shared" si="4"/>
        <v>-6.8729903558872884E-4</v>
      </c>
      <c r="E45" s="11"/>
      <c r="F45" s="8" t="s">
        <v>13</v>
      </c>
      <c r="G45" s="15"/>
      <c r="H45" s="12" t="str">
        <f t="shared" si="5"/>
        <v/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-65774</v>
      </c>
      <c r="D48" s="12">
        <f t="shared" si="4"/>
        <v>-8.4506453026021153E-7</v>
      </c>
      <c r="E48" s="11"/>
      <c r="F48" s="8" t="s">
        <v>16</v>
      </c>
      <c r="G48" s="15"/>
      <c r="H48" s="12" t="str">
        <f t="shared" si="5"/>
        <v/>
      </c>
    </row>
    <row r="49" spans="2:9" x14ac:dyDescent="0.2">
      <c r="B49" s="18" t="s">
        <v>17</v>
      </c>
      <c r="C49" s="19">
        <f>SUM(C37:C48)</f>
        <v>-178076668</v>
      </c>
      <c r="D49" s="20">
        <f>SUM(D37:D48)</f>
        <v>-2.2879295130860773E-3</v>
      </c>
      <c r="E49" s="21"/>
      <c r="F49" s="18" t="s">
        <v>17</v>
      </c>
      <c r="G49" s="19">
        <f>SUM(G37:G48)</f>
        <v>0</v>
      </c>
      <c r="H49" s="20">
        <f>SUM(H37:H48)</f>
        <v>0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 t="s">
        <v>2</v>
      </c>
      <c r="D52" s="6" t="s">
        <v>3</v>
      </c>
      <c r="E52" s="26"/>
      <c r="F52" s="6" t="s">
        <v>25</v>
      </c>
      <c r="G52" s="6" t="s">
        <v>2</v>
      </c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15643.2009</v>
      </c>
      <c r="H53" s="12">
        <f t="shared" ref="H53:H64" si="7">+IF(G53/$C$115=0,"",G53/$C$115)</f>
        <v>1.2853028824772145E-4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-7689.6176999999998</v>
      </c>
      <c r="H60" s="12">
        <f t="shared" si="7"/>
        <v>-6.3180725339644577E-5</v>
      </c>
    </row>
    <row r="61" spans="2:9" x14ac:dyDescent="0.2">
      <c r="B61" s="8" t="s">
        <v>13</v>
      </c>
      <c r="C61" s="15"/>
      <c r="D61" s="12" t="str">
        <f t="shared" si="6"/>
        <v/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/>
      <c r="D64" s="12" t="str">
        <f t="shared" si="6"/>
        <v/>
      </c>
      <c r="E64" s="11"/>
      <c r="F64" s="8" t="s">
        <v>16</v>
      </c>
      <c r="G64" s="32">
        <v>-42.14</v>
      </c>
      <c r="H64" s="12">
        <f t="shared" si="7"/>
        <v>-3.4623772854307472E-7</v>
      </c>
    </row>
    <row r="65" spans="2:8" x14ac:dyDescent="0.2">
      <c r="B65" s="18" t="s">
        <v>17</v>
      </c>
      <c r="C65" s="19">
        <f>SUM(C53:C64)</f>
        <v>0</v>
      </c>
      <c r="D65" s="20">
        <f>SUM(D53:D64)</f>
        <v>0</v>
      </c>
      <c r="E65" s="21"/>
      <c r="F65" s="18" t="s">
        <v>17</v>
      </c>
      <c r="G65" s="57">
        <f>SUM(G53:G64)</f>
        <v>7911.4431999999997</v>
      </c>
      <c r="H65" s="20">
        <f>SUM(H53:H64)</f>
        <v>6.50033251795338E-5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 t="s">
        <v>2</v>
      </c>
      <c r="D67" s="6" t="s">
        <v>3</v>
      </c>
      <c r="E67" s="26"/>
      <c r="F67" s="6" t="s">
        <v>27</v>
      </c>
      <c r="G67" s="6" t="s">
        <v>2</v>
      </c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/>
      <c r="D72" s="12" t="str">
        <f t="shared" si="8"/>
        <v/>
      </c>
      <c r="E72" s="11"/>
      <c r="F72" s="8" t="s">
        <v>9</v>
      </c>
      <c r="G72" s="9"/>
      <c r="H72" s="12" t="str">
        <f t="shared" si="9"/>
        <v/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/>
      <c r="D76" s="12" t="str">
        <f t="shared" si="8"/>
        <v/>
      </c>
      <c r="E76" s="11"/>
      <c r="F76" s="8" t="s">
        <v>13</v>
      </c>
      <c r="G76" s="15"/>
      <c r="H76" s="12" t="str">
        <f t="shared" si="9"/>
        <v/>
      </c>
    </row>
    <row r="77" spans="2:8" x14ac:dyDescent="0.2">
      <c r="B77" s="8" t="s">
        <v>14</v>
      </c>
      <c r="C77" s="9"/>
      <c r="D77" s="12" t="str">
        <f t="shared" si="8"/>
        <v/>
      </c>
      <c r="E77" s="11"/>
      <c r="F77" s="8" t="s">
        <v>14</v>
      </c>
      <c r="G77" s="9"/>
      <c r="H77" s="12" t="str">
        <f t="shared" si="9"/>
        <v/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/>
      <c r="D79" s="12" t="str">
        <f t="shared" si="8"/>
        <v/>
      </c>
      <c r="E79" s="11"/>
      <c r="F79" s="8" t="s">
        <v>16</v>
      </c>
      <c r="G79" s="15"/>
      <c r="H79" s="12" t="str">
        <f t="shared" si="9"/>
        <v/>
      </c>
    </row>
    <row r="80" spans="2:8" x14ac:dyDescent="0.2">
      <c r="B80" s="18" t="s">
        <v>17</v>
      </c>
      <c r="C80" s="19">
        <f>SUM(C68:C79)</f>
        <v>0</v>
      </c>
      <c r="D80" s="20">
        <f>SUM(D68:D79)</f>
        <v>0</v>
      </c>
      <c r="E80" s="21"/>
      <c r="F80" s="18" t="s">
        <v>17</v>
      </c>
      <c r="G80" s="19">
        <f>SUM(G68:G79)</f>
        <v>0</v>
      </c>
      <c r="H80" s="20">
        <f>SUM(H68:H79)</f>
        <v>0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122" t="s">
        <v>19</v>
      </c>
      <c r="C106" s="123">
        <v>21997500501.999901</v>
      </c>
      <c r="D106" s="46"/>
      <c r="E106" s="1"/>
      <c r="F106" s="45"/>
      <c r="H106" s="17"/>
    </row>
    <row r="107" spans="2:8" x14ac:dyDescent="0.2">
      <c r="B107" s="122" t="s">
        <v>24</v>
      </c>
      <c r="C107" s="123">
        <v>20981099687</v>
      </c>
      <c r="D107" s="46"/>
      <c r="E107" s="47"/>
      <c r="F107" s="45"/>
      <c r="G107" s="5"/>
      <c r="H107" s="5"/>
    </row>
    <row r="108" spans="2:8" x14ac:dyDescent="0.2">
      <c r="B108" s="122" t="s">
        <v>26</v>
      </c>
      <c r="C108" s="123">
        <v>12162565107</v>
      </c>
      <c r="D108" s="46"/>
      <c r="E108" s="47"/>
      <c r="F108" s="45"/>
      <c r="H108" s="17"/>
    </row>
    <row r="109" spans="2:8" x14ac:dyDescent="0.2">
      <c r="B109" s="122" t="s">
        <v>22</v>
      </c>
      <c r="C109" s="123">
        <v>5062992932</v>
      </c>
      <c r="D109" s="46"/>
      <c r="E109" s="47"/>
      <c r="F109" s="45"/>
      <c r="G109" s="5"/>
      <c r="H109" s="5"/>
    </row>
    <row r="110" spans="2:8" x14ac:dyDescent="0.2">
      <c r="B110" s="122" t="s">
        <v>27</v>
      </c>
      <c r="C110" s="123">
        <v>6274094131</v>
      </c>
      <c r="D110" s="46"/>
      <c r="E110" s="47"/>
      <c r="F110" s="45"/>
      <c r="H110" s="17"/>
    </row>
    <row r="111" spans="2:8" x14ac:dyDescent="0.2">
      <c r="B111" s="122" t="s">
        <v>1</v>
      </c>
      <c r="C111" s="123">
        <v>63150253777.999893</v>
      </c>
      <c r="D111" s="51">
        <v>9317333813</v>
      </c>
      <c r="F111" s="45">
        <f>+C111+D111</f>
        <v>72467587590.999893</v>
      </c>
      <c r="G111" s="5"/>
      <c r="H111" s="5"/>
    </row>
    <row r="112" spans="2:8" x14ac:dyDescent="0.2">
      <c r="B112" s="122" t="s">
        <v>18</v>
      </c>
      <c r="C112" s="124">
        <v>36662793.699599996</v>
      </c>
      <c r="D112" s="53"/>
      <c r="F112" s="45">
        <f>+C112+D112</f>
        <v>36662793.699599996</v>
      </c>
      <c r="H112" s="17"/>
    </row>
    <row r="113" spans="1:13" x14ac:dyDescent="0.2">
      <c r="B113" s="122" t="s">
        <v>4</v>
      </c>
      <c r="C113" s="123">
        <v>9538206852.9999008</v>
      </c>
      <c r="D113" s="46"/>
      <c r="F113" s="45"/>
      <c r="G113" s="5"/>
      <c r="H113" s="5"/>
    </row>
    <row r="114" spans="1:13" x14ac:dyDescent="0.2">
      <c r="B114" s="122" t="s">
        <v>21</v>
      </c>
      <c r="C114" s="123">
        <v>77833109359.999908</v>
      </c>
      <c r="D114" s="46"/>
      <c r="F114" s="45"/>
      <c r="H114" s="17"/>
    </row>
    <row r="115" spans="1:13" x14ac:dyDescent="0.2">
      <c r="B115" s="122" t="s">
        <v>25</v>
      </c>
      <c r="C115" s="124">
        <v>121708284.5862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56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3" t="s">
        <v>0</v>
      </c>
      <c r="C2" s="183"/>
      <c r="D2" s="183"/>
      <c r="E2" s="183"/>
      <c r="F2" s="183"/>
      <c r="G2" s="183"/>
      <c r="H2" s="183"/>
    </row>
    <row r="4" spans="1:9" x14ac:dyDescent="0.2">
      <c r="A4" s="3"/>
      <c r="B4" s="184">
        <v>43018</v>
      </c>
      <c r="C4" s="184"/>
      <c r="D4" s="184"/>
      <c r="E4" s="184"/>
      <c r="F4" s="184"/>
      <c r="G4" s="184"/>
      <c r="H4" s="184"/>
    </row>
    <row r="5" spans="1:9" ht="15.75" x14ac:dyDescent="0.25">
      <c r="A5" s="3"/>
      <c r="B5" s="4"/>
      <c r="C5" s="4"/>
      <c r="D5" s="4"/>
      <c r="E5" s="4"/>
      <c r="F5" s="4"/>
      <c r="G5" s="4"/>
      <c r="H5" s="4"/>
    </row>
    <row r="6" spans="1:9" ht="25.5" x14ac:dyDescent="0.2">
      <c r="B6" s="6" t="s">
        <v>1</v>
      </c>
      <c r="C6" s="6" t="s">
        <v>2</v>
      </c>
      <c r="D6" s="6" t="s">
        <v>3</v>
      </c>
      <c r="E6" s="7"/>
      <c r="F6" s="6" t="s">
        <v>4</v>
      </c>
      <c r="G6" s="6" t="s">
        <v>2</v>
      </c>
      <c r="H6" s="6" t="s">
        <v>3</v>
      </c>
    </row>
    <row r="7" spans="1:9" x14ac:dyDescent="0.2">
      <c r="B7" s="8" t="s">
        <v>5</v>
      </c>
      <c r="C7" s="9">
        <v>5647503</v>
      </c>
      <c r="D7" s="10">
        <f>+IF(C7/$F$111=0,"",C7/$F$111)</f>
        <v>7.7931433731090441E-5</v>
      </c>
      <c r="E7" s="11"/>
      <c r="F7" s="8" t="s">
        <v>5</v>
      </c>
      <c r="G7" s="9">
        <v>959052</v>
      </c>
      <c r="H7" s="12">
        <f>+IF(G7/$C$113=0,"",G7/$C$113)</f>
        <v>1.0054845892740988E-4</v>
      </c>
      <c r="I7" s="13"/>
    </row>
    <row r="8" spans="1:9" x14ac:dyDescent="0.2">
      <c r="B8" s="8" t="s">
        <v>6</v>
      </c>
      <c r="C8" s="9"/>
      <c r="D8" s="10" t="str">
        <f>+IF(C8/$F$111=0,"",C8/$F$111)</f>
        <v/>
      </c>
      <c r="E8" s="11"/>
      <c r="F8" s="8" t="s">
        <v>6</v>
      </c>
      <c r="G8" s="9">
        <v>-134264</v>
      </c>
      <c r="H8" s="12">
        <f>+IF(G8/$C$113=0,"",G8/$C$113)</f>
        <v>-1.4076440369687734E-5</v>
      </c>
    </row>
    <row r="9" spans="1:9" x14ac:dyDescent="0.2">
      <c r="B9" s="8" t="s">
        <v>7</v>
      </c>
      <c r="C9" s="14"/>
      <c r="D9" s="10" t="str">
        <f>+IF(C9/$F$111=0,"",C9/$F$111)</f>
        <v/>
      </c>
      <c r="E9" s="11"/>
      <c r="F9" s="8" t="s">
        <v>7</v>
      </c>
      <c r="G9" s="9"/>
      <c r="H9" s="12" t="str">
        <f t="shared" ref="H9:H18" si="0">+IF(G9/$C$113=0,"",G9/$C$113)</f>
        <v/>
      </c>
    </row>
    <row r="10" spans="1:9" x14ac:dyDescent="0.2">
      <c r="B10" s="8" t="s">
        <v>8</v>
      </c>
      <c r="C10" s="9"/>
      <c r="D10" s="10" t="str">
        <f>+IF(C10/$F$111=0,"",C10/$F$111)</f>
        <v/>
      </c>
      <c r="E10" s="11"/>
      <c r="F10" s="8" t="s">
        <v>8</v>
      </c>
      <c r="G10" s="9"/>
      <c r="H10" s="12" t="str">
        <f t="shared" si="0"/>
        <v/>
      </c>
    </row>
    <row r="11" spans="1:9" x14ac:dyDescent="0.2">
      <c r="B11" s="8" t="s">
        <v>9</v>
      </c>
      <c r="C11" s="9"/>
      <c r="D11" s="10" t="str">
        <f t="shared" ref="D11:D14" si="1">+IF(C11/$F$111=0,"",C11/$F$111)</f>
        <v/>
      </c>
      <c r="E11" s="11"/>
      <c r="F11" s="8" t="s">
        <v>9</v>
      </c>
      <c r="G11" s="9">
        <v>-111012</v>
      </c>
      <c r="H11" s="12">
        <f t="shared" si="0"/>
        <v>-1.1638665601499841E-5</v>
      </c>
    </row>
    <row r="12" spans="1:9" x14ac:dyDescent="0.2">
      <c r="B12" s="8" t="s">
        <v>10</v>
      </c>
      <c r="C12" s="9"/>
      <c r="D12" s="10" t="str">
        <f t="shared" si="1"/>
        <v/>
      </c>
      <c r="E12" s="11"/>
      <c r="F12" s="8" t="s">
        <v>10</v>
      </c>
      <c r="G12" s="9">
        <v>0</v>
      </c>
      <c r="H12" s="12" t="str">
        <f t="shared" si="0"/>
        <v/>
      </c>
    </row>
    <row r="13" spans="1:9" x14ac:dyDescent="0.2">
      <c r="B13" s="8" t="s">
        <v>11</v>
      </c>
      <c r="C13" s="9"/>
      <c r="D13" s="10" t="str">
        <f t="shared" si="1"/>
        <v/>
      </c>
      <c r="E13" s="11"/>
      <c r="F13" s="8" t="s">
        <v>11</v>
      </c>
      <c r="G13" s="9"/>
      <c r="H13" s="12" t="str">
        <f t="shared" si="0"/>
        <v/>
      </c>
    </row>
    <row r="14" spans="1:9" x14ac:dyDescent="0.2">
      <c r="B14" s="8" t="s">
        <v>12</v>
      </c>
      <c r="C14" s="15"/>
      <c r="D14" s="10" t="str">
        <f t="shared" si="1"/>
        <v/>
      </c>
      <c r="E14" s="11"/>
      <c r="F14" s="8" t="s">
        <v>12</v>
      </c>
      <c r="G14" s="54">
        <v>-10981743</v>
      </c>
      <c r="H14" s="12">
        <f t="shared" si="0"/>
        <v>-1.1513425080046452E-3</v>
      </c>
      <c r="I14" s="16"/>
    </row>
    <row r="15" spans="1:9" x14ac:dyDescent="0.2">
      <c r="B15" s="8" t="s">
        <v>13</v>
      </c>
      <c r="C15" s="15"/>
      <c r="D15" s="10" t="str">
        <f>+IF(C15/$F$111=0,"",C15/$F$111)</f>
        <v/>
      </c>
      <c r="E15" s="11"/>
      <c r="F15" s="8" t="s">
        <v>13</v>
      </c>
      <c r="G15" s="15"/>
      <c r="H15" s="12" t="str">
        <f t="shared" si="0"/>
        <v/>
      </c>
      <c r="I15" s="16"/>
    </row>
    <row r="16" spans="1:9" x14ac:dyDescent="0.2">
      <c r="B16" s="8" t="s">
        <v>14</v>
      </c>
      <c r="C16" s="9"/>
      <c r="D16" s="10" t="str">
        <f>+IF(C16/$F$111=0,"",C16/$F$111)</f>
        <v/>
      </c>
      <c r="E16" s="11"/>
      <c r="F16" s="8" t="s">
        <v>14</v>
      </c>
      <c r="G16" s="9"/>
      <c r="H16" s="12" t="str">
        <f t="shared" si="0"/>
        <v/>
      </c>
    </row>
    <row r="17" spans="2:9" x14ac:dyDescent="0.2">
      <c r="B17" s="8" t="s">
        <v>15</v>
      </c>
      <c r="C17" s="15"/>
      <c r="D17" s="10" t="str">
        <f>+IF(C17/$F$111=0,"",C17/$F$111)</f>
        <v/>
      </c>
      <c r="E17" s="11"/>
      <c r="F17" s="8" t="s">
        <v>15</v>
      </c>
      <c r="G17" s="15"/>
      <c r="H17" s="12" t="str">
        <f t="shared" si="0"/>
        <v/>
      </c>
    </row>
    <row r="18" spans="2:9" x14ac:dyDescent="0.2">
      <c r="B18" s="8" t="s">
        <v>16</v>
      </c>
      <c r="C18" s="15">
        <v>-164850</v>
      </c>
      <c r="D18" s="10">
        <f>+IF(C18/$F$111=0,"",C18/$F$111)</f>
        <v>-2.2748100975900782E-6</v>
      </c>
      <c r="E18" s="17"/>
      <c r="F18" s="8" t="s">
        <v>16</v>
      </c>
      <c r="G18" s="15">
        <v>-39679</v>
      </c>
      <c r="H18" s="12">
        <f t="shared" si="0"/>
        <v>-4.1600062371807751E-6</v>
      </c>
    </row>
    <row r="19" spans="2:9" x14ac:dyDescent="0.2">
      <c r="B19" s="18" t="s">
        <v>17</v>
      </c>
      <c r="C19" s="19">
        <f>SUM(C7:C18)</f>
        <v>5482653</v>
      </c>
      <c r="D19" s="20">
        <f>SUM(D7:D18)</f>
        <v>7.5656623633500359E-5</v>
      </c>
      <c r="E19" s="21"/>
      <c r="F19" s="18" t="s">
        <v>17</v>
      </c>
      <c r="G19" s="19">
        <f>SUM(G7:G18)</f>
        <v>-10307646</v>
      </c>
      <c r="H19" s="20">
        <f>SUM(H7:H18)</f>
        <v>-1.0806691612856036E-3</v>
      </c>
    </row>
    <row r="21" spans="2:9" ht="25.5" x14ac:dyDescent="0.2">
      <c r="B21" s="6" t="s">
        <v>18</v>
      </c>
      <c r="C21" s="6" t="s">
        <v>2</v>
      </c>
      <c r="D21" s="6" t="s">
        <v>3</v>
      </c>
      <c r="E21" s="22"/>
      <c r="F21" s="6" t="s">
        <v>19</v>
      </c>
      <c r="G21" s="6" t="s">
        <v>2</v>
      </c>
      <c r="H21" s="6" t="s">
        <v>3</v>
      </c>
    </row>
    <row r="22" spans="2:9" x14ac:dyDescent="0.2">
      <c r="B22" s="8" t="s">
        <v>43</v>
      </c>
      <c r="C22" s="14">
        <v>3963.8492000000001</v>
      </c>
      <c r="D22" s="12">
        <f>+IF(C22/$F$112=0,"",C22/$F$112)</f>
        <v>1.0808760938852176E-4</v>
      </c>
      <c r="E22" s="17"/>
      <c r="F22" s="8" t="s">
        <v>5</v>
      </c>
      <c r="G22" s="9">
        <v>1610992</v>
      </c>
      <c r="H22" s="12">
        <f t="shared" ref="H22:H33" si="2">+IF(G22/$C$106=0,"",G22/$C$106)</f>
        <v>7.3235229604997029E-5</v>
      </c>
      <c r="I22" s="23"/>
    </row>
    <row r="23" spans="2:9" x14ac:dyDescent="0.2">
      <c r="B23" s="8" t="s">
        <v>44</v>
      </c>
      <c r="C23" s="14"/>
      <c r="D23" s="12" t="str">
        <f>+IF(C23/$F$112=0,"",C23/$F$112)</f>
        <v/>
      </c>
      <c r="E23" s="17"/>
      <c r="F23" s="8" t="s">
        <v>6</v>
      </c>
      <c r="G23" s="9">
        <v>-349845</v>
      </c>
      <c r="H23" s="12">
        <f t="shared" si="2"/>
        <v>-1.5903852347597121E-5</v>
      </c>
      <c r="I23" s="23"/>
    </row>
    <row r="24" spans="2:9" x14ac:dyDescent="0.2">
      <c r="B24" s="8" t="s">
        <v>45</v>
      </c>
      <c r="C24" s="14">
        <v>989.4</v>
      </c>
      <c r="D24" s="12">
        <f>+IF(C24/$F$112=0,"",C24/$F$112)</f>
        <v>2.6979301010997954E-5</v>
      </c>
      <c r="E24" s="17"/>
      <c r="F24" s="8" t="s">
        <v>7</v>
      </c>
      <c r="G24" s="14"/>
      <c r="H24" s="12" t="str">
        <f t="shared" si="2"/>
        <v/>
      </c>
      <c r="I24" s="23"/>
    </row>
    <row r="25" spans="2:9" x14ac:dyDescent="0.2">
      <c r="B25" s="8" t="s">
        <v>8</v>
      </c>
      <c r="C25" s="14"/>
      <c r="D25" s="12" t="str">
        <f>+IF(C25/$F$112=0,"",C25/$F$112)</f>
        <v/>
      </c>
      <c r="E25" s="17"/>
      <c r="F25" s="8" t="s">
        <v>8</v>
      </c>
      <c r="G25" s="9"/>
      <c r="H25" s="12" t="str">
        <f t="shared" si="2"/>
        <v/>
      </c>
      <c r="I25" s="23"/>
    </row>
    <row r="26" spans="2:9" x14ac:dyDescent="0.2">
      <c r="B26" s="8" t="s">
        <v>9</v>
      </c>
      <c r="C26" s="14">
        <v>12.62</v>
      </c>
      <c r="D26" s="12">
        <f>+IF(C26/$F$112=0,"",C26/$F$112)</f>
        <v>3.4412651986940989E-7</v>
      </c>
      <c r="E26" s="17"/>
      <c r="F26" s="8" t="s">
        <v>9</v>
      </c>
      <c r="G26" s="9"/>
      <c r="H26" s="12" t="str">
        <f t="shared" si="2"/>
        <v/>
      </c>
      <c r="I26" s="23"/>
    </row>
    <row r="27" spans="2:9" x14ac:dyDescent="0.2">
      <c r="B27" s="8" t="s">
        <v>10</v>
      </c>
      <c r="C27" s="14">
        <v>-167598.93</v>
      </c>
      <c r="D27" s="12">
        <f t="shared" ref="D27:D33" si="3">+IF(C27/$F$112=0,"",C27/$F$112)</f>
        <v>-4.5701455241471348E-3</v>
      </c>
      <c r="E27" s="17"/>
      <c r="F27" s="8" t="s">
        <v>10</v>
      </c>
      <c r="G27" s="9"/>
      <c r="H27" s="12" t="str">
        <f t="shared" si="2"/>
        <v/>
      </c>
      <c r="I27" s="23"/>
    </row>
    <row r="28" spans="2:9" x14ac:dyDescent="0.2">
      <c r="B28" s="8" t="s">
        <v>11</v>
      </c>
      <c r="C28" s="14"/>
      <c r="D28" s="12" t="str">
        <f t="shared" si="3"/>
        <v/>
      </c>
      <c r="E28" s="17"/>
      <c r="F28" s="8" t="s">
        <v>11</v>
      </c>
      <c r="G28" s="9"/>
      <c r="H28" s="12" t="str">
        <f t="shared" si="2"/>
        <v/>
      </c>
      <c r="I28" s="23"/>
    </row>
    <row r="29" spans="2:9" x14ac:dyDescent="0.2">
      <c r="B29" s="8" t="s">
        <v>12</v>
      </c>
      <c r="C29" s="14"/>
      <c r="D29" s="12" t="str">
        <f t="shared" si="3"/>
        <v/>
      </c>
      <c r="E29" s="17"/>
      <c r="F29" s="8" t="s">
        <v>12</v>
      </c>
      <c r="G29" s="54">
        <v>-11329060</v>
      </c>
      <c r="H29" s="12">
        <f t="shared" si="2"/>
        <v>-5.1501578549663037E-4</v>
      </c>
      <c r="I29" s="23"/>
    </row>
    <row r="30" spans="2:9" x14ac:dyDescent="0.2">
      <c r="B30" s="8" t="s">
        <v>13</v>
      </c>
      <c r="C30" s="14"/>
      <c r="D30" s="12" t="str">
        <f t="shared" si="3"/>
        <v/>
      </c>
      <c r="E30" s="17"/>
      <c r="F30" s="8" t="s">
        <v>13</v>
      </c>
      <c r="G30" s="15">
        <v>-18352</v>
      </c>
      <c r="H30" s="12">
        <f t="shared" si="2"/>
        <v>-8.3427660330461321E-7</v>
      </c>
      <c r="I30" s="23"/>
    </row>
    <row r="31" spans="2:9" x14ac:dyDescent="0.2">
      <c r="B31" s="8" t="s">
        <v>14</v>
      </c>
      <c r="C31" s="14">
        <v>166096.62640000001</v>
      </c>
      <c r="D31" s="12">
        <f t="shared" si="3"/>
        <v>4.5291801905769855E-3</v>
      </c>
      <c r="E31" s="17"/>
      <c r="F31" s="8" t="s">
        <v>14</v>
      </c>
      <c r="G31" s="9"/>
      <c r="H31" s="12" t="str">
        <f t="shared" si="2"/>
        <v/>
      </c>
    </row>
    <row r="32" spans="2:9" x14ac:dyDescent="0.2">
      <c r="B32" s="8" t="s">
        <v>15</v>
      </c>
      <c r="C32" s="14"/>
      <c r="D32" s="12" t="str">
        <f t="shared" si="3"/>
        <v/>
      </c>
      <c r="E32" s="17"/>
      <c r="F32" s="8" t="s">
        <v>15</v>
      </c>
      <c r="G32" s="15"/>
      <c r="H32" s="12" t="str">
        <f t="shared" si="2"/>
        <v/>
      </c>
    </row>
    <row r="33" spans="1:13" x14ac:dyDescent="0.2">
      <c r="B33" s="8" t="s">
        <v>16</v>
      </c>
      <c r="C33" s="14">
        <v>-50.9</v>
      </c>
      <c r="D33" s="12">
        <f t="shared" si="3"/>
        <v>-1.3879587845763046E-6</v>
      </c>
      <c r="E33" s="17"/>
      <c r="F33" s="8" t="s">
        <v>16</v>
      </c>
      <c r="G33" s="15">
        <v>-42732</v>
      </c>
      <c r="H33" s="12">
        <f t="shared" si="2"/>
        <v>-1.9425843402578862E-6</v>
      </c>
    </row>
    <row r="34" spans="1:13" x14ac:dyDescent="0.2">
      <c r="B34" s="18" t="s">
        <v>17</v>
      </c>
      <c r="C34" s="57">
        <f>SUM(C22:C33)</f>
        <v>3412.6656000000016</v>
      </c>
      <c r="D34" s="20">
        <f>SUM(D22:D33)</f>
        <v>9.3057744564663085E-5</v>
      </c>
      <c r="E34" s="21"/>
      <c r="F34" s="18" t="s">
        <v>17</v>
      </c>
      <c r="G34" s="19">
        <f>SUM(G22:G33)</f>
        <v>-10128997</v>
      </c>
      <c r="H34" s="20">
        <f>SUM(H22:H33)</f>
        <v>-4.6046126918279298E-4</v>
      </c>
      <c r="I34" s="24"/>
    </row>
    <row r="35" spans="1:13" x14ac:dyDescent="0.2">
      <c r="C35" s="25"/>
      <c r="G35" s="25"/>
    </row>
    <row r="36" spans="1:13" ht="25.5" x14ac:dyDescent="0.2">
      <c r="A36" s="1" t="s">
        <v>20</v>
      </c>
      <c r="B36" s="6" t="s">
        <v>21</v>
      </c>
      <c r="C36" s="6" t="s">
        <v>2</v>
      </c>
      <c r="D36" s="6" t="s">
        <v>3</v>
      </c>
      <c r="E36" s="26"/>
      <c r="F36" s="6" t="s">
        <v>22</v>
      </c>
      <c r="G36" s="6" t="s">
        <v>2</v>
      </c>
      <c r="H36" s="6" t="s">
        <v>3</v>
      </c>
    </row>
    <row r="37" spans="1:13" x14ac:dyDescent="0.2">
      <c r="B37" s="8" t="s">
        <v>5</v>
      </c>
      <c r="C37" s="9">
        <v>5034644</v>
      </c>
      <c r="D37" s="12">
        <f t="shared" ref="D37:D48" si="4">+IF(C37/$C$114=0,"",C37/$C$114)</f>
        <v>6.4685119756855184E-5</v>
      </c>
      <c r="E37" s="11"/>
      <c r="F37" s="8" t="s">
        <v>5</v>
      </c>
      <c r="G37" s="9"/>
      <c r="H37" s="12" t="str">
        <f t="shared" ref="H37:H48" si="5">+IF(G37/$C$109=0,"",G37/$C$109)</f>
        <v/>
      </c>
      <c r="K37" s="27"/>
      <c r="M37" s="28"/>
    </row>
    <row r="38" spans="1:13" x14ac:dyDescent="0.2">
      <c r="B38" s="8" t="s">
        <v>6</v>
      </c>
      <c r="C38" s="9">
        <v>-2464368</v>
      </c>
      <c r="D38" s="12">
        <f t="shared" si="4"/>
        <v>-3.1662206742912052E-5</v>
      </c>
      <c r="E38" s="11"/>
      <c r="F38" s="8" t="s">
        <v>6</v>
      </c>
      <c r="G38" s="9"/>
      <c r="H38" s="12" t="str">
        <f t="shared" si="5"/>
        <v/>
      </c>
    </row>
    <row r="39" spans="1:13" x14ac:dyDescent="0.2">
      <c r="B39" s="8" t="s">
        <v>7</v>
      </c>
      <c r="C39" s="14"/>
      <c r="D39" s="12" t="str">
        <f t="shared" si="4"/>
        <v/>
      </c>
      <c r="E39" s="11"/>
      <c r="F39" s="8" t="s">
        <v>7</v>
      </c>
      <c r="G39" s="14"/>
      <c r="H39" s="12" t="str">
        <f t="shared" si="5"/>
        <v/>
      </c>
    </row>
    <row r="40" spans="1:13" x14ac:dyDescent="0.2">
      <c r="B40" s="8" t="s">
        <v>8</v>
      </c>
      <c r="C40" s="9"/>
      <c r="D40" s="12" t="str">
        <f t="shared" si="4"/>
        <v/>
      </c>
      <c r="E40" s="11"/>
      <c r="F40" s="8" t="s">
        <v>8</v>
      </c>
      <c r="G40" s="9"/>
      <c r="H40" s="12" t="str">
        <f t="shared" si="5"/>
        <v/>
      </c>
    </row>
    <row r="41" spans="1:13" x14ac:dyDescent="0.2">
      <c r="B41" s="8" t="s">
        <v>9</v>
      </c>
      <c r="C41" s="9"/>
      <c r="D41" s="12" t="str">
        <f t="shared" si="4"/>
        <v/>
      </c>
      <c r="E41" s="11"/>
      <c r="F41" s="8" t="s">
        <v>9</v>
      </c>
      <c r="G41" s="9"/>
      <c r="H41" s="12" t="str">
        <f t="shared" si="5"/>
        <v/>
      </c>
    </row>
    <row r="42" spans="1:13" x14ac:dyDescent="0.2">
      <c r="B42" s="8" t="s">
        <v>10</v>
      </c>
      <c r="C42" s="9"/>
      <c r="D42" s="12" t="str">
        <f t="shared" si="4"/>
        <v/>
      </c>
      <c r="E42" s="11"/>
      <c r="F42" s="8" t="s">
        <v>10</v>
      </c>
      <c r="G42" s="9"/>
      <c r="H42" s="12" t="str">
        <f t="shared" si="5"/>
        <v/>
      </c>
    </row>
    <row r="43" spans="1:13" x14ac:dyDescent="0.2">
      <c r="B43" s="8" t="s">
        <v>11</v>
      </c>
      <c r="C43" s="9"/>
      <c r="D43" s="12" t="str">
        <f t="shared" si="4"/>
        <v/>
      </c>
      <c r="E43" s="11"/>
      <c r="F43" s="8" t="s">
        <v>23</v>
      </c>
      <c r="G43" s="9"/>
      <c r="H43" s="12" t="str">
        <f t="shared" si="5"/>
        <v/>
      </c>
      <c r="I43" s="52"/>
    </row>
    <row r="44" spans="1:13" x14ac:dyDescent="0.2">
      <c r="B44" s="8" t="s">
        <v>12</v>
      </c>
      <c r="C44" s="15">
        <v>-127086549</v>
      </c>
      <c r="D44" s="12">
        <f t="shared" si="4"/>
        <v>-1.6328083259810314E-3</v>
      </c>
      <c r="E44" s="11"/>
      <c r="F44" s="8" t="s">
        <v>12</v>
      </c>
      <c r="G44" s="15"/>
      <c r="H44" s="12" t="str">
        <f t="shared" si="5"/>
        <v/>
      </c>
    </row>
    <row r="45" spans="1:13" x14ac:dyDescent="0.2">
      <c r="B45" s="8" t="s">
        <v>13</v>
      </c>
      <c r="C45" s="15">
        <v>-53494621</v>
      </c>
      <c r="D45" s="12">
        <f t="shared" si="4"/>
        <v>-6.8729903558872884E-4</v>
      </c>
      <c r="E45" s="11"/>
      <c r="F45" s="8" t="s">
        <v>13</v>
      </c>
      <c r="G45" s="15">
        <v>5829138</v>
      </c>
      <c r="H45" s="12">
        <f t="shared" si="5"/>
        <v>1.1513225632130905E-3</v>
      </c>
    </row>
    <row r="46" spans="1:13" x14ac:dyDescent="0.2">
      <c r="B46" s="8" t="s">
        <v>14</v>
      </c>
      <c r="C46" s="9"/>
      <c r="D46" s="12" t="str">
        <f t="shared" si="4"/>
        <v/>
      </c>
      <c r="E46" s="11"/>
      <c r="F46" s="8" t="s">
        <v>14</v>
      </c>
      <c r="G46" s="9"/>
      <c r="H46" s="12" t="str">
        <f t="shared" si="5"/>
        <v/>
      </c>
    </row>
    <row r="47" spans="1:13" x14ac:dyDescent="0.2">
      <c r="B47" s="8" t="s">
        <v>15</v>
      </c>
      <c r="C47" s="15"/>
      <c r="D47" s="12" t="str">
        <f t="shared" si="4"/>
        <v/>
      </c>
      <c r="E47" s="11"/>
      <c r="F47" s="8" t="s">
        <v>15</v>
      </c>
      <c r="G47" s="15"/>
      <c r="H47" s="12" t="str">
        <f t="shared" si="5"/>
        <v/>
      </c>
    </row>
    <row r="48" spans="1:13" x14ac:dyDescent="0.2">
      <c r="B48" s="8" t="s">
        <v>16</v>
      </c>
      <c r="C48" s="15">
        <v>-65774</v>
      </c>
      <c r="D48" s="12">
        <f t="shared" si="4"/>
        <v>-8.4506453026021153E-7</v>
      </c>
      <c r="E48" s="11"/>
      <c r="F48" s="8" t="s">
        <v>16</v>
      </c>
      <c r="G48" s="15">
        <v>-41716</v>
      </c>
      <c r="H48" s="12">
        <f t="shared" si="5"/>
        <v>-8.2393952668468786E-6</v>
      </c>
    </row>
    <row r="49" spans="2:9" x14ac:dyDescent="0.2">
      <c r="B49" s="18" t="s">
        <v>17</v>
      </c>
      <c r="C49" s="19">
        <f>SUM(C37:C48)</f>
        <v>-178076668</v>
      </c>
      <c r="D49" s="20">
        <f>SUM(D37:D48)</f>
        <v>-2.2879295130860773E-3</v>
      </c>
      <c r="E49" s="21"/>
      <c r="F49" s="18" t="s">
        <v>17</v>
      </c>
      <c r="G49" s="19">
        <f>SUM(G37:G48)</f>
        <v>5787422</v>
      </c>
      <c r="H49" s="20">
        <f>SUM(H37:H48)</f>
        <v>1.1430831679462435E-3</v>
      </c>
      <c r="I49" s="29"/>
    </row>
    <row r="50" spans="2:9" x14ac:dyDescent="0.2">
      <c r="C50" s="25"/>
      <c r="G50" s="30"/>
    </row>
    <row r="51" spans="2:9" x14ac:dyDescent="0.2">
      <c r="C51" s="25"/>
      <c r="G51" s="30"/>
    </row>
    <row r="52" spans="2:9" ht="25.5" x14ac:dyDescent="0.2">
      <c r="B52" s="6" t="s">
        <v>24</v>
      </c>
      <c r="C52" s="6" t="s">
        <v>2</v>
      </c>
      <c r="D52" s="6" t="s">
        <v>3</v>
      </c>
      <c r="E52" s="26"/>
      <c r="F52" s="6" t="s">
        <v>25</v>
      </c>
      <c r="G52" s="6" t="s">
        <v>2</v>
      </c>
      <c r="H52" s="6" t="s">
        <v>3</v>
      </c>
    </row>
    <row r="53" spans="2:9" x14ac:dyDescent="0.2">
      <c r="B53" s="8" t="s">
        <v>5</v>
      </c>
      <c r="C53" s="9"/>
      <c r="D53" s="12" t="str">
        <f t="shared" ref="D53:D64" si="6">+IF(C53/$C$107=0,"",C53/$C$107)</f>
        <v/>
      </c>
      <c r="E53" s="11"/>
      <c r="F53" s="8" t="s">
        <v>5</v>
      </c>
      <c r="G53" s="31">
        <v>15643.2009</v>
      </c>
      <c r="H53" s="12">
        <f t="shared" ref="H53:H64" si="7">+IF(G53/$C$115=0,"",G53/$C$115)</f>
        <v>1.2853028824772145E-4</v>
      </c>
    </row>
    <row r="54" spans="2:9" x14ac:dyDescent="0.2">
      <c r="B54" s="8" t="s">
        <v>6</v>
      </c>
      <c r="C54" s="9"/>
      <c r="D54" s="12" t="str">
        <f t="shared" si="6"/>
        <v/>
      </c>
      <c r="E54" s="11"/>
      <c r="F54" s="8" t="s">
        <v>6</v>
      </c>
      <c r="G54" s="9"/>
      <c r="H54" s="12" t="str">
        <f t="shared" si="7"/>
        <v/>
      </c>
    </row>
    <row r="55" spans="2:9" x14ac:dyDescent="0.2">
      <c r="B55" s="8" t="s">
        <v>7</v>
      </c>
      <c r="C55" s="14"/>
      <c r="D55" s="12" t="str">
        <f t="shared" si="6"/>
        <v/>
      </c>
      <c r="E55" s="11"/>
      <c r="F55" s="8" t="s">
        <v>7</v>
      </c>
      <c r="G55" s="14"/>
      <c r="H55" s="12" t="str">
        <f t="shared" si="7"/>
        <v/>
      </c>
    </row>
    <row r="56" spans="2:9" x14ac:dyDescent="0.2">
      <c r="B56" s="8" t="s">
        <v>8</v>
      </c>
      <c r="C56" s="9"/>
      <c r="D56" s="12" t="str">
        <f t="shared" si="6"/>
        <v/>
      </c>
      <c r="E56" s="11"/>
      <c r="F56" s="8" t="s">
        <v>8</v>
      </c>
      <c r="G56" s="9"/>
      <c r="H56" s="12" t="str">
        <f t="shared" si="7"/>
        <v/>
      </c>
    </row>
    <row r="57" spans="2:9" x14ac:dyDescent="0.2">
      <c r="B57" s="8" t="s">
        <v>9</v>
      </c>
      <c r="C57" s="9"/>
      <c r="D57" s="12" t="str">
        <f t="shared" si="6"/>
        <v/>
      </c>
      <c r="E57" s="11"/>
      <c r="F57" s="8" t="s">
        <v>9</v>
      </c>
      <c r="G57" s="9"/>
      <c r="H57" s="12" t="str">
        <f t="shared" si="7"/>
        <v/>
      </c>
    </row>
    <row r="58" spans="2:9" x14ac:dyDescent="0.2">
      <c r="B58" s="8" t="s">
        <v>10</v>
      </c>
      <c r="C58" s="9"/>
      <c r="D58" s="12" t="str">
        <f t="shared" si="6"/>
        <v/>
      </c>
      <c r="E58" s="11"/>
      <c r="F58" s="8" t="s">
        <v>10</v>
      </c>
      <c r="G58" s="9"/>
      <c r="H58" s="12" t="str">
        <f t="shared" si="7"/>
        <v/>
      </c>
    </row>
    <row r="59" spans="2:9" x14ac:dyDescent="0.2">
      <c r="B59" s="8" t="s">
        <v>11</v>
      </c>
      <c r="C59" s="9"/>
      <c r="D59" s="12" t="str">
        <f t="shared" si="6"/>
        <v/>
      </c>
      <c r="E59" s="11"/>
      <c r="F59" s="8" t="s">
        <v>11</v>
      </c>
      <c r="G59" s="9"/>
      <c r="H59" s="12" t="str">
        <f t="shared" si="7"/>
        <v/>
      </c>
    </row>
    <row r="60" spans="2:9" x14ac:dyDescent="0.2">
      <c r="B60" s="8" t="s">
        <v>12</v>
      </c>
      <c r="C60" s="15"/>
      <c r="D60" s="12" t="str">
        <f t="shared" si="6"/>
        <v/>
      </c>
      <c r="E60" s="11"/>
      <c r="F60" s="8" t="s">
        <v>12</v>
      </c>
      <c r="G60" s="32">
        <v>-7689.6176999999998</v>
      </c>
      <c r="H60" s="12">
        <f t="shared" si="7"/>
        <v>-6.3180725339644577E-5</v>
      </c>
    </row>
    <row r="61" spans="2:9" x14ac:dyDescent="0.2">
      <c r="B61" s="8" t="s">
        <v>13</v>
      </c>
      <c r="C61" s="15">
        <v>-567394</v>
      </c>
      <c r="D61" s="12">
        <f t="shared" si="6"/>
        <v>-2.7043101098821828E-5</v>
      </c>
      <c r="E61" s="11"/>
      <c r="F61" s="8" t="s">
        <v>13</v>
      </c>
      <c r="G61" s="15"/>
      <c r="H61" s="12" t="str">
        <f t="shared" si="7"/>
        <v/>
      </c>
    </row>
    <row r="62" spans="2:9" x14ac:dyDescent="0.2">
      <c r="B62" s="8" t="s">
        <v>14</v>
      </c>
      <c r="C62" s="9"/>
      <c r="D62" s="12" t="str">
        <f t="shared" si="6"/>
        <v/>
      </c>
      <c r="E62" s="11"/>
      <c r="F62" s="8" t="s">
        <v>14</v>
      </c>
      <c r="G62" s="9"/>
      <c r="H62" s="12" t="str">
        <f t="shared" si="7"/>
        <v/>
      </c>
    </row>
    <row r="63" spans="2:9" x14ac:dyDescent="0.2">
      <c r="B63" s="8" t="s">
        <v>15</v>
      </c>
      <c r="C63" s="15"/>
      <c r="D63" s="12" t="str">
        <f t="shared" si="6"/>
        <v/>
      </c>
      <c r="E63" s="11"/>
      <c r="F63" s="8" t="s">
        <v>15</v>
      </c>
      <c r="G63" s="32"/>
      <c r="H63" s="12" t="str">
        <f t="shared" si="7"/>
        <v/>
      </c>
    </row>
    <row r="64" spans="2:9" x14ac:dyDescent="0.2">
      <c r="B64" s="8" t="s">
        <v>16</v>
      </c>
      <c r="C64" s="15">
        <v>-173707</v>
      </c>
      <c r="D64" s="12">
        <f t="shared" si="6"/>
        <v>-8.2792133201497422E-6</v>
      </c>
      <c r="E64" s="11"/>
      <c r="F64" s="8" t="s">
        <v>16</v>
      </c>
      <c r="G64" s="32">
        <v>-42.14</v>
      </c>
      <c r="H64" s="12">
        <f t="shared" si="7"/>
        <v>-3.4623772854307472E-7</v>
      </c>
    </row>
    <row r="65" spans="2:8" x14ac:dyDescent="0.2">
      <c r="B65" s="18" t="s">
        <v>17</v>
      </c>
      <c r="C65" s="19">
        <f>SUM(C53:C64)</f>
        <v>-741101</v>
      </c>
      <c r="D65" s="20">
        <f>SUM(D53:D64)</f>
        <v>-3.532231441897157E-5</v>
      </c>
      <c r="E65" s="21"/>
      <c r="F65" s="18" t="s">
        <v>17</v>
      </c>
      <c r="G65" s="57">
        <f>SUM(G53:G64)</f>
        <v>7911.4431999999997</v>
      </c>
      <c r="H65" s="20">
        <f>SUM(H53:H64)</f>
        <v>6.50033251795338E-5</v>
      </c>
    </row>
    <row r="66" spans="2:8" x14ac:dyDescent="0.2">
      <c r="C66" s="25"/>
      <c r="G66" s="30"/>
    </row>
    <row r="67" spans="2:8" ht="25.5" x14ac:dyDescent="0.2">
      <c r="B67" s="6" t="s">
        <v>26</v>
      </c>
      <c r="C67" s="6" t="s">
        <v>2</v>
      </c>
      <c r="D67" s="6" t="s">
        <v>3</v>
      </c>
      <c r="E67" s="26"/>
      <c r="F67" s="6" t="s">
        <v>27</v>
      </c>
      <c r="G67" s="6" t="s">
        <v>2</v>
      </c>
      <c r="H67" s="6" t="s">
        <v>3</v>
      </c>
    </row>
    <row r="68" spans="2:8" x14ac:dyDescent="0.2">
      <c r="B68" s="8" t="s">
        <v>5</v>
      </c>
      <c r="C68" s="9"/>
      <c r="D68" s="12" t="str">
        <f>+IF(C68/$C$108=0,"",C68/$C$108)</f>
        <v/>
      </c>
      <c r="E68" s="11"/>
      <c r="F68" s="8" t="s">
        <v>5</v>
      </c>
      <c r="G68" s="9"/>
      <c r="H68" s="12" t="str">
        <f>+IF(G68/$C$110=0,"",G68/$C$110)</f>
        <v/>
      </c>
    </row>
    <row r="69" spans="2:8" x14ac:dyDescent="0.2">
      <c r="B69" s="8" t="s">
        <v>6</v>
      </c>
      <c r="C69" s="9"/>
      <c r="D69" s="12" t="str">
        <f t="shared" ref="D69:D79" si="8">+IF(C69/$C$108=0,"",C69/$C$108)</f>
        <v/>
      </c>
      <c r="E69" s="11"/>
      <c r="F69" s="8" t="s">
        <v>6</v>
      </c>
      <c r="G69" s="9"/>
      <c r="H69" s="12" t="str">
        <f t="shared" ref="H69:H79" si="9">+IF(G69/$C$110=0,"",G69/$C$110)</f>
        <v/>
      </c>
    </row>
    <row r="70" spans="2:8" x14ac:dyDescent="0.2">
      <c r="B70" s="8" t="s">
        <v>7</v>
      </c>
      <c r="C70" s="14"/>
      <c r="D70" s="12" t="str">
        <f t="shared" si="8"/>
        <v/>
      </c>
      <c r="E70" s="11"/>
      <c r="F70" s="8" t="s">
        <v>7</v>
      </c>
      <c r="G70" s="14"/>
      <c r="H70" s="12" t="str">
        <f t="shared" si="9"/>
        <v/>
      </c>
    </row>
    <row r="71" spans="2:8" x14ac:dyDescent="0.2">
      <c r="B71" s="8" t="s">
        <v>8</v>
      </c>
      <c r="C71" s="9"/>
      <c r="D71" s="12" t="str">
        <f t="shared" si="8"/>
        <v/>
      </c>
      <c r="E71" s="11"/>
      <c r="F71" s="8" t="s">
        <v>8</v>
      </c>
      <c r="G71" s="9"/>
      <c r="H71" s="12" t="str">
        <f t="shared" si="9"/>
        <v/>
      </c>
    </row>
    <row r="72" spans="2:8" x14ac:dyDescent="0.2">
      <c r="B72" s="8" t="s">
        <v>9</v>
      </c>
      <c r="C72" s="9">
        <v>-1431130</v>
      </c>
      <c r="D72" s="12">
        <f t="shared" si="8"/>
        <v>-1.1766679046810056E-4</v>
      </c>
      <c r="E72" s="11"/>
      <c r="F72" s="8" t="s">
        <v>9</v>
      </c>
      <c r="G72" s="9">
        <v>-1817786</v>
      </c>
      <c r="H72" s="12">
        <f t="shared" si="9"/>
        <v>-2.8972883766891638E-4</v>
      </c>
    </row>
    <row r="73" spans="2:8" x14ac:dyDescent="0.2">
      <c r="B73" s="8" t="s">
        <v>10</v>
      </c>
      <c r="C73" s="9"/>
      <c r="D73" s="12" t="str">
        <f t="shared" si="8"/>
        <v/>
      </c>
      <c r="E73" s="11"/>
      <c r="F73" s="8" t="s">
        <v>28</v>
      </c>
      <c r="G73" s="9"/>
      <c r="H73" s="12" t="str">
        <f t="shared" si="9"/>
        <v/>
      </c>
    </row>
    <row r="74" spans="2:8" x14ac:dyDescent="0.2">
      <c r="B74" s="8" t="s">
        <v>11</v>
      </c>
      <c r="C74" s="9"/>
      <c r="D74" s="12" t="str">
        <f t="shared" si="8"/>
        <v/>
      </c>
      <c r="E74" s="11"/>
      <c r="F74" s="8" t="s">
        <v>11</v>
      </c>
      <c r="G74" s="9"/>
      <c r="H74" s="12" t="str">
        <f t="shared" si="9"/>
        <v/>
      </c>
    </row>
    <row r="75" spans="2:8" x14ac:dyDescent="0.2">
      <c r="B75" s="8" t="s">
        <v>12</v>
      </c>
      <c r="C75" s="15"/>
      <c r="D75" s="12" t="str">
        <f t="shared" si="8"/>
        <v/>
      </c>
      <c r="E75" s="11"/>
      <c r="F75" s="8" t="s">
        <v>12</v>
      </c>
      <c r="G75" s="15"/>
      <c r="H75" s="12" t="str">
        <f t="shared" si="9"/>
        <v/>
      </c>
    </row>
    <row r="76" spans="2:8" x14ac:dyDescent="0.2">
      <c r="B76" s="8" t="s">
        <v>13</v>
      </c>
      <c r="C76" s="15">
        <v>64142582</v>
      </c>
      <c r="D76" s="12">
        <f t="shared" si="8"/>
        <v>5.2737709057017589E-3</v>
      </c>
      <c r="E76" s="11"/>
      <c r="F76" s="8" t="s">
        <v>13</v>
      </c>
      <c r="G76" s="15">
        <v>1154419</v>
      </c>
      <c r="H76" s="12">
        <f t="shared" si="9"/>
        <v>1.8399771758221967E-4</v>
      </c>
    </row>
    <row r="77" spans="2:8" x14ac:dyDescent="0.2">
      <c r="B77" s="8" t="s">
        <v>14</v>
      </c>
      <c r="C77" s="9">
        <v>-86308904</v>
      </c>
      <c r="D77" s="12">
        <f t="shared" si="8"/>
        <v>-7.0962747776228616E-3</v>
      </c>
      <c r="E77" s="11"/>
      <c r="F77" s="8" t="s">
        <v>14</v>
      </c>
      <c r="G77" s="9">
        <v>-43176497</v>
      </c>
      <c r="H77" s="12">
        <f t="shared" si="9"/>
        <v>-6.8817101080245174E-3</v>
      </c>
    </row>
    <row r="78" spans="2:8" x14ac:dyDescent="0.2">
      <c r="B78" s="8" t="s">
        <v>15</v>
      </c>
      <c r="C78" s="15"/>
      <c r="D78" s="12" t="str">
        <f t="shared" si="8"/>
        <v/>
      </c>
      <c r="E78" s="11"/>
      <c r="F78" s="8" t="s">
        <v>15</v>
      </c>
      <c r="G78" s="15"/>
      <c r="H78" s="12" t="str">
        <f t="shared" si="9"/>
        <v/>
      </c>
    </row>
    <row r="79" spans="2:8" x14ac:dyDescent="0.2">
      <c r="B79" s="8" t="s">
        <v>16</v>
      </c>
      <c r="C79" s="15">
        <v>-12309</v>
      </c>
      <c r="D79" s="12">
        <f t="shared" si="8"/>
        <v>-1.0120398034223654E-6</v>
      </c>
      <c r="E79" s="11"/>
      <c r="F79" s="8" t="s">
        <v>16</v>
      </c>
      <c r="G79" s="15">
        <v>-12309</v>
      </c>
      <c r="H79" s="12">
        <f t="shared" si="9"/>
        <v>-1.9618768451658732E-6</v>
      </c>
    </row>
    <row r="80" spans="2:8" x14ac:dyDescent="0.2">
      <c r="B80" s="18" t="s">
        <v>17</v>
      </c>
      <c r="C80" s="19">
        <f>SUM(C68:C79)</f>
        <v>-23609761</v>
      </c>
      <c r="D80" s="20">
        <f>SUM(D68:D79)</f>
        <v>-1.9411827021926255E-3</v>
      </c>
      <c r="E80" s="21"/>
      <c r="F80" s="18" t="s">
        <v>17</v>
      </c>
      <c r="G80" s="19">
        <f>SUM(G68:G79)</f>
        <v>-43852173</v>
      </c>
      <c r="H80" s="20">
        <f>SUM(H68:H79)</f>
        <v>-6.9894031049563803E-3</v>
      </c>
    </row>
    <row r="81" spans="2:7" x14ac:dyDescent="0.2">
      <c r="C81" s="25"/>
      <c r="G81" s="30"/>
    </row>
    <row r="82" spans="2:7" ht="25.5" x14ac:dyDescent="0.2">
      <c r="B82" s="6" t="s">
        <v>29</v>
      </c>
      <c r="C82" s="6"/>
      <c r="D82" s="6" t="s">
        <v>3</v>
      </c>
      <c r="G82" s="30"/>
    </row>
    <row r="83" spans="2:7" x14ac:dyDescent="0.2">
      <c r="B83" s="33" t="s">
        <v>30</v>
      </c>
      <c r="C83" s="34"/>
      <c r="D83" s="12" t="e">
        <f>+IF(C83/#REF!=0,"",C83/#REF!)</f>
        <v>#REF!</v>
      </c>
      <c r="G83" s="30"/>
    </row>
    <row r="84" spans="2:7" x14ac:dyDescent="0.2">
      <c r="B84" s="35" t="s">
        <v>31</v>
      </c>
      <c r="C84" s="34"/>
      <c r="D84" s="12" t="e">
        <f>+IF(C84/#REF!=0,"",C84/#REF!)</f>
        <v>#REF!</v>
      </c>
      <c r="G84" s="30"/>
    </row>
    <row r="85" spans="2:7" x14ac:dyDescent="0.2">
      <c r="B85" s="35" t="s">
        <v>32</v>
      </c>
      <c r="C85" s="36"/>
      <c r="D85" s="12" t="e">
        <f>+IF(C85/#REF!=0,"",C85/#REF!)</f>
        <v>#REF!</v>
      </c>
      <c r="G85" s="30"/>
    </row>
    <row r="86" spans="2:7" x14ac:dyDescent="0.2">
      <c r="B86" s="35" t="s">
        <v>33</v>
      </c>
      <c r="C86" s="34"/>
      <c r="D86" s="12" t="e">
        <f>+IF(C86/#REF!=0,"",C86/#REF!)</f>
        <v>#REF!</v>
      </c>
      <c r="G86" s="30"/>
    </row>
    <row r="87" spans="2:7" x14ac:dyDescent="0.2">
      <c r="B87" s="35" t="s">
        <v>7</v>
      </c>
      <c r="C87" s="34"/>
      <c r="D87" s="12" t="e">
        <f>+IF(C87/#REF!=0,"",C87/#REF!)</f>
        <v>#REF!</v>
      </c>
      <c r="G87" s="30"/>
    </row>
    <row r="88" spans="2:7" x14ac:dyDescent="0.2">
      <c r="B88" s="35"/>
      <c r="C88" s="37"/>
      <c r="D88" s="12"/>
      <c r="G88" s="30"/>
    </row>
    <row r="89" spans="2:7" x14ac:dyDescent="0.2">
      <c r="B89" s="35"/>
      <c r="C89" s="37"/>
      <c r="D89" s="12"/>
      <c r="G89" s="30"/>
    </row>
    <row r="90" spans="2:7" x14ac:dyDescent="0.2">
      <c r="B90" s="18" t="s">
        <v>17</v>
      </c>
      <c r="C90" s="38"/>
      <c r="D90" s="20" t="e">
        <f>SUM(D83:D89)</f>
        <v>#REF!</v>
      </c>
      <c r="E90" s="39"/>
      <c r="G90" s="40"/>
    </row>
    <row r="91" spans="2:7" x14ac:dyDescent="0.2">
      <c r="C91" s="25"/>
      <c r="G91" s="30"/>
    </row>
    <row r="92" spans="2:7" x14ac:dyDescent="0.2">
      <c r="C92" s="25"/>
      <c r="G92" s="30"/>
    </row>
    <row r="93" spans="2:7" x14ac:dyDescent="0.2">
      <c r="C93" s="25"/>
      <c r="G93" s="30"/>
    </row>
    <row r="94" spans="2:7" x14ac:dyDescent="0.2">
      <c r="C94" s="25"/>
      <c r="G94" s="30"/>
    </row>
    <row r="95" spans="2:7" ht="25.5" x14ac:dyDescent="0.2">
      <c r="B95" s="6" t="s">
        <v>25</v>
      </c>
      <c r="C95" s="6"/>
      <c r="D95" s="6" t="s">
        <v>3</v>
      </c>
      <c r="E95" s="22"/>
      <c r="F95" s="2"/>
    </row>
    <row r="96" spans="2:7" x14ac:dyDescent="0.2">
      <c r="B96" s="33"/>
      <c r="C96" s="41"/>
      <c r="D96" s="12" t="str">
        <f>+IF(C96/$C$115=0,"",C96/$C$115)</f>
        <v/>
      </c>
      <c r="E96" s="17"/>
      <c r="F96" s="2"/>
    </row>
    <row r="97" spans="2:8" x14ac:dyDescent="0.2">
      <c r="B97" s="35" t="s">
        <v>34</v>
      </c>
      <c r="C97" s="42"/>
      <c r="D97" s="12" t="str">
        <f t="shared" ref="D97:D102" si="10">+IF(C97/$C$115=0,"",C97/$C$115)</f>
        <v/>
      </c>
      <c r="E97" s="17"/>
      <c r="F97" s="2"/>
    </row>
    <row r="98" spans="2:8" x14ac:dyDescent="0.2">
      <c r="B98" s="35" t="s">
        <v>35</v>
      </c>
      <c r="C98" s="42"/>
      <c r="D98" s="12" t="str">
        <f t="shared" si="10"/>
        <v/>
      </c>
      <c r="E98" s="17"/>
      <c r="F98" s="2"/>
    </row>
    <row r="99" spans="2:8" x14ac:dyDescent="0.2">
      <c r="B99" s="35" t="s">
        <v>36</v>
      </c>
      <c r="C99" s="42"/>
      <c r="D99" s="12" t="str">
        <f t="shared" si="10"/>
        <v/>
      </c>
      <c r="E99" s="17"/>
      <c r="F99" s="2"/>
    </row>
    <row r="100" spans="2:8" x14ac:dyDescent="0.2">
      <c r="B100" s="35" t="s">
        <v>37</v>
      </c>
      <c r="C100" s="42"/>
      <c r="D100" s="12" t="str">
        <f t="shared" si="10"/>
        <v/>
      </c>
      <c r="E100" s="17"/>
      <c r="F100" s="2"/>
    </row>
    <row r="101" spans="2:8" x14ac:dyDescent="0.2">
      <c r="B101" s="35" t="s">
        <v>38</v>
      </c>
      <c r="C101" s="37"/>
      <c r="D101" s="12" t="str">
        <f t="shared" si="10"/>
        <v/>
      </c>
      <c r="E101" s="17"/>
      <c r="F101" s="2"/>
    </row>
    <row r="102" spans="2:8" x14ac:dyDescent="0.2">
      <c r="B102" s="35"/>
      <c r="C102" s="41"/>
      <c r="D102" s="12" t="str">
        <f t="shared" si="10"/>
        <v/>
      </c>
      <c r="E102" s="17"/>
      <c r="F102" s="2"/>
    </row>
    <row r="103" spans="2:8" x14ac:dyDescent="0.2">
      <c r="B103" s="18" t="s">
        <v>17</v>
      </c>
      <c r="C103" s="38">
        <f>SUM(C96:C102)</f>
        <v>0</v>
      </c>
      <c r="D103" s="20">
        <f>SUM(D96:D102)</f>
        <v>0</v>
      </c>
      <c r="E103" s="21"/>
    </row>
    <row r="104" spans="2:8" x14ac:dyDescent="0.2">
      <c r="B104" s="2"/>
      <c r="C104" s="43"/>
      <c r="D104" s="17"/>
      <c r="E104" s="44"/>
      <c r="F104" s="2"/>
      <c r="H104" s="17"/>
    </row>
    <row r="105" spans="2:8" ht="25.5" x14ac:dyDescent="0.2">
      <c r="B105" s="6" t="s">
        <v>39</v>
      </c>
      <c r="C105" s="6" t="s">
        <v>40</v>
      </c>
      <c r="D105" s="6" t="s">
        <v>41</v>
      </c>
      <c r="F105" s="6" t="s">
        <v>42</v>
      </c>
    </row>
    <row r="106" spans="2:8" x14ac:dyDescent="0.2">
      <c r="B106" s="122" t="s">
        <v>19</v>
      </c>
      <c r="C106" s="123">
        <v>21997500501.999901</v>
      </c>
      <c r="D106" s="46"/>
      <c r="E106" s="1"/>
      <c r="F106" s="45"/>
      <c r="H106" s="17"/>
    </row>
    <row r="107" spans="2:8" x14ac:dyDescent="0.2">
      <c r="B107" s="122" t="s">
        <v>24</v>
      </c>
      <c r="C107" s="123">
        <v>20981099687</v>
      </c>
      <c r="D107" s="46"/>
      <c r="E107" s="47"/>
      <c r="F107" s="45"/>
      <c r="G107" s="5"/>
      <c r="H107" s="5"/>
    </row>
    <row r="108" spans="2:8" x14ac:dyDescent="0.2">
      <c r="B108" s="122" t="s">
        <v>26</v>
      </c>
      <c r="C108" s="123">
        <v>12162565107</v>
      </c>
      <c r="D108" s="46"/>
      <c r="E108" s="47"/>
      <c r="F108" s="45"/>
      <c r="H108" s="17"/>
    </row>
    <row r="109" spans="2:8" x14ac:dyDescent="0.2">
      <c r="B109" s="122" t="s">
        <v>22</v>
      </c>
      <c r="C109" s="123">
        <v>5062992932</v>
      </c>
      <c r="D109" s="46"/>
      <c r="E109" s="47"/>
      <c r="F109" s="45"/>
      <c r="G109" s="5"/>
      <c r="H109" s="5"/>
    </row>
    <row r="110" spans="2:8" x14ac:dyDescent="0.2">
      <c r="B110" s="122" t="s">
        <v>27</v>
      </c>
      <c r="C110" s="123">
        <v>6274094131</v>
      </c>
      <c r="D110" s="46"/>
      <c r="E110" s="47"/>
      <c r="F110" s="45"/>
      <c r="H110" s="17"/>
    </row>
    <row r="111" spans="2:8" x14ac:dyDescent="0.2">
      <c r="B111" s="122" t="s">
        <v>1</v>
      </c>
      <c r="C111" s="123">
        <v>63150253777.999893</v>
      </c>
      <c r="D111" s="51">
        <v>9317333813</v>
      </c>
      <c r="F111" s="45">
        <f>+C111+D111</f>
        <v>72467587590.999893</v>
      </c>
      <c r="G111" s="5"/>
      <c r="H111" s="5"/>
    </row>
    <row r="112" spans="2:8" x14ac:dyDescent="0.2">
      <c r="B112" s="122" t="s">
        <v>18</v>
      </c>
      <c r="C112" s="124">
        <v>36662793.699599996</v>
      </c>
      <c r="D112" s="53">
        <f>692+9073</f>
        <v>9765</v>
      </c>
      <c r="F112" s="45">
        <f>+C112+D112</f>
        <v>36672558.699599996</v>
      </c>
      <c r="H112" s="17"/>
    </row>
    <row r="113" spans="1:13" x14ac:dyDescent="0.2">
      <c r="B113" s="122" t="s">
        <v>4</v>
      </c>
      <c r="C113" s="123">
        <v>9538206852.9999008</v>
      </c>
      <c r="D113" s="46"/>
      <c r="F113" s="45"/>
      <c r="G113" s="5"/>
      <c r="H113" s="5"/>
    </row>
    <row r="114" spans="1:13" x14ac:dyDescent="0.2">
      <c r="B114" s="122" t="s">
        <v>21</v>
      </c>
      <c r="C114" s="123">
        <v>77833109359.999908</v>
      </c>
      <c r="D114" s="46"/>
      <c r="F114" s="45"/>
      <c r="H114" s="17"/>
    </row>
    <row r="115" spans="1:13" x14ac:dyDescent="0.2">
      <c r="B115" s="122" t="s">
        <v>25</v>
      </c>
      <c r="C115" s="124">
        <v>121708284.5862</v>
      </c>
      <c r="D115" s="46"/>
      <c r="E115" s="47"/>
      <c r="F115" s="45"/>
      <c r="G115" s="5"/>
      <c r="H115" s="5"/>
    </row>
    <row r="116" spans="1:13" x14ac:dyDescent="0.2">
      <c r="E116" s="1"/>
    </row>
    <row r="117" spans="1:13" x14ac:dyDescent="0.2">
      <c r="C117" s="49"/>
    </row>
    <row r="119" spans="1:13" x14ac:dyDescent="0.2">
      <c r="A119" s="1"/>
      <c r="B119" s="1"/>
      <c r="C119" s="1"/>
      <c r="D119" s="50"/>
      <c r="F119" s="1"/>
      <c r="G119" s="1"/>
      <c r="H119" s="1"/>
      <c r="I119" s="1"/>
      <c r="J119" s="1"/>
      <c r="K119" s="1"/>
      <c r="L119" s="1"/>
      <c r="M119" s="1"/>
    </row>
    <row r="120" spans="1:13" x14ac:dyDescent="0.2">
      <c r="A120" s="1"/>
      <c r="B120" s="1"/>
      <c r="C120" s="1"/>
      <c r="D120" s="50"/>
      <c r="F120" s="1"/>
      <c r="G120" s="1"/>
      <c r="H120" s="1"/>
      <c r="I120" s="1"/>
      <c r="J120" s="1"/>
      <c r="K120" s="1"/>
      <c r="L120" s="1"/>
      <c r="M120" s="1"/>
    </row>
    <row r="121" spans="1:13" x14ac:dyDescent="0.2">
      <c r="A121" s="1"/>
      <c r="B121" s="1"/>
      <c r="C121" s="1"/>
      <c r="D121" s="50"/>
      <c r="F121" s="1"/>
      <c r="G121" s="1"/>
      <c r="H121" s="1"/>
      <c r="I121" s="1"/>
      <c r="J121" s="1"/>
      <c r="K121" s="1"/>
      <c r="L121" s="1"/>
      <c r="M121" s="1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57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8">
        <v>43019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5805851</v>
      </c>
      <c r="D7" s="134">
        <f>+IF(C7/$F$111=0,"",C7/$F$111)</f>
        <v>8.3382526926103088E-5</v>
      </c>
      <c r="E7" s="135"/>
      <c r="F7" s="132" t="s">
        <v>5</v>
      </c>
      <c r="G7" s="133">
        <v>890558</v>
      </c>
      <c r="H7" s="136">
        <f>+IF(G7/$C$113=0,"",G7/$C$113)</f>
        <v>9.3367444607254132E-5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-146920</v>
      </c>
      <c r="H8" s="136">
        <f>+IF(G8/$C$113=0,"",G8/$C$113)</f>
        <v>-1.5403314508092429E-5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-44616</v>
      </c>
      <c r="H11" s="136">
        <f t="shared" si="0"/>
        <v>-4.6776087673090917E-6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0</v>
      </c>
      <c r="H12" s="136" t="str">
        <f t="shared" si="0"/>
        <v/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2464107</v>
      </c>
      <c r="H14" s="136">
        <f t="shared" si="0"/>
        <v>2.5834069631494767E-4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/>
      <c r="D17" s="134" t="str">
        <f>+IF(C17/$F$111=0,"",C17/$F$111)</f>
        <v/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-120675</v>
      </c>
      <c r="D18" s="134">
        <f>+IF(C18/$F$111=0,"",C18/$F$111)</f>
        <v>-1.7331113796767245E-6</v>
      </c>
      <c r="E18" s="141"/>
      <c r="F18" s="132" t="s">
        <v>16</v>
      </c>
      <c r="G18" s="139">
        <v>-31089</v>
      </c>
      <c r="H18" s="136">
        <f t="shared" si="0"/>
        <v>-3.2594176745309389E-6</v>
      </c>
    </row>
    <row r="19" spans="2:9" x14ac:dyDescent="0.2">
      <c r="B19" s="142" t="s">
        <v>17</v>
      </c>
      <c r="C19" s="143">
        <f>SUM(C7:C18)</f>
        <v>5685176</v>
      </c>
      <c r="D19" s="144">
        <f>SUM(D7:D18)</f>
        <v>8.1649415546426361E-5</v>
      </c>
      <c r="E19" s="145"/>
      <c r="F19" s="142" t="s">
        <v>17</v>
      </c>
      <c r="G19" s="143">
        <f>SUM(G7:G18)</f>
        <v>3132040</v>
      </c>
      <c r="H19" s="144">
        <f>SUM(H7:H18)</f>
        <v>3.2836779997226934E-4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2880.1263999999996</v>
      </c>
      <c r="D22" s="136">
        <f>+IF(C22/$F$112=0,"",C22/$F$112)</f>
        <v>7.8557199530362651E-5</v>
      </c>
      <c r="E22" s="141"/>
      <c r="F22" s="132" t="s">
        <v>5</v>
      </c>
      <c r="G22" s="133">
        <v>1715669</v>
      </c>
      <c r="H22" s="136">
        <f t="shared" ref="H22:H33" si="2">+IF(G22/$C$106=0,"",G22/$C$106)</f>
        <v>7.7993815699380027E-5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-331612</v>
      </c>
      <c r="H23" s="136">
        <f t="shared" si="2"/>
        <v>-1.5074985449817425E-5</v>
      </c>
      <c r="I23" s="147"/>
    </row>
    <row r="24" spans="2:9" x14ac:dyDescent="0.2">
      <c r="B24" s="132" t="s">
        <v>45</v>
      </c>
      <c r="C24" s="138">
        <v>5412.6550731994212</v>
      </c>
      <c r="D24" s="136">
        <f>+IF(C24/$F$112=0,"",C24/$F$112)</f>
        <v>1.4763345961981274E-4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-4546.34</v>
      </c>
      <c r="D26" s="136">
        <f>+IF(C26/$F$112=0,"",C26/$F$112)</f>
        <v>-1.2400418902200577E-4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-75039.83</v>
      </c>
      <c r="D27" s="136">
        <f t="shared" ref="D27:D33" si="3">+IF(C27/$F$112=0,"",C27/$F$112)</f>
        <v>-2.0467570097043291E-3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-6959698</v>
      </c>
      <c r="H29" s="136">
        <f t="shared" si="2"/>
        <v>-3.1638585480960708E-4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75368.068499999994</v>
      </c>
      <c r="D31" s="136">
        <f t="shared" si="3"/>
        <v>2.0557099144581088E-3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>
        <v>1333</v>
      </c>
      <c r="H32" s="136">
        <f t="shared" si="2"/>
        <v>6.0597793821112099E-8</v>
      </c>
    </row>
    <row r="33" spans="1:13" x14ac:dyDescent="0.2">
      <c r="B33" s="132" t="s">
        <v>16</v>
      </c>
      <c r="C33" s="138">
        <v>-63.9</v>
      </c>
      <c r="D33" s="136">
        <f t="shared" si="3"/>
        <v>-1.7429113701364545E-6</v>
      </c>
      <c r="E33" s="141"/>
      <c r="F33" s="132" t="s">
        <v>16</v>
      </c>
      <c r="G33" s="139">
        <v>-41899</v>
      </c>
      <c r="H33" s="136">
        <f t="shared" si="2"/>
        <v>-1.9047164015834778E-6</v>
      </c>
    </row>
    <row r="34" spans="1:13" x14ac:dyDescent="0.2">
      <c r="B34" s="142" t="s">
        <v>17</v>
      </c>
      <c r="C34" s="148">
        <f>SUM(C22:C33)</f>
        <v>4010.7799731994105</v>
      </c>
      <c r="D34" s="144">
        <f>SUM(D22:D33)</f>
        <v>1.0939646351181292E-4</v>
      </c>
      <c r="E34" s="145"/>
      <c r="F34" s="142" t="s">
        <v>17</v>
      </c>
      <c r="G34" s="143">
        <f>SUM(G22:G33)</f>
        <v>-5616207</v>
      </c>
      <c r="H34" s="144">
        <f>SUM(H22:H33)</f>
        <v>-2.5531114316780686E-4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4107457</v>
      </c>
      <c r="D37" s="136">
        <f t="shared" ref="D37:D48" si="4">+IF(C37/$C$114=0,"",C37/$C$114)</f>
        <v>5.2772618667999787E-5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-2458313</v>
      </c>
      <c r="D38" s="136">
        <f t="shared" si="4"/>
        <v>-3.1584412086501832E-5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-22607250</v>
      </c>
      <c r="D44" s="136">
        <f t="shared" si="4"/>
        <v>-2.9045800927000285E-4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-14437760</v>
      </c>
      <c r="D45" s="136">
        <f t="shared" si="4"/>
        <v>-1.8549637960911107E-4</v>
      </c>
      <c r="E45" s="135"/>
      <c r="F45" s="132" t="s">
        <v>13</v>
      </c>
      <c r="G45" s="139">
        <v>-13357656</v>
      </c>
      <c r="H45" s="136">
        <f t="shared" si="5"/>
        <v>-2.6382924446871417E-3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-51343</v>
      </c>
      <c r="D48" s="136">
        <f t="shared" si="4"/>
        <v>-6.5965500314942143E-7</v>
      </c>
      <c r="E48" s="135"/>
      <c r="F48" s="132" t="s">
        <v>16</v>
      </c>
      <c r="G48" s="139">
        <v>-41614</v>
      </c>
      <c r="H48" s="136">
        <f t="shared" si="5"/>
        <v>-8.2192490803184863E-6</v>
      </c>
    </row>
    <row r="49" spans="2:9" x14ac:dyDescent="0.2">
      <c r="B49" s="142" t="s">
        <v>17</v>
      </c>
      <c r="C49" s="143">
        <f>SUM(C37:C48)</f>
        <v>-35447209</v>
      </c>
      <c r="D49" s="144">
        <f>SUM(D37:D48)</f>
        <v>-4.5542583730076537E-4</v>
      </c>
      <c r="E49" s="145"/>
      <c r="F49" s="142" t="s">
        <v>17</v>
      </c>
      <c r="G49" s="143">
        <f>SUM(G37:G48)</f>
        <v>-13399270</v>
      </c>
      <c r="H49" s="144">
        <f>SUM(H37:H48)</f>
        <v>-2.64651169376746E-3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16087.747100000001</v>
      </c>
      <c r="H53" s="136">
        <f t="shared" ref="H53:H64" si="7">+IF(G53/$C$115=0,"",G53/$C$115)</f>
        <v>1.3218284321973037E-4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57087.383900000001</v>
      </c>
      <c r="H60" s="136">
        <f t="shared" si="7"/>
        <v>4.6905092857148776E-4</v>
      </c>
    </row>
    <row r="61" spans="2:9" x14ac:dyDescent="0.2">
      <c r="B61" s="132" t="s">
        <v>13</v>
      </c>
      <c r="C61" s="139">
        <v>-44953637</v>
      </c>
      <c r="D61" s="136">
        <f t="shared" si="6"/>
        <v>-2.142577732846554E-3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/>
      <c r="D63" s="136" t="str">
        <f t="shared" si="6"/>
        <v/>
      </c>
      <c r="E63" s="135"/>
      <c r="F63" s="132" t="s">
        <v>15</v>
      </c>
      <c r="G63" s="157"/>
      <c r="H63" s="136" t="str">
        <f t="shared" si="7"/>
        <v/>
      </c>
    </row>
    <row r="64" spans="2:9" x14ac:dyDescent="0.2">
      <c r="B64" s="132" t="s">
        <v>16</v>
      </c>
      <c r="C64" s="139">
        <v>-172447</v>
      </c>
      <c r="D64" s="136">
        <f t="shared" si="6"/>
        <v>-8.219159270610066E-6</v>
      </c>
      <c r="E64" s="135"/>
      <c r="F64" s="132" t="s">
        <v>16</v>
      </c>
      <c r="G64" s="157">
        <v>-42.14</v>
      </c>
      <c r="H64" s="136">
        <f t="shared" si="7"/>
        <v>-3.4623772854307472E-7</v>
      </c>
    </row>
    <row r="65" spans="2:8" x14ac:dyDescent="0.2">
      <c r="B65" s="142" t="s">
        <v>17</v>
      </c>
      <c r="C65" s="143">
        <f>SUM(C53:C64)</f>
        <v>-45126084</v>
      </c>
      <c r="D65" s="144">
        <f>SUM(D53:D64)</f>
        <v>-2.150796892117164E-3</v>
      </c>
      <c r="E65" s="145"/>
      <c r="F65" s="142" t="s">
        <v>17</v>
      </c>
      <c r="G65" s="148">
        <f>SUM(G53:G64)</f>
        <v>73132.990999999995</v>
      </c>
      <c r="H65" s="144">
        <f>SUM(H53:H64)</f>
        <v>6.0088753406267509E-4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-983364</v>
      </c>
      <c r="D72" s="136">
        <f t="shared" si="8"/>
        <v>-8.0851694634221375E-5</v>
      </c>
      <c r="E72" s="135"/>
      <c r="F72" s="132" t="s">
        <v>9</v>
      </c>
      <c r="G72" s="133">
        <v>-816395</v>
      </c>
      <c r="H72" s="136">
        <f t="shared" si="9"/>
        <v>-1.3012157340232293E-4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30965856</v>
      </c>
      <c r="D76" s="136">
        <f t="shared" si="8"/>
        <v>2.5459971418511067E-3</v>
      </c>
      <c r="E76" s="135"/>
      <c r="F76" s="132" t="s">
        <v>13</v>
      </c>
      <c r="G76" s="139">
        <v>3475915</v>
      </c>
      <c r="H76" s="136">
        <f t="shared" si="9"/>
        <v>5.5401065515189992E-4</v>
      </c>
    </row>
    <row r="77" spans="2:8" x14ac:dyDescent="0.2">
      <c r="B77" s="132" t="s">
        <v>14</v>
      </c>
      <c r="C77" s="133">
        <v>-38862598</v>
      </c>
      <c r="D77" s="136">
        <f t="shared" si="8"/>
        <v>-3.1952633065563743E-3</v>
      </c>
      <c r="E77" s="135"/>
      <c r="F77" s="132" t="s">
        <v>14</v>
      </c>
      <c r="G77" s="133">
        <v>-19402441</v>
      </c>
      <c r="H77" s="136">
        <f t="shared" si="9"/>
        <v>-3.0924689038587202E-3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-12309</v>
      </c>
      <c r="D79" s="136">
        <f t="shared" si="8"/>
        <v>-1.0120398034223654E-6</v>
      </c>
      <c r="E79" s="135"/>
      <c r="F79" s="132" t="s">
        <v>16</v>
      </c>
      <c r="G79" s="139">
        <v>-12309</v>
      </c>
      <c r="H79" s="136">
        <f t="shared" si="9"/>
        <v>-1.9618768451658732E-6</v>
      </c>
    </row>
    <row r="80" spans="2:8" x14ac:dyDescent="0.2">
      <c r="B80" s="142" t="s">
        <v>17</v>
      </c>
      <c r="C80" s="143">
        <f>SUM(C68:C79)</f>
        <v>-8892415</v>
      </c>
      <c r="D80" s="144">
        <f>SUM(D68:D79)</f>
        <v>-7.3112989914291145E-4</v>
      </c>
      <c r="E80" s="145"/>
      <c r="F80" s="142" t="s">
        <v>17</v>
      </c>
      <c r="G80" s="143">
        <f>SUM(G68:G79)</f>
        <v>-16755230</v>
      </c>
      <c r="H80" s="144">
        <f>SUM(H68:H79)</f>
        <v>-2.6705416989543092E-3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70" t="s">
        <v>19</v>
      </c>
      <c r="C106" s="171">
        <v>21997500501.999901</v>
      </c>
      <c r="D106" s="172"/>
      <c r="E106" s="125"/>
      <c r="F106" s="173"/>
      <c r="H106" s="141"/>
    </row>
    <row r="107" spans="2:8" x14ac:dyDescent="0.2">
      <c r="B107" s="170" t="s">
        <v>24</v>
      </c>
      <c r="C107" s="171">
        <v>20981099687</v>
      </c>
      <c r="D107" s="172"/>
      <c r="E107" s="174"/>
      <c r="F107" s="173"/>
      <c r="G107" s="129"/>
      <c r="H107" s="129"/>
    </row>
    <row r="108" spans="2:8" x14ac:dyDescent="0.2">
      <c r="B108" s="170" t="s">
        <v>26</v>
      </c>
      <c r="C108" s="171">
        <v>12162565107</v>
      </c>
      <c r="D108" s="172"/>
      <c r="E108" s="174"/>
      <c r="F108" s="173"/>
      <c r="H108" s="141"/>
    </row>
    <row r="109" spans="2:8" x14ac:dyDescent="0.2">
      <c r="B109" s="170" t="s">
        <v>22</v>
      </c>
      <c r="C109" s="171">
        <v>5062992932</v>
      </c>
      <c r="D109" s="172"/>
      <c r="E109" s="174"/>
      <c r="F109" s="173"/>
      <c r="G109" s="129"/>
      <c r="H109" s="129"/>
    </row>
    <row r="110" spans="2:8" x14ac:dyDescent="0.2">
      <c r="B110" s="170" t="s">
        <v>27</v>
      </c>
      <c r="C110" s="171">
        <v>6274094131</v>
      </c>
      <c r="D110" s="172"/>
      <c r="E110" s="174"/>
      <c r="F110" s="173"/>
      <c r="H110" s="141"/>
    </row>
    <row r="111" spans="2:8" x14ac:dyDescent="0.2">
      <c r="B111" s="170" t="s">
        <v>1</v>
      </c>
      <c r="C111" s="171">
        <v>63150253777.999893</v>
      </c>
      <c r="D111" s="175">
        <v>6478854550</v>
      </c>
      <c r="F111" s="173">
        <f>+C111+D111</f>
        <v>69629108327.999893</v>
      </c>
      <c r="G111" s="129"/>
      <c r="H111" s="129"/>
    </row>
    <row r="112" spans="2:8" x14ac:dyDescent="0.2">
      <c r="B112" s="170" t="s">
        <v>18</v>
      </c>
      <c r="C112" s="176">
        <v>36662793.699599996</v>
      </c>
      <c r="D112" s="177"/>
      <c r="F112" s="173">
        <f>+C112+D112</f>
        <v>36662793.699599996</v>
      </c>
      <c r="H112" s="141"/>
    </row>
    <row r="113" spans="1:13" x14ac:dyDescent="0.2">
      <c r="B113" s="170" t="s">
        <v>4</v>
      </c>
      <c r="C113" s="171">
        <v>9538206852.9999008</v>
      </c>
      <c r="D113" s="172"/>
      <c r="F113" s="173"/>
      <c r="G113" s="129"/>
      <c r="H113" s="129"/>
    </row>
    <row r="114" spans="1:13" x14ac:dyDescent="0.2">
      <c r="B114" s="170" t="s">
        <v>21</v>
      </c>
      <c r="C114" s="171">
        <v>77833109359.999908</v>
      </c>
      <c r="D114" s="172"/>
      <c r="F114" s="173"/>
      <c r="H114" s="141"/>
    </row>
    <row r="115" spans="1:13" x14ac:dyDescent="0.2">
      <c r="B115" s="170" t="s">
        <v>25</v>
      </c>
      <c r="C115" s="176">
        <v>121708284.5862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58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8">
        <v>43020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5563034</v>
      </c>
      <c r="D7" s="134">
        <f>+IF(C7/$F$111=0,"",C7/$F$111)</f>
        <v>7.7703373904524026E-5</v>
      </c>
      <c r="E7" s="135"/>
      <c r="F7" s="132" t="s">
        <v>5</v>
      </c>
      <c r="G7" s="133">
        <v>965855</v>
      </c>
      <c r="H7" s="136">
        <f>+IF(G7/$C$113=0,"",G7/$C$113)</f>
        <v>9.5800090459514754E-5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-152301</v>
      </c>
      <c r="H8" s="136">
        <f>+IF(G8/$C$113=0,"",G8/$C$113)</f>
        <v>-1.5106252571115287E-5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-41552</v>
      </c>
      <c r="H11" s="136">
        <f t="shared" si="0"/>
        <v>-4.121410935154611E-6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0</v>
      </c>
      <c r="H12" s="136" t="str">
        <f t="shared" si="0"/>
        <v/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-10240402</v>
      </c>
      <c r="H14" s="136">
        <f t="shared" si="0"/>
        <v>-1.0157129568535606E-3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>
        <v>325843</v>
      </c>
      <c r="D17" s="134">
        <f>+IF(C17/$F$111=0,"",C17/$F$111)</f>
        <v>4.5513114719722767E-6</v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-70679</v>
      </c>
      <c r="D18" s="134">
        <f>+IF(C18/$F$111=0,"",C18/$F$111)</f>
        <v>-9.8723048685265163E-7</v>
      </c>
      <c r="E18" s="141"/>
      <c r="F18" s="132" t="s">
        <v>16</v>
      </c>
      <c r="G18" s="139">
        <v>-32308</v>
      </c>
      <c r="H18" s="136">
        <f t="shared" si="0"/>
        <v>-3.2045279286911624E-6</v>
      </c>
    </row>
    <row r="19" spans="2:9" x14ac:dyDescent="0.2">
      <c r="B19" s="142" t="s">
        <v>17</v>
      </c>
      <c r="C19" s="143">
        <f>SUM(C7:C18)</f>
        <v>5818198</v>
      </c>
      <c r="D19" s="144">
        <f>SUM(D7:D18)</f>
        <v>8.126745488964366E-5</v>
      </c>
      <c r="E19" s="145"/>
      <c r="F19" s="142" t="s">
        <v>17</v>
      </c>
      <c r="G19" s="143">
        <f>SUM(G7:G18)</f>
        <v>-9500708</v>
      </c>
      <c r="H19" s="144">
        <f>SUM(H7:H18)</f>
        <v>-9.4234505782900681E-4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2830.5967999999998</v>
      </c>
      <c r="D22" s="136">
        <f>+IF(C22/$F$112=0,"",C22/$F$112)</f>
        <v>7.6722127073641149E-5</v>
      </c>
      <c r="E22" s="141"/>
      <c r="F22" s="132" t="s">
        <v>5</v>
      </c>
      <c r="G22" s="133">
        <v>1689463</v>
      </c>
      <c r="H22" s="136">
        <f t="shared" ref="H22:H33" si="2">+IF(G22/$C$106=0,"",G22/$C$106)</f>
        <v>7.9447443592472027E-5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-333187</v>
      </c>
      <c r="H23" s="136">
        <f t="shared" si="2"/>
        <v>-1.5668206636218122E-5</v>
      </c>
      <c r="I23" s="147"/>
    </row>
    <row r="24" spans="2:9" x14ac:dyDescent="0.2">
      <c r="B24" s="132" t="s">
        <v>45</v>
      </c>
      <c r="C24" s="138">
        <v>7192.9082940742373</v>
      </c>
      <c r="D24" s="136">
        <f>+IF(C24/$F$112=0,"",C24/$F$112)</f>
        <v>1.9496073201489208E-4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3.55</v>
      </c>
      <c r="D26" s="136">
        <f>+IF(C26/$F$112=0,"",C26/$F$112)</f>
        <v>9.6221246032436019E-8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-68604.76999999999</v>
      </c>
      <c r="D27" s="136">
        <f t="shared" ref="D27:D33" si="3">+IF(C27/$F$112=0,"",C27/$F$112)</f>
        <v>-1.8595032262446998E-3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-4047896</v>
      </c>
      <c r="H29" s="136">
        <f t="shared" si="2"/>
        <v>-1.9035337804272314E-4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61041.266499999998</v>
      </c>
      <c r="D31" s="136">
        <f t="shared" si="3"/>
        <v>1.6544976681768999E-3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>
        <v>167</v>
      </c>
      <c r="H32" s="136">
        <f t="shared" si="2"/>
        <v>7.8532190879248782E-9</v>
      </c>
    </row>
    <row r="33" spans="1:13" x14ac:dyDescent="0.2">
      <c r="B33" s="132" t="s">
        <v>16</v>
      </c>
      <c r="C33" s="138">
        <v>-67.27</v>
      </c>
      <c r="D33" s="136">
        <f t="shared" si="3"/>
        <v>-1.8233248508737947E-6</v>
      </c>
      <c r="E33" s="141"/>
      <c r="F33" s="132" t="s">
        <v>16</v>
      </c>
      <c r="G33" s="139">
        <v>-39568</v>
      </c>
      <c r="H33" s="136">
        <f t="shared" si="2"/>
        <v>-1.8606956459342011E-6</v>
      </c>
    </row>
    <row r="34" spans="1:13" x14ac:dyDescent="0.2">
      <c r="B34" s="142" t="s">
        <v>17</v>
      </c>
      <c r="C34" s="148">
        <f>SUM(C22:C33)</f>
        <v>2396.281594074248</v>
      </c>
      <c r="D34" s="144">
        <f>SUM(D22:D33)</f>
        <v>6.4950197415891854E-5</v>
      </c>
      <c r="E34" s="145"/>
      <c r="F34" s="142" t="s">
        <v>17</v>
      </c>
      <c r="G34" s="143">
        <f>SUM(G22:G33)</f>
        <v>-2731021</v>
      </c>
      <c r="H34" s="144">
        <f>SUM(H22:H33)</f>
        <v>-1.2842698351331553E-4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4337618</v>
      </c>
      <c r="D37" s="136">
        <f t="shared" ref="D37:D48" si="4">+IF(C37/$C$114=0,"",C37/$C$114)</f>
        <v>5.5560086678833222E-5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-2489724</v>
      </c>
      <c r="D38" s="136">
        <f t="shared" si="4"/>
        <v>-3.1890609372787407E-5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-76757592</v>
      </c>
      <c r="D44" s="136">
        <f t="shared" si="4"/>
        <v>-9.8317981546058582E-4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-18227660</v>
      </c>
      <c r="D45" s="136">
        <f t="shared" si="4"/>
        <v>-2.3347615432071272E-4</v>
      </c>
      <c r="E45" s="135"/>
      <c r="F45" s="132" t="s">
        <v>13</v>
      </c>
      <c r="G45" s="139">
        <v>-8645840</v>
      </c>
      <c r="H45" s="136">
        <f t="shared" si="5"/>
        <v>-1.7110654016732007E-3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>
        <v>86077</v>
      </c>
      <c r="H47" s="136">
        <f t="shared" si="5"/>
        <v>1.703517258934055E-5</v>
      </c>
    </row>
    <row r="48" spans="1:13" x14ac:dyDescent="0.2">
      <c r="B48" s="132" t="s">
        <v>16</v>
      </c>
      <c r="C48" s="139">
        <v>-75343</v>
      </c>
      <c r="D48" s="136">
        <f t="shared" si="4"/>
        <v>-9.6506045729322682E-7</v>
      </c>
      <c r="E48" s="135"/>
      <c r="F48" s="132" t="s">
        <v>16</v>
      </c>
      <c r="G48" s="139">
        <v>-41531</v>
      </c>
      <c r="H48" s="136">
        <f t="shared" si="5"/>
        <v>-8.2192426874531215E-6</v>
      </c>
    </row>
    <row r="49" spans="2:9" x14ac:dyDescent="0.2">
      <c r="B49" s="142" t="s">
        <v>17</v>
      </c>
      <c r="C49" s="143">
        <f>SUM(C37:C48)</f>
        <v>-93212701</v>
      </c>
      <c r="D49" s="144">
        <f>SUM(D37:D48)</f>
        <v>-1.1939515529325458E-3</v>
      </c>
      <c r="E49" s="145"/>
      <c r="F49" s="142" t="s">
        <v>17</v>
      </c>
      <c r="G49" s="143">
        <f>SUM(G37:G48)</f>
        <v>-8601294</v>
      </c>
      <c r="H49" s="144">
        <f>SUM(H37:H48)</f>
        <v>-1.7022494717713133E-3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16307.123100000001</v>
      </c>
      <c r="H53" s="136">
        <f t="shared" ref="H53:H64" si="7">+IF(G53/$C$115=0,"",G53/$C$115)</f>
        <v>1.334202951782859E-4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20414.526600000001</v>
      </c>
      <c r="H60" s="136">
        <f t="shared" si="7"/>
        <v>1.6702591549682782E-4</v>
      </c>
    </row>
    <row r="61" spans="2:9" x14ac:dyDescent="0.2">
      <c r="B61" s="132" t="s">
        <v>13</v>
      </c>
      <c r="C61" s="139">
        <v>-44680129</v>
      </c>
      <c r="D61" s="136">
        <f t="shared" si="6"/>
        <v>-2.1204584016574907E-3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>
        <v>1159474</v>
      </c>
      <c r="D63" s="136">
        <f t="shared" si="6"/>
        <v>5.5027065494896338E-5</v>
      </c>
      <c r="E63" s="135"/>
      <c r="F63" s="132" t="s">
        <v>15</v>
      </c>
      <c r="G63" s="157">
        <v>2006.85</v>
      </c>
      <c r="H63" s="136">
        <f t="shared" si="7"/>
        <v>1.6419482316813014E-5</v>
      </c>
    </row>
    <row r="64" spans="2:9" x14ac:dyDescent="0.2">
      <c r="B64" s="132" t="s">
        <v>16</v>
      </c>
      <c r="C64" s="139">
        <v>-173186</v>
      </c>
      <c r="D64" s="136">
        <f t="shared" si="6"/>
        <v>-8.2191729739512198E-6</v>
      </c>
      <c r="E64" s="135"/>
      <c r="F64" s="132" t="s">
        <v>16</v>
      </c>
      <c r="G64" s="157">
        <v>-42.37</v>
      </c>
      <c r="H64" s="136">
        <f t="shared" si="7"/>
        <v>-3.4665942435327371E-7</v>
      </c>
    </row>
    <row r="65" spans="2:8" x14ac:dyDescent="0.2">
      <c r="B65" s="142" t="s">
        <v>17</v>
      </c>
      <c r="C65" s="143">
        <f>SUM(C53:C64)</f>
        <v>-43693841</v>
      </c>
      <c r="D65" s="144">
        <f>SUM(D53:D64)</f>
        <v>-2.0736505091365457E-3</v>
      </c>
      <c r="E65" s="145"/>
      <c r="F65" s="142" t="s">
        <v>17</v>
      </c>
      <c r="G65" s="148">
        <f>SUM(G53:G64)</f>
        <v>38686.129699999998</v>
      </c>
      <c r="H65" s="144">
        <f>SUM(H53:H64)</f>
        <v>3.1651903356757349E-4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-5385</v>
      </c>
      <c r="D72" s="136">
        <f t="shared" si="8"/>
        <v>-4.362062351799448E-7</v>
      </c>
      <c r="E72" s="135"/>
      <c r="F72" s="132" t="s">
        <v>9</v>
      </c>
      <c r="G72" s="133">
        <v>-715853</v>
      </c>
      <c r="H72" s="136">
        <f t="shared" si="9"/>
        <v>-1.145497746651756E-4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-10341143</v>
      </c>
      <c r="D76" s="136">
        <f t="shared" si="8"/>
        <v>-8.3767336220750969E-4</v>
      </c>
      <c r="E76" s="135"/>
      <c r="F76" s="132" t="s">
        <v>13</v>
      </c>
      <c r="G76" s="139">
        <v>4000724</v>
      </c>
      <c r="H76" s="136">
        <f t="shared" si="9"/>
        <v>6.4019014057014494E-4</v>
      </c>
    </row>
    <row r="77" spans="2:8" x14ac:dyDescent="0.2">
      <c r="B77" s="132" t="s">
        <v>14</v>
      </c>
      <c r="C77" s="133">
        <v>-34904066</v>
      </c>
      <c r="D77" s="136">
        <f t="shared" si="8"/>
        <v>-2.8273669865055365E-3</v>
      </c>
      <c r="E77" s="135"/>
      <c r="F77" s="132" t="s">
        <v>14</v>
      </c>
      <c r="G77" s="133">
        <v>-17024335</v>
      </c>
      <c r="H77" s="136">
        <f t="shared" si="9"/>
        <v>-2.7242097722220376E-3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-12305</v>
      </c>
      <c r="D79" s="136">
        <f t="shared" si="8"/>
        <v>-9.9675352347060748E-7</v>
      </c>
      <c r="E79" s="135"/>
      <c r="F79" s="132" t="s">
        <v>16</v>
      </c>
      <c r="G79" s="139">
        <v>-12305</v>
      </c>
      <c r="H79" s="136">
        <f t="shared" si="9"/>
        <v>-1.969028525765745E-6</v>
      </c>
    </row>
    <row r="80" spans="2:8" x14ac:dyDescent="0.2">
      <c r="B80" s="142" t="s">
        <v>17</v>
      </c>
      <c r="C80" s="143">
        <f>SUM(C68:C79)</f>
        <v>-45262899</v>
      </c>
      <c r="D80" s="144">
        <f>SUM(D68:D79)</f>
        <v>-3.6664733084716969E-3</v>
      </c>
      <c r="E80" s="145"/>
      <c r="F80" s="142" t="s">
        <v>17</v>
      </c>
      <c r="G80" s="143">
        <f>SUM(G68:G79)</f>
        <v>-13751769</v>
      </c>
      <c r="H80" s="144">
        <f>SUM(H68:H79)</f>
        <v>-2.2005384348428338E-3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70" t="s">
        <v>19</v>
      </c>
      <c r="C106" s="171">
        <v>21265165039.999897</v>
      </c>
      <c r="D106" s="172"/>
      <c r="E106" s="125"/>
      <c r="F106" s="173"/>
      <c r="H106" s="141"/>
    </row>
    <row r="107" spans="2:8" x14ac:dyDescent="0.2">
      <c r="B107" s="170" t="s">
        <v>24</v>
      </c>
      <c r="C107" s="171">
        <v>21070976429</v>
      </c>
      <c r="D107" s="172"/>
      <c r="E107" s="174"/>
      <c r="F107" s="173"/>
      <c r="G107" s="129"/>
      <c r="H107" s="129"/>
    </row>
    <row r="108" spans="2:8" x14ac:dyDescent="0.2">
      <c r="B108" s="170" t="s">
        <v>26</v>
      </c>
      <c r="C108" s="171">
        <v>12345078006</v>
      </c>
      <c r="D108" s="172"/>
      <c r="E108" s="174"/>
      <c r="F108" s="173"/>
      <c r="H108" s="141"/>
    </row>
    <row r="109" spans="2:8" x14ac:dyDescent="0.2">
      <c r="B109" s="170" t="s">
        <v>22</v>
      </c>
      <c r="C109" s="171">
        <v>5052898616</v>
      </c>
      <c r="D109" s="172"/>
      <c r="E109" s="174"/>
      <c r="F109" s="173"/>
      <c r="G109" s="129"/>
      <c r="H109" s="129"/>
    </row>
    <row r="110" spans="2:8" x14ac:dyDescent="0.2">
      <c r="B110" s="170" t="s">
        <v>27</v>
      </c>
      <c r="C110" s="171">
        <v>6249274624</v>
      </c>
      <c r="D110" s="172"/>
      <c r="E110" s="174"/>
      <c r="F110" s="173"/>
      <c r="H110" s="141"/>
    </row>
    <row r="111" spans="2:8" x14ac:dyDescent="0.2">
      <c r="B111" s="170" t="s">
        <v>1</v>
      </c>
      <c r="C111" s="171">
        <v>66771122947</v>
      </c>
      <c r="D111" s="175">
        <v>4822087495</v>
      </c>
      <c r="F111" s="173">
        <f>+C111+D111</f>
        <v>71593210442</v>
      </c>
      <c r="G111" s="129"/>
      <c r="H111" s="129"/>
    </row>
    <row r="112" spans="2:8" x14ac:dyDescent="0.2">
      <c r="B112" s="170" t="s">
        <v>18</v>
      </c>
      <c r="C112" s="176">
        <v>36257938.951099999</v>
      </c>
      <c r="D112" s="177">
        <v>636199.78</v>
      </c>
      <c r="F112" s="173">
        <f>+C112+D112</f>
        <v>36894138.7311</v>
      </c>
      <c r="H112" s="141"/>
    </row>
    <row r="113" spans="1:13" x14ac:dyDescent="0.2">
      <c r="B113" s="170" t="s">
        <v>4</v>
      </c>
      <c r="C113" s="171">
        <v>10081984217</v>
      </c>
      <c r="D113" s="172"/>
      <c r="F113" s="173"/>
      <c r="G113" s="129"/>
      <c r="H113" s="129"/>
    </row>
    <row r="114" spans="1:13" x14ac:dyDescent="0.2">
      <c r="B114" s="170" t="s">
        <v>21</v>
      </c>
      <c r="C114" s="171">
        <v>78070756531.999908</v>
      </c>
      <c r="D114" s="172"/>
      <c r="F114" s="173"/>
      <c r="H114" s="141"/>
    </row>
    <row r="115" spans="1:13" x14ac:dyDescent="0.2">
      <c r="B115" s="170" t="s">
        <v>25</v>
      </c>
      <c r="C115" s="176">
        <v>122223707.2569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59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43021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5530015</v>
      </c>
      <c r="D7" s="134">
        <f>+IF(C7/$F$111=0,"",C7/$F$111)</f>
        <v>7.7615235424519975E-5</v>
      </c>
      <c r="E7" s="135"/>
      <c r="F7" s="132" t="s">
        <v>5</v>
      </c>
      <c r="G7" s="133">
        <v>488335</v>
      </c>
      <c r="H7" s="136">
        <f>+IF(G7/$C$113=0,"",G7/$C$113)</f>
        <v>4.8006244531883092E-5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-151069</v>
      </c>
      <c r="H8" s="136">
        <f>+IF(G8/$C$113=0,"",G8/$C$113)</f>
        <v>-1.4850984171085519E-5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-61587</v>
      </c>
      <c r="H11" s="136">
        <f t="shared" si="0"/>
        <v>-6.0543696068991247E-6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0</v>
      </c>
      <c r="H12" s="136" t="str">
        <f t="shared" si="0"/>
        <v/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8513171</v>
      </c>
      <c r="H14" s="136">
        <f t="shared" si="0"/>
        <v>8.3689550977860631E-4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/>
      <c r="D17" s="134" t="str">
        <f>+IF(C17/$F$111=0,"",C17/$F$111)</f>
        <v/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-81254</v>
      </c>
      <c r="D18" s="134">
        <f>+IF(C18/$F$111=0,"",C18/$F$111)</f>
        <v>-1.1404215610959365E-6</v>
      </c>
      <c r="E18" s="141"/>
      <c r="F18" s="132" t="s">
        <v>16</v>
      </c>
      <c r="G18" s="139">
        <v>-35589</v>
      </c>
      <c r="H18" s="136">
        <f t="shared" si="0"/>
        <v>-3.4986110695428084E-6</v>
      </c>
    </row>
    <row r="19" spans="2:9" x14ac:dyDescent="0.2">
      <c r="B19" s="142" t="s">
        <v>17</v>
      </c>
      <c r="C19" s="143">
        <f>SUM(C7:C18)</f>
        <v>5448761</v>
      </c>
      <c r="D19" s="144">
        <f>SUM(D7:D18)</f>
        <v>7.6474813863424042E-5</v>
      </c>
      <c r="E19" s="145"/>
      <c r="F19" s="142" t="s">
        <v>17</v>
      </c>
      <c r="G19" s="143">
        <f>SUM(G7:G18)</f>
        <v>8753261</v>
      </c>
      <c r="H19" s="144">
        <f>SUM(H7:H18)</f>
        <v>8.6049778946296191E-4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2830.8422</v>
      </c>
      <c r="D22" s="136">
        <f>+IF(C22/$F$112=0,"",C22/$F$112)</f>
        <v>7.8581599859122266E-5</v>
      </c>
      <c r="E22" s="141"/>
      <c r="F22" s="132" t="s">
        <v>5</v>
      </c>
      <c r="G22" s="133">
        <v>1583954</v>
      </c>
      <c r="H22" s="136">
        <f t="shared" ref="H22:H33" si="2">+IF(G22/$C$106=0,"",G22/$C$106)</f>
        <v>7.4538304987236472E-5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-331158</v>
      </c>
      <c r="H23" s="136">
        <f t="shared" si="2"/>
        <v>-1.5583758116058455E-5</v>
      </c>
      <c r="I23" s="147"/>
    </row>
    <row r="24" spans="2:9" x14ac:dyDescent="0.2">
      <c r="B24" s="132" t="s">
        <v>45</v>
      </c>
      <c r="C24" s="138">
        <v>3686.392427533865</v>
      </c>
      <c r="D24" s="136">
        <f>+IF(C24/$F$112=0,"",C24/$F$112)</f>
        <v>1.0233089455292299E-4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5.74</v>
      </c>
      <c r="D26" s="136">
        <f>+IF(C26/$F$112=0,"",C26/$F$112)</f>
        <v>1.5933716940893482E-7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-102980.1</v>
      </c>
      <c r="D27" s="136">
        <f t="shared" ref="D27:D33" si="3">+IF(C27/$F$112=0,"",C27/$F$112)</f>
        <v>-2.8586337350956534E-3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1893047</v>
      </c>
      <c r="H29" s="136">
        <f t="shared" si="2"/>
        <v>8.9083720007760974E-5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98816.339300000007</v>
      </c>
      <c r="D31" s="136">
        <f t="shared" si="3"/>
        <v>2.7430515323022451E-3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>
        <v>-179287</v>
      </c>
      <c r="H32" s="136">
        <f t="shared" si="2"/>
        <v>-8.4369552943119966E-6</v>
      </c>
    </row>
    <row r="33" spans="1:13" x14ac:dyDescent="0.2">
      <c r="B33" s="132" t="s">
        <v>16</v>
      </c>
      <c r="C33" s="138">
        <v>-51.69</v>
      </c>
      <c r="D33" s="136">
        <f t="shared" si="3"/>
        <v>-1.4348672973428295E-6</v>
      </c>
      <c r="E33" s="141"/>
      <c r="F33" s="132" t="s">
        <v>16</v>
      </c>
      <c r="G33" s="139">
        <v>-41941</v>
      </c>
      <c r="H33" s="136">
        <f t="shared" si="2"/>
        <v>-1.9736754031175683E-6</v>
      </c>
    </row>
    <row r="34" spans="1:13" x14ac:dyDescent="0.2">
      <c r="B34" s="142" t="s">
        <v>17</v>
      </c>
      <c r="C34" s="148">
        <f>SUM(C22:C33)</f>
        <v>2307.5239275338704</v>
      </c>
      <c r="D34" s="144">
        <f>SUM(D22:D33)</f>
        <v>6.4054761490702844E-5</v>
      </c>
      <c r="E34" s="145"/>
      <c r="F34" s="142" t="s">
        <v>17</v>
      </c>
      <c r="G34" s="143">
        <f>SUM(G22:G33)</f>
        <v>2924615</v>
      </c>
      <c r="H34" s="144">
        <f>SUM(H22:H33)</f>
        <v>1.3762763618150944E-4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3970093</v>
      </c>
      <c r="D37" s="136">
        <f t="shared" ref="D37:D48" si="4">+IF(C37/$C$114=0,"",C37/$C$114)</f>
        <v>5.0463666640442129E-5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-2506129</v>
      </c>
      <c r="D38" s="136">
        <f t="shared" si="4"/>
        <v>-3.185528863277122E-5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>
        <v>554289</v>
      </c>
      <c r="H39" s="136">
        <f t="shared" si="5"/>
        <v>1.0976357662963209E-4</v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18471831</v>
      </c>
      <c r="D44" s="136">
        <f t="shared" si="4"/>
        <v>2.3479458083792615E-4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-1913515</v>
      </c>
      <c r="D45" s="136">
        <f t="shared" si="4"/>
        <v>-2.4322599765669375E-5</v>
      </c>
      <c r="E45" s="135"/>
      <c r="F45" s="132" t="s">
        <v>13</v>
      </c>
      <c r="G45" s="139">
        <v>909685</v>
      </c>
      <c r="H45" s="136">
        <f t="shared" si="5"/>
        <v>1.801411884528231E-4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-50854</v>
      </c>
      <c r="D48" s="136">
        <f t="shared" si="4"/>
        <v>-6.4640281810351645E-7</v>
      </c>
      <c r="E48" s="135"/>
      <c r="F48" s="132" t="s">
        <v>16</v>
      </c>
      <c r="G48" s="139">
        <v>-41506</v>
      </c>
      <c r="H48" s="136">
        <f t="shared" si="5"/>
        <v>-8.219262896412358E-6</v>
      </c>
    </row>
    <row r="49" spans="2:9" x14ac:dyDescent="0.2">
      <c r="B49" s="142" t="s">
        <v>17</v>
      </c>
      <c r="C49" s="143">
        <f>SUM(C37:C48)</f>
        <v>17971426</v>
      </c>
      <c r="D49" s="144">
        <f>SUM(D37:D48)</f>
        <v>2.2843395626182417E-4</v>
      </c>
      <c r="E49" s="145"/>
      <c r="F49" s="142" t="s">
        <v>17</v>
      </c>
      <c r="G49" s="143">
        <f>SUM(G37:G48)</f>
        <v>1422468</v>
      </c>
      <c r="H49" s="144">
        <f>SUM(H37:H48)</f>
        <v>2.8168550218604286E-4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16077.3</v>
      </c>
      <c r="H53" s="136">
        <f t="shared" ref="H53:H64" si="7">+IF(G53/$C$115=0,"",G53/$C$115)</f>
        <v>1.3122978051642478E-4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>
        <v>889650</v>
      </c>
      <c r="D55" s="136">
        <f t="shared" si="6"/>
        <v>4.2058642447281974E-5</v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-45522.17</v>
      </c>
      <c r="H60" s="136">
        <f t="shared" si="7"/>
        <v>-3.7157136942965403E-4</v>
      </c>
    </row>
    <row r="61" spans="2:9" x14ac:dyDescent="0.2">
      <c r="B61" s="132" t="s">
        <v>13</v>
      </c>
      <c r="C61" s="139">
        <v>48790923</v>
      </c>
      <c r="D61" s="136">
        <f t="shared" si="6"/>
        <v>2.3066149442251068E-3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/>
      <c r="D63" s="136" t="str">
        <f t="shared" si="6"/>
        <v/>
      </c>
      <c r="E63" s="135"/>
      <c r="F63" s="132" t="s">
        <v>15</v>
      </c>
      <c r="G63" s="157"/>
      <c r="H63" s="136" t="str">
        <f t="shared" si="7"/>
        <v/>
      </c>
    </row>
    <row r="64" spans="2:9" x14ac:dyDescent="0.2">
      <c r="B64" s="132" t="s">
        <v>16</v>
      </c>
      <c r="C64" s="139">
        <v>-173857</v>
      </c>
      <c r="D64" s="136">
        <f t="shared" si="6"/>
        <v>-8.2191754060103431E-6</v>
      </c>
      <c r="E64" s="135"/>
      <c r="F64" s="132" t="s">
        <v>16</v>
      </c>
      <c r="G64" s="157">
        <v>-42.43</v>
      </c>
      <c r="H64" s="136">
        <f t="shared" si="7"/>
        <v>-3.4633175889682369E-7</v>
      </c>
    </row>
    <row r="65" spans="2:8" x14ac:dyDescent="0.2">
      <c r="B65" s="142" t="s">
        <v>17</v>
      </c>
      <c r="C65" s="143">
        <f>SUM(C53:C64)</f>
        <v>49506716</v>
      </c>
      <c r="D65" s="144">
        <f>SUM(D53:D64)</f>
        <v>2.3404544112663782E-3</v>
      </c>
      <c r="E65" s="145"/>
      <c r="F65" s="142" t="s">
        <v>17</v>
      </c>
      <c r="G65" s="148">
        <f>SUM(G53:G64)</f>
        <v>-29487.3</v>
      </c>
      <c r="H65" s="144">
        <f>SUM(H53:H64)</f>
        <v>-2.4068792067212608E-4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-8652</v>
      </c>
      <c r="D72" s="136">
        <f t="shared" si="8"/>
        <v>-7.0586940472666889E-7</v>
      </c>
      <c r="E72" s="135"/>
      <c r="F72" s="132" t="s">
        <v>9</v>
      </c>
      <c r="G72" s="133">
        <v>-1150192</v>
      </c>
      <c r="H72" s="136">
        <f t="shared" si="9"/>
        <v>-1.8446428731058053E-4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42292561</v>
      </c>
      <c r="D76" s="136">
        <f t="shared" si="8"/>
        <v>3.4504189617933809E-3</v>
      </c>
      <c r="E76" s="135"/>
      <c r="F76" s="132" t="s">
        <v>13</v>
      </c>
      <c r="G76" s="139">
        <v>1725068</v>
      </c>
      <c r="H76" s="136">
        <f t="shared" si="9"/>
        <v>2.7666114803640479E-4</v>
      </c>
    </row>
    <row r="77" spans="2:8" x14ac:dyDescent="0.2">
      <c r="B77" s="132" t="s">
        <v>14</v>
      </c>
      <c r="C77" s="133">
        <v>-56275349</v>
      </c>
      <c r="D77" s="136">
        <f t="shared" si="8"/>
        <v>-4.5911982315551937E-3</v>
      </c>
      <c r="E77" s="135"/>
      <c r="F77" s="132" t="s">
        <v>14</v>
      </c>
      <c r="G77" s="133">
        <v>-27361602</v>
      </c>
      <c r="H77" s="136">
        <f t="shared" si="9"/>
        <v>-4.3881703338275301E-3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-12304</v>
      </c>
      <c r="D79" s="136">
        <f t="shared" si="8"/>
        <v>-1.0038161298840654E-6</v>
      </c>
      <c r="E79" s="135"/>
      <c r="F79" s="132" t="s">
        <v>16</v>
      </c>
      <c r="G79" s="139">
        <v>-12304</v>
      </c>
      <c r="H79" s="136">
        <f t="shared" si="9"/>
        <v>-1.973278018860662E-6</v>
      </c>
    </row>
    <row r="80" spans="2:8" x14ac:dyDescent="0.2">
      <c r="B80" s="142" t="s">
        <v>17</v>
      </c>
      <c r="C80" s="143">
        <f>SUM(C68:C79)</f>
        <v>-14003744</v>
      </c>
      <c r="D80" s="144">
        <f>SUM(D68:D79)</f>
        <v>-1.1424889552964237E-3</v>
      </c>
      <c r="E80" s="145"/>
      <c r="F80" s="142" t="s">
        <v>17</v>
      </c>
      <c r="G80" s="143">
        <f>SUM(G68:G79)</f>
        <v>-26799030</v>
      </c>
      <c r="H80" s="144">
        <f>SUM(H68:H79)</f>
        <v>-4.2979467511205663E-3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21250201494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21152608553.999901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12257224838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5049844557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6235309917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66638827164.000099</v>
      </c>
      <c r="D111" s="175">
        <v>4610264200</v>
      </c>
      <c r="F111" s="173">
        <f>+C111+D111</f>
        <v>71249091364.000092</v>
      </c>
      <c r="G111" s="129"/>
      <c r="H111" s="129"/>
    </row>
    <row r="112" spans="2:8" x14ac:dyDescent="0.2">
      <c r="B112" s="180" t="s">
        <v>18</v>
      </c>
      <c r="C112" s="182">
        <v>35987465.540600002</v>
      </c>
      <c r="D112" s="177">
        <v>36771.75</v>
      </c>
      <c r="F112" s="173">
        <f>+C112+D112</f>
        <v>36024237.290600002</v>
      </c>
      <c r="H112" s="141"/>
    </row>
    <row r="113" spans="1:13" x14ac:dyDescent="0.2">
      <c r="B113" s="180" t="s">
        <v>4</v>
      </c>
      <c r="C113" s="181">
        <v>10172322471.000099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78672305527.999908</v>
      </c>
      <c r="D114" s="172"/>
      <c r="F114" s="173"/>
      <c r="H114" s="141"/>
    </row>
    <row r="115" spans="1:13" x14ac:dyDescent="0.2">
      <c r="B115" s="180" t="s">
        <v>25</v>
      </c>
      <c r="C115" s="182">
        <v>122512587.7429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60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43024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5371272</v>
      </c>
      <c r="D7" s="134">
        <f>+IF(C7/$F$111=0,"",C7/$F$111)</f>
        <v>7.7811787890860821E-5</v>
      </c>
      <c r="E7" s="135"/>
      <c r="F7" s="132" t="s">
        <v>5</v>
      </c>
      <c r="G7" s="133">
        <v>897715</v>
      </c>
      <c r="H7" s="136">
        <f>+IF(G7/$C$113=0,"",G7/$C$113)</f>
        <v>8.8606966567320687E-5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-152206</v>
      </c>
      <c r="H8" s="136">
        <f>+IF(G8/$C$113=0,"",G8/$C$113)</f>
        <v>-1.502315540382595E-5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-64169</v>
      </c>
      <c r="H11" s="136">
        <f t="shared" si="0"/>
        <v>-6.3336587198146414E-6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0</v>
      </c>
      <c r="H12" s="136" t="str">
        <f t="shared" si="0"/>
        <v/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-318202</v>
      </c>
      <c r="H14" s="136">
        <f t="shared" si="0"/>
        <v>-3.1407422150297784E-5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/>
      <c r="D17" s="134" t="str">
        <f>+IF(C17/$F$111=0,"",C17/$F$111)</f>
        <v/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-67619</v>
      </c>
      <c r="D18" s="134">
        <f>+IF(C18/$F$111=0,"",C18/$F$111)</f>
        <v>-9.7957342048440633E-7</v>
      </c>
      <c r="E18" s="141"/>
      <c r="F18" s="132" t="s">
        <v>16</v>
      </c>
      <c r="G18" s="139">
        <v>-36046</v>
      </c>
      <c r="H18" s="136">
        <f t="shared" si="0"/>
        <v>-3.5578404247290528E-6</v>
      </c>
    </row>
    <row r="19" spans="2:9" x14ac:dyDescent="0.2">
      <c r="B19" s="142" t="s">
        <v>17</v>
      </c>
      <c r="C19" s="143">
        <f>SUM(C7:C18)</f>
        <v>5303653</v>
      </c>
      <c r="D19" s="144">
        <f>SUM(D7:D18)</f>
        <v>7.6832214470376421E-5</v>
      </c>
      <c r="E19" s="145"/>
      <c r="F19" s="142" t="s">
        <v>17</v>
      </c>
      <c r="G19" s="143">
        <f>SUM(G7:G18)</f>
        <v>327092</v>
      </c>
      <c r="H19" s="144">
        <f>SUM(H7:H18)</f>
        <v>3.2284889868653263E-5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3805.5973999999997</v>
      </c>
      <c r="D22" s="136">
        <f>+IF(C22/$F$112=0,"",C22/$F$112)</f>
        <v>1.0341498108797283E-4</v>
      </c>
      <c r="E22" s="141"/>
      <c r="F22" s="132" t="s">
        <v>5</v>
      </c>
      <c r="G22" s="133">
        <v>1697583</v>
      </c>
      <c r="H22" s="136">
        <f t="shared" ref="H22:H33" si="2">+IF(G22/$C$106=0,"",G22/$C$106)</f>
        <v>7.9889718980720914E-5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-330458</v>
      </c>
      <c r="H23" s="136">
        <f t="shared" si="2"/>
        <v>-1.5551638273316281E-5</v>
      </c>
      <c r="I23" s="147"/>
    </row>
    <row r="24" spans="2:9" x14ac:dyDescent="0.2">
      <c r="B24" s="132" t="s">
        <v>45</v>
      </c>
      <c r="C24" s="138">
        <v>4231.4283533208072</v>
      </c>
      <c r="D24" s="136">
        <f>+IF(C24/$F$112=0,"",C24/$F$112)</f>
        <v>1.1498669910111441E-4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-4751.4773250710041</v>
      </c>
      <c r="D26" s="136">
        <f>+IF(C26/$F$112=0,"",C26/$F$112)</f>
        <v>-1.2911873907422517E-4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-89112.109999999986</v>
      </c>
      <c r="D27" s="136">
        <f t="shared" ref="D27:D33" si="3">+IF(C27/$F$112=0,"",C27/$F$112)</f>
        <v>-2.4215717538485166E-3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1649264</v>
      </c>
      <c r="H29" s="136">
        <f t="shared" si="2"/>
        <v>7.7615785198732377E-5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89203.382500000007</v>
      </c>
      <c r="D31" s="136">
        <f t="shared" si="3"/>
        <v>2.4240520329924307E-3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/>
      <c r="H32" s="136" t="str">
        <f t="shared" si="2"/>
        <v/>
      </c>
    </row>
    <row r="33" spans="1:13" x14ac:dyDescent="0.2">
      <c r="B33" s="132" t="s">
        <v>16</v>
      </c>
      <c r="C33" s="138">
        <v>-69.260000000000005</v>
      </c>
      <c r="D33" s="136">
        <f t="shared" si="3"/>
        <v>-1.8821017667693907E-6</v>
      </c>
      <c r="E33" s="141"/>
      <c r="F33" s="132" t="s">
        <v>16</v>
      </c>
      <c r="G33" s="139">
        <v>-37576</v>
      </c>
      <c r="H33" s="136">
        <f t="shared" si="2"/>
        <v>-1.7683589435212117E-6</v>
      </c>
    </row>
    <row r="34" spans="1:13" x14ac:dyDescent="0.2">
      <c r="B34" s="142" t="s">
        <v>17</v>
      </c>
      <c r="C34" s="148">
        <f>SUM(C22:C33)</f>
        <v>3307.5609282498281</v>
      </c>
      <c r="D34" s="144">
        <f>SUM(D22:D33)</f>
        <v>8.9881118492007021E-5</v>
      </c>
      <c r="E34" s="145"/>
      <c r="F34" s="142" t="s">
        <v>17</v>
      </c>
      <c r="G34" s="143">
        <f>SUM(G22:G33)</f>
        <v>2978813</v>
      </c>
      <c r="H34" s="144">
        <f>SUM(H22:H33)</f>
        <v>1.4018550696261579E-4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4347602</v>
      </c>
      <c r="D37" s="136">
        <f t="shared" ref="D37:D48" si="4">+IF(C37/$C$114=0,"",C37/$C$114)</f>
        <v>5.5255424926713572E-5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-2516348</v>
      </c>
      <c r="D38" s="136">
        <f t="shared" si="4"/>
        <v>-3.198128025598614E-5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>
        <v>1232105</v>
      </c>
      <c r="D41" s="136">
        <f t="shared" si="4"/>
        <v>1.56593187070317E-5</v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-3203868</v>
      </c>
      <c r="D44" s="136">
        <f t="shared" si="4"/>
        <v>-4.0719248852378843E-5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4841311</v>
      </c>
      <c r="D45" s="136">
        <f t="shared" si="4"/>
        <v>6.1530171461732835E-5</v>
      </c>
      <c r="E45" s="135"/>
      <c r="F45" s="132" t="s">
        <v>13</v>
      </c>
      <c r="G45" s="139">
        <v>28628144</v>
      </c>
      <c r="H45" s="136">
        <f t="shared" si="5"/>
        <v>5.6653511329577732E-3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-120978</v>
      </c>
      <c r="D48" s="136">
        <f t="shared" si="4"/>
        <v>-1.5375581290062786E-6</v>
      </c>
      <c r="E48" s="135"/>
      <c r="F48" s="132" t="s">
        <v>16</v>
      </c>
      <c r="G48" s="139">
        <v>-41533</v>
      </c>
      <c r="H48" s="136">
        <f t="shared" si="5"/>
        <v>-8.2191506583568672E-6</v>
      </c>
    </row>
    <row r="49" spans="2:9" x14ac:dyDescent="0.2">
      <c r="B49" s="142" t="s">
        <v>17</v>
      </c>
      <c r="C49" s="143">
        <f>SUM(C37:C48)</f>
        <v>4579824</v>
      </c>
      <c r="D49" s="144">
        <f>SUM(D37:D48)</f>
        <v>5.8206827858106846E-5</v>
      </c>
      <c r="E49" s="145"/>
      <c r="F49" s="142" t="s">
        <v>17</v>
      </c>
      <c r="G49" s="143">
        <f>SUM(G37:G48)</f>
        <v>28586611</v>
      </c>
      <c r="H49" s="144">
        <f>SUM(H37:H48)</f>
        <v>5.6571319822994164E-3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16077.4319</v>
      </c>
      <c r="H53" s="136">
        <f t="shared" ref="H53:H64" si="7">+IF(G53/$C$115=0,"",G53/$C$115)</f>
        <v>1.3107263855722121E-4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-87679.71</v>
      </c>
      <c r="H60" s="136">
        <f t="shared" si="7"/>
        <v>-7.1481633441917904E-4</v>
      </c>
    </row>
    <row r="61" spans="2:9" x14ac:dyDescent="0.2">
      <c r="B61" s="132" t="s">
        <v>13</v>
      </c>
      <c r="C61" s="139">
        <v>139539796</v>
      </c>
      <c r="D61" s="136">
        <f t="shared" si="6"/>
        <v>6.585532758045156E-3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>
        <v>-14048</v>
      </c>
      <c r="D63" s="136">
        <f t="shared" si="6"/>
        <v>-6.6299053629846468E-7</v>
      </c>
      <c r="E63" s="135"/>
      <c r="F63" s="132" t="s">
        <v>15</v>
      </c>
      <c r="G63" s="157">
        <v>-36.15</v>
      </c>
      <c r="H63" s="136">
        <f t="shared" si="7"/>
        <v>-2.9471596666153799E-7</v>
      </c>
    </row>
    <row r="64" spans="2:9" x14ac:dyDescent="0.2">
      <c r="B64" s="132" t="s">
        <v>16</v>
      </c>
      <c r="C64" s="139">
        <v>-174155</v>
      </c>
      <c r="D64" s="136">
        <f t="shared" si="6"/>
        <v>-8.2191854249045487E-6</v>
      </c>
      <c r="E64" s="135"/>
      <c r="F64" s="132" t="s">
        <v>16</v>
      </c>
      <c r="G64" s="157">
        <v>-42.53</v>
      </c>
      <c r="H64" s="136">
        <f t="shared" si="7"/>
        <v>-3.4672946229917594E-7</v>
      </c>
    </row>
    <row r="65" spans="2:8" x14ac:dyDescent="0.2">
      <c r="B65" s="142" t="s">
        <v>17</v>
      </c>
      <c r="C65" s="143">
        <f>SUM(C53:C64)</f>
        <v>139351593</v>
      </c>
      <c r="D65" s="144">
        <f>SUM(D53:D64)</f>
        <v>6.5766505820839529E-3</v>
      </c>
      <c r="E65" s="145"/>
      <c r="F65" s="142" t="s">
        <v>17</v>
      </c>
      <c r="G65" s="148">
        <f>SUM(G53:G64)</f>
        <v>-71680.958100000003</v>
      </c>
      <c r="H65" s="144">
        <f>SUM(H53:H64)</f>
        <v>-5.8438514129091862E-4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-7412</v>
      </c>
      <c r="D72" s="136">
        <f t="shared" si="8"/>
        <v>-6.0238421987028705E-7</v>
      </c>
      <c r="E72" s="135"/>
      <c r="F72" s="132" t="s">
        <v>9</v>
      </c>
      <c r="G72" s="133">
        <v>-985304</v>
      </c>
      <c r="H72" s="136">
        <f t="shared" si="9"/>
        <v>-1.5917664458617702E-4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2222483</v>
      </c>
      <c r="D76" s="136">
        <f t="shared" si="8"/>
        <v>1.8062448571640248E-4</v>
      </c>
      <c r="E76" s="135"/>
      <c r="F76" s="132" t="s">
        <v>13</v>
      </c>
      <c r="G76" s="139">
        <v>6797095</v>
      </c>
      <c r="H76" s="136">
        <f t="shared" si="9"/>
        <v>1.0980761014199485E-3</v>
      </c>
    </row>
    <row r="77" spans="2:8" x14ac:dyDescent="0.2">
      <c r="B77" s="132" t="s">
        <v>14</v>
      </c>
      <c r="C77" s="133">
        <v>-48216661</v>
      </c>
      <c r="D77" s="136">
        <f t="shared" si="8"/>
        <v>-3.9186394658978808E-3</v>
      </c>
      <c r="E77" s="135"/>
      <c r="F77" s="132" t="s">
        <v>14</v>
      </c>
      <c r="G77" s="133">
        <v>-23465899</v>
      </c>
      <c r="H77" s="136">
        <f t="shared" si="9"/>
        <v>-3.7909346404948387E-3</v>
      </c>
    </row>
    <row r="78" spans="2:8" x14ac:dyDescent="0.2">
      <c r="B78" s="132" t="s">
        <v>15</v>
      </c>
      <c r="C78" s="139">
        <v>-1</v>
      </c>
      <c r="D78" s="136">
        <f t="shared" si="8"/>
        <v>-8.1271481364043043E-11</v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-12302</v>
      </c>
      <c r="D79" s="136">
        <f t="shared" si="8"/>
        <v>-9.9980176374045766E-7</v>
      </c>
      <c r="E79" s="135"/>
      <c r="F79" s="132" t="s">
        <v>16</v>
      </c>
      <c r="G79" s="139">
        <v>-12302</v>
      </c>
      <c r="H79" s="136">
        <f t="shared" si="9"/>
        <v>-1.9873978809577039E-6</v>
      </c>
    </row>
    <row r="80" spans="2:8" x14ac:dyDescent="0.2">
      <c r="B80" s="142" t="s">
        <v>17</v>
      </c>
      <c r="C80" s="143">
        <f>SUM(C68:C79)</f>
        <v>-46013893</v>
      </c>
      <c r="D80" s="144">
        <f>SUM(D68:D79)</f>
        <v>-3.7396172474365701E-3</v>
      </c>
      <c r="E80" s="145"/>
      <c r="F80" s="142" t="s">
        <v>17</v>
      </c>
      <c r="G80" s="143">
        <f>SUM(G68:G79)</f>
        <v>-17666410</v>
      </c>
      <c r="H80" s="144">
        <f>SUM(H68:H79)</f>
        <v>-2.8540225815420249E-3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21249079627.000099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21188839404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12304439186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5053198527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6190003581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65354680479.999893</v>
      </c>
      <c r="D111" s="175">
        <v>3674346427</v>
      </c>
      <c r="F111" s="173">
        <f>+C111+D111</f>
        <v>69029026906.999893</v>
      </c>
      <c r="G111" s="129"/>
      <c r="H111" s="129"/>
    </row>
    <row r="112" spans="2:8" x14ac:dyDescent="0.2">
      <c r="B112" s="180" t="s">
        <v>18</v>
      </c>
      <c r="C112" s="182">
        <v>35799285.364299998</v>
      </c>
      <c r="D112" s="177">
        <v>1000000</v>
      </c>
      <c r="F112" s="173">
        <f>+C112+D112</f>
        <v>36799285.364299998</v>
      </c>
      <c r="H112" s="141"/>
    </row>
    <row r="113" spans="1:13" x14ac:dyDescent="0.2">
      <c r="B113" s="180" t="s">
        <v>4</v>
      </c>
      <c r="C113" s="181">
        <v>10131426848.000099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78681903284</v>
      </c>
      <c r="D114" s="172"/>
      <c r="F114" s="173"/>
      <c r="H114" s="141"/>
    </row>
    <row r="115" spans="1:13" x14ac:dyDescent="0.2">
      <c r="B115" s="180" t="s">
        <v>25</v>
      </c>
      <c r="C115" s="182">
        <v>122660473.4365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61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43025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5284456</v>
      </c>
      <c r="D7" s="134">
        <f>+IF(C7/$F$111=0,"",C7/$F$111)</f>
        <v>7.7495953402034718E-5</v>
      </c>
      <c r="E7" s="135"/>
      <c r="F7" s="132" t="s">
        <v>5</v>
      </c>
      <c r="G7" s="133">
        <v>950033</v>
      </c>
      <c r="H7" s="136">
        <f>+IF(G7/$C$113=0,"",G7/$C$113)</f>
        <v>9.3688905830058858E-5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-151294</v>
      </c>
      <c r="H8" s="136">
        <f>+IF(G8/$C$113=0,"",G8/$C$113)</f>
        <v>-1.4920081006294438E-5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53897</v>
      </c>
      <c r="H11" s="136">
        <f t="shared" si="0"/>
        <v>5.315132166485461E-6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94640</v>
      </c>
      <c r="H12" s="136">
        <f t="shared" si="0"/>
        <v>9.3330632175479909E-6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-4735489</v>
      </c>
      <c r="H14" s="136">
        <f t="shared" si="0"/>
        <v>-4.6699723375954262E-4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>
        <v>-253499</v>
      </c>
      <c r="D17" s="134">
        <f>+IF(C17/$F$111=0,"",C17/$F$111)</f>
        <v>-3.7175343481831244E-6</v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-104034</v>
      </c>
      <c r="D18" s="134">
        <f>+IF(C18/$F$111=0,"",C18/$F$111)</f>
        <v>-1.5256469192339345E-6</v>
      </c>
      <c r="E18" s="141"/>
      <c r="F18" s="132" t="s">
        <v>16</v>
      </c>
      <c r="G18" s="139">
        <v>-35557</v>
      </c>
      <c r="H18" s="136">
        <f t="shared" si="0"/>
        <v>-3.5065060104221669E-6</v>
      </c>
    </row>
    <row r="19" spans="2:9" x14ac:dyDescent="0.2">
      <c r="B19" s="142" t="s">
        <v>17</v>
      </c>
      <c r="C19" s="143">
        <f>SUM(C7:C18)</f>
        <v>4926923</v>
      </c>
      <c r="D19" s="144">
        <f>SUM(D7:D18)</f>
        <v>7.2252772134617663E-5</v>
      </c>
      <c r="E19" s="145"/>
      <c r="F19" s="142" t="s">
        <v>17</v>
      </c>
      <c r="G19" s="143">
        <f>SUM(G7:G18)</f>
        <v>-3823770</v>
      </c>
      <c r="H19" s="144">
        <f>SUM(H7:H18)</f>
        <v>-3.770867195621669E-4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3194.3307999999997</v>
      </c>
      <c r="D22" s="136">
        <f>+IF(C22/$F$112=0,"",C22/$F$112)</f>
        <v>7.6569017439792305E-5</v>
      </c>
      <c r="E22" s="141"/>
      <c r="F22" s="132" t="s">
        <v>5</v>
      </c>
      <c r="G22" s="133">
        <v>1644133</v>
      </c>
      <c r="H22" s="136">
        <f t="shared" ref="H22:H33" si="2">+IF(G22/$C$106=0,"",G22/$C$106)</f>
        <v>7.7354730776345732E-5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-328624</v>
      </c>
      <c r="H23" s="136">
        <f t="shared" si="2"/>
        <v>-1.5461414038064952E-5</v>
      </c>
      <c r="I23" s="147"/>
    </row>
    <row r="24" spans="2:9" x14ac:dyDescent="0.2">
      <c r="B24" s="132" t="s">
        <v>45</v>
      </c>
      <c r="C24" s="138">
        <v>4557.4506566338241</v>
      </c>
      <c r="D24" s="136">
        <f>+IF(C24/$F$112=0,"",C24/$F$112)</f>
        <v>1.0924338794491421E-4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14275.193075912162</v>
      </c>
      <c r="D26" s="136">
        <f>+IF(C26/$F$112=0,"",C26/$F$112)</f>
        <v>3.421804365364792E-4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78499.34</v>
      </c>
      <c r="D27" s="136">
        <f t="shared" ref="D27:D33" si="3">+IF(C27/$F$112=0,"",C27/$F$112)</f>
        <v>1.881651497544395E-3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-2040710</v>
      </c>
      <c r="H29" s="136">
        <f t="shared" si="2"/>
        <v>-9.6013262091689975E-5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-98151.032699999996</v>
      </c>
      <c r="D31" s="136">
        <f t="shared" si="3"/>
        <v>-2.3527081586352688E-3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/>
      <c r="H32" s="136" t="str">
        <f t="shared" si="2"/>
        <v/>
      </c>
    </row>
    <row r="33" spans="1:13" x14ac:dyDescent="0.2">
      <c r="B33" s="132" t="s">
        <v>16</v>
      </c>
      <c r="C33" s="138">
        <v>-195.01</v>
      </c>
      <c r="D33" s="136">
        <f t="shared" si="3"/>
        <v>-4.6744451422920563E-6</v>
      </c>
      <c r="E33" s="141"/>
      <c r="F33" s="132" t="s">
        <v>16</v>
      </c>
      <c r="G33" s="139">
        <v>-54190</v>
      </c>
      <c r="H33" s="136">
        <f t="shared" si="2"/>
        <v>-2.5495825828994222E-6</v>
      </c>
    </row>
    <row r="34" spans="1:13" x14ac:dyDescent="0.2">
      <c r="B34" s="142" t="s">
        <v>17</v>
      </c>
      <c r="C34" s="148">
        <f>SUM(C22:C33)</f>
        <v>2180.2718325459809</v>
      </c>
      <c r="D34" s="144">
        <f>SUM(D22:D33)</f>
        <v>5.2261735688019659E-5</v>
      </c>
      <c r="E34" s="145"/>
      <c r="F34" s="142" t="s">
        <v>17</v>
      </c>
      <c r="G34" s="143">
        <f>SUM(G22:G33)</f>
        <v>-779391</v>
      </c>
      <c r="H34" s="144">
        <f>SUM(H22:H33)</f>
        <v>-3.6669527936308613E-5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4449384</v>
      </c>
      <c r="D37" s="136">
        <f t="shared" ref="D37:D48" si="4">+IF(C37/$C$114=0,"",C37/$C$114)</f>
        <v>5.3320358610796174E-5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-2595748</v>
      </c>
      <c r="D38" s="136">
        <f t="shared" si="4"/>
        <v>-3.1106826073734465E-5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-43799306</v>
      </c>
      <c r="D44" s="136">
        <f t="shared" si="4"/>
        <v>-5.2488045599660455E-4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-1501825</v>
      </c>
      <c r="D45" s="136">
        <f t="shared" si="4"/>
        <v>-1.7997513267153152E-5</v>
      </c>
      <c r="E45" s="135"/>
      <c r="F45" s="132" t="s">
        <v>13</v>
      </c>
      <c r="G45" s="139">
        <v>-3146333</v>
      </c>
      <c r="H45" s="136">
        <f t="shared" si="5"/>
        <v>-6.1940214940567882E-4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-64147</v>
      </c>
      <c r="D48" s="136">
        <f t="shared" si="4"/>
        <v>-7.6872237680693367E-7</v>
      </c>
      <c r="E48" s="135"/>
      <c r="F48" s="132" t="s">
        <v>16</v>
      </c>
      <c r="G48" s="139">
        <v>-41750</v>
      </c>
      <c r="H48" s="136">
        <f t="shared" si="5"/>
        <v>-8.2191045060033676E-6</v>
      </c>
    </row>
    <row r="49" spans="2:9" x14ac:dyDescent="0.2">
      <c r="B49" s="142" t="s">
        <v>17</v>
      </c>
      <c r="C49" s="143">
        <f>SUM(C37:C48)</f>
        <v>-43511642</v>
      </c>
      <c r="D49" s="144">
        <f>SUM(D37:D48)</f>
        <v>-5.2143315910350291E-4</v>
      </c>
      <c r="E49" s="145"/>
      <c r="F49" s="142" t="s">
        <v>17</v>
      </c>
      <c r="G49" s="143">
        <f>SUM(G37:G48)</f>
        <v>-3188083</v>
      </c>
      <c r="H49" s="144">
        <f>SUM(H37:H48)</f>
        <v>-6.2762125391168223E-4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16008.447099999999</v>
      </c>
      <c r="H53" s="136">
        <f t="shared" ref="H53:H64" si="7">+IF(G53/$C$115=0,"",G53/$C$115)</f>
        <v>1.3040095083498914E-4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63600.4133</v>
      </c>
      <c r="H60" s="136">
        <f t="shared" si="7"/>
        <v>5.1807363425140029E-4</v>
      </c>
    </row>
    <row r="61" spans="2:9" x14ac:dyDescent="0.2">
      <c r="B61" s="132" t="s">
        <v>13</v>
      </c>
      <c r="C61" s="139">
        <v>-5675380</v>
      </c>
      <c r="D61" s="136">
        <f t="shared" si="6"/>
        <v>-2.6609496114549813E-4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>
        <v>-11075519</v>
      </c>
      <c r="D63" s="136">
        <f t="shared" si="6"/>
        <v>-5.1928501668103749E-4</v>
      </c>
      <c r="E63" s="135"/>
      <c r="F63" s="132" t="s">
        <v>15</v>
      </c>
      <c r="G63" s="157">
        <v>824.75</v>
      </c>
      <c r="H63" s="136">
        <f t="shared" si="7"/>
        <v>6.7182146731244966E-6</v>
      </c>
    </row>
    <row r="64" spans="2:9" x14ac:dyDescent="0.2">
      <c r="B64" s="132" t="s">
        <v>16</v>
      </c>
      <c r="C64" s="139">
        <v>-175302</v>
      </c>
      <c r="D64" s="136">
        <f t="shared" si="6"/>
        <v>-8.2191816017126805E-6</v>
      </c>
      <c r="E64" s="135"/>
      <c r="F64" s="132" t="s">
        <v>16</v>
      </c>
      <c r="G64" s="157">
        <v>-42.62</v>
      </c>
      <c r="H64" s="136">
        <f t="shared" si="7"/>
        <v>-3.4717224536958599E-7</v>
      </c>
    </row>
    <row r="65" spans="2:8" x14ac:dyDescent="0.2">
      <c r="B65" s="142" t="s">
        <v>17</v>
      </c>
      <c r="C65" s="143">
        <f>SUM(C53:C64)</f>
        <v>-16926201</v>
      </c>
      <c r="D65" s="144">
        <f>SUM(D53:D64)</f>
        <v>-7.9359915942824825E-4</v>
      </c>
      <c r="E65" s="145"/>
      <c r="F65" s="142" t="s">
        <v>17</v>
      </c>
      <c r="G65" s="148">
        <f>SUM(G53:G64)</f>
        <v>80390.99040000001</v>
      </c>
      <c r="H65" s="144">
        <f>SUM(H53:H64)</f>
        <v>6.5484562751414431E-4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7321</v>
      </c>
      <c r="D72" s="136">
        <f t="shared" si="8"/>
        <v>5.9798425032463075E-7</v>
      </c>
      <c r="E72" s="135"/>
      <c r="F72" s="132" t="s">
        <v>9</v>
      </c>
      <c r="G72" s="133">
        <v>961175</v>
      </c>
      <c r="H72" s="136">
        <f t="shared" si="9"/>
        <v>1.5572832868043822E-4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-17345254</v>
      </c>
      <c r="D76" s="136">
        <f t="shared" si="8"/>
        <v>-1.4167721226444889E-3</v>
      </c>
      <c r="E76" s="135"/>
      <c r="F76" s="132" t="s">
        <v>13</v>
      </c>
      <c r="G76" s="139">
        <v>-2421482</v>
      </c>
      <c r="H76" s="136">
        <f t="shared" si="9"/>
        <v>-3.9232537757407851E-4</v>
      </c>
    </row>
    <row r="77" spans="2:8" x14ac:dyDescent="0.2">
      <c r="B77" s="132" t="s">
        <v>14</v>
      </c>
      <c r="C77" s="133">
        <v>46968952</v>
      </c>
      <c r="D77" s="136">
        <f t="shared" si="8"/>
        <v>3.8364558872085188E-3</v>
      </c>
      <c r="E77" s="135"/>
      <c r="F77" s="132" t="s">
        <v>14</v>
      </c>
      <c r="G77" s="133">
        <v>22881892</v>
      </c>
      <c r="H77" s="136">
        <f t="shared" si="9"/>
        <v>3.7072945074583608E-3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-12300</v>
      </c>
      <c r="D79" s="136">
        <f t="shared" si="8"/>
        <v>-1.0046723506341972E-6</v>
      </c>
      <c r="E79" s="135"/>
      <c r="F79" s="132" t="s">
        <v>16</v>
      </c>
      <c r="G79" s="139">
        <v>-12300</v>
      </c>
      <c r="H79" s="136">
        <f t="shared" si="9"/>
        <v>-1.9928300702467189E-6</v>
      </c>
    </row>
    <row r="80" spans="2:8" x14ac:dyDescent="0.2">
      <c r="B80" s="142" t="s">
        <v>17</v>
      </c>
      <c r="C80" s="143">
        <f>SUM(C68:C79)</f>
        <v>29618719</v>
      </c>
      <c r="D80" s="144">
        <f>SUM(D68:D79)</f>
        <v>2.4192770764637204E-3</v>
      </c>
      <c r="E80" s="145"/>
      <c r="F80" s="142" t="s">
        <v>17</v>
      </c>
      <c r="G80" s="143">
        <f>SUM(G68:G79)</f>
        <v>21409285</v>
      </c>
      <c r="H80" s="144">
        <f>SUM(H68:H79)</f>
        <v>3.4687046284944739E-3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21254459597.999901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21328400867.000099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12242797358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5079628805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6172126858.0001001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66749834182.000099</v>
      </c>
      <c r="D111" s="175">
        <v>1440255339</v>
      </c>
      <c r="F111" s="173">
        <f>+C111+D111</f>
        <v>68190089521.000099</v>
      </c>
      <c r="G111" s="129"/>
      <c r="H111" s="129"/>
    </row>
    <row r="112" spans="2:8" x14ac:dyDescent="0.2">
      <c r="B112" s="180" t="s">
        <v>18</v>
      </c>
      <c r="C112" s="182">
        <v>36715185.230399996</v>
      </c>
      <c r="D112" s="177">
        <v>5003135.1399999997</v>
      </c>
      <c r="F112" s="173">
        <f>+C112+D112</f>
        <v>41718320.370399997</v>
      </c>
      <c r="H112" s="141"/>
    </row>
    <row r="113" spans="1:13" x14ac:dyDescent="0.2">
      <c r="B113" s="180" t="s">
        <v>4</v>
      </c>
      <c r="C113" s="181">
        <v>10140293470.000099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83446250474</v>
      </c>
      <c r="D114" s="172"/>
      <c r="F114" s="173"/>
      <c r="H114" s="141"/>
    </row>
    <row r="115" spans="1:13" x14ac:dyDescent="0.2">
      <c r="B115" s="180" t="s">
        <v>25</v>
      </c>
      <c r="C115" s="182">
        <v>122763269.72690001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62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43026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5356075</v>
      </c>
      <c r="D7" s="134">
        <f>+IF(C7/$F$111=0,"",C7/$F$111)</f>
        <v>7.7068281355215576E-5</v>
      </c>
      <c r="E7" s="135"/>
      <c r="F7" s="132" t="s">
        <v>5</v>
      </c>
      <c r="G7" s="133">
        <v>914586</v>
      </c>
      <c r="H7" s="136">
        <f>+IF(G7/$C$113=0,"",G7/$C$113)</f>
        <v>9.0228725162744676E-5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-151135</v>
      </c>
      <c r="H8" s="136">
        <f>+IF(G8/$C$113=0,"",G8/$C$113)</f>
        <v>-1.4910263635646528E-5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70524</v>
      </c>
      <c r="H11" s="136">
        <f t="shared" si="0"/>
        <v>6.9575639834607194E-6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-235840</v>
      </c>
      <c r="H12" s="136">
        <f t="shared" si="0"/>
        <v>-2.3266857947072995E-5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-755136</v>
      </c>
      <c r="H14" s="136">
        <f t="shared" si="0"/>
        <v>-7.4498142989827488E-5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/>
      <c r="D17" s="134" t="str">
        <f>+IF(C17/$F$111=0,"",C17/$F$111)</f>
        <v/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-86843</v>
      </c>
      <c r="D18" s="134">
        <f>+IF(C18/$F$111=0,"",C18/$F$111)</f>
        <v>-1.2495793575950648E-6</v>
      </c>
      <c r="E18" s="141"/>
      <c r="F18" s="132" t="s">
        <v>16</v>
      </c>
      <c r="G18" s="139">
        <v>-35572</v>
      </c>
      <c r="H18" s="136">
        <f t="shared" si="0"/>
        <v>-3.5093651242082794E-6</v>
      </c>
    </row>
    <row r="19" spans="2:9" x14ac:dyDescent="0.2">
      <c r="B19" s="142" t="s">
        <v>17</v>
      </c>
      <c r="C19" s="143">
        <f>SUM(C7:C18)</f>
        <v>5269232</v>
      </c>
      <c r="D19" s="144">
        <f>SUM(D7:D18)</f>
        <v>7.5818701997620513E-5</v>
      </c>
      <c r="E19" s="145"/>
      <c r="F19" s="142" t="s">
        <v>17</v>
      </c>
      <c r="G19" s="143">
        <f>SUM(G7:G18)</f>
        <v>-192573</v>
      </c>
      <c r="H19" s="144">
        <f>SUM(H7:H18)</f>
        <v>-1.8998340550549905E-5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3142.1851999999999</v>
      </c>
      <c r="D22" s="136">
        <f>+IF(C22/$F$112=0,"",C22/$F$112)</f>
        <v>7.5328727073085923E-5</v>
      </c>
      <c r="E22" s="141"/>
      <c r="F22" s="132" t="s">
        <v>5</v>
      </c>
      <c r="G22" s="133">
        <v>1824985</v>
      </c>
      <c r="H22" s="136">
        <f t="shared" ref="H22:H33" si="2">+IF(G22/$C$106=0,"",G22/$C$106)</f>
        <v>8.0582995321402698E-5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-328645</v>
      </c>
      <c r="H23" s="136">
        <f t="shared" si="2"/>
        <v>-1.4511460914693758E-5</v>
      </c>
      <c r="I23" s="147"/>
    </row>
    <row r="24" spans="2:9" x14ac:dyDescent="0.2">
      <c r="B24" s="132" t="s">
        <v>45</v>
      </c>
      <c r="C24" s="138">
        <v>4739.7482894174755</v>
      </c>
      <c r="D24" s="136">
        <f>+IF(C24/$F$112=0,"",C24/$F$112)</f>
        <v>1.1362767709829926E-4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18938.702228265116</v>
      </c>
      <c r="D26" s="136">
        <f>+IF(C26/$F$112=0,"",C26/$F$112)</f>
        <v>4.5402426670185681E-4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90713.945303585424</v>
      </c>
      <c r="D27" s="136">
        <f t="shared" ref="D27:D33" si="3">+IF(C27/$F$112=0,"",C27/$F$112)</f>
        <v>2.174717781592451E-3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-906192</v>
      </c>
      <c r="H29" s="136">
        <f t="shared" si="2"/>
        <v>-4.0013296381226451E-5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-114808.7003</v>
      </c>
      <c r="D31" s="136">
        <f t="shared" si="3"/>
        <v>-2.7523499412174745E-3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/>
      <c r="H32" s="136" t="str">
        <f t="shared" si="2"/>
        <v/>
      </c>
    </row>
    <row r="33" spans="1:13" x14ac:dyDescent="0.2">
      <c r="B33" s="132" t="s">
        <v>16</v>
      </c>
      <c r="C33" s="138">
        <v>-193.87</v>
      </c>
      <c r="D33" s="136">
        <f t="shared" si="3"/>
        <v>-4.6477146915653382E-6</v>
      </c>
      <c r="E33" s="141"/>
      <c r="F33" s="132" t="s">
        <v>16</v>
      </c>
      <c r="G33" s="139">
        <v>-43929</v>
      </c>
      <c r="H33" s="136">
        <f t="shared" si="2"/>
        <v>-1.9397038339898131E-6</v>
      </c>
    </row>
    <row r="34" spans="1:13" x14ac:dyDescent="0.2">
      <c r="B34" s="142" t="s">
        <v>17</v>
      </c>
      <c r="C34" s="148">
        <f>SUM(C22:C33)</f>
        <v>2532.0107212680114</v>
      </c>
      <c r="D34" s="144">
        <f>SUM(D22:D33)</f>
        <v>6.0700796556653128E-5</v>
      </c>
      <c r="E34" s="145"/>
      <c r="F34" s="142" t="s">
        <v>17</v>
      </c>
      <c r="G34" s="143">
        <f>SUM(G22:G33)</f>
        <v>546219</v>
      </c>
      <c r="H34" s="144">
        <f>SUM(H22:H33)</f>
        <v>2.4118534191492685E-5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4296196</v>
      </c>
      <c r="D37" s="136">
        <f t="shared" ref="D37:D48" si="4">+IF(C37/$C$114=0,"",C37/$C$114)</f>
        <v>5.1419072783340902E-5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-2594524</v>
      </c>
      <c r="D38" s="136">
        <f t="shared" si="4"/>
        <v>-3.1052591267745878E-5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-14779809</v>
      </c>
      <c r="D44" s="136">
        <f t="shared" si="4"/>
        <v>-1.7689231932036548E-4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-6542712</v>
      </c>
      <c r="D45" s="136">
        <f t="shared" si="4"/>
        <v>-7.8306526175350922E-5</v>
      </c>
      <c r="E45" s="135"/>
      <c r="F45" s="132" t="s">
        <v>13</v>
      </c>
      <c r="G45" s="139">
        <v>24162245</v>
      </c>
      <c r="H45" s="136">
        <f t="shared" si="5"/>
        <v>4.7539262204659982E-3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-50777</v>
      </c>
      <c r="D48" s="136">
        <f t="shared" si="4"/>
        <v>-6.0772512676788979E-7</v>
      </c>
      <c r="E48" s="135"/>
      <c r="F48" s="132" t="s">
        <v>16</v>
      </c>
      <c r="G48" s="139">
        <v>-41775</v>
      </c>
      <c r="H48" s="136">
        <f t="shared" si="5"/>
        <v>-8.2192390591175236E-6</v>
      </c>
    </row>
    <row r="49" spans="2:9" x14ac:dyDescent="0.2">
      <c r="B49" s="142" t="s">
        <v>17</v>
      </c>
      <c r="C49" s="143">
        <f>SUM(C37:C48)</f>
        <v>-19671626</v>
      </c>
      <c r="D49" s="144">
        <f>SUM(D37:D48)</f>
        <v>-2.3544008910688928E-4</v>
      </c>
      <c r="E49" s="145"/>
      <c r="F49" s="142" t="s">
        <v>17</v>
      </c>
      <c r="G49" s="143">
        <f>SUM(G37:G48)</f>
        <v>24120470</v>
      </c>
      <c r="H49" s="144">
        <f>SUM(H37:H48)</f>
        <v>4.7457069814068808E-3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15756.072099999999</v>
      </c>
      <c r="H53" s="136">
        <f t="shared" ref="H53:H64" si="7">+IF(G53/$C$115=0,"",G53/$C$115)</f>
        <v>1.2894516970778344E-4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827.1</v>
      </c>
      <c r="H60" s="136">
        <f t="shared" si="7"/>
        <v>6.7688538861984314E-6</v>
      </c>
    </row>
    <row r="61" spans="2:9" x14ac:dyDescent="0.2">
      <c r="B61" s="132" t="s">
        <v>13</v>
      </c>
      <c r="C61" s="139">
        <v>118316270</v>
      </c>
      <c r="D61" s="136">
        <f t="shared" si="6"/>
        <v>5.5517700711655389E-3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/>
      <c r="D63" s="136" t="str">
        <f t="shared" si="6"/>
        <v/>
      </c>
      <c r="E63" s="135"/>
      <c r="F63" s="132" t="s">
        <v>15</v>
      </c>
      <c r="G63" s="157"/>
      <c r="H63" s="136" t="str">
        <f t="shared" si="7"/>
        <v/>
      </c>
    </row>
    <row r="64" spans="2:9" x14ac:dyDescent="0.2">
      <c r="B64" s="132" t="s">
        <v>16</v>
      </c>
      <c r="C64" s="139">
        <v>-175163</v>
      </c>
      <c r="D64" s="136">
        <f t="shared" si="6"/>
        <v>-8.2191967425576317E-6</v>
      </c>
      <c r="E64" s="135"/>
      <c r="F64" s="132" t="s">
        <v>16</v>
      </c>
      <c r="G64" s="157">
        <v>-42.53</v>
      </c>
      <c r="H64" s="136">
        <f t="shared" si="7"/>
        <v>-3.4805870605733198E-7</v>
      </c>
    </row>
    <row r="65" spans="2:8" x14ac:dyDescent="0.2">
      <c r="B65" s="142" t="s">
        <v>17</v>
      </c>
      <c r="C65" s="143">
        <f>SUM(C53:C64)</f>
        <v>118141107</v>
      </c>
      <c r="D65" s="144">
        <f>SUM(D53:D64)</f>
        <v>5.5435508744229815E-3</v>
      </c>
      <c r="E65" s="145"/>
      <c r="F65" s="142" t="s">
        <v>17</v>
      </c>
      <c r="G65" s="148">
        <f>SUM(G53:G64)</f>
        <v>16540.642100000001</v>
      </c>
      <c r="H65" s="144">
        <f>SUM(H53:H64)</f>
        <v>1.3536596488792455E-4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8955</v>
      </c>
      <c r="D72" s="136">
        <f t="shared" si="8"/>
        <v>7.3086122390390275E-7</v>
      </c>
      <c r="E72" s="135"/>
      <c r="F72" s="132" t="s">
        <v>9</v>
      </c>
      <c r="G72" s="133">
        <v>1138909</v>
      </c>
      <c r="H72" s="136">
        <f t="shared" si="9"/>
        <v>1.8389297835001017E-4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22656544</v>
      </c>
      <c r="D76" s="136">
        <f t="shared" si="8"/>
        <v>1.8491110527384281E-3</v>
      </c>
      <c r="E76" s="135"/>
      <c r="F76" s="132" t="s">
        <v>13</v>
      </c>
      <c r="G76" s="139">
        <v>3448707</v>
      </c>
      <c r="H76" s="136">
        <f t="shared" si="9"/>
        <v>5.5684255870006168E-4</v>
      </c>
    </row>
    <row r="77" spans="2:8" x14ac:dyDescent="0.2">
      <c r="B77" s="132" t="s">
        <v>14</v>
      </c>
      <c r="C77" s="133">
        <v>58278560</v>
      </c>
      <c r="D77" s="136">
        <f t="shared" si="8"/>
        <v>4.7563975085379148E-3</v>
      </c>
      <c r="E77" s="135"/>
      <c r="F77" s="132" t="s">
        <v>14</v>
      </c>
      <c r="G77" s="133">
        <v>28355484</v>
      </c>
      <c r="H77" s="136">
        <f t="shared" si="9"/>
        <v>4.5783942398524022E-3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-12302</v>
      </c>
      <c r="D79" s="136">
        <f t="shared" si="8"/>
        <v>-1.0040262173607828E-6</v>
      </c>
      <c r="E79" s="135"/>
      <c r="F79" s="132" t="s">
        <v>16</v>
      </c>
      <c r="G79" s="139">
        <v>-12302</v>
      </c>
      <c r="H79" s="136">
        <f t="shared" si="9"/>
        <v>-1.9863320244741458E-6</v>
      </c>
    </row>
    <row r="80" spans="2:8" x14ac:dyDescent="0.2">
      <c r="B80" s="142" t="s">
        <v>17</v>
      </c>
      <c r="C80" s="143">
        <f>SUM(C68:C79)</f>
        <v>80931757</v>
      </c>
      <c r="D80" s="144">
        <f>SUM(D68:D79)</f>
        <v>6.6052353962828859E-3</v>
      </c>
      <c r="E80" s="145"/>
      <c r="F80" s="142" t="s">
        <v>17</v>
      </c>
      <c r="G80" s="143">
        <f>SUM(G68:G79)</f>
        <v>32930798</v>
      </c>
      <c r="H80" s="144">
        <f>SUM(H68:H79)</f>
        <v>5.3171434448780006E-3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22647271830.999901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21311449948.999901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12252668095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5082587293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6193325107.9998999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67519031089.999992</v>
      </c>
      <c r="D111" s="175">
        <v>1978755883</v>
      </c>
      <c r="F111" s="173">
        <f>+C111+D111</f>
        <v>69497786973</v>
      </c>
      <c r="G111" s="129"/>
      <c r="H111" s="129"/>
    </row>
    <row r="112" spans="2:8" x14ac:dyDescent="0.2">
      <c r="B112" s="180" t="s">
        <v>18</v>
      </c>
      <c r="C112" s="182">
        <v>41712967.350600004</v>
      </c>
      <c r="D112" s="177">
        <v>6.2</v>
      </c>
      <c r="F112" s="173">
        <f>+C112+D112</f>
        <v>41712973.550600007</v>
      </c>
      <c r="H112" s="141"/>
    </row>
    <row r="113" spans="1:13" x14ac:dyDescent="0.2">
      <c r="B113" s="180" t="s">
        <v>4</v>
      </c>
      <c r="C113" s="181">
        <v>10136306352.000099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83552576261</v>
      </c>
      <c r="D114" s="172"/>
      <c r="F114" s="173"/>
      <c r="H114" s="141"/>
    </row>
    <row r="115" spans="1:13" x14ac:dyDescent="0.2">
      <c r="B115" s="180" t="s">
        <v>25</v>
      </c>
      <c r="C115" s="182">
        <v>122192030.4243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63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43027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5081863</v>
      </c>
      <c r="D7" s="134">
        <f>+IF(C7/$F$111=0,"",C7/$F$111)</f>
        <v>7.7353213133843558E-5</v>
      </c>
      <c r="E7" s="135"/>
      <c r="F7" s="132" t="s">
        <v>5</v>
      </c>
      <c r="G7" s="133">
        <v>479693</v>
      </c>
      <c r="H7" s="136">
        <f>+IF(G7/$C$113=0,"",G7/$C$113)</f>
        <v>4.7349259374592154E-5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-151100</v>
      </c>
      <c r="H8" s="136">
        <f>+IF(G8/$C$113=0,"",G8/$C$113)</f>
        <v>-1.4914691462041086E-5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11727</v>
      </c>
      <c r="H11" s="136">
        <f t="shared" si="0"/>
        <v>1.1575419376264449E-6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-40320</v>
      </c>
      <c r="H12" s="136">
        <f t="shared" si="0"/>
        <v>-3.9798832544639083E-6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12319115</v>
      </c>
      <c r="H14" s="136">
        <f t="shared" si="0"/>
        <v>1.2159880827955147E-3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>
        <v>-280958</v>
      </c>
      <c r="D17" s="134">
        <f>+IF(C17/$F$111=0,"",C17/$F$111)</f>
        <v>-4.2765820439587643E-6</v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-87708</v>
      </c>
      <c r="D18" s="134">
        <f>+IF(C18/$F$111=0,"",C18/$F$111)</f>
        <v>-1.3350410307289177E-6</v>
      </c>
      <c r="E18" s="141"/>
      <c r="F18" s="132" t="s">
        <v>16</v>
      </c>
      <c r="G18" s="139">
        <v>-35590</v>
      </c>
      <c r="H18" s="136">
        <f t="shared" si="0"/>
        <v>-3.5129971484714906E-6</v>
      </c>
    </row>
    <row r="19" spans="2:9" x14ac:dyDescent="0.2">
      <c r="B19" s="142" t="s">
        <v>17</v>
      </c>
      <c r="C19" s="143">
        <f>SUM(C7:C18)</f>
        <v>4713197</v>
      </c>
      <c r="D19" s="144">
        <f>SUM(D7:D18)</f>
        <v>7.1741590059155877E-5</v>
      </c>
      <c r="E19" s="145"/>
      <c r="F19" s="142" t="s">
        <v>17</v>
      </c>
      <c r="G19" s="143">
        <f>SUM(G7:G18)</f>
        <v>12583525</v>
      </c>
      <c r="H19" s="144">
        <f>SUM(H7:H18)</f>
        <v>1.2420873122427568E-3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3112.3939999999998</v>
      </c>
      <c r="D22" s="136">
        <f>+IF(C22/$F$112=0,"",C22/$F$112)</f>
        <v>7.493871092791702E-5</v>
      </c>
      <c r="E22" s="141"/>
      <c r="F22" s="132" t="s">
        <v>5</v>
      </c>
      <c r="G22" s="133">
        <v>1759261</v>
      </c>
      <c r="H22" s="136">
        <f t="shared" ref="H22:H33" si="2">+IF(G22/$C$106=0,"",G22/$C$106)</f>
        <v>8.2042337859144712E-5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-328618</v>
      </c>
      <c r="H23" s="136">
        <f t="shared" si="2"/>
        <v>-1.5324951205418875E-5</v>
      </c>
      <c r="I23" s="147"/>
    </row>
    <row r="24" spans="2:9" x14ac:dyDescent="0.2">
      <c r="B24" s="132" t="s">
        <v>45</v>
      </c>
      <c r="C24" s="138">
        <v>4792.9513134323061</v>
      </c>
      <c r="D24" s="136">
        <f>+IF(C24/$F$112=0,"",C24/$F$112)</f>
        <v>1.1540235361232667E-4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-0.94</v>
      </c>
      <c r="D26" s="136">
        <f>+IF(C26/$F$112=0,"",C26/$F$112)</f>
        <v>-2.263286340747412E-8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14058.336406997114</v>
      </c>
      <c r="D27" s="136">
        <f t="shared" ref="D27:D33" si="3">+IF(C27/$F$112=0,"",C27/$F$112)</f>
        <v>3.3848979535732571E-4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3110824</v>
      </c>
      <c r="H29" s="136">
        <f t="shared" si="2"/>
        <v>1.4507186462289336E-4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-19260.366099999999</v>
      </c>
      <c r="D31" s="136">
        <f t="shared" si="3"/>
        <v>-4.6374173948855854E-4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>
        <v>-652235</v>
      </c>
      <c r="H32" s="136">
        <f t="shared" si="2"/>
        <v>-3.0416683046778875E-5</v>
      </c>
    </row>
    <row r="33" spans="1:13" x14ac:dyDescent="0.2">
      <c r="B33" s="132" t="s">
        <v>16</v>
      </c>
      <c r="C33" s="138">
        <v>-177.69</v>
      </c>
      <c r="D33" s="136">
        <f t="shared" si="3"/>
        <v>-4.2783335094405068E-6</v>
      </c>
      <c r="E33" s="141"/>
      <c r="F33" s="132" t="s">
        <v>16</v>
      </c>
      <c r="G33" s="139">
        <v>-52544</v>
      </c>
      <c r="H33" s="136">
        <f t="shared" si="2"/>
        <v>-2.4503655799059374E-6</v>
      </c>
    </row>
    <row r="34" spans="1:13" x14ac:dyDescent="0.2">
      <c r="B34" s="142" t="s">
        <v>17</v>
      </c>
      <c r="C34" s="148">
        <f>SUM(C22:C33)</f>
        <v>2524.6856204294222</v>
      </c>
      <c r="D34" s="144">
        <f>SUM(D22:D33)</f>
        <v>6.0788154036162902E-5</v>
      </c>
      <c r="E34" s="145"/>
      <c r="F34" s="142" t="s">
        <v>17</v>
      </c>
      <c r="G34" s="143">
        <f>SUM(G22:G33)</f>
        <v>3836688</v>
      </c>
      <c r="H34" s="144">
        <f>SUM(H22:H33)</f>
        <v>1.7892220264993438E-4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4180392</v>
      </c>
      <c r="D37" s="136">
        <f t="shared" ref="D37:D48" si="4">+IF(C37/$C$114=0,"",C37/$C$114)</f>
        <v>5.0080324243815338E-5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-2593946</v>
      </c>
      <c r="D38" s="136">
        <f t="shared" si="4"/>
        <v>-3.1074994103650527E-5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>
        <v>-343296</v>
      </c>
      <c r="H39" s="136">
        <f t="shared" si="5"/>
        <v>-6.7187971115450159E-5</v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76573931</v>
      </c>
      <c r="D44" s="136">
        <f t="shared" si="4"/>
        <v>9.1734155387904843E-4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17535438</v>
      </c>
      <c r="D45" s="136">
        <f t="shared" si="4"/>
        <v>2.1007130929284162E-4</v>
      </c>
      <c r="E45" s="135"/>
      <c r="F45" s="132" t="s">
        <v>13</v>
      </c>
      <c r="G45" s="139">
        <v>-21282015</v>
      </c>
      <c r="H45" s="136">
        <f t="shared" si="5"/>
        <v>-4.1651968246020259E-3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-69952</v>
      </c>
      <c r="D48" s="136">
        <f t="shared" si="4"/>
        <v>-8.3801204324938198E-7</v>
      </c>
      <c r="E48" s="135"/>
      <c r="F48" s="132" t="s">
        <v>16</v>
      </c>
      <c r="G48" s="139">
        <v>-41996</v>
      </c>
      <c r="H48" s="136">
        <f t="shared" si="5"/>
        <v>-8.2192219978224182E-6</v>
      </c>
    </row>
    <row r="49" spans="2:9" x14ac:dyDescent="0.2">
      <c r="B49" s="142" t="s">
        <v>17</v>
      </c>
      <c r="C49" s="143">
        <f>SUM(C37:C48)</f>
        <v>95625863</v>
      </c>
      <c r="D49" s="144">
        <f>SUM(D37:D48)</f>
        <v>1.1455801812688055E-3</v>
      </c>
      <c r="E49" s="145"/>
      <c r="F49" s="142" t="s">
        <v>17</v>
      </c>
      <c r="G49" s="143">
        <f>SUM(G37:G48)</f>
        <v>-21667307</v>
      </c>
      <c r="H49" s="144">
        <f>SUM(H37:H48)</f>
        <v>-4.2406040177152982E-3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15756.0509</v>
      </c>
      <c r="H53" s="136">
        <f t="shared" ref="H53:H64" si="7">+IF(G53/$C$115=0,"",G53/$C$115)</f>
        <v>1.2892926396610238E-4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>
        <v>-889650</v>
      </c>
      <c r="D55" s="136">
        <f t="shared" si="6"/>
        <v>-4.1409842804526238E-5</v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79100.5573</v>
      </c>
      <c r="H60" s="136">
        <f t="shared" si="7"/>
        <v>6.4726730680957035E-4</v>
      </c>
    </row>
    <row r="61" spans="2:9" x14ac:dyDescent="0.2">
      <c r="B61" s="132" t="s">
        <v>13</v>
      </c>
      <c r="C61" s="139">
        <v>-90774359</v>
      </c>
      <c r="D61" s="136">
        <f t="shared" si="6"/>
        <v>-4.2252030988272149E-3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>
        <v>-4324342</v>
      </c>
      <c r="D63" s="136">
        <f t="shared" si="6"/>
        <v>-2.0128176524814321E-4</v>
      </c>
      <c r="E63" s="135"/>
      <c r="F63" s="132" t="s">
        <v>15</v>
      </c>
      <c r="G63" s="157"/>
      <c r="H63" s="136" t="str">
        <f t="shared" si="7"/>
        <v/>
      </c>
    </row>
    <row r="64" spans="2:9" x14ac:dyDescent="0.2">
      <c r="B64" s="132" t="s">
        <v>16</v>
      </c>
      <c r="C64" s="139">
        <v>-176581</v>
      </c>
      <c r="D64" s="136">
        <f t="shared" si="6"/>
        <v>-8.2191777128826486E-6</v>
      </c>
      <c r="E64" s="135"/>
      <c r="F64" s="132" t="s">
        <v>16</v>
      </c>
      <c r="G64" s="157">
        <v>-42.43</v>
      </c>
      <c r="H64" s="136">
        <f t="shared" si="7"/>
        <v>-3.4719795618848403E-7</v>
      </c>
    </row>
    <row r="65" spans="2:8" x14ac:dyDescent="0.2">
      <c r="B65" s="142" t="s">
        <v>17</v>
      </c>
      <c r="C65" s="143">
        <f>SUM(C53:C64)</f>
        <v>-96164932</v>
      </c>
      <c r="D65" s="144">
        <f>SUM(D53:D64)</f>
        <v>-4.4761138845927665E-3</v>
      </c>
      <c r="E65" s="145"/>
      <c r="F65" s="142" t="s">
        <v>17</v>
      </c>
      <c r="G65" s="148">
        <f>SUM(G53:G64)</f>
        <v>94814.178200000009</v>
      </c>
      <c r="H65" s="144">
        <f>SUM(H53:H64)</f>
        <v>7.7584937281948427E-4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1573</v>
      </c>
      <c r="D72" s="136">
        <f t="shared" si="8"/>
        <v>1.2682457933668761E-7</v>
      </c>
      <c r="E72" s="135"/>
      <c r="F72" s="132" t="s">
        <v>9</v>
      </c>
      <c r="G72" s="133">
        <v>183124</v>
      </c>
      <c r="H72" s="136">
        <f t="shared" si="9"/>
        <v>2.9341886891051965E-5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-21377988</v>
      </c>
      <c r="D76" s="136">
        <f t="shared" si="8"/>
        <v>-1.7236200477843328E-3</v>
      </c>
      <c r="E76" s="135"/>
      <c r="F76" s="132" t="s">
        <v>13</v>
      </c>
      <c r="G76" s="139">
        <v>591929</v>
      </c>
      <c r="H76" s="136">
        <f t="shared" si="9"/>
        <v>9.4844552136986402E-5</v>
      </c>
    </row>
    <row r="77" spans="2:8" x14ac:dyDescent="0.2">
      <c r="B77" s="132" t="s">
        <v>14</v>
      </c>
      <c r="C77" s="133">
        <v>10220337</v>
      </c>
      <c r="D77" s="136">
        <f t="shared" si="8"/>
        <v>8.240241199645161E-4</v>
      </c>
      <c r="E77" s="135"/>
      <c r="F77" s="132" t="s">
        <v>14</v>
      </c>
      <c r="G77" s="133">
        <v>4981859</v>
      </c>
      <c r="H77" s="136">
        <f t="shared" si="9"/>
        <v>7.982413189159763E-4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-12304</v>
      </c>
      <c r="D79" s="136">
        <f t="shared" si="8"/>
        <v>-9.920213758160232E-7</v>
      </c>
      <c r="E79" s="135"/>
      <c r="F79" s="132" t="s">
        <v>16</v>
      </c>
      <c r="G79" s="139">
        <v>-12304</v>
      </c>
      <c r="H79" s="136">
        <f t="shared" si="9"/>
        <v>-1.9714651072907066E-6</v>
      </c>
    </row>
    <row r="80" spans="2:8" x14ac:dyDescent="0.2">
      <c r="B80" s="142" t="s">
        <v>17</v>
      </c>
      <c r="C80" s="143">
        <f>SUM(C68:C79)</f>
        <v>-11168382</v>
      </c>
      <c r="D80" s="144">
        <f>SUM(D68:D79)</f>
        <v>-9.0046112461629609E-4</v>
      </c>
      <c r="E80" s="145"/>
      <c r="F80" s="142" t="s">
        <v>17</v>
      </c>
      <c r="G80" s="143">
        <f>SUM(G68:G79)</f>
        <v>5744608</v>
      </c>
      <c r="H80" s="144">
        <f>SUM(H68:H79)</f>
        <v>9.20456292836724E-4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21443330918.000004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21484022631.999901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12402958545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5109486033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6241043757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60957443632</v>
      </c>
      <c r="D111" s="175">
        <v>4739413604</v>
      </c>
      <c r="F111" s="173">
        <f>+C111+D111</f>
        <v>65696857236</v>
      </c>
      <c r="G111" s="129"/>
      <c r="H111" s="129"/>
    </row>
    <row r="112" spans="2:8" x14ac:dyDescent="0.2">
      <c r="B112" s="180" t="s">
        <v>18</v>
      </c>
      <c r="C112" s="182">
        <v>41514332.163499996</v>
      </c>
      <c r="D112" s="177">
        <v>18194.37</v>
      </c>
      <c r="F112" s="173">
        <f>+C112+D112</f>
        <v>41532526.533499993</v>
      </c>
      <c r="H112" s="141"/>
    </row>
    <row r="113" spans="1:13" x14ac:dyDescent="0.2">
      <c r="B113" s="180" t="s">
        <v>4</v>
      </c>
      <c r="C113" s="181">
        <v>10130950438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83473740697.999908</v>
      </c>
      <c r="D114" s="172"/>
      <c r="F114" s="173"/>
      <c r="H114" s="141"/>
    </row>
    <row r="115" spans="1:13" x14ac:dyDescent="0.2">
      <c r="B115" s="180" t="s">
        <v>25</v>
      </c>
      <c r="C115" s="182">
        <v>122206940.5759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64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43028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4955218</v>
      </c>
      <c r="D7" s="134">
        <f>+IF(C7/$F$111=0,"",C7/$F$111)</f>
        <v>7.7273407157425224E-5</v>
      </c>
      <c r="E7" s="135"/>
      <c r="F7" s="132" t="s">
        <v>5</v>
      </c>
      <c r="G7" s="133">
        <v>916207</v>
      </c>
      <c r="H7" s="136">
        <f>+IF(G7/$C$113=0,"",G7/$C$113)</f>
        <v>9.0395095748455853E-5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-151328</v>
      </c>
      <c r="H8" s="136">
        <f>+IF(G8/$C$113=0,"",G8/$C$113)</f>
        <v>-1.4930369501021413E-5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58568</v>
      </c>
      <c r="H11" s="136">
        <f t="shared" si="0"/>
        <v>5.7784539605084464E-6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-253120</v>
      </c>
      <c r="H12" s="136">
        <f t="shared" si="0"/>
        <v>-2.4973402992827107E-5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14506545</v>
      </c>
      <c r="H14" s="136">
        <f t="shared" si="0"/>
        <v>1.4312491874153804E-3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>
        <v>-1410007</v>
      </c>
      <c r="D17" s="134">
        <f>+IF(C17/$F$111=0,"",C17/$F$111)</f>
        <v>-2.1988143610597891E-5</v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-239078</v>
      </c>
      <c r="D18" s="134">
        <f>+IF(C18/$F$111=0,"",C18/$F$111)</f>
        <v>-3.7282661704051984E-6</v>
      </c>
      <c r="E18" s="141"/>
      <c r="F18" s="132" t="s">
        <v>16</v>
      </c>
      <c r="G18" s="139">
        <v>-35593</v>
      </c>
      <c r="H18" s="136">
        <f t="shared" si="0"/>
        <v>-3.5116874712535366E-6</v>
      </c>
    </row>
    <row r="19" spans="2:9" x14ac:dyDescent="0.2">
      <c r="B19" s="142" t="s">
        <v>17</v>
      </c>
      <c r="C19" s="143">
        <f>SUM(C7:C18)</f>
        <v>3306133</v>
      </c>
      <c r="D19" s="144">
        <f>SUM(D7:D18)</f>
        <v>5.1556997376422133E-5</v>
      </c>
      <c r="E19" s="145"/>
      <c r="F19" s="142" t="s">
        <v>17</v>
      </c>
      <c r="G19" s="143">
        <f>SUM(G7:G18)</f>
        <v>15041279</v>
      </c>
      <c r="H19" s="144">
        <f>SUM(H7:H18)</f>
        <v>1.4840072771592427E-3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3081.6755000000003</v>
      </c>
      <c r="D22" s="136">
        <f>+IF(C22/$F$112=0,"",C22/$F$112)</f>
        <v>7.6487722499703946E-5</v>
      </c>
      <c r="E22" s="141"/>
      <c r="F22" s="132" t="s">
        <v>5</v>
      </c>
      <c r="G22" s="133">
        <v>1702489</v>
      </c>
      <c r="H22" s="136">
        <f t="shared" ref="H22:H33" si="2">+IF(G22/$C$106=0,"",G22/$C$106)</f>
        <v>8.0134000311332654E-5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-339869</v>
      </c>
      <c r="H23" s="136">
        <f t="shared" si="2"/>
        <v>-1.5997203242906306E-5</v>
      </c>
      <c r="I23" s="147"/>
    </row>
    <row r="24" spans="2:9" x14ac:dyDescent="0.2">
      <c r="B24" s="132" t="s">
        <v>45</v>
      </c>
      <c r="C24" s="138">
        <v>3034.05594920367</v>
      </c>
      <c r="D24" s="136">
        <f>+IF(C24/$F$112=0,"",C24/$F$112)</f>
        <v>7.5305796957293573E-5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-5.25</v>
      </c>
      <c r="D26" s="136">
        <f>+IF(C26/$F$112=0,"",C26/$F$112)</f>
        <v>-1.3030591414425226E-7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111789.84</v>
      </c>
      <c r="D27" s="136">
        <f t="shared" ref="D27:D33" si="3">+IF(C27/$F$112=0,"",C27/$F$112)</f>
        <v>2.7746432939504185E-3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3518762</v>
      </c>
      <c r="H29" s="136">
        <f t="shared" si="2"/>
        <v>1.656236693473529E-4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-115267.85430000001</v>
      </c>
      <c r="D31" s="136">
        <f t="shared" si="3"/>
        <v>-2.8609682144777105E-3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/>
      <c r="H32" s="136" t="str">
        <f t="shared" si="2"/>
        <v/>
      </c>
    </row>
    <row r="33" spans="1:13" x14ac:dyDescent="0.2">
      <c r="B33" s="132" t="s">
        <v>16</v>
      </c>
      <c r="C33" s="138">
        <v>-51.66</v>
      </c>
      <c r="D33" s="136">
        <f t="shared" si="3"/>
        <v>-1.2822101951794422E-6</v>
      </c>
      <c r="E33" s="141"/>
      <c r="F33" s="132" t="s">
        <v>16</v>
      </c>
      <c r="G33" s="139">
        <v>-97259</v>
      </c>
      <c r="H33" s="136">
        <f t="shared" si="2"/>
        <v>-4.5778579105532563E-6</v>
      </c>
    </row>
    <row r="34" spans="1:13" x14ac:dyDescent="0.2">
      <c r="B34" s="142" t="s">
        <v>17</v>
      </c>
      <c r="C34" s="148">
        <f>SUM(C22:C33)</f>
        <v>2580.8071492036579</v>
      </c>
      <c r="D34" s="144">
        <f>SUM(D22:D33)</f>
        <v>6.4056082820381885E-5</v>
      </c>
      <c r="E34" s="145"/>
      <c r="F34" s="142" t="s">
        <v>17</v>
      </c>
      <c r="G34" s="143">
        <f>SUM(G22:G33)</f>
        <v>4784123</v>
      </c>
      <c r="H34" s="144">
        <f>SUM(H22:H33)</f>
        <v>2.2518260850522601E-4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4378981</v>
      </c>
      <c r="D37" s="136">
        <f t="shared" ref="D37:D48" si="4">+IF(C37/$C$114=0,"",C37/$C$114)</f>
        <v>5.2511115495870977E-5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-2596366</v>
      </c>
      <c r="D38" s="136">
        <f t="shared" si="4"/>
        <v>-3.1134657788091009E-5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>
        <v>786247</v>
      </c>
      <c r="H39" s="136">
        <f t="shared" si="5"/>
        <v>1.545862563643154E-4</v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92001982</v>
      </c>
      <c r="D44" s="136">
        <f t="shared" si="4"/>
        <v>1.1032536342704029E-3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32469577</v>
      </c>
      <c r="D45" s="136">
        <f t="shared" si="4"/>
        <v>3.8936312076921E-4</v>
      </c>
      <c r="E45" s="135"/>
      <c r="F45" s="132" t="s">
        <v>13</v>
      </c>
      <c r="G45" s="139">
        <v>24816201</v>
      </c>
      <c r="H45" s="136">
        <f t="shared" si="5"/>
        <v>4.8791837803824753E-3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-51628</v>
      </c>
      <c r="D48" s="136">
        <f t="shared" si="4"/>
        <v>-6.191038213732434E-7</v>
      </c>
      <c r="E48" s="135"/>
      <c r="F48" s="132" t="s">
        <v>16</v>
      </c>
      <c r="G48" s="139">
        <v>-41804</v>
      </c>
      <c r="H48" s="136">
        <f t="shared" si="5"/>
        <v>-8.2192032033875361E-6</v>
      </c>
    </row>
    <row r="49" spans="2:9" x14ac:dyDescent="0.2">
      <c r="B49" s="142" t="s">
        <v>17</v>
      </c>
      <c r="C49" s="143">
        <f>SUM(C37:C48)</f>
        <v>126202546</v>
      </c>
      <c r="D49" s="144">
        <f>SUM(D37:D48)</f>
        <v>1.5133741089260195E-3</v>
      </c>
      <c r="E49" s="145"/>
      <c r="F49" s="142" t="s">
        <v>17</v>
      </c>
      <c r="G49" s="143">
        <f>SUM(G37:G48)</f>
        <v>25560644</v>
      </c>
      <c r="H49" s="144">
        <f>SUM(H37:H48)</f>
        <v>5.0255508335434029E-3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15882.0658</v>
      </c>
      <c r="H53" s="136">
        <f t="shared" ref="H53:H64" si="7">+IF(G53/$C$115=0,"",G53/$C$115)</f>
        <v>1.2986140494086802E-4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>
        <v>2658396</v>
      </c>
      <c r="D55" s="136">
        <f t="shared" si="6"/>
        <v>1.2427118427394505E-4</v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/>
      <c r="D58" s="136" t="str">
        <f t="shared" si="6"/>
        <v/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-113528.8499</v>
      </c>
      <c r="H60" s="136">
        <f t="shared" si="7"/>
        <v>-9.2828074980868831E-4</v>
      </c>
    </row>
    <row r="61" spans="2:9" x14ac:dyDescent="0.2">
      <c r="B61" s="132" t="s">
        <v>13</v>
      </c>
      <c r="C61" s="139"/>
      <c r="D61" s="136" t="str">
        <f t="shared" si="6"/>
        <v/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>
        <v>136984536</v>
      </c>
      <c r="D62" s="136">
        <f t="shared" si="6"/>
        <v>6.4035721224139893E-3</v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/>
      <c r="D63" s="136" t="str">
        <f t="shared" si="6"/>
        <v/>
      </c>
      <c r="E63" s="135"/>
      <c r="F63" s="132" t="s">
        <v>15</v>
      </c>
      <c r="G63" s="157">
        <v>-285.13000000000011</v>
      </c>
      <c r="H63" s="136">
        <f t="shared" si="7"/>
        <v>-2.3313958559968762E-6</v>
      </c>
    </row>
    <row r="64" spans="2:9" x14ac:dyDescent="0.2">
      <c r="B64" s="132" t="s">
        <v>16</v>
      </c>
      <c r="C64" s="139">
        <v>-175824</v>
      </c>
      <c r="D64" s="136">
        <f t="shared" si="6"/>
        <v>-8.2191880757351857E-6</v>
      </c>
      <c r="E64" s="135"/>
      <c r="F64" s="132" t="s">
        <v>16</v>
      </c>
      <c r="G64" s="157">
        <v>-42.41</v>
      </c>
      <c r="H64" s="136">
        <f t="shared" si="7"/>
        <v>-3.4676988830648293E-7</v>
      </c>
    </row>
    <row r="65" spans="2:8" x14ac:dyDescent="0.2">
      <c r="B65" s="142" t="s">
        <v>17</v>
      </c>
      <c r="C65" s="143">
        <f>SUM(C53:C64)</f>
        <v>139467108</v>
      </c>
      <c r="D65" s="144">
        <f>SUM(D53:D64)</f>
        <v>6.519624118612199E-3</v>
      </c>
      <c r="E65" s="145"/>
      <c r="F65" s="142" t="s">
        <v>17</v>
      </c>
      <c r="G65" s="148">
        <f>SUM(G53:G64)</f>
        <v>-97974.324100000013</v>
      </c>
      <c r="H65" s="144">
        <f>SUM(H53:H64)</f>
        <v>-8.0109751061212362E-4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-253780</v>
      </c>
      <c r="D72" s="136">
        <f t="shared" si="8"/>
        <v>-2.0488400073496377E-5</v>
      </c>
      <c r="E72" s="135"/>
      <c r="F72" s="132" t="s">
        <v>9</v>
      </c>
      <c r="G72" s="133">
        <v>891677</v>
      </c>
      <c r="H72" s="136">
        <f t="shared" si="9"/>
        <v>1.4274654225021998E-4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26391842</v>
      </c>
      <c r="D76" s="136">
        <f t="shared" si="8"/>
        <v>2.1306904309736966E-3</v>
      </c>
      <c r="E76" s="135"/>
      <c r="F76" s="132" t="s">
        <v>13</v>
      </c>
      <c r="G76" s="139">
        <v>-460426</v>
      </c>
      <c r="H76" s="136">
        <f t="shared" si="9"/>
        <v>-7.3708550811672606E-5</v>
      </c>
    </row>
    <row r="77" spans="2:8" x14ac:dyDescent="0.2">
      <c r="B77" s="132" t="s">
        <v>14</v>
      </c>
      <c r="C77" s="133">
        <v>61650626</v>
      </c>
      <c r="D77" s="136">
        <f t="shared" si="8"/>
        <v>4.9772349683564407E-3</v>
      </c>
      <c r="E77" s="135"/>
      <c r="F77" s="132" t="s">
        <v>14</v>
      </c>
      <c r="G77" s="133">
        <v>29984670</v>
      </c>
      <c r="H77" s="136">
        <f t="shared" si="9"/>
        <v>4.8001776013218951E-3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-12304</v>
      </c>
      <c r="D79" s="136">
        <f t="shared" si="8"/>
        <v>-9.9333783002718646E-7</v>
      </c>
      <c r="E79" s="135"/>
      <c r="F79" s="132" t="s">
        <v>16</v>
      </c>
      <c r="G79" s="139">
        <v>-12304</v>
      </c>
      <c r="H79" s="136">
        <f t="shared" si="9"/>
        <v>-1.9697193668185977E-6</v>
      </c>
    </row>
    <row r="80" spans="2:8" x14ac:dyDescent="0.2">
      <c r="B80" s="142" t="s">
        <v>17</v>
      </c>
      <c r="C80" s="143">
        <f>SUM(C68:C79)</f>
        <v>87776384</v>
      </c>
      <c r="D80" s="144">
        <f>SUM(D68:D79)</f>
        <v>7.0864436614266136E-3</v>
      </c>
      <c r="E80" s="145"/>
      <c r="F80" s="142" t="s">
        <v>17</v>
      </c>
      <c r="G80" s="143">
        <f>SUM(G68:G79)</f>
        <v>30403617</v>
      </c>
      <c r="H80" s="144">
        <f>SUM(H68:H79)</f>
        <v>4.867245873393624E-3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21245526161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21391893990.000099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12386521109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5086137788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6246575125.0001001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61127635616.000099</v>
      </c>
      <c r="D111" s="175">
        <v>2998150761</v>
      </c>
      <c r="F111" s="173">
        <f>+C111+D111</f>
        <v>64125786377.000099</v>
      </c>
      <c r="G111" s="129"/>
      <c r="H111" s="129"/>
    </row>
    <row r="112" spans="2:8" x14ac:dyDescent="0.2">
      <c r="B112" s="180" t="s">
        <v>18</v>
      </c>
      <c r="C112" s="182">
        <v>40255119.988299996</v>
      </c>
      <c r="D112" s="177">
        <v>34686</v>
      </c>
      <c r="F112" s="173">
        <f>+C112+D112</f>
        <v>40289805.988299996</v>
      </c>
      <c r="H112" s="141"/>
    </row>
    <row r="113" spans="1:13" x14ac:dyDescent="0.2">
      <c r="B113" s="180" t="s">
        <v>4</v>
      </c>
      <c r="C113" s="181">
        <v>10135583047.000101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83391505944.000092</v>
      </c>
      <c r="D114" s="172"/>
      <c r="F114" s="173"/>
      <c r="H114" s="141"/>
    </row>
    <row r="115" spans="1:13" x14ac:dyDescent="0.2">
      <c r="B115" s="180" t="s">
        <v>25</v>
      </c>
      <c r="C115" s="182">
        <v>122300123.02139999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65"/>
  <dimension ref="A2:M121"/>
  <sheetViews>
    <sheetView topLeftCell="A28"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43031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5041142</v>
      </c>
      <c r="D7" s="134">
        <f>+IF(C7/$F$111=0,"",C7/$F$111)</f>
        <v>7.7235506303116052E-5</v>
      </c>
      <c r="E7" s="135"/>
      <c r="F7" s="132" t="s">
        <v>5</v>
      </c>
      <c r="G7" s="133">
        <v>920734</v>
      </c>
      <c r="H7" s="136">
        <f>+IF(G7/$C$113=0,"",G7/$C$113)</f>
        <v>9.069808260045785E-5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-151749</v>
      </c>
      <c r="H8" s="136">
        <f>+IF(G8/$C$113=0,"",G8/$C$113)</f>
        <v>-1.4948229712964741E-5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36759</v>
      </c>
      <c r="H11" s="136">
        <f t="shared" si="0"/>
        <v>3.6209924020512225E-6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-182720</v>
      </c>
      <c r="H12" s="136">
        <f t="shared" si="0"/>
        <v>-1.7999067757632128E-5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25668004</v>
      </c>
      <c r="H14" s="136">
        <f t="shared" si="0"/>
        <v>2.5284596278413556E-3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/>
      <c r="D17" s="134" t="str">
        <f>+IF(C17/$F$111=0,"",C17/$F$111)</f>
        <v/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-166922</v>
      </c>
      <c r="D18" s="134">
        <f>+IF(C18/$F$111=0,"",C18/$F$111)</f>
        <v>-2.5574175817956998E-6</v>
      </c>
      <c r="E18" s="141"/>
      <c r="F18" s="132" t="s">
        <v>16</v>
      </c>
      <c r="G18" s="139">
        <v>-35612</v>
      </c>
      <c r="H18" s="136">
        <f t="shared" si="0"/>
        <v>-3.5080056971584684E-6</v>
      </c>
    </row>
    <row r="19" spans="2:9" x14ac:dyDescent="0.2">
      <c r="B19" s="142" t="s">
        <v>17</v>
      </c>
      <c r="C19" s="143">
        <f>SUM(C7:C18)</f>
        <v>4874220</v>
      </c>
      <c r="D19" s="144">
        <f>SUM(D7:D18)</f>
        <v>7.4678088721320349E-5</v>
      </c>
      <c r="E19" s="145"/>
      <c r="F19" s="142" t="s">
        <v>17</v>
      </c>
      <c r="G19" s="143">
        <f>SUM(G7:G18)</f>
        <v>26255416</v>
      </c>
      <c r="H19" s="144">
        <f>SUM(H7:H18)</f>
        <v>2.5863233996761092E-3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4171.9825000000001</v>
      </c>
      <c r="D22" s="136">
        <f>+IF(C22/$F$112=0,"",C22/$F$112)</f>
        <v>1.0354388453134157E-4</v>
      </c>
      <c r="E22" s="141"/>
      <c r="F22" s="132" t="s">
        <v>5</v>
      </c>
      <c r="G22" s="133">
        <v>1763801</v>
      </c>
      <c r="H22" s="136">
        <f t="shared" ref="H22:H33" si="2">+IF(G22/$C$106=0,"",G22/$C$106)</f>
        <v>7.984956870224506E-5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-356022</v>
      </c>
      <c r="H23" s="136">
        <f t="shared" si="2"/>
        <v>-1.6117579675094125E-5</v>
      </c>
      <c r="I23" s="147"/>
    </row>
    <row r="24" spans="2:9" x14ac:dyDescent="0.2">
      <c r="B24" s="132" t="s">
        <v>45</v>
      </c>
      <c r="C24" s="138">
        <v>2046.6244809888303</v>
      </c>
      <c r="D24" s="136">
        <f>+IF(C24/$F$112=0,"",C24/$F$112)</f>
        <v>5.0794903607223743E-5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-55.135705428816664</v>
      </c>
      <c r="D26" s="136">
        <f>+IF(C26/$F$112=0,"",C26/$F$112)</f>
        <v>-1.3684058158142933E-6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81142.23000000001</v>
      </c>
      <c r="D27" s="136">
        <f t="shared" ref="D27:D33" si="3">+IF(C27/$F$112=0,"",C27/$F$112)</f>
        <v>2.0138583260441677E-3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6686935</v>
      </c>
      <c r="H29" s="136">
        <f t="shared" si="2"/>
        <v>3.0272625749160309E-4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-83627.0965</v>
      </c>
      <c r="D31" s="136">
        <f t="shared" si="3"/>
        <v>-2.0755299006377324E-3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/>
      <c r="H32" s="136" t="str">
        <f t="shared" si="2"/>
        <v/>
      </c>
    </row>
    <row r="33" spans="1:13" x14ac:dyDescent="0.2">
      <c r="B33" s="132" t="s">
        <v>16</v>
      </c>
      <c r="C33" s="138">
        <v>-51.48</v>
      </c>
      <c r="D33" s="136">
        <f t="shared" si="3"/>
        <v>-1.2776753439578099E-6</v>
      </c>
      <c r="E33" s="141"/>
      <c r="F33" s="132" t="s">
        <v>16</v>
      </c>
      <c r="G33" s="139">
        <v>-38527</v>
      </c>
      <c r="H33" s="136">
        <f t="shared" si="2"/>
        <v>-1.7441674731964634E-6</v>
      </c>
    </row>
    <row r="34" spans="1:13" x14ac:dyDescent="0.2">
      <c r="B34" s="142" t="s">
        <v>17</v>
      </c>
      <c r="C34" s="148">
        <f>SUM(C22:C33)</f>
        <v>3627.1247755600302</v>
      </c>
      <c r="D34" s="144">
        <f>SUM(D22:D33)</f>
        <v>9.0021132385228753E-5</v>
      </c>
      <c r="E34" s="145"/>
      <c r="F34" s="142" t="s">
        <v>17</v>
      </c>
      <c r="G34" s="143">
        <f>SUM(G22:G33)</f>
        <v>8056187</v>
      </c>
      <c r="H34" s="144">
        <f>SUM(H22:H33)</f>
        <v>3.6471407904555757E-4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4308697</v>
      </c>
      <c r="D37" s="136">
        <f t="shared" ref="D37:D48" si="4">+IF(C37/$C$114=0,"",C37/$C$114)</f>
        <v>5.1221605568761141E-5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-2601550</v>
      </c>
      <c r="D38" s="136">
        <f t="shared" si="4"/>
        <v>-3.0927115080826186E-5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219004269</v>
      </c>
      <c r="D44" s="136">
        <f t="shared" si="4"/>
        <v>2.603513378776197E-3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58066566</v>
      </c>
      <c r="D45" s="136">
        <f t="shared" si="4"/>
        <v>6.9029285196532415E-4</v>
      </c>
      <c r="E45" s="135"/>
      <c r="F45" s="132" t="s">
        <v>13</v>
      </c>
      <c r="G45" s="139">
        <v>28482621</v>
      </c>
      <c r="H45" s="136">
        <f t="shared" si="5"/>
        <v>5.5627993369009648E-3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-53870</v>
      </c>
      <c r="D48" s="136">
        <f t="shared" si="4"/>
        <v>-6.4040425492652711E-7</v>
      </c>
      <c r="E48" s="135"/>
      <c r="F48" s="132" t="s">
        <v>16</v>
      </c>
      <c r="G48" s="139">
        <v>-42084</v>
      </c>
      <c r="H48" s="136">
        <f t="shared" si="5"/>
        <v>-8.2192171603217349E-6</v>
      </c>
    </row>
    <row r="49" spans="2:9" x14ac:dyDescent="0.2">
      <c r="B49" s="142" t="s">
        <v>17</v>
      </c>
      <c r="C49" s="143">
        <f>SUM(C37:C48)</f>
        <v>278724112</v>
      </c>
      <c r="D49" s="144">
        <f>SUM(D37:D48)</f>
        <v>3.3134603169745298E-3</v>
      </c>
      <c r="E49" s="145"/>
      <c r="F49" s="142" t="s">
        <v>17</v>
      </c>
      <c r="G49" s="143">
        <f>SUM(G37:G48)</f>
        <v>28440537</v>
      </c>
      <c r="H49" s="144">
        <f>SUM(H37:H48)</f>
        <v>5.5545801197406427E-3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15836.778700000001</v>
      </c>
      <c r="H53" s="136">
        <f t="shared" ref="H53:H64" si="7">+IF(G53/$C$115=0,"",G53/$C$115)</f>
        <v>1.2956662258816894E-4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>
        <v>-647077</v>
      </c>
      <c r="D57" s="136">
        <f t="shared" si="6"/>
        <v>-2.9325441075434363E-5</v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>
        <v>-119119</v>
      </c>
      <c r="D58" s="136">
        <f t="shared" si="6"/>
        <v>-5.3984567763414025E-6</v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52555.921699999999</v>
      </c>
      <c r="H60" s="136">
        <f t="shared" si="7"/>
        <v>4.2997969477702295E-4</v>
      </c>
    </row>
    <row r="61" spans="2:9" x14ac:dyDescent="0.2">
      <c r="B61" s="132" t="s">
        <v>13</v>
      </c>
      <c r="C61" s="139">
        <v>156849661</v>
      </c>
      <c r="D61" s="136">
        <f t="shared" si="6"/>
        <v>7.1084051687161738E-3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>
        <v>-200</v>
      </c>
      <c r="D63" s="136">
        <f t="shared" si="6"/>
        <v>-9.0639726262668479E-9</v>
      </c>
      <c r="E63" s="135"/>
      <c r="F63" s="132" t="s">
        <v>15</v>
      </c>
      <c r="G63" s="157"/>
      <c r="H63" s="136" t="str">
        <f t="shared" si="7"/>
        <v/>
      </c>
    </row>
    <row r="64" spans="2:9" x14ac:dyDescent="0.2">
      <c r="B64" s="132" t="s">
        <v>16</v>
      </c>
      <c r="C64" s="139">
        <v>-181359</v>
      </c>
      <c r="D64" s="136">
        <f t="shared" si="6"/>
        <v>-8.2191650576356455E-6</v>
      </c>
      <c r="E64" s="135"/>
      <c r="F64" s="132" t="s">
        <v>16</v>
      </c>
      <c r="G64" s="157">
        <v>-42.3</v>
      </c>
      <c r="H64" s="136">
        <f t="shared" si="7"/>
        <v>-3.4607215515864637E-7</v>
      </c>
    </row>
    <row r="65" spans="2:8" x14ac:dyDescent="0.2">
      <c r="B65" s="142" t="s">
        <v>17</v>
      </c>
      <c r="C65" s="143">
        <f>SUM(C53:C64)</f>
        <v>155901906</v>
      </c>
      <c r="D65" s="144">
        <f>SUM(D53:D64)</f>
        <v>7.0654530418341362E-3</v>
      </c>
      <c r="E65" s="145"/>
      <c r="F65" s="142" t="s">
        <v>17</v>
      </c>
      <c r="G65" s="148">
        <f>SUM(G53:G64)</f>
        <v>68350.400399999999</v>
      </c>
      <c r="H65" s="144">
        <f>SUM(H53:H64)</f>
        <v>5.5920024521003331E-4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522178</v>
      </c>
      <c r="D72" s="136">
        <f t="shared" si="8"/>
        <v>4.1394074790470418E-5</v>
      </c>
      <c r="E72" s="135"/>
      <c r="F72" s="132" t="s">
        <v>9</v>
      </c>
      <c r="G72" s="133">
        <v>1218658</v>
      </c>
      <c r="H72" s="136">
        <f t="shared" si="9"/>
        <v>1.9070428983913252E-4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-49126169</v>
      </c>
      <c r="D76" s="136">
        <f t="shared" si="8"/>
        <v>-3.8943278226108518E-3</v>
      </c>
      <c r="E76" s="135"/>
      <c r="F76" s="132" t="s">
        <v>13</v>
      </c>
      <c r="G76" s="139">
        <v>-5626404</v>
      </c>
      <c r="H76" s="136">
        <f t="shared" si="9"/>
        <v>-8.8045980018024292E-4</v>
      </c>
    </row>
    <row r="77" spans="2:8" x14ac:dyDescent="0.2">
      <c r="B77" s="132" t="s">
        <v>14</v>
      </c>
      <c r="C77" s="133">
        <v>44926466</v>
      </c>
      <c r="D77" s="136">
        <f t="shared" si="8"/>
        <v>3.5614091242364221E-3</v>
      </c>
      <c r="E77" s="135"/>
      <c r="F77" s="132" t="s">
        <v>14</v>
      </c>
      <c r="G77" s="133">
        <v>21917176</v>
      </c>
      <c r="H77" s="136">
        <f t="shared" si="9"/>
        <v>3.4297559154079973E-3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-12306</v>
      </c>
      <c r="D79" s="136">
        <f t="shared" si="8"/>
        <v>-9.7552076949149328E-7</v>
      </c>
      <c r="E79" s="135"/>
      <c r="F79" s="132" t="s">
        <v>16</v>
      </c>
      <c r="G79" s="139">
        <v>-12306</v>
      </c>
      <c r="H79" s="136">
        <f t="shared" si="9"/>
        <v>-1.9257305911587701E-6</v>
      </c>
    </row>
    <row r="80" spans="2:8" x14ac:dyDescent="0.2">
      <c r="B80" s="142" t="s">
        <v>17</v>
      </c>
      <c r="C80" s="143">
        <f>SUM(C68:C79)</f>
        <v>-3689831</v>
      </c>
      <c r="D80" s="144">
        <f>SUM(D68:D79)</f>
        <v>-2.9250014435345075E-4</v>
      </c>
      <c r="E80" s="145"/>
      <c r="F80" s="142" t="s">
        <v>17</v>
      </c>
      <c r="G80" s="143">
        <f>SUM(G68:G79)</f>
        <v>17497124</v>
      </c>
      <c r="H80" s="144">
        <f>SUM(H68:H79)</f>
        <v>2.7380746744757284E-3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22089048552.999996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22065379965.999901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12614800612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5120195656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6390301975.0001001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63393451196</v>
      </c>
      <c r="D111" s="175">
        <v>1876296376</v>
      </c>
      <c r="F111" s="173">
        <f>+C111+D111</f>
        <v>65269747572</v>
      </c>
      <c r="G111" s="129"/>
      <c r="H111" s="129"/>
    </row>
    <row r="112" spans="2:8" x14ac:dyDescent="0.2">
      <c r="B112" s="180" t="s">
        <v>18</v>
      </c>
      <c r="C112" s="182">
        <v>40291925.678499997</v>
      </c>
      <c r="D112" s="177">
        <v>0</v>
      </c>
      <c r="F112" s="173">
        <f>+C112+D112</f>
        <v>40291925.678499997</v>
      </c>
      <c r="H112" s="141"/>
    </row>
    <row r="113" spans="1:13" x14ac:dyDescent="0.2">
      <c r="B113" s="180" t="s">
        <v>4</v>
      </c>
      <c r="C113" s="181">
        <v>10151636877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84118741538</v>
      </c>
      <c r="D114" s="172"/>
      <c r="F114" s="173"/>
      <c r="H114" s="141"/>
    </row>
    <row r="115" spans="1:13" x14ac:dyDescent="0.2">
      <c r="B115" s="180" t="s">
        <v>25</v>
      </c>
      <c r="C115" s="182">
        <v>122228845.5441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66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43032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5411796</v>
      </c>
      <c r="D7" s="134">
        <f>+IF(C7/$F$111=0,"",C7/$F$111)</f>
        <v>7.7011505765680718E-5</v>
      </c>
      <c r="E7" s="135"/>
      <c r="F7" s="132" t="s">
        <v>5</v>
      </c>
      <c r="G7" s="133">
        <v>921923</v>
      </c>
      <c r="H7" s="136">
        <f>+IF(G7/$C$113=0,"",G7/$C$113)</f>
        <v>9.0582393255522054E-5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-153634</v>
      </c>
      <c r="H8" s="136">
        <f>+IF(G8/$C$113=0,"",G8/$C$113)</f>
        <v>-1.5095116843184166E-5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2123</v>
      </c>
      <c r="H11" s="136">
        <f t="shared" si="0"/>
        <v>2.0859271423044367E-7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-79760</v>
      </c>
      <c r="H12" s="136">
        <f t="shared" si="0"/>
        <v>-7.8367192119737112E-6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3725950</v>
      </c>
      <c r="H14" s="136">
        <f t="shared" si="0"/>
        <v>3.6608856504329799E-4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/>
      <c r="D17" s="134" t="str">
        <f>+IF(C17/$F$111=0,"",C17/$F$111)</f>
        <v/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-349548</v>
      </c>
      <c r="D18" s="134">
        <f>+IF(C18/$F$111=0,"",C18/$F$111)</f>
        <v>-4.9741745286374733E-6</v>
      </c>
      <c r="E18" s="141"/>
      <c r="F18" s="132" t="s">
        <v>16</v>
      </c>
      <c r="G18" s="139">
        <v>-35626</v>
      </c>
      <c r="H18" s="136">
        <f t="shared" si="0"/>
        <v>-3.5003881475147367E-6</v>
      </c>
    </row>
    <row r="19" spans="2:9" x14ac:dyDescent="0.2">
      <c r="B19" s="142" t="s">
        <v>17</v>
      </c>
      <c r="C19" s="143">
        <f>SUM(C7:C18)</f>
        <v>5062248</v>
      </c>
      <c r="D19" s="144">
        <f>SUM(D7:D18)</f>
        <v>7.2037331237043248E-5</v>
      </c>
      <c r="E19" s="145"/>
      <c r="F19" s="142" t="s">
        <v>17</v>
      </c>
      <c r="G19" s="143">
        <f>SUM(G7:G18)</f>
        <v>4380976</v>
      </c>
      <c r="H19" s="144">
        <f>SUM(H7:H18)</f>
        <v>4.3044732681037789E-4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3184.6423999999997</v>
      </c>
      <c r="D22" s="136">
        <f>+IF(C22/$F$112=0,"",C22/$F$112)</f>
        <v>7.7036242592725814E-5</v>
      </c>
      <c r="E22" s="141"/>
      <c r="F22" s="132" t="s">
        <v>5</v>
      </c>
      <c r="G22" s="133">
        <v>1734377</v>
      </c>
      <c r="H22" s="136">
        <f t="shared" ref="H22:H33" si="2">+IF(G22/$C$106=0,"",G22/$C$106)</f>
        <v>7.8367943617454049E-5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-358446</v>
      </c>
      <c r="H23" s="136">
        <f t="shared" si="2"/>
        <v>-1.6196407077528091E-5</v>
      </c>
      <c r="I23" s="147"/>
    </row>
    <row r="24" spans="2:9" x14ac:dyDescent="0.2">
      <c r="B24" s="132" t="s">
        <v>45</v>
      </c>
      <c r="C24" s="138">
        <v>2227.1015621647239</v>
      </c>
      <c r="D24" s="136">
        <f>+IF(C24/$F$112=0,"",C24/$F$112)</f>
        <v>5.3873407017868096E-5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8236.94</v>
      </c>
      <c r="D26" s="136">
        <f>+IF(C26/$F$112=0,"",C26/$F$112)</f>
        <v>1.9925091371694574E-4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25289.012512005342</v>
      </c>
      <c r="D27" s="136">
        <f t="shared" ref="D27:D33" si="3">+IF(C27/$F$112=0,"",C27/$F$112)</f>
        <v>6.1173917134473932E-4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4705073</v>
      </c>
      <c r="H29" s="136">
        <f t="shared" si="2"/>
        <v>2.125990459859681E-4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-36151.191800000001</v>
      </c>
      <c r="D31" s="136">
        <f t="shared" si="3"/>
        <v>-8.744944115298347E-4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/>
      <c r="H32" s="136" t="str">
        <f t="shared" si="2"/>
        <v/>
      </c>
    </row>
    <row r="33" spans="1:13" x14ac:dyDescent="0.2">
      <c r="B33" s="132" t="s">
        <v>16</v>
      </c>
      <c r="C33" s="138">
        <v>-220.53</v>
      </c>
      <c r="D33" s="136">
        <f t="shared" si="3"/>
        <v>-5.3346028988918264E-6</v>
      </c>
      <c r="E33" s="141"/>
      <c r="F33" s="132" t="s">
        <v>16</v>
      </c>
      <c r="G33" s="139">
        <v>-71552</v>
      </c>
      <c r="H33" s="136">
        <f t="shared" si="2"/>
        <v>-3.2330820241020679E-6</v>
      </c>
    </row>
    <row r="34" spans="1:13" x14ac:dyDescent="0.2">
      <c r="B34" s="142" t="s">
        <v>17</v>
      </c>
      <c r="C34" s="148">
        <v>2565.9746741700642</v>
      </c>
      <c r="D34" s="144">
        <f>SUM(D22:D33)</f>
        <v>6.2070720243552387E-5</v>
      </c>
      <c r="E34" s="145"/>
      <c r="F34" s="142" t="s">
        <v>17</v>
      </c>
      <c r="G34" s="143">
        <f>SUM(G22:G33)</f>
        <v>6009452</v>
      </c>
      <c r="H34" s="144">
        <f>SUM(H22:H33)</f>
        <v>2.71537500501792E-4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4405072</v>
      </c>
      <c r="D37" s="136">
        <f t="shared" ref="D37:D48" si="4">+IF(C37/$C$114=0,"",C37/$C$114)</f>
        <v>5.2660745813415692E-5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-2628808</v>
      </c>
      <c r="D38" s="136">
        <f t="shared" si="4"/>
        <v>-3.1426271779501824E-5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/>
      <c r="H39" s="136" t="str">
        <f t="shared" si="5"/>
        <v/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76105548</v>
      </c>
      <c r="D44" s="136">
        <f t="shared" si="4"/>
        <v>9.0980917411082204E-4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36562224</v>
      </c>
      <c r="D45" s="136">
        <f t="shared" si="4"/>
        <v>4.3708570130911975E-4</v>
      </c>
      <c r="E45" s="135"/>
      <c r="F45" s="132" t="s">
        <v>13</v>
      </c>
      <c r="G45" s="139">
        <v>-10675422</v>
      </c>
      <c r="H45" s="136">
        <f t="shared" si="5"/>
        <v>-2.0537810768729188E-3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>
        <v>-126055</v>
      </c>
      <c r="D47" s="136">
        <f t="shared" si="4"/>
        <v>-1.5069334425203754E-6</v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208228</v>
      </c>
      <c r="D48" s="136">
        <f t="shared" si="4"/>
        <v>2.489276402119176E-6</v>
      </c>
      <c r="E48" s="135"/>
      <c r="F48" s="132" t="s">
        <v>16</v>
      </c>
      <c r="G48" s="139">
        <v>-42723</v>
      </c>
      <c r="H48" s="136">
        <f t="shared" si="5"/>
        <v>-8.2192243966788122E-6</v>
      </c>
    </row>
    <row r="49" spans="2:9" x14ac:dyDescent="0.2">
      <c r="B49" s="142" t="s">
        <v>17</v>
      </c>
      <c r="C49" s="143">
        <f>SUM(C37:C48)</f>
        <v>114526209</v>
      </c>
      <c r="D49" s="144">
        <f>SUM(D37:D48)</f>
        <v>1.3691116924134544E-3</v>
      </c>
      <c r="E49" s="145"/>
      <c r="F49" s="142" t="s">
        <v>17</v>
      </c>
      <c r="G49" s="143">
        <f>SUM(G37:G48)</f>
        <v>-10718145</v>
      </c>
      <c r="H49" s="144">
        <f>SUM(H37:H48)</f>
        <v>-2.0620003012695974E-3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15836.7564</v>
      </c>
      <c r="H53" s="136">
        <f t="shared" ref="H53:H64" si="7">+IF(G53/$C$115=0,"",G53/$C$115)</f>
        <v>1.2949575476006007E-4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>
        <v>-119119</v>
      </c>
      <c r="D57" s="136">
        <f t="shared" si="6"/>
        <v>-5.3595294471058197E-6</v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>
        <v>-3228693</v>
      </c>
      <c r="D58" s="136">
        <f t="shared" si="6"/>
        <v>-1.4526880857935703E-4</v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/>
      <c r="D59" s="136" t="str">
        <f t="shared" si="6"/>
        <v/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-160462.53890000001</v>
      </c>
      <c r="H60" s="136">
        <f t="shared" si="7"/>
        <v>-1.3120879718507888E-3</v>
      </c>
    </row>
    <row r="61" spans="2:9" x14ac:dyDescent="0.2">
      <c r="B61" s="132" t="s">
        <v>13</v>
      </c>
      <c r="C61" s="139">
        <v>-97398378</v>
      </c>
      <c r="D61" s="136">
        <f t="shared" si="6"/>
        <v>-4.3822519916331031E-3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/>
      <c r="D63" s="136" t="str">
        <f t="shared" si="6"/>
        <v/>
      </c>
      <c r="E63" s="135"/>
      <c r="F63" s="132" t="s">
        <v>15</v>
      </c>
      <c r="G63" s="157"/>
      <c r="H63" s="136" t="str">
        <f t="shared" si="7"/>
        <v/>
      </c>
    </row>
    <row r="64" spans="2:9" x14ac:dyDescent="0.2">
      <c r="B64" s="132" t="s">
        <v>16</v>
      </c>
      <c r="C64" s="139">
        <v>-182677</v>
      </c>
      <c r="D64" s="136">
        <f t="shared" si="6"/>
        <v>-8.2191989590993029E-6</v>
      </c>
      <c r="E64" s="135"/>
      <c r="F64" s="132" t="s">
        <v>16</v>
      </c>
      <c r="G64" s="157">
        <v>-42.22</v>
      </c>
      <c r="H64" s="136">
        <f t="shared" si="7"/>
        <v>-3.4522920147775563E-7</v>
      </c>
    </row>
    <row r="65" spans="2:8" x14ac:dyDescent="0.2">
      <c r="B65" s="142" t="s">
        <v>17</v>
      </c>
      <c r="C65" s="143">
        <f>SUM(C53:C64)</f>
        <v>-100928867</v>
      </c>
      <c r="D65" s="144">
        <f>SUM(D53:D64)</f>
        <v>-4.5410995286186652E-3</v>
      </c>
      <c r="E65" s="145"/>
      <c r="F65" s="142" t="s">
        <v>17</v>
      </c>
      <c r="G65" s="148">
        <f>SUM(G53:G64)</f>
        <v>-144668.0025</v>
      </c>
      <c r="H65" s="144">
        <f>SUM(H53:H64)</f>
        <v>-1.1829374462922065E-3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225745</v>
      </c>
      <c r="D72" s="136">
        <f t="shared" si="8"/>
        <v>1.7901420984798847E-5</v>
      </c>
      <c r="E72" s="135"/>
      <c r="F72" s="132" t="s">
        <v>9</v>
      </c>
      <c r="G72" s="133">
        <v>526844</v>
      </c>
      <c r="H72" s="136">
        <f t="shared" si="9"/>
        <v>8.2221998857241193E-5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20019763</v>
      </c>
      <c r="D76" s="136">
        <f t="shared" si="8"/>
        <v>1.5875532369660436E-3</v>
      </c>
      <c r="E76" s="135"/>
      <c r="F76" s="132" t="s">
        <v>13</v>
      </c>
      <c r="G76" s="139">
        <v>1233457</v>
      </c>
      <c r="H76" s="136">
        <f t="shared" si="9"/>
        <v>1.924996774082198E-4</v>
      </c>
    </row>
    <row r="77" spans="2:8" x14ac:dyDescent="0.2">
      <c r="B77" s="132" t="s">
        <v>14</v>
      </c>
      <c r="C77" s="133">
        <v>19453773</v>
      </c>
      <c r="D77" s="136">
        <f t="shared" si="8"/>
        <v>1.5426706248896464E-3</v>
      </c>
      <c r="E77" s="135"/>
      <c r="F77" s="132" t="s">
        <v>14</v>
      </c>
      <c r="G77" s="133">
        <v>9477043</v>
      </c>
      <c r="H77" s="136">
        <f t="shared" si="9"/>
        <v>1.4790363346949488E-3</v>
      </c>
    </row>
    <row r="78" spans="2:8" x14ac:dyDescent="0.2">
      <c r="B78" s="132" t="s">
        <v>15</v>
      </c>
      <c r="C78" s="139"/>
      <c r="D78" s="136" t="str">
        <f t="shared" si="8"/>
        <v/>
      </c>
      <c r="E78" s="135"/>
      <c r="F78" s="132" t="s">
        <v>15</v>
      </c>
      <c r="G78" s="139"/>
      <c r="H78" s="136" t="str">
        <f t="shared" si="9"/>
        <v/>
      </c>
    </row>
    <row r="79" spans="2:8" x14ac:dyDescent="0.2">
      <c r="B79" s="132" t="s">
        <v>16</v>
      </c>
      <c r="C79" s="139">
        <v>-12308</v>
      </c>
      <c r="D79" s="136">
        <f t="shared" si="8"/>
        <v>-9.7601581200427119E-7</v>
      </c>
      <c r="E79" s="135"/>
      <c r="F79" s="132" t="s">
        <v>16</v>
      </c>
      <c r="G79" s="139">
        <v>-12308</v>
      </c>
      <c r="H79" s="136">
        <f t="shared" si="9"/>
        <v>-1.9208501224934223E-6</v>
      </c>
    </row>
    <row r="80" spans="2:8" x14ac:dyDescent="0.2">
      <c r="B80" s="142" t="s">
        <v>17</v>
      </c>
      <c r="C80" s="143">
        <f>SUM(C68:C79)</f>
        <v>39686973</v>
      </c>
      <c r="D80" s="144">
        <f>SUM(D68:D79)</f>
        <v>3.1471492670284845E-3</v>
      </c>
      <c r="E80" s="145"/>
      <c r="F80" s="142" t="s">
        <v>17</v>
      </c>
      <c r="G80" s="143">
        <f>SUM(G68:G79)</f>
        <v>11225036</v>
      </c>
      <c r="H80" s="144">
        <f>SUM(H68:H79)</f>
        <v>1.7518371608379166E-3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22131204673.000004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22225645213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12610451438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5197935710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6407579569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63792552135</v>
      </c>
      <c r="D111" s="175">
        <v>6480012285</v>
      </c>
      <c r="F111" s="173">
        <f>+C111+D111</f>
        <v>70272564420</v>
      </c>
      <c r="G111" s="129"/>
      <c r="H111" s="129"/>
    </row>
    <row r="112" spans="2:8" x14ac:dyDescent="0.2">
      <c r="B112" s="180" t="s">
        <v>18</v>
      </c>
      <c r="C112" s="182">
        <v>40247432.910799995</v>
      </c>
      <c r="D112" s="177">
        <v>1092101.48</v>
      </c>
      <c r="F112" s="173">
        <f>+C112+D112</f>
        <v>41339534.390799992</v>
      </c>
      <c r="H112" s="141"/>
    </row>
    <row r="113" spans="1:13" x14ac:dyDescent="0.2">
      <c r="B113" s="180" t="s">
        <v>4</v>
      </c>
      <c r="C113" s="181">
        <v>10177728440.000099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83650011635</v>
      </c>
      <c r="D114" s="172"/>
      <c r="F114" s="173"/>
      <c r="H114" s="141"/>
    </row>
    <row r="115" spans="1:13" x14ac:dyDescent="0.2">
      <c r="B115" s="180" t="s">
        <v>25</v>
      </c>
      <c r="C115" s="182">
        <v>122295564.2781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67"/>
  <dimension ref="A2:M121"/>
  <sheetViews>
    <sheetView workbookViewId="0"/>
  </sheetViews>
  <sheetFormatPr baseColWidth="10" defaultRowHeight="12.75" x14ac:dyDescent="0.2"/>
  <sheetData>
    <row r="2" spans="1:9" ht="101.25" x14ac:dyDescent="0.2">
      <c r="B2" s="187" t="s">
        <v>0</v>
      </c>
      <c r="C2" s="187"/>
      <c r="D2" s="187"/>
      <c r="E2" s="187"/>
      <c r="F2" s="187"/>
      <c r="G2" s="187"/>
      <c r="H2" s="187"/>
    </row>
    <row r="4" spans="1:9" x14ac:dyDescent="0.2">
      <c r="A4" s="127"/>
      <c r="B4" s="184">
        <v>43033</v>
      </c>
      <c r="C4" s="188"/>
      <c r="D4" s="188"/>
      <c r="E4" s="188"/>
      <c r="F4" s="188"/>
      <c r="G4" s="188"/>
      <c r="H4" s="188"/>
    </row>
    <row r="5" spans="1:9" ht="15.75" x14ac:dyDescent="0.25">
      <c r="A5" s="127"/>
      <c r="B5" s="128"/>
      <c r="C5" s="128"/>
      <c r="D5" s="128"/>
      <c r="E5" s="128"/>
      <c r="F5" s="128"/>
      <c r="G5" s="128"/>
      <c r="H5" s="128"/>
    </row>
    <row r="6" spans="1:9" ht="25.5" x14ac:dyDescent="0.2">
      <c r="B6" s="130" t="s">
        <v>1</v>
      </c>
      <c r="C6" s="130" t="s">
        <v>2</v>
      </c>
      <c r="D6" s="130" t="s">
        <v>3</v>
      </c>
      <c r="E6" s="131"/>
      <c r="F6" s="130" t="s">
        <v>4</v>
      </c>
      <c r="G6" s="130" t="s">
        <v>2</v>
      </c>
      <c r="H6" s="130" t="s">
        <v>3</v>
      </c>
    </row>
    <row r="7" spans="1:9" x14ac:dyDescent="0.2">
      <c r="B7" s="132" t="s">
        <v>5</v>
      </c>
      <c r="C7" s="133">
        <v>5265977</v>
      </c>
      <c r="D7" s="134">
        <f>+IF(C7/$F$111=0,"",C7/$F$111)</f>
        <v>7.7288061642908615E-5</v>
      </c>
      <c r="E7" s="135"/>
      <c r="F7" s="132" t="s">
        <v>5</v>
      </c>
      <c r="G7" s="133">
        <v>507272</v>
      </c>
      <c r="H7" s="136">
        <f>+IF(G7/$C$113=0,"",G7/$C$113)</f>
        <v>4.9820734175945272E-5</v>
      </c>
      <c r="I7" s="137"/>
    </row>
    <row r="8" spans="1:9" x14ac:dyDescent="0.2">
      <c r="B8" s="132" t="s">
        <v>6</v>
      </c>
      <c r="C8" s="133"/>
      <c r="D8" s="134" t="str">
        <f>+IF(C8/$F$111=0,"",C8/$F$111)</f>
        <v/>
      </c>
      <c r="E8" s="135"/>
      <c r="F8" s="132" t="s">
        <v>6</v>
      </c>
      <c r="G8" s="133">
        <v>-153006</v>
      </c>
      <c r="H8" s="136">
        <f>+IF(G8/$C$113=0,"",G8/$C$113)</f>
        <v>-1.5027187097503277E-5</v>
      </c>
    </row>
    <row r="9" spans="1:9" x14ac:dyDescent="0.2">
      <c r="B9" s="132" t="s">
        <v>7</v>
      </c>
      <c r="C9" s="138"/>
      <c r="D9" s="134" t="str">
        <f>+IF(C9/$F$111=0,"",C9/$F$111)</f>
        <v/>
      </c>
      <c r="E9" s="135"/>
      <c r="F9" s="132" t="s">
        <v>7</v>
      </c>
      <c r="G9" s="133"/>
      <c r="H9" s="136" t="str">
        <f t="shared" ref="H9:H18" si="0">+IF(G9/$C$113=0,"",G9/$C$113)</f>
        <v/>
      </c>
    </row>
    <row r="10" spans="1:9" x14ac:dyDescent="0.2">
      <c r="B10" s="132" t="s">
        <v>8</v>
      </c>
      <c r="C10" s="133"/>
      <c r="D10" s="134" t="str">
        <f>+IF(C10/$F$111=0,"",C10/$F$111)</f>
        <v/>
      </c>
      <c r="E10" s="135"/>
      <c r="F10" s="132" t="s">
        <v>8</v>
      </c>
      <c r="G10" s="133"/>
      <c r="H10" s="136" t="str">
        <f t="shared" si="0"/>
        <v/>
      </c>
    </row>
    <row r="11" spans="1:9" x14ac:dyDescent="0.2">
      <c r="B11" s="132" t="s">
        <v>9</v>
      </c>
      <c r="C11" s="133"/>
      <c r="D11" s="134" t="str">
        <f t="shared" ref="D11:D14" si="1">+IF(C11/$F$111=0,"",C11/$F$111)</f>
        <v/>
      </c>
      <c r="E11" s="135"/>
      <c r="F11" s="132" t="s">
        <v>9</v>
      </c>
      <c r="G11" s="133">
        <v>-11318</v>
      </c>
      <c r="H11" s="136">
        <f t="shared" si="0"/>
        <v>-1.1115753863870834E-6</v>
      </c>
    </row>
    <row r="12" spans="1:9" x14ac:dyDescent="0.2">
      <c r="B12" s="132" t="s">
        <v>10</v>
      </c>
      <c r="C12" s="133"/>
      <c r="D12" s="134" t="str">
        <f t="shared" si="1"/>
        <v/>
      </c>
      <c r="E12" s="135"/>
      <c r="F12" s="132" t="s">
        <v>10</v>
      </c>
      <c r="G12" s="133">
        <v>67920</v>
      </c>
      <c r="H12" s="136">
        <f t="shared" si="0"/>
        <v>6.6706308750141992E-6</v>
      </c>
    </row>
    <row r="13" spans="1:9" x14ac:dyDescent="0.2">
      <c r="B13" s="132" t="s">
        <v>11</v>
      </c>
      <c r="C13" s="133"/>
      <c r="D13" s="134" t="str">
        <f t="shared" si="1"/>
        <v/>
      </c>
      <c r="E13" s="135"/>
      <c r="F13" s="132" t="s">
        <v>11</v>
      </c>
      <c r="G13" s="133"/>
      <c r="H13" s="136" t="str">
        <f t="shared" si="0"/>
        <v/>
      </c>
    </row>
    <row r="14" spans="1:9" x14ac:dyDescent="0.2">
      <c r="B14" s="132" t="s">
        <v>12</v>
      </c>
      <c r="C14" s="139"/>
      <c r="D14" s="134" t="str">
        <f t="shared" si="1"/>
        <v/>
      </c>
      <c r="E14" s="135"/>
      <c r="F14" s="132" t="s">
        <v>12</v>
      </c>
      <c r="G14" s="139">
        <v>-15587911</v>
      </c>
      <c r="H14" s="136">
        <f t="shared" si="0"/>
        <v>-1.5309364015543797E-3</v>
      </c>
      <c r="I14" s="140"/>
    </row>
    <row r="15" spans="1:9" x14ac:dyDescent="0.2">
      <c r="B15" s="132" t="s">
        <v>13</v>
      </c>
      <c r="C15" s="139"/>
      <c r="D15" s="134" t="str">
        <f>+IF(C15/$F$111=0,"",C15/$F$111)</f>
        <v/>
      </c>
      <c r="E15" s="135"/>
      <c r="F15" s="132" t="s">
        <v>13</v>
      </c>
      <c r="G15" s="139"/>
      <c r="H15" s="136" t="str">
        <f t="shared" si="0"/>
        <v/>
      </c>
      <c r="I15" s="140"/>
    </row>
    <row r="16" spans="1:9" x14ac:dyDescent="0.2">
      <c r="B16" s="132" t="s">
        <v>14</v>
      </c>
      <c r="C16" s="133"/>
      <c r="D16" s="134" t="str">
        <f>+IF(C16/$F$111=0,"",C16/$F$111)</f>
        <v/>
      </c>
      <c r="E16" s="135"/>
      <c r="F16" s="132" t="s">
        <v>14</v>
      </c>
      <c r="G16" s="133"/>
      <c r="H16" s="136" t="str">
        <f t="shared" si="0"/>
        <v/>
      </c>
    </row>
    <row r="17" spans="2:9" x14ac:dyDescent="0.2">
      <c r="B17" s="132" t="s">
        <v>15</v>
      </c>
      <c r="C17" s="139">
        <v>54323</v>
      </c>
      <c r="D17" s="134">
        <f>+IF(C17/$F$111=0,"",C17/$F$111)</f>
        <v>7.9729162748483805E-7</v>
      </c>
      <c r="E17" s="135"/>
      <c r="F17" s="132" t="s">
        <v>15</v>
      </c>
      <c r="G17" s="139"/>
      <c r="H17" s="136" t="str">
        <f t="shared" si="0"/>
        <v/>
      </c>
    </row>
    <row r="18" spans="2:9" x14ac:dyDescent="0.2">
      <c r="B18" s="132" t="s">
        <v>16</v>
      </c>
      <c r="C18" s="139">
        <v>-138950</v>
      </c>
      <c r="D18" s="134">
        <f>+IF(C18/$F$111=0,"",C18/$F$111)</f>
        <v>-2.0393511337558354E-6</v>
      </c>
      <c r="E18" s="141"/>
      <c r="F18" s="132" t="s">
        <v>16</v>
      </c>
      <c r="G18" s="139">
        <v>-63668</v>
      </c>
      <c r="H18" s="136">
        <f t="shared" si="0"/>
        <v>-6.253028953922321E-6</v>
      </c>
    </row>
    <row r="19" spans="2:9" x14ac:dyDescent="0.2">
      <c r="B19" s="142" t="s">
        <v>17</v>
      </c>
      <c r="C19" s="143">
        <f>SUM(C7:C18)</f>
        <v>5181350</v>
      </c>
      <c r="D19" s="144">
        <f>SUM(D7:D18)</f>
        <v>7.6046002136637625E-5</v>
      </c>
      <c r="E19" s="145"/>
      <c r="F19" s="142" t="s">
        <v>17</v>
      </c>
      <c r="G19" s="143">
        <f>SUM(G7:G18)</f>
        <v>-15240711</v>
      </c>
      <c r="H19" s="144">
        <f>SUM(H7:H18)</f>
        <v>-1.4968368279412328E-3</v>
      </c>
    </row>
    <row r="21" spans="2:9" ht="25.5" x14ac:dyDescent="0.2">
      <c r="B21" s="130" t="s">
        <v>18</v>
      </c>
      <c r="C21" s="130" t="s">
        <v>2</v>
      </c>
      <c r="D21" s="130" t="s">
        <v>3</v>
      </c>
      <c r="E21" s="146"/>
      <c r="F21" s="130" t="s">
        <v>19</v>
      </c>
      <c r="G21" s="130" t="s">
        <v>2</v>
      </c>
      <c r="H21" s="130" t="s">
        <v>3</v>
      </c>
    </row>
    <row r="22" spans="2:9" x14ac:dyDescent="0.2">
      <c r="B22" s="132" t="s">
        <v>43</v>
      </c>
      <c r="C22" s="138">
        <v>3199.9371000000001</v>
      </c>
      <c r="D22" s="136">
        <f>+IF(C22/$F$112=0,"",C22/$F$112)</f>
        <v>7.7422217756060042E-5</v>
      </c>
      <c r="E22" s="141"/>
      <c r="F22" s="132" t="s">
        <v>5</v>
      </c>
      <c r="G22" s="133">
        <v>1705017</v>
      </c>
      <c r="H22" s="136">
        <f t="shared" ref="H22:H33" si="2">+IF(G22/$C$106=0,"",G22/$C$106)</f>
        <v>7.6948432801851753E-5</v>
      </c>
      <c r="I22" s="147"/>
    </row>
    <row r="23" spans="2:9" x14ac:dyDescent="0.2">
      <c r="B23" s="132" t="s">
        <v>44</v>
      </c>
      <c r="C23" s="138"/>
      <c r="D23" s="136" t="str">
        <f>+IF(C23/$F$112=0,"",C23/$F$112)</f>
        <v/>
      </c>
      <c r="E23" s="141"/>
      <c r="F23" s="132" t="s">
        <v>6</v>
      </c>
      <c r="G23" s="133">
        <v>-356702</v>
      </c>
      <c r="H23" s="136">
        <f t="shared" si="2"/>
        <v>-1.6098173729227406E-5</v>
      </c>
      <c r="I23" s="147"/>
    </row>
    <row r="24" spans="2:9" x14ac:dyDescent="0.2">
      <c r="B24" s="132" t="s">
        <v>45</v>
      </c>
      <c r="C24" s="138">
        <v>2369.5682696588337</v>
      </c>
      <c r="D24" s="136">
        <f>+IF(C24/$F$112=0,"",C24/$F$112)</f>
        <v>5.7331511472952591E-5</v>
      </c>
      <c r="E24" s="141"/>
      <c r="F24" s="132" t="s">
        <v>7</v>
      </c>
      <c r="G24" s="138"/>
      <c r="H24" s="136" t="str">
        <f t="shared" si="2"/>
        <v/>
      </c>
      <c r="I24" s="147"/>
    </row>
    <row r="25" spans="2:9" x14ac:dyDescent="0.2">
      <c r="B25" s="132" t="s">
        <v>8</v>
      </c>
      <c r="C25" s="138"/>
      <c r="D25" s="136" t="str">
        <f>+IF(C25/$F$112=0,"",C25/$F$112)</f>
        <v/>
      </c>
      <c r="E25" s="141"/>
      <c r="F25" s="132" t="s">
        <v>8</v>
      </c>
      <c r="G25" s="133"/>
      <c r="H25" s="136" t="str">
        <f t="shared" si="2"/>
        <v/>
      </c>
      <c r="I25" s="147"/>
    </row>
    <row r="26" spans="2:9" x14ac:dyDescent="0.2">
      <c r="B26" s="132" t="s">
        <v>9</v>
      </c>
      <c r="C26" s="138">
        <v>2.15257515614136</v>
      </c>
      <c r="D26" s="136">
        <f>+IF(C26/$F$112=0,"",C26/$F$112)</f>
        <v>5.2081380748096995E-8</v>
      </c>
      <c r="E26" s="141"/>
      <c r="F26" s="132" t="s">
        <v>9</v>
      </c>
      <c r="G26" s="133"/>
      <c r="H26" s="136" t="str">
        <f t="shared" si="2"/>
        <v/>
      </c>
      <c r="I26" s="147"/>
    </row>
    <row r="27" spans="2:9" x14ac:dyDescent="0.2">
      <c r="B27" s="132" t="s">
        <v>10</v>
      </c>
      <c r="C27" s="138">
        <v>-33537.700000000012</v>
      </c>
      <c r="D27" s="136">
        <f t="shared" ref="D27:D33" si="3">+IF(C27/$F$112=0,"",C27/$F$112)</f>
        <v>-8.1144192254198246E-4</v>
      </c>
      <c r="E27" s="141"/>
      <c r="F27" s="132" t="s">
        <v>10</v>
      </c>
      <c r="G27" s="133"/>
      <c r="H27" s="136" t="str">
        <f t="shared" si="2"/>
        <v/>
      </c>
      <c r="I27" s="147"/>
    </row>
    <row r="28" spans="2:9" x14ac:dyDescent="0.2">
      <c r="B28" s="132" t="s">
        <v>11</v>
      </c>
      <c r="C28" s="138"/>
      <c r="D28" s="136" t="str">
        <f t="shared" si="3"/>
        <v/>
      </c>
      <c r="E28" s="141"/>
      <c r="F28" s="132" t="s">
        <v>11</v>
      </c>
      <c r="G28" s="133"/>
      <c r="H28" s="136" t="str">
        <f t="shared" si="2"/>
        <v/>
      </c>
      <c r="I28" s="147"/>
    </row>
    <row r="29" spans="2:9" x14ac:dyDescent="0.2">
      <c r="B29" s="132" t="s">
        <v>12</v>
      </c>
      <c r="C29" s="138"/>
      <c r="D29" s="136" t="str">
        <f t="shared" si="3"/>
        <v/>
      </c>
      <c r="E29" s="141"/>
      <c r="F29" s="132" t="s">
        <v>12</v>
      </c>
      <c r="G29" s="139">
        <v>-2861183</v>
      </c>
      <c r="H29" s="136">
        <f t="shared" si="2"/>
        <v>-1.2912689305109604E-4</v>
      </c>
      <c r="I29" s="147"/>
    </row>
    <row r="30" spans="2:9" x14ac:dyDescent="0.2">
      <c r="B30" s="132" t="s">
        <v>13</v>
      </c>
      <c r="C30" s="138"/>
      <c r="D30" s="136" t="str">
        <f t="shared" si="3"/>
        <v/>
      </c>
      <c r="E30" s="141"/>
      <c r="F30" s="132" t="s">
        <v>13</v>
      </c>
      <c r="G30" s="139"/>
      <c r="H30" s="136" t="str">
        <f t="shared" si="2"/>
        <v/>
      </c>
      <c r="I30" s="147"/>
    </row>
    <row r="31" spans="2:9" x14ac:dyDescent="0.2">
      <c r="B31" s="132" t="s">
        <v>14</v>
      </c>
      <c r="C31" s="138">
        <v>30668.672600000002</v>
      </c>
      <c r="D31" s="136">
        <f t="shared" si="3"/>
        <v>7.4202603805134551E-4</v>
      </c>
      <c r="E31" s="141"/>
      <c r="F31" s="132" t="s">
        <v>14</v>
      </c>
      <c r="G31" s="133"/>
      <c r="H31" s="136" t="str">
        <f t="shared" si="2"/>
        <v/>
      </c>
    </row>
    <row r="32" spans="2:9" x14ac:dyDescent="0.2">
      <c r="B32" s="132" t="s">
        <v>15</v>
      </c>
      <c r="C32" s="138"/>
      <c r="D32" s="136" t="str">
        <f t="shared" si="3"/>
        <v/>
      </c>
      <c r="E32" s="141"/>
      <c r="F32" s="132" t="s">
        <v>15</v>
      </c>
      <c r="G32" s="139">
        <v>-1</v>
      </c>
      <c r="H32" s="136">
        <f t="shared" si="2"/>
        <v>-4.5130595649105995E-11</v>
      </c>
    </row>
    <row r="33" spans="1:13" x14ac:dyDescent="0.2">
      <c r="B33" s="132" t="s">
        <v>16</v>
      </c>
      <c r="C33" s="138">
        <v>-104.29</v>
      </c>
      <c r="D33" s="136">
        <f t="shared" si="3"/>
        <v>-2.5232880639371014E-6</v>
      </c>
      <c r="E33" s="141"/>
      <c r="F33" s="132" t="s">
        <v>16</v>
      </c>
      <c r="G33" s="139">
        <v>-67481</v>
      </c>
      <c r="H33" s="136">
        <f t="shared" si="2"/>
        <v>-3.0454577249973214E-6</v>
      </c>
    </row>
    <row r="34" spans="1:13" x14ac:dyDescent="0.2">
      <c r="B34" s="142" t="s">
        <v>17</v>
      </c>
      <c r="C34" s="148">
        <v>2565.9746741700642</v>
      </c>
      <c r="D34" s="144">
        <f>SUM(D22:D33)</f>
        <v>6.2866638055186679E-5</v>
      </c>
      <c r="E34" s="145"/>
      <c r="F34" s="142" t="s">
        <v>17</v>
      </c>
      <c r="G34" s="143">
        <f>SUM(G22:G33)</f>
        <v>-1580350</v>
      </c>
      <c r="H34" s="144">
        <f>SUM(H22:H33)</f>
        <v>-7.1322136834064661E-5</v>
      </c>
      <c r="I34" s="149"/>
    </row>
    <row r="35" spans="1:13" x14ac:dyDescent="0.2">
      <c r="C35" s="150"/>
      <c r="G35" s="150"/>
    </row>
    <row r="36" spans="1:13" ht="25.5" x14ac:dyDescent="0.2">
      <c r="A36" s="125" t="s">
        <v>20</v>
      </c>
      <c r="B36" s="130" t="s">
        <v>21</v>
      </c>
      <c r="C36" s="130" t="s">
        <v>2</v>
      </c>
      <c r="D36" s="130" t="s">
        <v>3</v>
      </c>
      <c r="E36" s="151"/>
      <c r="F36" s="130" t="s">
        <v>22</v>
      </c>
      <c r="G36" s="130" t="s">
        <v>2</v>
      </c>
      <c r="H36" s="130" t="s">
        <v>3</v>
      </c>
    </row>
    <row r="37" spans="1:13" x14ac:dyDescent="0.2">
      <c r="B37" s="132" t="s">
        <v>5</v>
      </c>
      <c r="C37" s="133">
        <v>4106949</v>
      </c>
      <c r="D37" s="136">
        <f t="shared" ref="D37:D48" si="4">+IF(C37/$C$114=0,"",C37/$C$114)</f>
        <v>4.9087347772414937E-5</v>
      </c>
      <c r="E37" s="135"/>
      <c r="F37" s="132" t="s">
        <v>5</v>
      </c>
      <c r="G37" s="133"/>
      <c r="H37" s="136" t="str">
        <f t="shared" ref="H37:H48" si="5">+IF(G37/$C$109=0,"",G37/$C$109)</f>
        <v/>
      </c>
      <c r="K37" s="152"/>
      <c r="M37" s="153"/>
    </row>
    <row r="38" spans="1:13" x14ac:dyDescent="0.2">
      <c r="B38" s="132" t="s">
        <v>6</v>
      </c>
      <c r="C38" s="133">
        <v>-2617644</v>
      </c>
      <c r="D38" s="136">
        <f t="shared" si="4"/>
        <v>-3.1286777939627523E-5</v>
      </c>
      <c r="E38" s="135"/>
      <c r="F38" s="132" t="s">
        <v>6</v>
      </c>
      <c r="G38" s="133"/>
      <c r="H38" s="136" t="str">
        <f t="shared" si="5"/>
        <v/>
      </c>
    </row>
    <row r="39" spans="1:13" x14ac:dyDescent="0.2">
      <c r="B39" s="132" t="s">
        <v>7</v>
      </c>
      <c r="C39" s="138"/>
      <c r="D39" s="136" t="str">
        <f t="shared" si="4"/>
        <v/>
      </c>
      <c r="E39" s="135"/>
      <c r="F39" s="132" t="s">
        <v>7</v>
      </c>
      <c r="G39" s="138">
        <v>-67504</v>
      </c>
      <c r="H39" s="136">
        <f t="shared" si="5"/>
        <v>-1.3035340757606666E-5</v>
      </c>
    </row>
    <row r="40" spans="1:13" x14ac:dyDescent="0.2">
      <c r="B40" s="132" t="s">
        <v>8</v>
      </c>
      <c r="C40" s="133"/>
      <c r="D40" s="136" t="str">
        <f t="shared" si="4"/>
        <v/>
      </c>
      <c r="E40" s="135"/>
      <c r="F40" s="132" t="s">
        <v>8</v>
      </c>
      <c r="G40" s="133"/>
      <c r="H40" s="136" t="str">
        <f t="shared" si="5"/>
        <v/>
      </c>
    </row>
    <row r="41" spans="1:13" x14ac:dyDescent="0.2">
      <c r="B41" s="132" t="s">
        <v>9</v>
      </c>
      <c r="C41" s="133"/>
      <c r="D41" s="136" t="str">
        <f t="shared" si="4"/>
        <v/>
      </c>
      <c r="E41" s="135"/>
      <c r="F41" s="132" t="s">
        <v>9</v>
      </c>
      <c r="G41" s="133"/>
      <c r="H41" s="136" t="str">
        <f t="shared" si="5"/>
        <v/>
      </c>
    </row>
    <row r="42" spans="1:13" x14ac:dyDescent="0.2">
      <c r="B42" s="132" t="s">
        <v>10</v>
      </c>
      <c r="C42" s="133"/>
      <c r="D42" s="136" t="str">
        <f t="shared" si="4"/>
        <v/>
      </c>
      <c r="E42" s="135"/>
      <c r="F42" s="132" t="s">
        <v>10</v>
      </c>
      <c r="G42" s="133"/>
      <c r="H42" s="136" t="str">
        <f t="shared" si="5"/>
        <v/>
      </c>
    </row>
    <row r="43" spans="1:13" x14ac:dyDescent="0.2">
      <c r="B43" s="132" t="s">
        <v>11</v>
      </c>
      <c r="C43" s="133"/>
      <c r="D43" s="136" t="str">
        <f t="shared" si="4"/>
        <v/>
      </c>
      <c r="E43" s="135"/>
      <c r="F43" s="132" t="s">
        <v>23</v>
      </c>
      <c r="G43" s="133"/>
      <c r="H43" s="136" t="str">
        <f t="shared" si="5"/>
        <v/>
      </c>
    </row>
    <row r="44" spans="1:13" x14ac:dyDescent="0.2">
      <c r="B44" s="132" t="s">
        <v>12</v>
      </c>
      <c r="C44" s="139">
        <v>-101197566</v>
      </c>
      <c r="D44" s="136">
        <f t="shared" si="4"/>
        <v>-1.2095402489692259E-3</v>
      </c>
      <c r="E44" s="135"/>
      <c r="F44" s="132" t="s">
        <v>12</v>
      </c>
      <c r="G44" s="139"/>
      <c r="H44" s="136" t="str">
        <f t="shared" si="5"/>
        <v/>
      </c>
    </row>
    <row r="45" spans="1:13" x14ac:dyDescent="0.2">
      <c r="B45" s="132" t="s">
        <v>13</v>
      </c>
      <c r="C45" s="139">
        <v>-17639258</v>
      </c>
      <c r="D45" s="136">
        <f t="shared" si="4"/>
        <v>-2.1082910742094738E-4</v>
      </c>
      <c r="E45" s="135"/>
      <c r="F45" s="132" t="s">
        <v>13</v>
      </c>
      <c r="G45" s="139">
        <v>-25396064</v>
      </c>
      <c r="H45" s="136">
        <f t="shared" si="5"/>
        <v>-4.9040997295269522E-3</v>
      </c>
    </row>
    <row r="46" spans="1:13" x14ac:dyDescent="0.2">
      <c r="B46" s="132" t="s">
        <v>14</v>
      </c>
      <c r="C46" s="133"/>
      <c r="D46" s="136" t="str">
        <f t="shared" si="4"/>
        <v/>
      </c>
      <c r="E46" s="135"/>
      <c r="F46" s="132" t="s">
        <v>14</v>
      </c>
      <c r="G46" s="133"/>
      <c r="H46" s="136" t="str">
        <f t="shared" si="5"/>
        <v/>
      </c>
    </row>
    <row r="47" spans="1:13" x14ac:dyDescent="0.2">
      <c r="B47" s="132" t="s">
        <v>15</v>
      </c>
      <c r="C47" s="139"/>
      <c r="D47" s="136" t="str">
        <f t="shared" si="4"/>
        <v/>
      </c>
      <c r="E47" s="135"/>
      <c r="F47" s="132" t="s">
        <v>15</v>
      </c>
      <c r="G47" s="139"/>
      <c r="H47" s="136" t="str">
        <f t="shared" si="5"/>
        <v/>
      </c>
    </row>
    <row r="48" spans="1:13" x14ac:dyDescent="0.2">
      <c r="B48" s="132" t="s">
        <v>16</v>
      </c>
      <c r="C48" s="139">
        <v>-54564</v>
      </c>
      <c r="D48" s="136">
        <f t="shared" si="4"/>
        <v>-6.521634536620856E-7</v>
      </c>
      <c r="E48" s="135"/>
      <c r="F48" s="132" t="s">
        <v>16</v>
      </c>
      <c r="G48" s="139">
        <v>-42563</v>
      </c>
      <c r="H48" s="136">
        <f t="shared" si="5"/>
        <v>-8.2191160326204749E-6</v>
      </c>
    </row>
    <row r="49" spans="2:9" x14ac:dyDescent="0.2">
      <c r="B49" s="142" t="s">
        <v>17</v>
      </c>
      <c r="C49" s="143">
        <f>SUM(C37:C48)</f>
        <v>-117402083</v>
      </c>
      <c r="D49" s="144">
        <f>SUM(D37:D48)</f>
        <v>-1.4032209500110481E-3</v>
      </c>
      <c r="E49" s="145"/>
      <c r="F49" s="142" t="s">
        <v>17</v>
      </c>
      <c r="G49" s="143">
        <f>SUM(G37:G48)</f>
        <v>-25506131</v>
      </c>
      <c r="H49" s="144">
        <f>SUM(H37:H48)</f>
        <v>-4.9253541863171794E-3</v>
      </c>
      <c r="I49" s="154"/>
    </row>
    <row r="50" spans="2:9" x14ac:dyDescent="0.2">
      <c r="C50" s="150"/>
      <c r="G50" s="155"/>
    </row>
    <row r="51" spans="2:9" x14ac:dyDescent="0.2">
      <c r="C51" s="150"/>
      <c r="G51" s="155"/>
    </row>
    <row r="52" spans="2:9" ht="25.5" x14ac:dyDescent="0.2">
      <c r="B52" s="130" t="s">
        <v>24</v>
      </c>
      <c r="C52" s="130" t="s">
        <v>2</v>
      </c>
      <c r="D52" s="130" t="s">
        <v>3</v>
      </c>
      <c r="E52" s="151"/>
      <c r="F52" s="130" t="s">
        <v>25</v>
      </c>
      <c r="G52" s="130" t="s">
        <v>2</v>
      </c>
      <c r="H52" s="130" t="s">
        <v>3</v>
      </c>
    </row>
    <row r="53" spans="2:9" x14ac:dyDescent="0.2">
      <c r="B53" s="132" t="s">
        <v>5</v>
      </c>
      <c r="C53" s="133"/>
      <c r="D53" s="136" t="str">
        <f t="shared" ref="D53:D64" si="6">+IF(C53/$C$107=0,"",C53/$C$107)</f>
        <v/>
      </c>
      <c r="E53" s="135"/>
      <c r="F53" s="132" t="s">
        <v>5</v>
      </c>
      <c r="G53" s="156">
        <v>16107.706200000001</v>
      </c>
      <c r="H53" s="136">
        <f t="shared" ref="H53:H64" si="7">+IF(G53/$C$115=0,"",G53/$C$115)</f>
        <v>1.3186221484678615E-4</v>
      </c>
    </row>
    <row r="54" spans="2:9" x14ac:dyDescent="0.2">
      <c r="B54" s="132" t="s">
        <v>6</v>
      </c>
      <c r="C54" s="133"/>
      <c r="D54" s="136" t="str">
        <f t="shared" si="6"/>
        <v/>
      </c>
      <c r="E54" s="135"/>
      <c r="F54" s="132" t="s">
        <v>6</v>
      </c>
      <c r="G54" s="133"/>
      <c r="H54" s="136" t="str">
        <f t="shared" si="7"/>
        <v/>
      </c>
    </row>
    <row r="55" spans="2:9" x14ac:dyDescent="0.2">
      <c r="B55" s="132" t="s">
        <v>7</v>
      </c>
      <c r="C55" s="138"/>
      <c r="D55" s="136" t="str">
        <f t="shared" si="6"/>
        <v/>
      </c>
      <c r="E55" s="135"/>
      <c r="F55" s="132" t="s">
        <v>7</v>
      </c>
      <c r="G55" s="138"/>
      <c r="H55" s="136" t="str">
        <f t="shared" si="7"/>
        <v/>
      </c>
    </row>
    <row r="56" spans="2:9" x14ac:dyDescent="0.2">
      <c r="B56" s="132" t="s">
        <v>8</v>
      </c>
      <c r="C56" s="133"/>
      <c r="D56" s="136" t="str">
        <f t="shared" si="6"/>
        <v/>
      </c>
      <c r="E56" s="135"/>
      <c r="F56" s="132" t="s">
        <v>8</v>
      </c>
      <c r="G56" s="133"/>
      <c r="H56" s="136" t="str">
        <f t="shared" si="7"/>
        <v/>
      </c>
    </row>
    <row r="57" spans="2:9" x14ac:dyDescent="0.2">
      <c r="B57" s="132" t="s">
        <v>9</v>
      </c>
      <c r="C57" s="133"/>
      <c r="D57" s="136" t="str">
        <f t="shared" si="6"/>
        <v/>
      </c>
      <c r="E57" s="135"/>
      <c r="F57" s="132" t="s">
        <v>9</v>
      </c>
      <c r="G57" s="133"/>
      <c r="H57" s="136" t="str">
        <f t="shared" si="7"/>
        <v/>
      </c>
    </row>
    <row r="58" spans="2:9" x14ac:dyDescent="0.2">
      <c r="B58" s="132" t="s">
        <v>10</v>
      </c>
      <c r="C58" s="133">
        <v>-7901664</v>
      </c>
      <c r="D58" s="136">
        <f t="shared" si="6"/>
        <v>-3.5736926535843782E-4</v>
      </c>
      <c r="E58" s="135"/>
      <c r="F58" s="132" t="s">
        <v>10</v>
      </c>
      <c r="G58" s="133"/>
      <c r="H58" s="136" t="str">
        <f t="shared" si="7"/>
        <v/>
      </c>
    </row>
    <row r="59" spans="2:9" x14ac:dyDescent="0.2">
      <c r="B59" s="132" t="s">
        <v>11</v>
      </c>
      <c r="C59" s="133">
        <v>-119119</v>
      </c>
      <c r="D59" s="136">
        <f t="shared" si="6"/>
        <v>-5.387405680655588E-6</v>
      </c>
      <c r="E59" s="135"/>
      <c r="F59" s="132" t="s">
        <v>11</v>
      </c>
      <c r="G59" s="133"/>
      <c r="H59" s="136" t="str">
        <f t="shared" si="7"/>
        <v/>
      </c>
    </row>
    <row r="60" spans="2:9" x14ac:dyDescent="0.2">
      <c r="B60" s="132" t="s">
        <v>12</v>
      </c>
      <c r="C60" s="139"/>
      <c r="D60" s="136" t="str">
        <f t="shared" si="6"/>
        <v/>
      </c>
      <c r="E60" s="135"/>
      <c r="F60" s="132" t="s">
        <v>12</v>
      </c>
      <c r="G60" s="157">
        <v>-88368.294999999998</v>
      </c>
      <c r="H60" s="136">
        <f t="shared" si="7"/>
        <v>-7.2340772523738839E-4</v>
      </c>
    </row>
    <row r="61" spans="2:9" x14ac:dyDescent="0.2">
      <c r="B61" s="132" t="s">
        <v>13</v>
      </c>
      <c r="C61" s="139">
        <v>-136339318</v>
      </c>
      <c r="D61" s="136">
        <f t="shared" si="6"/>
        <v>-6.1662305450004501E-3</v>
      </c>
      <c r="E61" s="135"/>
      <c r="F61" s="132" t="s">
        <v>13</v>
      </c>
      <c r="G61" s="139"/>
      <c r="H61" s="136" t="str">
        <f t="shared" si="7"/>
        <v/>
      </c>
    </row>
    <row r="62" spans="2:9" x14ac:dyDescent="0.2">
      <c r="B62" s="132" t="s">
        <v>14</v>
      </c>
      <c r="C62" s="133"/>
      <c r="D62" s="136" t="str">
        <f t="shared" si="6"/>
        <v/>
      </c>
      <c r="E62" s="135"/>
      <c r="F62" s="132" t="s">
        <v>14</v>
      </c>
      <c r="G62" s="133"/>
      <c r="H62" s="136" t="str">
        <f t="shared" si="7"/>
        <v/>
      </c>
    </row>
    <row r="63" spans="2:9" x14ac:dyDescent="0.2">
      <c r="B63" s="132" t="s">
        <v>15</v>
      </c>
      <c r="C63" s="139"/>
      <c r="D63" s="136" t="str">
        <f t="shared" si="6"/>
        <v/>
      </c>
      <c r="E63" s="135"/>
      <c r="F63" s="132" t="s">
        <v>15</v>
      </c>
      <c r="G63" s="157">
        <v>10513.880000000005</v>
      </c>
      <c r="H63" s="136">
        <f t="shared" si="7"/>
        <v>8.6069579753902416E-5</v>
      </c>
    </row>
    <row r="64" spans="2:9" x14ac:dyDescent="0.2">
      <c r="B64" s="132" t="s">
        <v>16</v>
      </c>
      <c r="C64" s="139">
        <v>-181731</v>
      </c>
      <c r="D64" s="136">
        <f t="shared" si="6"/>
        <v>-8.2191642118488277E-6</v>
      </c>
      <c r="E64" s="135"/>
      <c r="F64" s="132" t="s">
        <v>16</v>
      </c>
      <c r="G64" s="157">
        <v>-42.19</v>
      </c>
      <c r="H64" s="136">
        <f t="shared" si="7"/>
        <v>-3.4537921013147776E-7</v>
      </c>
    </row>
    <row r="65" spans="2:8" x14ac:dyDescent="0.2">
      <c r="B65" s="142" t="s">
        <v>17</v>
      </c>
      <c r="C65" s="143">
        <f>SUM(C53:C64)</f>
        <v>-144541832</v>
      </c>
      <c r="D65" s="144">
        <f>SUM(D53:D64)</f>
        <v>-6.5372063802513931E-3</v>
      </c>
      <c r="E65" s="145"/>
      <c r="F65" s="142" t="s">
        <v>17</v>
      </c>
      <c r="G65" s="148">
        <f>SUM(G53:G64)</f>
        <v>-61788.898799999995</v>
      </c>
      <c r="H65" s="144">
        <f>SUM(H53:H64)</f>
        <v>-5.058213098468314E-4</v>
      </c>
    </row>
    <row r="66" spans="2:8" x14ac:dyDescent="0.2">
      <c r="C66" s="150"/>
      <c r="G66" s="155"/>
    </row>
    <row r="67" spans="2:8" ht="25.5" x14ac:dyDescent="0.2">
      <c r="B67" s="130" t="s">
        <v>26</v>
      </c>
      <c r="C67" s="130" t="s">
        <v>2</v>
      </c>
      <c r="D67" s="130" t="s">
        <v>3</v>
      </c>
      <c r="E67" s="151"/>
      <c r="F67" s="130" t="s">
        <v>27</v>
      </c>
      <c r="G67" s="130" t="s">
        <v>2</v>
      </c>
      <c r="H67" s="130" t="s">
        <v>3</v>
      </c>
    </row>
    <row r="68" spans="2:8" x14ac:dyDescent="0.2">
      <c r="B68" s="132" t="s">
        <v>5</v>
      </c>
      <c r="C68" s="133"/>
      <c r="D68" s="136" t="str">
        <f>+IF(C68/$C$108=0,"",C68/$C$108)</f>
        <v/>
      </c>
      <c r="E68" s="135"/>
      <c r="F68" s="132" t="s">
        <v>5</v>
      </c>
      <c r="G68" s="133"/>
      <c r="H68" s="136" t="str">
        <f>+IF(G68/$C$110=0,"",G68/$C$110)</f>
        <v/>
      </c>
    </row>
    <row r="69" spans="2:8" x14ac:dyDescent="0.2">
      <c r="B69" s="132" t="s">
        <v>6</v>
      </c>
      <c r="C69" s="133"/>
      <c r="D69" s="136" t="str">
        <f t="shared" ref="D69:D79" si="8">+IF(C69/$C$108=0,"",C69/$C$108)</f>
        <v/>
      </c>
      <c r="E69" s="135"/>
      <c r="F69" s="132" t="s">
        <v>6</v>
      </c>
      <c r="G69" s="133"/>
      <c r="H69" s="136" t="str">
        <f t="shared" ref="H69:H79" si="9">+IF(G69/$C$110=0,"",G69/$C$110)</f>
        <v/>
      </c>
    </row>
    <row r="70" spans="2:8" x14ac:dyDescent="0.2">
      <c r="B70" s="132" t="s">
        <v>7</v>
      </c>
      <c r="C70" s="138"/>
      <c r="D70" s="136" t="str">
        <f t="shared" si="8"/>
        <v/>
      </c>
      <c r="E70" s="135"/>
      <c r="F70" s="132" t="s">
        <v>7</v>
      </c>
      <c r="G70" s="138"/>
      <c r="H70" s="136" t="str">
        <f t="shared" si="9"/>
        <v/>
      </c>
    </row>
    <row r="71" spans="2:8" x14ac:dyDescent="0.2">
      <c r="B71" s="132" t="s">
        <v>8</v>
      </c>
      <c r="C71" s="133"/>
      <c r="D71" s="136" t="str">
        <f t="shared" si="8"/>
        <v/>
      </c>
      <c r="E71" s="135"/>
      <c r="F71" s="132" t="s">
        <v>8</v>
      </c>
      <c r="G71" s="133"/>
      <c r="H71" s="136" t="str">
        <f t="shared" si="9"/>
        <v/>
      </c>
    </row>
    <row r="72" spans="2:8" x14ac:dyDescent="0.2">
      <c r="B72" s="132" t="s">
        <v>9</v>
      </c>
      <c r="C72" s="133">
        <v>-191541</v>
      </c>
      <c r="D72" s="136">
        <f t="shared" si="8"/>
        <v>-1.5184584505609667E-5</v>
      </c>
      <c r="E72" s="135"/>
      <c r="F72" s="132" t="s">
        <v>9</v>
      </c>
      <c r="G72" s="133">
        <v>-447019</v>
      </c>
      <c r="H72" s="136">
        <f t="shared" si="9"/>
        <v>-7.0401538091366406E-5</v>
      </c>
    </row>
    <row r="73" spans="2:8" x14ac:dyDescent="0.2">
      <c r="B73" s="132" t="s">
        <v>10</v>
      </c>
      <c r="C73" s="133"/>
      <c r="D73" s="136" t="str">
        <f t="shared" si="8"/>
        <v/>
      </c>
      <c r="E73" s="135"/>
      <c r="F73" s="132" t="s">
        <v>28</v>
      </c>
      <c r="G73" s="133"/>
      <c r="H73" s="136" t="str">
        <f t="shared" si="9"/>
        <v/>
      </c>
    </row>
    <row r="74" spans="2:8" x14ac:dyDescent="0.2">
      <c r="B74" s="132" t="s">
        <v>11</v>
      </c>
      <c r="C74" s="133"/>
      <c r="D74" s="136" t="str">
        <f t="shared" si="8"/>
        <v/>
      </c>
      <c r="E74" s="135"/>
      <c r="F74" s="132" t="s">
        <v>11</v>
      </c>
      <c r="G74" s="133"/>
      <c r="H74" s="136" t="str">
        <f t="shared" si="9"/>
        <v/>
      </c>
    </row>
    <row r="75" spans="2:8" x14ac:dyDescent="0.2">
      <c r="B75" s="132" t="s">
        <v>12</v>
      </c>
      <c r="C75" s="139"/>
      <c r="D75" s="136" t="str">
        <f t="shared" si="8"/>
        <v/>
      </c>
      <c r="E75" s="135"/>
      <c r="F75" s="132" t="s">
        <v>12</v>
      </c>
      <c r="G75" s="139"/>
      <c r="H75" s="136" t="str">
        <f t="shared" si="9"/>
        <v/>
      </c>
    </row>
    <row r="76" spans="2:8" x14ac:dyDescent="0.2">
      <c r="B76" s="132" t="s">
        <v>13</v>
      </c>
      <c r="C76" s="139">
        <v>-48012303</v>
      </c>
      <c r="D76" s="136">
        <f t="shared" si="8"/>
        <v>-3.806218366889786E-3</v>
      </c>
      <c r="E76" s="135"/>
      <c r="F76" s="132" t="s">
        <v>13</v>
      </c>
      <c r="G76" s="139">
        <v>-3004870</v>
      </c>
      <c r="H76" s="136">
        <f t="shared" si="9"/>
        <v>-4.7324044339190098E-4</v>
      </c>
    </row>
    <row r="77" spans="2:8" x14ac:dyDescent="0.2">
      <c r="B77" s="132" t="s">
        <v>14</v>
      </c>
      <c r="C77" s="133">
        <v>-16442407</v>
      </c>
      <c r="D77" s="136">
        <f t="shared" si="8"/>
        <v>-1.3034865567535302E-3</v>
      </c>
      <c r="E77" s="135"/>
      <c r="F77" s="132" t="s">
        <v>14</v>
      </c>
      <c r="G77" s="133">
        <v>-8037136</v>
      </c>
      <c r="H77" s="136">
        <f t="shared" si="9"/>
        <v>-1.2657778220824892E-3</v>
      </c>
    </row>
    <row r="78" spans="2:8" x14ac:dyDescent="0.2">
      <c r="B78" s="132" t="s">
        <v>15</v>
      </c>
      <c r="C78" s="139">
        <v>-49</v>
      </c>
      <c r="D78" s="136">
        <f t="shared" si="8"/>
        <v>-3.884518932107871E-9</v>
      </c>
      <c r="E78" s="135"/>
      <c r="F78" s="132" t="s">
        <v>15</v>
      </c>
      <c r="G78" s="139">
        <v>-46</v>
      </c>
      <c r="H78" s="136">
        <f t="shared" si="9"/>
        <v>-7.2445930759159117E-9</v>
      </c>
    </row>
    <row r="79" spans="2:8" x14ac:dyDescent="0.2">
      <c r="B79" s="132" t="s">
        <v>16</v>
      </c>
      <c r="C79" s="139">
        <v>-12308</v>
      </c>
      <c r="D79" s="136">
        <f t="shared" si="8"/>
        <v>-9.7572773502823813E-7</v>
      </c>
      <c r="E79" s="135"/>
      <c r="F79" s="132" t="s">
        <v>16</v>
      </c>
      <c r="G79" s="139">
        <v>-12308</v>
      </c>
      <c r="H79" s="136">
        <f t="shared" si="9"/>
        <v>-1.9384011212689792E-6</v>
      </c>
    </row>
    <row r="80" spans="2:8" x14ac:dyDescent="0.2">
      <c r="B80" s="142" t="s">
        <v>17</v>
      </c>
      <c r="C80" s="143">
        <f>SUM(C68:C79)</f>
        <v>-64658608</v>
      </c>
      <c r="D80" s="144">
        <f>SUM(D68:D79)</f>
        <v>-5.1258691204028864E-3</v>
      </c>
      <c r="E80" s="145"/>
      <c r="F80" s="142" t="s">
        <v>17</v>
      </c>
      <c r="G80" s="143">
        <f>SUM(G68:G79)</f>
        <v>-11501379</v>
      </c>
      <c r="H80" s="144">
        <f>SUM(H68:H79)</f>
        <v>-1.8113654492801013E-3</v>
      </c>
    </row>
    <row r="81" spans="2:7" x14ac:dyDescent="0.2">
      <c r="C81" s="150"/>
      <c r="G81" s="155"/>
    </row>
    <row r="82" spans="2:7" ht="25.5" x14ac:dyDescent="0.2">
      <c r="B82" s="130" t="s">
        <v>29</v>
      </c>
      <c r="C82" s="130"/>
      <c r="D82" s="130" t="s">
        <v>3</v>
      </c>
      <c r="G82" s="155"/>
    </row>
    <row r="83" spans="2:7" x14ac:dyDescent="0.2">
      <c r="B83" s="158" t="s">
        <v>30</v>
      </c>
      <c r="C83" s="159"/>
      <c r="D83" s="136" t="e">
        <f>+IF(C83/#REF!=0,"",C83/#REF!)</f>
        <v>#REF!</v>
      </c>
      <c r="G83" s="155"/>
    </row>
    <row r="84" spans="2:7" x14ac:dyDescent="0.2">
      <c r="B84" s="160" t="s">
        <v>31</v>
      </c>
      <c r="C84" s="159"/>
      <c r="D84" s="136" t="e">
        <f>+IF(C84/#REF!=0,"",C84/#REF!)</f>
        <v>#REF!</v>
      </c>
      <c r="G84" s="155"/>
    </row>
    <row r="85" spans="2:7" x14ac:dyDescent="0.2">
      <c r="B85" s="160" t="s">
        <v>32</v>
      </c>
      <c r="C85" s="161"/>
      <c r="D85" s="136" t="e">
        <f>+IF(C85/#REF!=0,"",C85/#REF!)</f>
        <v>#REF!</v>
      </c>
      <c r="G85" s="155"/>
    </row>
    <row r="86" spans="2:7" x14ac:dyDescent="0.2">
      <c r="B86" s="160" t="s">
        <v>33</v>
      </c>
      <c r="C86" s="159"/>
      <c r="D86" s="136" t="e">
        <f>+IF(C86/#REF!=0,"",C86/#REF!)</f>
        <v>#REF!</v>
      </c>
      <c r="G86" s="155"/>
    </row>
    <row r="87" spans="2:7" x14ac:dyDescent="0.2">
      <c r="B87" s="160" t="s">
        <v>7</v>
      </c>
      <c r="C87" s="159"/>
      <c r="D87" s="136" t="e">
        <f>+IF(C87/#REF!=0,"",C87/#REF!)</f>
        <v>#REF!</v>
      </c>
      <c r="G87" s="155"/>
    </row>
    <row r="88" spans="2:7" x14ac:dyDescent="0.2">
      <c r="B88" s="160"/>
      <c r="C88" s="162"/>
      <c r="D88" s="136"/>
      <c r="G88" s="155"/>
    </row>
    <row r="89" spans="2:7" x14ac:dyDescent="0.2">
      <c r="B89" s="160"/>
      <c r="C89" s="162"/>
      <c r="D89" s="136"/>
      <c r="G89" s="155"/>
    </row>
    <row r="90" spans="2:7" x14ac:dyDescent="0.2">
      <c r="B90" s="142" t="s">
        <v>17</v>
      </c>
      <c r="C90" s="163"/>
      <c r="D90" s="144" t="e">
        <f>SUM(D83:D89)</f>
        <v>#REF!</v>
      </c>
      <c r="E90" s="164"/>
      <c r="G90" s="165"/>
    </row>
    <row r="91" spans="2:7" x14ac:dyDescent="0.2">
      <c r="C91" s="150"/>
      <c r="G91" s="155"/>
    </row>
    <row r="92" spans="2:7" x14ac:dyDescent="0.2">
      <c r="C92" s="150"/>
      <c r="G92" s="155"/>
    </row>
    <row r="93" spans="2:7" x14ac:dyDescent="0.2">
      <c r="C93" s="150"/>
      <c r="G93" s="155"/>
    </row>
    <row r="94" spans="2:7" x14ac:dyDescent="0.2">
      <c r="C94" s="150"/>
      <c r="G94" s="155"/>
    </row>
    <row r="95" spans="2:7" ht="25.5" x14ac:dyDescent="0.2">
      <c r="B95" s="130" t="s">
        <v>25</v>
      </c>
      <c r="C95" s="130"/>
      <c r="D95" s="130" t="s">
        <v>3</v>
      </c>
      <c r="E95" s="146"/>
      <c r="F95" s="126"/>
    </row>
    <row r="96" spans="2:7" x14ac:dyDescent="0.2">
      <c r="B96" s="158"/>
      <c r="C96" s="166"/>
      <c r="D96" s="136" t="str">
        <f>+IF(C96/$C$115=0,"",C96/$C$115)</f>
        <v/>
      </c>
      <c r="E96" s="141"/>
      <c r="F96" s="126"/>
    </row>
    <row r="97" spans="2:8" x14ac:dyDescent="0.2">
      <c r="B97" s="160" t="s">
        <v>34</v>
      </c>
      <c r="C97" s="167"/>
      <c r="D97" s="136" t="str">
        <f t="shared" ref="D97:D102" si="10">+IF(C97/$C$115=0,"",C97/$C$115)</f>
        <v/>
      </c>
      <c r="E97" s="141"/>
      <c r="F97" s="126"/>
    </row>
    <row r="98" spans="2:8" x14ac:dyDescent="0.2">
      <c r="B98" s="160" t="s">
        <v>35</v>
      </c>
      <c r="C98" s="167"/>
      <c r="D98" s="136" t="str">
        <f t="shared" si="10"/>
        <v/>
      </c>
      <c r="E98" s="141"/>
      <c r="F98" s="126"/>
    </row>
    <row r="99" spans="2:8" x14ac:dyDescent="0.2">
      <c r="B99" s="160" t="s">
        <v>36</v>
      </c>
      <c r="C99" s="167"/>
      <c r="D99" s="136" t="str">
        <f t="shared" si="10"/>
        <v/>
      </c>
      <c r="E99" s="141"/>
      <c r="F99" s="126"/>
    </row>
    <row r="100" spans="2:8" x14ac:dyDescent="0.2">
      <c r="B100" s="160" t="s">
        <v>37</v>
      </c>
      <c r="C100" s="167"/>
      <c r="D100" s="136" t="str">
        <f t="shared" si="10"/>
        <v/>
      </c>
      <c r="E100" s="141"/>
      <c r="F100" s="126"/>
    </row>
    <row r="101" spans="2:8" x14ac:dyDescent="0.2">
      <c r="B101" s="160" t="s">
        <v>38</v>
      </c>
      <c r="C101" s="162"/>
      <c r="D101" s="136" t="str">
        <f t="shared" si="10"/>
        <v/>
      </c>
      <c r="E101" s="141"/>
      <c r="F101" s="126"/>
    </row>
    <row r="102" spans="2:8" x14ac:dyDescent="0.2">
      <c r="B102" s="160"/>
      <c r="C102" s="166"/>
      <c r="D102" s="136" t="str">
        <f t="shared" si="10"/>
        <v/>
      </c>
      <c r="E102" s="141"/>
      <c r="F102" s="126"/>
    </row>
    <row r="103" spans="2:8" x14ac:dyDescent="0.2">
      <c r="B103" s="142" t="s">
        <v>17</v>
      </c>
      <c r="C103" s="163">
        <f>SUM(C96:C102)</f>
        <v>0</v>
      </c>
      <c r="D103" s="144">
        <f>SUM(D96:D102)</f>
        <v>0</v>
      </c>
      <c r="E103" s="145"/>
    </row>
    <row r="104" spans="2:8" x14ac:dyDescent="0.2">
      <c r="B104" s="126"/>
      <c r="C104" s="168"/>
      <c r="D104" s="141"/>
      <c r="E104" s="169"/>
      <c r="F104" s="126"/>
      <c r="H104" s="141"/>
    </row>
    <row r="105" spans="2:8" ht="25.5" x14ac:dyDescent="0.2">
      <c r="B105" s="130" t="s">
        <v>39</v>
      </c>
      <c r="C105" s="130" t="s">
        <v>40</v>
      </c>
      <c r="D105" s="130" t="s">
        <v>41</v>
      </c>
      <c r="F105" s="130" t="s">
        <v>42</v>
      </c>
    </row>
    <row r="106" spans="2:8" x14ac:dyDescent="0.2">
      <c r="B106" s="180" t="s">
        <v>19</v>
      </c>
      <c r="C106" s="181">
        <v>22157917165</v>
      </c>
      <c r="D106" s="172"/>
      <c r="E106" s="125"/>
      <c r="F106" s="173"/>
      <c r="H106" s="141"/>
    </row>
    <row r="107" spans="2:8" x14ac:dyDescent="0.2">
      <c r="B107" s="180" t="s">
        <v>24</v>
      </c>
      <c r="C107" s="181">
        <v>22110642313</v>
      </c>
      <c r="D107" s="172"/>
      <c r="E107" s="174"/>
      <c r="F107" s="173"/>
      <c r="G107" s="129"/>
      <c r="H107" s="129"/>
    </row>
    <row r="108" spans="2:8" x14ac:dyDescent="0.2">
      <c r="B108" s="180" t="s">
        <v>26</v>
      </c>
      <c r="C108" s="181">
        <v>12614174588</v>
      </c>
      <c r="D108" s="172"/>
      <c r="E108" s="174"/>
      <c r="F108" s="173"/>
      <c r="H108" s="141"/>
    </row>
    <row r="109" spans="2:8" x14ac:dyDescent="0.2">
      <c r="B109" s="180" t="s">
        <v>22</v>
      </c>
      <c r="C109" s="181">
        <v>5178537428</v>
      </c>
      <c r="D109" s="172"/>
      <c r="E109" s="174"/>
      <c r="F109" s="173"/>
      <c r="G109" s="129"/>
      <c r="H109" s="129"/>
    </row>
    <row r="110" spans="2:8" x14ac:dyDescent="0.2">
      <c r="B110" s="180" t="s">
        <v>27</v>
      </c>
      <c r="C110" s="181">
        <v>6349562980</v>
      </c>
      <c r="D110" s="172"/>
      <c r="E110" s="174"/>
      <c r="F110" s="173"/>
      <c r="H110" s="141"/>
    </row>
    <row r="111" spans="2:8" x14ac:dyDescent="0.2">
      <c r="B111" s="180" t="s">
        <v>1</v>
      </c>
      <c r="C111" s="181">
        <v>66774051155</v>
      </c>
      <c r="D111" s="175">
        <v>1360365572</v>
      </c>
      <c r="F111" s="173">
        <f>+C111+D111</f>
        <v>68134416727</v>
      </c>
      <c r="G111" s="129"/>
      <c r="H111" s="129"/>
    </row>
    <row r="112" spans="2:8" x14ac:dyDescent="0.2">
      <c r="B112" s="180" t="s">
        <v>18</v>
      </c>
      <c r="C112" s="182">
        <v>41330992.481799997</v>
      </c>
      <c r="D112" s="177">
        <v>0</v>
      </c>
      <c r="F112" s="173">
        <f>+C112+D112</f>
        <v>41330992.481799997</v>
      </c>
      <c r="H112" s="141"/>
    </row>
    <row r="113" spans="1:13" x14ac:dyDescent="0.2">
      <c r="B113" s="180" t="s">
        <v>4</v>
      </c>
      <c r="C113" s="181">
        <v>10181945497</v>
      </c>
      <c r="D113" s="172"/>
      <c r="F113" s="173"/>
      <c r="G113" s="129"/>
      <c r="H113" s="129"/>
    </row>
    <row r="114" spans="1:13" x14ac:dyDescent="0.2">
      <c r="B114" s="180" t="s">
        <v>21</v>
      </c>
      <c r="C114" s="181">
        <v>83666141813.999893</v>
      </c>
      <c r="D114" s="172"/>
      <c r="F114" s="173"/>
      <c r="H114" s="141"/>
    </row>
    <row r="115" spans="1:13" x14ac:dyDescent="0.2">
      <c r="B115" s="180" t="s">
        <v>25</v>
      </c>
      <c r="C115" s="182">
        <v>122155586.56220001</v>
      </c>
      <c r="D115" s="172"/>
      <c r="E115" s="174"/>
      <c r="F115" s="173"/>
      <c r="G115" s="129"/>
      <c r="H115" s="129"/>
    </row>
    <row r="116" spans="1:13" x14ac:dyDescent="0.2">
      <c r="E116" s="125"/>
    </row>
    <row r="117" spans="1:13" x14ac:dyDescent="0.2">
      <c r="C117" s="178"/>
    </row>
    <row r="119" spans="1:13" x14ac:dyDescent="0.2">
      <c r="A119" s="125"/>
      <c r="B119" s="125"/>
      <c r="C119" s="125"/>
      <c r="D119" s="179"/>
      <c r="F119" s="125"/>
      <c r="G119" s="125"/>
      <c r="H119" s="125"/>
      <c r="I119" s="125"/>
      <c r="J119" s="125"/>
      <c r="K119" s="125"/>
      <c r="L119" s="125"/>
      <c r="M119" s="125"/>
    </row>
    <row r="120" spans="1:13" x14ac:dyDescent="0.2">
      <c r="A120" s="125"/>
      <c r="B120" s="125"/>
      <c r="C120" s="125"/>
      <c r="D120" s="179"/>
      <c r="F120" s="125"/>
      <c r="G120" s="125"/>
      <c r="H120" s="125"/>
      <c r="I120" s="125"/>
      <c r="J120" s="125"/>
      <c r="K120" s="125"/>
      <c r="L120" s="125"/>
      <c r="M120" s="125"/>
    </row>
    <row r="121" spans="1:13" x14ac:dyDescent="0.2">
      <c r="A121" s="125"/>
      <c r="B121" s="125"/>
      <c r="C121" s="125"/>
      <c r="D121" s="179"/>
      <c r="F121" s="125"/>
      <c r="G121" s="125"/>
      <c r="H121" s="125"/>
      <c r="I121" s="125"/>
      <c r="J121" s="125"/>
      <c r="K121" s="125"/>
      <c r="L121" s="125"/>
      <c r="M121" s="125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68"/>
  <dimension ref="A2:M121"/>
  <sheetViews>
    <sheetView workbookViewId="0">
      <selection activeCell="C80" sqref="C80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43034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5468725</v>
      </c>
      <c r="D7" s="67">
        <f>+IF(C7/$F$111=0,"",C7/$F$111)</f>
        <v>7.7377786574883421E-5</v>
      </c>
      <c r="E7" s="68"/>
      <c r="F7" s="65" t="s">
        <v>5</v>
      </c>
      <c r="G7" s="66">
        <v>977611</v>
      </c>
      <c r="H7" s="69">
        <f>+IF(G7/$C$113=0,"",G7/$C$113)</f>
        <v>9.6573106919927514E-5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-152312</v>
      </c>
      <c r="H8" s="69">
        <f>+IF(G8/$C$113=0,"",G8/$C$113)</f>
        <v>-1.5046110427550426E-5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-54444</v>
      </c>
      <c r="H11" s="69">
        <f t="shared" si="0"/>
        <v>-5.3782396404587651E-6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124800</v>
      </c>
      <c r="H12" s="69">
        <f t="shared" si="0"/>
        <v>1.2328343015378257E-5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1666164</v>
      </c>
      <c r="H14" s="69">
        <f t="shared" si="0"/>
        <v>1.6459167717848317E-4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-351090</v>
      </c>
      <c r="D18" s="67">
        <f>+IF(C18/$F$111=0,"",C18/$F$111)</f>
        <v>-4.9676235481900843E-6</v>
      </c>
      <c r="E18" s="75"/>
      <c r="F18" s="65" t="s">
        <v>16</v>
      </c>
      <c r="G18" s="72">
        <v>-36788</v>
      </c>
      <c r="H18" s="69">
        <f t="shared" si="0"/>
        <v>-3.6340952151421099E-6</v>
      </c>
    </row>
    <row r="19" spans="2:9" s="80" customFormat="1" x14ac:dyDescent="0.2">
      <c r="B19" s="76" t="s">
        <v>17</v>
      </c>
      <c r="C19" s="77">
        <f>SUM(C7:C18)</f>
        <v>5117635</v>
      </c>
      <c r="D19" s="78">
        <f>SUM(D7:D18)</f>
        <v>7.2410163026693334E-5</v>
      </c>
      <c r="E19" s="79"/>
      <c r="F19" s="76" t="s">
        <v>17</v>
      </c>
      <c r="G19" s="77">
        <f>SUM(G7:G18)</f>
        <v>2525031</v>
      </c>
      <c r="H19" s="78">
        <f>SUM(H7:H18)</f>
        <v>2.4943468183063767E-4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3343.2715000000003</v>
      </c>
      <c r="D22" s="69">
        <f>+IF(C22/$F$112=0,"",C22/$F$112)</f>
        <v>7.9059091961479071E-5</v>
      </c>
      <c r="E22" s="75"/>
      <c r="F22" s="65" t="s">
        <v>5</v>
      </c>
      <c r="G22" s="66">
        <v>1639384</v>
      </c>
      <c r="H22" s="69">
        <f t="shared" ref="H22:H33" si="2">+IF(G22/$C$106=0,"",G22/$C$106)</f>
        <v>7.4427841634475014E-5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-358342</v>
      </c>
      <c r="H23" s="69">
        <f t="shared" si="2"/>
        <v>-1.6268684839537927E-5</v>
      </c>
      <c r="I23" s="114"/>
    </row>
    <row r="24" spans="2:9" x14ac:dyDescent="0.2">
      <c r="B24" s="65" t="s">
        <v>45</v>
      </c>
      <c r="C24" s="71">
        <v>4920.4639709992334</v>
      </c>
      <c r="D24" s="69">
        <f>+IF(C24/$F$112=0,"",C24/$F$112)</f>
        <v>1.1635531651448973E-4</v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-4462.1239706670513</v>
      </c>
      <c r="D26" s="69">
        <f>+IF(C26/$F$112=0,"",C26/$F$112)</f>
        <v>-1.0551684759687825E-4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-60198.290000000008</v>
      </c>
      <c r="D27" s="69">
        <f t="shared" ref="D27:D33" si="3">+IF(C27/$F$112=0,"",C27/$F$112)</f>
        <v>-1.4235224824049695E-3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-1076145</v>
      </c>
      <c r="H29" s="69">
        <f t="shared" si="2"/>
        <v>-4.8856856987583214E-5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59103.823199999999</v>
      </c>
      <c r="D31" s="69">
        <f t="shared" si="3"/>
        <v>1.3976413802001422E-3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10469</v>
      </c>
      <c r="H32" s="69">
        <f t="shared" si="2"/>
        <v>4.7529137412059592E-7</v>
      </c>
    </row>
    <row r="33" spans="1:13" x14ac:dyDescent="0.2">
      <c r="B33" s="65" t="s">
        <v>16</v>
      </c>
      <c r="C33" s="71">
        <v>-154.34</v>
      </c>
      <c r="D33" s="69">
        <f t="shared" si="3"/>
        <v>-3.6497126402491328E-6</v>
      </c>
      <c r="E33" s="75"/>
      <c r="F33" s="65" t="s">
        <v>16</v>
      </c>
      <c r="G33" s="72">
        <v>-66328</v>
      </c>
      <c r="H33" s="69">
        <f t="shared" si="2"/>
        <v>-3.011283433247768E-6</v>
      </c>
    </row>
    <row r="34" spans="1:13" s="80" customFormat="1" x14ac:dyDescent="0.2">
      <c r="B34" s="76" t="s">
        <v>17</v>
      </c>
      <c r="C34" s="93">
        <v>2565.9746741700642</v>
      </c>
      <c r="D34" s="78">
        <f>SUM(D22:D33)</f>
        <v>6.0366746034014226E-5</v>
      </c>
      <c r="E34" s="79"/>
      <c r="F34" s="76" t="s">
        <v>17</v>
      </c>
      <c r="G34" s="77">
        <f>SUM(G22:G33)</f>
        <v>149038</v>
      </c>
      <c r="H34" s="78">
        <f>SUM(H22:H33)</f>
        <v>6.7663077482266978E-6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4532666</v>
      </c>
      <c r="D37" s="69">
        <f t="shared" ref="D37:D48" si="4">+IF(C37/$C$114=0,"",C37/$C$114)</f>
        <v>5.5560603250178255E-5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-2611877</v>
      </c>
      <c r="D38" s="69">
        <f t="shared" si="4"/>
        <v>-3.2015917725962123E-5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-400087</v>
      </c>
      <c r="H39" s="69">
        <f t="shared" si="5"/>
        <v>-7.7645526915877012E-5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29766786</v>
      </c>
      <c r="D44" s="69">
        <f t="shared" si="4"/>
        <v>3.6487590018301826E-4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3625194</v>
      </c>
      <c r="D45" s="69">
        <f t="shared" si="4"/>
        <v>4.4436974958871163E-5</v>
      </c>
      <c r="E45" s="68"/>
      <c r="F45" s="65" t="s">
        <v>13</v>
      </c>
      <c r="G45" s="72">
        <v>2903736</v>
      </c>
      <c r="H45" s="69">
        <f t="shared" si="5"/>
        <v>5.6353271099686083E-4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-437150</v>
      </c>
      <c r="D47" s="69">
        <f t="shared" si="4"/>
        <v>-5.3585059456874666E-6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-199008</v>
      </c>
      <c r="D48" s="69">
        <f t="shared" si="4"/>
        <v>-2.4394042119166675E-6</v>
      </c>
      <c r="E48" s="68"/>
      <c r="F48" s="65" t="s">
        <v>16</v>
      </c>
      <c r="G48" s="72">
        <v>-42351</v>
      </c>
      <c r="H48" s="69">
        <f t="shared" si="5"/>
        <v>-8.2191266159967895E-6</v>
      </c>
    </row>
    <row r="49" spans="2:9" s="80" customFormat="1" x14ac:dyDescent="0.2">
      <c r="B49" s="76" t="s">
        <v>17</v>
      </c>
      <c r="C49" s="77">
        <f>SUM(C37:C48)</f>
        <v>34676611</v>
      </c>
      <c r="D49" s="78">
        <f>SUM(D37:D48)</f>
        <v>4.2505965050850138E-4</v>
      </c>
      <c r="E49" s="79"/>
      <c r="F49" s="76" t="s">
        <v>17</v>
      </c>
      <c r="G49" s="77">
        <f>SUM(G37:G48)</f>
        <v>2461298</v>
      </c>
      <c r="H49" s="78">
        <f>SUM(H37:H48)</f>
        <v>4.7766805746498703E-4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15902.751399999999</v>
      </c>
      <c r="H53" s="69">
        <f t="shared" ref="H53:H64" si="7">+IF(G53/$C$115=0,"",G53/$C$115)</f>
        <v>1.3025201846115789E-4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>
        <v>-2658396</v>
      </c>
      <c r="D55" s="69">
        <f t="shared" si="6"/>
        <v>-1.2102184053809093E-4</v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9</v>
      </c>
      <c r="C57" s="66">
        <v>-119119</v>
      </c>
      <c r="D57" s="69">
        <f t="shared" si="6"/>
        <v>-5.4228191071070124E-6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10</v>
      </c>
      <c r="C58" s="66">
        <v>-5268427</v>
      </c>
      <c r="D58" s="69">
        <f t="shared" si="6"/>
        <v>-2.3984189424020076E-4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-74099.572199999995</v>
      </c>
      <c r="H60" s="69">
        <f t="shared" si="7"/>
        <v>-6.0691503019774944E-4</v>
      </c>
    </row>
    <row r="61" spans="2:9" x14ac:dyDescent="0.2">
      <c r="B61" s="65" t="s">
        <v>13</v>
      </c>
      <c r="C61" s="72">
        <v>11097230</v>
      </c>
      <c r="D61" s="69">
        <f t="shared" si="6"/>
        <v>5.0519456073305812E-4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-180545</v>
      </c>
      <c r="D64" s="69">
        <f t="shared" si="6"/>
        <v>-8.2191999235439813E-6</v>
      </c>
      <c r="E64" s="68"/>
      <c r="F64" s="65" t="s">
        <v>16</v>
      </c>
      <c r="G64" s="92">
        <v>-42.22</v>
      </c>
      <c r="H64" s="69">
        <f t="shared" si="7"/>
        <v>-3.4580432537165149E-7</v>
      </c>
    </row>
    <row r="65" spans="2:8" s="80" customFormat="1" x14ac:dyDescent="0.2">
      <c r="B65" s="76" t="s">
        <v>17</v>
      </c>
      <c r="C65" s="77">
        <f>SUM(C53:C64)</f>
        <v>2870743</v>
      </c>
      <c r="D65" s="78">
        <f>SUM(D53:D64)</f>
        <v>1.3068880692411542E-4</v>
      </c>
      <c r="E65" s="79"/>
      <c r="F65" s="76" t="s">
        <v>17</v>
      </c>
      <c r="G65" s="93">
        <f>SUM(G53:G64)</f>
        <v>-58239.040799999995</v>
      </c>
      <c r="H65" s="78">
        <f>SUM(H53:H64)</f>
        <v>-4.7700881606196319E-4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-342038</v>
      </c>
      <c r="D72" s="69">
        <f t="shared" si="8"/>
        <v>-2.7245639326994263E-5</v>
      </c>
      <c r="E72" s="68"/>
      <c r="F72" s="65" t="s">
        <v>9</v>
      </c>
      <c r="G72" s="66">
        <v>-786247</v>
      </c>
      <c r="H72" s="69">
        <f t="shared" si="9"/>
        <v>-1.2405589249786078E-4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-7685374</v>
      </c>
      <c r="D76" s="69">
        <f t="shared" si="8"/>
        <v>-6.1219200234201808E-4</v>
      </c>
      <c r="E76" s="68"/>
      <c r="F76" s="65" t="s">
        <v>13</v>
      </c>
      <c r="G76" s="72">
        <v>-8488588</v>
      </c>
      <c r="H76" s="69">
        <f t="shared" si="9"/>
        <v>-1.3393492889468971E-3</v>
      </c>
    </row>
    <row r="77" spans="2:8" x14ac:dyDescent="0.2">
      <c r="B77" s="65" t="s">
        <v>14</v>
      </c>
      <c r="C77" s="66">
        <v>-29343183</v>
      </c>
      <c r="D77" s="69">
        <f t="shared" si="8"/>
        <v>-2.3373829244820441E-3</v>
      </c>
      <c r="E77" s="68"/>
      <c r="F77" s="65" t="s">
        <v>14</v>
      </c>
      <c r="G77" s="66">
        <v>-14331850</v>
      </c>
      <c r="H77" s="69">
        <f t="shared" si="9"/>
        <v>-2.2613128481195678E-3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-12308</v>
      </c>
      <c r="D79" s="69">
        <f t="shared" si="8"/>
        <v>-9.8041541827704922E-7</v>
      </c>
      <c r="E79" s="68"/>
      <c r="F79" s="65" t="s">
        <v>16</v>
      </c>
      <c r="G79" s="72">
        <v>-12308</v>
      </c>
      <c r="H79" s="69">
        <f t="shared" si="9"/>
        <v>-1.9419850566853295E-6</v>
      </c>
    </row>
    <row r="80" spans="2:8" s="80" customFormat="1" x14ac:dyDescent="0.2">
      <c r="B80" s="76" t="s">
        <v>17</v>
      </c>
      <c r="C80" s="77">
        <f>SUM(C68:C79)</f>
        <v>-37382903</v>
      </c>
      <c r="D80" s="78">
        <f>SUM(D68:D79)</f>
        <v>-2.9778009815693333E-3</v>
      </c>
      <c r="E80" s="79"/>
      <c r="F80" s="76" t="s">
        <v>17</v>
      </c>
      <c r="G80" s="77">
        <f>SUM(G68:G79)</f>
        <v>-23618993</v>
      </c>
      <c r="H80" s="78">
        <f>SUM(H68:H79)</f>
        <v>-3.7266600146210111E-3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22026488529.000099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21966249961.000099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12553862138.999901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5152737265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6337844855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66454409929.999901</v>
      </c>
      <c r="D111" s="191">
        <v>4221235395</v>
      </c>
      <c r="F111" s="106">
        <f>+C111+D111</f>
        <v>70675645324.999908</v>
      </c>
      <c r="G111" s="62"/>
      <c r="H111" s="62"/>
    </row>
    <row r="112" spans="2:8" x14ac:dyDescent="0.2">
      <c r="B112" s="189" t="s">
        <v>18</v>
      </c>
      <c r="C112" s="192">
        <v>40474619.8266</v>
      </c>
      <c r="D112" s="193">
        <v>1813640.98</v>
      </c>
      <c r="F112" s="106">
        <f>+C112+D112</f>
        <v>42288260.806599997</v>
      </c>
      <c r="H112" s="75"/>
    </row>
    <row r="113" spans="1:13" x14ac:dyDescent="0.2">
      <c r="B113" s="189" t="s">
        <v>4</v>
      </c>
      <c r="C113" s="190">
        <v>10123014897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81580575711</v>
      </c>
      <c r="D114" s="107"/>
      <c r="F114" s="106"/>
      <c r="H114" s="75"/>
    </row>
    <row r="115" spans="1:13" x14ac:dyDescent="0.2">
      <c r="B115" s="189" t="s">
        <v>25</v>
      </c>
      <c r="C115" s="192">
        <v>122092168.61189999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823" priority="46" stopIfTrue="1" operator="lessThan">
      <formula>0</formula>
    </cfRule>
  </conditionalFormatting>
  <conditionalFormatting sqref="C89">
    <cfRule type="cellIs" dxfId="2822" priority="43" stopIfTrue="1" operator="lessThan">
      <formula>0</formula>
    </cfRule>
  </conditionalFormatting>
  <conditionalFormatting sqref="C85">
    <cfRule type="cellIs" dxfId="2821" priority="45" stopIfTrue="1" operator="lessThan">
      <formula>0</formula>
    </cfRule>
  </conditionalFormatting>
  <conditionalFormatting sqref="C7:C9">
    <cfRule type="cellIs" dxfId="2820" priority="42" stopIfTrue="1" operator="lessThan">
      <formula>0</formula>
    </cfRule>
  </conditionalFormatting>
  <conditionalFormatting sqref="C10:C13">
    <cfRule type="cellIs" dxfId="2819" priority="40" stopIfTrue="1" operator="lessThan">
      <formula>0</formula>
    </cfRule>
  </conditionalFormatting>
  <conditionalFormatting sqref="C88">
    <cfRule type="cellIs" dxfId="2818" priority="44" stopIfTrue="1" operator="lessThan">
      <formula>0</formula>
    </cfRule>
  </conditionalFormatting>
  <conditionalFormatting sqref="C101">
    <cfRule type="cellIs" dxfId="2817" priority="39" stopIfTrue="1" operator="lessThan">
      <formula>0</formula>
    </cfRule>
  </conditionalFormatting>
  <conditionalFormatting sqref="C7">
    <cfRule type="cellIs" dxfId="2816" priority="41" stopIfTrue="1" operator="lessThan">
      <formula>0</formula>
    </cfRule>
  </conditionalFormatting>
  <conditionalFormatting sqref="C29:C33">
    <cfRule type="cellIs" dxfId="2815" priority="34" stopIfTrue="1" operator="lessThan">
      <formula>0</formula>
    </cfRule>
  </conditionalFormatting>
  <conditionalFormatting sqref="G7:G9">
    <cfRule type="cellIs" dxfId="2814" priority="37" stopIfTrue="1" operator="lessThan">
      <formula>0</formula>
    </cfRule>
  </conditionalFormatting>
  <conditionalFormatting sqref="C22">
    <cfRule type="cellIs" dxfId="2813" priority="32" stopIfTrue="1" operator="lessThan">
      <formula>0</formula>
    </cfRule>
  </conditionalFormatting>
  <conditionalFormatting sqref="C25:C28">
    <cfRule type="cellIs" dxfId="2812" priority="31" stopIfTrue="1" operator="lessThan">
      <formula>0</formula>
    </cfRule>
  </conditionalFormatting>
  <conditionalFormatting sqref="G14:G18">
    <cfRule type="cellIs" dxfId="2811" priority="38" stopIfTrue="1" operator="lessThan">
      <formula>0</formula>
    </cfRule>
  </conditionalFormatting>
  <conditionalFormatting sqref="G7">
    <cfRule type="cellIs" dxfId="2810" priority="36" stopIfTrue="1" operator="lessThan">
      <formula>0</formula>
    </cfRule>
  </conditionalFormatting>
  <conditionalFormatting sqref="G10:G13">
    <cfRule type="cellIs" dxfId="2809" priority="35" stopIfTrue="1" operator="lessThan">
      <formula>0</formula>
    </cfRule>
  </conditionalFormatting>
  <conditionalFormatting sqref="C22:C24">
    <cfRule type="cellIs" dxfId="2808" priority="33" stopIfTrue="1" operator="lessThan">
      <formula>0</formula>
    </cfRule>
  </conditionalFormatting>
  <conditionalFormatting sqref="G22">
    <cfRule type="cellIs" dxfId="2807" priority="28" stopIfTrue="1" operator="lessThan">
      <formula>0</formula>
    </cfRule>
  </conditionalFormatting>
  <conditionalFormatting sqref="G29:G33">
    <cfRule type="cellIs" dxfId="2806" priority="30" stopIfTrue="1" operator="lessThan">
      <formula>0</formula>
    </cfRule>
  </conditionalFormatting>
  <conditionalFormatting sqref="G22:G24">
    <cfRule type="cellIs" dxfId="2805" priority="29" stopIfTrue="1" operator="lessThan">
      <formula>0</formula>
    </cfRule>
  </conditionalFormatting>
  <conditionalFormatting sqref="G25:G28">
    <cfRule type="cellIs" dxfId="2804" priority="27" stopIfTrue="1" operator="lessThan">
      <formula>0</formula>
    </cfRule>
  </conditionalFormatting>
  <conditionalFormatting sqref="C40:C43">
    <cfRule type="cellIs" dxfId="2803" priority="23" stopIfTrue="1" operator="lessThan">
      <formula>0</formula>
    </cfRule>
  </conditionalFormatting>
  <conditionalFormatting sqref="G44:G48">
    <cfRule type="cellIs" dxfId="2802" priority="22" stopIfTrue="1" operator="lessThan">
      <formula>0</formula>
    </cfRule>
  </conditionalFormatting>
  <conditionalFormatting sqref="G37">
    <cfRule type="cellIs" dxfId="2801" priority="20" stopIfTrue="1" operator="lessThan">
      <formula>0</formula>
    </cfRule>
  </conditionalFormatting>
  <conditionalFormatting sqref="C44:C48">
    <cfRule type="cellIs" dxfId="2800" priority="26" stopIfTrue="1" operator="lessThan">
      <formula>0</formula>
    </cfRule>
  </conditionalFormatting>
  <conditionalFormatting sqref="C37:C39">
    <cfRule type="cellIs" dxfId="2799" priority="25" stopIfTrue="1" operator="lessThan">
      <formula>0</formula>
    </cfRule>
  </conditionalFormatting>
  <conditionalFormatting sqref="C37">
    <cfRule type="cellIs" dxfId="2798" priority="24" stopIfTrue="1" operator="lessThan">
      <formula>0</formula>
    </cfRule>
  </conditionalFormatting>
  <conditionalFormatting sqref="C56:C59">
    <cfRule type="cellIs" dxfId="2797" priority="15" stopIfTrue="1" operator="lessThan">
      <formula>0</formula>
    </cfRule>
  </conditionalFormatting>
  <conditionalFormatting sqref="G60:G63">
    <cfRule type="cellIs" dxfId="2796" priority="14" stopIfTrue="1" operator="lessThan">
      <formula>0</formula>
    </cfRule>
  </conditionalFormatting>
  <conditionalFormatting sqref="G37:G39">
    <cfRule type="cellIs" dxfId="2795" priority="21" stopIfTrue="1" operator="lessThan">
      <formula>0</formula>
    </cfRule>
  </conditionalFormatting>
  <conditionalFormatting sqref="G53">
    <cfRule type="cellIs" dxfId="2794" priority="12" stopIfTrue="1" operator="lessThan">
      <formula>0</formula>
    </cfRule>
  </conditionalFormatting>
  <conditionalFormatting sqref="G40:G43">
    <cfRule type="cellIs" dxfId="2793" priority="19" stopIfTrue="1" operator="lessThan">
      <formula>0</formula>
    </cfRule>
  </conditionalFormatting>
  <conditionalFormatting sqref="C60:C64">
    <cfRule type="cellIs" dxfId="2792" priority="18" stopIfTrue="1" operator="lessThan">
      <formula>0</formula>
    </cfRule>
  </conditionalFormatting>
  <conditionalFormatting sqref="C53:C55">
    <cfRule type="cellIs" dxfId="2791" priority="17" stopIfTrue="1" operator="lessThan">
      <formula>0</formula>
    </cfRule>
  </conditionalFormatting>
  <conditionalFormatting sqref="C53">
    <cfRule type="cellIs" dxfId="2790" priority="16" stopIfTrue="1" operator="lessThan">
      <formula>0</formula>
    </cfRule>
  </conditionalFormatting>
  <conditionalFormatting sqref="G53:G55">
    <cfRule type="cellIs" dxfId="2789" priority="13" stopIfTrue="1" operator="lessThan">
      <formula>0</formula>
    </cfRule>
  </conditionalFormatting>
  <conditionalFormatting sqref="G56:G59">
    <cfRule type="cellIs" dxfId="2788" priority="11" stopIfTrue="1" operator="lessThan">
      <formula>0</formula>
    </cfRule>
  </conditionalFormatting>
  <conditionalFormatting sqref="C75:C78">
    <cfRule type="cellIs" dxfId="2787" priority="10" stopIfTrue="1" operator="lessThan">
      <formula>0</formula>
    </cfRule>
  </conditionalFormatting>
  <conditionalFormatting sqref="C68:C70">
    <cfRule type="cellIs" dxfId="2786" priority="9" stopIfTrue="1" operator="lessThan">
      <formula>0</formula>
    </cfRule>
  </conditionalFormatting>
  <conditionalFormatting sqref="C68">
    <cfRule type="cellIs" dxfId="2785" priority="8" stopIfTrue="1" operator="lessThan">
      <formula>0</formula>
    </cfRule>
  </conditionalFormatting>
  <conditionalFormatting sqref="C71:C74">
    <cfRule type="cellIs" dxfId="2784" priority="7" stopIfTrue="1" operator="lessThan">
      <formula>0</formula>
    </cfRule>
  </conditionalFormatting>
  <conditionalFormatting sqref="G75:G79">
    <cfRule type="cellIs" dxfId="2783" priority="6" stopIfTrue="1" operator="lessThan">
      <formula>0</formula>
    </cfRule>
  </conditionalFormatting>
  <conditionalFormatting sqref="G68:G70">
    <cfRule type="cellIs" dxfId="2782" priority="5" stopIfTrue="1" operator="lessThan">
      <formula>0</formula>
    </cfRule>
  </conditionalFormatting>
  <conditionalFormatting sqref="G68">
    <cfRule type="cellIs" dxfId="2781" priority="4" stopIfTrue="1" operator="lessThan">
      <formula>0</formula>
    </cfRule>
  </conditionalFormatting>
  <conditionalFormatting sqref="G71:G74">
    <cfRule type="cellIs" dxfId="2780" priority="3" stopIfTrue="1" operator="lessThan">
      <formula>0</formula>
    </cfRule>
  </conditionalFormatting>
  <conditionalFormatting sqref="G64">
    <cfRule type="cellIs" dxfId="2779" priority="2" stopIfTrue="1" operator="lessThan">
      <formula>0</formula>
    </cfRule>
  </conditionalFormatting>
  <conditionalFormatting sqref="C79">
    <cfRule type="cellIs" dxfId="2778" priority="1" stopIfTrue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69"/>
  <dimension ref="A2:M121"/>
  <sheetViews>
    <sheetView topLeftCell="A16" workbookViewId="0">
      <selection activeCell="J34" sqref="J34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43038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5430407</v>
      </c>
      <c r="D7" s="67">
        <f>+IF(C7/$F$111=0,"",C7/$F$111)</f>
        <v>7.7474513447506514E-5</v>
      </c>
      <c r="E7" s="68"/>
      <c r="F7" s="65" t="s">
        <v>5</v>
      </c>
      <c r="G7" s="66">
        <v>975391</v>
      </c>
      <c r="H7" s="69">
        <f>+IF(G7/$C$113=0,"",G7/$C$113)</f>
        <v>9.6318847529888117E-5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-152592</v>
      </c>
      <c r="H8" s="69">
        <f>+IF(G8/$C$113=0,"",G8/$C$113)</f>
        <v>-1.5068301411721749E-5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158957</v>
      </c>
      <c r="H11" s="69">
        <f t="shared" si="0"/>
        <v>1.5696838546601748E-5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-549840</v>
      </c>
      <c r="H12" s="69">
        <f t="shared" si="0"/>
        <v>-5.4296128553404416E-5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-539373</v>
      </c>
      <c r="H14" s="69">
        <f t="shared" si="0"/>
        <v>-5.3262523181717227E-5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16968</v>
      </c>
      <c r="D17" s="67">
        <f>+IF(C17/$F$111=0,"",C17/$F$111)</f>
        <v>2.4207900884358956E-7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-135674</v>
      </c>
      <c r="D18" s="67">
        <f>+IF(C18/$F$111=0,"",C18/$F$111)</f>
        <v>-1.9356333949696587E-6</v>
      </c>
      <c r="E18" s="75"/>
      <c r="F18" s="65" t="s">
        <v>16</v>
      </c>
      <c r="G18" s="72">
        <v>-35618</v>
      </c>
      <c r="H18" s="69">
        <f t="shared" si="0"/>
        <v>-3.5172404823496989E-6</v>
      </c>
    </row>
    <row r="19" spans="2:9" s="80" customFormat="1" x14ac:dyDescent="0.2">
      <c r="B19" s="76" t="s">
        <v>17</v>
      </c>
      <c r="C19" s="77">
        <f>SUM(C7:C18)</f>
        <v>5311701</v>
      </c>
      <c r="D19" s="78">
        <f>SUM(D7:D18)</f>
        <v>7.5780959061380452E-5</v>
      </c>
      <c r="E19" s="79"/>
      <c r="F19" s="76" t="s">
        <v>17</v>
      </c>
      <c r="G19" s="77">
        <f>SUM(G7:G18)</f>
        <v>-143075</v>
      </c>
      <c r="H19" s="78">
        <f>SUM(H7:H18)</f>
        <v>-1.4128507552703226E-5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2460.4357</v>
      </c>
      <c r="D22" s="69">
        <f>+IF(C22/$F$112=0,"",C22/$F$112)</f>
        <v>5.9102151953199194E-5</v>
      </c>
      <c r="E22" s="75"/>
      <c r="F22" s="65" t="s">
        <v>5</v>
      </c>
      <c r="G22" s="66">
        <v>1755780</v>
      </c>
      <c r="H22" s="69">
        <f t="shared" ref="H22:H33" si="2">+IF(G22/$C$106=0,"",G22/$C$106)</f>
        <v>7.9185020777519768E-5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-358397</v>
      </c>
      <c r="H23" s="69">
        <f t="shared" si="2"/>
        <v>-1.6163570545057326E-5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>
        <v>2001.61050915345</v>
      </c>
      <c r="D25" s="69">
        <f>+IF(C25/$F$112=0,"",C25/$F$112)</f>
        <v>4.8080707194708488E-5</v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-9.49</v>
      </c>
      <c r="D26" s="69">
        <f>+IF(C26/$F$112=0,"",C26/$F$112)</f>
        <v>-2.2795939029654803E-7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265862.07473880204</v>
      </c>
      <c r="D27" s="69">
        <f t="shared" ref="D27:D33" si="3">+IF(C27/$F$112=0,"",C27/$F$112)</f>
        <v>6.3862757071056478E-3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-753527</v>
      </c>
      <c r="H29" s="69">
        <f t="shared" si="2"/>
        <v>-3.3983785640240882E-5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-268489.87689999997</v>
      </c>
      <c r="D31" s="69">
        <f t="shared" si="3"/>
        <v>-6.4493981705921206E-3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1332</v>
      </c>
      <c r="H32" s="69">
        <f t="shared" si="2"/>
        <v>6.0072701406586441E-8</v>
      </c>
    </row>
    <row r="33" spans="1:13" x14ac:dyDescent="0.2">
      <c r="B33" s="65" t="s">
        <v>16</v>
      </c>
      <c r="C33" s="71">
        <v>-110.42</v>
      </c>
      <c r="D33" s="69">
        <f t="shared" si="3"/>
        <v>-2.6523999869910255E-6</v>
      </c>
      <c r="E33" s="75"/>
      <c r="F33" s="65" t="s">
        <v>16</v>
      </c>
      <c r="G33" s="72">
        <v>-39718</v>
      </c>
      <c r="H33" s="69">
        <f t="shared" si="2"/>
        <v>-1.7912669327828829E-6</v>
      </c>
    </row>
    <row r="34" spans="1:13" s="80" customFormat="1" x14ac:dyDescent="0.2">
      <c r="B34" s="76" t="s">
        <v>17</v>
      </c>
      <c r="C34" s="93">
        <f>SUM(C22:C33)</f>
        <v>1714.3340479555027</v>
      </c>
      <c r="D34" s="78">
        <f>SUM(D22:D33)</f>
        <v>4.1180036284147706E-5</v>
      </c>
      <c r="E34" s="79"/>
      <c r="F34" s="76" t="s">
        <v>17</v>
      </c>
      <c r="G34" s="77">
        <f>SUM(G22:G33)</f>
        <v>605470</v>
      </c>
      <c r="H34" s="78">
        <f>SUM(H22:H33)</f>
        <v>2.7306470360845263E-5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4143576</v>
      </c>
      <c r="D37" s="69">
        <f t="shared" ref="D37:D48" si="4">+IF(C37/$C$114=0,"",C37/$C$114)</f>
        <v>5.1900241912753692E-5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-2560436</v>
      </c>
      <c r="D38" s="69">
        <f t="shared" si="4"/>
        <v>-3.2070667414359818E-5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14424503</v>
      </c>
      <c r="D44" s="69">
        <f t="shared" si="4"/>
        <v>1.8067369710878751E-4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12909653</v>
      </c>
      <c r="D45" s="69">
        <f t="shared" si="4"/>
        <v>1.6169948703962625E-4</v>
      </c>
      <c r="E45" s="68"/>
      <c r="F45" s="65" t="s">
        <v>13</v>
      </c>
      <c r="G45" s="72">
        <v>68955938</v>
      </c>
      <c r="H45" s="69">
        <f t="shared" si="5"/>
        <v>1.3374283835801895E-2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321726</v>
      </c>
      <c r="D47" s="69">
        <f t="shared" si="4"/>
        <v>4.029769751929877E-6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-116124</v>
      </c>
      <c r="D48" s="69">
        <f t="shared" si="4"/>
        <v>-1.4545078193030873E-6</v>
      </c>
      <c r="E48" s="68"/>
      <c r="F48" s="65" t="s">
        <v>16</v>
      </c>
      <c r="G48" s="72">
        <v>-42377</v>
      </c>
      <c r="H48" s="69">
        <f t="shared" si="5"/>
        <v>-8.2191910160046973E-6</v>
      </c>
    </row>
    <row r="49" spans="2:9" s="80" customFormat="1" x14ac:dyDescent="0.2">
      <c r="B49" s="76" t="s">
        <v>17</v>
      </c>
      <c r="C49" s="77">
        <f>SUM(C37:C48)</f>
        <v>29122898</v>
      </c>
      <c r="D49" s="78">
        <f>SUM(D37:D48)</f>
        <v>3.6477802057943443E-4</v>
      </c>
      <c r="E49" s="79"/>
      <c r="F49" s="76" t="s">
        <v>17</v>
      </c>
      <c r="G49" s="77">
        <f>SUM(G37:G48)</f>
        <v>68913561</v>
      </c>
      <c r="H49" s="78">
        <f>SUM(H37:H48)</f>
        <v>1.336606464478589E-2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15902.6674</v>
      </c>
      <c r="H53" s="69">
        <f t="shared" ref="H53:H64" si="7">+IF(G53/$C$115=0,"",G53/$C$115)</f>
        <v>1.3026965213195889E-4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9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10</v>
      </c>
      <c r="C58" s="66">
        <v>-16956687</v>
      </c>
      <c r="D58" s="69">
        <f t="shared" si="6"/>
        <v>-7.7258235894924116E-4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>
        <v>-119119</v>
      </c>
      <c r="D59" s="69">
        <f t="shared" si="6"/>
        <v>-5.4273124234512707E-6</v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175886.815</v>
      </c>
      <c r="H60" s="69">
        <f t="shared" si="7"/>
        <v>1.440809496188558E-3</v>
      </c>
    </row>
    <row r="61" spans="2:9" x14ac:dyDescent="0.2">
      <c r="B61" s="65" t="s">
        <v>13</v>
      </c>
      <c r="C61" s="72">
        <v>263499881</v>
      </c>
      <c r="D61" s="69">
        <f t="shared" si="6"/>
        <v>1.2005609329571534E-2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-5778626</v>
      </c>
      <c r="D63" s="69">
        <f t="shared" si="6"/>
        <v>-2.6328636640904075E-4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-180395</v>
      </c>
      <c r="D64" s="69">
        <f t="shared" si="6"/>
        <v>-8.2191759889563541E-6</v>
      </c>
      <c r="E64" s="68"/>
      <c r="F64" s="65" t="s">
        <v>16</v>
      </c>
      <c r="G64" s="92">
        <v>-42.27</v>
      </c>
      <c r="H64" s="69">
        <f t="shared" si="7"/>
        <v>-3.4626255187968667E-7</v>
      </c>
    </row>
    <row r="65" spans="2:8" s="80" customFormat="1" x14ac:dyDescent="0.2">
      <c r="B65" s="76" t="s">
        <v>17</v>
      </c>
      <c r="C65" s="77">
        <f>SUM(C53:C64)</f>
        <v>240465054</v>
      </c>
      <c r="D65" s="78">
        <f>SUM(D53:D64)</f>
        <v>1.0956094115800844E-2</v>
      </c>
      <c r="E65" s="79"/>
      <c r="F65" s="76" t="s">
        <v>17</v>
      </c>
      <c r="G65" s="93">
        <f>SUM(G53:G64)</f>
        <v>191747.21240000002</v>
      </c>
      <c r="H65" s="78">
        <f>SUM(H53:H64)</f>
        <v>1.5707328857686371E-3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25309</v>
      </c>
      <c r="D72" s="69">
        <f t="shared" si="8"/>
        <v>2.0513859537038977E-6</v>
      </c>
      <c r="E72" s="68"/>
      <c r="F72" s="65" t="s">
        <v>9</v>
      </c>
      <c r="G72" s="66">
        <v>2625473</v>
      </c>
      <c r="H72" s="69">
        <f t="shared" si="9"/>
        <v>4.1691499327042099E-4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62131794</v>
      </c>
      <c r="D76" s="69">
        <f t="shared" si="8"/>
        <v>5.0360065387816235E-3</v>
      </c>
      <c r="E76" s="68"/>
      <c r="F76" s="65" t="s">
        <v>13</v>
      </c>
      <c r="G76" s="72">
        <v>7094036</v>
      </c>
      <c r="H76" s="69">
        <f t="shared" si="9"/>
        <v>1.1265055748812213E-3</v>
      </c>
    </row>
    <row r="77" spans="2:8" x14ac:dyDescent="0.2">
      <c r="B77" s="65" t="s">
        <v>14</v>
      </c>
      <c r="C77" s="66">
        <v>136610943</v>
      </c>
      <c r="D77" s="69">
        <f t="shared" si="8"/>
        <v>1.1072810841694411E-2</v>
      </c>
      <c r="E77" s="68"/>
      <c r="F77" s="65" t="s">
        <v>14</v>
      </c>
      <c r="G77" s="66">
        <v>65717278</v>
      </c>
      <c r="H77" s="69">
        <f t="shared" si="9"/>
        <v>1.0435650458077607E-2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-12307</v>
      </c>
      <c r="D79" s="69">
        <f t="shared" si="8"/>
        <v>-9.975268454792316E-7</v>
      </c>
      <c r="E79" s="68"/>
      <c r="F79" s="65" t="s">
        <v>16</v>
      </c>
      <c r="G79" s="72">
        <v>-12307</v>
      </c>
      <c r="H79" s="69">
        <f t="shared" si="9"/>
        <v>-1.9543041662127439E-6</v>
      </c>
    </row>
    <row r="80" spans="2:8" s="80" customFormat="1" x14ac:dyDescent="0.2">
      <c r="B80" s="76" t="s">
        <v>17</v>
      </c>
      <c r="C80" s="77">
        <f>SUM(C68:C79)</f>
        <v>198755739</v>
      </c>
      <c r="D80" s="78">
        <f>SUM(D68:D79)</f>
        <v>1.610987123958426E-2</v>
      </c>
      <c r="E80" s="79"/>
      <c r="F80" s="76" t="s">
        <v>17</v>
      </c>
      <c r="G80" s="77">
        <f>SUM(G68:G79)</f>
        <v>75424480</v>
      </c>
      <c r="H80" s="78">
        <f>SUM(H68:H79)</f>
        <v>1.1977116722063036E-2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22173133034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21948063922.999901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12337512574.999899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5155860220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6297382062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65810914431.000092</v>
      </c>
      <c r="D111" s="191">
        <v>4281903947</v>
      </c>
      <c r="F111" s="106">
        <f>+C111+D111</f>
        <v>70092818378.000092</v>
      </c>
      <c r="G111" s="62"/>
      <c r="H111" s="62"/>
    </row>
    <row r="112" spans="2:8" x14ac:dyDescent="0.2">
      <c r="B112" s="189" t="s">
        <v>18</v>
      </c>
      <c r="C112" s="192">
        <v>41630221.890200004</v>
      </c>
      <c r="D112" s="193"/>
      <c r="F112" s="106">
        <f>+C112+D112</f>
        <v>41630221.890200004</v>
      </c>
      <c r="H112" s="75"/>
    </row>
    <row r="113" spans="1:13" x14ac:dyDescent="0.2">
      <c r="B113" s="189" t="s">
        <v>4</v>
      </c>
      <c r="C113" s="190">
        <v>10126688857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79837315729.000092</v>
      </c>
      <c r="D114" s="107"/>
      <c r="F114" s="106"/>
      <c r="H114" s="75"/>
    </row>
    <row r="115" spans="1:13" x14ac:dyDescent="0.2">
      <c r="B115" s="189" t="s">
        <v>25</v>
      </c>
      <c r="C115" s="192">
        <v>122074997.0522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777" priority="46" stopIfTrue="1" operator="lessThan">
      <formula>0</formula>
    </cfRule>
  </conditionalFormatting>
  <conditionalFormatting sqref="C89">
    <cfRule type="cellIs" dxfId="2776" priority="43" stopIfTrue="1" operator="lessThan">
      <formula>0</formula>
    </cfRule>
  </conditionalFormatting>
  <conditionalFormatting sqref="C85">
    <cfRule type="cellIs" dxfId="2775" priority="45" stopIfTrue="1" operator="lessThan">
      <formula>0</formula>
    </cfRule>
  </conditionalFormatting>
  <conditionalFormatting sqref="C7:C9">
    <cfRule type="cellIs" dxfId="2774" priority="42" stopIfTrue="1" operator="lessThan">
      <formula>0</formula>
    </cfRule>
  </conditionalFormatting>
  <conditionalFormatting sqref="C10:C13">
    <cfRule type="cellIs" dxfId="2773" priority="40" stopIfTrue="1" operator="lessThan">
      <formula>0</formula>
    </cfRule>
  </conditionalFormatting>
  <conditionalFormatting sqref="C88">
    <cfRule type="cellIs" dxfId="2772" priority="44" stopIfTrue="1" operator="lessThan">
      <formula>0</formula>
    </cfRule>
  </conditionalFormatting>
  <conditionalFormatting sqref="C101">
    <cfRule type="cellIs" dxfId="2771" priority="39" stopIfTrue="1" operator="lessThan">
      <formula>0</formula>
    </cfRule>
  </conditionalFormatting>
  <conditionalFormatting sqref="C7">
    <cfRule type="cellIs" dxfId="2770" priority="41" stopIfTrue="1" operator="lessThan">
      <formula>0</formula>
    </cfRule>
  </conditionalFormatting>
  <conditionalFormatting sqref="C29:C33">
    <cfRule type="cellIs" dxfId="2769" priority="34" stopIfTrue="1" operator="lessThan">
      <formula>0</formula>
    </cfRule>
  </conditionalFormatting>
  <conditionalFormatting sqref="G7:G9">
    <cfRule type="cellIs" dxfId="2768" priority="37" stopIfTrue="1" operator="lessThan">
      <formula>0</formula>
    </cfRule>
  </conditionalFormatting>
  <conditionalFormatting sqref="C22">
    <cfRule type="cellIs" dxfId="2767" priority="32" stopIfTrue="1" operator="lessThan">
      <formula>0</formula>
    </cfRule>
  </conditionalFormatting>
  <conditionalFormatting sqref="C25:C28">
    <cfRule type="cellIs" dxfId="2766" priority="31" stopIfTrue="1" operator="lessThan">
      <formula>0</formula>
    </cfRule>
  </conditionalFormatting>
  <conditionalFormatting sqref="G14:G18">
    <cfRule type="cellIs" dxfId="2765" priority="38" stopIfTrue="1" operator="lessThan">
      <formula>0</formula>
    </cfRule>
  </conditionalFormatting>
  <conditionalFormatting sqref="G7">
    <cfRule type="cellIs" dxfId="2764" priority="36" stopIfTrue="1" operator="lessThan">
      <formula>0</formula>
    </cfRule>
  </conditionalFormatting>
  <conditionalFormatting sqref="G10:G13">
    <cfRule type="cellIs" dxfId="2763" priority="35" stopIfTrue="1" operator="lessThan">
      <formula>0</formula>
    </cfRule>
  </conditionalFormatting>
  <conditionalFormatting sqref="C22:C24">
    <cfRule type="cellIs" dxfId="2762" priority="33" stopIfTrue="1" operator="lessThan">
      <formula>0</formula>
    </cfRule>
  </conditionalFormatting>
  <conditionalFormatting sqref="G22">
    <cfRule type="cellIs" dxfId="2761" priority="28" stopIfTrue="1" operator="lessThan">
      <formula>0</formula>
    </cfRule>
  </conditionalFormatting>
  <conditionalFormatting sqref="G29:G33">
    <cfRule type="cellIs" dxfId="2760" priority="30" stopIfTrue="1" operator="lessThan">
      <formula>0</formula>
    </cfRule>
  </conditionalFormatting>
  <conditionalFormatting sqref="G22:G24">
    <cfRule type="cellIs" dxfId="2759" priority="29" stopIfTrue="1" operator="lessThan">
      <formula>0</formula>
    </cfRule>
  </conditionalFormatting>
  <conditionalFormatting sqref="G25:G28">
    <cfRule type="cellIs" dxfId="2758" priority="27" stopIfTrue="1" operator="lessThan">
      <formula>0</formula>
    </cfRule>
  </conditionalFormatting>
  <conditionalFormatting sqref="C40:C43">
    <cfRule type="cellIs" dxfId="2757" priority="23" stopIfTrue="1" operator="lessThan">
      <formula>0</formula>
    </cfRule>
  </conditionalFormatting>
  <conditionalFormatting sqref="G44:G48">
    <cfRule type="cellIs" dxfId="2756" priority="22" stopIfTrue="1" operator="lessThan">
      <formula>0</formula>
    </cfRule>
  </conditionalFormatting>
  <conditionalFormatting sqref="G37">
    <cfRule type="cellIs" dxfId="2755" priority="20" stopIfTrue="1" operator="lessThan">
      <formula>0</formula>
    </cfRule>
  </conditionalFormatting>
  <conditionalFormatting sqref="C44:C48">
    <cfRule type="cellIs" dxfId="2754" priority="26" stopIfTrue="1" operator="lessThan">
      <formula>0</formula>
    </cfRule>
  </conditionalFormatting>
  <conditionalFormatting sqref="C37:C39">
    <cfRule type="cellIs" dxfId="2753" priority="25" stopIfTrue="1" operator="lessThan">
      <formula>0</formula>
    </cfRule>
  </conditionalFormatting>
  <conditionalFormatting sqref="C37">
    <cfRule type="cellIs" dxfId="2752" priority="24" stopIfTrue="1" operator="lessThan">
      <formula>0</formula>
    </cfRule>
  </conditionalFormatting>
  <conditionalFormatting sqref="C56:C59">
    <cfRule type="cellIs" dxfId="2751" priority="15" stopIfTrue="1" operator="lessThan">
      <formula>0</formula>
    </cfRule>
  </conditionalFormatting>
  <conditionalFormatting sqref="G60:G63">
    <cfRule type="cellIs" dxfId="2750" priority="14" stopIfTrue="1" operator="lessThan">
      <formula>0</formula>
    </cfRule>
  </conditionalFormatting>
  <conditionalFormatting sqref="G37:G39">
    <cfRule type="cellIs" dxfId="2749" priority="21" stopIfTrue="1" operator="lessThan">
      <formula>0</formula>
    </cfRule>
  </conditionalFormatting>
  <conditionalFormatting sqref="G53">
    <cfRule type="cellIs" dxfId="2748" priority="12" stopIfTrue="1" operator="lessThan">
      <formula>0</formula>
    </cfRule>
  </conditionalFormatting>
  <conditionalFormatting sqref="G40:G43">
    <cfRule type="cellIs" dxfId="2747" priority="19" stopIfTrue="1" operator="lessThan">
      <formula>0</formula>
    </cfRule>
  </conditionalFormatting>
  <conditionalFormatting sqref="C60:C64">
    <cfRule type="cellIs" dxfId="2746" priority="18" stopIfTrue="1" operator="lessThan">
      <formula>0</formula>
    </cfRule>
  </conditionalFormatting>
  <conditionalFormatting sqref="C53:C55">
    <cfRule type="cellIs" dxfId="2745" priority="17" stopIfTrue="1" operator="lessThan">
      <formula>0</formula>
    </cfRule>
  </conditionalFormatting>
  <conditionalFormatting sqref="C53">
    <cfRule type="cellIs" dxfId="2744" priority="16" stopIfTrue="1" operator="lessThan">
      <formula>0</formula>
    </cfRule>
  </conditionalFormatting>
  <conditionalFormatting sqref="G53:G55">
    <cfRule type="cellIs" dxfId="2743" priority="13" stopIfTrue="1" operator="lessThan">
      <formula>0</formula>
    </cfRule>
  </conditionalFormatting>
  <conditionalFormatting sqref="G56:G59">
    <cfRule type="cellIs" dxfId="2742" priority="11" stopIfTrue="1" operator="lessThan">
      <formula>0</formula>
    </cfRule>
  </conditionalFormatting>
  <conditionalFormatting sqref="C75:C78">
    <cfRule type="cellIs" dxfId="2741" priority="10" stopIfTrue="1" operator="lessThan">
      <formula>0</formula>
    </cfRule>
  </conditionalFormatting>
  <conditionalFormatting sqref="C68:C70">
    <cfRule type="cellIs" dxfId="2740" priority="9" stopIfTrue="1" operator="lessThan">
      <formula>0</formula>
    </cfRule>
  </conditionalFormatting>
  <conditionalFormatting sqref="C68">
    <cfRule type="cellIs" dxfId="2739" priority="8" stopIfTrue="1" operator="lessThan">
      <formula>0</formula>
    </cfRule>
  </conditionalFormatting>
  <conditionalFormatting sqref="C71:C74">
    <cfRule type="cellIs" dxfId="2738" priority="7" stopIfTrue="1" operator="lessThan">
      <formula>0</formula>
    </cfRule>
  </conditionalFormatting>
  <conditionalFormatting sqref="G75:G79">
    <cfRule type="cellIs" dxfId="2737" priority="6" stopIfTrue="1" operator="lessThan">
      <formula>0</formula>
    </cfRule>
  </conditionalFormatting>
  <conditionalFormatting sqref="G68:G70">
    <cfRule type="cellIs" dxfId="2736" priority="5" stopIfTrue="1" operator="lessThan">
      <formula>0</formula>
    </cfRule>
  </conditionalFormatting>
  <conditionalFormatting sqref="G68">
    <cfRule type="cellIs" dxfId="2735" priority="4" stopIfTrue="1" operator="lessThan">
      <formula>0</formula>
    </cfRule>
  </conditionalFormatting>
  <conditionalFormatting sqref="G71:G74">
    <cfRule type="cellIs" dxfId="2734" priority="3" stopIfTrue="1" operator="lessThan">
      <formula>0</formula>
    </cfRule>
  </conditionalFormatting>
  <conditionalFormatting sqref="G64">
    <cfRule type="cellIs" dxfId="2733" priority="2" stopIfTrue="1" operator="lessThan">
      <formula>0</formula>
    </cfRule>
  </conditionalFormatting>
  <conditionalFormatting sqref="C79">
    <cfRule type="cellIs" dxfId="2732" priority="1" stopIfTrue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70"/>
  <dimension ref="A2:M121"/>
  <sheetViews>
    <sheetView topLeftCell="A40" workbookViewId="0">
      <selection activeCell="G68" sqref="G68:G79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43039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5455901</v>
      </c>
      <c r="D7" s="67">
        <f>+IF(C7/$F$111=0,"",C7/$F$111)</f>
        <v>7.7641149029298394E-5</v>
      </c>
      <c r="E7" s="68"/>
      <c r="F7" s="65" t="s">
        <v>5</v>
      </c>
      <c r="G7" s="66">
        <v>489120</v>
      </c>
      <c r="H7" s="69">
        <f>+IF(G7/$C$113=0,"",G7/$C$113)</f>
        <v>4.8813417286445783E-5</v>
      </c>
      <c r="I7" s="70"/>
    </row>
    <row r="8" spans="1:9" x14ac:dyDescent="0.2">
      <c r="B8" s="65" t="s">
        <v>6</v>
      </c>
      <c r="C8" s="66">
        <v>-125937</v>
      </c>
      <c r="D8" s="67">
        <f>+IF(C8/$F$111=0,"",C8/$F$111)</f>
        <v>-1.7921684035877397E-6</v>
      </c>
      <c r="E8" s="68"/>
      <c r="F8" s="65" t="s">
        <v>6</v>
      </c>
      <c r="G8" s="66">
        <v>-152708</v>
      </c>
      <c r="H8" s="69">
        <f>+IF(G8/$C$113=0,"",G8/$C$113)</f>
        <v>-1.524002152228198E-5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1715</v>
      </c>
      <c r="H11" s="69">
        <f t="shared" si="0"/>
        <v>1.7115433972492336E-7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-21200</v>
      </c>
      <c r="H12" s="69">
        <f t="shared" si="0"/>
        <v>-2.1157271149669828E-6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-621635</v>
      </c>
      <c r="H14" s="69">
        <f t="shared" si="0"/>
        <v>-6.2038208731721704E-5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9991</v>
      </c>
      <c r="D17" s="67">
        <f>+IF(C17/$F$111=0,"",C17/$F$111)</f>
        <v>1.4217866488994582E-7</v>
      </c>
      <c r="E17" s="68"/>
      <c r="F17" s="65" t="s">
        <v>15</v>
      </c>
      <c r="G17" s="72">
        <v>-51334</v>
      </c>
      <c r="H17" s="69">
        <f t="shared" si="0"/>
        <v>-5.123053571684674E-6</v>
      </c>
    </row>
    <row r="18" spans="2:9" x14ac:dyDescent="0.2">
      <c r="B18" s="65" t="s">
        <v>16</v>
      </c>
      <c r="C18" s="72">
        <v>-97357</v>
      </c>
      <c r="D18" s="67">
        <f>+IF(C18/$F$111=0,"",C18/$F$111)</f>
        <v>-1.3854557379331855E-6</v>
      </c>
      <c r="E18" s="75"/>
      <c r="F18" s="65" t="s">
        <v>16</v>
      </c>
      <c r="G18" s="72">
        <v>-43987</v>
      </c>
      <c r="H18" s="69">
        <f t="shared" si="0"/>
        <v>-4.3898343682100312E-6</v>
      </c>
    </row>
    <row r="19" spans="2:9" s="80" customFormat="1" x14ac:dyDescent="0.2">
      <c r="B19" s="76" t="s">
        <v>17</v>
      </c>
      <c r="C19" s="77">
        <f>SUM(C7:C18)</f>
        <v>5242598</v>
      </c>
      <c r="D19" s="78">
        <f>SUM(D7:D18)</f>
        <v>7.46057035526674E-5</v>
      </c>
      <c r="E19" s="79"/>
      <c r="F19" s="76" t="s">
        <v>17</v>
      </c>
      <c r="G19" s="77">
        <f>SUM(G7:G18)</f>
        <v>-400029</v>
      </c>
      <c r="H19" s="78">
        <f>SUM(H7:H18)</f>
        <v>-3.9922273682694666E-5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2497.3242</v>
      </c>
      <c r="D22" s="69">
        <f>+IF(C22/$F$112=0,"",C22/$F$112)</f>
        <v>6.0408171489501603E-5</v>
      </c>
      <c r="E22" s="75"/>
      <c r="F22" s="65" t="s">
        <v>5</v>
      </c>
      <c r="G22" s="66">
        <v>1805155</v>
      </c>
      <c r="H22" s="69">
        <f t="shared" ref="H22:H33" si="2">+IF(G22/$C$106=0,"",G22/$C$106)</f>
        <v>8.1281671790278364E-5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-358410</v>
      </c>
      <c r="H23" s="69">
        <f t="shared" si="2"/>
        <v>-1.6138317200657932E-5</v>
      </c>
      <c r="I23" s="114"/>
    </row>
    <row r="24" spans="2:9" x14ac:dyDescent="0.2">
      <c r="B24" s="65" t="s">
        <v>45</v>
      </c>
      <c r="C24" s="71">
        <v>3173.8815373145044</v>
      </c>
      <c r="D24" s="69">
        <f>+IF(C24/$F$112=0,"",C24/$F$112)</f>
        <v>7.6773524315928854E-5</v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2789.77</v>
      </c>
      <c r="D26" s="69">
        <f>+IF(C26/$F$112=0,"",C26/$F$112)</f>
        <v>6.7482189367430498E-5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5562.1500000000233</v>
      </c>
      <c r="D27" s="69">
        <f t="shared" ref="D27:D33" si="3">+IF(C27/$F$112=0,"",C27/$F$112)</f>
        <v>1.3454372926443941E-4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1693187</v>
      </c>
      <c r="H29" s="69">
        <f t="shared" si="2"/>
        <v>7.6240029257080999E-5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-12074.134899999999</v>
      </c>
      <c r="D31" s="69">
        <f t="shared" si="3"/>
        <v>-2.9206316569814055E-4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-203.03</v>
      </c>
      <c r="D33" s="69">
        <f t="shared" si="3"/>
        <v>-4.911124898206453E-6</v>
      </c>
      <c r="E33" s="75"/>
      <c r="F33" s="65" t="s">
        <v>16</v>
      </c>
      <c r="G33" s="72">
        <v>-47992</v>
      </c>
      <c r="H33" s="69">
        <f t="shared" si="2"/>
        <v>-2.1609612429730629E-6</v>
      </c>
    </row>
    <row r="34" spans="1:13" s="80" customFormat="1" x14ac:dyDescent="0.2">
      <c r="B34" s="76" t="s">
        <v>17</v>
      </c>
      <c r="C34" s="93">
        <f>SUM(C22:C33)</f>
        <v>1745.9608373145281</v>
      </c>
      <c r="D34" s="78">
        <f>SUM(D22:D33)</f>
        <v>4.2233323840953362E-5</v>
      </c>
      <c r="E34" s="79"/>
      <c r="F34" s="76" t="s">
        <v>17</v>
      </c>
      <c r="G34" s="77">
        <f>SUM(G22:G33)</f>
        <v>3091940</v>
      </c>
      <c r="H34" s="78">
        <f>SUM(H22:H33)</f>
        <v>1.3922242260372834E-4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4384122</v>
      </c>
      <c r="D37" s="69">
        <f t="shared" ref="D37:D48" si="4">+IF(C37/$C$114=0,"",C37/$C$114)</f>
        <v>5.4943343961381044E-5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-2534759</v>
      </c>
      <c r="D38" s="69">
        <f t="shared" si="4"/>
        <v>-3.1766482683694995E-5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13005034</v>
      </c>
      <c r="D44" s="69">
        <f t="shared" si="4"/>
        <v>1.6298361594213281E-4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9732646</v>
      </c>
      <c r="D45" s="69">
        <f t="shared" si="4"/>
        <v>1.2197290970286853E-4</v>
      </c>
      <c r="E45" s="68"/>
      <c r="F45" s="65" t="s">
        <v>13</v>
      </c>
      <c r="G45" s="72">
        <v>3846639</v>
      </c>
      <c r="H45" s="69">
        <f t="shared" si="5"/>
        <v>7.3424327193833631E-4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-45330</v>
      </c>
      <c r="D47" s="69">
        <f t="shared" si="4"/>
        <v>-5.6809134913887039E-7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-63360</v>
      </c>
      <c r="D48" s="69">
        <f t="shared" si="4"/>
        <v>-7.9404958926624377E-7</v>
      </c>
      <c r="E48" s="68"/>
      <c r="F48" s="65" t="s">
        <v>16</v>
      </c>
      <c r="G48" s="72">
        <v>-43060</v>
      </c>
      <c r="H48" s="69">
        <f t="shared" si="5"/>
        <v>-8.2192571982098568E-6</v>
      </c>
    </row>
    <row r="49" spans="2:9" s="80" customFormat="1" x14ac:dyDescent="0.2">
      <c r="B49" s="76" t="s">
        <v>17</v>
      </c>
      <c r="C49" s="77">
        <f>SUM(C37:C48)</f>
        <v>24478353</v>
      </c>
      <c r="D49" s="78">
        <f>SUM(D37:D48)</f>
        <v>3.0677124598428227E-4</v>
      </c>
      <c r="E49" s="79"/>
      <c r="F49" s="76" t="s">
        <v>17</v>
      </c>
      <c r="G49" s="77">
        <f>SUM(G37:G48)</f>
        <v>3803579</v>
      </c>
      <c r="H49" s="78">
        <f>SUM(H37:H48)</f>
        <v>7.2602401474012646E-4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567.16880000000003</v>
      </c>
      <c r="H53" s="69">
        <f t="shared" ref="H53:H64" si="7">+IF(G53/$C$115=0,"",G53/$C$115)</f>
        <v>4.6388441190760466E-6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-119119</v>
      </c>
      <c r="D57" s="69">
        <f t="shared" si="6"/>
        <v>-5.3676381868777323E-6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25523411</v>
      </c>
      <c r="D58" s="69">
        <f t="shared" si="6"/>
        <v>1.1501140501765056E-3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-53366.149400000002</v>
      </c>
      <c r="H60" s="69">
        <f t="shared" si="7"/>
        <v>-4.3647896058796553E-4</v>
      </c>
    </row>
    <row r="61" spans="2:9" x14ac:dyDescent="0.2">
      <c r="B61" s="65" t="s">
        <v>13</v>
      </c>
      <c r="C61" s="72">
        <v>49707223</v>
      </c>
      <c r="D61" s="69">
        <f t="shared" si="6"/>
        <v>2.2398642394449845E-3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-1413611</v>
      </c>
      <c r="D63" s="69">
        <f t="shared" si="6"/>
        <v>-6.3698926157795298E-5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-182401</v>
      </c>
      <c r="D64" s="69">
        <f t="shared" si="6"/>
        <v>-8.2191973818172188E-6</v>
      </c>
      <c r="E64" s="68"/>
      <c r="F64" s="65" t="s">
        <v>16</v>
      </c>
      <c r="G64" s="92">
        <v>-42.03</v>
      </c>
      <c r="H64" s="69">
        <f t="shared" si="7"/>
        <v>-3.4376118419201873E-7</v>
      </c>
    </row>
    <row r="65" spans="2:8" s="80" customFormat="1" x14ac:dyDescent="0.2">
      <c r="B65" s="76" t="s">
        <v>17</v>
      </c>
      <c r="C65" s="77">
        <f>SUM(C53:C64)</f>
        <v>73515503</v>
      </c>
      <c r="D65" s="78">
        <f>SUM(D53:D64)</f>
        <v>3.3126925278949997E-3</v>
      </c>
      <c r="E65" s="79"/>
      <c r="F65" s="76" t="s">
        <v>17</v>
      </c>
      <c r="G65" s="93">
        <f>SUM(G53:G64)</f>
        <v>-52841.010600000001</v>
      </c>
      <c r="H65" s="78">
        <f>SUM(H53:H64)</f>
        <v>-4.321838776530815E-4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>
        <v>3171070</v>
      </c>
      <c r="D70" s="69">
        <f t="shared" si="8"/>
        <v>2.5292215560639137E-4</v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2689</v>
      </c>
      <c r="D72" s="69">
        <f t="shared" si="8"/>
        <v>2.1447261537133723E-7</v>
      </c>
      <c r="E72" s="68"/>
      <c r="F72" s="65" t="s">
        <v>9</v>
      </c>
      <c r="G72" s="66">
        <v>118472</v>
      </c>
      <c r="H72" s="69">
        <f t="shared" si="9"/>
        <v>1.8590874042509708E-5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46346391</v>
      </c>
      <c r="D76" s="69">
        <f t="shared" si="8"/>
        <v>3.6965532505736725E-3</v>
      </c>
      <c r="E76" s="68"/>
      <c r="F76" s="65" t="s">
        <v>13</v>
      </c>
      <c r="G76" s="72">
        <v>9255279</v>
      </c>
      <c r="H76" s="69">
        <f t="shared" si="9"/>
        <v>1.4523577395273584E-3</v>
      </c>
    </row>
    <row r="77" spans="2:8" x14ac:dyDescent="0.2">
      <c r="B77" s="65" t="s">
        <v>14</v>
      </c>
      <c r="C77" s="66">
        <v>6186961</v>
      </c>
      <c r="D77" s="69">
        <f t="shared" si="8"/>
        <v>4.9346735101170097E-4</v>
      </c>
      <c r="E77" s="68"/>
      <c r="F77" s="65" t="s">
        <v>14</v>
      </c>
      <c r="G77" s="66">
        <v>2969914</v>
      </c>
      <c r="H77" s="69">
        <f t="shared" si="9"/>
        <v>4.6604511691442855E-4</v>
      </c>
    </row>
    <row r="78" spans="2:8" x14ac:dyDescent="0.2">
      <c r="B78" s="65" t="s">
        <v>15</v>
      </c>
      <c r="C78" s="72">
        <v>6117</v>
      </c>
      <c r="D78" s="69">
        <f t="shared" si="8"/>
        <v>4.8788731432743399E-7</v>
      </c>
      <c r="E78" s="68"/>
      <c r="F78" s="65" t="s">
        <v>15</v>
      </c>
      <c r="G78" s="72">
        <v>477</v>
      </c>
      <c r="H78" s="69">
        <f t="shared" si="9"/>
        <v>7.4851837719268104E-8</v>
      </c>
    </row>
    <row r="79" spans="2:8" x14ac:dyDescent="0.2">
      <c r="B79" s="65" t="s">
        <v>16</v>
      </c>
      <c r="C79" s="72">
        <v>-12311</v>
      </c>
      <c r="D79" s="69">
        <f t="shared" si="8"/>
        <v>-9.8191609067926092E-7</v>
      </c>
      <c r="E79" s="68"/>
      <c r="F79" s="65" t="s">
        <v>16</v>
      </c>
      <c r="G79" s="72">
        <v>-12311</v>
      </c>
      <c r="H79" s="69">
        <f t="shared" si="9"/>
        <v>-1.9318678703603975E-6</v>
      </c>
    </row>
    <row r="80" spans="2:8" s="80" customFormat="1" x14ac:dyDescent="0.2">
      <c r="B80" s="76" t="s">
        <v>17</v>
      </c>
      <c r="C80" s="77">
        <f>SUM(C68:C79)</f>
        <v>55700917</v>
      </c>
      <c r="D80" s="78">
        <f>SUM(D68:D79)</f>
        <v>4.4426632010307835E-3</v>
      </c>
      <c r="E80" s="79"/>
      <c r="F80" s="76" t="s">
        <v>17</v>
      </c>
      <c r="G80" s="77">
        <f>SUM(G68:G79)</f>
        <v>12331831</v>
      </c>
      <c r="H80" s="78">
        <f>SUM(H68:H79)</f>
        <v>1.9351367144516559E-3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22208635234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22192069557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12537731194.000099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5238916238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6372589031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66414749492.999893</v>
      </c>
      <c r="D111" s="191">
        <v>3855990549</v>
      </c>
      <c r="F111" s="106">
        <f>+C111+D111</f>
        <v>70270740041.999893</v>
      </c>
      <c r="G111" s="62"/>
      <c r="H111" s="62"/>
    </row>
    <row r="112" spans="2:8" x14ac:dyDescent="0.2">
      <c r="B112" s="189" t="s">
        <v>18</v>
      </c>
      <c r="C112" s="192">
        <v>40872891.789000005</v>
      </c>
      <c r="D112" s="193">
        <v>467942.38</v>
      </c>
      <c r="F112" s="106">
        <f>+C112+D112</f>
        <v>41340834.169000007</v>
      </c>
      <c r="H112" s="75"/>
    </row>
    <row r="113" spans="1:13" x14ac:dyDescent="0.2">
      <c r="B113" s="189" t="s">
        <v>4</v>
      </c>
      <c r="C113" s="190">
        <v>10020195823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79793505162</v>
      </c>
      <c r="D114" s="107"/>
      <c r="F114" s="106"/>
      <c r="H114" s="75"/>
    </row>
    <row r="115" spans="1:13" x14ac:dyDescent="0.2">
      <c r="B115" s="189" t="s">
        <v>25</v>
      </c>
      <c r="C115" s="192">
        <v>122265112.912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731" priority="46" stopIfTrue="1" operator="lessThan">
      <formula>0</formula>
    </cfRule>
  </conditionalFormatting>
  <conditionalFormatting sqref="C89">
    <cfRule type="cellIs" dxfId="2730" priority="43" stopIfTrue="1" operator="lessThan">
      <formula>0</formula>
    </cfRule>
  </conditionalFormatting>
  <conditionalFormatting sqref="C85">
    <cfRule type="cellIs" dxfId="2729" priority="45" stopIfTrue="1" operator="lessThan">
      <formula>0</formula>
    </cfRule>
  </conditionalFormatting>
  <conditionalFormatting sqref="C7:C9">
    <cfRule type="cellIs" dxfId="2728" priority="42" stopIfTrue="1" operator="lessThan">
      <formula>0</formula>
    </cfRule>
  </conditionalFormatting>
  <conditionalFormatting sqref="C10:C13">
    <cfRule type="cellIs" dxfId="2727" priority="40" stopIfTrue="1" operator="lessThan">
      <formula>0</formula>
    </cfRule>
  </conditionalFormatting>
  <conditionalFormatting sqref="C88">
    <cfRule type="cellIs" dxfId="2726" priority="44" stopIfTrue="1" operator="lessThan">
      <formula>0</formula>
    </cfRule>
  </conditionalFormatting>
  <conditionalFormatting sqref="C101">
    <cfRule type="cellIs" dxfId="2725" priority="39" stopIfTrue="1" operator="lessThan">
      <formula>0</formula>
    </cfRule>
  </conditionalFormatting>
  <conditionalFormatting sqref="C7">
    <cfRule type="cellIs" dxfId="2724" priority="41" stopIfTrue="1" operator="lessThan">
      <formula>0</formula>
    </cfRule>
  </conditionalFormatting>
  <conditionalFormatting sqref="C29:C33">
    <cfRule type="cellIs" dxfId="2723" priority="34" stopIfTrue="1" operator="lessThan">
      <formula>0</formula>
    </cfRule>
  </conditionalFormatting>
  <conditionalFormatting sqref="G7:G9">
    <cfRule type="cellIs" dxfId="2722" priority="37" stopIfTrue="1" operator="lessThan">
      <formula>0</formula>
    </cfRule>
  </conditionalFormatting>
  <conditionalFormatting sqref="C22">
    <cfRule type="cellIs" dxfId="2721" priority="32" stopIfTrue="1" operator="lessThan">
      <formula>0</formula>
    </cfRule>
  </conditionalFormatting>
  <conditionalFormatting sqref="C25:C28">
    <cfRule type="cellIs" dxfId="2720" priority="31" stopIfTrue="1" operator="lessThan">
      <formula>0</formula>
    </cfRule>
  </conditionalFormatting>
  <conditionalFormatting sqref="G14:G18">
    <cfRule type="cellIs" dxfId="2719" priority="38" stopIfTrue="1" operator="lessThan">
      <formula>0</formula>
    </cfRule>
  </conditionalFormatting>
  <conditionalFormatting sqref="G7">
    <cfRule type="cellIs" dxfId="2718" priority="36" stopIfTrue="1" operator="lessThan">
      <formula>0</formula>
    </cfRule>
  </conditionalFormatting>
  <conditionalFormatting sqref="G10:G13">
    <cfRule type="cellIs" dxfId="2717" priority="35" stopIfTrue="1" operator="lessThan">
      <formula>0</formula>
    </cfRule>
  </conditionalFormatting>
  <conditionalFormatting sqref="C22:C24">
    <cfRule type="cellIs" dxfId="2716" priority="33" stopIfTrue="1" operator="lessThan">
      <formula>0</formula>
    </cfRule>
  </conditionalFormatting>
  <conditionalFormatting sqref="G22">
    <cfRule type="cellIs" dxfId="2715" priority="28" stopIfTrue="1" operator="lessThan">
      <formula>0</formula>
    </cfRule>
  </conditionalFormatting>
  <conditionalFormatting sqref="G29:G33">
    <cfRule type="cellIs" dxfId="2714" priority="30" stopIfTrue="1" operator="lessThan">
      <formula>0</formula>
    </cfRule>
  </conditionalFormatting>
  <conditionalFormatting sqref="G22:G24">
    <cfRule type="cellIs" dxfId="2713" priority="29" stopIfTrue="1" operator="lessThan">
      <formula>0</formula>
    </cfRule>
  </conditionalFormatting>
  <conditionalFormatting sqref="G25:G28">
    <cfRule type="cellIs" dxfId="2712" priority="27" stopIfTrue="1" operator="lessThan">
      <formula>0</formula>
    </cfRule>
  </conditionalFormatting>
  <conditionalFormatting sqref="C40:C43">
    <cfRule type="cellIs" dxfId="2711" priority="23" stopIfTrue="1" operator="lessThan">
      <formula>0</formula>
    </cfRule>
  </conditionalFormatting>
  <conditionalFormatting sqref="G44:G48">
    <cfRule type="cellIs" dxfId="2710" priority="22" stopIfTrue="1" operator="lessThan">
      <formula>0</formula>
    </cfRule>
  </conditionalFormatting>
  <conditionalFormatting sqref="G37">
    <cfRule type="cellIs" dxfId="2709" priority="20" stopIfTrue="1" operator="lessThan">
      <formula>0</formula>
    </cfRule>
  </conditionalFormatting>
  <conditionalFormatting sqref="C44:C48">
    <cfRule type="cellIs" dxfId="2708" priority="26" stopIfTrue="1" operator="lessThan">
      <formula>0</formula>
    </cfRule>
  </conditionalFormatting>
  <conditionalFormatting sqref="C37:C39">
    <cfRule type="cellIs" dxfId="2707" priority="25" stopIfTrue="1" operator="lessThan">
      <formula>0</formula>
    </cfRule>
  </conditionalFormatting>
  <conditionalFormatting sqref="C37">
    <cfRule type="cellIs" dxfId="2706" priority="24" stopIfTrue="1" operator="lessThan">
      <formula>0</formula>
    </cfRule>
  </conditionalFormatting>
  <conditionalFormatting sqref="C56:C59">
    <cfRule type="cellIs" dxfId="2705" priority="15" stopIfTrue="1" operator="lessThan">
      <formula>0</formula>
    </cfRule>
  </conditionalFormatting>
  <conditionalFormatting sqref="G60:G63">
    <cfRule type="cellIs" dxfId="2704" priority="14" stopIfTrue="1" operator="lessThan">
      <formula>0</formula>
    </cfRule>
  </conditionalFormatting>
  <conditionalFormatting sqref="G37:G39">
    <cfRule type="cellIs" dxfId="2703" priority="21" stopIfTrue="1" operator="lessThan">
      <formula>0</formula>
    </cfRule>
  </conditionalFormatting>
  <conditionalFormatting sqref="G53">
    <cfRule type="cellIs" dxfId="2702" priority="12" stopIfTrue="1" operator="lessThan">
      <formula>0</formula>
    </cfRule>
  </conditionalFormatting>
  <conditionalFormatting sqref="G40:G43">
    <cfRule type="cellIs" dxfId="2701" priority="19" stopIfTrue="1" operator="lessThan">
      <formula>0</formula>
    </cfRule>
  </conditionalFormatting>
  <conditionalFormatting sqref="C60:C64">
    <cfRule type="cellIs" dxfId="2700" priority="18" stopIfTrue="1" operator="lessThan">
      <formula>0</formula>
    </cfRule>
  </conditionalFormatting>
  <conditionalFormatting sqref="C53:C55">
    <cfRule type="cellIs" dxfId="2699" priority="17" stopIfTrue="1" operator="lessThan">
      <formula>0</formula>
    </cfRule>
  </conditionalFormatting>
  <conditionalFormatting sqref="C53">
    <cfRule type="cellIs" dxfId="2698" priority="16" stopIfTrue="1" operator="lessThan">
      <formula>0</formula>
    </cfRule>
  </conditionalFormatting>
  <conditionalFormatting sqref="G53:G55">
    <cfRule type="cellIs" dxfId="2697" priority="13" stopIfTrue="1" operator="lessThan">
      <formula>0</formula>
    </cfRule>
  </conditionalFormatting>
  <conditionalFormatting sqref="G56:G59">
    <cfRule type="cellIs" dxfId="2696" priority="11" stopIfTrue="1" operator="lessThan">
      <formula>0</formula>
    </cfRule>
  </conditionalFormatting>
  <conditionalFormatting sqref="C75:C78">
    <cfRule type="cellIs" dxfId="2695" priority="10" stopIfTrue="1" operator="lessThan">
      <formula>0</formula>
    </cfRule>
  </conditionalFormatting>
  <conditionalFormatting sqref="C68:C70">
    <cfRule type="cellIs" dxfId="2694" priority="9" stopIfTrue="1" operator="lessThan">
      <formula>0</formula>
    </cfRule>
  </conditionalFormatting>
  <conditionalFormatting sqref="C68">
    <cfRule type="cellIs" dxfId="2693" priority="8" stopIfTrue="1" operator="lessThan">
      <formula>0</formula>
    </cfRule>
  </conditionalFormatting>
  <conditionalFormatting sqref="C71:C74">
    <cfRule type="cellIs" dxfId="2692" priority="7" stopIfTrue="1" operator="lessThan">
      <formula>0</formula>
    </cfRule>
  </conditionalFormatting>
  <conditionalFormatting sqref="G75:G79">
    <cfRule type="cellIs" dxfId="2691" priority="6" stopIfTrue="1" operator="lessThan">
      <formula>0</formula>
    </cfRule>
  </conditionalFormatting>
  <conditionalFormatting sqref="G68:G70">
    <cfRule type="cellIs" dxfId="2690" priority="5" stopIfTrue="1" operator="lessThan">
      <formula>0</formula>
    </cfRule>
  </conditionalFormatting>
  <conditionalFormatting sqref="G68">
    <cfRule type="cellIs" dxfId="2689" priority="4" stopIfTrue="1" operator="lessThan">
      <formula>0</formula>
    </cfRule>
  </conditionalFormatting>
  <conditionalFormatting sqref="G71:G74">
    <cfRule type="cellIs" dxfId="2688" priority="3" stopIfTrue="1" operator="lessThan">
      <formula>0</formula>
    </cfRule>
  </conditionalFormatting>
  <conditionalFormatting sqref="G64">
    <cfRule type="cellIs" dxfId="2687" priority="2" stopIfTrue="1" operator="lessThan">
      <formula>0</formula>
    </cfRule>
  </conditionalFormatting>
  <conditionalFormatting sqref="C79">
    <cfRule type="cellIs" dxfId="2686" priority="1" stopIfTrue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71"/>
  <dimension ref="A2:M121"/>
  <sheetViews>
    <sheetView workbookViewId="0">
      <selection activeCell="G22" sqref="G22:G33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43041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5289800</v>
      </c>
      <c r="D7" s="67">
        <f>+IF(C7/$F$111=0,"",C7/$F$111)</f>
        <v>7.9265076922101238E-5</v>
      </c>
      <c r="E7" s="68"/>
      <c r="F7" s="65" t="s">
        <v>5</v>
      </c>
      <c r="G7" s="66">
        <v>962867</v>
      </c>
      <c r="H7" s="69">
        <f>+IF(G7/$C$113=0,"",G7/$C$113)</f>
        <v>9.61341597468927E-5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-152802</v>
      </c>
      <c r="H8" s="69">
        <f>+IF(G8/$C$113=0,"",G8/$C$113)</f>
        <v>-1.5255992652821936E-5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-96205</v>
      </c>
      <c r="H11" s="69">
        <f t="shared" si="0"/>
        <v>-9.6052589178461954E-6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384800</v>
      </c>
      <c r="H12" s="69">
        <f t="shared" si="0"/>
        <v>3.841903883984425E-5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667544</v>
      </c>
      <c r="H14" s="69">
        <f t="shared" si="0"/>
        <v>6.664864569465954E-5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41987</v>
      </c>
      <c r="D17" s="67">
        <f>+IF(C17/$F$111=0,"",C17/$F$111)</f>
        <v>6.29154747765183E-7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-189340</v>
      </c>
      <c r="D18" s="67">
        <f>+IF(C18/$F$111=0,"",C18/$F$111)</f>
        <v>-2.8371676933779441E-6</v>
      </c>
      <c r="E18" s="75"/>
      <c r="F18" s="65" t="s">
        <v>16</v>
      </c>
      <c r="G18" s="72">
        <v>-28124</v>
      </c>
      <c r="H18" s="69">
        <f t="shared" si="0"/>
        <v>-2.8079445122967245E-6</v>
      </c>
    </row>
    <row r="19" spans="2:9" s="80" customFormat="1" x14ac:dyDescent="0.2">
      <c r="B19" s="76" t="s">
        <v>17</v>
      </c>
      <c r="C19" s="77">
        <f>SUM(C7:C18)</f>
        <v>5142447</v>
      </c>
      <c r="D19" s="78">
        <f>SUM(D7:D18)</f>
        <v>7.7057063976488472E-5</v>
      </c>
      <c r="E19" s="79"/>
      <c r="F19" s="76" t="s">
        <v>17</v>
      </c>
      <c r="G19" s="77">
        <f>SUM(G7:G18)</f>
        <v>1738080</v>
      </c>
      <c r="H19" s="78">
        <f>SUM(H7:H18)</f>
        <v>1.7353264819843162E-4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2584.7907</v>
      </c>
      <c r="D22" s="69">
        <f>+IF(C22/$F$112=0,"",C22/$F$112)</f>
        <v>6.2278022303659315E-5</v>
      </c>
      <c r="E22" s="75"/>
      <c r="F22" s="65" t="s">
        <v>5</v>
      </c>
      <c r="G22" s="66">
        <v>1727413</v>
      </c>
      <c r="H22" s="69">
        <f t="shared" ref="H22:H33" si="2">+IF(G22/$C$106=0,"",G22/$C$106)</f>
        <v>7.7386529967620293E-5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-347016</v>
      </c>
      <c r="H23" s="69">
        <f t="shared" si="2"/>
        <v>-1.5546000917698155E-5</v>
      </c>
      <c r="I23" s="114"/>
    </row>
    <row r="24" spans="2:9" x14ac:dyDescent="0.2">
      <c r="B24" s="65" t="s">
        <v>45</v>
      </c>
      <c r="C24" s="71">
        <v>2244.8761019222438</v>
      </c>
      <c r="D24" s="69">
        <f>+IF(C24/$F$112=0,"",C24/$F$112)</f>
        <v>5.4088110091260111E-5</v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-37851.099685041001</v>
      </c>
      <c r="D26" s="69">
        <f>+IF(C26/$F$112=0,"",C26/$F$112)</f>
        <v>-9.1198549669921651E-4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-172516.39629999999</v>
      </c>
      <c r="D27" s="69">
        <f t="shared" ref="D27:D33" si="3">+IF(C27/$F$112=0,"",C27/$F$112)</f>
        <v>-4.1566150700396475E-3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2678032</v>
      </c>
      <c r="H29" s="69">
        <f t="shared" si="2"/>
        <v>1.1997339583657533E-4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207464.75820000001</v>
      </c>
      <c r="D31" s="69">
        <f t="shared" si="3"/>
        <v>4.9986619181208317E-3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-226.52</v>
      </c>
      <c r="D33" s="69">
        <f t="shared" si="3"/>
        <v>-5.4577794682660024E-6</v>
      </c>
      <c r="E33" s="75"/>
      <c r="F33" s="65" t="s">
        <v>16</v>
      </c>
      <c r="G33" s="72">
        <v>-56077</v>
      </c>
      <c r="H33" s="69">
        <f t="shared" si="2"/>
        <v>-2.5121985541351393E-6</v>
      </c>
    </row>
    <row r="34" spans="1:13" s="80" customFormat="1" x14ac:dyDescent="0.2">
      <c r="B34" s="76" t="s">
        <v>17</v>
      </c>
      <c r="C34" s="93">
        <f>SUM(C22:C33)</f>
        <v>1700.409016881244</v>
      </c>
      <c r="D34" s="78">
        <f>SUM(D22:D33)</f>
        <v>4.09697043086214E-5</v>
      </c>
      <c r="E34" s="79"/>
      <c r="F34" s="76" t="s">
        <v>17</v>
      </c>
      <c r="G34" s="77">
        <f>SUM(G22:G33)</f>
        <v>4002352</v>
      </c>
      <c r="H34" s="78">
        <f>SUM(H22:H33)</f>
        <v>1.7930172633236235E-4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4278624</v>
      </c>
      <c r="D37" s="69">
        <f t="shared" ref="D37:D48" si="4">+IF(C37/$C$114=0,"",C37/$C$114)</f>
        <v>5.3576934499791098E-5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-2535683</v>
      </c>
      <c r="D38" s="69">
        <f t="shared" si="4"/>
        <v>-3.1751825353953464E-5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164685</v>
      </c>
      <c r="H39" s="69">
        <f t="shared" si="5"/>
        <v>3.1412382050451378E-5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>
        <v>4603</v>
      </c>
      <c r="H42" s="69">
        <f t="shared" si="5"/>
        <v>8.7798642607540276E-7</v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28740324</v>
      </c>
      <c r="D44" s="69">
        <f t="shared" si="4"/>
        <v>3.5988636918102035E-4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16897431</v>
      </c>
      <c r="D45" s="69">
        <f t="shared" si="4"/>
        <v>2.1158964982707982E-4</v>
      </c>
      <c r="E45" s="68"/>
      <c r="F45" s="65" t="s">
        <v>13</v>
      </c>
      <c r="G45" s="72">
        <v>-62232528</v>
      </c>
      <c r="H45" s="69">
        <f t="shared" si="5"/>
        <v>-1.1870370376788493E-2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-267584</v>
      </c>
      <c r="D48" s="69">
        <f t="shared" si="4"/>
        <v>-3.3506871464265384E-6</v>
      </c>
      <c r="E48" s="68"/>
      <c r="F48" s="65" t="s">
        <v>16</v>
      </c>
      <c r="G48" s="72">
        <v>-25027</v>
      </c>
      <c r="H48" s="69">
        <f t="shared" si="5"/>
        <v>-4.7737054715162079E-6</v>
      </c>
    </row>
    <row r="49" spans="2:9" s="80" customFormat="1" x14ac:dyDescent="0.2">
      <c r="B49" s="76" t="s">
        <v>17</v>
      </c>
      <c r="C49" s="77">
        <f>SUM(C37:C48)</f>
        <v>47113112</v>
      </c>
      <c r="D49" s="78">
        <f>SUM(D37:D48)</f>
        <v>5.8995044100751133E-4</v>
      </c>
      <c r="E49" s="79"/>
      <c r="F49" s="76" t="s">
        <v>17</v>
      </c>
      <c r="G49" s="77">
        <f>SUM(G37:G48)</f>
        <v>-62088267</v>
      </c>
      <c r="H49" s="78">
        <f>SUM(H37:H48)</f>
        <v>-1.1842853713783482E-2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16059</v>
      </c>
      <c r="H53" s="69">
        <f t="shared" ref="H53:H64" si="7">+IF(G53/$C$115=0,"",G53/$C$115)</f>
        <v>1.313894123883691E-4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-119119</v>
      </c>
      <c r="D57" s="69">
        <f t="shared" si="6"/>
        <v>-5.3463782289506373E-6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43762006</v>
      </c>
      <c r="D58" s="69">
        <f t="shared" si="6"/>
        <v>1.9641554758989513E-3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137603.51999999999</v>
      </c>
      <c r="H60" s="69">
        <f t="shared" si="7"/>
        <v>1.1258263674806149E-3</v>
      </c>
    </row>
    <row r="61" spans="2:9" x14ac:dyDescent="0.2">
      <c r="B61" s="65" t="s">
        <v>13</v>
      </c>
      <c r="C61" s="72">
        <v>-276161178</v>
      </c>
      <c r="D61" s="69">
        <f t="shared" si="6"/>
        <v>-1.2394849769898686E-2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4473611</v>
      </c>
      <c r="D63" s="69">
        <f t="shared" si="6"/>
        <v>2.0078758598707249E-4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-143241</v>
      </c>
      <c r="D64" s="69">
        <f t="shared" si="6"/>
        <v>-6.4290378855859959E-6</v>
      </c>
      <c r="E64" s="68"/>
      <c r="F64" s="65" t="s">
        <v>16</v>
      </c>
      <c r="G64" s="92">
        <v>-87.55</v>
      </c>
      <c r="H64" s="69">
        <f t="shared" si="7"/>
        <v>-7.1630506598179926E-7</v>
      </c>
    </row>
    <row r="65" spans="2:8" s="80" customFormat="1" x14ac:dyDescent="0.2">
      <c r="B65" s="76" t="s">
        <v>17</v>
      </c>
      <c r="C65" s="77">
        <f>SUM(C53:C64)</f>
        <v>-228187921</v>
      </c>
      <c r="D65" s="78">
        <f>SUM(D53:D64)</f>
        <v>-1.0241682124127198E-2</v>
      </c>
      <c r="E65" s="79"/>
      <c r="F65" s="76" t="s">
        <v>17</v>
      </c>
      <c r="G65" s="93">
        <f>SUM(G53:G64)</f>
        <v>153574.97</v>
      </c>
      <c r="H65" s="78">
        <f>SUM(H53:H64)</f>
        <v>1.2564994748030022E-3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-1007732</v>
      </c>
      <c r="D72" s="69">
        <f t="shared" si="8"/>
        <v>-8.0030012749389548E-5</v>
      </c>
      <c r="E72" s="68"/>
      <c r="F72" s="65" t="s">
        <v>9</v>
      </c>
      <c r="G72" s="66">
        <v>-1845860</v>
      </c>
      <c r="H72" s="69">
        <f t="shared" si="9"/>
        <v>-2.8911706306480867E-4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43382414</v>
      </c>
      <c r="D76" s="69">
        <f t="shared" si="8"/>
        <v>3.4452564228577595E-3</v>
      </c>
      <c r="E76" s="68"/>
      <c r="F76" s="65" t="s">
        <v>13</v>
      </c>
      <c r="G76" s="72">
        <v>174230</v>
      </c>
      <c r="H76" s="69">
        <f t="shared" si="9"/>
        <v>2.7289645963280864E-5</v>
      </c>
    </row>
    <row r="77" spans="2:8" x14ac:dyDescent="0.2">
      <c r="B77" s="65" t="s">
        <v>14</v>
      </c>
      <c r="C77" s="66">
        <v>-95761677</v>
      </c>
      <c r="D77" s="69">
        <f t="shared" si="8"/>
        <v>-7.6050063223286786E-3</v>
      </c>
      <c r="E77" s="68"/>
      <c r="F77" s="65" t="s">
        <v>14</v>
      </c>
      <c r="G77" s="66">
        <v>-46274538</v>
      </c>
      <c r="H77" s="69">
        <f t="shared" si="9"/>
        <v>-7.2479811693415995E-3</v>
      </c>
    </row>
    <row r="78" spans="2:8" x14ac:dyDescent="0.2">
      <c r="B78" s="65" t="s">
        <v>15</v>
      </c>
      <c r="C78" s="72">
        <v>198936</v>
      </c>
      <c r="D78" s="69">
        <f t="shared" si="8"/>
        <v>1.5798695105754863E-5</v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-9809</v>
      </c>
      <c r="D79" s="69">
        <f t="shared" si="8"/>
        <v>-7.7899123483104842E-7</v>
      </c>
      <c r="E79" s="68"/>
      <c r="F79" s="65" t="s">
        <v>16</v>
      </c>
      <c r="G79" s="72">
        <v>-9809</v>
      </c>
      <c r="H79" s="69">
        <f t="shared" si="9"/>
        <v>-1.5363837298618033E-6</v>
      </c>
    </row>
    <row r="80" spans="2:8" s="80" customFormat="1" x14ac:dyDescent="0.2">
      <c r="B80" s="76" t="s">
        <v>17</v>
      </c>
      <c r="C80" s="77">
        <f>SUM(C68:C79)</f>
        <v>-53197868</v>
      </c>
      <c r="D80" s="78">
        <f>SUM(D68:D79)</f>
        <v>-4.2247602083493848E-3</v>
      </c>
      <c r="E80" s="79"/>
      <c r="F80" s="76" t="s">
        <v>17</v>
      </c>
      <c r="G80" s="77">
        <f>SUM(G68:G79)</f>
        <v>-47955977</v>
      </c>
      <c r="H80" s="78">
        <f>SUM(H68:H79)</f>
        <v>-7.5113449701729893E-3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22321882124.999996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22280316674.000099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12591926021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5242677863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6384472713.0001001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65130650888</v>
      </c>
      <c r="D111" s="191">
        <v>1604917983</v>
      </c>
      <c r="F111" s="106">
        <f>+C111+D111</f>
        <v>66735568871</v>
      </c>
      <c r="G111" s="62"/>
      <c r="H111" s="62"/>
    </row>
    <row r="112" spans="2:8" x14ac:dyDescent="0.2">
      <c r="B112" s="189" t="s">
        <v>18</v>
      </c>
      <c r="C112" s="192">
        <v>41340669.445799999</v>
      </c>
      <c r="D112" s="193">
        <v>163389.35999999999</v>
      </c>
      <c r="F112" s="106">
        <f>+C112+D112</f>
        <v>41504058.805799998</v>
      </c>
      <c r="H112" s="75"/>
    </row>
    <row r="113" spans="1:13" x14ac:dyDescent="0.2">
      <c r="B113" s="189" t="s">
        <v>4</v>
      </c>
      <c r="C113" s="190">
        <v>10015867435.000099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79859440260</v>
      </c>
      <c r="D114" s="107"/>
      <c r="F114" s="106"/>
      <c r="H114" s="75"/>
    </row>
    <row r="115" spans="1:13" x14ac:dyDescent="0.2">
      <c r="B115" s="189" t="s">
        <v>25</v>
      </c>
      <c r="C115" s="192">
        <v>122224460.16069999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685" priority="46" stopIfTrue="1" operator="lessThan">
      <formula>0</formula>
    </cfRule>
  </conditionalFormatting>
  <conditionalFormatting sqref="C89">
    <cfRule type="cellIs" dxfId="2684" priority="43" stopIfTrue="1" operator="lessThan">
      <formula>0</formula>
    </cfRule>
  </conditionalFormatting>
  <conditionalFormatting sqref="C85">
    <cfRule type="cellIs" dxfId="2683" priority="45" stopIfTrue="1" operator="lessThan">
      <formula>0</formula>
    </cfRule>
  </conditionalFormatting>
  <conditionalFormatting sqref="C7:C9">
    <cfRule type="cellIs" dxfId="2682" priority="42" stopIfTrue="1" operator="lessThan">
      <formula>0</formula>
    </cfRule>
  </conditionalFormatting>
  <conditionalFormatting sqref="C10:C13">
    <cfRule type="cellIs" dxfId="2681" priority="40" stopIfTrue="1" operator="lessThan">
      <formula>0</formula>
    </cfRule>
  </conditionalFormatting>
  <conditionalFormatting sqref="C88">
    <cfRule type="cellIs" dxfId="2680" priority="44" stopIfTrue="1" operator="lessThan">
      <formula>0</formula>
    </cfRule>
  </conditionalFormatting>
  <conditionalFormatting sqref="C101">
    <cfRule type="cellIs" dxfId="2679" priority="39" stopIfTrue="1" operator="lessThan">
      <formula>0</formula>
    </cfRule>
  </conditionalFormatting>
  <conditionalFormatting sqref="C7">
    <cfRule type="cellIs" dxfId="2678" priority="41" stopIfTrue="1" operator="lessThan">
      <formula>0</formula>
    </cfRule>
  </conditionalFormatting>
  <conditionalFormatting sqref="C29:C33">
    <cfRule type="cellIs" dxfId="2677" priority="34" stopIfTrue="1" operator="lessThan">
      <formula>0</formula>
    </cfRule>
  </conditionalFormatting>
  <conditionalFormatting sqref="G7:G9">
    <cfRule type="cellIs" dxfId="2676" priority="37" stopIfTrue="1" operator="lessThan">
      <formula>0</formula>
    </cfRule>
  </conditionalFormatting>
  <conditionalFormatting sqref="C22">
    <cfRule type="cellIs" dxfId="2675" priority="32" stopIfTrue="1" operator="lessThan">
      <formula>0</formula>
    </cfRule>
  </conditionalFormatting>
  <conditionalFormatting sqref="C25:C28">
    <cfRule type="cellIs" dxfId="2674" priority="31" stopIfTrue="1" operator="lessThan">
      <formula>0</formula>
    </cfRule>
  </conditionalFormatting>
  <conditionalFormatting sqref="G14:G18">
    <cfRule type="cellIs" dxfId="2673" priority="38" stopIfTrue="1" operator="lessThan">
      <formula>0</formula>
    </cfRule>
  </conditionalFormatting>
  <conditionalFormatting sqref="G7">
    <cfRule type="cellIs" dxfId="2672" priority="36" stopIfTrue="1" operator="lessThan">
      <formula>0</formula>
    </cfRule>
  </conditionalFormatting>
  <conditionalFormatting sqref="G10:G13">
    <cfRule type="cellIs" dxfId="2671" priority="35" stopIfTrue="1" operator="lessThan">
      <formula>0</formula>
    </cfRule>
  </conditionalFormatting>
  <conditionalFormatting sqref="C22:C24">
    <cfRule type="cellIs" dxfId="2670" priority="33" stopIfTrue="1" operator="lessThan">
      <formula>0</formula>
    </cfRule>
  </conditionalFormatting>
  <conditionalFormatting sqref="G22">
    <cfRule type="cellIs" dxfId="2669" priority="28" stopIfTrue="1" operator="lessThan">
      <formula>0</formula>
    </cfRule>
  </conditionalFormatting>
  <conditionalFormatting sqref="G29:G33">
    <cfRule type="cellIs" dxfId="2668" priority="30" stopIfTrue="1" operator="lessThan">
      <formula>0</formula>
    </cfRule>
  </conditionalFormatting>
  <conditionalFormatting sqref="G22:G24">
    <cfRule type="cellIs" dxfId="2667" priority="29" stopIfTrue="1" operator="lessThan">
      <formula>0</formula>
    </cfRule>
  </conditionalFormatting>
  <conditionalFormatting sqref="G25:G28">
    <cfRule type="cellIs" dxfId="2666" priority="27" stopIfTrue="1" operator="lessThan">
      <formula>0</formula>
    </cfRule>
  </conditionalFormatting>
  <conditionalFormatting sqref="C40:C43">
    <cfRule type="cellIs" dxfId="2665" priority="23" stopIfTrue="1" operator="lessThan">
      <formula>0</formula>
    </cfRule>
  </conditionalFormatting>
  <conditionalFormatting sqref="G44:G48">
    <cfRule type="cellIs" dxfId="2664" priority="22" stopIfTrue="1" operator="lessThan">
      <formula>0</formula>
    </cfRule>
  </conditionalFormatting>
  <conditionalFormatting sqref="G37">
    <cfRule type="cellIs" dxfId="2663" priority="20" stopIfTrue="1" operator="lessThan">
      <formula>0</formula>
    </cfRule>
  </conditionalFormatting>
  <conditionalFormatting sqref="C44:C48">
    <cfRule type="cellIs" dxfId="2662" priority="26" stopIfTrue="1" operator="lessThan">
      <formula>0</formula>
    </cfRule>
  </conditionalFormatting>
  <conditionalFormatting sqref="C37:C39">
    <cfRule type="cellIs" dxfId="2661" priority="25" stopIfTrue="1" operator="lessThan">
      <formula>0</formula>
    </cfRule>
  </conditionalFormatting>
  <conditionalFormatting sqref="C37">
    <cfRule type="cellIs" dxfId="2660" priority="24" stopIfTrue="1" operator="lessThan">
      <formula>0</formula>
    </cfRule>
  </conditionalFormatting>
  <conditionalFormatting sqref="C56:C59">
    <cfRule type="cellIs" dxfId="2659" priority="15" stopIfTrue="1" operator="lessThan">
      <formula>0</formula>
    </cfRule>
  </conditionalFormatting>
  <conditionalFormatting sqref="G60:G63">
    <cfRule type="cellIs" dxfId="2658" priority="14" stopIfTrue="1" operator="lessThan">
      <formula>0</formula>
    </cfRule>
  </conditionalFormatting>
  <conditionalFormatting sqref="G37:G39">
    <cfRule type="cellIs" dxfId="2657" priority="21" stopIfTrue="1" operator="lessThan">
      <formula>0</formula>
    </cfRule>
  </conditionalFormatting>
  <conditionalFormatting sqref="G53">
    <cfRule type="cellIs" dxfId="2656" priority="12" stopIfTrue="1" operator="lessThan">
      <formula>0</formula>
    </cfRule>
  </conditionalFormatting>
  <conditionalFormatting sqref="G40:G43">
    <cfRule type="cellIs" dxfId="2655" priority="19" stopIfTrue="1" operator="lessThan">
      <formula>0</formula>
    </cfRule>
  </conditionalFormatting>
  <conditionalFormatting sqref="C60:C64">
    <cfRule type="cellIs" dxfId="2654" priority="18" stopIfTrue="1" operator="lessThan">
      <formula>0</formula>
    </cfRule>
  </conditionalFormatting>
  <conditionalFormatting sqref="C53:C55">
    <cfRule type="cellIs" dxfId="2653" priority="17" stopIfTrue="1" operator="lessThan">
      <formula>0</formula>
    </cfRule>
  </conditionalFormatting>
  <conditionalFormatting sqref="C53">
    <cfRule type="cellIs" dxfId="2652" priority="16" stopIfTrue="1" operator="lessThan">
      <formula>0</formula>
    </cfRule>
  </conditionalFormatting>
  <conditionalFormatting sqref="G53:G55">
    <cfRule type="cellIs" dxfId="2651" priority="13" stopIfTrue="1" operator="lessThan">
      <formula>0</formula>
    </cfRule>
  </conditionalFormatting>
  <conditionalFormatting sqref="G56:G59">
    <cfRule type="cellIs" dxfId="2650" priority="11" stopIfTrue="1" operator="lessThan">
      <formula>0</formula>
    </cfRule>
  </conditionalFormatting>
  <conditionalFormatting sqref="C75:C78">
    <cfRule type="cellIs" dxfId="2649" priority="10" stopIfTrue="1" operator="lessThan">
      <formula>0</formula>
    </cfRule>
  </conditionalFormatting>
  <conditionalFormatting sqref="C68:C70">
    <cfRule type="cellIs" dxfId="2648" priority="9" stopIfTrue="1" operator="lessThan">
      <formula>0</formula>
    </cfRule>
  </conditionalFormatting>
  <conditionalFormatting sqref="C68">
    <cfRule type="cellIs" dxfId="2647" priority="8" stopIfTrue="1" operator="lessThan">
      <formula>0</formula>
    </cfRule>
  </conditionalFormatting>
  <conditionalFormatting sqref="C71:C74">
    <cfRule type="cellIs" dxfId="2646" priority="7" stopIfTrue="1" operator="lessThan">
      <formula>0</formula>
    </cfRule>
  </conditionalFormatting>
  <conditionalFormatting sqref="G75:G79">
    <cfRule type="cellIs" dxfId="2645" priority="6" stopIfTrue="1" operator="lessThan">
      <formula>0</formula>
    </cfRule>
  </conditionalFormatting>
  <conditionalFormatting sqref="G68:G70">
    <cfRule type="cellIs" dxfId="2644" priority="5" stopIfTrue="1" operator="lessThan">
      <formula>0</formula>
    </cfRule>
  </conditionalFormatting>
  <conditionalFormatting sqref="G68">
    <cfRule type="cellIs" dxfId="2643" priority="4" stopIfTrue="1" operator="lessThan">
      <formula>0</formula>
    </cfRule>
  </conditionalFormatting>
  <conditionalFormatting sqref="G71:G74">
    <cfRule type="cellIs" dxfId="2642" priority="3" stopIfTrue="1" operator="lessThan">
      <formula>0</formula>
    </cfRule>
  </conditionalFormatting>
  <conditionalFormatting sqref="G64">
    <cfRule type="cellIs" dxfId="2641" priority="2" stopIfTrue="1" operator="lessThan">
      <formula>0</formula>
    </cfRule>
  </conditionalFormatting>
  <conditionalFormatting sqref="C79">
    <cfRule type="cellIs" dxfId="2640" priority="1" stopIfTrue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72"/>
  <dimension ref="A2:M121"/>
  <sheetViews>
    <sheetView topLeftCell="A7" workbookViewId="0">
      <selection activeCell="G49" sqref="G49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43042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5231202</v>
      </c>
      <c r="D7" s="67">
        <f>+IF(C7/$F$111=0,"",C7/$F$111)</f>
        <v>7.7871086014552171E-5</v>
      </c>
      <c r="E7" s="68"/>
      <c r="F7" s="65" t="s">
        <v>5</v>
      </c>
      <c r="G7" s="66">
        <v>888980</v>
      </c>
      <c r="H7" s="69">
        <f>+IF(G7/$C$113=0,"",G7/$C$113)</f>
        <v>9.3997886978931087E-5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-152967</v>
      </c>
      <c r="H8" s="69">
        <f>+IF(G8/$C$113=0,"",G8/$C$113)</f>
        <v>-1.6174238765220985E-5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-48474</v>
      </c>
      <c r="H11" s="69">
        <f t="shared" si="0"/>
        <v>-5.1254849078907346E-6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93520</v>
      </c>
      <c r="H12" s="69">
        <f t="shared" si="0"/>
        <v>9.8885041173813087E-6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1637828</v>
      </c>
      <c r="H14" s="69">
        <f t="shared" si="0"/>
        <v>1.7317866682594517E-4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>
        <v>281775</v>
      </c>
      <c r="H17" s="69">
        <f t="shared" si="0"/>
        <v>2.9793982545713408E-5</v>
      </c>
    </row>
    <row r="18" spans="2:9" x14ac:dyDescent="0.2">
      <c r="B18" s="65" t="s">
        <v>16</v>
      </c>
      <c r="C18" s="72">
        <v>-173879</v>
      </c>
      <c r="D18" s="67">
        <f>+IF(C18/$F$111=0,"",C18/$F$111)</f>
        <v>-2.5883432842249865E-6</v>
      </c>
      <c r="E18" s="75"/>
      <c r="F18" s="65" t="s">
        <v>16</v>
      </c>
      <c r="G18" s="72">
        <v>-72799</v>
      </c>
      <c r="H18" s="69">
        <f t="shared" si="0"/>
        <v>-7.6975321989012165E-6</v>
      </c>
    </row>
    <row r="19" spans="2:9" s="80" customFormat="1" x14ac:dyDescent="0.2">
      <c r="B19" s="76" t="s">
        <v>17</v>
      </c>
      <c r="C19" s="77">
        <f>SUM(C7:C18)</f>
        <v>5057323</v>
      </c>
      <c r="D19" s="78">
        <f>SUM(D7:D18)</f>
        <v>7.5282742730327181E-5</v>
      </c>
      <c r="E19" s="79"/>
      <c r="F19" s="76" t="s">
        <v>17</v>
      </c>
      <c r="G19" s="77">
        <f>SUM(G7:G18)</f>
        <v>2627863</v>
      </c>
      <c r="H19" s="78">
        <f>SUM(H7:H18)</f>
        <v>2.778617845959581E-4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2568.5439000000001</v>
      </c>
      <c r="D22" s="69">
        <f>+IF(C22/$F$112=0,"",C22/$F$112)</f>
        <v>6.3074534910526598E-5</v>
      </c>
      <c r="E22" s="75"/>
      <c r="F22" s="65" t="s">
        <v>5</v>
      </c>
      <c r="G22" s="66">
        <v>1747813</v>
      </c>
      <c r="H22" s="69">
        <f t="shared" ref="H22:H33" si="2">+IF(G22/$C$106=0,"",G22/$C$106)</f>
        <v>7.8277560528573775E-5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-347133</v>
      </c>
      <c r="H23" s="69">
        <f t="shared" si="2"/>
        <v>-1.5546700029674456E-5</v>
      </c>
      <c r="I23" s="114"/>
    </row>
    <row r="24" spans="2:9" x14ac:dyDescent="0.2">
      <c r="B24" s="65" t="s">
        <v>45</v>
      </c>
      <c r="C24" s="71">
        <v>1583.6300870664418</v>
      </c>
      <c r="D24" s="69">
        <f>+IF(C24/$F$112=0,"",C24/$F$112)</f>
        <v>3.8888465644691748E-5</v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1365.6775971285174</v>
      </c>
      <c r="D26" s="69">
        <f>+IF(C26/$F$112=0,"",C26/$F$112)</f>
        <v>3.3536307974571408E-5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-53036.600000000006</v>
      </c>
      <c r="D27" s="69">
        <f t="shared" ref="D27:D33" si="3">+IF(C27/$F$112=0,"",C27/$F$112)</f>
        <v>-1.3023950566839193E-3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1547259</v>
      </c>
      <c r="H29" s="69">
        <f t="shared" si="2"/>
        <v>6.9295548222767848E-5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49571.579100000003</v>
      </c>
      <c r="D31" s="69">
        <f t="shared" si="3"/>
        <v>1.2173061540870999E-3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-125865</v>
      </c>
      <c r="H32" s="69">
        <f t="shared" si="2"/>
        <v>-5.6369904308578426E-6</v>
      </c>
    </row>
    <row r="33" spans="1:13" x14ac:dyDescent="0.2">
      <c r="B33" s="65" t="s">
        <v>16</v>
      </c>
      <c r="C33" s="71">
        <v>-222.26</v>
      </c>
      <c r="D33" s="69">
        <f t="shared" si="3"/>
        <v>-5.4579351862405932E-6</v>
      </c>
      <c r="E33" s="75"/>
      <c r="F33" s="65" t="s">
        <v>16</v>
      </c>
      <c r="G33" s="72">
        <v>-65967</v>
      </c>
      <c r="H33" s="69">
        <f t="shared" si="2"/>
        <v>-2.9543983454685522E-6</v>
      </c>
    </row>
    <row r="34" spans="1:13" s="80" customFormat="1" x14ac:dyDescent="0.2">
      <c r="B34" s="76" t="s">
        <v>17</v>
      </c>
      <c r="C34" s="93">
        <f>SUM(C22:C33)</f>
        <v>1830.5706841949525</v>
      </c>
      <c r="D34" s="78">
        <f>SUM(D22:D33)</f>
        <v>4.4952470746729669E-5</v>
      </c>
      <c r="E34" s="79"/>
      <c r="F34" s="76" t="s">
        <v>17</v>
      </c>
      <c r="G34" s="77">
        <f>SUM(G22:G33)</f>
        <v>2756107</v>
      </c>
      <c r="H34" s="78">
        <f>SUM(H22:H33)</f>
        <v>1.2343501994534076E-4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4385632</v>
      </c>
      <c r="D37" s="69">
        <f t="shared" ref="D37:D48" si="4">+IF(C37/$C$114=0,"",C37/$C$114)</f>
        <v>5.267486213161253E-5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-2538196</v>
      </c>
      <c r="D38" s="69">
        <f t="shared" si="4"/>
        <v>-3.0485714342427818E-5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-448282</v>
      </c>
      <c r="H39" s="69">
        <f t="shared" si="5"/>
        <v>-8.6557710431629071E-5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7185723</v>
      </c>
      <c r="D44" s="69">
        <f t="shared" si="4"/>
        <v>8.6306139762970806E-5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8646370</v>
      </c>
      <c r="D45" s="69">
        <f t="shared" si="4"/>
        <v>1.0384964987689588E-4</v>
      </c>
      <c r="E45" s="68"/>
      <c r="F45" s="65" t="s">
        <v>13</v>
      </c>
      <c r="G45" s="72">
        <v>-25945179</v>
      </c>
      <c r="H45" s="69">
        <f t="shared" si="5"/>
        <v>-5.0096932086918138E-3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-388025</v>
      </c>
      <c r="D47" s="69">
        <f t="shared" si="4"/>
        <v>-4.6604829996267243E-6</v>
      </c>
      <c r="E47" s="68"/>
      <c r="F47" s="65" t="s">
        <v>15</v>
      </c>
      <c r="G47" s="72">
        <v>961560</v>
      </c>
      <c r="H47" s="69">
        <f t="shared" si="5"/>
        <v>1.8566534467731751E-4</v>
      </c>
    </row>
    <row r="48" spans="1:13" x14ac:dyDescent="0.2">
      <c r="B48" s="65" t="s">
        <v>16</v>
      </c>
      <c r="C48" s="72">
        <v>-105909</v>
      </c>
      <c r="D48" s="69">
        <f t="shared" si="4"/>
        <v>-1.2720497236195266E-6</v>
      </c>
      <c r="E48" s="68"/>
      <c r="F48" s="65" t="s">
        <v>16</v>
      </c>
      <c r="G48" s="72">
        <v>-25027</v>
      </c>
      <c r="H48" s="69">
        <f t="shared" si="5"/>
        <v>-4.8324041986347452E-6</v>
      </c>
    </row>
    <row r="49" spans="2:9" s="80" customFormat="1" x14ac:dyDescent="0.2">
      <c r="B49" s="76" t="s">
        <v>17</v>
      </c>
      <c r="C49" s="77">
        <f>SUM(C37:C48)</f>
        <v>17185595</v>
      </c>
      <c r="D49" s="78">
        <f>SUM(D37:D48)</f>
        <v>2.0641240470580514E-4</v>
      </c>
      <c r="E49" s="79"/>
      <c r="F49" s="76" t="s">
        <v>17</v>
      </c>
      <c r="G49" s="77">
        <f>SUM(G37:G48)</f>
        <v>-25456928</v>
      </c>
      <c r="H49" s="78">
        <f>SUM(H37:H48)</f>
        <v>-4.9154179786447599E-3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16244.8163</v>
      </c>
      <c r="H53" s="69">
        <f t="shared" ref="H53:H64" si="7">+IF(G53/$C$115=0,"",G53/$C$115)</f>
        <v>1.3274282602772998E-4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-119119</v>
      </c>
      <c r="D57" s="69">
        <f t="shared" si="6"/>
        <v>-5.4014908326823677E-6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4367306</v>
      </c>
      <c r="D58" s="69">
        <f t="shared" si="6"/>
        <v>1.9803694895456392E-4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43984.413900000007</v>
      </c>
      <c r="H60" s="69">
        <f t="shared" si="7"/>
        <v>3.5941406134948838E-4</v>
      </c>
    </row>
    <row r="61" spans="2:9" x14ac:dyDescent="0.2">
      <c r="B61" s="65" t="s">
        <v>13</v>
      </c>
      <c r="C61" s="72">
        <v>-133139864</v>
      </c>
      <c r="D61" s="69">
        <f t="shared" si="6"/>
        <v>-6.0372715927818161E-3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-143241</v>
      </c>
      <c r="D64" s="69">
        <f t="shared" si="6"/>
        <v>-6.495310977797455E-6</v>
      </c>
      <c r="E64" s="68"/>
      <c r="F64" s="65" t="s">
        <v>16</v>
      </c>
      <c r="G64" s="92">
        <v>-87.71</v>
      </c>
      <c r="H64" s="69">
        <f t="shared" si="7"/>
        <v>-7.1671313826381621E-7</v>
      </c>
    </row>
    <row r="65" spans="2:8" s="80" customFormat="1" x14ac:dyDescent="0.2">
      <c r="B65" s="76" t="s">
        <v>17</v>
      </c>
      <c r="C65" s="77">
        <f>SUM(C53:C64)</f>
        <v>-129034918</v>
      </c>
      <c r="D65" s="78">
        <f>SUM(D53:D64)</f>
        <v>-5.8511314456377323E-3</v>
      </c>
      <c r="E65" s="79"/>
      <c r="F65" s="76" t="s">
        <v>17</v>
      </c>
      <c r="G65" s="93">
        <f>SUM(G53:G64)</f>
        <v>60141.520200000006</v>
      </c>
      <c r="H65" s="78">
        <f>SUM(H53:H64)</f>
        <v>4.9144017423895453E-4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415977</v>
      </c>
      <c r="D72" s="69">
        <f t="shared" si="8"/>
        <v>3.3177106684159639E-5</v>
      </c>
      <c r="E72" s="68"/>
      <c r="F72" s="65" t="s">
        <v>9</v>
      </c>
      <c r="G72" s="66">
        <v>-443312</v>
      </c>
      <c r="H72" s="69">
        <f t="shared" si="9"/>
        <v>-6.9963633054665798E-5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339708</v>
      </c>
      <c r="D76" s="69">
        <f t="shared" si="8"/>
        <v>2.7094114716588905E-5</v>
      </c>
      <c r="E76" s="68"/>
      <c r="F76" s="65" t="s">
        <v>13</v>
      </c>
      <c r="G76" s="72">
        <v>5768883</v>
      </c>
      <c r="H76" s="69">
        <f t="shared" si="9"/>
        <v>9.1044684860166114E-4</v>
      </c>
    </row>
    <row r="77" spans="2:8" x14ac:dyDescent="0.2">
      <c r="B77" s="65" t="s">
        <v>14</v>
      </c>
      <c r="C77" s="66">
        <v>-22999288</v>
      </c>
      <c r="D77" s="69">
        <f t="shared" si="8"/>
        <v>-1.8343558216817578E-3</v>
      </c>
      <c r="E77" s="68"/>
      <c r="F77" s="65" t="s">
        <v>14</v>
      </c>
      <c r="G77" s="66">
        <v>-11124137</v>
      </c>
      <c r="H77" s="69">
        <f t="shared" si="9"/>
        <v>-1.7556146441283585E-3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-9595</v>
      </c>
      <c r="D79" s="69">
        <f t="shared" si="8"/>
        <v>-7.6526908611416436E-7</v>
      </c>
      <c r="E79" s="68"/>
      <c r="F79" s="65" t="s">
        <v>16</v>
      </c>
      <c r="G79" s="72">
        <v>-9595</v>
      </c>
      <c r="H79" s="69">
        <f t="shared" si="9"/>
        <v>-1.5142857832847257E-6</v>
      </c>
    </row>
    <row r="80" spans="2:8" s="80" customFormat="1" x14ac:dyDescent="0.2">
      <c r="B80" s="76" t="s">
        <v>17</v>
      </c>
      <c r="C80" s="77">
        <f>SUM(C68:C79)</f>
        <v>-22253198</v>
      </c>
      <c r="D80" s="78">
        <f>SUM(D68:D79)</f>
        <v>-1.7748498693671232E-3</v>
      </c>
      <c r="E80" s="79"/>
      <c r="F80" s="76" t="s">
        <v>17</v>
      </c>
      <c r="G80" s="77">
        <f>SUM(G68:G79)</f>
        <v>-5808161</v>
      </c>
      <c r="H80" s="78">
        <f>SUM(H68:H79)</f>
        <v>-9.1664571436464784E-4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22328404056.000099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22052985683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12538073436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5178995583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6336320466.0001001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64977526235.000008</v>
      </c>
      <c r="D111" s="191">
        <v>2200193606</v>
      </c>
      <c r="F111" s="106">
        <f>+C111+D111</f>
        <v>67177719841.000008</v>
      </c>
      <c r="G111" s="62"/>
      <c r="H111" s="62"/>
    </row>
    <row r="112" spans="2:8" x14ac:dyDescent="0.2">
      <c r="B112" s="189" t="s">
        <v>18</v>
      </c>
      <c r="C112" s="192">
        <v>40561797.673199996</v>
      </c>
      <c r="D112" s="193">
        <v>160562.04999999999</v>
      </c>
      <c r="F112" s="106">
        <f>+C112+D112</f>
        <v>40722359.723199993</v>
      </c>
      <c r="H112" s="75"/>
    </row>
    <row r="113" spans="1:13" x14ac:dyDescent="0.2">
      <c r="B113" s="189" t="s">
        <v>4</v>
      </c>
      <c r="C113" s="190">
        <v>9457446636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83258537802</v>
      </c>
      <c r="D114" s="107"/>
      <c r="F114" s="106"/>
      <c r="H114" s="75"/>
    </row>
    <row r="115" spans="1:13" x14ac:dyDescent="0.2">
      <c r="B115" s="189" t="s">
        <v>25</v>
      </c>
      <c r="C115" s="192">
        <v>122378111.01450001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639" priority="46" stopIfTrue="1" operator="lessThan">
      <formula>0</formula>
    </cfRule>
  </conditionalFormatting>
  <conditionalFormatting sqref="C89">
    <cfRule type="cellIs" dxfId="2638" priority="43" stopIfTrue="1" operator="lessThan">
      <formula>0</formula>
    </cfRule>
  </conditionalFormatting>
  <conditionalFormatting sqref="C85">
    <cfRule type="cellIs" dxfId="2637" priority="45" stopIfTrue="1" operator="lessThan">
      <formula>0</formula>
    </cfRule>
  </conditionalFormatting>
  <conditionalFormatting sqref="C7:C9">
    <cfRule type="cellIs" dxfId="2636" priority="42" stopIfTrue="1" operator="lessThan">
      <formula>0</formula>
    </cfRule>
  </conditionalFormatting>
  <conditionalFormatting sqref="C10:C13">
    <cfRule type="cellIs" dxfId="2635" priority="40" stopIfTrue="1" operator="lessThan">
      <formula>0</formula>
    </cfRule>
  </conditionalFormatting>
  <conditionalFormatting sqref="C88">
    <cfRule type="cellIs" dxfId="2634" priority="44" stopIfTrue="1" operator="lessThan">
      <formula>0</formula>
    </cfRule>
  </conditionalFormatting>
  <conditionalFormatting sqref="C101">
    <cfRule type="cellIs" dxfId="2633" priority="39" stopIfTrue="1" operator="lessThan">
      <formula>0</formula>
    </cfRule>
  </conditionalFormatting>
  <conditionalFormatting sqref="C7">
    <cfRule type="cellIs" dxfId="2632" priority="41" stopIfTrue="1" operator="lessThan">
      <formula>0</formula>
    </cfRule>
  </conditionalFormatting>
  <conditionalFormatting sqref="C29:C33">
    <cfRule type="cellIs" dxfId="2631" priority="34" stopIfTrue="1" operator="lessThan">
      <formula>0</formula>
    </cfRule>
  </conditionalFormatting>
  <conditionalFormatting sqref="G7:G9">
    <cfRule type="cellIs" dxfId="2630" priority="37" stopIfTrue="1" operator="lessThan">
      <formula>0</formula>
    </cfRule>
  </conditionalFormatting>
  <conditionalFormatting sqref="C22">
    <cfRule type="cellIs" dxfId="2629" priority="32" stopIfTrue="1" operator="lessThan">
      <formula>0</formula>
    </cfRule>
  </conditionalFormatting>
  <conditionalFormatting sqref="C25:C28">
    <cfRule type="cellIs" dxfId="2628" priority="31" stopIfTrue="1" operator="lessThan">
      <formula>0</formula>
    </cfRule>
  </conditionalFormatting>
  <conditionalFormatting sqref="G14:G18">
    <cfRule type="cellIs" dxfId="2627" priority="38" stopIfTrue="1" operator="lessThan">
      <formula>0</formula>
    </cfRule>
  </conditionalFormatting>
  <conditionalFormatting sqref="G7">
    <cfRule type="cellIs" dxfId="2626" priority="36" stopIfTrue="1" operator="lessThan">
      <formula>0</formula>
    </cfRule>
  </conditionalFormatting>
  <conditionalFormatting sqref="G10:G13">
    <cfRule type="cellIs" dxfId="2625" priority="35" stopIfTrue="1" operator="lessThan">
      <formula>0</formula>
    </cfRule>
  </conditionalFormatting>
  <conditionalFormatting sqref="C22:C24">
    <cfRule type="cellIs" dxfId="2624" priority="33" stopIfTrue="1" operator="lessThan">
      <formula>0</formula>
    </cfRule>
  </conditionalFormatting>
  <conditionalFormatting sqref="G22">
    <cfRule type="cellIs" dxfId="2623" priority="28" stopIfTrue="1" operator="lessThan">
      <formula>0</formula>
    </cfRule>
  </conditionalFormatting>
  <conditionalFormatting sqref="G29:G33">
    <cfRule type="cellIs" dxfId="2622" priority="30" stopIfTrue="1" operator="lessThan">
      <formula>0</formula>
    </cfRule>
  </conditionalFormatting>
  <conditionalFormatting sqref="G22:G24">
    <cfRule type="cellIs" dxfId="2621" priority="29" stopIfTrue="1" operator="lessThan">
      <formula>0</formula>
    </cfRule>
  </conditionalFormatting>
  <conditionalFormatting sqref="G25:G28">
    <cfRule type="cellIs" dxfId="2620" priority="27" stopIfTrue="1" operator="lessThan">
      <formula>0</formula>
    </cfRule>
  </conditionalFormatting>
  <conditionalFormatting sqref="C40:C43">
    <cfRule type="cellIs" dxfId="2619" priority="23" stopIfTrue="1" operator="lessThan">
      <formula>0</formula>
    </cfRule>
  </conditionalFormatting>
  <conditionalFormatting sqref="G44:G48">
    <cfRule type="cellIs" dxfId="2618" priority="22" stopIfTrue="1" operator="lessThan">
      <formula>0</formula>
    </cfRule>
  </conditionalFormatting>
  <conditionalFormatting sqref="G37">
    <cfRule type="cellIs" dxfId="2617" priority="20" stopIfTrue="1" operator="lessThan">
      <formula>0</formula>
    </cfRule>
  </conditionalFormatting>
  <conditionalFormatting sqref="C44:C48">
    <cfRule type="cellIs" dxfId="2616" priority="26" stopIfTrue="1" operator="lessThan">
      <formula>0</formula>
    </cfRule>
  </conditionalFormatting>
  <conditionalFormatting sqref="C37:C39">
    <cfRule type="cellIs" dxfId="2615" priority="25" stopIfTrue="1" operator="lessThan">
      <formula>0</formula>
    </cfRule>
  </conditionalFormatting>
  <conditionalFormatting sqref="C37">
    <cfRule type="cellIs" dxfId="2614" priority="24" stopIfTrue="1" operator="lessThan">
      <formula>0</formula>
    </cfRule>
  </conditionalFormatting>
  <conditionalFormatting sqref="C56:C59">
    <cfRule type="cellIs" dxfId="2613" priority="15" stopIfTrue="1" operator="lessThan">
      <formula>0</formula>
    </cfRule>
  </conditionalFormatting>
  <conditionalFormatting sqref="G60:G63">
    <cfRule type="cellIs" dxfId="2612" priority="14" stopIfTrue="1" operator="lessThan">
      <formula>0</formula>
    </cfRule>
  </conditionalFormatting>
  <conditionalFormatting sqref="G37:G39">
    <cfRule type="cellIs" dxfId="2611" priority="21" stopIfTrue="1" operator="lessThan">
      <formula>0</formula>
    </cfRule>
  </conditionalFormatting>
  <conditionalFormatting sqref="G53">
    <cfRule type="cellIs" dxfId="2610" priority="12" stopIfTrue="1" operator="lessThan">
      <formula>0</formula>
    </cfRule>
  </conditionalFormatting>
  <conditionalFormatting sqref="G40:G43">
    <cfRule type="cellIs" dxfId="2609" priority="19" stopIfTrue="1" operator="lessThan">
      <formula>0</formula>
    </cfRule>
  </conditionalFormatting>
  <conditionalFormatting sqref="C60:C64">
    <cfRule type="cellIs" dxfId="2608" priority="18" stopIfTrue="1" operator="lessThan">
      <formula>0</formula>
    </cfRule>
  </conditionalFormatting>
  <conditionalFormatting sqref="C53:C55">
    <cfRule type="cellIs" dxfId="2607" priority="17" stopIfTrue="1" operator="lessThan">
      <formula>0</formula>
    </cfRule>
  </conditionalFormatting>
  <conditionalFormatting sqref="C53">
    <cfRule type="cellIs" dxfId="2606" priority="16" stopIfTrue="1" operator="lessThan">
      <formula>0</formula>
    </cfRule>
  </conditionalFormatting>
  <conditionalFormatting sqref="G53:G55">
    <cfRule type="cellIs" dxfId="2605" priority="13" stopIfTrue="1" operator="lessThan">
      <formula>0</formula>
    </cfRule>
  </conditionalFormatting>
  <conditionalFormatting sqref="G56:G59">
    <cfRule type="cellIs" dxfId="2604" priority="11" stopIfTrue="1" operator="lessThan">
      <formula>0</formula>
    </cfRule>
  </conditionalFormatting>
  <conditionalFormatting sqref="C75:C78">
    <cfRule type="cellIs" dxfId="2603" priority="10" stopIfTrue="1" operator="lessThan">
      <formula>0</formula>
    </cfRule>
  </conditionalFormatting>
  <conditionalFormatting sqref="C68:C70">
    <cfRule type="cellIs" dxfId="2602" priority="9" stopIfTrue="1" operator="lessThan">
      <formula>0</formula>
    </cfRule>
  </conditionalFormatting>
  <conditionalFormatting sqref="C68">
    <cfRule type="cellIs" dxfId="2601" priority="8" stopIfTrue="1" operator="lessThan">
      <formula>0</formula>
    </cfRule>
  </conditionalFormatting>
  <conditionalFormatting sqref="C71:C74">
    <cfRule type="cellIs" dxfId="2600" priority="7" stopIfTrue="1" operator="lessThan">
      <formula>0</formula>
    </cfRule>
  </conditionalFormatting>
  <conditionalFormatting sqref="G75:G79">
    <cfRule type="cellIs" dxfId="2599" priority="6" stopIfTrue="1" operator="lessThan">
      <formula>0</formula>
    </cfRule>
  </conditionalFormatting>
  <conditionalFormatting sqref="G68:G70">
    <cfRule type="cellIs" dxfId="2598" priority="5" stopIfTrue="1" operator="lessThan">
      <formula>0</formula>
    </cfRule>
  </conditionalFormatting>
  <conditionalFormatting sqref="G68">
    <cfRule type="cellIs" dxfId="2597" priority="4" stopIfTrue="1" operator="lessThan">
      <formula>0</formula>
    </cfRule>
  </conditionalFormatting>
  <conditionalFormatting sqref="G71:G74">
    <cfRule type="cellIs" dxfId="2596" priority="3" stopIfTrue="1" operator="lessThan">
      <formula>0</formula>
    </cfRule>
  </conditionalFormatting>
  <conditionalFormatting sqref="G64">
    <cfRule type="cellIs" dxfId="2595" priority="2" stopIfTrue="1" operator="lessThan">
      <formula>0</formula>
    </cfRule>
  </conditionalFormatting>
  <conditionalFormatting sqref="C79">
    <cfRule type="cellIs" dxfId="2594" priority="1" stopIfTrue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Hoja73"/>
  <dimension ref="A2:M121"/>
  <sheetViews>
    <sheetView workbookViewId="0">
      <selection activeCell="I11" sqref="I11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43045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5301689</v>
      </c>
      <c r="D7" s="67">
        <f>+IF(C7/$F$111=0,"",C7/$F$111)</f>
        <v>7.7905001376233295E-5</v>
      </c>
      <c r="E7" s="68"/>
      <c r="F7" s="65" t="s">
        <v>5</v>
      </c>
      <c r="G7" s="66">
        <v>753662</v>
      </c>
      <c r="H7" s="69">
        <f>+IF(G7/$C$113=0,"",G7/$C$113)</f>
        <v>7.9663371437460541E-5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-134015</v>
      </c>
      <c r="H8" s="69">
        <f>+IF(G8/$C$113=0,"",G8/$C$113)</f>
        <v>-1.4165616314994352E-5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>
        <v>6232</v>
      </c>
      <c r="H9" s="69">
        <f t="shared" ref="H9:H18" si="0">+IF(G9/$C$113=0,"",G9/$C$113)</f>
        <v>6.5873313341823528E-7</v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65600</v>
      </c>
      <c r="H11" s="69">
        <f t="shared" si="0"/>
        <v>6.9340329833498449E-6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-170880</v>
      </c>
      <c r="H12" s="69">
        <f t="shared" si="0"/>
        <v>-1.8062310307847889E-5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-326987</v>
      </c>
      <c r="H14" s="69">
        <f t="shared" si="0"/>
        <v>-3.4563089072052069E-5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-227362</v>
      </c>
      <c r="D18" s="67">
        <f>+IF(C18/$F$111=0,"",C18/$F$111)</f>
        <v>-3.3409422776219344E-6</v>
      </c>
      <c r="E18" s="75"/>
      <c r="F18" s="65" t="s">
        <v>16</v>
      </c>
      <c r="G18" s="72">
        <v>-28087</v>
      </c>
      <c r="H18" s="69">
        <f t="shared" si="0"/>
        <v>-2.9688442744412666E-6</v>
      </c>
    </row>
    <row r="19" spans="2:9" s="80" customFormat="1" x14ac:dyDescent="0.2">
      <c r="B19" s="76" t="s">
        <v>17</v>
      </c>
      <c r="C19" s="77">
        <f>SUM(C7:C18)</f>
        <v>5074327</v>
      </c>
      <c r="D19" s="78">
        <f>SUM(D7:D18)</f>
        <v>7.4564059098611367E-5</v>
      </c>
      <c r="E19" s="79"/>
      <c r="F19" s="76" t="s">
        <v>17</v>
      </c>
      <c r="G19" s="77">
        <f>SUM(G7:G18)</f>
        <v>165525</v>
      </c>
      <c r="H19" s="78">
        <f>SUM(H7:H18)</f>
        <v>1.7496277584893036E-5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2597.4506999999999</v>
      </c>
      <c r="D22" s="69">
        <f>+IF(C22/$F$112=0,"",C22/$F$112)</f>
        <v>6.2151203613668144E-5</v>
      </c>
      <c r="E22" s="75"/>
      <c r="F22" s="65" t="s">
        <v>5</v>
      </c>
      <c r="G22" s="66">
        <v>1730529</v>
      </c>
      <c r="H22" s="69">
        <f t="shared" ref="H22:H33" si="2">+IF(G22/$C$106=0,"",G22/$C$106)</f>
        <v>7.7349674257972854E-5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-346559</v>
      </c>
      <c r="H23" s="69">
        <f t="shared" si="2"/>
        <v>-1.5490191589490159E-5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46.823775288939686</v>
      </c>
      <c r="D26" s="69">
        <f>+IF(C26/$F$112=0,"",C26/$F$112)</f>
        <v>1.1203885378627333E-6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91365.233899999992</v>
      </c>
      <c r="D27" s="69">
        <f t="shared" ref="D27:D33" si="3">+IF(C27/$F$112=0,"",C27/$F$112)</f>
        <v>2.1861663265945008E-3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3160463</v>
      </c>
      <c r="H29" s="69">
        <f t="shared" si="2"/>
        <v>1.412636156657159E-4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-92180.111600000004</v>
      </c>
      <c r="D31" s="69">
        <f t="shared" si="3"/>
        <v>-2.2056645329908485E-3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-111.02</v>
      </c>
      <c r="D33" s="69">
        <f t="shared" si="3"/>
        <v>-2.6564610543674368E-6</v>
      </c>
      <c r="E33" s="75"/>
      <c r="F33" s="65" t="s">
        <v>16</v>
      </c>
      <c r="G33" s="72">
        <v>-44203</v>
      </c>
      <c r="H33" s="69">
        <f t="shared" si="2"/>
        <v>-1.975747098849643E-6</v>
      </c>
    </row>
    <row r="34" spans="1:13" s="80" customFormat="1" x14ac:dyDescent="0.2">
      <c r="B34" s="76" t="s">
        <v>17</v>
      </c>
      <c r="C34" s="93">
        <f>SUM(C22:C33)</f>
        <v>1718.3767752889294</v>
      </c>
      <c r="D34" s="78">
        <f>SUM(D22:D33)</f>
        <v>4.1116924700815557E-5</v>
      </c>
      <c r="E34" s="79"/>
      <c r="F34" s="76" t="s">
        <v>17</v>
      </c>
      <c r="G34" s="77">
        <f>SUM(G22:G33)</f>
        <v>4500230</v>
      </c>
      <c r="H34" s="78">
        <f>SUM(H22:H33)</f>
        <v>2.0114735123534896E-4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3939696</v>
      </c>
      <c r="D37" s="69">
        <f t="shared" ref="D37:D48" si="4">+IF(C37/$C$114=0,"",C37/$C$114)</f>
        <v>4.6993618013649651E-5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-2542785</v>
      </c>
      <c r="D38" s="69">
        <f t="shared" si="4"/>
        <v>-3.0330935935371186E-5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4755</v>
      </c>
      <c r="H43" s="69">
        <f t="shared" si="5"/>
        <v>9.2576555039341458E-7</v>
      </c>
    </row>
    <row r="44" spans="1:13" x14ac:dyDescent="0.2">
      <c r="B44" s="65" t="s">
        <v>12</v>
      </c>
      <c r="C44" s="72">
        <v>-12984182</v>
      </c>
      <c r="D44" s="69">
        <f t="shared" si="4"/>
        <v>-1.5487836856643394E-4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10667888</v>
      </c>
      <c r="D45" s="69">
        <f t="shared" si="4"/>
        <v>1.2724907040654836E-4</v>
      </c>
      <c r="E45" s="68"/>
      <c r="F45" s="65" t="s">
        <v>13</v>
      </c>
      <c r="G45" s="72">
        <v>40220324</v>
      </c>
      <c r="H45" s="69">
        <f t="shared" si="5"/>
        <v>7.8306183774682365E-3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-128599</v>
      </c>
      <c r="D48" s="69">
        <f t="shared" si="4"/>
        <v>-1.5339590371788411E-6</v>
      </c>
      <c r="E48" s="68"/>
      <c r="F48" s="65" t="s">
        <v>16</v>
      </c>
      <c r="G48" s="72">
        <v>-25027</v>
      </c>
      <c r="H48" s="69">
        <f t="shared" si="5"/>
        <v>-4.8725834762767582E-6</v>
      </c>
    </row>
    <row r="49" spans="2:9" s="80" customFormat="1" x14ac:dyDescent="0.2">
      <c r="B49" s="76" t="s">
        <v>17</v>
      </c>
      <c r="C49" s="77">
        <f>SUM(C37:C48)</f>
        <v>-1047982</v>
      </c>
      <c r="D49" s="78">
        <f>SUM(D37:D48)</f>
        <v>-1.2500575118785961E-5</v>
      </c>
      <c r="E49" s="79"/>
      <c r="F49" s="76" t="s">
        <v>17</v>
      </c>
      <c r="G49" s="77">
        <f>SUM(G37:G48)</f>
        <v>40200052</v>
      </c>
      <c r="H49" s="78">
        <f>SUM(H37:H48)</f>
        <v>7.826671559542352E-3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16244.7163</v>
      </c>
      <c r="H53" s="69">
        <f t="shared" ref="H53:H64" si="7">+IF(G53/$C$115=0,"",G53/$C$115)</f>
        <v>1.3264710781697887E-4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-119119</v>
      </c>
      <c r="D57" s="69">
        <f t="shared" si="6"/>
        <v>-5.4336962564836314E-6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-21943056</v>
      </c>
      <c r="D58" s="69">
        <f t="shared" si="6"/>
        <v>-1.0009478021391271E-3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-6583.2878000000001</v>
      </c>
      <c r="H60" s="69">
        <f t="shared" si="7"/>
        <v>-5.3756191888485101E-5</v>
      </c>
    </row>
    <row r="61" spans="2:9" x14ac:dyDescent="0.2">
      <c r="B61" s="65" t="s">
        <v>13</v>
      </c>
      <c r="C61" s="72">
        <v>170393536</v>
      </c>
      <c r="D61" s="69">
        <f t="shared" si="6"/>
        <v>7.7726199740780974E-3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-143241</v>
      </c>
      <c r="D64" s="69">
        <f t="shared" si="6"/>
        <v>-6.5340381087397632E-6</v>
      </c>
      <c r="E64" s="68"/>
      <c r="F64" s="65" t="s">
        <v>16</v>
      </c>
      <c r="G64" s="92">
        <v>-87.75</v>
      </c>
      <c r="H64" s="69">
        <f t="shared" si="7"/>
        <v>-7.1652736163449637E-7</v>
      </c>
    </row>
    <row r="65" spans="2:8" s="80" customFormat="1" x14ac:dyDescent="0.2">
      <c r="B65" s="76" t="s">
        <v>17</v>
      </c>
      <c r="C65" s="77">
        <f>SUM(C53:C64)</f>
        <v>148188120</v>
      </c>
      <c r="D65" s="78">
        <f>SUM(D53:D64)</f>
        <v>6.7597044375737464E-3</v>
      </c>
      <c r="E65" s="79"/>
      <c r="F65" s="76" t="s">
        <v>17</v>
      </c>
      <c r="G65" s="93">
        <f>SUM(G53:G64)</f>
        <v>9573.6785</v>
      </c>
      <c r="H65" s="78">
        <f>SUM(H53:H64)</f>
        <v>7.8174388566859272E-5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18663</v>
      </c>
      <c r="D72" s="69">
        <f t="shared" si="8"/>
        <v>1.4850802575685832E-6</v>
      </c>
      <c r="E72" s="68"/>
      <c r="F72" s="65" t="s">
        <v>9</v>
      </c>
      <c r="G72" s="66">
        <v>825478</v>
      </c>
      <c r="H72" s="69">
        <f t="shared" si="9"/>
        <v>1.304104614208682E-4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36390231</v>
      </c>
      <c r="D76" s="69">
        <f t="shared" si="8"/>
        <v>2.8956980992584386E-3</v>
      </c>
      <c r="E76" s="68"/>
      <c r="F76" s="65" t="s">
        <v>13</v>
      </c>
      <c r="G76" s="72">
        <v>-4185993</v>
      </c>
      <c r="H76" s="69">
        <f t="shared" si="9"/>
        <v>-6.6131051176957379E-4</v>
      </c>
    </row>
    <row r="77" spans="2:8" x14ac:dyDescent="0.2">
      <c r="B77" s="65" t="s">
        <v>14</v>
      </c>
      <c r="C77" s="66">
        <v>42950860</v>
      </c>
      <c r="D77" s="69">
        <f t="shared" si="8"/>
        <v>3.4177503205053933E-3</v>
      </c>
      <c r="E77" s="68"/>
      <c r="F77" s="65" t="s">
        <v>14</v>
      </c>
      <c r="G77" s="66">
        <v>20699582</v>
      </c>
      <c r="H77" s="69">
        <f t="shared" si="9"/>
        <v>3.2701562486693739E-3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-9595</v>
      </c>
      <c r="D79" s="69">
        <f t="shared" si="8"/>
        <v>-7.6350774641646865E-7</v>
      </c>
      <c r="E79" s="68"/>
      <c r="F79" s="65" t="s">
        <v>16</v>
      </c>
      <c r="G79" s="72">
        <v>-9595</v>
      </c>
      <c r="H79" s="69">
        <f t="shared" si="9"/>
        <v>-1.5158349190811024E-6</v>
      </c>
    </row>
    <row r="80" spans="2:8" s="80" customFormat="1" x14ac:dyDescent="0.2">
      <c r="B80" s="76" t="s">
        <v>17</v>
      </c>
      <c r="C80" s="77">
        <f>SUM(C68:C79)</f>
        <v>79350159</v>
      </c>
      <c r="D80" s="78">
        <f>SUM(D68:D79)</f>
        <v>6.314169992274985E-3</v>
      </c>
      <c r="E80" s="79"/>
      <c r="F80" s="76" t="s">
        <v>17</v>
      </c>
      <c r="G80" s="77">
        <f>SUM(G68:G79)</f>
        <v>17329472</v>
      </c>
      <c r="H80" s="78">
        <f>SUM(H68:H79)</f>
        <v>2.7377403634015873E-3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22372802686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21922278018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12566997578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5136289634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6329844945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66506141698.999908</v>
      </c>
      <c r="D111" s="191">
        <v>1547114271</v>
      </c>
      <c r="F111" s="106">
        <f>+C111+D111</f>
        <v>68053255969.999908</v>
      </c>
      <c r="G111" s="62"/>
      <c r="H111" s="62"/>
    </row>
    <row r="112" spans="2:8" x14ac:dyDescent="0.2">
      <c r="B112" s="189" t="s">
        <v>18</v>
      </c>
      <c r="C112" s="192">
        <v>40664909.225400001</v>
      </c>
      <c r="D112" s="193">
        <v>1127534.83</v>
      </c>
      <c r="F112" s="106">
        <f>+C112+D112</f>
        <v>41792444.055399999</v>
      </c>
      <c r="H112" s="75"/>
    </row>
    <row r="113" spans="1:13" x14ac:dyDescent="0.2">
      <c r="B113" s="189" t="s">
        <v>4</v>
      </c>
      <c r="C113" s="190">
        <v>9460583783.9999008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83834702807</v>
      </c>
      <c r="D114" s="107"/>
      <c r="F114" s="106"/>
      <c r="H114" s="75"/>
    </row>
    <row r="115" spans="1:13" x14ac:dyDescent="0.2">
      <c r="B115" s="189" t="s">
        <v>25</v>
      </c>
      <c r="C115" s="192">
        <v>122465665.23270001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593" priority="46" stopIfTrue="1" operator="lessThan">
      <formula>0</formula>
    </cfRule>
  </conditionalFormatting>
  <conditionalFormatting sqref="C89">
    <cfRule type="cellIs" dxfId="2592" priority="43" stopIfTrue="1" operator="lessThan">
      <formula>0</formula>
    </cfRule>
  </conditionalFormatting>
  <conditionalFormatting sqref="C85">
    <cfRule type="cellIs" dxfId="2591" priority="45" stopIfTrue="1" operator="lessThan">
      <formula>0</formula>
    </cfRule>
  </conditionalFormatting>
  <conditionalFormatting sqref="C7:C9">
    <cfRule type="cellIs" dxfId="2590" priority="42" stopIfTrue="1" operator="lessThan">
      <formula>0</formula>
    </cfRule>
  </conditionalFormatting>
  <conditionalFormatting sqref="C10:C13">
    <cfRule type="cellIs" dxfId="2589" priority="40" stopIfTrue="1" operator="lessThan">
      <formula>0</formula>
    </cfRule>
  </conditionalFormatting>
  <conditionalFormatting sqref="C88">
    <cfRule type="cellIs" dxfId="2588" priority="44" stopIfTrue="1" operator="lessThan">
      <formula>0</formula>
    </cfRule>
  </conditionalFormatting>
  <conditionalFormatting sqref="C101">
    <cfRule type="cellIs" dxfId="2587" priority="39" stopIfTrue="1" operator="lessThan">
      <formula>0</formula>
    </cfRule>
  </conditionalFormatting>
  <conditionalFormatting sqref="C7">
    <cfRule type="cellIs" dxfId="2586" priority="41" stopIfTrue="1" operator="lessThan">
      <formula>0</formula>
    </cfRule>
  </conditionalFormatting>
  <conditionalFormatting sqref="C29:C33">
    <cfRule type="cellIs" dxfId="2585" priority="34" stopIfTrue="1" operator="lessThan">
      <formula>0</formula>
    </cfRule>
  </conditionalFormatting>
  <conditionalFormatting sqref="G7:G9">
    <cfRule type="cellIs" dxfId="2584" priority="37" stopIfTrue="1" operator="lessThan">
      <formula>0</formula>
    </cfRule>
  </conditionalFormatting>
  <conditionalFormatting sqref="C22">
    <cfRule type="cellIs" dxfId="2583" priority="32" stopIfTrue="1" operator="lessThan">
      <formula>0</formula>
    </cfRule>
  </conditionalFormatting>
  <conditionalFormatting sqref="C25:C28">
    <cfRule type="cellIs" dxfId="2582" priority="31" stopIfTrue="1" operator="lessThan">
      <formula>0</formula>
    </cfRule>
  </conditionalFormatting>
  <conditionalFormatting sqref="G14:G18">
    <cfRule type="cellIs" dxfId="2581" priority="38" stopIfTrue="1" operator="lessThan">
      <formula>0</formula>
    </cfRule>
  </conditionalFormatting>
  <conditionalFormatting sqref="G7">
    <cfRule type="cellIs" dxfId="2580" priority="36" stopIfTrue="1" operator="lessThan">
      <formula>0</formula>
    </cfRule>
  </conditionalFormatting>
  <conditionalFormatting sqref="G10:G13">
    <cfRule type="cellIs" dxfId="2579" priority="35" stopIfTrue="1" operator="lessThan">
      <formula>0</formula>
    </cfRule>
  </conditionalFormatting>
  <conditionalFormatting sqref="C22:C24">
    <cfRule type="cellIs" dxfId="2578" priority="33" stopIfTrue="1" operator="lessThan">
      <formula>0</formula>
    </cfRule>
  </conditionalFormatting>
  <conditionalFormatting sqref="G22">
    <cfRule type="cellIs" dxfId="2577" priority="28" stopIfTrue="1" operator="lessThan">
      <formula>0</formula>
    </cfRule>
  </conditionalFormatting>
  <conditionalFormatting sqref="G29:G33">
    <cfRule type="cellIs" dxfId="2576" priority="30" stopIfTrue="1" operator="lessThan">
      <formula>0</formula>
    </cfRule>
  </conditionalFormatting>
  <conditionalFormatting sqref="G22:G24">
    <cfRule type="cellIs" dxfId="2575" priority="29" stopIfTrue="1" operator="lessThan">
      <formula>0</formula>
    </cfRule>
  </conditionalFormatting>
  <conditionalFormatting sqref="G25:G28">
    <cfRule type="cellIs" dxfId="2574" priority="27" stopIfTrue="1" operator="lessThan">
      <formula>0</formula>
    </cfRule>
  </conditionalFormatting>
  <conditionalFormatting sqref="C40:C43">
    <cfRule type="cellIs" dxfId="2573" priority="23" stopIfTrue="1" operator="lessThan">
      <formula>0</formula>
    </cfRule>
  </conditionalFormatting>
  <conditionalFormatting sqref="G44:G48">
    <cfRule type="cellIs" dxfId="2572" priority="22" stopIfTrue="1" operator="lessThan">
      <formula>0</formula>
    </cfRule>
  </conditionalFormatting>
  <conditionalFormatting sqref="G37">
    <cfRule type="cellIs" dxfId="2571" priority="20" stopIfTrue="1" operator="lessThan">
      <formula>0</formula>
    </cfRule>
  </conditionalFormatting>
  <conditionalFormatting sqref="C44:C48">
    <cfRule type="cellIs" dxfId="2570" priority="26" stopIfTrue="1" operator="lessThan">
      <formula>0</formula>
    </cfRule>
  </conditionalFormatting>
  <conditionalFormatting sqref="C37:C39">
    <cfRule type="cellIs" dxfId="2569" priority="25" stopIfTrue="1" operator="lessThan">
      <formula>0</formula>
    </cfRule>
  </conditionalFormatting>
  <conditionalFormatting sqref="C37">
    <cfRule type="cellIs" dxfId="2568" priority="24" stopIfTrue="1" operator="lessThan">
      <formula>0</formula>
    </cfRule>
  </conditionalFormatting>
  <conditionalFormatting sqref="C56:C59">
    <cfRule type="cellIs" dxfId="2567" priority="15" stopIfTrue="1" operator="lessThan">
      <formula>0</formula>
    </cfRule>
  </conditionalFormatting>
  <conditionalFormatting sqref="G60:G63">
    <cfRule type="cellIs" dxfId="2566" priority="14" stopIfTrue="1" operator="lessThan">
      <formula>0</formula>
    </cfRule>
  </conditionalFormatting>
  <conditionalFormatting sqref="G37:G39">
    <cfRule type="cellIs" dxfId="2565" priority="21" stopIfTrue="1" operator="lessThan">
      <formula>0</formula>
    </cfRule>
  </conditionalFormatting>
  <conditionalFormatting sqref="G53">
    <cfRule type="cellIs" dxfId="2564" priority="12" stopIfTrue="1" operator="lessThan">
      <formula>0</formula>
    </cfRule>
  </conditionalFormatting>
  <conditionalFormatting sqref="G40:G43">
    <cfRule type="cellIs" dxfId="2563" priority="19" stopIfTrue="1" operator="lessThan">
      <formula>0</formula>
    </cfRule>
  </conditionalFormatting>
  <conditionalFormatting sqref="C60:C64">
    <cfRule type="cellIs" dxfId="2562" priority="18" stopIfTrue="1" operator="lessThan">
      <formula>0</formula>
    </cfRule>
  </conditionalFormatting>
  <conditionalFormatting sqref="C53:C55">
    <cfRule type="cellIs" dxfId="2561" priority="17" stopIfTrue="1" operator="lessThan">
      <formula>0</formula>
    </cfRule>
  </conditionalFormatting>
  <conditionalFormatting sqref="C53">
    <cfRule type="cellIs" dxfId="2560" priority="16" stopIfTrue="1" operator="lessThan">
      <formula>0</formula>
    </cfRule>
  </conditionalFormatting>
  <conditionalFormatting sqref="G53:G55">
    <cfRule type="cellIs" dxfId="2559" priority="13" stopIfTrue="1" operator="lessThan">
      <formula>0</formula>
    </cfRule>
  </conditionalFormatting>
  <conditionalFormatting sqref="G56:G59">
    <cfRule type="cellIs" dxfId="2558" priority="11" stopIfTrue="1" operator="lessThan">
      <formula>0</formula>
    </cfRule>
  </conditionalFormatting>
  <conditionalFormatting sqref="C75:C78">
    <cfRule type="cellIs" dxfId="2557" priority="10" stopIfTrue="1" operator="lessThan">
      <formula>0</formula>
    </cfRule>
  </conditionalFormatting>
  <conditionalFormatting sqref="C68:C70">
    <cfRule type="cellIs" dxfId="2556" priority="9" stopIfTrue="1" operator="lessThan">
      <formula>0</formula>
    </cfRule>
  </conditionalFormatting>
  <conditionalFormatting sqref="C68">
    <cfRule type="cellIs" dxfId="2555" priority="8" stopIfTrue="1" operator="lessThan">
      <formula>0</formula>
    </cfRule>
  </conditionalFormatting>
  <conditionalFormatting sqref="C71:C74">
    <cfRule type="cellIs" dxfId="2554" priority="7" stopIfTrue="1" operator="lessThan">
      <formula>0</formula>
    </cfRule>
  </conditionalFormatting>
  <conditionalFormatting sqref="G75:G79">
    <cfRule type="cellIs" dxfId="2553" priority="6" stopIfTrue="1" operator="lessThan">
      <formula>0</formula>
    </cfRule>
  </conditionalFormatting>
  <conditionalFormatting sqref="G68:G70">
    <cfRule type="cellIs" dxfId="2552" priority="5" stopIfTrue="1" operator="lessThan">
      <formula>0</formula>
    </cfRule>
  </conditionalFormatting>
  <conditionalFormatting sqref="G68">
    <cfRule type="cellIs" dxfId="2551" priority="4" stopIfTrue="1" operator="lessThan">
      <formula>0</formula>
    </cfRule>
  </conditionalFormatting>
  <conditionalFormatting sqref="G71:G74">
    <cfRule type="cellIs" dxfId="2550" priority="3" stopIfTrue="1" operator="lessThan">
      <formula>0</formula>
    </cfRule>
  </conditionalFormatting>
  <conditionalFormatting sqref="G64">
    <cfRule type="cellIs" dxfId="2549" priority="2" stopIfTrue="1" operator="lessThan">
      <formula>0</formula>
    </cfRule>
  </conditionalFormatting>
  <conditionalFormatting sqref="C79">
    <cfRule type="cellIs" dxfId="2548" priority="1" stopIfTrue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Hoja74"/>
  <dimension ref="A2:M121"/>
  <sheetViews>
    <sheetView zoomScaleNormal="100" workbookViewId="0">
      <selection activeCell="I15" sqref="I15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43046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5234355</v>
      </c>
      <c r="D7" s="67">
        <f>+IF(C7/$F$111=0,"",C7/$F$111)</f>
        <v>7.7474687779732402E-5</v>
      </c>
      <c r="E7" s="68"/>
      <c r="F7" s="65" t="s">
        <v>5</v>
      </c>
      <c r="G7" s="66">
        <v>920767</v>
      </c>
      <c r="H7" s="69">
        <f>+IF(G7/$C$113=0,"",G7/$C$113)</f>
        <v>9.7543005874358398E-5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-133937</v>
      </c>
      <c r="H8" s="69">
        <f>+IF(G8/$C$113=0,"",G8/$C$113)</f>
        <v>-1.4188842104239119E-5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10265</v>
      </c>
      <c r="H11" s="69">
        <f t="shared" si="0"/>
        <v>1.0874400964633712E-6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-60560</v>
      </c>
      <c r="H12" s="69">
        <f t="shared" si="0"/>
        <v>-6.4155257907278872E-6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-429228</v>
      </c>
      <c r="H14" s="69">
        <f t="shared" si="0"/>
        <v>-4.5470992471970767E-5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-246794</v>
      </c>
      <c r="D17" s="67">
        <f>+IF(C17/$F$111=0,"",C17/$F$111)</f>
        <v>-3.6528451157614029E-6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-97725</v>
      </c>
      <c r="D18" s="67">
        <f>+IF(C18/$F$111=0,"",C18/$F$111)</f>
        <v>-1.4464463841818808E-6</v>
      </c>
      <c r="E18" s="75"/>
      <c r="F18" s="65" t="s">
        <v>16</v>
      </c>
      <c r="G18" s="72">
        <v>-22259</v>
      </c>
      <c r="H18" s="69">
        <f t="shared" si="0"/>
        <v>-2.3580447254922727E-6</v>
      </c>
    </row>
    <row r="19" spans="2:9" s="80" customFormat="1" x14ac:dyDescent="0.2">
      <c r="B19" s="76" t="s">
        <v>17</v>
      </c>
      <c r="C19" s="77">
        <f>SUM(C7:C18)</f>
        <v>4889836</v>
      </c>
      <c r="D19" s="78">
        <f>SUM(D7:D18)</f>
        <v>7.2375396279789118E-5</v>
      </c>
      <c r="E19" s="79"/>
      <c r="F19" s="76" t="s">
        <v>17</v>
      </c>
      <c r="G19" s="77">
        <f>SUM(G7:G18)</f>
        <v>285048</v>
      </c>
      <c r="H19" s="78">
        <f>SUM(H7:H18)</f>
        <v>3.0197040878391718E-5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2551.5378999999998</v>
      </c>
      <c r="D22" s="69">
        <f>+IF(C22/$F$112=0,"",C22/$F$112)</f>
        <v>6.1060003536505061E-5</v>
      </c>
      <c r="E22" s="75"/>
      <c r="F22" s="65" t="s">
        <v>5</v>
      </c>
      <c r="G22" s="66">
        <v>1724404</v>
      </c>
      <c r="H22" s="69">
        <f t="shared" ref="H22:H33" si="2">+IF(G22/$C$106=0,"",G22/$C$106)</f>
        <v>7.905305325856488E-5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-361626</v>
      </c>
      <c r="H23" s="69">
        <f t="shared" si="2"/>
        <v>-1.6578272514840944E-5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134.2657377779328</v>
      </c>
      <c r="D26" s="69">
        <f>+IF(C26/$F$112=0,"",C26/$F$112)</f>
        <v>3.2130686452088519E-6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30918.340000000011</v>
      </c>
      <c r="D27" s="69">
        <f t="shared" ref="D27:D33" si="3">+IF(C27/$F$112=0,"",C27/$F$112)</f>
        <v>7.3989649526384337E-4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508564</v>
      </c>
      <c r="H29" s="69">
        <f t="shared" si="2"/>
        <v>2.3314453560412055E-5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-31481.575700000001</v>
      </c>
      <c r="D31" s="69">
        <f t="shared" si="3"/>
        <v>-7.5337510117986183E-4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-183898</v>
      </c>
      <c r="H32" s="69">
        <f t="shared" si="2"/>
        <v>-8.4305640604774546E-6</v>
      </c>
    </row>
    <row r="33" spans="1:13" x14ac:dyDescent="0.2">
      <c r="B33" s="65" t="s">
        <v>16</v>
      </c>
      <c r="C33" s="71">
        <v>-223.04</v>
      </c>
      <c r="D33" s="69">
        <f t="shared" si="3"/>
        <v>-5.3374959426556391E-6</v>
      </c>
      <c r="E33" s="75"/>
      <c r="F33" s="65" t="s">
        <v>16</v>
      </c>
      <c r="G33" s="72">
        <v>-63850</v>
      </c>
      <c r="H33" s="69">
        <f t="shared" si="2"/>
        <v>-2.9271200081647734E-6</v>
      </c>
    </row>
    <row r="34" spans="1:13" s="80" customFormat="1" x14ac:dyDescent="0.2">
      <c r="B34" s="76" t="s">
        <v>17</v>
      </c>
      <c r="C34" s="93">
        <f>SUM(C22:C33)</f>
        <v>1899.5279377779452</v>
      </c>
      <c r="D34" s="78">
        <f>SUM(D22:D33)</f>
        <v>4.5456970323039846E-5</v>
      </c>
      <c r="E34" s="79"/>
      <c r="F34" s="76" t="s">
        <v>17</v>
      </c>
      <c r="G34" s="77">
        <f>SUM(G22:G33)</f>
        <v>1623594</v>
      </c>
      <c r="H34" s="78">
        <f>SUM(H22:H33)</f>
        <v>7.4431550235493744E-5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4716669</v>
      </c>
      <c r="D37" s="69">
        <f t="shared" ref="D37:D48" si="4">+IF(C37/$C$114=0,"",C37/$C$114)</f>
        <v>5.6251287884798378E-5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-2542445</v>
      </c>
      <c r="D38" s="69">
        <f t="shared" si="4"/>
        <v>-3.0321357217618241E-5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2572080</v>
      </c>
      <c r="H39" s="69">
        <f t="shared" si="5"/>
        <v>5.089650037434063E-4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>
        <v>-242133</v>
      </c>
      <c r="H41" s="69">
        <f t="shared" si="5"/>
        <v>-4.7913448746307339E-5</v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4756</v>
      </c>
      <c r="H43" s="69">
        <f t="shared" si="5"/>
        <v>9.4112063302993697E-7</v>
      </c>
    </row>
    <row r="44" spans="1:13" x14ac:dyDescent="0.2">
      <c r="B44" s="65" t="s">
        <v>12</v>
      </c>
      <c r="C44" s="72">
        <v>8120000</v>
      </c>
      <c r="D44" s="69">
        <f t="shared" si="4"/>
        <v>9.6839625088078655E-5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549664</v>
      </c>
      <c r="D45" s="69">
        <f t="shared" si="4"/>
        <v>6.555327054730747E-6</v>
      </c>
      <c r="E45" s="68"/>
      <c r="F45" s="65" t="s">
        <v>13</v>
      </c>
      <c r="G45" s="72">
        <v>-21304328</v>
      </c>
      <c r="H45" s="69">
        <f t="shared" si="5"/>
        <v>-4.2157154444149303E-3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>
        <v>-704869</v>
      </c>
      <c r="H47" s="69">
        <f t="shared" si="5"/>
        <v>-1.3947997466004597E-4</v>
      </c>
    </row>
    <row r="48" spans="1:13" x14ac:dyDescent="0.2">
      <c r="B48" s="65" t="s">
        <v>16</v>
      </c>
      <c r="C48" s="72">
        <v>-111100</v>
      </c>
      <c r="D48" s="69">
        <f t="shared" si="4"/>
        <v>-1.3249855107494505E-6</v>
      </c>
      <c r="E48" s="68"/>
      <c r="F48" s="65" t="s">
        <v>16</v>
      </c>
      <c r="G48" s="72">
        <v>-21024</v>
      </c>
      <c r="H48" s="69">
        <f t="shared" si="5"/>
        <v>-4.1602439421407472E-6</v>
      </c>
    </row>
    <row r="49" spans="2:9" s="80" customFormat="1" x14ac:dyDescent="0.2">
      <c r="B49" s="76" t="s">
        <v>17</v>
      </c>
      <c r="C49" s="77">
        <f>SUM(C37:C48)</f>
        <v>10732788</v>
      </c>
      <c r="D49" s="78">
        <f>SUM(D37:D48)</f>
        <v>1.279998972992401E-4</v>
      </c>
      <c r="E49" s="79"/>
      <c r="F49" s="76" t="s">
        <v>17</v>
      </c>
      <c r="G49" s="77">
        <f>SUM(G37:G48)</f>
        <v>-19695518</v>
      </c>
      <c r="H49" s="78">
        <f>SUM(H37:H48)</f>
        <v>-3.8973629873869883E-3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16244.7251</v>
      </c>
      <c r="H53" s="69">
        <f t="shared" ref="H53:H64" si="7">+IF(G53/$C$115=0,"",G53/$C$115)</f>
        <v>1.3263858060157639E-4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>
        <v>18711580</v>
      </c>
      <c r="D55" s="69">
        <f t="shared" si="6"/>
        <v>8.439878352352072E-4</v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12365562</v>
      </c>
      <c r="D58" s="69">
        <f t="shared" si="6"/>
        <v>5.5775000848922113E-4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>
        <v>-119119</v>
      </c>
      <c r="D59" s="69">
        <f t="shared" si="6"/>
        <v>-5.3728753502046673E-6</v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-15187.6684</v>
      </c>
      <c r="H60" s="69">
        <f t="shared" si="7"/>
        <v>-1.2400768660735382E-4</v>
      </c>
    </row>
    <row r="61" spans="2:9" x14ac:dyDescent="0.2">
      <c r="B61" s="65" t="s">
        <v>13</v>
      </c>
      <c r="C61" s="72">
        <v>-80434381</v>
      </c>
      <c r="D61" s="69">
        <f t="shared" si="6"/>
        <v>-3.6280014354038454E-3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-182223</v>
      </c>
      <c r="D64" s="69">
        <f t="shared" si="6"/>
        <v>-8.2191880803259349E-6</v>
      </c>
      <c r="E64" s="68"/>
      <c r="F64" s="65" t="s">
        <v>16</v>
      </c>
      <c r="G64" s="92">
        <v>-87.68</v>
      </c>
      <c r="H64" s="69">
        <f t="shared" si="7"/>
        <v>-7.159093598417506E-7</v>
      </c>
    </row>
    <row r="65" spans="2:8" s="80" customFormat="1" x14ac:dyDescent="0.2">
      <c r="B65" s="76" t="s">
        <v>17</v>
      </c>
      <c r="C65" s="77">
        <f>SUM(C53:C64)</f>
        <v>-49658581</v>
      </c>
      <c r="D65" s="78">
        <f>SUM(D53:D64)</f>
        <v>-2.2398556551099479E-3</v>
      </c>
      <c r="E65" s="79"/>
      <c r="F65" s="76" t="s">
        <v>17</v>
      </c>
      <c r="G65" s="93">
        <f>SUM(G53:G64)</f>
        <v>969.37669999999912</v>
      </c>
      <c r="H65" s="78">
        <f>SUM(H53:H64)</f>
        <v>7.9149846343808171E-6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>
        <v>463594</v>
      </c>
      <c r="H70" s="69">
        <f t="shared" si="9"/>
        <v>7.304192270233459E-5</v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6480</v>
      </c>
      <c r="D72" s="69">
        <f t="shared" si="8"/>
        <v>5.1242372872304887E-7</v>
      </c>
      <c r="E72" s="68"/>
      <c r="F72" s="65" t="s">
        <v>9</v>
      </c>
      <c r="G72" s="66">
        <v>287174</v>
      </c>
      <c r="H72" s="69">
        <f t="shared" si="9"/>
        <v>4.5245928787085752E-5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-35683466</v>
      </c>
      <c r="D76" s="69">
        <f t="shared" si="8"/>
        <v>-2.8217677008460086E-3</v>
      </c>
      <c r="E76" s="68"/>
      <c r="F76" s="65" t="s">
        <v>13</v>
      </c>
      <c r="G76" s="72">
        <v>-1075728</v>
      </c>
      <c r="H76" s="69">
        <f t="shared" si="9"/>
        <v>-1.6948718366660695E-4</v>
      </c>
    </row>
    <row r="77" spans="2:8" x14ac:dyDescent="0.2">
      <c r="B77" s="65" t="s">
        <v>14</v>
      </c>
      <c r="C77" s="66">
        <v>14871216</v>
      </c>
      <c r="D77" s="69">
        <f t="shared" si="8"/>
        <v>1.175982091568806E-3</v>
      </c>
      <c r="E77" s="68"/>
      <c r="F77" s="65" t="s">
        <v>14</v>
      </c>
      <c r="G77" s="66">
        <v>7186082</v>
      </c>
      <c r="H77" s="69">
        <f t="shared" si="9"/>
        <v>1.1322088853105044E-3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-9596</v>
      </c>
      <c r="D79" s="69">
        <f t="shared" si="8"/>
        <v>-7.5882995383123098E-7</v>
      </c>
      <c r="E79" s="68"/>
      <c r="F79" s="65" t="s">
        <v>16</v>
      </c>
      <c r="G79" s="72">
        <v>-9596</v>
      </c>
      <c r="H79" s="69">
        <f t="shared" si="9"/>
        <v>-1.5119054393534057E-6</v>
      </c>
    </row>
    <row r="80" spans="2:8" s="80" customFormat="1" x14ac:dyDescent="0.2">
      <c r="B80" s="76" t="s">
        <v>17</v>
      </c>
      <c r="C80" s="77">
        <f>SUM(C68:C79)</f>
        <v>-20815366</v>
      </c>
      <c r="D80" s="78">
        <f>SUM(D68:D79)</f>
        <v>-1.6460320155023108E-3</v>
      </c>
      <c r="E80" s="79"/>
      <c r="F80" s="76" t="s">
        <v>17</v>
      </c>
      <c r="G80" s="77">
        <f>SUM(G68:G79)</f>
        <v>6851526</v>
      </c>
      <c r="H80" s="78">
        <f>SUM(H68:H79)</f>
        <v>1.0794976476939644E-3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21813249823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22170438031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12645784410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5053549814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6346957786.0001001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65583375053.000008</v>
      </c>
      <c r="D111" s="191">
        <v>1978755883</v>
      </c>
      <c r="F111" s="106">
        <f>+C111+D111</f>
        <v>67562130936.000008</v>
      </c>
      <c r="G111" s="62"/>
      <c r="H111" s="62"/>
    </row>
    <row r="112" spans="2:8" x14ac:dyDescent="0.2">
      <c r="B112" s="189" t="s">
        <v>18</v>
      </c>
      <c r="C112" s="192">
        <v>41787385.394999996</v>
      </c>
      <c r="D112" s="193"/>
      <c r="F112" s="106">
        <f>+C112+D112</f>
        <v>41787385.394999996</v>
      </c>
      <c r="H112" s="75"/>
    </row>
    <row r="113" spans="1:13" x14ac:dyDescent="0.2">
      <c r="B113" s="189" t="s">
        <v>4</v>
      </c>
      <c r="C113" s="190">
        <v>9439600428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83849973527</v>
      </c>
      <c r="D114" s="107"/>
      <c r="F114" s="106"/>
      <c r="H114" s="75"/>
    </row>
    <row r="115" spans="1:13" x14ac:dyDescent="0.2">
      <c r="B115" s="189" t="s">
        <v>25</v>
      </c>
      <c r="C115" s="192">
        <v>122473604.7862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547" priority="46" stopIfTrue="1" operator="lessThan">
      <formula>0</formula>
    </cfRule>
  </conditionalFormatting>
  <conditionalFormatting sqref="C89">
    <cfRule type="cellIs" dxfId="2546" priority="43" stopIfTrue="1" operator="lessThan">
      <formula>0</formula>
    </cfRule>
  </conditionalFormatting>
  <conditionalFormatting sqref="C85">
    <cfRule type="cellIs" dxfId="2545" priority="45" stopIfTrue="1" operator="lessThan">
      <formula>0</formula>
    </cfRule>
  </conditionalFormatting>
  <conditionalFormatting sqref="C7:C9">
    <cfRule type="cellIs" dxfId="2544" priority="42" stopIfTrue="1" operator="lessThan">
      <formula>0</formula>
    </cfRule>
  </conditionalFormatting>
  <conditionalFormatting sqref="C10:C13">
    <cfRule type="cellIs" dxfId="2543" priority="40" stopIfTrue="1" operator="lessThan">
      <formula>0</formula>
    </cfRule>
  </conditionalFormatting>
  <conditionalFormatting sqref="C88">
    <cfRule type="cellIs" dxfId="2542" priority="44" stopIfTrue="1" operator="lessThan">
      <formula>0</formula>
    </cfRule>
  </conditionalFormatting>
  <conditionalFormatting sqref="C101">
    <cfRule type="cellIs" dxfId="2541" priority="39" stopIfTrue="1" operator="lessThan">
      <formula>0</formula>
    </cfRule>
  </conditionalFormatting>
  <conditionalFormatting sqref="C7">
    <cfRule type="cellIs" dxfId="2540" priority="41" stopIfTrue="1" operator="lessThan">
      <formula>0</formula>
    </cfRule>
  </conditionalFormatting>
  <conditionalFormatting sqref="C29:C33">
    <cfRule type="cellIs" dxfId="2539" priority="34" stopIfTrue="1" operator="lessThan">
      <formula>0</formula>
    </cfRule>
  </conditionalFormatting>
  <conditionalFormatting sqref="G7:G9">
    <cfRule type="cellIs" dxfId="2538" priority="37" stopIfTrue="1" operator="lessThan">
      <formula>0</formula>
    </cfRule>
  </conditionalFormatting>
  <conditionalFormatting sqref="C22">
    <cfRule type="cellIs" dxfId="2537" priority="32" stopIfTrue="1" operator="lessThan">
      <formula>0</formula>
    </cfRule>
  </conditionalFormatting>
  <conditionalFormatting sqref="C25:C28">
    <cfRule type="cellIs" dxfId="2536" priority="31" stopIfTrue="1" operator="lessThan">
      <formula>0</formula>
    </cfRule>
  </conditionalFormatting>
  <conditionalFormatting sqref="G14:G18">
    <cfRule type="cellIs" dxfId="2535" priority="38" stopIfTrue="1" operator="lessThan">
      <formula>0</formula>
    </cfRule>
  </conditionalFormatting>
  <conditionalFormatting sqref="G7">
    <cfRule type="cellIs" dxfId="2534" priority="36" stopIfTrue="1" operator="lessThan">
      <formula>0</formula>
    </cfRule>
  </conditionalFormatting>
  <conditionalFormatting sqref="G10:G13">
    <cfRule type="cellIs" dxfId="2533" priority="35" stopIfTrue="1" operator="lessThan">
      <formula>0</formula>
    </cfRule>
  </conditionalFormatting>
  <conditionalFormatting sqref="C22:C24">
    <cfRule type="cellIs" dxfId="2532" priority="33" stopIfTrue="1" operator="lessThan">
      <formula>0</formula>
    </cfRule>
  </conditionalFormatting>
  <conditionalFormatting sqref="G22">
    <cfRule type="cellIs" dxfId="2531" priority="28" stopIfTrue="1" operator="lessThan">
      <formula>0</formula>
    </cfRule>
  </conditionalFormatting>
  <conditionalFormatting sqref="G29:G33">
    <cfRule type="cellIs" dxfId="2530" priority="30" stopIfTrue="1" operator="lessThan">
      <formula>0</formula>
    </cfRule>
  </conditionalFormatting>
  <conditionalFormatting sqref="G22:G24">
    <cfRule type="cellIs" dxfId="2529" priority="29" stopIfTrue="1" operator="lessThan">
      <formula>0</formula>
    </cfRule>
  </conditionalFormatting>
  <conditionalFormatting sqref="G25:G28">
    <cfRule type="cellIs" dxfId="2528" priority="27" stopIfTrue="1" operator="lessThan">
      <formula>0</formula>
    </cfRule>
  </conditionalFormatting>
  <conditionalFormatting sqref="C40:C43">
    <cfRule type="cellIs" dxfId="2527" priority="23" stopIfTrue="1" operator="lessThan">
      <formula>0</formula>
    </cfRule>
  </conditionalFormatting>
  <conditionalFormatting sqref="G44:G48">
    <cfRule type="cellIs" dxfId="2526" priority="22" stopIfTrue="1" operator="lessThan">
      <formula>0</formula>
    </cfRule>
  </conditionalFormatting>
  <conditionalFormatting sqref="G37">
    <cfRule type="cellIs" dxfId="2525" priority="20" stopIfTrue="1" operator="lessThan">
      <formula>0</formula>
    </cfRule>
  </conditionalFormatting>
  <conditionalFormatting sqref="C44:C48">
    <cfRule type="cellIs" dxfId="2524" priority="26" stopIfTrue="1" operator="lessThan">
      <formula>0</formula>
    </cfRule>
  </conditionalFormatting>
  <conditionalFormatting sqref="C37:C39">
    <cfRule type="cellIs" dxfId="2523" priority="25" stopIfTrue="1" operator="lessThan">
      <formula>0</formula>
    </cfRule>
  </conditionalFormatting>
  <conditionalFormatting sqref="C37">
    <cfRule type="cellIs" dxfId="2522" priority="24" stopIfTrue="1" operator="lessThan">
      <formula>0</formula>
    </cfRule>
  </conditionalFormatting>
  <conditionalFormatting sqref="C56:C59">
    <cfRule type="cellIs" dxfId="2521" priority="15" stopIfTrue="1" operator="lessThan">
      <formula>0</formula>
    </cfRule>
  </conditionalFormatting>
  <conditionalFormatting sqref="G60:G63">
    <cfRule type="cellIs" dxfId="2520" priority="14" stopIfTrue="1" operator="lessThan">
      <formula>0</formula>
    </cfRule>
  </conditionalFormatting>
  <conditionalFormatting sqref="G37:G39">
    <cfRule type="cellIs" dxfId="2519" priority="21" stopIfTrue="1" operator="lessThan">
      <formula>0</formula>
    </cfRule>
  </conditionalFormatting>
  <conditionalFormatting sqref="G53">
    <cfRule type="cellIs" dxfId="2518" priority="12" stopIfTrue="1" operator="lessThan">
      <formula>0</formula>
    </cfRule>
  </conditionalFormatting>
  <conditionalFormatting sqref="G40:G43">
    <cfRule type="cellIs" dxfId="2517" priority="19" stopIfTrue="1" operator="lessThan">
      <formula>0</formula>
    </cfRule>
  </conditionalFormatting>
  <conditionalFormatting sqref="C60:C64">
    <cfRule type="cellIs" dxfId="2516" priority="18" stopIfTrue="1" operator="lessThan">
      <formula>0</formula>
    </cfRule>
  </conditionalFormatting>
  <conditionalFormatting sqref="C53:C55">
    <cfRule type="cellIs" dxfId="2515" priority="17" stopIfTrue="1" operator="lessThan">
      <formula>0</formula>
    </cfRule>
  </conditionalFormatting>
  <conditionalFormatting sqref="C53">
    <cfRule type="cellIs" dxfId="2514" priority="16" stopIfTrue="1" operator="lessThan">
      <formula>0</formula>
    </cfRule>
  </conditionalFormatting>
  <conditionalFormatting sqref="G53:G55">
    <cfRule type="cellIs" dxfId="2513" priority="13" stopIfTrue="1" operator="lessThan">
      <formula>0</formula>
    </cfRule>
  </conditionalFormatting>
  <conditionalFormatting sqref="G56:G59">
    <cfRule type="cellIs" dxfId="2512" priority="11" stopIfTrue="1" operator="lessThan">
      <formula>0</formula>
    </cfRule>
  </conditionalFormatting>
  <conditionalFormatting sqref="C75:C78">
    <cfRule type="cellIs" dxfId="2511" priority="10" stopIfTrue="1" operator="lessThan">
      <formula>0</formula>
    </cfRule>
  </conditionalFormatting>
  <conditionalFormatting sqref="C68:C70">
    <cfRule type="cellIs" dxfId="2510" priority="9" stopIfTrue="1" operator="lessThan">
      <formula>0</formula>
    </cfRule>
  </conditionalFormatting>
  <conditionalFormatting sqref="C68">
    <cfRule type="cellIs" dxfId="2509" priority="8" stopIfTrue="1" operator="lessThan">
      <formula>0</formula>
    </cfRule>
  </conditionalFormatting>
  <conditionalFormatting sqref="C71:C74">
    <cfRule type="cellIs" dxfId="2508" priority="7" stopIfTrue="1" operator="lessThan">
      <formula>0</formula>
    </cfRule>
  </conditionalFormatting>
  <conditionalFormatting sqref="G75:G79">
    <cfRule type="cellIs" dxfId="2507" priority="6" stopIfTrue="1" operator="lessThan">
      <formula>0</formula>
    </cfRule>
  </conditionalFormatting>
  <conditionalFormatting sqref="G68:G70">
    <cfRule type="cellIs" dxfId="2506" priority="5" stopIfTrue="1" operator="lessThan">
      <formula>0</formula>
    </cfRule>
  </conditionalFormatting>
  <conditionalFormatting sqref="G68">
    <cfRule type="cellIs" dxfId="2505" priority="4" stopIfTrue="1" operator="lessThan">
      <formula>0</formula>
    </cfRule>
  </conditionalFormatting>
  <conditionalFormatting sqref="G71:G74">
    <cfRule type="cellIs" dxfId="2504" priority="3" stopIfTrue="1" operator="lessThan">
      <formula>0</formula>
    </cfRule>
  </conditionalFormatting>
  <conditionalFormatting sqref="G64">
    <cfRule type="cellIs" dxfId="2503" priority="2" stopIfTrue="1" operator="lessThan">
      <formula>0</formula>
    </cfRule>
  </conditionalFormatting>
  <conditionalFormatting sqref="C79">
    <cfRule type="cellIs" dxfId="2502" priority="1" stopIfTrue="1" operator="lessThan">
      <formula>0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Hoja75"/>
  <dimension ref="A2:M121"/>
  <sheetViews>
    <sheetView zoomScaleNormal="100" workbookViewId="0">
      <selection activeCell="I55" sqref="I55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43047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5240347</v>
      </c>
      <c r="D7" s="67">
        <f>+IF(C7/$F$111=0,"",C7/$F$111)</f>
        <v>7.8156547416539549E-5</v>
      </c>
      <c r="E7" s="68"/>
      <c r="F7" s="65" t="s">
        <v>5</v>
      </c>
      <c r="G7" s="66">
        <v>471796</v>
      </c>
      <c r="H7" s="69">
        <f>+IF(G7/$C$113=0,"",G7/$C$113)</f>
        <v>4.9979780803810629E-5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-133972</v>
      </c>
      <c r="H8" s="69">
        <f>+IF(G8/$C$113=0,"",G8/$C$113)</f>
        <v>-1.4192344135702969E-5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-29002</v>
      </c>
      <c r="H11" s="69">
        <f t="shared" si="0"/>
        <v>-3.0723312679041702E-6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153760</v>
      </c>
      <c r="H12" s="69">
        <f t="shared" si="0"/>
        <v>1.6288588916383186E-5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-3440351</v>
      </c>
      <c r="H14" s="69">
        <f t="shared" si="0"/>
        <v>-3.644541048846762E-4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-191470</v>
      </c>
      <c r="D18" s="67">
        <f>+IF(C18/$F$111=0,"",C18/$F$111)</f>
        <v>-2.8556571032118349E-6</v>
      </c>
      <c r="E18" s="75"/>
      <c r="F18" s="65" t="s">
        <v>16</v>
      </c>
      <c r="G18" s="72">
        <v>-22264</v>
      </c>
      <c r="H18" s="69">
        <f t="shared" si="0"/>
        <v>-2.3585402161443502E-6</v>
      </c>
    </row>
    <row r="19" spans="2:9" s="80" customFormat="1" x14ac:dyDescent="0.2">
      <c r="B19" s="76" t="s">
        <v>17</v>
      </c>
      <c r="C19" s="77">
        <f>SUM(C7:C18)</f>
        <v>5048877</v>
      </c>
      <c r="D19" s="78">
        <f>SUM(D7:D18)</f>
        <v>7.5300890313327715E-5</v>
      </c>
      <c r="E19" s="79"/>
      <c r="F19" s="76" t="s">
        <v>17</v>
      </c>
      <c r="G19" s="77">
        <f>SUM(G7:G18)</f>
        <v>-3000033</v>
      </c>
      <c r="H19" s="78">
        <f>SUM(H7:H18)</f>
        <v>-3.1780895078423383E-4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2566.1747</v>
      </c>
      <c r="D22" s="69">
        <f>+IF(C22/$F$112=0,"",C22/$F$112)</f>
        <v>6.1264983857732509E-5</v>
      </c>
      <c r="E22" s="75"/>
      <c r="F22" s="65" t="s">
        <v>5</v>
      </c>
      <c r="G22" s="66"/>
      <c r="H22" s="69" t="str">
        <f t="shared" ref="H22:H33" si="2">+IF(G22/$C$106=0,"",G22/$C$106)</f>
        <v/>
      </c>
      <c r="I22" s="114"/>
    </row>
    <row r="23" spans="2:9" x14ac:dyDescent="0.2">
      <c r="B23" s="65" t="s">
        <v>44</v>
      </c>
      <c r="C23" s="71">
        <v>80747.931400000001</v>
      </c>
      <c r="D23" s="69">
        <f>+IF(C23/$F$112=0,"",C23/$F$112)</f>
        <v>1.927780175592212E-3</v>
      </c>
      <c r="E23" s="75"/>
      <c r="F23" s="65" t="s">
        <v>6</v>
      </c>
      <c r="G23" s="66">
        <v>1466327</v>
      </c>
      <c r="H23" s="69">
        <f t="shared" si="2"/>
        <v>6.6717976172681607E-5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>
        <v>-379195</v>
      </c>
      <c r="H24" s="69">
        <f t="shared" si="2"/>
        <v>-1.7253397758344493E-5</v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0.64438579397213402</v>
      </c>
      <c r="D26" s="69">
        <f>+IF(C26/$F$112=0,"",C26/$F$112)</f>
        <v>1.5384098855722852E-8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-81185.53</v>
      </c>
      <c r="D27" s="69">
        <f t="shared" ref="D27:D33" si="3">+IF(C27/$F$112=0,"",C27/$F$112)</f>
        <v>-1.9382274265783456E-3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/>
      <c r="H29" s="69" t="str">
        <f t="shared" si="2"/>
        <v/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>
        <v>8717294</v>
      </c>
      <c r="H30" s="69">
        <f t="shared" si="2"/>
        <v>3.9663745766275896E-4</v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-160.99</v>
      </c>
      <c r="D33" s="69">
        <f t="shared" si="3"/>
        <v>-3.8434833572540313E-6</v>
      </c>
      <c r="E33" s="75"/>
      <c r="F33" s="65" t="s">
        <v>16</v>
      </c>
      <c r="G33" s="72"/>
      <c r="H33" s="69" t="str">
        <f t="shared" si="2"/>
        <v/>
      </c>
    </row>
    <row r="34" spans="1:13" s="80" customFormat="1" x14ac:dyDescent="0.2">
      <c r="B34" s="76" t="s">
        <v>17</v>
      </c>
      <c r="C34" s="93">
        <f>SUM(C22:C33)</f>
        <v>1968.2304857939796</v>
      </c>
      <c r="D34" s="78">
        <f>SUM(D22:D33)</f>
        <v>4.6989633613200902E-5</v>
      </c>
      <c r="E34" s="79"/>
      <c r="F34" s="76" t="s">
        <v>17</v>
      </c>
      <c r="G34" s="77">
        <v>-39678</v>
      </c>
      <c r="H34" s="78">
        <f>SUM(H22:H33)</f>
        <v>4.4610203607709604E-4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4325860</v>
      </c>
      <c r="D37" s="69">
        <f t="shared" ref="D37:D48" si="4">+IF(C37/$C$114=0,"",C37/$C$114)</f>
        <v>5.0867309095335088E-5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-2711829</v>
      </c>
      <c r="D38" s="69">
        <f t="shared" si="4"/>
        <v>-3.1888097154483376E-5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-164685</v>
      </c>
      <c r="H39" s="69">
        <f t="shared" si="5"/>
        <v>-3.2715179014381438E-5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>
        <v>4742</v>
      </c>
      <c r="H41" s="69">
        <f t="shared" si="5"/>
        <v>9.4201280557547303E-7</v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68832847</v>
      </c>
      <c r="D44" s="69">
        <f t="shared" si="4"/>
        <v>8.0939783170535075E-4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37910217</v>
      </c>
      <c r="D45" s="69">
        <f t="shared" si="4"/>
        <v>4.4578204704040974E-4</v>
      </c>
      <c r="E45" s="68"/>
      <c r="F45" s="65" t="s">
        <v>13</v>
      </c>
      <c r="G45" s="72">
        <v>-26280986</v>
      </c>
      <c r="H45" s="69">
        <f t="shared" si="5"/>
        <v>-5.2207982613137341E-3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-131358</v>
      </c>
      <c r="D48" s="69">
        <f t="shared" si="4"/>
        <v>-1.5446241875939181E-6</v>
      </c>
      <c r="E48" s="68"/>
      <c r="F48" s="65" t="s">
        <v>16</v>
      </c>
      <c r="G48" s="72">
        <v>-21024</v>
      </c>
      <c r="H48" s="69">
        <f t="shared" si="5"/>
        <v>-4.1764819115180816E-6</v>
      </c>
    </row>
    <row r="49" spans="2:9" s="80" customFormat="1" x14ac:dyDescent="0.2">
      <c r="B49" s="76" t="s">
        <v>17</v>
      </c>
      <c r="C49" s="77">
        <f>SUM(C37:C48)</f>
        <v>108225737</v>
      </c>
      <c r="D49" s="78">
        <f>SUM(D37:D48)</f>
        <v>1.2726144664990183E-3</v>
      </c>
      <c r="E49" s="79"/>
      <c r="F49" s="76" t="s">
        <v>17</v>
      </c>
      <c r="G49" s="77">
        <f>SUM(G37:G48)</f>
        <v>-26461953</v>
      </c>
      <c r="H49" s="78">
        <f>SUM(H37:H48)</f>
        <v>-5.2567479094340584E-3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16244.791300000001</v>
      </c>
      <c r="H53" s="69">
        <f t="shared" ref="H53:H64" si="7">+IF(G53/$C$115=0,"",G53/$C$115)</f>
        <v>1.3263984104281773E-4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>
        <v>30875.03</v>
      </c>
      <c r="H55" s="69">
        <f t="shared" si="7"/>
        <v>2.5209674878323788E-4</v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-119119</v>
      </c>
      <c r="D57" s="69">
        <f t="shared" si="6"/>
        <v>-5.3220224523606859E-6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16026084</v>
      </c>
      <c r="D58" s="69">
        <f t="shared" si="6"/>
        <v>7.1601657897915822E-4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-139069.32380000001</v>
      </c>
      <c r="H60" s="69">
        <f t="shared" si="7"/>
        <v>-1.1355106176565131E-3</v>
      </c>
    </row>
    <row r="61" spans="2:9" x14ac:dyDescent="0.2">
      <c r="B61" s="65" t="s">
        <v>13</v>
      </c>
      <c r="C61" s="72">
        <v>-128510200</v>
      </c>
      <c r="D61" s="69">
        <f t="shared" si="6"/>
        <v>-5.7416043599875935E-3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-183964</v>
      </c>
      <c r="D64" s="69">
        <f t="shared" si="6"/>
        <v>-8.2191803022698409E-6</v>
      </c>
      <c r="E64" s="68"/>
      <c r="F64" s="65" t="s">
        <v>16</v>
      </c>
      <c r="G64" s="92">
        <v>-87.65</v>
      </c>
      <c r="H64" s="69">
        <f t="shared" si="7"/>
        <v>-7.1566829346727118E-7</v>
      </c>
    </row>
    <row r="65" spans="2:8" s="80" customFormat="1" x14ac:dyDescent="0.2">
      <c r="B65" s="76" t="s">
        <v>17</v>
      </c>
      <c r="C65" s="77">
        <f>SUM(C53:C64)</f>
        <v>-112787199</v>
      </c>
      <c r="D65" s="78">
        <f>SUM(D53:D64)</f>
        <v>-5.0391289837630662E-3</v>
      </c>
      <c r="E65" s="79"/>
      <c r="F65" s="76" t="s">
        <v>17</v>
      </c>
      <c r="G65" s="93">
        <f>SUM(G53:G64)</f>
        <v>-92037.152500000011</v>
      </c>
      <c r="H65" s="78">
        <f>SUM(H53:H64)</f>
        <v>-7.5148969612392482E-4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-16570</v>
      </c>
      <c r="D72" s="69">
        <f t="shared" si="8"/>
        <v>-1.3125457536359587E-6</v>
      </c>
      <c r="E72" s="68"/>
      <c r="F72" s="65" t="s">
        <v>9</v>
      </c>
      <c r="G72" s="66"/>
      <c r="H72" s="69" t="str">
        <f t="shared" si="9"/>
        <v/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>
        <v>-735165</v>
      </c>
      <c r="H73" s="69">
        <f t="shared" si="9"/>
        <v>-1.1570855468097537E-4</v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32999942</v>
      </c>
      <c r="D76" s="69">
        <f t="shared" si="8"/>
        <v>2.6139972083483965E-3</v>
      </c>
      <c r="E76" s="68"/>
      <c r="F76" s="65" t="s">
        <v>13</v>
      </c>
      <c r="G76" s="72">
        <v>-8176496</v>
      </c>
      <c r="H76" s="69">
        <f t="shared" si="9"/>
        <v>-1.2869091081794922E-3</v>
      </c>
    </row>
    <row r="77" spans="2:8" x14ac:dyDescent="0.2">
      <c r="B77" s="65" t="s">
        <v>14</v>
      </c>
      <c r="C77" s="66">
        <v>-38170283</v>
      </c>
      <c r="D77" s="69">
        <f t="shared" si="8"/>
        <v>-3.0235511687829101E-3</v>
      </c>
      <c r="E77" s="68"/>
      <c r="F77" s="65" t="s">
        <v>14</v>
      </c>
      <c r="G77" s="66">
        <v>-18371594</v>
      </c>
      <c r="H77" s="69">
        <f t="shared" si="9"/>
        <v>-2.8915285533528921E-3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>
        <v>16</v>
      </c>
      <c r="H78" s="69">
        <f t="shared" si="9"/>
        <v>2.5182603563766035E-9</v>
      </c>
    </row>
    <row r="79" spans="2:8" x14ac:dyDescent="0.2">
      <c r="B79" s="65" t="s">
        <v>16</v>
      </c>
      <c r="C79" s="72">
        <v>-9596</v>
      </c>
      <c r="D79" s="69">
        <f t="shared" si="8"/>
        <v>-7.6012003934162098E-7</v>
      </c>
      <c r="E79" s="68"/>
      <c r="F79" s="65" t="s">
        <v>16</v>
      </c>
      <c r="G79" s="72">
        <v>-9596</v>
      </c>
      <c r="H79" s="69">
        <f t="shared" si="9"/>
        <v>-1.5103266487368681E-6</v>
      </c>
    </row>
    <row r="80" spans="2:8" s="80" customFormat="1" x14ac:dyDescent="0.2">
      <c r="B80" s="76" t="s">
        <v>17</v>
      </c>
      <c r="C80" s="77">
        <f>SUM(C68:C79)</f>
        <v>-5196507</v>
      </c>
      <c r="D80" s="78">
        <f>SUM(D68:D79)</f>
        <v>-4.1162662622749136E-4</v>
      </c>
      <c r="E80" s="79"/>
      <c r="F80" s="76" t="s">
        <v>17</v>
      </c>
      <c r="G80" s="77">
        <f>SUM(G68:G79)</f>
        <v>-27292835</v>
      </c>
      <c r="H80" s="78">
        <f>SUM(H68:H79)</f>
        <v>-4.2956540246017411E-3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21977989803.000099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22382280621.000099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12624321822.000099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5033901845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6353592455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66362273264</v>
      </c>
      <c r="D111" s="191">
        <v>687093337</v>
      </c>
      <c r="F111" s="106">
        <f>+C111+D111</f>
        <v>67049366601</v>
      </c>
      <c r="G111" s="62"/>
      <c r="H111" s="62"/>
    </row>
    <row r="112" spans="2:8" x14ac:dyDescent="0.2">
      <c r="B112" s="189" t="s">
        <v>18</v>
      </c>
      <c r="C112" s="192">
        <v>41720132.270799994</v>
      </c>
      <c r="D112" s="193">
        <v>166350.65000000002</v>
      </c>
      <c r="F112" s="106">
        <f>+C112+D112</f>
        <v>41886482.920799993</v>
      </c>
      <c r="H112" s="75"/>
    </row>
    <row r="113" spans="1:13" x14ac:dyDescent="0.2">
      <c r="B113" s="189" t="s">
        <v>4</v>
      </c>
      <c r="C113" s="190">
        <v>9439737278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85042045214</v>
      </c>
      <c r="D114" s="107"/>
      <c r="F114" s="106"/>
      <c r="H114" s="75"/>
    </row>
    <row r="115" spans="1:13" x14ac:dyDescent="0.2">
      <c r="B115" s="189" t="s">
        <v>25</v>
      </c>
      <c r="C115" s="192">
        <v>122472940.04789999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501" priority="46" stopIfTrue="1" operator="lessThan">
      <formula>0</formula>
    </cfRule>
  </conditionalFormatting>
  <conditionalFormatting sqref="C89">
    <cfRule type="cellIs" dxfId="2500" priority="43" stopIfTrue="1" operator="lessThan">
      <formula>0</formula>
    </cfRule>
  </conditionalFormatting>
  <conditionalFormatting sqref="C85">
    <cfRule type="cellIs" dxfId="2499" priority="45" stopIfTrue="1" operator="lessThan">
      <formula>0</formula>
    </cfRule>
  </conditionalFormatting>
  <conditionalFormatting sqref="C7:C9">
    <cfRule type="cellIs" dxfId="2498" priority="42" stopIfTrue="1" operator="lessThan">
      <formula>0</formula>
    </cfRule>
  </conditionalFormatting>
  <conditionalFormatting sqref="C10:C13">
    <cfRule type="cellIs" dxfId="2497" priority="40" stopIfTrue="1" operator="lessThan">
      <formula>0</formula>
    </cfRule>
  </conditionalFormatting>
  <conditionalFormatting sqref="C88">
    <cfRule type="cellIs" dxfId="2496" priority="44" stopIfTrue="1" operator="lessThan">
      <formula>0</formula>
    </cfRule>
  </conditionalFormatting>
  <conditionalFormatting sqref="C101">
    <cfRule type="cellIs" dxfId="2495" priority="39" stopIfTrue="1" operator="lessThan">
      <formula>0</formula>
    </cfRule>
  </conditionalFormatting>
  <conditionalFormatting sqref="C7">
    <cfRule type="cellIs" dxfId="2494" priority="41" stopIfTrue="1" operator="lessThan">
      <formula>0</formula>
    </cfRule>
  </conditionalFormatting>
  <conditionalFormatting sqref="C29:C33">
    <cfRule type="cellIs" dxfId="2493" priority="34" stopIfTrue="1" operator="lessThan">
      <formula>0</formula>
    </cfRule>
  </conditionalFormatting>
  <conditionalFormatting sqref="G7:G9">
    <cfRule type="cellIs" dxfId="2492" priority="37" stopIfTrue="1" operator="lessThan">
      <formula>0</formula>
    </cfRule>
  </conditionalFormatting>
  <conditionalFormatting sqref="C22">
    <cfRule type="cellIs" dxfId="2491" priority="32" stopIfTrue="1" operator="lessThan">
      <formula>0</formula>
    </cfRule>
  </conditionalFormatting>
  <conditionalFormatting sqref="C25:C28">
    <cfRule type="cellIs" dxfId="2490" priority="31" stopIfTrue="1" operator="lessThan">
      <formula>0</formula>
    </cfRule>
  </conditionalFormatting>
  <conditionalFormatting sqref="G14:G18">
    <cfRule type="cellIs" dxfId="2489" priority="38" stopIfTrue="1" operator="lessThan">
      <formula>0</formula>
    </cfRule>
  </conditionalFormatting>
  <conditionalFormatting sqref="G7">
    <cfRule type="cellIs" dxfId="2488" priority="36" stopIfTrue="1" operator="lessThan">
      <formula>0</formula>
    </cfRule>
  </conditionalFormatting>
  <conditionalFormatting sqref="G10:G13">
    <cfRule type="cellIs" dxfId="2487" priority="35" stopIfTrue="1" operator="lessThan">
      <formula>0</formula>
    </cfRule>
  </conditionalFormatting>
  <conditionalFormatting sqref="C22:C24">
    <cfRule type="cellIs" dxfId="2486" priority="33" stopIfTrue="1" operator="lessThan">
      <formula>0</formula>
    </cfRule>
  </conditionalFormatting>
  <conditionalFormatting sqref="G22">
    <cfRule type="cellIs" dxfId="2485" priority="28" stopIfTrue="1" operator="lessThan">
      <formula>0</formula>
    </cfRule>
  </conditionalFormatting>
  <conditionalFormatting sqref="G29:G33">
    <cfRule type="cellIs" dxfId="2484" priority="30" stopIfTrue="1" operator="lessThan">
      <formula>0</formula>
    </cfRule>
  </conditionalFormatting>
  <conditionalFormatting sqref="G22:G24">
    <cfRule type="cellIs" dxfId="2483" priority="29" stopIfTrue="1" operator="lessThan">
      <formula>0</formula>
    </cfRule>
  </conditionalFormatting>
  <conditionalFormatting sqref="G25:G28">
    <cfRule type="cellIs" dxfId="2482" priority="27" stopIfTrue="1" operator="lessThan">
      <formula>0</formula>
    </cfRule>
  </conditionalFormatting>
  <conditionalFormatting sqref="C40:C43">
    <cfRule type="cellIs" dxfId="2481" priority="23" stopIfTrue="1" operator="lessThan">
      <formula>0</formula>
    </cfRule>
  </conditionalFormatting>
  <conditionalFormatting sqref="G44:G48">
    <cfRule type="cellIs" dxfId="2480" priority="22" stopIfTrue="1" operator="lessThan">
      <formula>0</formula>
    </cfRule>
  </conditionalFormatting>
  <conditionalFormatting sqref="G37">
    <cfRule type="cellIs" dxfId="2479" priority="20" stopIfTrue="1" operator="lessThan">
      <formula>0</formula>
    </cfRule>
  </conditionalFormatting>
  <conditionalFormatting sqref="C44:C48">
    <cfRule type="cellIs" dxfId="2478" priority="26" stopIfTrue="1" operator="lessThan">
      <formula>0</formula>
    </cfRule>
  </conditionalFormatting>
  <conditionalFormatting sqref="C37:C39">
    <cfRule type="cellIs" dxfId="2477" priority="25" stopIfTrue="1" operator="lessThan">
      <formula>0</formula>
    </cfRule>
  </conditionalFormatting>
  <conditionalFormatting sqref="C37">
    <cfRule type="cellIs" dxfId="2476" priority="24" stopIfTrue="1" operator="lessThan">
      <formula>0</formula>
    </cfRule>
  </conditionalFormatting>
  <conditionalFormatting sqref="C56:C59">
    <cfRule type="cellIs" dxfId="2475" priority="15" stopIfTrue="1" operator="lessThan">
      <formula>0</formula>
    </cfRule>
  </conditionalFormatting>
  <conditionalFormatting sqref="G60:G63">
    <cfRule type="cellIs" dxfId="2474" priority="14" stopIfTrue="1" operator="lessThan">
      <formula>0</formula>
    </cfRule>
  </conditionalFormatting>
  <conditionalFormatting sqref="G37:G39">
    <cfRule type="cellIs" dxfId="2473" priority="21" stopIfTrue="1" operator="lessThan">
      <formula>0</formula>
    </cfRule>
  </conditionalFormatting>
  <conditionalFormatting sqref="G53">
    <cfRule type="cellIs" dxfId="2472" priority="12" stopIfTrue="1" operator="lessThan">
      <formula>0</formula>
    </cfRule>
  </conditionalFormatting>
  <conditionalFormatting sqref="G40:G43">
    <cfRule type="cellIs" dxfId="2471" priority="19" stopIfTrue="1" operator="lessThan">
      <formula>0</formula>
    </cfRule>
  </conditionalFormatting>
  <conditionalFormatting sqref="C60:C64">
    <cfRule type="cellIs" dxfId="2470" priority="18" stopIfTrue="1" operator="lessThan">
      <formula>0</formula>
    </cfRule>
  </conditionalFormatting>
  <conditionalFormatting sqref="C53:C55">
    <cfRule type="cellIs" dxfId="2469" priority="17" stopIfTrue="1" operator="lessThan">
      <formula>0</formula>
    </cfRule>
  </conditionalFormatting>
  <conditionalFormatting sqref="C53">
    <cfRule type="cellIs" dxfId="2468" priority="16" stopIfTrue="1" operator="lessThan">
      <formula>0</formula>
    </cfRule>
  </conditionalFormatting>
  <conditionalFormatting sqref="G53:G55">
    <cfRule type="cellIs" dxfId="2467" priority="13" stopIfTrue="1" operator="lessThan">
      <formula>0</formula>
    </cfRule>
  </conditionalFormatting>
  <conditionalFormatting sqref="G56:G59">
    <cfRule type="cellIs" dxfId="2466" priority="11" stopIfTrue="1" operator="lessThan">
      <formula>0</formula>
    </cfRule>
  </conditionalFormatting>
  <conditionalFormatting sqref="C75:C78">
    <cfRule type="cellIs" dxfId="2465" priority="10" stopIfTrue="1" operator="lessThan">
      <formula>0</formula>
    </cfRule>
  </conditionalFormatting>
  <conditionalFormatting sqref="C68:C70">
    <cfRule type="cellIs" dxfId="2464" priority="9" stopIfTrue="1" operator="lessThan">
      <formula>0</formula>
    </cfRule>
  </conditionalFormatting>
  <conditionalFormatting sqref="C68">
    <cfRule type="cellIs" dxfId="2463" priority="8" stopIfTrue="1" operator="lessThan">
      <formula>0</formula>
    </cfRule>
  </conditionalFormatting>
  <conditionalFormatting sqref="C71:C74">
    <cfRule type="cellIs" dxfId="2462" priority="7" stopIfTrue="1" operator="lessThan">
      <formula>0</formula>
    </cfRule>
  </conditionalFormatting>
  <conditionalFormatting sqref="G75:G79">
    <cfRule type="cellIs" dxfId="2461" priority="6" stopIfTrue="1" operator="lessThan">
      <formula>0</formula>
    </cfRule>
  </conditionalFormatting>
  <conditionalFormatting sqref="G68:G70">
    <cfRule type="cellIs" dxfId="2460" priority="5" stopIfTrue="1" operator="lessThan">
      <formula>0</formula>
    </cfRule>
  </conditionalFormatting>
  <conditionalFormatting sqref="G68">
    <cfRule type="cellIs" dxfId="2459" priority="4" stopIfTrue="1" operator="lessThan">
      <formula>0</formula>
    </cfRule>
  </conditionalFormatting>
  <conditionalFormatting sqref="G71:G74">
    <cfRule type="cellIs" dxfId="2458" priority="3" stopIfTrue="1" operator="lessThan">
      <formula>0</formula>
    </cfRule>
  </conditionalFormatting>
  <conditionalFormatting sqref="G64">
    <cfRule type="cellIs" dxfId="2457" priority="2" stopIfTrue="1" operator="lessThan">
      <formula>0</formula>
    </cfRule>
  </conditionalFormatting>
  <conditionalFormatting sqref="C79">
    <cfRule type="cellIs" dxfId="2456" priority="1" stopIfTrue="1" operator="lessThan">
      <formula>0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Hoja76"/>
  <dimension ref="A2:M121"/>
  <sheetViews>
    <sheetView topLeftCell="A70" zoomScaleNormal="100"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43048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5190150</v>
      </c>
      <c r="D7" s="67">
        <f>+IF(C7/$F$111=0,"",C7/$F$111)</f>
        <v>7.966419048084952E-5</v>
      </c>
      <c r="E7" s="68"/>
      <c r="F7" s="65" t="s">
        <v>5</v>
      </c>
      <c r="G7" s="66">
        <v>861793</v>
      </c>
      <c r="H7" s="69">
        <f>+IF(G7/$C$113=0,"",G7/$C$113)</f>
        <v>9.1324629188876993E-5</v>
      </c>
      <c r="I7" s="70"/>
    </row>
    <row r="8" spans="1:9" x14ac:dyDescent="0.2">
      <c r="B8" s="65" t="s">
        <v>6</v>
      </c>
      <c r="C8" s="66"/>
      <c r="D8" s="67" t="str">
        <f>+IF(C8/$F$111=0,"",C8/$F$111)</f>
        <v/>
      </c>
      <c r="E8" s="68"/>
      <c r="F8" s="65" t="s">
        <v>6</v>
      </c>
      <c r="G8" s="66">
        <v>-134334</v>
      </c>
      <c r="H8" s="69">
        <f>+IF(G8/$C$113=0,"",G8/$C$113)</f>
        <v>-1.423544022457667E-5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-11639</v>
      </c>
      <c r="H11" s="69">
        <f t="shared" si="0"/>
        <v>-1.2333905695791674E-6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30400</v>
      </c>
      <c r="H12" s="69">
        <f t="shared" si="0"/>
        <v>3.2215029912541187E-6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7464547</v>
      </c>
      <c r="H14" s="69">
        <f t="shared" si="0"/>
        <v>7.910217266071368E-4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4</v>
      </c>
      <c r="D17" s="67">
        <f>+IF(C17/$F$111=0,"",C17/$F$111)</f>
        <v>6.1396445560031608E-11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-189624</v>
      </c>
      <c r="D18" s="67">
        <f>+IF(C18/$F$111=0,"",C18/$F$111)</f>
        <v>-2.9105598982188586E-6</v>
      </c>
      <c r="E18" s="75"/>
      <c r="F18" s="65" t="s">
        <v>16</v>
      </c>
      <c r="G18" s="72">
        <v>-22614</v>
      </c>
      <c r="H18" s="69">
        <f t="shared" si="0"/>
        <v>-2.396416731717784E-6</v>
      </c>
    </row>
    <row r="19" spans="2:9" s="80" customFormat="1" x14ac:dyDescent="0.2">
      <c r="B19" s="76" t="s">
        <v>17</v>
      </c>
      <c r="C19" s="77">
        <f>SUM(C7:C18)</f>
        <v>5000530</v>
      </c>
      <c r="D19" s="78">
        <f>SUM(D7:D18)</f>
        <v>7.6753691979076214E-5</v>
      </c>
      <c r="E19" s="79"/>
      <c r="F19" s="76" t="s">
        <v>17</v>
      </c>
      <c r="G19" s="77">
        <f>SUM(G7:G18)</f>
        <v>8188153</v>
      </c>
      <c r="H19" s="78">
        <f>SUM(H7:H18)</f>
        <v>8.6770261126139429E-4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2585.2698999999998</v>
      </c>
      <c r="D22" s="69">
        <f>+IF(C22/$F$112=0,"",C22/$F$112)</f>
        <v>6.1287811216583394E-5</v>
      </c>
      <c r="E22" s="75"/>
      <c r="F22" s="65" t="s">
        <v>5</v>
      </c>
      <c r="G22" s="66">
        <v>1616692</v>
      </c>
      <c r="H22" s="69">
        <f t="shared" ref="H22:H33" si="2">+IF(G22/$C$106=0,"",G22/$C$106)</f>
        <v>7.8503950430496759E-5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-379940</v>
      </c>
      <c r="H23" s="69">
        <f t="shared" si="2"/>
        <v>-1.844927229587512E-5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-7.5609277790663327</v>
      </c>
      <c r="D26" s="69">
        <f>+IF(C26/$F$112=0,"",C26/$F$112)</f>
        <v>-1.7924345707410996E-7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-14790.080000000002</v>
      </c>
      <c r="D27" s="69">
        <f t="shared" ref="D27:D33" si="3">+IF(C27/$F$112=0,"",C27/$F$112)</f>
        <v>-3.5062166272007648E-4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3354419</v>
      </c>
      <c r="H29" s="69">
        <f t="shared" si="2"/>
        <v>1.628851648298603E-4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14351.328600000001</v>
      </c>
      <c r="D31" s="69">
        <f t="shared" si="3"/>
        <v>3.4022038393126928E-4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-139473</v>
      </c>
      <c r="H32" s="69">
        <f t="shared" si="2"/>
        <v>-6.772583447182688E-6</v>
      </c>
    </row>
    <row r="33" spans="1:13" x14ac:dyDescent="0.2">
      <c r="B33" s="65" t="s">
        <v>16</v>
      </c>
      <c r="C33" s="71">
        <v>-95.99</v>
      </c>
      <c r="D33" s="69">
        <f t="shared" si="3"/>
        <v>-2.2755910315901021E-6</v>
      </c>
      <c r="E33" s="75"/>
      <c r="F33" s="65" t="s">
        <v>16</v>
      </c>
      <c r="G33" s="72">
        <v>-107675</v>
      </c>
      <c r="H33" s="69">
        <f t="shared" si="2"/>
        <v>-5.2285239628845433E-6</v>
      </c>
    </row>
    <row r="34" spans="1:13" s="80" customFormat="1" x14ac:dyDescent="0.2">
      <c r="B34" s="76" t="s">
        <v>17</v>
      </c>
      <c r="C34" s="93">
        <f>SUM(C22:C33)</f>
        <v>2042.967572220932</v>
      </c>
      <c r="D34" s="78">
        <f>SUM(D22:D33)</f>
        <v>4.8431697939111959E-5</v>
      </c>
      <c r="E34" s="79"/>
      <c r="F34" s="76" t="s">
        <v>17</v>
      </c>
      <c r="G34" s="77">
        <v>-39678</v>
      </c>
      <c r="H34" s="78">
        <f>SUM(H22:H33)</f>
        <v>2.1093873555441469E-4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4772397</v>
      </c>
      <c r="D37" s="69">
        <f t="shared" ref="D37:D48" si="4">+IF(C37/$C$114=0,"",C37/$C$114)</f>
        <v>5.540601357945078E-5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-2786240</v>
      </c>
      <c r="D38" s="69">
        <f t="shared" si="4"/>
        <v>-3.2347361561833384E-5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-75871</v>
      </c>
      <c r="H39" s="69">
        <f t="shared" si="5"/>
        <v>-1.5151336294142206E-5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4755</v>
      </c>
      <c r="H43" s="69">
        <f t="shared" si="5"/>
        <v>9.4956708200295488E-7</v>
      </c>
    </row>
    <row r="44" spans="1:13" x14ac:dyDescent="0.2">
      <c r="B44" s="65" t="s">
        <v>12</v>
      </c>
      <c r="C44" s="72">
        <v>36334149</v>
      </c>
      <c r="D44" s="69">
        <f t="shared" si="4"/>
        <v>4.2182793109873045E-4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12545506</v>
      </c>
      <c r="D45" s="69">
        <f t="shared" si="4"/>
        <v>1.456493405299436E-4</v>
      </c>
      <c r="E45" s="68"/>
      <c r="F45" s="65" t="s">
        <v>13</v>
      </c>
      <c r="G45" s="72">
        <v>-27722606</v>
      </c>
      <c r="H45" s="69">
        <f t="shared" si="5"/>
        <v>-5.5361669999868792E-3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>
        <v>-1235</v>
      </c>
      <c r="H47" s="69">
        <f t="shared" si="5"/>
        <v>-2.466278330754257E-7</v>
      </c>
    </row>
    <row r="48" spans="1:13" x14ac:dyDescent="0.2">
      <c r="B48" s="65" t="s">
        <v>16</v>
      </c>
      <c r="C48" s="72">
        <v>-163435</v>
      </c>
      <c r="D48" s="69">
        <f t="shared" si="4"/>
        <v>-1.8974284472472718E-6</v>
      </c>
      <c r="E48" s="68"/>
      <c r="F48" s="65" t="s">
        <v>16</v>
      </c>
      <c r="G48" s="72">
        <v>-21024</v>
      </c>
      <c r="H48" s="69">
        <f t="shared" si="5"/>
        <v>-4.1984644231398789E-6</v>
      </c>
    </row>
    <row r="49" spans="2:9" s="80" customFormat="1" x14ac:dyDescent="0.2">
      <c r="B49" s="76" t="s">
        <v>17</v>
      </c>
      <c r="C49" s="77">
        <f>SUM(C37:C48)</f>
        <v>50702377</v>
      </c>
      <c r="D49" s="78">
        <f>SUM(D37:D48)</f>
        <v>5.8863849519904426E-4</v>
      </c>
      <c r="E49" s="79"/>
      <c r="F49" s="76" t="s">
        <v>17</v>
      </c>
      <c r="G49" s="77">
        <f>SUM(G37:G48)</f>
        <v>-27815981</v>
      </c>
      <c r="H49" s="78">
        <f>SUM(H37:H48)</f>
        <v>-5.554813861455234E-3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16314.7173</v>
      </c>
      <c r="H53" s="69">
        <f t="shared" ref="H53:H64" si="7">+IF(G53/$C$115=0,"",G53/$C$115)</f>
        <v>1.3331275219853267E-4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-119119</v>
      </c>
      <c r="D57" s="69">
        <f t="shared" si="6"/>
        <v>-5.355324709413806E-6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-5529092</v>
      </c>
      <c r="D58" s="69">
        <f t="shared" si="6"/>
        <v>-2.4857565130854189E-4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-136692.935</v>
      </c>
      <c r="H60" s="69">
        <f t="shared" si="7"/>
        <v>-1.116961516148682E-3</v>
      </c>
    </row>
    <row r="61" spans="2:9" x14ac:dyDescent="0.2">
      <c r="B61" s="65" t="s">
        <v>13</v>
      </c>
      <c r="C61" s="72">
        <v>-161463160</v>
      </c>
      <c r="D61" s="69">
        <f t="shared" si="6"/>
        <v>-7.2590237527853227E-3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>
        <v>-785.78</v>
      </c>
      <c r="H63" s="69">
        <f t="shared" si="7"/>
        <v>-6.4208586944110271E-6</v>
      </c>
    </row>
    <row r="64" spans="2:9" x14ac:dyDescent="0.2">
      <c r="B64" s="65" t="s">
        <v>16</v>
      </c>
      <c r="C64" s="72">
        <v>-182820</v>
      </c>
      <c r="D64" s="69">
        <f t="shared" si="6"/>
        <v>-8.2191796722188064E-6</v>
      </c>
      <c r="E64" s="68"/>
      <c r="F64" s="65" t="s">
        <v>16</v>
      </c>
      <c r="G64" s="92">
        <v>-87.65</v>
      </c>
      <c r="H64" s="69">
        <f t="shared" si="7"/>
        <v>-7.1621607137510058E-7</v>
      </c>
    </row>
    <row r="65" spans="2:8" s="80" customFormat="1" x14ac:dyDescent="0.2">
      <c r="B65" s="76" t="s">
        <v>17</v>
      </c>
      <c r="C65" s="77">
        <f>SUM(C53:C64)</f>
        <v>-167294191</v>
      </c>
      <c r="D65" s="78">
        <f>SUM(D53:D64)</f>
        <v>-7.5211739084754979E-3</v>
      </c>
      <c r="E65" s="79"/>
      <c r="F65" s="76" t="s">
        <v>17</v>
      </c>
      <c r="G65" s="93">
        <f>SUM(G53:G64)</f>
        <v>-121251.64769999999</v>
      </c>
      <c r="H65" s="78">
        <f>SUM(H53:H64)</f>
        <v>-9.9078583871593556E-4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71062</v>
      </c>
      <c r="D72" s="69">
        <f t="shared" si="8"/>
        <v>5.6315823277534735E-6</v>
      </c>
      <c r="E72" s="68"/>
      <c r="F72" s="65" t="s">
        <v>9</v>
      </c>
      <c r="G72" s="66">
        <v>-55485</v>
      </c>
      <c r="H72" s="69">
        <f t="shared" si="9"/>
        <v>-8.7708292545130787E-6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-64735125</v>
      </c>
      <c r="D76" s="69">
        <f t="shared" si="8"/>
        <v>-5.1301847110257533E-3</v>
      </c>
      <c r="E76" s="68"/>
      <c r="F76" s="65" t="s">
        <v>13</v>
      </c>
      <c r="G76" s="72">
        <v>-5815607</v>
      </c>
      <c r="H76" s="69">
        <f t="shared" si="9"/>
        <v>-9.1930604682979259E-4</v>
      </c>
    </row>
    <row r="77" spans="2:8" x14ac:dyDescent="0.2">
      <c r="B77" s="65" t="s">
        <v>14</v>
      </c>
      <c r="C77" s="66">
        <v>-6794917</v>
      </c>
      <c r="D77" s="69">
        <f t="shared" si="8"/>
        <v>-5.3848941059570019E-4</v>
      </c>
      <c r="E77" s="68"/>
      <c r="F77" s="65" t="s">
        <v>14</v>
      </c>
      <c r="G77" s="66">
        <v>-3250169</v>
      </c>
      <c r="H77" s="69">
        <f t="shared" si="9"/>
        <v>-5.1377268355972826E-4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-9596</v>
      </c>
      <c r="D79" s="69">
        <f t="shared" si="8"/>
        <v>-7.6047203874253932E-7</v>
      </c>
      <c r="E79" s="68"/>
      <c r="F79" s="65" t="s">
        <v>16</v>
      </c>
      <c r="G79" s="72">
        <v>-9596</v>
      </c>
      <c r="H79" s="69">
        <f t="shared" si="9"/>
        <v>-1.5168942511725243E-6</v>
      </c>
    </row>
    <row r="80" spans="2:8" s="80" customFormat="1" x14ac:dyDescent="0.2">
      <c r="B80" s="76" t="s">
        <v>17</v>
      </c>
      <c r="C80" s="77">
        <f>SUM(C68:C79)</f>
        <v>-71468576</v>
      </c>
      <c r="D80" s="78">
        <f>SUM(D68:D79)</f>
        <v>-5.6638030113324422E-3</v>
      </c>
      <c r="E80" s="79"/>
      <c r="F80" s="76" t="s">
        <v>17</v>
      </c>
      <c r="G80" s="77">
        <f>SUM(G68:G79)</f>
        <v>-9130857</v>
      </c>
      <c r="H80" s="78">
        <f>SUM(H68:H79)</f>
        <v>-1.4433664538952065E-3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20593766188.000099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22243095697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12618478407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5007545112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6326083702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64130538996</v>
      </c>
      <c r="D111" s="191">
        <v>1019812356</v>
      </c>
      <c r="F111" s="106">
        <f>+C111+D111</f>
        <v>65150351352</v>
      </c>
      <c r="G111" s="62"/>
      <c r="H111" s="62"/>
    </row>
    <row r="112" spans="2:8" x14ac:dyDescent="0.2">
      <c r="B112" s="189" t="s">
        <v>18</v>
      </c>
      <c r="C112" s="192">
        <v>41887941.402099997</v>
      </c>
      <c r="D112" s="193">
        <v>294506.44</v>
      </c>
      <c r="F112" s="106">
        <f>+C112+D112</f>
        <v>42182447.842099994</v>
      </c>
      <c r="H112" s="75"/>
    </row>
    <row r="113" spans="1:13" x14ac:dyDescent="0.2">
      <c r="B113" s="189" t="s">
        <v>4</v>
      </c>
      <c r="C113" s="190">
        <v>9436589096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86135000367</v>
      </c>
      <c r="D114" s="107"/>
      <c r="F114" s="106"/>
      <c r="H114" s="75"/>
    </row>
    <row r="115" spans="1:13" x14ac:dyDescent="0.2">
      <c r="B115" s="189" t="s">
        <v>25</v>
      </c>
      <c r="C115" s="192">
        <v>122379270.0319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455" priority="46" stopIfTrue="1" operator="lessThan">
      <formula>0</formula>
    </cfRule>
  </conditionalFormatting>
  <conditionalFormatting sqref="C89">
    <cfRule type="cellIs" dxfId="2454" priority="43" stopIfTrue="1" operator="lessThan">
      <formula>0</formula>
    </cfRule>
  </conditionalFormatting>
  <conditionalFormatting sqref="C85">
    <cfRule type="cellIs" dxfId="2453" priority="45" stopIfTrue="1" operator="lessThan">
      <formula>0</formula>
    </cfRule>
  </conditionalFormatting>
  <conditionalFormatting sqref="C7:C9">
    <cfRule type="cellIs" dxfId="2452" priority="42" stopIfTrue="1" operator="lessThan">
      <formula>0</formula>
    </cfRule>
  </conditionalFormatting>
  <conditionalFormatting sqref="C10:C13">
    <cfRule type="cellIs" dxfId="2451" priority="40" stopIfTrue="1" operator="lessThan">
      <formula>0</formula>
    </cfRule>
  </conditionalFormatting>
  <conditionalFormatting sqref="C88">
    <cfRule type="cellIs" dxfId="2450" priority="44" stopIfTrue="1" operator="lessThan">
      <formula>0</formula>
    </cfRule>
  </conditionalFormatting>
  <conditionalFormatting sqref="C101">
    <cfRule type="cellIs" dxfId="2449" priority="39" stopIfTrue="1" operator="lessThan">
      <formula>0</formula>
    </cfRule>
  </conditionalFormatting>
  <conditionalFormatting sqref="C7">
    <cfRule type="cellIs" dxfId="2448" priority="41" stopIfTrue="1" operator="lessThan">
      <formula>0</formula>
    </cfRule>
  </conditionalFormatting>
  <conditionalFormatting sqref="C29:C33">
    <cfRule type="cellIs" dxfId="2447" priority="34" stopIfTrue="1" operator="lessThan">
      <formula>0</formula>
    </cfRule>
  </conditionalFormatting>
  <conditionalFormatting sqref="G7:G9">
    <cfRule type="cellIs" dxfId="2446" priority="37" stopIfTrue="1" operator="lessThan">
      <formula>0</formula>
    </cfRule>
  </conditionalFormatting>
  <conditionalFormatting sqref="C22">
    <cfRule type="cellIs" dxfId="2445" priority="32" stopIfTrue="1" operator="lessThan">
      <formula>0</formula>
    </cfRule>
  </conditionalFormatting>
  <conditionalFormatting sqref="C25:C28">
    <cfRule type="cellIs" dxfId="2444" priority="31" stopIfTrue="1" operator="lessThan">
      <formula>0</formula>
    </cfRule>
  </conditionalFormatting>
  <conditionalFormatting sqref="G14:G18">
    <cfRule type="cellIs" dxfId="2443" priority="38" stopIfTrue="1" operator="lessThan">
      <formula>0</formula>
    </cfRule>
  </conditionalFormatting>
  <conditionalFormatting sqref="G7">
    <cfRule type="cellIs" dxfId="2442" priority="36" stopIfTrue="1" operator="lessThan">
      <formula>0</formula>
    </cfRule>
  </conditionalFormatting>
  <conditionalFormatting sqref="G10:G13">
    <cfRule type="cellIs" dxfId="2441" priority="35" stopIfTrue="1" operator="lessThan">
      <formula>0</formula>
    </cfRule>
  </conditionalFormatting>
  <conditionalFormatting sqref="C22:C24">
    <cfRule type="cellIs" dxfId="2440" priority="33" stopIfTrue="1" operator="lessThan">
      <formula>0</formula>
    </cfRule>
  </conditionalFormatting>
  <conditionalFormatting sqref="G22">
    <cfRule type="cellIs" dxfId="2439" priority="28" stopIfTrue="1" operator="lessThan">
      <formula>0</formula>
    </cfRule>
  </conditionalFormatting>
  <conditionalFormatting sqref="G29:G33">
    <cfRule type="cellIs" dxfId="2438" priority="30" stopIfTrue="1" operator="lessThan">
      <formula>0</formula>
    </cfRule>
  </conditionalFormatting>
  <conditionalFormatting sqref="G22:G24">
    <cfRule type="cellIs" dxfId="2437" priority="29" stopIfTrue="1" operator="lessThan">
      <formula>0</formula>
    </cfRule>
  </conditionalFormatting>
  <conditionalFormatting sqref="G25:G28">
    <cfRule type="cellIs" dxfId="2436" priority="27" stopIfTrue="1" operator="lessThan">
      <formula>0</formula>
    </cfRule>
  </conditionalFormatting>
  <conditionalFormatting sqref="C40:C43">
    <cfRule type="cellIs" dxfId="2435" priority="23" stopIfTrue="1" operator="lessThan">
      <formula>0</formula>
    </cfRule>
  </conditionalFormatting>
  <conditionalFormatting sqref="G44:G48">
    <cfRule type="cellIs" dxfId="2434" priority="22" stopIfTrue="1" operator="lessThan">
      <formula>0</formula>
    </cfRule>
  </conditionalFormatting>
  <conditionalFormatting sqref="G37">
    <cfRule type="cellIs" dxfId="2433" priority="20" stopIfTrue="1" operator="lessThan">
      <formula>0</formula>
    </cfRule>
  </conditionalFormatting>
  <conditionalFormatting sqref="C44:C48">
    <cfRule type="cellIs" dxfId="2432" priority="26" stopIfTrue="1" operator="lessThan">
      <formula>0</formula>
    </cfRule>
  </conditionalFormatting>
  <conditionalFormatting sqref="C37:C39">
    <cfRule type="cellIs" dxfId="2431" priority="25" stopIfTrue="1" operator="lessThan">
      <formula>0</formula>
    </cfRule>
  </conditionalFormatting>
  <conditionalFormatting sqref="C37">
    <cfRule type="cellIs" dxfId="2430" priority="24" stopIfTrue="1" operator="lessThan">
      <formula>0</formula>
    </cfRule>
  </conditionalFormatting>
  <conditionalFormatting sqref="C56:C59">
    <cfRule type="cellIs" dxfId="2429" priority="15" stopIfTrue="1" operator="lessThan">
      <formula>0</formula>
    </cfRule>
  </conditionalFormatting>
  <conditionalFormatting sqref="G60:G63">
    <cfRule type="cellIs" dxfId="2428" priority="14" stopIfTrue="1" operator="lessThan">
      <formula>0</formula>
    </cfRule>
  </conditionalFormatting>
  <conditionalFormatting sqref="G37:G39">
    <cfRule type="cellIs" dxfId="2427" priority="21" stopIfTrue="1" operator="lessThan">
      <formula>0</formula>
    </cfRule>
  </conditionalFormatting>
  <conditionalFormatting sqref="G53">
    <cfRule type="cellIs" dxfId="2426" priority="12" stopIfTrue="1" operator="lessThan">
      <formula>0</formula>
    </cfRule>
  </conditionalFormatting>
  <conditionalFormatting sqref="G40:G43">
    <cfRule type="cellIs" dxfId="2425" priority="19" stopIfTrue="1" operator="lessThan">
      <formula>0</formula>
    </cfRule>
  </conditionalFormatting>
  <conditionalFormatting sqref="C60:C64">
    <cfRule type="cellIs" dxfId="2424" priority="18" stopIfTrue="1" operator="lessThan">
      <formula>0</formula>
    </cfRule>
  </conditionalFormatting>
  <conditionalFormatting sqref="C53:C55">
    <cfRule type="cellIs" dxfId="2423" priority="17" stopIfTrue="1" operator="lessThan">
      <formula>0</formula>
    </cfRule>
  </conditionalFormatting>
  <conditionalFormatting sqref="C53">
    <cfRule type="cellIs" dxfId="2422" priority="16" stopIfTrue="1" operator="lessThan">
      <formula>0</formula>
    </cfRule>
  </conditionalFormatting>
  <conditionalFormatting sqref="G53:G55">
    <cfRule type="cellIs" dxfId="2421" priority="13" stopIfTrue="1" operator="lessThan">
      <formula>0</formula>
    </cfRule>
  </conditionalFormatting>
  <conditionalFormatting sqref="G56:G59">
    <cfRule type="cellIs" dxfId="2420" priority="11" stopIfTrue="1" operator="lessThan">
      <formula>0</formula>
    </cfRule>
  </conditionalFormatting>
  <conditionalFormatting sqref="C75:C78">
    <cfRule type="cellIs" dxfId="2419" priority="10" stopIfTrue="1" operator="lessThan">
      <formula>0</formula>
    </cfRule>
  </conditionalFormatting>
  <conditionalFormatting sqref="C68:C70">
    <cfRule type="cellIs" dxfId="2418" priority="9" stopIfTrue="1" operator="lessThan">
      <formula>0</formula>
    </cfRule>
  </conditionalFormatting>
  <conditionalFormatting sqref="C68">
    <cfRule type="cellIs" dxfId="2417" priority="8" stopIfTrue="1" operator="lessThan">
      <formula>0</formula>
    </cfRule>
  </conditionalFormatting>
  <conditionalFormatting sqref="C71:C74">
    <cfRule type="cellIs" dxfId="2416" priority="7" stopIfTrue="1" operator="lessThan">
      <formula>0</formula>
    </cfRule>
  </conditionalFormatting>
  <conditionalFormatting sqref="G75:G79">
    <cfRule type="cellIs" dxfId="2415" priority="6" stopIfTrue="1" operator="lessThan">
      <formula>0</formula>
    </cfRule>
  </conditionalFormatting>
  <conditionalFormatting sqref="G68:G70">
    <cfRule type="cellIs" dxfId="2414" priority="5" stopIfTrue="1" operator="lessThan">
      <formula>0</formula>
    </cfRule>
  </conditionalFormatting>
  <conditionalFormatting sqref="G68">
    <cfRule type="cellIs" dxfId="2413" priority="4" stopIfTrue="1" operator="lessThan">
      <formula>0</formula>
    </cfRule>
  </conditionalFormatting>
  <conditionalFormatting sqref="G71:G74">
    <cfRule type="cellIs" dxfId="2412" priority="3" stopIfTrue="1" operator="lessThan">
      <formula>0</formula>
    </cfRule>
  </conditionalFormatting>
  <conditionalFormatting sqref="G64">
    <cfRule type="cellIs" dxfId="2411" priority="2" stopIfTrue="1" operator="lessThan">
      <formula>0</formula>
    </cfRule>
  </conditionalFormatting>
  <conditionalFormatting sqref="C79">
    <cfRule type="cellIs" dxfId="2410" priority="1" stopIfTrue="1" operator="lessThan">
      <formula>0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dimension ref="A2:M121"/>
  <sheetViews>
    <sheetView workbookViewId="0">
      <selection activeCell="C7" sqref="C7:C8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43049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5058489</v>
      </c>
      <c r="D7" s="67">
        <f>+IF(C7/$F$111=0,"",C7/$F$111)</f>
        <v>7.7097908987603013E-5</v>
      </c>
      <c r="E7" s="68"/>
      <c r="F7" s="65" t="s">
        <v>5</v>
      </c>
      <c r="G7" s="66">
        <v>1279130</v>
      </c>
      <c r="H7" s="69">
        <f>+IF(G7/$C$113=0,"",G7/$C$113)</f>
        <v>1.3554228235346781E-4</v>
      </c>
      <c r="I7" s="70"/>
    </row>
    <row r="8" spans="1:9" x14ac:dyDescent="0.2">
      <c r="B8" s="65" t="s">
        <v>6</v>
      </c>
      <c r="C8" s="66">
        <v>150845</v>
      </c>
      <c r="D8" s="67">
        <f>+IF(C8/$F$111=0,"",C8/$F$111)</f>
        <v>2.2990727233438632E-6</v>
      </c>
      <c r="E8" s="68"/>
      <c r="F8" s="65" t="s">
        <v>6</v>
      </c>
      <c r="G8" s="66"/>
      <c r="H8" s="69" t="str">
        <f>+IF(G8/$C$113=0,"",G8/$C$113)</f>
        <v/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-23164</v>
      </c>
      <c r="H11" s="69">
        <f t="shared" si="0"/>
        <v>-2.4545600747662306E-6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70080.000000100583</v>
      </c>
      <c r="H12" s="69">
        <f t="shared" si="0"/>
        <v>7.4259873096125159E-6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817858</v>
      </c>
      <c r="H14" s="69">
        <f t="shared" si="0"/>
        <v>8.6663857435164896E-5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-353064</v>
      </c>
      <c r="D18" s="67">
        <f>+IF(C18/$F$111=0,"",C18/$F$111)</f>
        <v>-5.3811515926592051E-6</v>
      </c>
      <c r="E18" s="75"/>
      <c r="F18" s="65" t="s">
        <v>16</v>
      </c>
      <c r="G18" s="72">
        <v>-31601</v>
      </c>
      <c r="H18" s="69">
        <f t="shared" si="0"/>
        <v>-3.3485819773220362E-6</v>
      </c>
    </row>
    <row r="19" spans="2:9" s="80" customFormat="1" x14ac:dyDescent="0.2">
      <c r="B19" s="76" t="s">
        <v>17</v>
      </c>
      <c r="C19" s="77">
        <f>SUM(C7:C18)</f>
        <v>4856270</v>
      </c>
      <c r="D19" s="78">
        <f>SUM(D7:D18)</f>
        <v>7.4015830118287669E-5</v>
      </c>
      <c r="E19" s="79"/>
      <c r="F19" s="76" t="s">
        <v>17</v>
      </c>
      <c r="G19" s="77">
        <f>SUM(G7:G18)</f>
        <v>2112303.0000001006</v>
      </c>
      <c r="H19" s="78">
        <f>SUM(H7:H18)</f>
        <v>2.2382898504615695E-4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2576.5373</v>
      </c>
      <c r="D22" s="69">
        <f>+IF(C22/$F$112=0,"",C22/$F$112)</f>
        <v>6.1635075754744764E-5</v>
      </c>
      <c r="E22" s="75"/>
      <c r="F22" s="65" t="s">
        <v>5</v>
      </c>
      <c r="G22" s="66">
        <v>2699087</v>
      </c>
      <c r="H22" s="69">
        <f t="shared" ref="H22:H33" si="2">+IF(G22/$C$106=0,"",G22/$C$106)</f>
        <v>1.3034529561892655E-4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/>
      <c r="H23" s="69" t="str">
        <f t="shared" si="2"/>
        <v/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12.78</v>
      </c>
      <c r="D26" s="69">
        <f>+IF(C26/$F$112=0,"",C26/$F$112)</f>
        <v>3.0571894617851564E-7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-36390.089999999997</v>
      </c>
      <c r="D27" s="69">
        <f t="shared" ref="D27:D33" si="3">+IF(C27/$F$112=0,"",C27/$F$112)</f>
        <v>-8.7051173443985445E-4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7070308</v>
      </c>
      <c r="H29" s="69">
        <f t="shared" si="2"/>
        <v>3.4144189734412468E-4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35648.6322</v>
      </c>
      <c r="D31" s="69">
        <f t="shared" si="3"/>
        <v>8.5277482542171355E-4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-83</v>
      </c>
      <c r="D33" s="69">
        <f t="shared" si="3"/>
        <v>-1.9854986332407512E-6</v>
      </c>
      <c r="E33" s="75"/>
      <c r="F33" s="65" t="s">
        <v>16</v>
      </c>
      <c r="G33" s="72">
        <v>-79776</v>
      </c>
      <c r="H33" s="69">
        <f t="shared" si="2"/>
        <v>-3.8525717412204522E-6</v>
      </c>
    </row>
    <row r="34" spans="1:13" s="80" customFormat="1" x14ac:dyDescent="0.2">
      <c r="B34" s="76" t="s">
        <v>17</v>
      </c>
      <c r="C34" s="93">
        <f>SUM(C22:C33)</f>
        <v>1764.8595000000059</v>
      </c>
      <c r="D34" s="78">
        <f>SUM(D22:D33)</f>
        <v>4.2218387049541609E-5</v>
      </c>
      <c r="E34" s="79"/>
      <c r="F34" s="76" t="s">
        <v>17</v>
      </c>
      <c r="G34" s="77">
        <v>-39678</v>
      </c>
      <c r="H34" s="78">
        <f>SUM(H22:H33)</f>
        <v>4.6793462122183079E-4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13464138</v>
      </c>
      <c r="D37" s="69">
        <f t="shared" ref="D37:D48" si="4">+IF(C37/$C$114=0,"",C37/$C$114)</f>
        <v>1.5346210743434293E-4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/>
      <c r="D38" s="69" t="str">
        <f t="shared" si="4"/>
        <v/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9213871</v>
      </c>
      <c r="D44" s="69">
        <f t="shared" si="4"/>
        <v>1.0501823891645917E-4</v>
      </c>
      <c r="E44" s="68"/>
      <c r="F44" s="65" t="s">
        <v>12</v>
      </c>
      <c r="G44" s="72">
        <v>43314</v>
      </c>
      <c r="H44" s="69">
        <f t="shared" si="5"/>
        <v>8.7114635700987913E-6</v>
      </c>
    </row>
    <row r="45" spans="1:13" x14ac:dyDescent="0.2">
      <c r="B45" s="65" t="s">
        <v>13</v>
      </c>
      <c r="C45" s="72">
        <v>12683094</v>
      </c>
      <c r="D45" s="69">
        <f t="shared" si="4"/>
        <v>1.4455989191642794E-4</v>
      </c>
      <c r="E45" s="68"/>
      <c r="F45" s="65" t="s">
        <v>13</v>
      </c>
      <c r="G45" s="72">
        <v>-27302026</v>
      </c>
      <c r="H45" s="69">
        <f t="shared" si="5"/>
        <v>-5.4910792096987118E-3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-157530</v>
      </c>
      <c r="D48" s="69">
        <f t="shared" si="4"/>
        <v>-1.7955019314368317E-6</v>
      </c>
      <c r="E48" s="68"/>
      <c r="F48" s="65" t="s">
        <v>16</v>
      </c>
      <c r="G48" s="72">
        <v>-18696</v>
      </c>
      <c r="H48" s="69">
        <f t="shared" si="5"/>
        <v>-3.7602050816495126E-6</v>
      </c>
    </row>
    <row r="49" spans="2:9" s="80" customFormat="1" x14ac:dyDescent="0.2">
      <c r="B49" s="76" t="s">
        <v>17</v>
      </c>
      <c r="C49" s="77">
        <f>SUM(C37:C48)</f>
        <v>35203573</v>
      </c>
      <c r="D49" s="78">
        <f>SUM(D37:D48)</f>
        <v>4.0124473633579327E-4</v>
      </c>
      <c r="E49" s="79"/>
      <c r="F49" s="76" t="s">
        <v>17</v>
      </c>
      <c r="G49" s="77">
        <f>SUM(G37:G48)</f>
        <v>-27277408</v>
      </c>
      <c r="H49" s="78">
        <f>SUM(H37:H48)</f>
        <v>-5.4861279512102628E-3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16245.265100000001</v>
      </c>
      <c r="H53" s="69">
        <f t="shared" ref="H53:H64" si="7">+IF(G53/$C$115=0,"",G53/$C$115)</f>
        <v>1.3287866161740421E-4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5912357</v>
      </c>
      <c r="D57" s="69">
        <f t="shared" si="6"/>
        <v>2.6504479658671492E-4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-119119</v>
      </c>
      <c r="D58" s="69">
        <f t="shared" si="6"/>
        <v>-5.3399805060169558E-6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-307903.08669999999</v>
      </c>
      <c r="H60" s="69">
        <f t="shared" si="7"/>
        <v>-2.5185030725391835E-3</v>
      </c>
    </row>
    <row r="61" spans="2:9" x14ac:dyDescent="0.2">
      <c r="B61" s="65" t="s">
        <v>13</v>
      </c>
      <c r="C61" s="72">
        <v>-163323239</v>
      </c>
      <c r="D61" s="69">
        <f t="shared" si="6"/>
        <v>-7.3216104268802483E-3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-41146</v>
      </c>
      <c r="D64" s="69">
        <f t="shared" si="6"/>
        <v>-1.8445322568236275E-6</v>
      </c>
      <c r="E64" s="68"/>
      <c r="F64" s="65" t="s">
        <v>16</v>
      </c>
      <c r="G64" s="92">
        <v>-104</v>
      </c>
      <c r="H64" s="69">
        <f t="shared" si="7"/>
        <v>-8.5067130164653563E-7</v>
      </c>
    </row>
    <row r="65" spans="2:8" s="80" customFormat="1" x14ac:dyDescent="0.2">
      <c r="B65" s="76" t="s">
        <v>17</v>
      </c>
      <c r="C65" s="77">
        <f>SUM(C53:C64)</f>
        <v>-157571147</v>
      </c>
      <c r="D65" s="78">
        <f>SUM(D53:D64)</f>
        <v>-7.0637501430563738E-3</v>
      </c>
      <c r="E65" s="79"/>
      <c r="F65" s="76" t="s">
        <v>17</v>
      </c>
      <c r="G65" s="93">
        <f>SUM(G53:G64)</f>
        <v>-291761.82159999997</v>
      </c>
      <c r="H65" s="78">
        <f>SUM(H53:H64)</f>
        <v>-2.3864750822234259E-3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63490</v>
      </c>
      <c r="D72" s="69">
        <f t="shared" si="8"/>
        <v>5.0081378749996212E-6</v>
      </c>
      <c r="E72" s="68"/>
      <c r="F72" s="65" t="s">
        <v>9</v>
      </c>
      <c r="G72" s="66">
        <v>-501841</v>
      </c>
      <c r="H72" s="69">
        <f t="shared" si="9"/>
        <v>-7.7920475777328233E-5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-22117228</v>
      </c>
      <c r="D76" s="69">
        <f t="shared" si="8"/>
        <v>-1.744623204233771E-3</v>
      </c>
      <c r="E76" s="68"/>
      <c r="F76" s="65" t="s">
        <v>13</v>
      </c>
      <c r="G76" s="72">
        <v>-7319994</v>
      </c>
      <c r="H76" s="69">
        <f t="shared" si="9"/>
        <v>-1.1365699796692338E-3</v>
      </c>
    </row>
    <row r="77" spans="2:8" x14ac:dyDescent="0.2">
      <c r="B77" s="65" t="s">
        <v>14</v>
      </c>
      <c r="C77" s="66">
        <v>-16957518</v>
      </c>
      <c r="D77" s="69">
        <f t="shared" si="8"/>
        <v>-1.3376214862464613E-3</v>
      </c>
      <c r="E77" s="68"/>
      <c r="F77" s="65" t="s">
        <v>14</v>
      </c>
      <c r="G77" s="66">
        <v>-8115572</v>
      </c>
      <c r="H77" s="69">
        <f t="shared" si="9"/>
        <v>-1.2600987791853658E-3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-20998</v>
      </c>
      <c r="D79" s="69">
        <f t="shared" si="8"/>
        <v>-1.6563376767875579E-6</v>
      </c>
      <c r="E79" s="68"/>
      <c r="F79" s="65" t="s">
        <v>16</v>
      </c>
      <c r="G79" s="72">
        <v>-15986</v>
      </c>
      <c r="H79" s="69">
        <f t="shared" si="9"/>
        <v>-2.4821342333057064E-6</v>
      </c>
    </row>
    <row r="80" spans="2:8" s="80" customFormat="1" x14ac:dyDescent="0.2">
      <c r="B80" s="76" t="s">
        <v>17</v>
      </c>
      <c r="C80" s="77">
        <f>SUM(C68:C79)</f>
        <v>-39032254</v>
      </c>
      <c r="D80" s="78">
        <f>SUM(D68:D79)</f>
        <v>-3.0788928902820206E-3</v>
      </c>
      <c r="E80" s="79"/>
      <c r="F80" s="76" t="s">
        <v>17</v>
      </c>
      <c r="G80" s="77">
        <f>SUM(G68:G79)</f>
        <v>-15953393</v>
      </c>
      <c r="H80" s="78">
        <f>SUM(H68:H79)</f>
        <v>-2.4770713688652335E-3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20707206863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22307010272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12677366635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4972069234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6440425254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64434118447</v>
      </c>
      <c r="D111" s="191">
        <v>1177116234</v>
      </c>
      <c r="F111" s="106">
        <f>+C111+D111</f>
        <v>65611234681</v>
      </c>
      <c r="G111" s="62"/>
      <c r="H111" s="62"/>
    </row>
    <row r="112" spans="2:8" x14ac:dyDescent="0.2">
      <c r="B112" s="189" t="s">
        <v>18</v>
      </c>
      <c r="C112" s="192">
        <v>41609827.5</v>
      </c>
      <c r="D112" s="193">
        <v>193273.55</v>
      </c>
      <c r="F112" s="106">
        <f>+C112+D112</f>
        <v>41803101.049999997</v>
      </c>
      <c r="H112" s="75"/>
    </row>
    <row r="113" spans="1:13" x14ac:dyDescent="0.2">
      <c r="B113" s="189" t="s">
        <v>4</v>
      </c>
      <c r="C113" s="190">
        <v>9437128974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87735912305</v>
      </c>
      <c r="D114" s="107"/>
      <c r="F114" s="106"/>
      <c r="H114" s="75"/>
    </row>
    <row r="115" spans="1:13" x14ac:dyDescent="0.2">
      <c r="B115" s="189" t="s">
        <v>25</v>
      </c>
      <c r="C115" s="192">
        <v>122256387.16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409" priority="46" stopIfTrue="1" operator="lessThan">
      <formula>0</formula>
    </cfRule>
  </conditionalFormatting>
  <conditionalFormatting sqref="C89">
    <cfRule type="cellIs" dxfId="2408" priority="43" stopIfTrue="1" operator="lessThan">
      <formula>0</formula>
    </cfRule>
  </conditionalFormatting>
  <conditionalFormatting sqref="C85">
    <cfRule type="cellIs" dxfId="2407" priority="45" stopIfTrue="1" operator="lessThan">
      <formula>0</formula>
    </cfRule>
  </conditionalFormatting>
  <conditionalFormatting sqref="C7:C9">
    <cfRule type="cellIs" dxfId="2406" priority="42" stopIfTrue="1" operator="lessThan">
      <formula>0</formula>
    </cfRule>
  </conditionalFormatting>
  <conditionalFormatting sqref="C10:C13">
    <cfRule type="cellIs" dxfId="2405" priority="40" stopIfTrue="1" operator="lessThan">
      <formula>0</formula>
    </cfRule>
  </conditionalFormatting>
  <conditionalFormatting sqref="C88">
    <cfRule type="cellIs" dxfId="2404" priority="44" stopIfTrue="1" operator="lessThan">
      <formula>0</formula>
    </cfRule>
  </conditionalFormatting>
  <conditionalFormatting sqref="C101">
    <cfRule type="cellIs" dxfId="2403" priority="39" stopIfTrue="1" operator="lessThan">
      <formula>0</formula>
    </cfRule>
  </conditionalFormatting>
  <conditionalFormatting sqref="C7">
    <cfRule type="cellIs" dxfId="2402" priority="41" stopIfTrue="1" operator="lessThan">
      <formula>0</formula>
    </cfRule>
  </conditionalFormatting>
  <conditionalFormatting sqref="C29:C33">
    <cfRule type="cellIs" dxfId="2401" priority="34" stopIfTrue="1" operator="lessThan">
      <formula>0</formula>
    </cfRule>
  </conditionalFormatting>
  <conditionalFormatting sqref="G7:G9">
    <cfRule type="cellIs" dxfId="2400" priority="37" stopIfTrue="1" operator="lessThan">
      <formula>0</formula>
    </cfRule>
  </conditionalFormatting>
  <conditionalFormatting sqref="C22">
    <cfRule type="cellIs" dxfId="2399" priority="32" stopIfTrue="1" operator="lessThan">
      <formula>0</formula>
    </cfRule>
  </conditionalFormatting>
  <conditionalFormatting sqref="C25:C28">
    <cfRule type="cellIs" dxfId="2398" priority="31" stopIfTrue="1" operator="lessThan">
      <formula>0</formula>
    </cfRule>
  </conditionalFormatting>
  <conditionalFormatting sqref="G14:G18">
    <cfRule type="cellIs" dxfId="2397" priority="38" stopIfTrue="1" operator="lessThan">
      <formula>0</formula>
    </cfRule>
  </conditionalFormatting>
  <conditionalFormatting sqref="G7">
    <cfRule type="cellIs" dxfId="2396" priority="36" stopIfTrue="1" operator="lessThan">
      <formula>0</formula>
    </cfRule>
  </conditionalFormatting>
  <conditionalFormatting sqref="G10:G13">
    <cfRule type="cellIs" dxfId="2395" priority="35" stopIfTrue="1" operator="lessThan">
      <formula>0</formula>
    </cfRule>
  </conditionalFormatting>
  <conditionalFormatting sqref="C22:C24">
    <cfRule type="cellIs" dxfId="2394" priority="33" stopIfTrue="1" operator="lessThan">
      <formula>0</formula>
    </cfRule>
  </conditionalFormatting>
  <conditionalFormatting sqref="G22">
    <cfRule type="cellIs" dxfId="2393" priority="28" stopIfTrue="1" operator="lessThan">
      <formula>0</formula>
    </cfRule>
  </conditionalFormatting>
  <conditionalFormatting sqref="G29:G33">
    <cfRule type="cellIs" dxfId="2392" priority="30" stopIfTrue="1" operator="lessThan">
      <formula>0</formula>
    </cfRule>
  </conditionalFormatting>
  <conditionalFormatting sqref="G22:G24">
    <cfRule type="cellIs" dxfId="2391" priority="29" stopIfTrue="1" operator="lessThan">
      <formula>0</formula>
    </cfRule>
  </conditionalFormatting>
  <conditionalFormatting sqref="G25:G28">
    <cfRule type="cellIs" dxfId="2390" priority="27" stopIfTrue="1" operator="lessThan">
      <formula>0</formula>
    </cfRule>
  </conditionalFormatting>
  <conditionalFormatting sqref="C40:C43">
    <cfRule type="cellIs" dxfId="2389" priority="23" stopIfTrue="1" operator="lessThan">
      <formula>0</formula>
    </cfRule>
  </conditionalFormatting>
  <conditionalFormatting sqref="G44:G48">
    <cfRule type="cellIs" dxfId="2388" priority="22" stopIfTrue="1" operator="lessThan">
      <formula>0</formula>
    </cfRule>
  </conditionalFormatting>
  <conditionalFormatting sqref="G37">
    <cfRule type="cellIs" dxfId="2387" priority="20" stopIfTrue="1" operator="lessThan">
      <formula>0</formula>
    </cfRule>
  </conditionalFormatting>
  <conditionalFormatting sqref="C44:C48">
    <cfRule type="cellIs" dxfId="2386" priority="26" stopIfTrue="1" operator="lessThan">
      <formula>0</formula>
    </cfRule>
  </conditionalFormatting>
  <conditionalFormatting sqref="C37:C39">
    <cfRule type="cellIs" dxfId="2385" priority="25" stopIfTrue="1" operator="lessThan">
      <formula>0</formula>
    </cfRule>
  </conditionalFormatting>
  <conditionalFormatting sqref="C37">
    <cfRule type="cellIs" dxfId="2384" priority="24" stopIfTrue="1" operator="lessThan">
      <formula>0</formula>
    </cfRule>
  </conditionalFormatting>
  <conditionalFormatting sqref="C56:C59">
    <cfRule type="cellIs" dxfId="2383" priority="15" stopIfTrue="1" operator="lessThan">
      <formula>0</formula>
    </cfRule>
  </conditionalFormatting>
  <conditionalFormatting sqref="G60:G63">
    <cfRule type="cellIs" dxfId="2382" priority="14" stopIfTrue="1" operator="lessThan">
      <formula>0</formula>
    </cfRule>
  </conditionalFormatting>
  <conditionalFormatting sqref="G37:G39">
    <cfRule type="cellIs" dxfId="2381" priority="21" stopIfTrue="1" operator="lessThan">
      <formula>0</formula>
    </cfRule>
  </conditionalFormatting>
  <conditionalFormatting sqref="G53">
    <cfRule type="cellIs" dxfId="2380" priority="12" stopIfTrue="1" operator="lessThan">
      <formula>0</formula>
    </cfRule>
  </conditionalFormatting>
  <conditionalFormatting sqref="G40:G43">
    <cfRule type="cellIs" dxfId="2379" priority="19" stopIfTrue="1" operator="lessThan">
      <formula>0</formula>
    </cfRule>
  </conditionalFormatting>
  <conditionalFormatting sqref="C60:C64">
    <cfRule type="cellIs" dxfId="2378" priority="18" stopIfTrue="1" operator="lessThan">
      <formula>0</formula>
    </cfRule>
  </conditionalFormatting>
  <conditionalFormatting sqref="C53:C55">
    <cfRule type="cellIs" dxfId="2377" priority="17" stopIfTrue="1" operator="lessThan">
      <formula>0</formula>
    </cfRule>
  </conditionalFormatting>
  <conditionalFormatting sqref="C53">
    <cfRule type="cellIs" dxfId="2376" priority="16" stopIfTrue="1" operator="lessThan">
      <formula>0</formula>
    </cfRule>
  </conditionalFormatting>
  <conditionalFormatting sqref="G53:G55">
    <cfRule type="cellIs" dxfId="2375" priority="13" stopIfTrue="1" operator="lessThan">
      <formula>0</formula>
    </cfRule>
  </conditionalFormatting>
  <conditionalFormatting sqref="G56:G59">
    <cfRule type="cellIs" dxfId="2374" priority="11" stopIfTrue="1" operator="lessThan">
      <formula>0</formula>
    </cfRule>
  </conditionalFormatting>
  <conditionalFormatting sqref="C75:C78">
    <cfRule type="cellIs" dxfId="2373" priority="10" stopIfTrue="1" operator="lessThan">
      <formula>0</formula>
    </cfRule>
  </conditionalFormatting>
  <conditionalFormatting sqref="C68:C70">
    <cfRule type="cellIs" dxfId="2372" priority="9" stopIfTrue="1" operator="lessThan">
      <formula>0</formula>
    </cfRule>
  </conditionalFormatting>
  <conditionalFormatting sqref="C68">
    <cfRule type="cellIs" dxfId="2371" priority="8" stopIfTrue="1" operator="lessThan">
      <formula>0</formula>
    </cfRule>
  </conditionalFormatting>
  <conditionalFormatting sqref="C71:C74">
    <cfRule type="cellIs" dxfId="2370" priority="7" stopIfTrue="1" operator="lessThan">
      <formula>0</formula>
    </cfRule>
  </conditionalFormatting>
  <conditionalFormatting sqref="G75:G79">
    <cfRule type="cellIs" dxfId="2369" priority="6" stopIfTrue="1" operator="lessThan">
      <formula>0</formula>
    </cfRule>
  </conditionalFormatting>
  <conditionalFormatting sqref="G68:G70">
    <cfRule type="cellIs" dxfId="2368" priority="5" stopIfTrue="1" operator="lessThan">
      <formula>0</formula>
    </cfRule>
  </conditionalFormatting>
  <conditionalFormatting sqref="G68">
    <cfRule type="cellIs" dxfId="2367" priority="4" stopIfTrue="1" operator="lessThan">
      <formula>0</formula>
    </cfRule>
  </conditionalFormatting>
  <conditionalFormatting sqref="G71:G74">
    <cfRule type="cellIs" dxfId="2366" priority="3" stopIfTrue="1" operator="lessThan">
      <formula>0</formula>
    </cfRule>
  </conditionalFormatting>
  <conditionalFormatting sqref="G64">
    <cfRule type="cellIs" dxfId="2365" priority="2" stopIfTrue="1" operator="lessThan">
      <formula>0</formula>
    </cfRule>
  </conditionalFormatting>
  <conditionalFormatting sqref="C79">
    <cfRule type="cellIs" dxfId="2364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43052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4708192</v>
      </c>
      <c r="D7" s="67">
        <f>+IF(C7/$F$111=0,"",C7/$F$111)</f>
        <v>7.2969445519036253E-5</v>
      </c>
      <c r="E7" s="68"/>
      <c r="F7" s="65" t="s">
        <v>5</v>
      </c>
      <c r="G7" s="66">
        <v>408323</v>
      </c>
      <c r="H7" s="69">
        <f>+IF(G7/$C$113=0,"",G7/$C$113)</f>
        <v>4.3248380709515626E-5</v>
      </c>
      <c r="I7" s="70"/>
    </row>
    <row r="8" spans="1:9" x14ac:dyDescent="0.2">
      <c r="B8" s="65" t="s">
        <v>6</v>
      </c>
      <c r="C8" s="66">
        <v>504029</v>
      </c>
      <c r="D8" s="67">
        <f>+IF(C8/$F$111=0,"",C8/$F$111)</f>
        <v>7.8116433347480992E-6</v>
      </c>
      <c r="E8" s="68"/>
      <c r="F8" s="65" t="s">
        <v>6</v>
      </c>
      <c r="G8" s="66">
        <v>415379</v>
      </c>
      <c r="H8" s="69">
        <f>+IF(G8/$C$113=0,"",G8/$C$113)</f>
        <v>4.3995731640730234E-5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29111</v>
      </c>
      <c r="H11" s="69">
        <f t="shared" si="0"/>
        <v>3.0833521766706978E-6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-148320</v>
      </c>
      <c r="H12" s="69">
        <f t="shared" si="0"/>
        <v>-1.5709621615327468E-5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3439270</v>
      </c>
      <c r="H14" s="69">
        <f t="shared" si="0"/>
        <v>3.6427744291361446E-4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20992</v>
      </c>
      <c r="D17" s="67">
        <f>+IF(C17/$F$111=0,"",C17/$F$111)</f>
        <v>3.2534242450936769E-7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-160370</v>
      </c>
      <c r="D18" s="67">
        <f>+IF(C18/$F$111=0,"",C18/$F$111)</f>
        <v>-2.4854784974546161E-6</v>
      </c>
      <c r="E18" s="75"/>
      <c r="F18" s="65" t="s">
        <v>16</v>
      </c>
      <c r="G18" s="72">
        <v>-27544</v>
      </c>
      <c r="H18" s="69">
        <f t="shared" si="0"/>
        <v>-2.917380109038429E-6</v>
      </c>
    </row>
    <row r="19" spans="2:9" s="80" customFormat="1" x14ac:dyDescent="0.2">
      <c r="B19" s="76" t="s">
        <v>17</v>
      </c>
      <c r="C19" s="77">
        <f>SUM(C7:C18)</f>
        <v>5072843</v>
      </c>
      <c r="D19" s="78">
        <f>SUM(D7:D18)</f>
        <v>7.8620952780839105E-5</v>
      </c>
      <c r="E19" s="79"/>
      <c r="F19" s="76" t="s">
        <v>17</v>
      </c>
      <c r="G19" s="77">
        <f>SUM(G7:G18)</f>
        <v>4116219</v>
      </c>
      <c r="H19" s="78">
        <f>SUM(H7:H18)</f>
        <v>4.3597790571616509E-4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2502.172</v>
      </c>
      <c r="D22" s="69">
        <f>+IF(C22/$F$112=0,"",C22/$F$112)</f>
        <v>6.2239175636399154E-5</v>
      </c>
      <c r="E22" s="75"/>
      <c r="F22" s="65" t="s">
        <v>5</v>
      </c>
      <c r="G22" s="66">
        <v>1478211</v>
      </c>
      <c r="H22" s="69">
        <f t="shared" ref="H22:H33" si="2">+IF(G22/$C$106=0,"",G22/$C$106)</f>
        <v>7.1306907254408425E-5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1202002</v>
      </c>
      <c r="H23" s="69">
        <f t="shared" si="2"/>
        <v>5.7982957191912003E-5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-27.328649582354046</v>
      </c>
      <c r="D26" s="69">
        <f>+IF(C26/$F$112=0,"",C26/$F$112)</f>
        <v>-6.7977446045345404E-7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76434.799660000004</v>
      </c>
      <c r="D27" s="69">
        <f t="shared" ref="D27:D33" si="3">+IF(C27/$F$112=0,"",C27/$F$112)</f>
        <v>1.9012437677232911E-3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3048224</v>
      </c>
      <c r="H29" s="69">
        <f t="shared" si="2"/>
        <v>1.4704221931690527E-4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-76871.020499999999</v>
      </c>
      <c r="D31" s="69">
        <f t="shared" si="3"/>
        <v>-1.9120943509274104E-3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>
        <v>92.58</v>
      </c>
      <c r="D32" s="69">
        <f t="shared" si="3"/>
        <v>2.3028404443890485E-6</v>
      </c>
      <c r="E32" s="75"/>
      <c r="F32" s="65" t="s">
        <v>15</v>
      </c>
      <c r="G32" s="72">
        <v>-292783</v>
      </c>
      <c r="H32" s="69">
        <f t="shared" si="2"/>
        <v>-1.4123457494679354E-5</v>
      </c>
    </row>
    <row r="33" spans="1:13" x14ac:dyDescent="0.2">
      <c r="B33" s="65" t="s">
        <v>16</v>
      </c>
      <c r="C33" s="71">
        <v>-137</v>
      </c>
      <c r="D33" s="69">
        <f t="shared" si="3"/>
        <v>-3.4077461749978357E-6</v>
      </c>
      <c r="E33" s="75"/>
      <c r="F33" s="65" t="s">
        <v>16</v>
      </c>
      <c r="G33" s="72">
        <v>-63684</v>
      </c>
      <c r="H33" s="69">
        <f t="shared" si="2"/>
        <v>-3.0720303675116381E-6</v>
      </c>
    </row>
    <row r="34" spans="1:13" s="80" customFormat="1" x14ac:dyDescent="0.2">
      <c r="B34" s="76" t="s">
        <v>17</v>
      </c>
      <c r="C34" s="93">
        <f>SUM(C22:C33)</f>
        <v>1994.2025104176555</v>
      </c>
      <c r="D34" s="78">
        <f>SUM(D22:D33)</f>
        <v>4.9603912241217772E-5</v>
      </c>
      <c r="E34" s="79"/>
      <c r="F34" s="76" t="s">
        <v>17</v>
      </c>
      <c r="G34" s="77">
        <v>-39678</v>
      </c>
      <c r="H34" s="78">
        <f>SUM(H22:H33)</f>
        <v>2.5913659590103471E-4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4102421</v>
      </c>
      <c r="D37" s="69">
        <f t="shared" ref="D37:D48" si="4">+IF(C37/$C$114=0,"",C37/$C$114)</f>
        <v>4.7141810841953085E-5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8828787</v>
      </c>
      <c r="D38" s="69">
        <f t="shared" si="4"/>
        <v>1.0145350921270499E-4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-2572080</v>
      </c>
      <c r="H39" s="69">
        <f t="shared" si="5"/>
        <v>-5.202726586437963E-4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23885451</v>
      </c>
      <c r="D44" s="69">
        <f t="shared" si="4"/>
        <v>2.744729058565026E-4</v>
      </c>
      <c r="E44" s="68"/>
      <c r="F44" s="65" t="s">
        <v>12</v>
      </c>
      <c r="G44" s="72">
        <v>-2192</v>
      </c>
      <c r="H44" s="69">
        <f t="shared" si="5"/>
        <v>-4.4339121168361848E-7</v>
      </c>
    </row>
    <row r="45" spans="1:13" x14ac:dyDescent="0.2">
      <c r="B45" s="65" t="s">
        <v>13</v>
      </c>
      <c r="C45" s="72">
        <v>12740332</v>
      </c>
      <c r="D45" s="69">
        <f t="shared" si="4"/>
        <v>1.4640192247643082E-4</v>
      </c>
      <c r="E45" s="68"/>
      <c r="F45" s="65" t="s">
        <v>13</v>
      </c>
      <c r="G45" s="72">
        <v>-54988574</v>
      </c>
      <c r="H45" s="69">
        <f t="shared" si="5"/>
        <v>-1.1122924477470037E-2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4333</v>
      </c>
      <c r="D47" s="69">
        <f t="shared" si="4"/>
        <v>4.9791444217495649E-8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-185128</v>
      </c>
      <c r="D48" s="69">
        <f t="shared" si="4"/>
        <v>-2.1273460616424034E-6</v>
      </c>
      <c r="E48" s="68"/>
      <c r="F48" s="65" t="s">
        <v>16</v>
      </c>
      <c r="G48" s="72">
        <v>-18696</v>
      </c>
      <c r="H48" s="69">
        <f t="shared" si="5"/>
        <v>-3.7817710281190381E-6</v>
      </c>
    </row>
    <row r="49" spans="2:9" s="80" customFormat="1" x14ac:dyDescent="0.2">
      <c r="B49" s="76" t="s">
        <v>17</v>
      </c>
      <c r="C49" s="77">
        <f>SUM(C37:C48)</f>
        <v>49376196</v>
      </c>
      <c r="D49" s="78">
        <f>SUM(D37:D48)</f>
        <v>5.673925937701665E-4</v>
      </c>
      <c r="E49" s="79"/>
      <c r="F49" s="76" t="s">
        <v>17</v>
      </c>
      <c r="G49" s="77">
        <f>SUM(G37:G48)</f>
        <v>-57581542</v>
      </c>
      <c r="H49" s="78">
        <f>SUM(H37:H48)</f>
        <v>-1.1647422298353636E-2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16245.356100000001</v>
      </c>
      <c r="H53" s="69">
        <f t="shared" ref="H53:H64" si="7">+IF(G53/$C$115=0,"",G53/$C$115)</f>
        <v>1.3316721588792815E-4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>
        <v>-18711580</v>
      </c>
      <c r="D55" s="69">
        <f t="shared" si="6"/>
        <v>-8.4554078241944508E-4</v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-59301</v>
      </c>
      <c r="D58" s="69">
        <f t="shared" si="6"/>
        <v>-2.6796996265550807E-6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>
        <v>8908527</v>
      </c>
      <c r="D59" s="69">
        <f t="shared" si="6"/>
        <v>4.0255942522142717E-4</v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-76249.0334</v>
      </c>
      <c r="H60" s="69">
        <f t="shared" si="7"/>
        <v>-6.250322510334903E-4</v>
      </c>
    </row>
    <row r="61" spans="2:9" x14ac:dyDescent="0.2">
      <c r="B61" s="65" t="s">
        <v>13</v>
      </c>
      <c r="C61" s="72">
        <v>-279404403</v>
      </c>
      <c r="D61" s="69">
        <f t="shared" si="6"/>
        <v>-1.262575461420457E-2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-232455</v>
      </c>
      <c r="D63" s="69">
        <f t="shared" si="6"/>
        <v>-1.0504200210634917E-5</v>
      </c>
      <c r="E63" s="68"/>
      <c r="F63" s="65" t="s">
        <v>15</v>
      </c>
      <c r="G63" s="92">
        <v>-1495.72</v>
      </c>
      <c r="H63" s="69">
        <f t="shared" si="7"/>
        <v>-1.2260788062866279E-5</v>
      </c>
    </row>
    <row r="64" spans="2:9" x14ac:dyDescent="0.2">
      <c r="B64" s="65" t="s">
        <v>16</v>
      </c>
      <c r="C64" s="72">
        <v>-121684</v>
      </c>
      <c r="D64" s="69">
        <f t="shared" si="6"/>
        <v>-5.498668982946804E-6</v>
      </c>
      <c r="E64" s="68"/>
      <c r="F64" s="65" t="s">
        <v>16</v>
      </c>
      <c r="G64" s="92">
        <v>-104</v>
      </c>
      <c r="H64" s="69">
        <f t="shared" si="7"/>
        <v>-8.5251381176830749E-7</v>
      </c>
    </row>
    <row r="65" spans="2:8" s="80" customFormat="1" x14ac:dyDescent="0.2">
      <c r="B65" s="76" t="s">
        <v>17</v>
      </c>
      <c r="C65" s="77">
        <f>SUM(C53:C64)</f>
        <v>-289620896</v>
      </c>
      <c r="D65" s="78">
        <f>SUM(D53:D64)</f>
        <v>-1.3087418540222724E-2</v>
      </c>
      <c r="E65" s="79"/>
      <c r="F65" s="76" t="s">
        <v>17</v>
      </c>
      <c r="G65" s="93">
        <f>SUM(G53:G64)</f>
        <v>-61603.397299999997</v>
      </c>
      <c r="H65" s="78">
        <f>SUM(H53:H64)</f>
        <v>-5.049783370201968E-4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16360</v>
      </c>
      <c r="D72" s="69">
        <f t="shared" si="8"/>
        <v>1.2946767636280027E-6</v>
      </c>
      <c r="E72" s="68"/>
      <c r="F72" s="65" t="s">
        <v>9</v>
      </c>
      <c r="G72" s="66">
        <v>1074524</v>
      </c>
      <c r="H72" s="69">
        <f t="shared" si="9"/>
        <v>1.6727269695245963E-4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-20338132</v>
      </c>
      <c r="D76" s="69">
        <f t="shared" si="8"/>
        <v>-1.6094930877750071E-3</v>
      </c>
      <c r="E76" s="68"/>
      <c r="F76" s="65" t="s">
        <v>13</v>
      </c>
      <c r="G76" s="72">
        <v>-12559540</v>
      </c>
      <c r="H76" s="69">
        <f t="shared" si="9"/>
        <v>-1.9551616606816552E-3</v>
      </c>
    </row>
    <row r="77" spans="2:8" x14ac:dyDescent="0.2">
      <c r="B77" s="65" t="s">
        <v>14</v>
      </c>
      <c r="C77" s="66">
        <v>36250344</v>
      </c>
      <c r="D77" s="69">
        <f t="shared" si="8"/>
        <v>2.8687333771590332E-3</v>
      </c>
      <c r="E77" s="68"/>
      <c r="F77" s="65" t="s">
        <v>14</v>
      </c>
      <c r="G77" s="66">
        <v>17340641</v>
      </c>
      <c r="H77" s="69">
        <f t="shared" si="9"/>
        <v>2.6994425317204613E-3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-21156</v>
      </c>
      <c r="D79" s="69">
        <f t="shared" si="8"/>
        <v>-1.6742164799091702E-6</v>
      </c>
      <c r="E79" s="68"/>
      <c r="F79" s="65" t="s">
        <v>16</v>
      </c>
      <c r="G79" s="72">
        <v>-16074</v>
      </c>
      <c r="H79" s="69">
        <f t="shared" si="9"/>
        <v>-2.5022627049873583E-6</v>
      </c>
    </row>
    <row r="80" spans="2:8" s="80" customFormat="1" x14ac:dyDescent="0.2">
      <c r="B80" s="76" t="s">
        <v>17</v>
      </c>
      <c r="C80" s="77">
        <f>SUM(C68:C79)</f>
        <v>15907416</v>
      </c>
      <c r="D80" s="78">
        <f>SUM(D68:D79)</f>
        <v>1.2588607496677449E-3</v>
      </c>
      <c r="E80" s="79"/>
      <c r="F80" s="76" t="s">
        <v>17</v>
      </c>
      <c r="G80" s="77">
        <f>SUM(G68:G79)</f>
        <v>5839551</v>
      </c>
      <c r="H80" s="78">
        <f>SUM(H68:H79)</f>
        <v>9.0905130528627848E-4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20730263826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22129719097.000099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12636358711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4943715487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6423785947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63183898943</v>
      </c>
      <c r="D111" s="191">
        <v>1338888184</v>
      </c>
      <c r="F111" s="106">
        <f>+C111+D111</f>
        <v>64522787127</v>
      </c>
      <c r="G111" s="62"/>
      <c r="H111" s="62"/>
    </row>
    <row r="112" spans="2:8" x14ac:dyDescent="0.2">
      <c r="B112" s="189" t="s">
        <v>18</v>
      </c>
      <c r="C112" s="192">
        <v>40202374.967</v>
      </c>
      <c r="D112" s="193">
        <v>149.80000000000001</v>
      </c>
      <c r="F112" s="106">
        <f>+C112+D112</f>
        <v>40202524.766999997</v>
      </c>
      <c r="H112" s="75"/>
    </row>
    <row r="113" spans="1:13" x14ac:dyDescent="0.2">
      <c r="B113" s="189" t="s">
        <v>4</v>
      </c>
      <c r="C113" s="190">
        <v>9441347706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87022982925.999893</v>
      </c>
      <c r="D114" s="107"/>
      <c r="F114" s="106"/>
      <c r="H114" s="75"/>
    </row>
    <row r="115" spans="1:13" x14ac:dyDescent="0.2">
      <c r="B115" s="189" t="s">
        <v>25</v>
      </c>
      <c r="C115" s="192">
        <v>121992158.4429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363" priority="46" stopIfTrue="1" operator="lessThan">
      <formula>0</formula>
    </cfRule>
  </conditionalFormatting>
  <conditionalFormatting sqref="C89">
    <cfRule type="cellIs" dxfId="2362" priority="43" stopIfTrue="1" operator="lessThan">
      <formula>0</formula>
    </cfRule>
  </conditionalFormatting>
  <conditionalFormatting sqref="C85">
    <cfRule type="cellIs" dxfId="2361" priority="45" stopIfTrue="1" operator="lessThan">
      <formula>0</formula>
    </cfRule>
  </conditionalFormatting>
  <conditionalFormatting sqref="C7:C9">
    <cfRule type="cellIs" dxfId="2360" priority="42" stopIfTrue="1" operator="lessThan">
      <formula>0</formula>
    </cfRule>
  </conditionalFormatting>
  <conditionalFormatting sqref="C10:C13">
    <cfRule type="cellIs" dxfId="2359" priority="40" stopIfTrue="1" operator="lessThan">
      <formula>0</formula>
    </cfRule>
  </conditionalFormatting>
  <conditionalFormatting sqref="C88">
    <cfRule type="cellIs" dxfId="2358" priority="44" stopIfTrue="1" operator="lessThan">
      <formula>0</formula>
    </cfRule>
  </conditionalFormatting>
  <conditionalFormatting sqref="C101">
    <cfRule type="cellIs" dxfId="2357" priority="39" stopIfTrue="1" operator="lessThan">
      <formula>0</formula>
    </cfRule>
  </conditionalFormatting>
  <conditionalFormatting sqref="C7">
    <cfRule type="cellIs" dxfId="2356" priority="41" stopIfTrue="1" operator="lessThan">
      <formula>0</formula>
    </cfRule>
  </conditionalFormatting>
  <conditionalFormatting sqref="C29:C33">
    <cfRule type="cellIs" dxfId="2355" priority="34" stopIfTrue="1" operator="lessThan">
      <formula>0</formula>
    </cfRule>
  </conditionalFormatting>
  <conditionalFormatting sqref="G7:G9">
    <cfRule type="cellIs" dxfId="2354" priority="37" stopIfTrue="1" operator="lessThan">
      <formula>0</formula>
    </cfRule>
  </conditionalFormatting>
  <conditionalFormatting sqref="C22">
    <cfRule type="cellIs" dxfId="2353" priority="32" stopIfTrue="1" operator="lessThan">
      <formula>0</formula>
    </cfRule>
  </conditionalFormatting>
  <conditionalFormatting sqref="C25:C28">
    <cfRule type="cellIs" dxfId="2352" priority="31" stopIfTrue="1" operator="lessThan">
      <formula>0</formula>
    </cfRule>
  </conditionalFormatting>
  <conditionalFormatting sqref="G14:G18">
    <cfRule type="cellIs" dxfId="2351" priority="38" stopIfTrue="1" operator="lessThan">
      <formula>0</formula>
    </cfRule>
  </conditionalFormatting>
  <conditionalFormatting sqref="G7">
    <cfRule type="cellIs" dxfId="2350" priority="36" stopIfTrue="1" operator="lessThan">
      <formula>0</formula>
    </cfRule>
  </conditionalFormatting>
  <conditionalFormatting sqref="G10:G13">
    <cfRule type="cellIs" dxfId="2349" priority="35" stopIfTrue="1" operator="lessThan">
      <formula>0</formula>
    </cfRule>
  </conditionalFormatting>
  <conditionalFormatting sqref="C22:C24">
    <cfRule type="cellIs" dxfId="2348" priority="33" stopIfTrue="1" operator="lessThan">
      <formula>0</formula>
    </cfRule>
  </conditionalFormatting>
  <conditionalFormatting sqref="G22">
    <cfRule type="cellIs" dxfId="2347" priority="28" stopIfTrue="1" operator="lessThan">
      <formula>0</formula>
    </cfRule>
  </conditionalFormatting>
  <conditionalFormatting sqref="G29:G33">
    <cfRule type="cellIs" dxfId="2346" priority="30" stopIfTrue="1" operator="lessThan">
      <formula>0</formula>
    </cfRule>
  </conditionalFormatting>
  <conditionalFormatting sqref="G22:G24">
    <cfRule type="cellIs" dxfId="2345" priority="29" stopIfTrue="1" operator="lessThan">
      <formula>0</formula>
    </cfRule>
  </conditionalFormatting>
  <conditionalFormatting sqref="G25:G28">
    <cfRule type="cellIs" dxfId="2344" priority="27" stopIfTrue="1" operator="lessThan">
      <formula>0</formula>
    </cfRule>
  </conditionalFormatting>
  <conditionalFormatting sqref="C40:C43">
    <cfRule type="cellIs" dxfId="2343" priority="23" stopIfTrue="1" operator="lessThan">
      <formula>0</formula>
    </cfRule>
  </conditionalFormatting>
  <conditionalFormatting sqref="G44:G48">
    <cfRule type="cellIs" dxfId="2342" priority="22" stopIfTrue="1" operator="lessThan">
      <formula>0</formula>
    </cfRule>
  </conditionalFormatting>
  <conditionalFormatting sqref="G37">
    <cfRule type="cellIs" dxfId="2341" priority="20" stopIfTrue="1" operator="lessThan">
      <formula>0</formula>
    </cfRule>
  </conditionalFormatting>
  <conditionalFormatting sqref="C44:C48">
    <cfRule type="cellIs" dxfId="2340" priority="26" stopIfTrue="1" operator="lessThan">
      <formula>0</formula>
    </cfRule>
  </conditionalFormatting>
  <conditionalFormatting sqref="C37:C39">
    <cfRule type="cellIs" dxfId="2339" priority="25" stopIfTrue="1" operator="lessThan">
      <formula>0</formula>
    </cfRule>
  </conditionalFormatting>
  <conditionalFormatting sqref="C37">
    <cfRule type="cellIs" dxfId="2338" priority="24" stopIfTrue="1" operator="lessThan">
      <formula>0</formula>
    </cfRule>
  </conditionalFormatting>
  <conditionalFormatting sqref="C56:C59">
    <cfRule type="cellIs" dxfId="2337" priority="15" stopIfTrue="1" operator="lessThan">
      <formula>0</formula>
    </cfRule>
  </conditionalFormatting>
  <conditionalFormatting sqref="G60:G63">
    <cfRule type="cellIs" dxfId="2336" priority="14" stopIfTrue="1" operator="lessThan">
      <formula>0</formula>
    </cfRule>
  </conditionalFormatting>
  <conditionalFormatting sqref="G37:G39">
    <cfRule type="cellIs" dxfId="2335" priority="21" stopIfTrue="1" operator="lessThan">
      <formula>0</formula>
    </cfRule>
  </conditionalFormatting>
  <conditionalFormatting sqref="G53">
    <cfRule type="cellIs" dxfId="2334" priority="12" stopIfTrue="1" operator="lessThan">
      <formula>0</formula>
    </cfRule>
  </conditionalFormatting>
  <conditionalFormatting sqref="G40:G43">
    <cfRule type="cellIs" dxfId="2333" priority="19" stopIfTrue="1" operator="lessThan">
      <formula>0</formula>
    </cfRule>
  </conditionalFormatting>
  <conditionalFormatting sqref="C60:C64">
    <cfRule type="cellIs" dxfId="2332" priority="18" stopIfTrue="1" operator="lessThan">
      <formula>0</formula>
    </cfRule>
  </conditionalFormatting>
  <conditionalFormatting sqref="C53:C55">
    <cfRule type="cellIs" dxfId="2331" priority="17" stopIfTrue="1" operator="lessThan">
      <formula>0</formula>
    </cfRule>
  </conditionalFormatting>
  <conditionalFormatting sqref="C53">
    <cfRule type="cellIs" dxfId="2330" priority="16" stopIfTrue="1" operator="lessThan">
      <formula>0</formula>
    </cfRule>
  </conditionalFormatting>
  <conditionalFormatting sqref="G53:G55">
    <cfRule type="cellIs" dxfId="2329" priority="13" stopIfTrue="1" operator="lessThan">
      <formula>0</formula>
    </cfRule>
  </conditionalFormatting>
  <conditionalFormatting sqref="G56:G59">
    <cfRule type="cellIs" dxfId="2328" priority="11" stopIfTrue="1" operator="lessThan">
      <formula>0</formula>
    </cfRule>
  </conditionalFormatting>
  <conditionalFormatting sqref="C75:C78">
    <cfRule type="cellIs" dxfId="2327" priority="10" stopIfTrue="1" operator="lessThan">
      <formula>0</formula>
    </cfRule>
  </conditionalFormatting>
  <conditionalFormatting sqref="C68:C70">
    <cfRule type="cellIs" dxfId="2326" priority="9" stopIfTrue="1" operator="lessThan">
      <formula>0</formula>
    </cfRule>
  </conditionalFormatting>
  <conditionalFormatting sqref="C68">
    <cfRule type="cellIs" dxfId="2325" priority="8" stopIfTrue="1" operator="lessThan">
      <formula>0</formula>
    </cfRule>
  </conditionalFormatting>
  <conditionalFormatting sqref="C71:C74">
    <cfRule type="cellIs" dxfId="2324" priority="7" stopIfTrue="1" operator="lessThan">
      <formula>0</formula>
    </cfRule>
  </conditionalFormatting>
  <conditionalFormatting sqref="G75:G79">
    <cfRule type="cellIs" dxfId="2323" priority="6" stopIfTrue="1" operator="lessThan">
      <formula>0</formula>
    </cfRule>
  </conditionalFormatting>
  <conditionalFormatting sqref="G68:G70">
    <cfRule type="cellIs" dxfId="2322" priority="5" stopIfTrue="1" operator="lessThan">
      <formula>0</formula>
    </cfRule>
  </conditionalFormatting>
  <conditionalFormatting sqref="G68">
    <cfRule type="cellIs" dxfId="2321" priority="4" stopIfTrue="1" operator="lessThan">
      <formula>0</formula>
    </cfRule>
  </conditionalFormatting>
  <conditionalFormatting sqref="G71:G74">
    <cfRule type="cellIs" dxfId="2320" priority="3" stopIfTrue="1" operator="lessThan">
      <formula>0</formula>
    </cfRule>
  </conditionalFormatting>
  <conditionalFormatting sqref="G64">
    <cfRule type="cellIs" dxfId="2319" priority="2" stopIfTrue="1" operator="lessThan">
      <formula>0</formula>
    </cfRule>
  </conditionalFormatting>
  <conditionalFormatting sqref="C79">
    <cfRule type="cellIs" dxfId="2318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dimension ref="A2:M121"/>
  <sheetViews>
    <sheetView workbookViewId="0">
      <selection activeCell="J16" sqref="J1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43053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4821534</v>
      </c>
      <c r="D7" s="67">
        <f>+IF(C7/$F$111=0,"",C7/$F$111)</f>
        <v>7.4231085530540537E-5</v>
      </c>
      <c r="E7" s="68"/>
      <c r="F7" s="65" t="s">
        <v>5</v>
      </c>
      <c r="G7" s="66">
        <v>816214</v>
      </c>
      <c r="H7" s="69">
        <f>+IF(G7/$C$113=0,"",G7/$C$113)</f>
        <v>8.6379699598382068E-5</v>
      </c>
      <c r="I7" s="70"/>
    </row>
    <row r="8" spans="1:9" x14ac:dyDescent="0.2">
      <c r="B8" s="65" t="s">
        <v>6</v>
      </c>
      <c r="C8" s="66">
        <v>503997</v>
      </c>
      <c r="D8" s="67">
        <f>+IF(C8/$F$111=0,"",C8/$F$111)</f>
        <v>7.7594069468629362E-6</v>
      </c>
      <c r="E8" s="68"/>
      <c r="F8" s="65" t="s">
        <v>6</v>
      </c>
      <c r="G8" s="66">
        <v>415419</v>
      </c>
      <c r="H8" s="69">
        <f>+IF(G8/$C$113=0,"",G8/$C$113)</f>
        <v>4.3963676716474204E-5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-43837</v>
      </c>
      <c r="H11" s="69">
        <f t="shared" si="0"/>
        <v>-4.6392574634768264E-6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151840</v>
      </c>
      <c r="H12" s="69">
        <f t="shared" si="0"/>
        <v>1.6069184781219549E-5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1810042</v>
      </c>
      <c r="H14" s="69">
        <f t="shared" si="0"/>
        <v>1.9155623919763035E-4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-103530</v>
      </c>
      <c r="D18" s="67">
        <f>+IF(C18/$F$111=0,"",C18/$F$111)</f>
        <v>-1.5939209979597495E-6</v>
      </c>
      <c r="E18" s="75"/>
      <c r="F18" s="65" t="s">
        <v>16</v>
      </c>
      <c r="G18" s="72">
        <v>-30513</v>
      </c>
      <c r="H18" s="69">
        <f t="shared" si="0"/>
        <v>-3.2291822657359859E-6</v>
      </c>
    </row>
    <row r="19" spans="2:9" s="80" customFormat="1" x14ac:dyDescent="0.2">
      <c r="B19" s="76" t="s">
        <v>17</v>
      </c>
      <c r="C19" s="77">
        <f>SUM(C7:C18)</f>
        <v>5222001</v>
      </c>
      <c r="D19" s="78">
        <f>SUM(D7:D18)</f>
        <v>8.0396571479443717E-5</v>
      </c>
      <c r="E19" s="79"/>
      <c r="F19" s="76" t="s">
        <v>17</v>
      </c>
      <c r="G19" s="77">
        <f>SUM(G7:G18)</f>
        <v>3119165</v>
      </c>
      <c r="H19" s="78">
        <f>SUM(H7:H18)</f>
        <v>3.3010036056449341E-4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2138.116</v>
      </c>
      <c r="D22" s="69">
        <f>+IF(C22/$F$112=0,"",C22/$F$112)</f>
        <v>5.3106081793368888E-5</v>
      </c>
      <c r="E22" s="75"/>
      <c r="F22" s="65" t="s">
        <v>5</v>
      </c>
      <c r="G22" s="66">
        <v>1387074</v>
      </c>
      <c r="H22" s="69">
        <f t="shared" ref="H22:H33" si="2">+IF(G22/$C$106=0,"",G22/$C$106)</f>
        <v>6.6543442286219005E-5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1311284</v>
      </c>
      <c r="H23" s="69">
        <f t="shared" si="2"/>
        <v>6.2907495328181763E-5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27.617052672309001</v>
      </c>
      <c r="D26" s="69">
        <f>+IF(C26/$F$112=0,"",C26/$F$112)</f>
        <v>6.8594662689368521E-7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/>
      <c r="D27" s="69" t="str">
        <f t="shared" ref="D27:D33" si="3">+IF(C27/$F$112=0,"",C27/$F$112)</f>
        <v/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>
        <v>-78165.832264427707</v>
      </c>
      <c r="D29" s="69">
        <f t="shared" si="3"/>
        <v>-1.9414667313099247E-3</v>
      </c>
      <c r="E29" s="75"/>
      <c r="F29" s="65" t="s">
        <v>12</v>
      </c>
      <c r="G29" s="72">
        <v>23157</v>
      </c>
      <c r="H29" s="69">
        <f t="shared" si="2"/>
        <v>1.1109331535462229E-6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77723.855200000005</v>
      </c>
      <c r="D31" s="69">
        <f t="shared" si="3"/>
        <v>1.9304889966433815E-3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5993</v>
      </c>
      <c r="H32" s="69">
        <f t="shared" si="2"/>
        <v>2.8750798416040565E-7</v>
      </c>
    </row>
    <row r="33" spans="1:13" x14ac:dyDescent="0.2">
      <c r="B33" s="65" t="s">
        <v>16</v>
      </c>
      <c r="C33" s="71">
        <v>-59.41</v>
      </c>
      <c r="D33" s="69">
        <f t="shared" si="3"/>
        <v>-1.4756132592170143E-6</v>
      </c>
      <c r="E33" s="75"/>
      <c r="F33" s="65" t="s">
        <v>16</v>
      </c>
      <c r="G33" s="72">
        <v>-105255</v>
      </c>
      <c r="H33" s="69">
        <f t="shared" si="2"/>
        <v>-5.0494998953451514E-6</v>
      </c>
    </row>
    <row r="34" spans="1:13" s="80" customFormat="1" x14ac:dyDescent="0.2">
      <c r="B34" s="76" t="s">
        <v>17</v>
      </c>
      <c r="C34" s="93">
        <v>1664.3459882446075</v>
      </c>
      <c r="D34" s="78">
        <f>SUM(D22:D33)</f>
        <v>4.1338680494502425E-5</v>
      </c>
      <c r="E34" s="79"/>
      <c r="F34" s="76" t="s">
        <v>17</v>
      </c>
      <c r="G34" s="77">
        <v>-39678</v>
      </c>
      <c r="H34" s="78">
        <f>SUM(H22:H33)</f>
        <v>1.2579987885676222E-4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3596355</v>
      </c>
      <c r="D37" s="69">
        <f t="shared" ref="D37:D48" si="4">+IF(C37/$C$114=0,"",C37/$C$114)</f>
        <v>4.1407606434021115E-5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8994744</v>
      </c>
      <c r="D38" s="69">
        <f t="shared" si="4"/>
        <v>1.0356341894133721E-4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2166</v>
      </c>
      <c r="H43" s="69">
        <f t="shared" si="5"/>
        <v>4.4308750720536027E-7</v>
      </c>
    </row>
    <row r="44" spans="1:13" x14ac:dyDescent="0.2">
      <c r="B44" s="65" t="s">
        <v>12</v>
      </c>
      <c r="C44" s="72">
        <v>5764192</v>
      </c>
      <c r="D44" s="69">
        <f t="shared" si="4"/>
        <v>6.6367584330838595E-5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11374747</v>
      </c>
      <c r="D45" s="69">
        <f t="shared" si="4"/>
        <v>1.309662274893781E-4</v>
      </c>
      <c r="E45" s="68"/>
      <c r="F45" s="65" t="s">
        <v>13</v>
      </c>
      <c r="G45" s="72">
        <v>-22053139</v>
      </c>
      <c r="H45" s="69">
        <f t="shared" si="5"/>
        <v>-4.5112975002600704E-3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-106657</v>
      </c>
      <c r="D48" s="69">
        <f t="shared" si="4"/>
        <v>-1.2280242299309691E-6</v>
      </c>
      <c r="E48" s="68"/>
      <c r="F48" s="65" t="s">
        <v>16</v>
      </c>
      <c r="G48" s="72">
        <v>-18696</v>
      </c>
      <c r="H48" s="69">
        <f t="shared" si="5"/>
        <v>-3.8245447990357414E-6</v>
      </c>
    </row>
    <row r="49" spans="2:9" s="80" customFormat="1" x14ac:dyDescent="0.2">
      <c r="B49" s="76" t="s">
        <v>17</v>
      </c>
      <c r="C49" s="77">
        <f>SUM(C37:C48)</f>
        <v>29623381</v>
      </c>
      <c r="D49" s="78">
        <f>SUM(D37:D48)</f>
        <v>3.4107681296564402E-4</v>
      </c>
      <c r="E49" s="79"/>
      <c r="F49" s="76" t="s">
        <v>17</v>
      </c>
      <c r="G49" s="77">
        <f>SUM(G37:G48)</f>
        <v>-22069669</v>
      </c>
      <c r="H49" s="78">
        <f>SUM(H37:H48)</f>
        <v>-4.5146789575519009E-3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16169.051299999999</v>
      </c>
      <c r="H53" s="69">
        <f t="shared" ref="H53:H64" si="7">+IF(G53/$C$115=0,"",G53/$C$115)</f>
        <v>1.3261046036465782E-4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-2.6933441320326223E-6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-3508615</v>
      </c>
      <c r="D58" s="69">
        <f t="shared" si="6"/>
        <v>-1.593549454783501E-4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120588.6584</v>
      </c>
      <c r="H60" s="69">
        <f t="shared" si="7"/>
        <v>9.8900777840815312E-4</v>
      </c>
    </row>
    <row r="61" spans="2:9" x14ac:dyDescent="0.2">
      <c r="B61" s="65" t="s">
        <v>13</v>
      </c>
      <c r="C61" s="72">
        <v>-101940572</v>
      </c>
      <c r="D61" s="69">
        <f t="shared" si="6"/>
        <v>-4.6299563483288486E-3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-41439</v>
      </c>
      <c r="D64" s="69">
        <f t="shared" si="6"/>
        <v>-1.8820844081431989E-6</v>
      </c>
      <c r="E64" s="68"/>
      <c r="F64" s="65" t="s">
        <v>16</v>
      </c>
      <c r="G64" s="92">
        <v>-103.76</v>
      </c>
      <c r="H64" s="69">
        <f t="shared" si="7"/>
        <v>-8.5098755097875751E-7</v>
      </c>
    </row>
    <row r="65" spans="2:8" s="80" customFormat="1" x14ac:dyDescent="0.2">
      <c r="B65" s="76" t="s">
        <v>17</v>
      </c>
      <c r="C65" s="77">
        <f>SUM(C53:C64)</f>
        <v>-105549927</v>
      </c>
      <c r="D65" s="78">
        <f>SUM(D53:D64)</f>
        <v>-4.7938867223473753E-3</v>
      </c>
      <c r="E65" s="79"/>
      <c r="F65" s="76" t="s">
        <v>17</v>
      </c>
      <c r="G65" s="93">
        <f>SUM(G53:G64)</f>
        <v>136653.9497</v>
      </c>
      <c r="H65" s="78">
        <f>SUM(H53:H64)</f>
        <v>1.1207672512218323E-3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-16540</v>
      </c>
      <c r="D72" s="69">
        <f t="shared" si="8"/>
        <v>-1.3073377812037763E-6</v>
      </c>
      <c r="E72" s="68"/>
      <c r="F72" s="65" t="s">
        <v>9</v>
      </c>
      <c r="G72" s="66">
        <v>-1086333</v>
      </c>
      <c r="H72" s="69">
        <f t="shared" si="9"/>
        <v>-1.6896369140158887E-4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-24030972</v>
      </c>
      <c r="D76" s="69">
        <f t="shared" si="8"/>
        <v>-1.8994315365568365E-3</v>
      </c>
      <c r="E76" s="68"/>
      <c r="F76" s="65" t="s">
        <v>13</v>
      </c>
      <c r="G76" s="72">
        <v>-716457</v>
      </c>
      <c r="H76" s="69">
        <f t="shared" si="9"/>
        <v>-1.1143472531029451E-4</v>
      </c>
    </row>
    <row r="77" spans="2:8" x14ac:dyDescent="0.2">
      <c r="B77" s="65" t="s">
        <v>14</v>
      </c>
      <c r="C77" s="66">
        <v>-36578781</v>
      </c>
      <c r="D77" s="69">
        <f t="shared" si="8"/>
        <v>-2.8912226355307649E-3</v>
      </c>
      <c r="E77" s="68"/>
      <c r="F77" s="65" t="s">
        <v>14</v>
      </c>
      <c r="G77" s="66">
        <v>-17529116</v>
      </c>
      <c r="H77" s="69">
        <f t="shared" si="9"/>
        <v>-2.7264053898451526E-3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-21156</v>
      </c>
      <c r="D79" s="69">
        <f t="shared" si="8"/>
        <v>-1.6721909370705618E-6</v>
      </c>
      <c r="E79" s="68"/>
      <c r="F79" s="65" t="s">
        <v>16</v>
      </c>
      <c r="G79" s="72">
        <v>-16075</v>
      </c>
      <c r="H79" s="69">
        <f t="shared" si="9"/>
        <v>-2.5002382688186232E-6</v>
      </c>
    </row>
    <row r="80" spans="2:8" s="80" customFormat="1" x14ac:dyDescent="0.2">
      <c r="B80" s="76" t="s">
        <v>17</v>
      </c>
      <c r="C80" s="77">
        <f>SUM(C68:C79)</f>
        <v>-60647449</v>
      </c>
      <c r="D80" s="78">
        <f>SUM(D68:D79)</f>
        <v>-4.7936337008058754E-3</v>
      </c>
      <c r="E80" s="79"/>
      <c r="F80" s="76" t="s">
        <v>17</v>
      </c>
      <c r="G80" s="77">
        <f>SUM(G68:G79)</f>
        <v>-19347981</v>
      </c>
      <c r="H80" s="78">
        <f>SUM(H68:H79)</f>
        <v>-3.0093040448258548E-3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20844638514.999996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22017609742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12651665268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4888424893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6429387231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63547964028.999908</v>
      </c>
      <c r="D111" s="191">
        <v>1405066976</v>
      </c>
      <c r="F111" s="106">
        <f>+C111+D111</f>
        <v>64953031004.999908</v>
      </c>
      <c r="G111" s="62"/>
      <c r="H111" s="62"/>
    </row>
    <row r="112" spans="2:8" x14ac:dyDescent="0.2">
      <c r="B112" s="189" t="s">
        <v>18</v>
      </c>
      <c r="C112" s="192">
        <v>40195147.303300001</v>
      </c>
      <c r="D112" s="193">
        <v>66079.429999999993</v>
      </c>
      <c r="F112" s="106">
        <f>+C112+D112</f>
        <v>40261226.7333</v>
      </c>
      <c r="H112" s="75"/>
    </row>
    <row r="113" spans="1:13" x14ac:dyDescent="0.2">
      <c r="B113" s="189" t="s">
        <v>4</v>
      </c>
      <c r="C113" s="190">
        <v>9449141451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86852520822</v>
      </c>
      <c r="D114" s="107"/>
      <c r="F114" s="106"/>
      <c r="H114" s="75"/>
    </row>
    <row r="115" spans="1:13" x14ac:dyDescent="0.2">
      <c r="B115" s="189" t="s">
        <v>25</v>
      </c>
      <c r="C115" s="192">
        <v>121928928.1972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317" priority="46" stopIfTrue="1" operator="lessThan">
      <formula>0</formula>
    </cfRule>
  </conditionalFormatting>
  <conditionalFormatting sqref="C89">
    <cfRule type="cellIs" dxfId="2316" priority="43" stopIfTrue="1" operator="lessThan">
      <formula>0</formula>
    </cfRule>
  </conditionalFormatting>
  <conditionalFormatting sqref="C85">
    <cfRule type="cellIs" dxfId="2315" priority="45" stopIfTrue="1" operator="lessThan">
      <formula>0</formula>
    </cfRule>
  </conditionalFormatting>
  <conditionalFormatting sqref="C7:C9">
    <cfRule type="cellIs" dxfId="2314" priority="42" stopIfTrue="1" operator="lessThan">
      <formula>0</formula>
    </cfRule>
  </conditionalFormatting>
  <conditionalFormatting sqref="C10:C13">
    <cfRule type="cellIs" dxfId="2313" priority="40" stopIfTrue="1" operator="lessThan">
      <formula>0</formula>
    </cfRule>
  </conditionalFormatting>
  <conditionalFormatting sqref="C88">
    <cfRule type="cellIs" dxfId="2312" priority="44" stopIfTrue="1" operator="lessThan">
      <formula>0</formula>
    </cfRule>
  </conditionalFormatting>
  <conditionalFormatting sqref="C101">
    <cfRule type="cellIs" dxfId="2311" priority="39" stopIfTrue="1" operator="lessThan">
      <formula>0</formula>
    </cfRule>
  </conditionalFormatting>
  <conditionalFormatting sqref="C7">
    <cfRule type="cellIs" dxfId="2310" priority="41" stopIfTrue="1" operator="lessThan">
      <formula>0</formula>
    </cfRule>
  </conditionalFormatting>
  <conditionalFormatting sqref="C29:C33">
    <cfRule type="cellIs" dxfId="2309" priority="34" stopIfTrue="1" operator="lessThan">
      <formula>0</formula>
    </cfRule>
  </conditionalFormatting>
  <conditionalFormatting sqref="G7:G9">
    <cfRule type="cellIs" dxfId="2308" priority="37" stopIfTrue="1" operator="lessThan">
      <formula>0</formula>
    </cfRule>
  </conditionalFormatting>
  <conditionalFormatting sqref="C22">
    <cfRule type="cellIs" dxfId="2307" priority="32" stopIfTrue="1" operator="lessThan">
      <formula>0</formula>
    </cfRule>
  </conditionalFormatting>
  <conditionalFormatting sqref="C25:C28">
    <cfRule type="cellIs" dxfId="2306" priority="31" stopIfTrue="1" operator="lessThan">
      <formula>0</formula>
    </cfRule>
  </conditionalFormatting>
  <conditionalFormatting sqref="G14:G18">
    <cfRule type="cellIs" dxfId="2305" priority="38" stopIfTrue="1" operator="lessThan">
      <formula>0</formula>
    </cfRule>
  </conditionalFormatting>
  <conditionalFormatting sqref="G7">
    <cfRule type="cellIs" dxfId="2304" priority="36" stopIfTrue="1" operator="lessThan">
      <formula>0</formula>
    </cfRule>
  </conditionalFormatting>
  <conditionalFormatting sqref="G10:G13">
    <cfRule type="cellIs" dxfId="2303" priority="35" stopIfTrue="1" operator="lessThan">
      <formula>0</formula>
    </cfRule>
  </conditionalFormatting>
  <conditionalFormatting sqref="C22:C24">
    <cfRule type="cellIs" dxfId="2302" priority="33" stopIfTrue="1" operator="lessThan">
      <formula>0</formula>
    </cfRule>
  </conditionalFormatting>
  <conditionalFormatting sqref="G22">
    <cfRule type="cellIs" dxfId="2301" priority="28" stopIfTrue="1" operator="lessThan">
      <formula>0</formula>
    </cfRule>
  </conditionalFormatting>
  <conditionalFormatting sqref="G29:G33">
    <cfRule type="cellIs" dxfId="2300" priority="30" stopIfTrue="1" operator="lessThan">
      <formula>0</formula>
    </cfRule>
  </conditionalFormatting>
  <conditionalFormatting sqref="G22:G24">
    <cfRule type="cellIs" dxfId="2299" priority="29" stopIfTrue="1" operator="lessThan">
      <formula>0</formula>
    </cfRule>
  </conditionalFormatting>
  <conditionalFormatting sqref="G25:G28">
    <cfRule type="cellIs" dxfId="2298" priority="27" stopIfTrue="1" operator="lessThan">
      <formula>0</formula>
    </cfRule>
  </conditionalFormatting>
  <conditionalFormatting sqref="C40:C43">
    <cfRule type="cellIs" dxfId="2297" priority="23" stopIfTrue="1" operator="lessThan">
      <formula>0</formula>
    </cfRule>
  </conditionalFormatting>
  <conditionalFormatting sqref="G44:G48">
    <cfRule type="cellIs" dxfId="2296" priority="22" stopIfTrue="1" operator="lessThan">
      <formula>0</formula>
    </cfRule>
  </conditionalFormatting>
  <conditionalFormatting sqref="G37">
    <cfRule type="cellIs" dxfId="2295" priority="20" stopIfTrue="1" operator="lessThan">
      <formula>0</formula>
    </cfRule>
  </conditionalFormatting>
  <conditionalFormatting sqref="C44:C48">
    <cfRule type="cellIs" dxfId="2294" priority="26" stopIfTrue="1" operator="lessThan">
      <formula>0</formula>
    </cfRule>
  </conditionalFormatting>
  <conditionalFormatting sqref="C37:C39">
    <cfRule type="cellIs" dxfId="2293" priority="25" stopIfTrue="1" operator="lessThan">
      <formula>0</formula>
    </cfRule>
  </conditionalFormatting>
  <conditionalFormatting sqref="C37">
    <cfRule type="cellIs" dxfId="2292" priority="24" stopIfTrue="1" operator="lessThan">
      <formula>0</formula>
    </cfRule>
  </conditionalFormatting>
  <conditionalFormatting sqref="C56:C59">
    <cfRule type="cellIs" dxfId="2291" priority="15" stopIfTrue="1" operator="lessThan">
      <formula>0</formula>
    </cfRule>
  </conditionalFormatting>
  <conditionalFormatting sqref="G60:G63">
    <cfRule type="cellIs" dxfId="2290" priority="14" stopIfTrue="1" operator="lessThan">
      <formula>0</formula>
    </cfRule>
  </conditionalFormatting>
  <conditionalFormatting sqref="G37:G39">
    <cfRule type="cellIs" dxfId="2289" priority="21" stopIfTrue="1" operator="lessThan">
      <formula>0</formula>
    </cfRule>
  </conditionalFormatting>
  <conditionalFormatting sqref="G53">
    <cfRule type="cellIs" dxfId="2288" priority="12" stopIfTrue="1" operator="lessThan">
      <formula>0</formula>
    </cfRule>
  </conditionalFormatting>
  <conditionalFormatting sqref="G40:G43">
    <cfRule type="cellIs" dxfId="2287" priority="19" stopIfTrue="1" operator="lessThan">
      <formula>0</formula>
    </cfRule>
  </conditionalFormatting>
  <conditionalFormatting sqref="C60:C64">
    <cfRule type="cellIs" dxfId="2286" priority="18" stopIfTrue="1" operator="lessThan">
      <formula>0</formula>
    </cfRule>
  </conditionalFormatting>
  <conditionalFormatting sqref="C53:C55">
    <cfRule type="cellIs" dxfId="2285" priority="17" stopIfTrue="1" operator="lessThan">
      <formula>0</formula>
    </cfRule>
  </conditionalFormatting>
  <conditionalFormatting sqref="C53">
    <cfRule type="cellIs" dxfId="2284" priority="16" stopIfTrue="1" operator="lessThan">
      <formula>0</formula>
    </cfRule>
  </conditionalFormatting>
  <conditionalFormatting sqref="G53:G55">
    <cfRule type="cellIs" dxfId="2283" priority="13" stopIfTrue="1" operator="lessThan">
      <formula>0</formula>
    </cfRule>
  </conditionalFormatting>
  <conditionalFormatting sqref="G56:G59">
    <cfRule type="cellIs" dxfId="2282" priority="11" stopIfTrue="1" operator="lessThan">
      <formula>0</formula>
    </cfRule>
  </conditionalFormatting>
  <conditionalFormatting sqref="C75:C78">
    <cfRule type="cellIs" dxfId="2281" priority="10" stopIfTrue="1" operator="lessThan">
      <formula>0</formula>
    </cfRule>
  </conditionalFormatting>
  <conditionalFormatting sqref="C68:C70">
    <cfRule type="cellIs" dxfId="2280" priority="9" stopIfTrue="1" operator="lessThan">
      <formula>0</formula>
    </cfRule>
  </conditionalFormatting>
  <conditionalFormatting sqref="C68">
    <cfRule type="cellIs" dxfId="2279" priority="8" stopIfTrue="1" operator="lessThan">
      <formula>0</formula>
    </cfRule>
  </conditionalFormatting>
  <conditionalFormatting sqref="C71:C74">
    <cfRule type="cellIs" dxfId="2278" priority="7" stopIfTrue="1" operator="lessThan">
      <formula>0</formula>
    </cfRule>
  </conditionalFormatting>
  <conditionalFormatting sqref="G75:G79">
    <cfRule type="cellIs" dxfId="2277" priority="6" stopIfTrue="1" operator="lessThan">
      <formula>0</formula>
    </cfRule>
  </conditionalFormatting>
  <conditionalFormatting sqref="G68:G70">
    <cfRule type="cellIs" dxfId="2276" priority="5" stopIfTrue="1" operator="lessThan">
      <formula>0</formula>
    </cfRule>
  </conditionalFormatting>
  <conditionalFormatting sqref="G68">
    <cfRule type="cellIs" dxfId="2275" priority="4" stopIfTrue="1" operator="lessThan">
      <formula>0</formula>
    </cfRule>
  </conditionalFormatting>
  <conditionalFormatting sqref="G71:G74">
    <cfRule type="cellIs" dxfId="2274" priority="3" stopIfTrue="1" operator="lessThan">
      <formula>0</formula>
    </cfRule>
  </conditionalFormatting>
  <conditionalFormatting sqref="G64">
    <cfRule type="cellIs" dxfId="2273" priority="2" stopIfTrue="1" operator="lessThan">
      <formula>0</formula>
    </cfRule>
  </conditionalFormatting>
  <conditionalFormatting sqref="C79">
    <cfRule type="cellIs" dxfId="2272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dimension ref="A2:M121"/>
  <sheetViews>
    <sheetView workbookViewId="0">
      <selection activeCell="G68" sqref="G68:G79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43054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4703330</v>
      </c>
      <c r="D7" s="67">
        <f>+IF(C7/$F$111=0,"",C7/$F$111)</f>
        <v>7.2982348610599277E-5</v>
      </c>
      <c r="E7" s="68"/>
      <c r="F7" s="65" t="s">
        <v>5</v>
      </c>
      <c r="G7" s="66">
        <v>844834</v>
      </c>
      <c r="H7" s="69">
        <f>+IF(G7/$C$113=0,"",G7/$C$113)</f>
        <v>8.9379969123753699E-5</v>
      </c>
      <c r="I7" s="70"/>
    </row>
    <row r="8" spans="1:9" x14ac:dyDescent="0.2">
      <c r="B8" s="65" t="s">
        <v>6</v>
      </c>
      <c r="C8" s="66">
        <v>504928</v>
      </c>
      <c r="D8" s="67">
        <f>+IF(C8/$F$111=0,"",C8/$F$111)</f>
        <v>7.835051191231037E-6</v>
      </c>
      <c r="E8" s="68"/>
      <c r="F8" s="65" t="s">
        <v>6</v>
      </c>
      <c r="G8" s="66">
        <v>415411</v>
      </c>
      <c r="H8" s="69">
        <f>+IF(G8/$C$113=0,"",G8/$C$113)</f>
        <v>4.3948778521777827E-5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23105</v>
      </c>
      <c r="H11" s="69">
        <f t="shared" si="0"/>
        <v>2.4444141530813501E-6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-102480</v>
      </c>
      <c r="H12" s="69">
        <f t="shared" si="0"/>
        <v>-1.0841963315636302E-5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-3035182</v>
      </c>
      <c r="H14" s="69">
        <f t="shared" si="0"/>
        <v>-3.2110979606049593E-4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-65189</v>
      </c>
      <c r="D18" s="67">
        <f>+IF(C18/$F$111=0,"",C18/$F$111)</f>
        <v>-1.0115484823681001E-6</v>
      </c>
      <c r="E18" s="75"/>
      <c r="F18" s="65" t="s">
        <v>16</v>
      </c>
      <c r="G18" s="72">
        <v>-27544</v>
      </c>
      <c r="H18" s="69">
        <f t="shared" si="0"/>
        <v>-2.9140421308146595E-6</v>
      </c>
    </row>
    <row r="19" spans="2:9" s="80" customFormat="1" x14ac:dyDescent="0.2">
      <c r="B19" s="76" t="s">
        <v>17</v>
      </c>
      <c r="C19" s="77">
        <f>SUM(C7:C18)</f>
        <v>5143069</v>
      </c>
      <c r="D19" s="78">
        <f>SUM(D7:D18)</f>
        <v>7.9805851319462203E-5</v>
      </c>
      <c r="E19" s="79"/>
      <c r="F19" s="76" t="s">
        <v>17</v>
      </c>
      <c r="G19" s="77">
        <f>SUM(G7:G18)</f>
        <v>-1881856</v>
      </c>
      <c r="H19" s="78">
        <f>SUM(H7:H18)</f>
        <v>-1.9909263970833405E-4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2179.4112</v>
      </c>
      <c r="D22" s="69">
        <f>+IF(C22/$F$112=0,"",C22/$F$112)</f>
        <v>5.5182524915160493E-5</v>
      </c>
      <c r="E22" s="75"/>
      <c r="F22" s="65" t="s">
        <v>5</v>
      </c>
      <c r="G22" s="66">
        <v>1426241</v>
      </c>
      <c r="H22" s="69">
        <f t="shared" ref="H22:H33" si="2">+IF(G22/$C$106=0,"",G22/$C$106)</f>
        <v>6.835385369395319E-5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1375111</v>
      </c>
      <c r="H23" s="69">
        <f t="shared" si="2"/>
        <v>6.5903403496986592E-5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-19.680617273885218</v>
      </c>
      <c r="D26" s="69">
        <f>+IF(C26/$F$112=0,"",C26/$F$112)</f>
        <v>-4.9831172431430515E-7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54948.3586</v>
      </c>
      <c r="D27" s="69">
        <f t="shared" ref="D27:D33" si="3">+IF(C27/$F$112=0,"",C27/$F$112)</f>
        <v>1.391288237617423E-3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905500</v>
      </c>
      <c r="H29" s="69">
        <f t="shared" si="2"/>
        <v>4.3396883499965722E-5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-55386.432699999998</v>
      </c>
      <c r="D31" s="69">
        <f t="shared" si="3"/>
        <v>-1.4023802403280343E-3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>
        <v>1.67</v>
      </c>
      <c r="D32" s="69">
        <f t="shared" si="3"/>
        <v>4.2284272288000543E-8</v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-95.52</v>
      </c>
      <c r="D33" s="69">
        <f t="shared" si="3"/>
        <v>-2.4185590951795282E-6</v>
      </c>
      <c r="E33" s="75"/>
      <c r="F33" s="65" t="s">
        <v>16</v>
      </c>
      <c r="G33" s="72">
        <v>-39958</v>
      </c>
      <c r="H33" s="69">
        <f t="shared" si="2"/>
        <v>-1.9150222759708784E-6</v>
      </c>
    </row>
    <row r="34" spans="1:13" s="80" customFormat="1" x14ac:dyDescent="0.2">
      <c r="B34" s="76" t="s">
        <v>17</v>
      </c>
      <c r="C34" s="93">
        <f>SUM(C22:C33)</f>
        <v>1627.8064827261173</v>
      </c>
      <c r="D34" s="78">
        <f>SUM(D22:D33)</f>
        <v>4.1215935657343343E-5</v>
      </c>
      <c r="E34" s="79"/>
      <c r="F34" s="76" t="s">
        <v>17</v>
      </c>
      <c r="G34" s="77">
        <v>-39678</v>
      </c>
      <c r="H34" s="78">
        <f>SUM(H22:H33)</f>
        <v>1.7573911841493463E-4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4718506</v>
      </c>
      <c r="D37" s="69">
        <f t="shared" ref="D37:D48" si="4">+IF(C37/$C$114=0,"",C37/$C$114)</f>
        <v>5.4045480505721158E-5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8996015</v>
      </c>
      <c r="D38" s="69">
        <f t="shared" si="4"/>
        <v>1.0303980821719314E-4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2455</v>
      </c>
      <c r="H43" s="69">
        <f t="shared" si="5"/>
        <v>5.0708718684825615E-7</v>
      </c>
    </row>
    <row r="44" spans="1:13" x14ac:dyDescent="0.2">
      <c r="B44" s="65" t="s">
        <v>12</v>
      </c>
      <c r="C44" s="72">
        <v>-13532201</v>
      </c>
      <c r="D44" s="69">
        <f t="shared" si="4"/>
        <v>-1.5499700654084161E-4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4090179</v>
      </c>
      <c r="D45" s="69">
        <f t="shared" si="4"/>
        <v>4.6848661294360982E-5</v>
      </c>
      <c r="E45" s="68"/>
      <c r="F45" s="65" t="s">
        <v>13</v>
      </c>
      <c r="G45" s="72">
        <v>-59217242</v>
      </c>
      <c r="H45" s="69">
        <f t="shared" si="5"/>
        <v>-1.2231488659345173E-2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>
        <v>-546490</v>
      </c>
      <c r="H47" s="69">
        <f t="shared" si="5"/>
        <v>-1.1287905366220101E-4</v>
      </c>
    </row>
    <row r="48" spans="1:13" x14ac:dyDescent="0.2">
      <c r="B48" s="65" t="s">
        <v>16</v>
      </c>
      <c r="C48" s="72">
        <v>-93044</v>
      </c>
      <c r="D48" s="69">
        <f t="shared" si="4"/>
        <v>-1.0657203123561397E-6</v>
      </c>
      <c r="E48" s="68"/>
      <c r="F48" s="65" t="s">
        <v>16</v>
      </c>
      <c r="G48" s="72">
        <v>-36826</v>
      </c>
      <c r="H48" s="69">
        <f t="shared" si="5"/>
        <v>-7.6065143555494419E-6</v>
      </c>
    </row>
    <row r="49" spans="2:9" s="80" customFormat="1" x14ac:dyDescent="0.2">
      <c r="B49" s="76" t="s">
        <v>17</v>
      </c>
      <c r="C49" s="77">
        <f>SUM(C37:C48)</f>
        <v>4179455</v>
      </c>
      <c r="D49" s="78">
        <f>SUM(D37:D48)</f>
        <v>4.7871223164077525E-5</v>
      </c>
      <c r="E49" s="79"/>
      <c r="F49" s="76" t="s">
        <v>17</v>
      </c>
      <c r="G49" s="77">
        <f>SUM(G37:G48)</f>
        <v>-59798103</v>
      </c>
      <c r="H49" s="78">
        <f>SUM(H37:H48)</f>
        <v>-1.2351467140176075E-2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/>
      <c r="H53" s="69" t="str">
        <f t="shared" ref="H53:H64" si="7">+IF(G53/$C$115=0,"",G53/$C$115)</f>
        <v/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>
        <v>15600.5663</v>
      </c>
      <c r="H54" s="69">
        <f t="shared" si="7"/>
        <v>1.2780649716412278E-4</v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-2.7063873328326637E-6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8690568</v>
      </c>
      <c r="D58" s="69">
        <f t="shared" si="6"/>
        <v>3.9662135799262908E-4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/>
      <c r="H60" s="69" t="str">
        <f t="shared" si="7"/>
        <v/>
      </c>
    </row>
    <row r="61" spans="2:9" x14ac:dyDescent="0.2">
      <c r="B61" s="65" t="s">
        <v>13</v>
      </c>
      <c r="C61" s="72">
        <v>-261436366</v>
      </c>
      <c r="D61" s="69">
        <f t="shared" si="6"/>
        <v>-1.1931469440383874E-2</v>
      </c>
      <c r="E61" s="68"/>
      <c r="F61" s="65" t="s">
        <v>13</v>
      </c>
      <c r="G61" s="72">
        <v>-75999.1394</v>
      </c>
      <c r="H61" s="69">
        <f t="shared" si="7"/>
        <v>-6.2261738499850942E-4</v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-3216541</v>
      </c>
      <c r="D63" s="69">
        <f t="shared" si="6"/>
        <v>-1.4679694807738335E-4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-180095</v>
      </c>
      <c r="D64" s="69">
        <f t="shared" si="6"/>
        <v>-8.2192008011078839E-6</v>
      </c>
      <c r="E64" s="68"/>
      <c r="F64" s="65" t="s">
        <v>16</v>
      </c>
      <c r="G64" s="92"/>
      <c r="H64" s="69" t="str">
        <f t="shared" si="7"/>
        <v/>
      </c>
    </row>
    <row r="65" spans="2:8" s="80" customFormat="1" x14ac:dyDescent="0.2">
      <c r="B65" s="76" t="s">
        <v>17</v>
      </c>
      <c r="C65" s="77">
        <f>SUM(C53:C64)</f>
        <v>-256201735</v>
      </c>
      <c r="D65" s="78">
        <f>SUM(D53:D64)</f>
        <v>-1.169257061860257E-2</v>
      </c>
      <c r="E65" s="79"/>
      <c r="F65" s="76" t="s">
        <v>17</v>
      </c>
      <c r="G65" s="93">
        <v>-103.82</v>
      </c>
      <c r="H65" s="78">
        <f>SUM(H53:H64)</f>
        <v>-4.9481088783438667E-4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3291315</v>
      </c>
      <c r="D72" s="69">
        <f t="shared" si="8"/>
        <v>2.613914283037291E-4</v>
      </c>
      <c r="E72" s="68"/>
      <c r="F72" s="65" t="s">
        <v>9</v>
      </c>
      <c r="G72" s="66">
        <v>773422</v>
      </c>
      <c r="H72" s="69">
        <f t="shared" si="9"/>
        <v>1.2066201753172427E-4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-30341369</v>
      </c>
      <c r="D76" s="69">
        <f t="shared" si="8"/>
        <v>-2.4096671936902087E-3</v>
      </c>
      <c r="E76" s="68"/>
      <c r="F76" s="65" t="s">
        <v>13</v>
      </c>
      <c r="G76" s="72">
        <v>-1437962</v>
      </c>
      <c r="H76" s="69">
        <f t="shared" si="9"/>
        <v>-2.2433729070798773E-4</v>
      </c>
    </row>
    <row r="77" spans="2:8" x14ac:dyDescent="0.2">
      <c r="B77" s="65" t="s">
        <v>14</v>
      </c>
      <c r="C77" s="66">
        <v>23827874</v>
      </c>
      <c r="D77" s="69">
        <f t="shared" si="8"/>
        <v>1.8923749377684272E-3</v>
      </c>
      <c r="E77" s="68"/>
      <c r="F77" s="65" t="s">
        <v>14</v>
      </c>
      <c r="G77" s="66">
        <v>12476982</v>
      </c>
      <c r="H77" s="69">
        <f t="shared" si="9"/>
        <v>1.9465412424614352E-3</v>
      </c>
    </row>
    <row r="78" spans="2:8" x14ac:dyDescent="0.2">
      <c r="B78" s="65" t="s">
        <v>15</v>
      </c>
      <c r="C78" s="72">
        <v>-33449905</v>
      </c>
      <c r="D78" s="69">
        <f t="shared" si="8"/>
        <v>-2.6565425808754402E-3</v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-21156</v>
      </c>
      <c r="D79" s="69">
        <f t="shared" si="8"/>
        <v>-1.6801786086089277E-6</v>
      </c>
      <c r="E79" s="68"/>
      <c r="F79" s="65" t="s">
        <v>16</v>
      </c>
      <c r="G79" s="72">
        <v>-16074</v>
      </c>
      <c r="H79" s="69">
        <f t="shared" si="9"/>
        <v>-2.5077141195943946E-6</v>
      </c>
    </row>
    <row r="80" spans="2:8" s="80" customFormat="1" x14ac:dyDescent="0.2">
      <c r="B80" s="76" t="s">
        <v>17</v>
      </c>
      <c r="C80" s="77">
        <f>SUM(C68:C79)</f>
        <v>-36693241</v>
      </c>
      <c r="D80" s="78">
        <f>SUM(D68:D79)</f>
        <v>-2.9141235871021015E-3</v>
      </c>
      <c r="E80" s="79"/>
      <c r="F80" s="76" t="s">
        <v>17</v>
      </c>
      <c r="G80" s="77">
        <f>SUM(G68:G79)</f>
        <v>11796368</v>
      </c>
      <c r="H80" s="78">
        <f>SUM(H68:H79)</f>
        <v>1.8403582551655775E-3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20865553629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21911497767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12591518480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4841376520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6409821548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64282170865</v>
      </c>
      <c r="D111" s="191">
        <v>162589951</v>
      </c>
      <c r="F111" s="106">
        <f>+C111+D111</f>
        <v>64444760816</v>
      </c>
      <c r="G111" s="62"/>
      <c r="H111" s="62"/>
    </row>
    <row r="112" spans="2:8" x14ac:dyDescent="0.2">
      <c r="B112" s="189" t="s">
        <v>18</v>
      </c>
      <c r="C112" s="192">
        <v>39494590.060000002</v>
      </c>
      <c r="D112" s="193"/>
      <c r="F112" s="106">
        <f>+C112+D112</f>
        <v>39494590.060000002</v>
      </c>
      <c r="H112" s="75"/>
    </row>
    <row r="113" spans="1:13" x14ac:dyDescent="0.2">
      <c r="B113" s="189" t="s">
        <v>4</v>
      </c>
      <c r="C113" s="190">
        <v>9452162585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87306208694</v>
      </c>
      <c r="D114" s="107"/>
      <c r="F114" s="106"/>
      <c r="H114" s="75"/>
    </row>
    <row r="115" spans="1:13" x14ac:dyDescent="0.2">
      <c r="B115" s="189" t="s">
        <v>25</v>
      </c>
      <c r="C115" s="192">
        <v>122063953.29000001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271" priority="46" stopIfTrue="1" operator="lessThan">
      <formula>0</formula>
    </cfRule>
  </conditionalFormatting>
  <conditionalFormatting sqref="C89">
    <cfRule type="cellIs" dxfId="2270" priority="43" stopIfTrue="1" operator="lessThan">
      <formula>0</formula>
    </cfRule>
  </conditionalFormatting>
  <conditionalFormatting sqref="C85">
    <cfRule type="cellIs" dxfId="2269" priority="45" stopIfTrue="1" operator="lessThan">
      <formula>0</formula>
    </cfRule>
  </conditionalFormatting>
  <conditionalFormatting sqref="C7:C9">
    <cfRule type="cellIs" dxfId="2268" priority="42" stopIfTrue="1" operator="lessThan">
      <formula>0</formula>
    </cfRule>
  </conditionalFormatting>
  <conditionalFormatting sqref="C10:C13">
    <cfRule type="cellIs" dxfId="2267" priority="40" stopIfTrue="1" operator="lessThan">
      <formula>0</formula>
    </cfRule>
  </conditionalFormatting>
  <conditionalFormatting sqref="C88">
    <cfRule type="cellIs" dxfId="2266" priority="44" stopIfTrue="1" operator="lessThan">
      <formula>0</formula>
    </cfRule>
  </conditionalFormatting>
  <conditionalFormatting sqref="C101">
    <cfRule type="cellIs" dxfId="2265" priority="39" stopIfTrue="1" operator="lessThan">
      <formula>0</formula>
    </cfRule>
  </conditionalFormatting>
  <conditionalFormatting sqref="C7">
    <cfRule type="cellIs" dxfId="2264" priority="41" stopIfTrue="1" operator="lessThan">
      <formula>0</formula>
    </cfRule>
  </conditionalFormatting>
  <conditionalFormatting sqref="C29:C33">
    <cfRule type="cellIs" dxfId="2263" priority="34" stopIfTrue="1" operator="lessThan">
      <formula>0</formula>
    </cfRule>
  </conditionalFormatting>
  <conditionalFormatting sqref="G7:G9">
    <cfRule type="cellIs" dxfId="2262" priority="37" stopIfTrue="1" operator="lessThan">
      <formula>0</formula>
    </cfRule>
  </conditionalFormatting>
  <conditionalFormatting sqref="C22">
    <cfRule type="cellIs" dxfId="2261" priority="32" stopIfTrue="1" operator="lessThan">
      <formula>0</formula>
    </cfRule>
  </conditionalFormatting>
  <conditionalFormatting sqref="C25:C28">
    <cfRule type="cellIs" dxfId="2260" priority="31" stopIfTrue="1" operator="lessThan">
      <formula>0</formula>
    </cfRule>
  </conditionalFormatting>
  <conditionalFormatting sqref="G14:G18">
    <cfRule type="cellIs" dxfId="2259" priority="38" stopIfTrue="1" operator="lessThan">
      <formula>0</formula>
    </cfRule>
  </conditionalFormatting>
  <conditionalFormatting sqref="G7">
    <cfRule type="cellIs" dxfId="2258" priority="36" stopIfTrue="1" operator="lessThan">
      <formula>0</formula>
    </cfRule>
  </conditionalFormatting>
  <conditionalFormatting sqref="G10:G13">
    <cfRule type="cellIs" dxfId="2257" priority="35" stopIfTrue="1" operator="lessThan">
      <formula>0</formula>
    </cfRule>
  </conditionalFormatting>
  <conditionalFormatting sqref="C22:C24">
    <cfRule type="cellIs" dxfId="2256" priority="33" stopIfTrue="1" operator="lessThan">
      <formula>0</formula>
    </cfRule>
  </conditionalFormatting>
  <conditionalFormatting sqref="G22">
    <cfRule type="cellIs" dxfId="2255" priority="28" stopIfTrue="1" operator="lessThan">
      <formula>0</formula>
    </cfRule>
  </conditionalFormatting>
  <conditionalFormatting sqref="G29:G33">
    <cfRule type="cellIs" dxfId="2254" priority="30" stopIfTrue="1" operator="lessThan">
      <formula>0</formula>
    </cfRule>
  </conditionalFormatting>
  <conditionalFormatting sqref="G22:G24">
    <cfRule type="cellIs" dxfId="2253" priority="29" stopIfTrue="1" operator="lessThan">
      <formula>0</formula>
    </cfRule>
  </conditionalFormatting>
  <conditionalFormatting sqref="G25:G28">
    <cfRule type="cellIs" dxfId="2252" priority="27" stopIfTrue="1" operator="lessThan">
      <formula>0</formula>
    </cfRule>
  </conditionalFormatting>
  <conditionalFormatting sqref="C40:C43">
    <cfRule type="cellIs" dxfId="2251" priority="23" stopIfTrue="1" operator="lessThan">
      <formula>0</formula>
    </cfRule>
  </conditionalFormatting>
  <conditionalFormatting sqref="G44:G48">
    <cfRule type="cellIs" dxfId="2250" priority="22" stopIfTrue="1" operator="lessThan">
      <formula>0</formula>
    </cfRule>
  </conditionalFormatting>
  <conditionalFormatting sqref="G37">
    <cfRule type="cellIs" dxfId="2249" priority="20" stopIfTrue="1" operator="lessThan">
      <formula>0</formula>
    </cfRule>
  </conditionalFormatting>
  <conditionalFormatting sqref="C44:C48">
    <cfRule type="cellIs" dxfId="2248" priority="26" stopIfTrue="1" operator="lessThan">
      <formula>0</formula>
    </cfRule>
  </conditionalFormatting>
  <conditionalFormatting sqref="C37:C39">
    <cfRule type="cellIs" dxfId="2247" priority="25" stopIfTrue="1" operator="lessThan">
      <formula>0</formula>
    </cfRule>
  </conditionalFormatting>
  <conditionalFormatting sqref="C37">
    <cfRule type="cellIs" dxfId="2246" priority="24" stopIfTrue="1" operator="lessThan">
      <formula>0</formula>
    </cfRule>
  </conditionalFormatting>
  <conditionalFormatting sqref="C56:C59">
    <cfRule type="cellIs" dxfId="2245" priority="15" stopIfTrue="1" operator="lessThan">
      <formula>0</formula>
    </cfRule>
  </conditionalFormatting>
  <conditionalFormatting sqref="G60:G63">
    <cfRule type="cellIs" dxfId="2244" priority="14" stopIfTrue="1" operator="lessThan">
      <formula>0</formula>
    </cfRule>
  </conditionalFormatting>
  <conditionalFormatting sqref="G37:G39">
    <cfRule type="cellIs" dxfId="2243" priority="21" stopIfTrue="1" operator="lessThan">
      <formula>0</formula>
    </cfRule>
  </conditionalFormatting>
  <conditionalFormatting sqref="G53">
    <cfRule type="cellIs" dxfId="2242" priority="12" stopIfTrue="1" operator="lessThan">
      <formula>0</formula>
    </cfRule>
  </conditionalFormatting>
  <conditionalFormatting sqref="G40:G43">
    <cfRule type="cellIs" dxfId="2241" priority="19" stopIfTrue="1" operator="lessThan">
      <formula>0</formula>
    </cfRule>
  </conditionalFormatting>
  <conditionalFormatting sqref="C60:C64">
    <cfRule type="cellIs" dxfId="2240" priority="18" stopIfTrue="1" operator="lessThan">
      <formula>0</formula>
    </cfRule>
  </conditionalFormatting>
  <conditionalFormatting sqref="C53:C55">
    <cfRule type="cellIs" dxfId="2239" priority="17" stopIfTrue="1" operator="lessThan">
      <formula>0</formula>
    </cfRule>
  </conditionalFormatting>
  <conditionalFormatting sqref="C53">
    <cfRule type="cellIs" dxfId="2238" priority="16" stopIfTrue="1" operator="lessThan">
      <formula>0</formula>
    </cfRule>
  </conditionalFormatting>
  <conditionalFormatting sqref="G53:G55">
    <cfRule type="cellIs" dxfId="2237" priority="13" stopIfTrue="1" operator="lessThan">
      <formula>0</formula>
    </cfRule>
  </conditionalFormatting>
  <conditionalFormatting sqref="G56:G59">
    <cfRule type="cellIs" dxfId="2236" priority="11" stopIfTrue="1" operator="lessThan">
      <formula>0</formula>
    </cfRule>
  </conditionalFormatting>
  <conditionalFormatting sqref="C75:C78">
    <cfRule type="cellIs" dxfId="2235" priority="10" stopIfTrue="1" operator="lessThan">
      <formula>0</formula>
    </cfRule>
  </conditionalFormatting>
  <conditionalFormatting sqref="C68:C70">
    <cfRule type="cellIs" dxfId="2234" priority="9" stopIfTrue="1" operator="lessThan">
      <formula>0</formula>
    </cfRule>
  </conditionalFormatting>
  <conditionalFormatting sqref="C68">
    <cfRule type="cellIs" dxfId="2233" priority="8" stopIfTrue="1" operator="lessThan">
      <formula>0</formula>
    </cfRule>
  </conditionalFormatting>
  <conditionalFormatting sqref="C71:C74">
    <cfRule type="cellIs" dxfId="2232" priority="7" stopIfTrue="1" operator="lessThan">
      <formula>0</formula>
    </cfRule>
  </conditionalFormatting>
  <conditionalFormatting sqref="G75:G79">
    <cfRule type="cellIs" dxfId="2231" priority="6" stopIfTrue="1" operator="lessThan">
      <formula>0</formula>
    </cfRule>
  </conditionalFormatting>
  <conditionalFormatting sqref="G68:G70">
    <cfRule type="cellIs" dxfId="2230" priority="5" stopIfTrue="1" operator="lessThan">
      <formula>0</formula>
    </cfRule>
  </conditionalFormatting>
  <conditionalFormatting sqref="G68">
    <cfRule type="cellIs" dxfId="2229" priority="4" stopIfTrue="1" operator="lessThan">
      <formula>0</formula>
    </cfRule>
  </conditionalFormatting>
  <conditionalFormatting sqref="G71:G74">
    <cfRule type="cellIs" dxfId="2228" priority="3" stopIfTrue="1" operator="lessThan">
      <formula>0</formula>
    </cfRule>
  </conditionalFormatting>
  <conditionalFormatting sqref="G64">
    <cfRule type="cellIs" dxfId="2227" priority="2" stopIfTrue="1" operator="lessThan">
      <formula>0</formula>
    </cfRule>
  </conditionalFormatting>
  <conditionalFormatting sqref="C79">
    <cfRule type="cellIs" dxfId="2226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43055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4811445</v>
      </c>
      <c r="D7" s="67">
        <f>+IF(C7/$F$111=0,"",C7/$F$111)</f>
        <v>7.5723157759532427E-5</v>
      </c>
      <c r="E7" s="68"/>
      <c r="F7" s="65" t="s">
        <v>5</v>
      </c>
      <c r="G7" s="66">
        <v>895419</v>
      </c>
      <c r="H7" s="69">
        <f>+IF(G7/$C$113=0,"",G7/$C$113)</f>
        <v>9.4884747775216593E-5</v>
      </c>
      <c r="I7" s="70"/>
    </row>
    <row r="8" spans="1:9" x14ac:dyDescent="0.2">
      <c r="B8" s="65" t="s">
        <v>6</v>
      </c>
      <c r="C8" s="66">
        <v>503946</v>
      </c>
      <c r="D8" s="67">
        <f>+IF(C8/$F$111=0,"",C8/$F$111)</f>
        <v>7.9311687986218959E-6</v>
      </c>
      <c r="E8" s="68"/>
      <c r="F8" s="65" t="s">
        <v>6</v>
      </c>
      <c r="G8" s="66">
        <v>415792</v>
      </c>
      <c r="H8" s="69">
        <f>+IF(G8/$C$113=0,"",G8/$C$113)</f>
        <v>4.4060176349790275E-5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-12221</v>
      </c>
      <c r="H11" s="69">
        <f t="shared" si="0"/>
        <v>-1.2950211047129021E-6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124720</v>
      </c>
      <c r="H12" s="69">
        <f t="shared" si="0"/>
        <v>1.3216187888044607E-5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-11878636</v>
      </c>
      <c r="H14" s="69">
        <f t="shared" si="0"/>
        <v>-1.258741863612016E-3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-91236</v>
      </c>
      <c r="D18" s="67">
        <f>+IF(C18/$F$111=0,"",C18/$F$111)</f>
        <v>-1.4358842346423371E-6</v>
      </c>
      <c r="E18" s="75"/>
      <c r="F18" s="65" t="s">
        <v>16</v>
      </c>
      <c r="G18" s="72">
        <v>-27552</v>
      </c>
      <c r="H18" s="69">
        <f t="shared" si="0"/>
        <v>-2.9195991716757938E-6</v>
      </c>
    </row>
    <row r="19" spans="2:9" s="80" customFormat="1" x14ac:dyDescent="0.2">
      <c r="B19" s="76" t="s">
        <v>17</v>
      </c>
      <c r="C19" s="77">
        <f>SUM(C7:C18)</f>
        <v>5224155</v>
      </c>
      <c r="D19" s="78">
        <f>SUM(D7:D18)</f>
        <v>8.2218442323511983E-5</v>
      </c>
      <c r="E19" s="79"/>
      <c r="F19" s="76" t="s">
        <v>17</v>
      </c>
      <c r="G19" s="77">
        <f>SUM(G7:G18)</f>
        <v>-10482478</v>
      </c>
      <c r="H19" s="78">
        <f>SUM(H7:H18)</f>
        <v>-1.1107953718753531E-3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2090.2127</v>
      </c>
      <c r="D22" s="69">
        <f>+IF(C22/$F$112=0,"",C22/$F$112)</f>
        <v>5.265299424553769E-5</v>
      </c>
      <c r="E22" s="75"/>
      <c r="F22" s="65" t="s">
        <v>5</v>
      </c>
      <c r="G22" s="66">
        <v>1376482</v>
      </c>
      <c r="H22" s="69">
        <f t="shared" ref="H22:H33" si="2">+IF(G22/$C$106=0,"",G22/$C$106)</f>
        <v>6.5917200314089927E-5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1370662</v>
      </c>
      <c r="H23" s="69">
        <f t="shared" si="2"/>
        <v>6.5638491180350432E-5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22.07</v>
      </c>
      <c r="D26" s="69">
        <f>+IF(C26/$F$112=0,"",C26/$F$112)</f>
        <v>5.5594896299262594E-7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-57677.042179999989</v>
      </c>
      <c r="D27" s="69">
        <f t="shared" ref="D27:D33" si="3">+IF(C27/$F$112=0,"",C27/$F$112)</f>
        <v>-1.4528994920005862E-3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-2953447</v>
      </c>
      <c r="H29" s="69">
        <f t="shared" si="2"/>
        <v>-1.4143516407482841E-4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57408.779900000001</v>
      </c>
      <c r="D31" s="69">
        <f t="shared" si="3"/>
        <v>1.4461418963333443E-3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7235</v>
      </c>
      <c r="H32" s="69">
        <f t="shared" si="2"/>
        <v>3.4647089048199733E-7</v>
      </c>
    </row>
    <row r="33" spans="1:13" x14ac:dyDescent="0.2">
      <c r="B33" s="65" t="s">
        <v>16</v>
      </c>
      <c r="C33" s="71">
        <v>-208.44</v>
      </c>
      <c r="D33" s="69">
        <f t="shared" si="3"/>
        <v>-5.250657084104347E-6</v>
      </c>
      <c r="E33" s="75"/>
      <c r="F33" s="65" t="s">
        <v>16</v>
      </c>
      <c r="G33" s="72">
        <v>-35532</v>
      </c>
      <c r="H33" s="69">
        <f t="shared" si="2"/>
        <v>-1.7015623608301768E-6</v>
      </c>
    </row>
    <row r="34" spans="1:13" s="80" customFormat="1" x14ac:dyDescent="0.2">
      <c r="B34" s="76" t="s">
        <v>17</v>
      </c>
      <c r="C34" s="93">
        <f>SUM(C22:C33)</f>
        <v>1635.5804200000152</v>
      </c>
      <c r="D34" s="78">
        <f>SUM(D22:D33)</f>
        <v>4.120069045718402E-5</v>
      </c>
      <c r="E34" s="79"/>
      <c r="F34" s="76" t="s">
        <v>17</v>
      </c>
      <c r="G34" s="77">
        <v>-39678</v>
      </c>
      <c r="H34" s="78">
        <f>SUM(H22:H33)</f>
        <v>-1.1234564050736214E-5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4576051</v>
      </c>
      <c r="D37" s="69">
        <f t="shared" ref="D37:D48" si="4">+IF(C37/$C$114=0,"",C37/$C$114)</f>
        <v>5.2563527520310127E-5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9008549</v>
      </c>
      <c r="D38" s="69">
        <f t="shared" si="4"/>
        <v>1.0347811099123727E-4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2876</v>
      </c>
      <c r="H43" s="69">
        <f t="shared" si="5"/>
        <v>6.0105972568546572E-7</v>
      </c>
    </row>
    <row r="44" spans="1:13" x14ac:dyDescent="0.2">
      <c r="B44" s="65" t="s">
        <v>12</v>
      </c>
      <c r="C44" s="72">
        <v>-69715543</v>
      </c>
      <c r="D44" s="69">
        <f t="shared" si="4"/>
        <v>-8.0079851887006153E-4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-11664866</v>
      </c>
      <c r="D45" s="69">
        <f t="shared" si="4"/>
        <v>-1.3399031282905935E-4</v>
      </c>
      <c r="E45" s="68"/>
      <c r="F45" s="65" t="s">
        <v>13</v>
      </c>
      <c r="G45" s="72">
        <v>37090354</v>
      </c>
      <c r="H45" s="69">
        <f t="shared" si="5"/>
        <v>7.7515709321338035E-3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-36352</v>
      </c>
      <c r="D47" s="69">
        <f t="shared" si="4"/>
        <v>-4.1756294945539587E-7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-101934</v>
      </c>
      <c r="D48" s="69">
        <f t="shared" si="4"/>
        <v>-1.170880878350196E-6</v>
      </c>
      <c r="E48" s="68"/>
      <c r="F48" s="65" t="s">
        <v>16</v>
      </c>
      <c r="G48" s="72">
        <v>-18696</v>
      </c>
      <c r="H48" s="69">
        <f t="shared" si="5"/>
        <v>-3.9073062000749195E-6</v>
      </c>
    </row>
    <row r="49" spans="2:9" s="80" customFormat="1" x14ac:dyDescent="0.2">
      <c r="B49" s="76" t="s">
        <v>17</v>
      </c>
      <c r="C49" s="77">
        <f>SUM(C37:C48)</f>
        <v>-67934095</v>
      </c>
      <c r="D49" s="78">
        <f>SUM(D37:D48)</f>
        <v>-7.803356370153792E-4</v>
      </c>
      <c r="E49" s="79"/>
      <c r="F49" s="76" t="s">
        <v>17</v>
      </c>
      <c r="G49" s="77">
        <f>SUM(G37:G48)</f>
        <v>37074534</v>
      </c>
      <c r="H49" s="78">
        <f>SUM(H37:H48)</f>
        <v>7.7482646856594142E-3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16192.603800000001</v>
      </c>
      <c r="H53" s="69">
        <f t="shared" ref="H53:H64" si="7">+IF(G53/$C$115=0,"",G53/$C$115)</f>
        <v>1.3272427808509317E-4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-2.7390986744719649E-6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2671945</v>
      </c>
      <c r="D58" s="69">
        <f t="shared" si="6"/>
        <v>1.2341648551899621E-4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-34023.1561</v>
      </c>
      <c r="H60" s="69">
        <f t="shared" si="7"/>
        <v>-2.7887416300205741E-4</v>
      </c>
    </row>
    <row r="61" spans="2:9" x14ac:dyDescent="0.2">
      <c r="B61" s="65" t="s">
        <v>13</v>
      </c>
      <c r="C61" s="72">
        <v>217630197</v>
      </c>
      <c r="D61" s="69">
        <f t="shared" si="6"/>
        <v>1.0052285528536998E-2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10012262</v>
      </c>
      <c r="D63" s="69">
        <f t="shared" si="6"/>
        <v>4.6246393100733582E-4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-180095</v>
      </c>
      <c r="D64" s="69">
        <f t="shared" si="6"/>
        <v>-8.3185439668644459E-6</v>
      </c>
      <c r="E64" s="68"/>
      <c r="F64" s="65" t="s">
        <v>16</v>
      </c>
      <c r="G64" s="92">
        <v>-103.77</v>
      </c>
      <c r="H64" s="69">
        <f t="shared" si="7"/>
        <v>-8.5056106522473654E-7</v>
      </c>
    </row>
    <row r="65" spans="2:8" s="80" customFormat="1" x14ac:dyDescent="0.2">
      <c r="B65" s="76" t="s">
        <v>17</v>
      </c>
      <c r="C65" s="77">
        <f>SUM(C53:C64)</f>
        <v>230075008</v>
      </c>
      <c r="D65" s="78">
        <f>SUM(D53:D64)</f>
        <v>1.0627108302421993E-2</v>
      </c>
      <c r="E65" s="79"/>
      <c r="F65" s="76" t="s">
        <v>17</v>
      </c>
      <c r="G65" s="93">
        <v>-103.82</v>
      </c>
      <c r="H65" s="78">
        <f>SUM(H53:H64)</f>
        <v>-1.4700044598218897E-4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-4940985</v>
      </c>
      <c r="D72" s="69">
        <f t="shared" si="8"/>
        <v>-3.7626297881192597E-4</v>
      </c>
      <c r="E72" s="68"/>
      <c r="F72" s="65" t="s">
        <v>9</v>
      </c>
      <c r="G72" s="66">
        <v>-879693</v>
      </c>
      <c r="H72" s="69">
        <f t="shared" si="9"/>
        <v>-1.3702810438456718E-4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119426436</v>
      </c>
      <c r="D76" s="69">
        <f t="shared" si="8"/>
        <v>9.0944915959574532E-3</v>
      </c>
      <c r="E76" s="68"/>
      <c r="F76" s="65" t="s">
        <v>13</v>
      </c>
      <c r="G76" s="72">
        <v>2438124</v>
      </c>
      <c r="H76" s="69">
        <f t="shared" si="9"/>
        <v>3.7978193525982189E-4</v>
      </c>
    </row>
    <row r="77" spans="2:8" x14ac:dyDescent="0.2">
      <c r="B77" s="65" t="s">
        <v>14</v>
      </c>
      <c r="C77" s="66">
        <v>-27383536</v>
      </c>
      <c r="D77" s="69">
        <f t="shared" si="8"/>
        <v>-2.0852949008676636E-3</v>
      </c>
      <c r="E77" s="68"/>
      <c r="F77" s="65" t="s">
        <v>14</v>
      </c>
      <c r="G77" s="66">
        <v>-14197128</v>
      </c>
      <c r="H77" s="69">
        <f t="shared" si="9"/>
        <v>-2.2114596086874189E-3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-21156</v>
      </c>
      <c r="D79" s="69">
        <f t="shared" si="8"/>
        <v>-1.611059248256189E-6</v>
      </c>
      <c r="E79" s="68"/>
      <c r="F79" s="65" t="s">
        <v>16</v>
      </c>
      <c r="G79" s="72">
        <v>-16074</v>
      </c>
      <c r="H79" s="69">
        <f t="shared" si="9"/>
        <v>-2.5038163880780374E-6</v>
      </c>
    </row>
    <row r="80" spans="2:8" s="80" customFormat="1" x14ac:dyDescent="0.2">
      <c r="B80" s="76" t="s">
        <v>17</v>
      </c>
      <c r="C80" s="77">
        <f>SUM(C68:C79)</f>
        <v>87080759</v>
      </c>
      <c r="D80" s="78">
        <f>SUM(D68:D79)</f>
        <v>6.6313226570296081E-3</v>
      </c>
      <c r="E80" s="79"/>
      <c r="F80" s="76" t="s">
        <v>17</v>
      </c>
      <c r="G80" s="77">
        <f>SUM(G68:G79)</f>
        <v>-12654771</v>
      </c>
      <c r="H80" s="78">
        <f>SUM(H68:H79)</f>
        <v>-1.9712095942002422E-3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20881985179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21649822458.999901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13131733065.000099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4784882229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6419799820.9998999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62634005878.999901</v>
      </c>
      <c r="D111" s="191">
        <v>905935433</v>
      </c>
      <c r="F111" s="106">
        <f>+C111+D111</f>
        <v>63539941311.999901</v>
      </c>
      <c r="G111" s="62"/>
      <c r="H111" s="62"/>
    </row>
    <row r="112" spans="2:8" x14ac:dyDescent="0.2">
      <c r="B112" s="189" t="s">
        <v>18</v>
      </c>
      <c r="C112" s="192">
        <v>39486478.359699994</v>
      </c>
      <c r="D112" s="193">
        <v>211410.24</v>
      </c>
      <c r="F112" s="106">
        <f>+C112+D112</f>
        <v>39697888.599699996</v>
      </c>
      <c r="H112" s="75"/>
    </row>
    <row r="113" spans="1:13" x14ac:dyDescent="0.2">
      <c r="B113" s="189" t="s">
        <v>4</v>
      </c>
      <c r="C113" s="190">
        <v>9436911842.9999008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87057532397</v>
      </c>
      <c r="D114" s="107"/>
      <c r="F114" s="106"/>
      <c r="H114" s="75"/>
    </row>
    <row r="115" spans="1:13" x14ac:dyDescent="0.2">
      <c r="B115" s="189" t="s">
        <v>25</v>
      </c>
      <c r="C115" s="192">
        <v>122001822.3766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225" priority="46" stopIfTrue="1" operator="lessThan">
      <formula>0</formula>
    </cfRule>
  </conditionalFormatting>
  <conditionalFormatting sqref="C89">
    <cfRule type="cellIs" dxfId="2224" priority="43" stopIfTrue="1" operator="lessThan">
      <formula>0</formula>
    </cfRule>
  </conditionalFormatting>
  <conditionalFormatting sqref="C85">
    <cfRule type="cellIs" dxfId="2223" priority="45" stopIfTrue="1" operator="lessThan">
      <formula>0</formula>
    </cfRule>
  </conditionalFormatting>
  <conditionalFormatting sqref="C7:C9">
    <cfRule type="cellIs" dxfId="2222" priority="42" stopIfTrue="1" operator="lessThan">
      <formula>0</formula>
    </cfRule>
  </conditionalFormatting>
  <conditionalFormatting sqref="C10:C13">
    <cfRule type="cellIs" dxfId="2221" priority="40" stopIfTrue="1" operator="lessThan">
      <formula>0</formula>
    </cfRule>
  </conditionalFormatting>
  <conditionalFormatting sqref="C88">
    <cfRule type="cellIs" dxfId="2220" priority="44" stopIfTrue="1" operator="lessThan">
      <formula>0</formula>
    </cfRule>
  </conditionalFormatting>
  <conditionalFormatting sqref="C101">
    <cfRule type="cellIs" dxfId="2219" priority="39" stopIfTrue="1" operator="lessThan">
      <formula>0</formula>
    </cfRule>
  </conditionalFormatting>
  <conditionalFormatting sqref="C7">
    <cfRule type="cellIs" dxfId="2218" priority="41" stopIfTrue="1" operator="lessThan">
      <formula>0</formula>
    </cfRule>
  </conditionalFormatting>
  <conditionalFormatting sqref="C29:C33">
    <cfRule type="cellIs" dxfId="2217" priority="34" stopIfTrue="1" operator="lessThan">
      <formula>0</formula>
    </cfRule>
  </conditionalFormatting>
  <conditionalFormatting sqref="G7:G9">
    <cfRule type="cellIs" dxfId="2216" priority="37" stopIfTrue="1" operator="lessThan">
      <formula>0</formula>
    </cfRule>
  </conditionalFormatting>
  <conditionalFormatting sqref="C22">
    <cfRule type="cellIs" dxfId="2215" priority="32" stopIfTrue="1" operator="lessThan">
      <formula>0</formula>
    </cfRule>
  </conditionalFormatting>
  <conditionalFormatting sqref="C25:C28">
    <cfRule type="cellIs" dxfId="2214" priority="31" stopIfTrue="1" operator="lessThan">
      <formula>0</formula>
    </cfRule>
  </conditionalFormatting>
  <conditionalFormatting sqref="G14:G18">
    <cfRule type="cellIs" dxfId="2213" priority="38" stopIfTrue="1" operator="lessThan">
      <formula>0</formula>
    </cfRule>
  </conditionalFormatting>
  <conditionalFormatting sqref="G7">
    <cfRule type="cellIs" dxfId="2212" priority="36" stopIfTrue="1" operator="lessThan">
      <formula>0</formula>
    </cfRule>
  </conditionalFormatting>
  <conditionalFormatting sqref="G10:G13">
    <cfRule type="cellIs" dxfId="2211" priority="35" stopIfTrue="1" operator="lessThan">
      <formula>0</formula>
    </cfRule>
  </conditionalFormatting>
  <conditionalFormatting sqref="C22:C24">
    <cfRule type="cellIs" dxfId="2210" priority="33" stopIfTrue="1" operator="lessThan">
      <formula>0</formula>
    </cfRule>
  </conditionalFormatting>
  <conditionalFormatting sqref="G22">
    <cfRule type="cellIs" dxfId="2209" priority="28" stopIfTrue="1" operator="lessThan">
      <formula>0</formula>
    </cfRule>
  </conditionalFormatting>
  <conditionalFormatting sqref="G29:G33">
    <cfRule type="cellIs" dxfId="2208" priority="30" stopIfTrue="1" operator="lessThan">
      <formula>0</formula>
    </cfRule>
  </conditionalFormatting>
  <conditionalFormatting sqref="G22:G24">
    <cfRule type="cellIs" dxfId="2207" priority="29" stopIfTrue="1" operator="lessThan">
      <formula>0</formula>
    </cfRule>
  </conditionalFormatting>
  <conditionalFormatting sqref="G25:G28">
    <cfRule type="cellIs" dxfId="2206" priority="27" stopIfTrue="1" operator="lessThan">
      <formula>0</formula>
    </cfRule>
  </conditionalFormatting>
  <conditionalFormatting sqref="C40:C43">
    <cfRule type="cellIs" dxfId="2205" priority="23" stopIfTrue="1" operator="lessThan">
      <formula>0</formula>
    </cfRule>
  </conditionalFormatting>
  <conditionalFormatting sqref="G44:G48">
    <cfRule type="cellIs" dxfId="2204" priority="22" stopIfTrue="1" operator="lessThan">
      <formula>0</formula>
    </cfRule>
  </conditionalFormatting>
  <conditionalFormatting sqref="G37">
    <cfRule type="cellIs" dxfId="2203" priority="20" stopIfTrue="1" operator="lessThan">
      <formula>0</formula>
    </cfRule>
  </conditionalFormatting>
  <conditionalFormatting sqref="C44:C48">
    <cfRule type="cellIs" dxfId="2202" priority="26" stopIfTrue="1" operator="lessThan">
      <formula>0</formula>
    </cfRule>
  </conditionalFormatting>
  <conditionalFormatting sqref="C37:C39">
    <cfRule type="cellIs" dxfId="2201" priority="25" stopIfTrue="1" operator="lessThan">
      <formula>0</formula>
    </cfRule>
  </conditionalFormatting>
  <conditionalFormatting sqref="C37">
    <cfRule type="cellIs" dxfId="2200" priority="24" stopIfTrue="1" operator="lessThan">
      <formula>0</formula>
    </cfRule>
  </conditionalFormatting>
  <conditionalFormatting sqref="C56:C59">
    <cfRule type="cellIs" dxfId="2199" priority="15" stopIfTrue="1" operator="lessThan">
      <formula>0</formula>
    </cfRule>
  </conditionalFormatting>
  <conditionalFormatting sqref="G60:G63">
    <cfRule type="cellIs" dxfId="2198" priority="14" stopIfTrue="1" operator="lessThan">
      <formula>0</formula>
    </cfRule>
  </conditionalFormatting>
  <conditionalFormatting sqref="G37:G39">
    <cfRule type="cellIs" dxfId="2197" priority="21" stopIfTrue="1" operator="lessThan">
      <formula>0</formula>
    </cfRule>
  </conditionalFormatting>
  <conditionalFormatting sqref="G53">
    <cfRule type="cellIs" dxfId="2196" priority="12" stopIfTrue="1" operator="lessThan">
      <formula>0</formula>
    </cfRule>
  </conditionalFormatting>
  <conditionalFormatting sqref="G40:G43">
    <cfRule type="cellIs" dxfId="2195" priority="19" stopIfTrue="1" operator="lessThan">
      <formula>0</formula>
    </cfRule>
  </conditionalFormatting>
  <conditionalFormatting sqref="C60:C64">
    <cfRule type="cellIs" dxfId="2194" priority="18" stopIfTrue="1" operator="lessThan">
      <formula>0</formula>
    </cfRule>
  </conditionalFormatting>
  <conditionalFormatting sqref="C53:C55">
    <cfRule type="cellIs" dxfId="2193" priority="17" stopIfTrue="1" operator="lessThan">
      <formula>0</formula>
    </cfRule>
  </conditionalFormatting>
  <conditionalFormatting sqref="C53">
    <cfRule type="cellIs" dxfId="2192" priority="16" stopIfTrue="1" operator="lessThan">
      <formula>0</formula>
    </cfRule>
  </conditionalFormatting>
  <conditionalFormatting sqref="G53:G55">
    <cfRule type="cellIs" dxfId="2191" priority="13" stopIfTrue="1" operator="lessThan">
      <formula>0</formula>
    </cfRule>
  </conditionalFormatting>
  <conditionalFormatting sqref="G56:G59">
    <cfRule type="cellIs" dxfId="2190" priority="11" stopIfTrue="1" operator="lessThan">
      <formula>0</formula>
    </cfRule>
  </conditionalFormatting>
  <conditionalFormatting sqref="C75:C78">
    <cfRule type="cellIs" dxfId="2189" priority="10" stopIfTrue="1" operator="lessThan">
      <formula>0</formula>
    </cfRule>
  </conditionalFormatting>
  <conditionalFormatting sqref="C68:C70">
    <cfRule type="cellIs" dxfId="2188" priority="9" stopIfTrue="1" operator="lessThan">
      <formula>0</formula>
    </cfRule>
  </conditionalFormatting>
  <conditionalFormatting sqref="C68">
    <cfRule type="cellIs" dxfId="2187" priority="8" stopIfTrue="1" operator="lessThan">
      <formula>0</formula>
    </cfRule>
  </conditionalFormatting>
  <conditionalFormatting sqref="C71:C74">
    <cfRule type="cellIs" dxfId="2186" priority="7" stopIfTrue="1" operator="lessThan">
      <formula>0</formula>
    </cfRule>
  </conditionalFormatting>
  <conditionalFormatting sqref="G75:G79">
    <cfRule type="cellIs" dxfId="2185" priority="6" stopIfTrue="1" operator="lessThan">
      <formula>0</formula>
    </cfRule>
  </conditionalFormatting>
  <conditionalFormatting sqref="G68:G70">
    <cfRule type="cellIs" dxfId="2184" priority="5" stopIfTrue="1" operator="lessThan">
      <formula>0</formula>
    </cfRule>
  </conditionalFormatting>
  <conditionalFormatting sqref="G68">
    <cfRule type="cellIs" dxfId="2183" priority="4" stopIfTrue="1" operator="lessThan">
      <formula>0</formula>
    </cfRule>
  </conditionalFormatting>
  <conditionalFormatting sqref="G71:G74">
    <cfRule type="cellIs" dxfId="2182" priority="3" stopIfTrue="1" operator="lessThan">
      <formula>0</formula>
    </cfRule>
  </conditionalFormatting>
  <conditionalFormatting sqref="G64">
    <cfRule type="cellIs" dxfId="2181" priority="2" stopIfTrue="1" operator="lessThan">
      <formula>0</formula>
    </cfRule>
  </conditionalFormatting>
  <conditionalFormatting sqref="C79">
    <cfRule type="cellIs" dxfId="2180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43056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4636812</v>
      </c>
      <c r="D7" s="67">
        <f>+IF(C7/$F$111=0,"",C7/$F$111)</f>
        <v>7.4275264530880548E-5</v>
      </c>
      <c r="E7" s="68"/>
      <c r="F7" s="65" t="s">
        <v>5</v>
      </c>
      <c r="G7" s="66">
        <v>468366</v>
      </c>
      <c r="H7" s="69">
        <f>+IF(G7/$C$113=0,"",G7/$C$113)</f>
        <v>4.9687249378506466E-5</v>
      </c>
      <c r="I7" s="70"/>
    </row>
    <row r="8" spans="1:9" x14ac:dyDescent="0.2">
      <c r="B8" s="65" t="s">
        <v>6</v>
      </c>
      <c r="C8" s="66">
        <v>504898</v>
      </c>
      <c r="D8" s="67">
        <f>+IF(C8/$F$111=0,"",C8/$F$111)</f>
        <v>8.0877621329293766E-6</v>
      </c>
      <c r="E8" s="68"/>
      <c r="F8" s="65" t="s">
        <v>6</v>
      </c>
      <c r="G8" s="66">
        <v>414084</v>
      </c>
      <c r="H8" s="69">
        <f>+IF(G8/$C$113=0,"",G8/$C$113)</f>
        <v>4.3928668971807247E-5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-16153</v>
      </c>
      <c r="H11" s="69">
        <f t="shared" si="0"/>
        <v>-1.7136131555471896E-6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104160</v>
      </c>
      <c r="H12" s="69">
        <f t="shared" si="0"/>
        <v>1.104995643421007E-5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-3500690</v>
      </c>
      <c r="H14" s="69">
        <f t="shared" si="0"/>
        <v>-3.7137549913282303E-4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-82925</v>
      </c>
      <c r="D18" s="67">
        <f>+IF(C18/$F$111=0,"",C18/$F$111)</f>
        <v>-1.3283429026717645E-6</v>
      </c>
      <c r="E18" s="75"/>
      <c r="F18" s="65" t="s">
        <v>16</v>
      </c>
      <c r="G18" s="72">
        <v>-27543</v>
      </c>
      <c r="H18" s="69">
        <f t="shared" si="0"/>
        <v>-2.9219369246106756E-6</v>
      </c>
    </row>
    <row r="19" spans="2:9" s="80" customFormat="1" x14ac:dyDescent="0.2">
      <c r="B19" s="76" t="s">
        <v>17</v>
      </c>
      <c r="C19" s="77">
        <f>SUM(C7:C18)</f>
        <v>5058785</v>
      </c>
      <c r="D19" s="78">
        <f>SUM(D7:D18)</f>
        <v>8.103468376113816E-5</v>
      </c>
      <c r="E19" s="79"/>
      <c r="F19" s="76" t="s">
        <v>17</v>
      </c>
      <c r="G19" s="77">
        <f>SUM(G7:G18)</f>
        <v>-2557776</v>
      </c>
      <c r="H19" s="78">
        <f>SUM(H7:H18)</f>
        <v>-2.7134517442845712E-4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2111.4369000000002</v>
      </c>
      <c r="D22" s="69">
        <f>+IF(C22/$F$112=0,"",C22/$F$112)</f>
        <v>5.4089267330657512E-5</v>
      </c>
      <c r="E22" s="75"/>
      <c r="F22" s="65" t="s">
        <v>5</v>
      </c>
      <c r="G22" s="66">
        <v>1426202</v>
      </c>
      <c r="H22" s="69">
        <f t="shared" ref="H22:H33" si="2">+IF(G22/$C$106=0,"",G22/$C$106)</f>
        <v>6.8534395391361651E-5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1395280</v>
      </c>
      <c r="H23" s="69">
        <f t="shared" si="2"/>
        <v>6.7048476444191702E-5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17.84045842350497</v>
      </c>
      <c r="D26" s="69">
        <f>+IF(C26/$F$112=0,"",C26/$F$112)</f>
        <v>4.5702399393059813E-7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-46831.613827503999</v>
      </c>
      <c r="D27" s="69">
        <f t="shared" ref="D27:D33" si="3">+IF(C27/$F$112=0,"",C27/$F$112)</f>
        <v>-1.1996984990846663E-3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-2324196</v>
      </c>
      <c r="H29" s="69">
        <f t="shared" si="2"/>
        <v>-1.1168640040542728E-4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46436.286699999997</v>
      </c>
      <c r="D31" s="69">
        <f t="shared" si="3"/>
        <v>1.1895712939180686E-3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-119.53</v>
      </c>
      <c r="D33" s="69">
        <f t="shared" si="3"/>
        <v>-3.0620333120224868E-6</v>
      </c>
      <c r="E33" s="75"/>
      <c r="F33" s="65" t="s">
        <v>16</v>
      </c>
      <c r="G33" s="72">
        <v>-32538</v>
      </c>
      <c r="H33" s="69">
        <f t="shared" si="2"/>
        <v>-1.563573853664576E-6</v>
      </c>
    </row>
    <row r="34" spans="1:13" s="80" customFormat="1" x14ac:dyDescent="0.2">
      <c r="B34" s="76" t="s">
        <v>17</v>
      </c>
      <c r="C34" s="93">
        <f>SUM(C22:C33)</f>
        <v>1614.4202309195014</v>
      </c>
      <c r="D34" s="78">
        <f>SUM(D22:D33)</f>
        <v>4.1357052845967949E-5</v>
      </c>
      <c r="E34" s="79"/>
      <c r="F34" s="76" t="s">
        <v>17</v>
      </c>
      <c r="G34" s="77">
        <v>-39678</v>
      </c>
      <c r="H34" s="78">
        <f>SUM(H22:H33)</f>
        <v>2.2332897576461496E-5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4449999</v>
      </c>
      <c r="D37" s="69">
        <f t="shared" ref="D37:D48" si="4">+IF(C37/$C$114=0,"",C37/$C$114)</f>
        <v>5.1226545372245391E-5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8980421</v>
      </c>
      <c r="D38" s="69">
        <f t="shared" si="4"/>
        <v>1.033788870106185E-4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214240</v>
      </c>
      <c r="H39" s="69">
        <f t="shared" si="5"/>
        <v>4.4436612468450759E-5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2865</v>
      </c>
      <c r="H43" s="69">
        <f t="shared" si="5"/>
        <v>5.942442808164275E-7</v>
      </c>
    </row>
    <row r="44" spans="1:13" x14ac:dyDescent="0.2">
      <c r="B44" s="65" t="s">
        <v>12</v>
      </c>
      <c r="C44" s="72">
        <v>-46667014</v>
      </c>
      <c r="D44" s="69">
        <f t="shared" si="4"/>
        <v>-5.3721133646506675E-4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-15284152</v>
      </c>
      <c r="D45" s="69">
        <f t="shared" si="4"/>
        <v>-1.7594482738182528E-4</v>
      </c>
      <c r="E45" s="68"/>
      <c r="F45" s="65" t="s">
        <v>13</v>
      </c>
      <c r="G45" s="72">
        <v>36317600</v>
      </c>
      <c r="H45" s="69">
        <f t="shared" si="5"/>
        <v>7.5328188806208325E-3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-141773</v>
      </c>
      <c r="D48" s="69">
        <f t="shared" si="4"/>
        <v>-1.632032055975596E-6</v>
      </c>
      <c r="E48" s="68"/>
      <c r="F48" s="65" t="s">
        <v>16</v>
      </c>
      <c r="G48" s="72">
        <v>-18696</v>
      </c>
      <c r="H48" s="69">
        <f t="shared" si="5"/>
        <v>-3.8778328356523307E-6</v>
      </c>
    </row>
    <row r="49" spans="2:9" s="80" customFormat="1" x14ac:dyDescent="0.2">
      <c r="B49" s="76" t="s">
        <v>17</v>
      </c>
      <c r="C49" s="77">
        <f>SUM(C37:C48)</f>
        <v>-48662519</v>
      </c>
      <c r="D49" s="78">
        <f>SUM(D37:D48)</f>
        <v>-5.6018276352000373E-4</v>
      </c>
      <c r="E49" s="79"/>
      <c r="F49" s="76" t="s">
        <v>17</v>
      </c>
      <c r="G49" s="77">
        <f>SUM(G37:G48)</f>
        <v>36516009</v>
      </c>
      <c r="H49" s="78">
        <f>SUM(H37:H48)</f>
        <v>7.5739719045344479E-3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16192.6556</v>
      </c>
      <c r="H53" s="69">
        <f t="shared" ref="H53:H64" si="7">+IF(G53/$C$115=0,"",G53/$C$115)</f>
        <v>1.3279531146667421E-4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-2.7041124422734452E-6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809680</v>
      </c>
      <c r="D58" s="69">
        <f t="shared" si="6"/>
        <v>3.692122834791931E-5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148055.6133</v>
      </c>
      <c r="H60" s="69">
        <f t="shared" si="7"/>
        <v>1.2141980764762866E-3</v>
      </c>
    </row>
    <row r="61" spans="2:9" x14ac:dyDescent="0.2">
      <c r="B61" s="65" t="s">
        <v>13</v>
      </c>
      <c r="C61" s="72"/>
      <c r="D61" s="69" t="str">
        <f t="shared" si="6"/>
        <v/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>
        <v>182187506</v>
      </c>
      <c r="D62" s="69">
        <f t="shared" si="6"/>
        <v>8.3077098497726497E-3</v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-41439</v>
      </c>
      <c r="D64" s="69">
        <f t="shared" si="6"/>
        <v>-1.8896092055002326E-6</v>
      </c>
      <c r="E64" s="68"/>
      <c r="F64" s="65" t="s">
        <v>16</v>
      </c>
      <c r="G64" s="92">
        <v>-103.83</v>
      </c>
      <c r="H64" s="69">
        <f t="shared" si="7"/>
        <v>-8.5150561650831269E-7</v>
      </c>
    </row>
    <row r="65" spans="2:8" s="80" customFormat="1" x14ac:dyDescent="0.2">
      <c r="B65" s="76" t="s">
        <v>17</v>
      </c>
      <c r="C65" s="77">
        <f>SUM(C53:C64)</f>
        <v>182896446</v>
      </c>
      <c r="D65" s="78">
        <f>SUM(D53:D64)</f>
        <v>8.3400373564727955E-3</v>
      </c>
      <c r="E65" s="79"/>
      <c r="F65" s="76" t="s">
        <v>17</v>
      </c>
      <c r="G65" s="93">
        <v>-103.82</v>
      </c>
      <c r="H65" s="78">
        <f>SUM(H53:H64)</f>
        <v>1.3461418823264525E-3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-1214945</v>
      </c>
      <c r="D72" s="69">
        <f t="shared" si="8"/>
        <v>-9.2027827331017339E-5</v>
      </c>
      <c r="E72" s="68"/>
      <c r="F72" s="65" t="s">
        <v>9</v>
      </c>
      <c r="G72" s="66">
        <v>-708478</v>
      </c>
      <c r="H72" s="69">
        <f t="shared" si="9"/>
        <v>-1.1110230492804181E-4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-774238</v>
      </c>
      <c r="D76" s="69">
        <f t="shared" si="8"/>
        <v>-5.8645816046909292E-5</v>
      </c>
      <c r="E76" s="68"/>
      <c r="F76" s="65" t="s">
        <v>13</v>
      </c>
      <c r="G76" s="72">
        <v>3084478</v>
      </c>
      <c r="H76" s="69">
        <f t="shared" si="9"/>
        <v>4.8370255011424005E-4</v>
      </c>
    </row>
    <row r="77" spans="2:8" x14ac:dyDescent="0.2">
      <c r="B77" s="65" t="s">
        <v>14</v>
      </c>
      <c r="C77" s="66">
        <v>-23852378</v>
      </c>
      <c r="D77" s="69">
        <f t="shared" si="8"/>
        <v>-1.8067340694584173E-3</v>
      </c>
      <c r="E77" s="68"/>
      <c r="F77" s="65" t="s">
        <v>14</v>
      </c>
      <c r="G77" s="66">
        <v>-11439794</v>
      </c>
      <c r="H77" s="69">
        <f t="shared" si="9"/>
        <v>-1.7939688759594273E-3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-21156</v>
      </c>
      <c r="D79" s="69">
        <f t="shared" si="8"/>
        <v>-1.602492882406202E-6</v>
      </c>
      <c r="E79" s="68"/>
      <c r="F79" s="65" t="s">
        <v>16</v>
      </c>
      <c r="G79" s="72">
        <v>-16074</v>
      </c>
      <c r="H79" s="69">
        <f t="shared" si="9"/>
        <v>-2.5206971132672349E-6</v>
      </c>
    </row>
    <row r="80" spans="2:8" s="80" customFormat="1" x14ac:dyDescent="0.2">
      <c r="B80" s="76" t="s">
        <v>17</v>
      </c>
      <c r="C80" s="77">
        <f>SUM(C68:C79)</f>
        <v>-25862717</v>
      </c>
      <c r="D80" s="78">
        <f>SUM(D68:D79)</f>
        <v>-1.9590102057187499E-3</v>
      </c>
      <c r="E80" s="79"/>
      <c r="F80" s="76" t="s">
        <v>17</v>
      </c>
      <c r="G80" s="77">
        <f>SUM(G68:G79)</f>
        <v>-9079868</v>
      </c>
      <c r="H80" s="78">
        <f>SUM(H68:H79)</f>
        <v>-1.4238893278864964E-3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20810017975.000099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21929931267.999901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13201930712.000099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4821249598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6376807398.0001001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61945239806.000099</v>
      </c>
      <c r="D111" s="193">
        <v>482164920</v>
      </c>
      <c r="F111" s="106">
        <f>+C111+D111</f>
        <v>62427404726.000099</v>
      </c>
      <c r="G111" s="62"/>
      <c r="H111" s="62"/>
    </row>
    <row r="112" spans="2:8" x14ac:dyDescent="0.2">
      <c r="B112" s="189" t="s">
        <v>18</v>
      </c>
      <c r="C112" s="192">
        <v>39036152.719400004</v>
      </c>
      <c r="D112" s="193"/>
      <c r="F112" s="106">
        <f>+C112+D112</f>
        <v>39036152.719400004</v>
      </c>
      <c r="H112" s="75"/>
    </row>
    <row r="113" spans="1:13" x14ac:dyDescent="0.2">
      <c r="B113" s="189" t="s">
        <v>4</v>
      </c>
      <c r="C113" s="190">
        <v>9426281508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86869004491</v>
      </c>
      <c r="D114" s="107"/>
      <c r="F114" s="106"/>
      <c r="H114" s="75"/>
    </row>
    <row r="115" spans="1:13" x14ac:dyDescent="0.2">
      <c r="B115" s="189" t="s">
        <v>25</v>
      </c>
      <c r="C115" s="192">
        <v>121936952.60139999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179" priority="46" stopIfTrue="1" operator="lessThan">
      <formula>0</formula>
    </cfRule>
  </conditionalFormatting>
  <conditionalFormatting sqref="C89">
    <cfRule type="cellIs" dxfId="2178" priority="43" stopIfTrue="1" operator="lessThan">
      <formula>0</formula>
    </cfRule>
  </conditionalFormatting>
  <conditionalFormatting sqref="C85">
    <cfRule type="cellIs" dxfId="2177" priority="45" stopIfTrue="1" operator="lessThan">
      <formula>0</formula>
    </cfRule>
  </conditionalFormatting>
  <conditionalFormatting sqref="C7:C9">
    <cfRule type="cellIs" dxfId="2176" priority="42" stopIfTrue="1" operator="lessThan">
      <formula>0</formula>
    </cfRule>
  </conditionalFormatting>
  <conditionalFormatting sqref="C10:C13">
    <cfRule type="cellIs" dxfId="2175" priority="40" stopIfTrue="1" operator="lessThan">
      <formula>0</formula>
    </cfRule>
  </conditionalFormatting>
  <conditionalFormatting sqref="C88">
    <cfRule type="cellIs" dxfId="2174" priority="44" stopIfTrue="1" operator="lessThan">
      <formula>0</formula>
    </cfRule>
  </conditionalFormatting>
  <conditionalFormatting sqref="C101">
    <cfRule type="cellIs" dxfId="2173" priority="39" stopIfTrue="1" operator="lessThan">
      <formula>0</formula>
    </cfRule>
  </conditionalFormatting>
  <conditionalFormatting sqref="C7">
    <cfRule type="cellIs" dxfId="2172" priority="41" stopIfTrue="1" operator="lessThan">
      <formula>0</formula>
    </cfRule>
  </conditionalFormatting>
  <conditionalFormatting sqref="C29:C33">
    <cfRule type="cellIs" dxfId="2171" priority="34" stopIfTrue="1" operator="lessThan">
      <formula>0</formula>
    </cfRule>
  </conditionalFormatting>
  <conditionalFormatting sqref="G7:G9">
    <cfRule type="cellIs" dxfId="2170" priority="37" stopIfTrue="1" operator="lessThan">
      <formula>0</formula>
    </cfRule>
  </conditionalFormatting>
  <conditionalFormatting sqref="C22">
    <cfRule type="cellIs" dxfId="2169" priority="32" stopIfTrue="1" operator="lessThan">
      <formula>0</formula>
    </cfRule>
  </conditionalFormatting>
  <conditionalFormatting sqref="C25:C28">
    <cfRule type="cellIs" dxfId="2168" priority="31" stopIfTrue="1" operator="lessThan">
      <formula>0</formula>
    </cfRule>
  </conditionalFormatting>
  <conditionalFormatting sqref="G14:G18">
    <cfRule type="cellIs" dxfId="2167" priority="38" stopIfTrue="1" operator="lessThan">
      <formula>0</formula>
    </cfRule>
  </conditionalFormatting>
  <conditionalFormatting sqref="G7">
    <cfRule type="cellIs" dxfId="2166" priority="36" stopIfTrue="1" operator="lessThan">
      <formula>0</formula>
    </cfRule>
  </conditionalFormatting>
  <conditionalFormatting sqref="G10:G13">
    <cfRule type="cellIs" dxfId="2165" priority="35" stopIfTrue="1" operator="lessThan">
      <formula>0</formula>
    </cfRule>
  </conditionalFormatting>
  <conditionalFormatting sqref="C22:C24">
    <cfRule type="cellIs" dxfId="2164" priority="33" stopIfTrue="1" operator="lessThan">
      <formula>0</formula>
    </cfRule>
  </conditionalFormatting>
  <conditionalFormatting sqref="G22">
    <cfRule type="cellIs" dxfId="2163" priority="28" stopIfTrue="1" operator="lessThan">
      <formula>0</formula>
    </cfRule>
  </conditionalFormatting>
  <conditionalFormatting sqref="G29:G33">
    <cfRule type="cellIs" dxfId="2162" priority="30" stopIfTrue="1" operator="lessThan">
      <formula>0</formula>
    </cfRule>
  </conditionalFormatting>
  <conditionalFormatting sqref="G22:G24">
    <cfRule type="cellIs" dxfId="2161" priority="29" stopIfTrue="1" operator="lessThan">
      <formula>0</formula>
    </cfRule>
  </conditionalFormatting>
  <conditionalFormatting sqref="G25:G28">
    <cfRule type="cellIs" dxfId="2160" priority="27" stopIfTrue="1" operator="lessThan">
      <formula>0</formula>
    </cfRule>
  </conditionalFormatting>
  <conditionalFormatting sqref="C40:C43">
    <cfRule type="cellIs" dxfId="2159" priority="23" stopIfTrue="1" operator="lessThan">
      <formula>0</formula>
    </cfRule>
  </conditionalFormatting>
  <conditionalFormatting sqref="G44:G48">
    <cfRule type="cellIs" dxfId="2158" priority="22" stopIfTrue="1" operator="lessThan">
      <formula>0</formula>
    </cfRule>
  </conditionalFormatting>
  <conditionalFormatting sqref="G37">
    <cfRule type="cellIs" dxfId="2157" priority="20" stopIfTrue="1" operator="lessThan">
      <formula>0</formula>
    </cfRule>
  </conditionalFormatting>
  <conditionalFormatting sqref="C44:C48">
    <cfRule type="cellIs" dxfId="2156" priority="26" stopIfTrue="1" operator="lessThan">
      <formula>0</formula>
    </cfRule>
  </conditionalFormatting>
  <conditionalFormatting sqref="C37:C39">
    <cfRule type="cellIs" dxfId="2155" priority="25" stopIfTrue="1" operator="lessThan">
      <formula>0</formula>
    </cfRule>
  </conditionalFormatting>
  <conditionalFormatting sqref="C37">
    <cfRule type="cellIs" dxfId="2154" priority="24" stopIfTrue="1" operator="lessThan">
      <formula>0</formula>
    </cfRule>
  </conditionalFormatting>
  <conditionalFormatting sqref="C56:C59">
    <cfRule type="cellIs" dxfId="2153" priority="15" stopIfTrue="1" operator="lessThan">
      <formula>0</formula>
    </cfRule>
  </conditionalFormatting>
  <conditionalFormatting sqref="G60:G63">
    <cfRule type="cellIs" dxfId="2152" priority="14" stopIfTrue="1" operator="lessThan">
      <formula>0</formula>
    </cfRule>
  </conditionalFormatting>
  <conditionalFormatting sqref="G37:G39">
    <cfRule type="cellIs" dxfId="2151" priority="21" stopIfTrue="1" operator="lessThan">
      <formula>0</formula>
    </cfRule>
  </conditionalFormatting>
  <conditionalFormatting sqref="G53">
    <cfRule type="cellIs" dxfId="2150" priority="12" stopIfTrue="1" operator="lessThan">
      <formula>0</formula>
    </cfRule>
  </conditionalFormatting>
  <conditionalFormatting sqref="G40:G43">
    <cfRule type="cellIs" dxfId="2149" priority="19" stopIfTrue="1" operator="lessThan">
      <formula>0</formula>
    </cfRule>
  </conditionalFormatting>
  <conditionalFormatting sqref="C60:C64">
    <cfRule type="cellIs" dxfId="2148" priority="18" stopIfTrue="1" operator="lessThan">
      <formula>0</formula>
    </cfRule>
  </conditionalFormatting>
  <conditionalFormatting sqref="C53:C55">
    <cfRule type="cellIs" dxfId="2147" priority="17" stopIfTrue="1" operator="lessThan">
      <formula>0</formula>
    </cfRule>
  </conditionalFormatting>
  <conditionalFormatting sqref="C53">
    <cfRule type="cellIs" dxfId="2146" priority="16" stopIfTrue="1" operator="lessThan">
      <formula>0</formula>
    </cfRule>
  </conditionalFormatting>
  <conditionalFormatting sqref="G53:G55">
    <cfRule type="cellIs" dxfId="2145" priority="13" stopIfTrue="1" operator="lessThan">
      <formula>0</formula>
    </cfRule>
  </conditionalFormatting>
  <conditionalFormatting sqref="G56:G59">
    <cfRule type="cellIs" dxfId="2144" priority="11" stopIfTrue="1" operator="lessThan">
      <formula>0</formula>
    </cfRule>
  </conditionalFormatting>
  <conditionalFormatting sqref="C75:C78">
    <cfRule type="cellIs" dxfId="2143" priority="10" stopIfTrue="1" operator="lessThan">
      <formula>0</formula>
    </cfRule>
  </conditionalFormatting>
  <conditionalFormatting sqref="C68:C70">
    <cfRule type="cellIs" dxfId="2142" priority="9" stopIfTrue="1" operator="lessThan">
      <formula>0</formula>
    </cfRule>
  </conditionalFormatting>
  <conditionalFormatting sqref="C68">
    <cfRule type="cellIs" dxfId="2141" priority="8" stopIfTrue="1" operator="lessThan">
      <formula>0</formula>
    </cfRule>
  </conditionalFormatting>
  <conditionalFormatting sqref="C71:C74">
    <cfRule type="cellIs" dxfId="2140" priority="7" stopIfTrue="1" operator="lessThan">
      <formula>0</formula>
    </cfRule>
  </conditionalFormatting>
  <conditionalFormatting sqref="G75:G79">
    <cfRule type="cellIs" dxfId="2139" priority="6" stopIfTrue="1" operator="lessThan">
      <formula>0</formula>
    </cfRule>
  </conditionalFormatting>
  <conditionalFormatting sqref="G68:G70">
    <cfRule type="cellIs" dxfId="2138" priority="5" stopIfTrue="1" operator="lessThan">
      <formula>0</formula>
    </cfRule>
  </conditionalFormatting>
  <conditionalFormatting sqref="G68">
    <cfRule type="cellIs" dxfId="2137" priority="4" stopIfTrue="1" operator="lessThan">
      <formula>0</formula>
    </cfRule>
  </conditionalFormatting>
  <conditionalFormatting sqref="G71:G74">
    <cfRule type="cellIs" dxfId="2136" priority="3" stopIfTrue="1" operator="lessThan">
      <formula>0</formula>
    </cfRule>
  </conditionalFormatting>
  <conditionalFormatting sqref="G64">
    <cfRule type="cellIs" dxfId="2135" priority="2" stopIfTrue="1" operator="lessThan">
      <formula>0</formula>
    </cfRule>
  </conditionalFormatting>
  <conditionalFormatting sqref="C79">
    <cfRule type="cellIs" dxfId="2134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dimension ref="A2:M121"/>
  <sheetViews>
    <sheetView workbookViewId="0">
      <selection activeCell="F37" sqref="F37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43059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4524253</v>
      </c>
      <c r="D7" s="67">
        <f>+IF(C7/$F$111=0,"",C7/$F$111)</f>
        <v>7.5835188799172498E-5</v>
      </c>
      <c r="E7" s="68"/>
      <c r="F7" s="65" t="s">
        <v>5</v>
      </c>
      <c r="G7" s="66">
        <v>770669</v>
      </c>
      <c r="H7" s="69">
        <f>+IF(G7/$C$113=0,"",G7/$C$113)</f>
        <v>8.1761688325023368E-5</v>
      </c>
      <c r="I7" s="70"/>
    </row>
    <row r="8" spans="1:9" x14ac:dyDescent="0.2">
      <c r="B8" s="65" t="s">
        <v>6</v>
      </c>
      <c r="C8" s="66">
        <v>504814</v>
      </c>
      <c r="D8" s="67">
        <f>+IF(C8/$F$111=0,"",C8/$F$111)</f>
        <v>8.4616543324313343E-6</v>
      </c>
      <c r="E8" s="68"/>
      <c r="F8" s="65" t="s">
        <v>6</v>
      </c>
      <c r="G8" s="66">
        <v>414383</v>
      </c>
      <c r="H8" s="69">
        <f>+IF(G8/$C$113=0,"",G8/$C$113)</f>
        <v>4.3962652829149941E-5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164433</v>
      </c>
      <c r="H11" s="69">
        <f t="shared" si="0"/>
        <v>1.7444998691200201E-5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-422800</v>
      </c>
      <c r="H12" s="69">
        <f t="shared" si="0"/>
        <v>-4.4855627803661335E-5</v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726365</v>
      </c>
      <c r="H14" s="69">
        <f t="shared" si="0"/>
        <v>7.706139567078162E-5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-8432</v>
      </c>
      <c r="D17" s="67">
        <f>+IF(C17/$F$111=0,"",C17/$F$111)</f>
        <v>-1.4133655035530118E-7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-68621</v>
      </c>
      <c r="D18" s="67">
        <f>+IF(C18/$F$111=0,"",C18/$F$111)</f>
        <v>-1.1502200452954368E-6</v>
      </c>
      <c r="E18" s="75"/>
      <c r="F18" s="65" t="s">
        <v>16</v>
      </c>
      <c r="G18" s="72">
        <v>-27535</v>
      </c>
      <c r="H18" s="69">
        <f t="shared" si="0"/>
        <v>-2.9212386744886825E-6</v>
      </c>
    </row>
    <row r="19" spans="2:9" s="80" customFormat="1" x14ac:dyDescent="0.2">
      <c r="B19" s="76" t="s">
        <v>17</v>
      </c>
      <c r="C19" s="77">
        <f>SUM(C7:C18)</f>
        <v>4952014</v>
      </c>
      <c r="D19" s="78">
        <f>SUM(D7:D18)</f>
        <v>8.3005286535953095E-5</v>
      </c>
      <c r="E19" s="79"/>
      <c r="F19" s="76" t="s">
        <v>17</v>
      </c>
      <c r="G19" s="77">
        <f>SUM(G7:G18)</f>
        <v>1625515</v>
      </c>
      <c r="H19" s="78">
        <f>SUM(H7:H18)</f>
        <v>1.7245386903800512E-4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2231.2013999999999</v>
      </c>
      <c r="D22" s="69">
        <f>+IF(C22/$F$112=0,"",C22/$F$112)</f>
        <v>5.6901921448708462E-5</v>
      </c>
      <c r="E22" s="75"/>
      <c r="F22" s="65" t="s">
        <v>5</v>
      </c>
      <c r="G22" s="66">
        <v>1336385</v>
      </c>
      <c r="H22" s="69">
        <f t="shared" ref="H22:H33" si="2">+IF(G22/$C$106=0,"",G22/$C$106)</f>
        <v>6.3642583051660607E-5</v>
      </c>
      <c r="I22" s="114"/>
    </row>
    <row r="23" spans="2:9" x14ac:dyDescent="0.2">
      <c r="B23" s="65" t="s">
        <v>44</v>
      </c>
      <c r="C23" s="71"/>
      <c r="D23" s="69" t="str">
        <f>+IF(C23/$F$112=0,"",C23/$F$112)</f>
        <v/>
      </c>
      <c r="E23" s="75"/>
      <c r="F23" s="65" t="s">
        <v>6</v>
      </c>
      <c r="G23" s="66">
        <v>1407572</v>
      </c>
      <c r="H23" s="69">
        <f t="shared" si="2"/>
        <v>6.7032717301669821E-5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-110.42</v>
      </c>
      <c r="D26" s="69">
        <f>+IF(C26/$F$112=0,"",C26/$F$112)</f>
        <v>-2.816021075626068E-6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268431.91365999996</v>
      </c>
      <c r="D27" s="69">
        <f t="shared" ref="D27:D33" si="3">+IF(C27/$F$112=0,"",C27/$F$112)</f>
        <v>6.8457700256945924E-3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>
        <v>-1491697</v>
      </c>
      <c r="H28" s="69">
        <f t="shared" si="2"/>
        <v>-7.1038997153075625E-5</v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/>
      <c r="H29" s="69" t="str">
        <f t="shared" si="2"/>
        <v/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>
        <v>-268696.77669999999</v>
      </c>
      <c r="D31" s="69">
        <f t="shared" si="3"/>
        <v>-6.8525247793877137E-3</v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-15</v>
      </c>
      <c r="H32" s="69">
        <f t="shared" si="2"/>
        <v>-7.1434410426255093E-10</v>
      </c>
    </row>
    <row r="33" spans="1:13" x14ac:dyDescent="0.2">
      <c r="B33" s="65" t="s">
        <v>16</v>
      </c>
      <c r="C33" s="71">
        <v>-196.61</v>
      </c>
      <c r="D33" s="69">
        <f t="shared" si="3"/>
        <v>-5.0141088904079089E-6</v>
      </c>
      <c r="E33" s="75"/>
      <c r="F33" s="65" t="s">
        <v>16</v>
      </c>
      <c r="G33" s="72">
        <v>-29732</v>
      </c>
      <c r="H33" s="69">
        <f t="shared" si="2"/>
        <v>-1.4159252605289443E-6</v>
      </c>
    </row>
    <row r="34" spans="1:13" s="80" customFormat="1" x14ac:dyDescent="0.2">
      <c r="B34" s="76" t="s">
        <v>17</v>
      </c>
      <c r="C34" s="93">
        <f>SUM(C22:C33)</f>
        <v>1659.3083599999522</v>
      </c>
      <c r="D34" s="78">
        <f>SUM(D22:D33)</f>
        <v>4.2317037789553084E-5</v>
      </c>
      <c r="E34" s="79"/>
      <c r="F34" s="76" t="s">
        <v>17</v>
      </c>
      <c r="G34" s="93">
        <f>SUM(G22:G33)</f>
        <v>1222513</v>
      </c>
      <c r="H34" s="78">
        <f>SUM(H22:H33)</f>
        <v>5.8219663595621608E-5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3767959</v>
      </c>
      <c r="D37" s="69">
        <f t="shared" ref="D37:D48" si="4">+IF(C37/$C$114=0,"",C37/$C$114)</f>
        <v>4.3035585858546115E-5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8990132</v>
      </c>
      <c r="D38" s="69">
        <f t="shared" si="4"/>
        <v>1.026804159932905E-4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3862</v>
      </c>
      <c r="H43" s="69">
        <f t="shared" si="5"/>
        <v>7.9493850034965944E-7</v>
      </c>
    </row>
    <row r="44" spans="1:13" x14ac:dyDescent="0.2">
      <c r="B44" s="65" t="s">
        <v>12</v>
      </c>
      <c r="C44" s="72">
        <v>-2347396</v>
      </c>
      <c r="D44" s="69">
        <f t="shared" si="4"/>
        <v>-2.6810685069027479E-5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4610814</v>
      </c>
      <c r="D45" s="69">
        <f t="shared" si="4"/>
        <v>5.2662218929342501E-5</v>
      </c>
      <c r="E45" s="68"/>
      <c r="F45" s="65" t="s">
        <v>13</v>
      </c>
      <c r="G45" s="72">
        <v>-187644859</v>
      </c>
      <c r="H45" s="69">
        <f t="shared" si="5"/>
        <v>-3.8624060800565324E-2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-134903</v>
      </c>
      <c r="D48" s="69">
        <f t="shared" si="4"/>
        <v>-1.5407889626918568E-6</v>
      </c>
      <c r="E48" s="68"/>
      <c r="F48" s="65" t="s">
        <v>16</v>
      </c>
      <c r="G48" s="72">
        <v>-18696</v>
      </c>
      <c r="H48" s="69">
        <f t="shared" si="5"/>
        <v>-3.8483092186787244E-6</v>
      </c>
    </row>
    <row r="49" spans="2:9" s="80" customFormat="1" x14ac:dyDescent="0.2">
      <c r="B49" s="76" t="s">
        <v>17</v>
      </c>
      <c r="C49" s="77">
        <f>SUM(C37:C48)</f>
        <v>14886606</v>
      </c>
      <c r="D49" s="78">
        <f>SUM(D37:D48)</f>
        <v>1.7002674674945978E-4</v>
      </c>
      <c r="E49" s="79"/>
      <c r="F49" s="76" t="s">
        <v>17</v>
      </c>
      <c r="G49" s="77">
        <f>SUM(G37:G48)</f>
        <v>-187659693</v>
      </c>
      <c r="H49" s="78">
        <f>SUM(H37:H48)</f>
        <v>-3.8627114171283651E-2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16192.594300000001</v>
      </c>
      <c r="H53" s="69">
        <f t="shared" ref="H53:H64" si="7">+IF(G53/$C$115=0,"",G53/$C$115)</f>
        <v>1.3258665307071011E-4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24317395</v>
      </c>
      <c r="D57" s="69">
        <f t="shared" si="6"/>
        <v>1.09079062519167E-3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-59301</v>
      </c>
      <c r="D58" s="69">
        <f t="shared" si="6"/>
        <v>-2.6600289572337509E-6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-6865.3684000000003</v>
      </c>
      <c r="H60" s="69">
        <f t="shared" si="7"/>
        <v>-5.6214353388290359E-5</v>
      </c>
    </row>
    <row r="61" spans="2:9" x14ac:dyDescent="0.2">
      <c r="B61" s="65" t="s">
        <v>13</v>
      </c>
      <c r="C61" s="72">
        <v>-815619543</v>
      </c>
      <c r="D61" s="69">
        <f t="shared" si="6"/>
        <v>-3.6585750703457924E-2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-19224499</v>
      </c>
      <c r="D63" s="69">
        <f t="shared" si="6"/>
        <v>-8.6234168105615904E-4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-183233</v>
      </c>
      <c r="D64" s="69">
        <f t="shared" si="6"/>
        <v>-8.2191714460264062E-6</v>
      </c>
      <c r="E64" s="68"/>
      <c r="F64" s="65" t="s">
        <v>16</v>
      </c>
      <c r="G64" s="92">
        <v>-103.87</v>
      </c>
      <c r="H64" s="69">
        <f t="shared" si="7"/>
        <v>-8.5049840682136148E-7</v>
      </c>
    </row>
    <row r="65" spans="2:8" s="80" customFormat="1" x14ac:dyDescent="0.2">
      <c r="B65" s="76" t="s">
        <v>17</v>
      </c>
      <c r="C65" s="77">
        <f>SUM(C53:C64)</f>
        <v>-810769181</v>
      </c>
      <c r="D65" s="78">
        <f>SUM(D53:D64)</f>
        <v>-3.6368180959725674E-2</v>
      </c>
      <c r="E65" s="79"/>
      <c r="F65" s="76" t="s">
        <v>17</v>
      </c>
      <c r="G65" s="77">
        <f>SUM(G53:G64)</f>
        <v>9223.3559000000005</v>
      </c>
      <c r="H65" s="78">
        <f>SUM(H53:H64)</f>
        <v>7.55218012755984E-5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7593404</v>
      </c>
      <c r="D72" s="69">
        <f t="shared" si="8"/>
        <v>5.758112167035032E-4</v>
      </c>
      <c r="E72" s="68"/>
      <c r="F72" s="65" t="s">
        <v>9</v>
      </c>
      <c r="G72" s="66">
        <v>1407339</v>
      </c>
      <c r="H72" s="69">
        <f t="shared" si="9"/>
        <v>2.2103474997163839E-4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24977892</v>
      </c>
      <c r="D76" s="69">
        <f t="shared" si="8"/>
        <v>1.8940847060433896E-3</v>
      </c>
      <c r="E76" s="68"/>
      <c r="F76" s="65" t="s">
        <v>13</v>
      </c>
      <c r="G76" s="72">
        <v>8510329</v>
      </c>
      <c r="H76" s="69">
        <f t="shared" si="9"/>
        <v>1.3366207023974915E-3</v>
      </c>
    </row>
    <row r="77" spans="2:8" x14ac:dyDescent="0.2">
      <c r="B77" s="65" t="s">
        <v>14</v>
      </c>
      <c r="C77" s="66">
        <v>149375096</v>
      </c>
      <c r="D77" s="69">
        <f t="shared" si="8"/>
        <v>1.1327180243927835E-2</v>
      </c>
      <c r="E77" s="68"/>
      <c r="F77" s="65" t="s">
        <v>14</v>
      </c>
      <c r="G77" s="66">
        <v>74620816</v>
      </c>
      <c r="H77" s="69">
        <f t="shared" si="9"/>
        <v>1.171984390913606E-2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-21155</v>
      </c>
      <c r="D79" s="69">
        <f t="shared" si="8"/>
        <v>-1.6041930982946002E-6</v>
      </c>
      <c r="E79" s="68"/>
      <c r="F79" s="65" t="s">
        <v>16</v>
      </c>
      <c r="G79" s="72">
        <v>-16074</v>
      </c>
      <c r="H79" s="69">
        <f t="shared" si="9"/>
        <v>-2.52456058635774E-6</v>
      </c>
    </row>
    <row r="80" spans="2:8" s="80" customFormat="1" x14ac:dyDescent="0.2">
      <c r="B80" s="76" t="s">
        <v>17</v>
      </c>
      <c r="C80" s="77">
        <f>SUM(C68:C79)</f>
        <v>181925237</v>
      </c>
      <c r="D80" s="78">
        <f>SUM(D68:D79)</f>
        <v>1.3795471973576433E-2</v>
      </c>
      <c r="E80" s="79"/>
      <c r="F80" s="76" t="s">
        <v>17</v>
      </c>
      <c r="G80" s="77">
        <f>SUM(G68:G79)</f>
        <v>84522410</v>
      </c>
      <c r="H80" s="78">
        <f>SUM(H68:H79)</f>
        <v>1.3274974800918833E-2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20998283475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22293366333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13187315182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4858237459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6367048621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59092110132</v>
      </c>
      <c r="D111" s="193">
        <v>566909271</v>
      </c>
      <c r="F111" s="106">
        <f>+C111+D111</f>
        <v>59659019403</v>
      </c>
      <c r="G111" s="62"/>
      <c r="H111" s="62"/>
    </row>
    <row r="112" spans="2:8" x14ac:dyDescent="0.2">
      <c r="B112" s="189" t="s">
        <v>18</v>
      </c>
      <c r="C112" s="192">
        <v>39011354.259999998</v>
      </c>
      <c r="D112" s="193">
        <v>200000</v>
      </c>
      <c r="F112" s="106">
        <f>+C112+D112</f>
        <v>39211354.259999998</v>
      </c>
      <c r="H112" s="75"/>
    </row>
    <row r="113" spans="1:13" x14ac:dyDescent="0.2">
      <c r="B113" s="189" t="s">
        <v>4</v>
      </c>
      <c r="C113" s="190">
        <v>9425796064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87554495305</v>
      </c>
      <c r="D114" s="107"/>
      <c r="F114" s="106"/>
      <c r="H114" s="75"/>
    </row>
    <row r="115" spans="1:13" x14ac:dyDescent="0.2">
      <c r="B115" s="189" t="s">
        <v>25</v>
      </c>
      <c r="C115" s="192">
        <v>122128388.68000001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133" priority="46" stopIfTrue="1" operator="lessThan">
      <formula>0</formula>
    </cfRule>
  </conditionalFormatting>
  <conditionalFormatting sqref="C89">
    <cfRule type="cellIs" dxfId="2132" priority="43" stopIfTrue="1" operator="lessThan">
      <formula>0</formula>
    </cfRule>
  </conditionalFormatting>
  <conditionalFormatting sqref="C85">
    <cfRule type="cellIs" dxfId="2131" priority="45" stopIfTrue="1" operator="lessThan">
      <formula>0</formula>
    </cfRule>
  </conditionalFormatting>
  <conditionalFormatting sqref="C7:C9">
    <cfRule type="cellIs" dxfId="2130" priority="42" stopIfTrue="1" operator="lessThan">
      <formula>0</formula>
    </cfRule>
  </conditionalFormatting>
  <conditionalFormatting sqref="C10:C13">
    <cfRule type="cellIs" dxfId="2129" priority="40" stopIfTrue="1" operator="lessThan">
      <formula>0</formula>
    </cfRule>
  </conditionalFormatting>
  <conditionalFormatting sqref="C88">
    <cfRule type="cellIs" dxfId="2128" priority="44" stopIfTrue="1" operator="lessThan">
      <formula>0</formula>
    </cfRule>
  </conditionalFormatting>
  <conditionalFormatting sqref="C101">
    <cfRule type="cellIs" dxfId="2127" priority="39" stopIfTrue="1" operator="lessThan">
      <formula>0</formula>
    </cfRule>
  </conditionalFormatting>
  <conditionalFormatting sqref="C7">
    <cfRule type="cellIs" dxfId="2126" priority="41" stopIfTrue="1" operator="lessThan">
      <formula>0</formula>
    </cfRule>
  </conditionalFormatting>
  <conditionalFormatting sqref="C29:C33">
    <cfRule type="cellIs" dxfId="2125" priority="34" stopIfTrue="1" operator="lessThan">
      <formula>0</formula>
    </cfRule>
  </conditionalFormatting>
  <conditionalFormatting sqref="G7:G9">
    <cfRule type="cellIs" dxfId="2124" priority="37" stopIfTrue="1" operator="lessThan">
      <formula>0</formula>
    </cfRule>
  </conditionalFormatting>
  <conditionalFormatting sqref="C22">
    <cfRule type="cellIs" dxfId="2123" priority="32" stopIfTrue="1" operator="lessThan">
      <formula>0</formula>
    </cfRule>
  </conditionalFormatting>
  <conditionalFormatting sqref="C25:C28">
    <cfRule type="cellIs" dxfId="2122" priority="31" stopIfTrue="1" operator="lessThan">
      <formula>0</formula>
    </cfRule>
  </conditionalFormatting>
  <conditionalFormatting sqref="G14:G18">
    <cfRule type="cellIs" dxfId="2121" priority="38" stopIfTrue="1" operator="lessThan">
      <formula>0</formula>
    </cfRule>
  </conditionalFormatting>
  <conditionalFormatting sqref="G7">
    <cfRule type="cellIs" dxfId="2120" priority="36" stopIfTrue="1" operator="lessThan">
      <formula>0</formula>
    </cfRule>
  </conditionalFormatting>
  <conditionalFormatting sqref="G10:G13">
    <cfRule type="cellIs" dxfId="2119" priority="35" stopIfTrue="1" operator="lessThan">
      <formula>0</formula>
    </cfRule>
  </conditionalFormatting>
  <conditionalFormatting sqref="C22:C24">
    <cfRule type="cellIs" dxfId="2118" priority="33" stopIfTrue="1" operator="lessThan">
      <formula>0</formula>
    </cfRule>
  </conditionalFormatting>
  <conditionalFormatting sqref="G22">
    <cfRule type="cellIs" dxfId="2117" priority="28" stopIfTrue="1" operator="lessThan">
      <formula>0</formula>
    </cfRule>
  </conditionalFormatting>
  <conditionalFormatting sqref="G29:G33">
    <cfRule type="cellIs" dxfId="2116" priority="30" stopIfTrue="1" operator="lessThan">
      <formula>0</formula>
    </cfRule>
  </conditionalFormatting>
  <conditionalFormatting sqref="G22:G24">
    <cfRule type="cellIs" dxfId="2115" priority="29" stopIfTrue="1" operator="lessThan">
      <formula>0</formula>
    </cfRule>
  </conditionalFormatting>
  <conditionalFormatting sqref="G25:G28">
    <cfRule type="cellIs" dxfId="2114" priority="27" stopIfTrue="1" operator="lessThan">
      <formula>0</formula>
    </cfRule>
  </conditionalFormatting>
  <conditionalFormatting sqref="C40:C43">
    <cfRule type="cellIs" dxfId="2113" priority="23" stopIfTrue="1" operator="lessThan">
      <formula>0</formula>
    </cfRule>
  </conditionalFormatting>
  <conditionalFormatting sqref="G44:G48">
    <cfRule type="cellIs" dxfId="2112" priority="22" stopIfTrue="1" operator="lessThan">
      <formula>0</formula>
    </cfRule>
  </conditionalFormatting>
  <conditionalFormatting sqref="G37">
    <cfRule type="cellIs" dxfId="2111" priority="20" stopIfTrue="1" operator="lessThan">
      <formula>0</formula>
    </cfRule>
  </conditionalFormatting>
  <conditionalFormatting sqref="C44:C48">
    <cfRule type="cellIs" dxfId="2110" priority="26" stopIfTrue="1" operator="lessThan">
      <formula>0</formula>
    </cfRule>
  </conditionalFormatting>
  <conditionalFormatting sqref="C37:C39">
    <cfRule type="cellIs" dxfId="2109" priority="25" stopIfTrue="1" operator="lessThan">
      <formula>0</formula>
    </cfRule>
  </conditionalFormatting>
  <conditionalFormatting sqref="C37">
    <cfRule type="cellIs" dxfId="2108" priority="24" stopIfTrue="1" operator="lessThan">
      <formula>0</formula>
    </cfRule>
  </conditionalFormatting>
  <conditionalFormatting sqref="C56:C59">
    <cfRule type="cellIs" dxfId="2107" priority="15" stopIfTrue="1" operator="lessThan">
      <formula>0</formula>
    </cfRule>
  </conditionalFormatting>
  <conditionalFormatting sqref="G60:G63">
    <cfRule type="cellIs" dxfId="2106" priority="14" stopIfTrue="1" operator="lessThan">
      <formula>0</formula>
    </cfRule>
  </conditionalFormatting>
  <conditionalFormatting sqref="G37:G39">
    <cfRule type="cellIs" dxfId="2105" priority="21" stopIfTrue="1" operator="lessThan">
      <formula>0</formula>
    </cfRule>
  </conditionalFormatting>
  <conditionalFormatting sqref="G53">
    <cfRule type="cellIs" dxfId="2104" priority="12" stopIfTrue="1" operator="lessThan">
      <formula>0</formula>
    </cfRule>
  </conditionalFormatting>
  <conditionalFormatting sqref="G40:G43">
    <cfRule type="cellIs" dxfId="2103" priority="19" stopIfTrue="1" operator="lessThan">
      <formula>0</formula>
    </cfRule>
  </conditionalFormatting>
  <conditionalFormatting sqref="C60:C64">
    <cfRule type="cellIs" dxfId="2102" priority="18" stopIfTrue="1" operator="lessThan">
      <formula>0</formula>
    </cfRule>
  </conditionalFormatting>
  <conditionalFormatting sqref="C53:C55">
    <cfRule type="cellIs" dxfId="2101" priority="17" stopIfTrue="1" operator="lessThan">
      <formula>0</formula>
    </cfRule>
  </conditionalFormatting>
  <conditionalFormatting sqref="C53">
    <cfRule type="cellIs" dxfId="2100" priority="16" stopIfTrue="1" operator="lessThan">
      <formula>0</formula>
    </cfRule>
  </conditionalFormatting>
  <conditionalFormatting sqref="G53:G55">
    <cfRule type="cellIs" dxfId="2099" priority="13" stopIfTrue="1" operator="lessThan">
      <formula>0</formula>
    </cfRule>
  </conditionalFormatting>
  <conditionalFormatting sqref="G56:G59">
    <cfRule type="cellIs" dxfId="2098" priority="11" stopIfTrue="1" operator="lessThan">
      <formula>0</formula>
    </cfRule>
  </conditionalFormatting>
  <conditionalFormatting sqref="C75:C78">
    <cfRule type="cellIs" dxfId="2097" priority="10" stopIfTrue="1" operator="lessThan">
      <formula>0</formula>
    </cfRule>
  </conditionalFormatting>
  <conditionalFormatting sqref="C68:C70">
    <cfRule type="cellIs" dxfId="2096" priority="9" stopIfTrue="1" operator="lessThan">
      <formula>0</formula>
    </cfRule>
  </conditionalFormatting>
  <conditionalFormatting sqref="C68">
    <cfRule type="cellIs" dxfId="2095" priority="8" stopIfTrue="1" operator="lessThan">
      <formula>0</formula>
    </cfRule>
  </conditionalFormatting>
  <conditionalFormatting sqref="C71:C74">
    <cfRule type="cellIs" dxfId="2094" priority="7" stopIfTrue="1" operator="lessThan">
      <formula>0</formula>
    </cfRule>
  </conditionalFormatting>
  <conditionalFormatting sqref="G75:G79">
    <cfRule type="cellIs" dxfId="2093" priority="6" stopIfTrue="1" operator="lessThan">
      <formula>0</formula>
    </cfRule>
  </conditionalFormatting>
  <conditionalFormatting sqref="G68:G70">
    <cfRule type="cellIs" dxfId="2092" priority="5" stopIfTrue="1" operator="lessThan">
      <formula>0</formula>
    </cfRule>
  </conditionalFormatting>
  <conditionalFormatting sqref="G68">
    <cfRule type="cellIs" dxfId="2091" priority="4" stopIfTrue="1" operator="lessThan">
      <formula>0</formula>
    </cfRule>
  </conditionalFormatting>
  <conditionalFormatting sqref="G71:G74">
    <cfRule type="cellIs" dxfId="2090" priority="3" stopIfTrue="1" operator="lessThan">
      <formula>0</formula>
    </cfRule>
  </conditionalFormatting>
  <conditionalFormatting sqref="G64">
    <cfRule type="cellIs" dxfId="2089" priority="2" stopIfTrue="1" operator="lessThan">
      <formula>0</formula>
    </cfRule>
  </conditionalFormatting>
  <conditionalFormatting sqref="C79">
    <cfRule type="cellIs" dxfId="2088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dimension ref="A2:M121"/>
  <sheetViews>
    <sheetView topLeftCell="A70"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43060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4361983</v>
      </c>
      <c r="D7" s="67">
        <f>+IF(C7/$F$111=0,"",C7/$F$111)</f>
        <v>7.3989475325182574E-5</v>
      </c>
      <c r="E7" s="68"/>
      <c r="F7" s="65" t="s">
        <v>5</v>
      </c>
      <c r="G7" s="66">
        <v>450593</v>
      </c>
      <c r="H7" s="69">
        <f>+IF(G7/$C$113=0,"",G7/$C$113)</f>
        <v>4.7853475574286343E-5</v>
      </c>
      <c r="I7" s="70"/>
    </row>
    <row r="8" spans="1:9" x14ac:dyDescent="0.2">
      <c r="B8" s="65" t="s">
        <v>6</v>
      </c>
      <c r="C8" s="66">
        <v>504817</v>
      </c>
      <c r="D8" s="67">
        <f>+IF(C8/$F$111=0,"",C8/$F$111)</f>
        <v>8.5628818281118223E-6</v>
      </c>
      <c r="E8" s="68"/>
      <c r="F8" s="65" t="s">
        <v>6</v>
      </c>
      <c r="G8" s="66">
        <v>414275</v>
      </c>
      <c r="H8" s="69">
        <f>+IF(G8/$C$113=0,"",G8/$C$113)</f>
        <v>4.399646375673274E-5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-9374</v>
      </c>
      <c r="H11" s="69">
        <f t="shared" si="0"/>
        <v>-9.9552918050959557E-7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-14972740</v>
      </c>
      <c r="H14" s="69">
        <f t="shared" si="0"/>
        <v>-1.5901215684001751E-3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-77044</v>
      </c>
      <c r="D18" s="67">
        <f>+IF(C18/$F$111=0,"",C18/$F$111)</f>
        <v>-1.3068471694991396E-6</v>
      </c>
      <c r="E18" s="75"/>
      <c r="F18" s="65" t="s">
        <v>16</v>
      </c>
      <c r="G18" s="72">
        <v>-28174</v>
      </c>
      <c r="H18" s="69">
        <f t="shared" si="0"/>
        <v>-2.9921099991121557E-6</v>
      </c>
    </row>
    <row r="19" spans="2:9" s="80" customFormat="1" x14ac:dyDescent="0.2">
      <c r="B19" s="76" t="s">
        <v>17</v>
      </c>
      <c r="C19" s="77">
        <f>SUM(C7:C18)</f>
        <v>4789756</v>
      </c>
      <c r="D19" s="78">
        <f>SUM(D7:D18)</f>
        <v>8.1245509983795264E-5</v>
      </c>
      <c r="E19" s="79"/>
      <c r="F19" s="76" t="s">
        <v>17</v>
      </c>
      <c r="G19" s="77">
        <f>SUM(G7:G18)</f>
        <v>-14145420</v>
      </c>
      <c r="H19" s="78">
        <f>SUM(H7:H18)</f>
        <v>-1.5022592682487777E-3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2034.8951999999999</v>
      </c>
      <c r="D22" s="69">
        <f>+IF(C22/$F$112=0,"",C22/$F$112)</f>
        <v>5.4307280200076344E-5</v>
      </c>
      <c r="E22" s="75"/>
      <c r="F22" s="65" t="s">
        <v>5</v>
      </c>
      <c r="G22" s="66">
        <v>1428343</v>
      </c>
      <c r="H22" s="69">
        <f t="shared" ref="H22:H33" si="2">+IF(G22/$C$106=0,"",G22/$C$106)</f>
        <v>6.870886855783486E-5</v>
      </c>
      <c r="I22" s="114"/>
    </row>
    <row r="23" spans="2:9" x14ac:dyDescent="0.2">
      <c r="B23" s="65" t="s">
        <v>44</v>
      </c>
      <c r="C23" s="71">
        <v>35107.318299999999</v>
      </c>
      <c r="D23" s="69">
        <f>+IF(C23/$F$112=0,"",C23/$F$112)</f>
        <v>9.3694406080046177E-4</v>
      </c>
      <c r="E23" s="75"/>
      <c r="F23" s="65" t="s">
        <v>6</v>
      </c>
      <c r="G23" s="66">
        <v>1407508</v>
      </c>
      <c r="H23" s="69">
        <f t="shared" si="2"/>
        <v>6.7706623805417198E-5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14.570286207001118</v>
      </c>
      <c r="D26" s="69">
        <f>+IF(C26/$F$112=0,"",C26/$F$112)</f>
        <v>3.8885177754555479E-7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-35468.15842632881</v>
      </c>
      <c r="D27" s="69">
        <f t="shared" ref="D27:D33" si="3">+IF(C27/$F$112=0,"",C27/$F$112)</f>
        <v>-9.4657416157811834E-4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-7153544</v>
      </c>
      <c r="H29" s="69">
        <f t="shared" si="2"/>
        <v>-3.4411336381995653E-4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>
        <v>5.0599999999999996</v>
      </c>
      <c r="D32" s="69">
        <f t="shared" si="3"/>
        <v>1.3504127279497553E-7</v>
      </c>
      <c r="E32" s="75"/>
      <c r="F32" s="65" t="s">
        <v>15</v>
      </c>
      <c r="G32" s="72">
        <v>-1</v>
      </c>
      <c r="H32" s="69">
        <f t="shared" si="2"/>
        <v>-4.8103899804063069E-11</v>
      </c>
    </row>
    <row r="33" spans="1:13" x14ac:dyDescent="0.2">
      <c r="B33" s="65" t="s">
        <v>16</v>
      </c>
      <c r="C33" s="71">
        <v>-148.13999999999999</v>
      </c>
      <c r="D33" s="69">
        <f t="shared" si="3"/>
        <v>-3.9535601090608049E-6</v>
      </c>
      <c r="E33" s="75"/>
      <c r="F33" s="65" t="s">
        <v>16</v>
      </c>
      <c r="G33" s="72">
        <v>-49320</v>
      </c>
      <c r="H33" s="69">
        <f t="shared" si="2"/>
        <v>-2.3724843383363905E-6</v>
      </c>
    </row>
    <row r="34" spans="1:13" s="80" customFormat="1" x14ac:dyDescent="0.2">
      <c r="B34" s="76" t="s">
        <v>17</v>
      </c>
      <c r="C34" s="93">
        <f>SUM(C22:C33)</f>
        <v>1545.5453598781914</v>
      </c>
      <c r="D34" s="78">
        <f>SUM(D22:D33)</f>
        <v>4.1247512363699489E-5</v>
      </c>
      <c r="E34" s="79"/>
      <c r="F34" s="76" t="s">
        <v>17</v>
      </c>
      <c r="G34" s="93">
        <f>SUM(G22:G33)</f>
        <v>-4367014</v>
      </c>
      <c r="H34" s="78">
        <f>SUM(H22:H33)</f>
        <v>-2.1007040389894066E-4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4302280</v>
      </c>
      <c r="D37" s="69">
        <f t="shared" ref="D37:D48" si="4">+IF(C37/$C$114=0,"",C37/$C$114)</f>
        <v>4.8614161085830173E-5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8988896</v>
      </c>
      <c r="D38" s="69">
        <f t="shared" si="4"/>
        <v>1.0157117577837205E-4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36630</v>
      </c>
      <c r="H39" s="69">
        <f t="shared" si="5"/>
        <v>7.8489792738762618E-6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3860</v>
      </c>
      <c r="H43" s="69">
        <f t="shared" si="5"/>
        <v>8.271105650330978E-7</v>
      </c>
    </row>
    <row r="44" spans="1:13" x14ac:dyDescent="0.2">
      <c r="B44" s="65" t="s">
        <v>12</v>
      </c>
      <c r="C44" s="72">
        <v>-117133911</v>
      </c>
      <c r="D44" s="69">
        <f t="shared" si="4"/>
        <v>-1.3235695533455039E-3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-27754349</v>
      </c>
      <c r="D45" s="69">
        <f t="shared" si="4"/>
        <v>-3.1361380317374731E-4</v>
      </c>
      <c r="E45" s="68"/>
      <c r="F45" s="65" t="s">
        <v>13</v>
      </c>
      <c r="G45" s="72">
        <v>26664565</v>
      </c>
      <c r="H45" s="69">
        <f t="shared" si="5"/>
        <v>5.7136122858838763E-3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-93518</v>
      </c>
      <c r="D48" s="69">
        <f t="shared" si="4"/>
        <v>-1.0567185577007229E-6</v>
      </c>
      <c r="E48" s="68"/>
      <c r="F48" s="65" t="s">
        <v>16</v>
      </c>
      <c r="G48" s="72">
        <v>-18696</v>
      </c>
      <c r="H48" s="69">
        <f t="shared" si="5"/>
        <v>-4.0061293066991697E-6</v>
      </c>
    </row>
    <row r="49" spans="2:9" s="80" customFormat="1" x14ac:dyDescent="0.2">
      <c r="B49" s="76" t="s">
        <v>17</v>
      </c>
      <c r="C49" s="77">
        <f>SUM(C37:C48)</f>
        <v>-131690602</v>
      </c>
      <c r="D49" s="78">
        <f>SUM(D37:D48)</f>
        <v>-1.4880547382127495E-3</v>
      </c>
      <c r="E49" s="79"/>
      <c r="F49" s="76" t="s">
        <v>17</v>
      </c>
      <c r="G49" s="77">
        <f>SUM(G37:G48)</f>
        <v>26686359</v>
      </c>
      <c r="H49" s="78">
        <f>SUM(H37:H48)</f>
        <v>5.7182822464160871E-3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16192.576300000001</v>
      </c>
      <c r="H53" s="69">
        <f t="shared" ref="H53:H64" si="7">+IF(G53/$C$115=0,"",G53/$C$115)</f>
        <v>1.3257826138581518E-4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-2.7605848182980993E-6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-3427646</v>
      </c>
      <c r="D58" s="69">
        <f t="shared" si="6"/>
        <v>-1.595640463078229E-4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56434.193899999998</v>
      </c>
      <c r="H60" s="69">
        <f t="shared" si="7"/>
        <v>4.6206033995788403E-4</v>
      </c>
    </row>
    <row r="61" spans="2:9" x14ac:dyDescent="0.2">
      <c r="B61" s="65" t="s">
        <v>13</v>
      </c>
      <c r="C61" s="72">
        <v>155413016</v>
      </c>
      <c r="D61" s="69">
        <f t="shared" si="6"/>
        <v>7.2347989500264678E-3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1490317</v>
      </c>
      <c r="D63" s="69">
        <f t="shared" si="6"/>
        <v>6.9377354254592142E-5</v>
      </c>
      <c r="E63" s="68"/>
      <c r="F63" s="65" t="s">
        <v>15</v>
      </c>
      <c r="G63" s="92">
        <v>764.83</v>
      </c>
      <c r="H63" s="69">
        <f t="shared" si="7"/>
        <v>6.2621185027680261E-6</v>
      </c>
    </row>
    <row r="64" spans="2:9" x14ac:dyDescent="0.2">
      <c r="B64" s="65" t="s">
        <v>16</v>
      </c>
      <c r="C64" s="72">
        <v>-89342</v>
      </c>
      <c r="D64" s="69">
        <f t="shared" si="6"/>
        <v>-4.159055814174951E-6</v>
      </c>
      <c r="E64" s="68"/>
      <c r="F64" s="65" t="s">
        <v>16</v>
      </c>
      <c r="G64" s="92">
        <v>-103.61</v>
      </c>
      <c r="H64" s="69">
        <f t="shared" si="7"/>
        <v>-8.483167476063899E-7</v>
      </c>
    </row>
    <row r="65" spans="2:8" s="80" customFormat="1" x14ac:dyDescent="0.2">
      <c r="B65" s="76" t="s">
        <v>17</v>
      </c>
      <c r="C65" s="77">
        <f>SUM(C53:C64)</f>
        <v>153327044</v>
      </c>
      <c r="D65" s="78">
        <f>SUM(D53:D64)</f>
        <v>7.1376926173407646E-3</v>
      </c>
      <c r="E65" s="79"/>
      <c r="F65" s="76" t="s">
        <v>17</v>
      </c>
      <c r="G65" s="77">
        <f>SUM(G53:G64)</f>
        <v>73287.9902</v>
      </c>
      <c r="H65" s="78">
        <f>SUM(H53:H64)</f>
        <v>6.0005240309886094E-4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-1002329</v>
      </c>
      <c r="D72" s="69">
        <f t="shared" si="8"/>
        <v>-7.4977705295412118E-5</v>
      </c>
      <c r="E72" s="68"/>
      <c r="F72" s="65" t="s">
        <v>9</v>
      </c>
      <c r="G72" s="66">
        <v>-185770</v>
      </c>
      <c r="H72" s="69">
        <f t="shared" si="9"/>
        <v>-2.8795511816978584E-5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95057983</v>
      </c>
      <c r="D76" s="69">
        <f t="shared" si="8"/>
        <v>7.1106686879759988E-3</v>
      </c>
      <c r="E76" s="68"/>
      <c r="F76" s="65" t="s">
        <v>13</v>
      </c>
      <c r="G76" s="72">
        <v>2552683</v>
      </c>
      <c r="H76" s="69">
        <f t="shared" si="9"/>
        <v>3.95681829636111E-4</v>
      </c>
    </row>
    <row r="77" spans="2:8" x14ac:dyDescent="0.2">
      <c r="B77" s="65" t="s">
        <v>14</v>
      </c>
      <c r="C77" s="66">
        <v>-19862409</v>
      </c>
      <c r="D77" s="69">
        <f t="shared" si="8"/>
        <v>-1.4857774727249648E-3</v>
      </c>
      <c r="E77" s="68"/>
      <c r="F77" s="65" t="s">
        <v>14</v>
      </c>
      <c r="G77" s="66">
        <v>-9853918</v>
      </c>
      <c r="H77" s="69">
        <f t="shared" si="9"/>
        <v>-1.5274189170077944E-3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-21158</v>
      </c>
      <c r="D79" s="69">
        <f t="shared" si="8"/>
        <v>-1.5826921985099998E-6</v>
      </c>
      <c r="E79" s="68"/>
      <c r="F79" s="65" t="s">
        <v>16</v>
      </c>
      <c r="G79" s="72">
        <v>-16076</v>
      </c>
      <c r="H79" s="69">
        <f t="shared" si="9"/>
        <v>-2.4918805402904005E-6</v>
      </c>
    </row>
    <row r="80" spans="2:8" s="80" customFormat="1" x14ac:dyDescent="0.2">
      <c r="B80" s="76" t="s">
        <v>17</v>
      </c>
      <c r="C80" s="77">
        <f>SUM(C68:C79)</f>
        <v>74172087</v>
      </c>
      <c r="D80" s="78">
        <f>SUM(D68:D79)</f>
        <v>5.5483308177571118E-3</v>
      </c>
      <c r="E80" s="79"/>
      <c r="F80" s="76" t="s">
        <v>17</v>
      </c>
      <c r="G80" s="77">
        <f>SUM(G68:G79)</f>
        <v>-7503081</v>
      </c>
      <c r="H80" s="78">
        <f>SUM(H68:H79)</f>
        <v>-1.1630244797289524E-3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20788335334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21481317874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13368360582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4666848863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6451352599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58049355589</v>
      </c>
      <c r="D111" s="193">
        <v>904745394</v>
      </c>
      <c r="F111" s="106">
        <f>+C111+D111</f>
        <v>58954100983</v>
      </c>
      <c r="G111" s="62"/>
      <c r="H111" s="62"/>
    </row>
    <row r="112" spans="2:8" x14ac:dyDescent="0.2">
      <c r="B112" s="189" t="s">
        <v>18</v>
      </c>
      <c r="C112" s="192">
        <v>37210558.189999998</v>
      </c>
      <c r="D112" s="193">
        <v>259467.79</v>
      </c>
      <c r="F112" s="106">
        <f>+C112+D112</f>
        <v>37470025.979999997</v>
      </c>
      <c r="H112" s="75"/>
    </row>
    <row r="113" spans="1:13" x14ac:dyDescent="0.2">
      <c r="B113" s="189" t="s">
        <v>4</v>
      </c>
      <c r="C113" s="190">
        <v>9416097673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88498493112</v>
      </c>
      <c r="D114" s="107"/>
      <c r="F114" s="106"/>
      <c r="H114" s="75"/>
    </row>
    <row r="115" spans="1:13" x14ac:dyDescent="0.2">
      <c r="B115" s="189" t="s">
        <v>25</v>
      </c>
      <c r="C115" s="192">
        <v>122135983.16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087" priority="46" stopIfTrue="1" operator="lessThan">
      <formula>0</formula>
    </cfRule>
  </conditionalFormatting>
  <conditionalFormatting sqref="C89">
    <cfRule type="cellIs" dxfId="2086" priority="43" stopIfTrue="1" operator="lessThan">
      <formula>0</formula>
    </cfRule>
  </conditionalFormatting>
  <conditionalFormatting sqref="C85">
    <cfRule type="cellIs" dxfId="2085" priority="45" stopIfTrue="1" operator="lessThan">
      <formula>0</formula>
    </cfRule>
  </conditionalFormatting>
  <conditionalFormatting sqref="C7:C9">
    <cfRule type="cellIs" dxfId="2084" priority="42" stopIfTrue="1" operator="lessThan">
      <formula>0</formula>
    </cfRule>
  </conditionalFormatting>
  <conditionalFormatting sqref="C10:C13">
    <cfRule type="cellIs" dxfId="2083" priority="40" stopIfTrue="1" operator="lessThan">
      <formula>0</formula>
    </cfRule>
  </conditionalFormatting>
  <conditionalFormatting sqref="C88">
    <cfRule type="cellIs" dxfId="2082" priority="44" stopIfTrue="1" operator="lessThan">
      <formula>0</formula>
    </cfRule>
  </conditionalFormatting>
  <conditionalFormatting sqref="C101">
    <cfRule type="cellIs" dxfId="2081" priority="39" stopIfTrue="1" operator="lessThan">
      <formula>0</formula>
    </cfRule>
  </conditionalFormatting>
  <conditionalFormatting sqref="C7">
    <cfRule type="cellIs" dxfId="2080" priority="41" stopIfTrue="1" operator="lessThan">
      <formula>0</formula>
    </cfRule>
  </conditionalFormatting>
  <conditionalFormatting sqref="C29:C33">
    <cfRule type="cellIs" dxfId="2079" priority="34" stopIfTrue="1" operator="lessThan">
      <formula>0</formula>
    </cfRule>
  </conditionalFormatting>
  <conditionalFormatting sqref="G7:G9">
    <cfRule type="cellIs" dxfId="2078" priority="37" stopIfTrue="1" operator="lessThan">
      <formula>0</formula>
    </cfRule>
  </conditionalFormatting>
  <conditionalFormatting sqref="C22">
    <cfRule type="cellIs" dxfId="2077" priority="32" stopIfTrue="1" operator="lessThan">
      <formula>0</formula>
    </cfRule>
  </conditionalFormatting>
  <conditionalFormatting sqref="C25:C28">
    <cfRule type="cellIs" dxfId="2076" priority="31" stopIfTrue="1" operator="lessThan">
      <formula>0</formula>
    </cfRule>
  </conditionalFormatting>
  <conditionalFormatting sqref="G14:G18">
    <cfRule type="cellIs" dxfId="2075" priority="38" stopIfTrue="1" operator="lessThan">
      <formula>0</formula>
    </cfRule>
  </conditionalFormatting>
  <conditionalFormatting sqref="G7">
    <cfRule type="cellIs" dxfId="2074" priority="36" stopIfTrue="1" operator="lessThan">
      <formula>0</formula>
    </cfRule>
  </conditionalFormatting>
  <conditionalFormatting sqref="G10:G13">
    <cfRule type="cellIs" dxfId="2073" priority="35" stopIfTrue="1" operator="lessThan">
      <formula>0</formula>
    </cfRule>
  </conditionalFormatting>
  <conditionalFormatting sqref="C22:C24">
    <cfRule type="cellIs" dxfId="2072" priority="33" stopIfTrue="1" operator="lessThan">
      <formula>0</formula>
    </cfRule>
  </conditionalFormatting>
  <conditionalFormatting sqref="G22">
    <cfRule type="cellIs" dxfId="2071" priority="28" stopIfTrue="1" operator="lessThan">
      <formula>0</formula>
    </cfRule>
  </conditionalFormatting>
  <conditionalFormatting sqref="G29:G33">
    <cfRule type="cellIs" dxfId="2070" priority="30" stopIfTrue="1" operator="lessThan">
      <formula>0</formula>
    </cfRule>
  </conditionalFormatting>
  <conditionalFormatting sqref="G22:G24">
    <cfRule type="cellIs" dxfId="2069" priority="29" stopIfTrue="1" operator="lessThan">
      <formula>0</formula>
    </cfRule>
  </conditionalFormatting>
  <conditionalFormatting sqref="G25:G28">
    <cfRule type="cellIs" dxfId="2068" priority="27" stopIfTrue="1" operator="lessThan">
      <formula>0</formula>
    </cfRule>
  </conditionalFormatting>
  <conditionalFormatting sqref="C40:C43">
    <cfRule type="cellIs" dxfId="2067" priority="23" stopIfTrue="1" operator="lessThan">
      <formula>0</formula>
    </cfRule>
  </conditionalFormatting>
  <conditionalFormatting sqref="G44:G48">
    <cfRule type="cellIs" dxfId="2066" priority="22" stopIfTrue="1" operator="lessThan">
      <formula>0</formula>
    </cfRule>
  </conditionalFormatting>
  <conditionalFormatting sqref="G37">
    <cfRule type="cellIs" dxfId="2065" priority="20" stopIfTrue="1" operator="lessThan">
      <formula>0</formula>
    </cfRule>
  </conditionalFormatting>
  <conditionalFormatting sqref="C44:C48">
    <cfRule type="cellIs" dxfId="2064" priority="26" stopIfTrue="1" operator="lessThan">
      <formula>0</formula>
    </cfRule>
  </conditionalFormatting>
  <conditionalFormatting sqref="C37:C39">
    <cfRule type="cellIs" dxfId="2063" priority="25" stopIfTrue="1" operator="lessThan">
      <formula>0</formula>
    </cfRule>
  </conditionalFormatting>
  <conditionalFormatting sqref="C37">
    <cfRule type="cellIs" dxfId="2062" priority="24" stopIfTrue="1" operator="lessThan">
      <formula>0</formula>
    </cfRule>
  </conditionalFormatting>
  <conditionalFormatting sqref="C56:C59">
    <cfRule type="cellIs" dxfId="2061" priority="15" stopIfTrue="1" operator="lessThan">
      <formula>0</formula>
    </cfRule>
  </conditionalFormatting>
  <conditionalFormatting sqref="G60:G63">
    <cfRule type="cellIs" dxfId="2060" priority="14" stopIfTrue="1" operator="lessThan">
      <formula>0</formula>
    </cfRule>
  </conditionalFormatting>
  <conditionalFormatting sqref="G37:G39">
    <cfRule type="cellIs" dxfId="2059" priority="21" stopIfTrue="1" operator="lessThan">
      <formula>0</formula>
    </cfRule>
  </conditionalFormatting>
  <conditionalFormatting sqref="G53">
    <cfRule type="cellIs" dxfId="2058" priority="12" stopIfTrue="1" operator="lessThan">
      <formula>0</formula>
    </cfRule>
  </conditionalFormatting>
  <conditionalFormatting sqref="G40:G43">
    <cfRule type="cellIs" dxfId="2057" priority="19" stopIfTrue="1" operator="lessThan">
      <formula>0</formula>
    </cfRule>
  </conditionalFormatting>
  <conditionalFormatting sqref="C60:C64">
    <cfRule type="cellIs" dxfId="2056" priority="18" stopIfTrue="1" operator="lessThan">
      <formula>0</formula>
    </cfRule>
  </conditionalFormatting>
  <conditionalFormatting sqref="C53:C55">
    <cfRule type="cellIs" dxfId="2055" priority="17" stopIfTrue="1" operator="lessThan">
      <formula>0</formula>
    </cfRule>
  </conditionalFormatting>
  <conditionalFormatting sqref="C53">
    <cfRule type="cellIs" dxfId="2054" priority="16" stopIfTrue="1" operator="lessThan">
      <formula>0</formula>
    </cfRule>
  </conditionalFormatting>
  <conditionalFormatting sqref="G53:G55">
    <cfRule type="cellIs" dxfId="2053" priority="13" stopIfTrue="1" operator="lessThan">
      <formula>0</formula>
    </cfRule>
  </conditionalFormatting>
  <conditionalFormatting sqref="G56:G59">
    <cfRule type="cellIs" dxfId="2052" priority="11" stopIfTrue="1" operator="lessThan">
      <formula>0</formula>
    </cfRule>
  </conditionalFormatting>
  <conditionalFormatting sqref="C75:C78">
    <cfRule type="cellIs" dxfId="2051" priority="10" stopIfTrue="1" operator="lessThan">
      <formula>0</formula>
    </cfRule>
  </conditionalFormatting>
  <conditionalFormatting sqref="C68:C70">
    <cfRule type="cellIs" dxfId="2050" priority="9" stopIfTrue="1" operator="lessThan">
      <formula>0</formula>
    </cfRule>
  </conditionalFormatting>
  <conditionalFormatting sqref="C68">
    <cfRule type="cellIs" dxfId="2049" priority="8" stopIfTrue="1" operator="lessThan">
      <formula>0</formula>
    </cfRule>
  </conditionalFormatting>
  <conditionalFormatting sqref="C71:C74">
    <cfRule type="cellIs" dxfId="2048" priority="7" stopIfTrue="1" operator="lessThan">
      <formula>0</formula>
    </cfRule>
  </conditionalFormatting>
  <conditionalFormatting sqref="G75:G79">
    <cfRule type="cellIs" dxfId="2047" priority="6" stopIfTrue="1" operator="lessThan">
      <formula>0</formula>
    </cfRule>
  </conditionalFormatting>
  <conditionalFormatting sqref="G68:G70">
    <cfRule type="cellIs" dxfId="2046" priority="5" stopIfTrue="1" operator="lessThan">
      <formula>0</formula>
    </cfRule>
  </conditionalFormatting>
  <conditionalFormatting sqref="G68">
    <cfRule type="cellIs" dxfId="2045" priority="4" stopIfTrue="1" operator="lessThan">
      <formula>0</formula>
    </cfRule>
  </conditionalFormatting>
  <conditionalFormatting sqref="G71:G74">
    <cfRule type="cellIs" dxfId="2044" priority="3" stopIfTrue="1" operator="lessThan">
      <formula>0</formula>
    </cfRule>
  </conditionalFormatting>
  <conditionalFormatting sqref="G64">
    <cfRule type="cellIs" dxfId="2043" priority="2" stopIfTrue="1" operator="lessThan">
      <formula>0</formula>
    </cfRule>
  </conditionalFormatting>
  <conditionalFormatting sqref="C79">
    <cfRule type="cellIs" dxfId="2042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43061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4325133</v>
      </c>
      <c r="D7" s="67">
        <f>+IF(C7/$F$111=0,"",C7/$F$111)</f>
        <v>7.2748434172306074E-5</v>
      </c>
      <c r="E7" s="68"/>
      <c r="F7" s="65" t="s">
        <v>5</v>
      </c>
      <c r="G7" s="66">
        <v>866543</v>
      </c>
      <c r="H7" s="69">
        <f>+IF(G7/$C$113=0,"",G7/$C$113)</f>
        <v>1.2125590983207013E-4</v>
      </c>
      <c r="I7" s="70"/>
    </row>
    <row r="8" spans="1:9" x14ac:dyDescent="0.2">
      <c r="B8" s="65" t="s">
        <v>6</v>
      </c>
      <c r="C8" s="66">
        <v>504799</v>
      </c>
      <c r="D8" s="67">
        <f>+IF(C8/$F$111=0,"",C8/$F$111)</f>
        <v>8.4906838290859353E-6</v>
      </c>
      <c r="E8" s="68"/>
      <c r="F8" s="65" t="s">
        <v>6</v>
      </c>
      <c r="G8" s="66">
        <v>413291</v>
      </c>
      <c r="H8" s="69">
        <f>+IF(G8/$C$113=0,"",G8/$C$113)</f>
        <v>5.7832070919049711E-5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-11830</v>
      </c>
      <c r="H11" s="69">
        <f t="shared" si="0"/>
        <v>-1.655379379111469E-6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-12327303</v>
      </c>
      <c r="H14" s="69">
        <f t="shared" si="0"/>
        <v>-1.7249673023042222E-3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>
        <v>-662134</v>
      </c>
      <c r="H17" s="69">
        <f t="shared" si="0"/>
        <v>-9.2652829231495637E-5</v>
      </c>
    </row>
    <row r="18" spans="2:9" x14ac:dyDescent="0.2">
      <c r="B18" s="65" t="s">
        <v>16</v>
      </c>
      <c r="C18" s="72">
        <v>-120964</v>
      </c>
      <c r="D18" s="67">
        <f>+IF(C18/$F$111=0,"",C18/$F$111)</f>
        <v>-2.0346060089293977E-6</v>
      </c>
      <c r="E18" s="75"/>
      <c r="F18" s="65" t="s">
        <v>16</v>
      </c>
      <c r="G18" s="72">
        <v>-97896</v>
      </c>
      <c r="H18" s="69">
        <f t="shared" si="0"/>
        <v>-1.3698649171385999E-5</v>
      </c>
    </row>
    <row r="19" spans="2:9" s="80" customFormat="1" x14ac:dyDescent="0.2">
      <c r="B19" s="76" t="s">
        <v>17</v>
      </c>
      <c r="C19" s="77">
        <f>SUM(C7:C18)</f>
        <v>4708968</v>
      </c>
      <c r="D19" s="78">
        <f>SUM(D7:D18)</f>
        <v>7.9204511992462609E-5</v>
      </c>
      <c r="E19" s="79"/>
      <c r="F19" s="76" t="s">
        <v>17</v>
      </c>
      <c r="G19" s="77">
        <f>SUM(G7:G18)</f>
        <v>-11819329</v>
      </c>
      <c r="H19" s="78">
        <f>SUM(H7:H18)</f>
        <v>-1.6538861793350956E-3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1949.8488000000002</v>
      </c>
      <c r="D22" s="69">
        <f>+IF(C22/$F$112=0,"",C22/$F$112)</f>
        <v>5.2036023054838876E-5</v>
      </c>
      <c r="E22" s="75"/>
      <c r="F22" s="65" t="s">
        <v>5</v>
      </c>
      <c r="G22" s="66">
        <v>1429074</v>
      </c>
      <c r="H22" s="69">
        <f t="shared" ref="H22:H33" si="2">+IF(G22/$C$106=0,"",G22/$C$106)</f>
        <v>6.8458005064466466E-5</v>
      </c>
      <c r="I22" s="114"/>
    </row>
    <row r="23" spans="2:9" x14ac:dyDescent="0.2">
      <c r="B23" s="65" t="s">
        <v>44</v>
      </c>
      <c r="C23" s="71">
        <v>32013.088599999999</v>
      </c>
      <c r="D23" s="69">
        <f>+IF(C23/$F$112=0,"",C23/$F$112)</f>
        <v>8.5433999623263064E-4</v>
      </c>
      <c r="E23" s="75"/>
      <c r="F23" s="65" t="s">
        <v>6</v>
      </c>
      <c r="G23" s="66">
        <v>1428669</v>
      </c>
      <c r="H23" s="69">
        <f t="shared" si="2"/>
        <v>6.8438604045309239E-5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13.008191368659027</v>
      </c>
      <c r="D26" s="69">
        <f>+IF(C26/$F$112=0,"",C26/$F$112)</f>
        <v>3.4715232584254589E-7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-32376.34279000001</v>
      </c>
      <c r="D27" s="69">
        <f t="shared" ref="D27:D33" si="3">+IF(C27/$F$112=0,"",C27/$F$112)</f>
        <v>-8.6403423683508525E-4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-8112944</v>
      </c>
      <c r="H29" s="69">
        <f t="shared" si="2"/>
        <v>-3.8864044929775004E-4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-59.2</v>
      </c>
      <c r="D33" s="69">
        <f t="shared" si="3"/>
        <v>-1.579882791345904E-6</v>
      </c>
      <c r="E33" s="75"/>
      <c r="F33" s="65" t="s">
        <v>16</v>
      </c>
      <c r="G33" s="72">
        <v>-46723</v>
      </c>
      <c r="H33" s="69">
        <f t="shared" si="2"/>
        <v>-2.238206958231041E-6</v>
      </c>
    </row>
    <row r="34" spans="1:13" s="80" customFormat="1" x14ac:dyDescent="0.2">
      <c r="B34" s="76" t="s">
        <v>17</v>
      </c>
      <c r="C34" s="93">
        <f>SUM(C22:C33)</f>
        <v>1540.4028013686518</v>
      </c>
      <c r="D34" s="78">
        <f>SUM(D22:D33)</f>
        <v>4.1109051986880853E-5</v>
      </c>
      <c r="E34" s="79"/>
      <c r="F34" s="76" t="s">
        <v>17</v>
      </c>
      <c r="G34" s="93">
        <f>SUM(G22:G33)</f>
        <v>-5301924</v>
      </c>
      <c r="H34" s="78">
        <f>SUM(H22:H33)</f>
        <v>-2.5398204714620538E-4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4770197</v>
      </c>
      <c r="D37" s="69">
        <f t="shared" ref="D37:D48" si="4">+IF(C37/$C$114=0,"",C37/$C$114)</f>
        <v>5.5972370181787275E-5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8973030</v>
      </c>
      <c r="D38" s="69">
        <f t="shared" si="4"/>
        <v>1.0528742456805928E-4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3231598</v>
      </c>
      <c r="H39" s="69">
        <f t="shared" si="5"/>
        <v>6.8806716154902329E-4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23</v>
      </c>
      <c r="G43" s="66">
        <v>4646</v>
      </c>
      <c r="H43" s="69">
        <f t="shared" si="5"/>
        <v>9.8921958503401789E-7</v>
      </c>
    </row>
    <row r="44" spans="1:13" x14ac:dyDescent="0.2">
      <c r="B44" s="65" t="s">
        <v>12</v>
      </c>
      <c r="C44" s="72">
        <v>-122758955</v>
      </c>
      <c r="D44" s="69">
        <f t="shared" si="4"/>
        <v>-1.4404247188091741E-3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-20960099</v>
      </c>
      <c r="D45" s="69">
        <f t="shared" si="4"/>
        <v>-2.4594087419762943E-4</v>
      </c>
      <c r="E45" s="68"/>
      <c r="F45" s="65" t="s">
        <v>13</v>
      </c>
      <c r="G45" s="72">
        <v>-15001631</v>
      </c>
      <c r="H45" s="69">
        <f t="shared" si="5"/>
        <v>-3.1941255257540808E-3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-125704</v>
      </c>
      <c r="D47" s="69">
        <f t="shared" si="4"/>
        <v>-1.4749811844943485E-6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-143427</v>
      </c>
      <c r="D48" s="69">
        <f t="shared" si="4"/>
        <v>-1.6829387000292029E-6</v>
      </c>
      <c r="E48" s="68"/>
      <c r="F48" s="65" t="s">
        <v>16</v>
      </c>
      <c r="G48" s="72">
        <v>-18696</v>
      </c>
      <c r="H48" s="69">
        <f t="shared" si="5"/>
        <v>-3.9807252177778737E-6</v>
      </c>
    </row>
    <row r="49" spans="2:9" s="80" customFormat="1" x14ac:dyDescent="0.2">
      <c r="B49" s="76" t="s">
        <v>17</v>
      </c>
      <c r="C49" s="77">
        <f>SUM(C37:C48)</f>
        <v>-130244958</v>
      </c>
      <c r="D49" s="78">
        <f>SUM(D37:D48)</f>
        <v>-1.5282637181414805E-3</v>
      </c>
      <c r="E49" s="79"/>
      <c r="F49" s="76" t="s">
        <v>17</v>
      </c>
      <c r="G49" s="77">
        <f>SUM(G37:G48)</f>
        <v>-11784083</v>
      </c>
      <c r="H49" s="78">
        <f>SUM(H37:H48)</f>
        <v>-2.5090498698378014E-3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16019.045400000001</v>
      </c>
      <c r="H53" s="69">
        <f t="shared" ref="H53:H64" si="7">+IF(G53/$C$115=0,"",G53/$C$115)</f>
        <v>1.3108055459522556E-4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>
        <v>8445627</v>
      </c>
      <c r="D55" s="69">
        <f t="shared" si="6"/>
        <v>3.9101522086522616E-4</v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-2.745514763146511E-6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431830</v>
      </c>
      <c r="D58" s="69">
        <f t="shared" si="6"/>
        <v>1.9992843968391051E-5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140168.2879</v>
      </c>
      <c r="H60" s="69">
        <f t="shared" si="7"/>
        <v>1.1469682778098152E-3</v>
      </c>
    </row>
    <row r="61" spans="2:9" x14ac:dyDescent="0.2">
      <c r="B61" s="65" t="s">
        <v>13</v>
      </c>
      <c r="C61" s="72">
        <v>-126154700</v>
      </c>
      <c r="D61" s="69">
        <f t="shared" si="6"/>
        <v>-5.8407040571039131E-3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-3732120</v>
      </c>
      <c r="D63" s="69">
        <f t="shared" si="6"/>
        <v>-1.7278950705442331E-4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-177528</v>
      </c>
      <c r="D64" s="69">
        <f t="shared" si="6"/>
        <v>-8.21918255799858E-6</v>
      </c>
      <c r="E64" s="68"/>
      <c r="F64" s="65" t="s">
        <v>16</v>
      </c>
      <c r="G64" s="92">
        <v>-103.64</v>
      </c>
      <c r="H64" s="69">
        <f t="shared" si="7"/>
        <v>-8.4806480904593577E-7</v>
      </c>
    </row>
    <row r="65" spans="2:8" s="80" customFormat="1" x14ac:dyDescent="0.2">
      <c r="B65" s="76" t="s">
        <v>17</v>
      </c>
      <c r="C65" s="77">
        <f>SUM(C53:C64)</f>
        <v>-121246192</v>
      </c>
      <c r="D65" s="78">
        <f>SUM(D53:D64)</f>
        <v>-5.6134501966458644E-3</v>
      </c>
      <c r="E65" s="79"/>
      <c r="F65" s="76" t="s">
        <v>17</v>
      </c>
      <c r="G65" s="77">
        <f>SUM(G53:G64)</f>
        <v>156083.69329999998</v>
      </c>
      <c r="H65" s="78">
        <f>SUM(H53:H64)</f>
        <v>1.277200767595995E-3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-281209</v>
      </c>
      <c r="D72" s="69">
        <f t="shared" si="8"/>
        <v>-2.0920410370447208E-5</v>
      </c>
      <c r="E72" s="68"/>
      <c r="F72" s="65" t="s">
        <v>9</v>
      </c>
      <c r="G72" s="66">
        <v>-168881</v>
      </c>
      <c r="H72" s="69">
        <f t="shared" si="9"/>
        <v>-2.6208979200246919E-5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28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20439535</v>
      </c>
      <c r="D76" s="69">
        <f t="shared" si="8"/>
        <v>1.5205895258726379E-3</v>
      </c>
      <c r="E76" s="68"/>
      <c r="F76" s="65" t="s">
        <v>13</v>
      </c>
      <c r="G76" s="72">
        <v>7239189</v>
      </c>
      <c r="H76" s="69">
        <f t="shared" si="9"/>
        <v>1.1234641784905128E-3</v>
      </c>
    </row>
    <row r="77" spans="2:8" x14ac:dyDescent="0.2">
      <c r="B77" s="65" t="s">
        <v>14</v>
      </c>
      <c r="C77" s="66">
        <v>-18087161</v>
      </c>
      <c r="D77" s="69">
        <f t="shared" si="8"/>
        <v>-1.3455857762601775E-3</v>
      </c>
      <c r="E77" s="68"/>
      <c r="F77" s="65" t="s">
        <v>14</v>
      </c>
      <c r="G77" s="66">
        <v>-8968364</v>
      </c>
      <c r="H77" s="69">
        <f t="shared" si="9"/>
        <v>-1.3918182953454993E-3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-21157</v>
      </c>
      <c r="D79" s="69">
        <f t="shared" si="8"/>
        <v>-1.5739649947460841E-6</v>
      </c>
      <c r="E79" s="68"/>
      <c r="F79" s="65" t="s">
        <v>16</v>
      </c>
      <c r="G79" s="72">
        <v>-16076</v>
      </c>
      <c r="H79" s="69">
        <f t="shared" si="9"/>
        <v>-2.4948665014013979E-6</v>
      </c>
    </row>
    <row r="80" spans="2:8" s="80" customFormat="1" x14ac:dyDescent="0.2">
      <c r="B80" s="76" t="s">
        <v>17</v>
      </c>
      <c r="C80" s="77">
        <f>SUM(C68:C79)</f>
        <v>2050008</v>
      </c>
      <c r="D80" s="78">
        <f>SUM(D68:D79)</f>
        <v>1.5250937424726705E-4</v>
      </c>
      <c r="E80" s="79"/>
      <c r="F80" s="76" t="s">
        <v>17</v>
      </c>
      <c r="G80" s="77">
        <f>SUM(G68:G79)</f>
        <v>-1914132</v>
      </c>
      <c r="H80" s="78">
        <f>SUM(H68:H79)</f>
        <v>-2.9705796255663491E-4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20875192005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21599228238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13441849133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4696631638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6443631349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58629306477</v>
      </c>
      <c r="D111" s="193">
        <v>823973160</v>
      </c>
      <c r="F111" s="106">
        <f>+C111+D111</f>
        <v>59453279637</v>
      </c>
      <c r="G111" s="62"/>
      <c r="H111" s="62"/>
    </row>
    <row r="112" spans="2:8" x14ac:dyDescent="0.2">
      <c r="B112" s="189" t="s">
        <v>18</v>
      </c>
      <c r="C112" s="192">
        <v>37471108.579999998</v>
      </c>
      <c r="D112" s="193">
        <v>25.56</v>
      </c>
      <c r="F112" s="106">
        <f>+C112+D112</f>
        <v>37471134.140000001</v>
      </c>
      <c r="H112" s="75"/>
    </row>
    <row r="113" spans="1:13" x14ac:dyDescent="0.2">
      <c r="B113" s="189" t="s">
        <v>4</v>
      </c>
      <c r="C113" s="190">
        <v>7146398070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85224137990</v>
      </c>
      <c r="D114" s="107"/>
      <c r="F114" s="106"/>
      <c r="H114" s="75"/>
    </row>
    <row r="115" spans="1:13" x14ac:dyDescent="0.2">
      <c r="B115" s="189" t="s">
        <v>25</v>
      </c>
      <c r="C115" s="192">
        <v>122207641.31999999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2041" priority="46" stopIfTrue="1" operator="lessThan">
      <formula>0</formula>
    </cfRule>
  </conditionalFormatting>
  <conditionalFormatting sqref="C89">
    <cfRule type="cellIs" dxfId="2040" priority="43" stopIfTrue="1" operator="lessThan">
      <formula>0</formula>
    </cfRule>
  </conditionalFormatting>
  <conditionalFormatting sqref="C85">
    <cfRule type="cellIs" dxfId="2039" priority="45" stopIfTrue="1" operator="lessThan">
      <formula>0</formula>
    </cfRule>
  </conditionalFormatting>
  <conditionalFormatting sqref="C7:C9">
    <cfRule type="cellIs" dxfId="2038" priority="42" stopIfTrue="1" operator="lessThan">
      <formula>0</formula>
    </cfRule>
  </conditionalFormatting>
  <conditionalFormatting sqref="C10:C13">
    <cfRule type="cellIs" dxfId="2037" priority="40" stopIfTrue="1" operator="lessThan">
      <formula>0</formula>
    </cfRule>
  </conditionalFormatting>
  <conditionalFormatting sqref="C88">
    <cfRule type="cellIs" dxfId="2036" priority="44" stopIfTrue="1" operator="lessThan">
      <formula>0</formula>
    </cfRule>
  </conditionalFormatting>
  <conditionalFormatting sqref="C101">
    <cfRule type="cellIs" dxfId="2035" priority="39" stopIfTrue="1" operator="lessThan">
      <formula>0</formula>
    </cfRule>
  </conditionalFormatting>
  <conditionalFormatting sqref="C7">
    <cfRule type="cellIs" dxfId="2034" priority="41" stopIfTrue="1" operator="lessThan">
      <formula>0</formula>
    </cfRule>
  </conditionalFormatting>
  <conditionalFormatting sqref="C29:C33">
    <cfRule type="cellIs" dxfId="2033" priority="34" stopIfTrue="1" operator="lessThan">
      <formula>0</formula>
    </cfRule>
  </conditionalFormatting>
  <conditionalFormatting sqref="G7:G9">
    <cfRule type="cellIs" dxfId="2032" priority="37" stopIfTrue="1" operator="lessThan">
      <formula>0</formula>
    </cfRule>
  </conditionalFormatting>
  <conditionalFormatting sqref="C22">
    <cfRule type="cellIs" dxfId="2031" priority="32" stopIfTrue="1" operator="lessThan">
      <formula>0</formula>
    </cfRule>
  </conditionalFormatting>
  <conditionalFormatting sqref="C25:C28">
    <cfRule type="cellIs" dxfId="2030" priority="31" stopIfTrue="1" operator="lessThan">
      <formula>0</formula>
    </cfRule>
  </conditionalFormatting>
  <conditionalFormatting sqref="G14:G18">
    <cfRule type="cellIs" dxfId="2029" priority="38" stopIfTrue="1" operator="lessThan">
      <formula>0</formula>
    </cfRule>
  </conditionalFormatting>
  <conditionalFormatting sqref="G7">
    <cfRule type="cellIs" dxfId="2028" priority="36" stopIfTrue="1" operator="lessThan">
      <formula>0</formula>
    </cfRule>
  </conditionalFormatting>
  <conditionalFormatting sqref="G10:G13">
    <cfRule type="cellIs" dxfId="2027" priority="35" stopIfTrue="1" operator="lessThan">
      <formula>0</formula>
    </cfRule>
  </conditionalFormatting>
  <conditionalFormatting sqref="C22:C24">
    <cfRule type="cellIs" dxfId="2026" priority="33" stopIfTrue="1" operator="lessThan">
      <formula>0</formula>
    </cfRule>
  </conditionalFormatting>
  <conditionalFormatting sqref="G22">
    <cfRule type="cellIs" dxfId="2025" priority="28" stopIfTrue="1" operator="lessThan">
      <formula>0</formula>
    </cfRule>
  </conditionalFormatting>
  <conditionalFormatting sqref="G29:G33">
    <cfRule type="cellIs" dxfId="2024" priority="30" stopIfTrue="1" operator="lessThan">
      <formula>0</formula>
    </cfRule>
  </conditionalFormatting>
  <conditionalFormatting sqref="G22:G24">
    <cfRule type="cellIs" dxfId="2023" priority="29" stopIfTrue="1" operator="lessThan">
      <formula>0</formula>
    </cfRule>
  </conditionalFormatting>
  <conditionalFormatting sqref="G25:G28">
    <cfRule type="cellIs" dxfId="2022" priority="27" stopIfTrue="1" operator="lessThan">
      <formula>0</formula>
    </cfRule>
  </conditionalFormatting>
  <conditionalFormatting sqref="C40:C43">
    <cfRule type="cellIs" dxfId="2021" priority="23" stopIfTrue="1" operator="lessThan">
      <formula>0</formula>
    </cfRule>
  </conditionalFormatting>
  <conditionalFormatting sqref="G44:G48">
    <cfRule type="cellIs" dxfId="2020" priority="22" stopIfTrue="1" operator="lessThan">
      <formula>0</formula>
    </cfRule>
  </conditionalFormatting>
  <conditionalFormatting sqref="G37">
    <cfRule type="cellIs" dxfId="2019" priority="20" stopIfTrue="1" operator="lessThan">
      <formula>0</formula>
    </cfRule>
  </conditionalFormatting>
  <conditionalFormatting sqref="C44:C48">
    <cfRule type="cellIs" dxfId="2018" priority="26" stopIfTrue="1" operator="lessThan">
      <formula>0</formula>
    </cfRule>
  </conditionalFormatting>
  <conditionalFormatting sqref="C37:C39">
    <cfRule type="cellIs" dxfId="2017" priority="25" stopIfTrue="1" operator="lessThan">
      <formula>0</formula>
    </cfRule>
  </conditionalFormatting>
  <conditionalFormatting sqref="C37">
    <cfRule type="cellIs" dxfId="2016" priority="24" stopIfTrue="1" operator="lessThan">
      <formula>0</formula>
    </cfRule>
  </conditionalFormatting>
  <conditionalFormatting sqref="C56:C59">
    <cfRule type="cellIs" dxfId="2015" priority="15" stopIfTrue="1" operator="lessThan">
      <formula>0</formula>
    </cfRule>
  </conditionalFormatting>
  <conditionalFormatting sqref="G60:G63">
    <cfRule type="cellIs" dxfId="2014" priority="14" stopIfTrue="1" operator="lessThan">
      <formula>0</formula>
    </cfRule>
  </conditionalFormatting>
  <conditionalFormatting sqref="G37:G39">
    <cfRule type="cellIs" dxfId="2013" priority="21" stopIfTrue="1" operator="lessThan">
      <formula>0</formula>
    </cfRule>
  </conditionalFormatting>
  <conditionalFormatting sqref="G53">
    <cfRule type="cellIs" dxfId="2012" priority="12" stopIfTrue="1" operator="lessThan">
      <formula>0</formula>
    </cfRule>
  </conditionalFormatting>
  <conditionalFormatting sqref="G40:G43">
    <cfRule type="cellIs" dxfId="2011" priority="19" stopIfTrue="1" operator="lessThan">
      <formula>0</formula>
    </cfRule>
  </conditionalFormatting>
  <conditionalFormatting sqref="C60:C64">
    <cfRule type="cellIs" dxfId="2010" priority="18" stopIfTrue="1" operator="lessThan">
      <formula>0</formula>
    </cfRule>
  </conditionalFormatting>
  <conditionalFormatting sqref="C53:C55">
    <cfRule type="cellIs" dxfId="2009" priority="17" stopIfTrue="1" operator="lessThan">
      <formula>0</formula>
    </cfRule>
  </conditionalFormatting>
  <conditionalFormatting sqref="C53">
    <cfRule type="cellIs" dxfId="2008" priority="16" stopIfTrue="1" operator="lessThan">
      <formula>0</formula>
    </cfRule>
  </conditionalFormatting>
  <conditionalFormatting sqref="G53:G55">
    <cfRule type="cellIs" dxfId="2007" priority="13" stopIfTrue="1" operator="lessThan">
      <formula>0</formula>
    </cfRule>
  </conditionalFormatting>
  <conditionalFormatting sqref="G56:G59">
    <cfRule type="cellIs" dxfId="2006" priority="11" stopIfTrue="1" operator="lessThan">
      <formula>0</formula>
    </cfRule>
  </conditionalFormatting>
  <conditionalFormatting sqref="C75:C78">
    <cfRule type="cellIs" dxfId="2005" priority="10" stopIfTrue="1" operator="lessThan">
      <formula>0</formula>
    </cfRule>
  </conditionalFormatting>
  <conditionalFormatting sqref="C68:C70">
    <cfRule type="cellIs" dxfId="2004" priority="9" stopIfTrue="1" operator="lessThan">
      <formula>0</formula>
    </cfRule>
  </conditionalFormatting>
  <conditionalFormatting sqref="C68">
    <cfRule type="cellIs" dxfId="2003" priority="8" stopIfTrue="1" operator="lessThan">
      <formula>0</formula>
    </cfRule>
  </conditionalFormatting>
  <conditionalFormatting sqref="C71:C74">
    <cfRule type="cellIs" dxfId="2002" priority="7" stopIfTrue="1" operator="lessThan">
      <formula>0</formula>
    </cfRule>
  </conditionalFormatting>
  <conditionalFormatting sqref="G75:G79">
    <cfRule type="cellIs" dxfId="2001" priority="6" stopIfTrue="1" operator="lessThan">
      <formula>0</formula>
    </cfRule>
  </conditionalFormatting>
  <conditionalFormatting sqref="G68:G70">
    <cfRule type="cellIs" dxfId="2000" priority="5" stopIfTrue="1" operator="lessThan">
      <formula>0</formula>
    </cfRule>
  </conditionalFormatting>
  <conditionalFormatting sqref="G68">
    <cfRule type="cellIs" dxfId="1999" priority="4" stopIfTrue="1" operator="lessThan">
      <formula>0</formula>
    </cfRule>
  </conditionalFormatting>
  <conditionalFormatting sqref="G71:G74">
    <cfRule type="cellIs" dxfId="1998" priority="3" stopIfTrue="1" operator="lessThan">
      <formula>0</formula>
    </cfRule>
  </conditionalFormatting>
  <conditionalFormatting sqref="G64">
    <cfRule type="cellIs" dxfId="1997" priority="2" stopIfTrue="1" operator="lessThan">
      <formula>0</formula>
    </cfRule>
  </conditionalFormatting>
  <conditionalFormatting sqref="C79">
    <cfRule type="cellIs" dxfId="1996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43062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4414102</v>
      </c>
      <c r="D7" s="67">
        <f>+IF(C7/$F$111=0,"",C7/$F$111)</f>
        <v>7.2882727192920881E-5</v>
      </c>
      <c r="E7" s="68"/>
      <c r="F7" s="65" t="s">
        <v>5</v>
      </c>
      <c r="G7" s="66">
        <v>754236</v>
      </c>
      <c r="H7" s="69">
        <f>+IF(G7/$C$113=0,"",G7/$C$113)</f>
        <v>1.0566758343765819E-4</v>
      </c>
      <c r="I7" s="70"/>
    </row>
    <row r="8" spans="1:9" x14ac:dyDescent="0.2">
      <c r="B8" s="65" t="s">
        <v>6</v>
      </c>
      <c r="C8" s="66">
        <v>532749</v>
      </c>
      <c r="D8" s="67">
        <f>+IF(C8/$F$111=0,"",C8/$F$111)</f>
        <v>8.796398458690217E-6</v>
      </c>
      <c r="E8" s="68"/>
      <c r="F8" s="65" t="s">
        <v>6</v>
      </c>
      <c r="G8" s="66">
        <v>315543</v>
      </c>
      <c r="H8" s="69">
        <f>+IF(G8/$C$113=0,"",G8/$C$113)</f>
        <v>4.4207206074317555E-5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-5980</v>
      </c>
      <c r="H11" s="69">
        <f t="shared" si="0"/>
        <v>-8.377910215863416E-7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-5720703</v>
      </c>
      <c r="H14" s="69">
        <f t="shared" si="0"/>
        <v>-8.0146381447525903E-4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-183489</v>
      </c>
      <c r="D18" s="67">
        <f>+IF(C18/$F$111=0,"",C18/$F$111)</f>
        <v>-3.0296487779171978E-6</v>
      </c>
      <c r="E18" s="75"/>
      <c r="F18" s="65" t="s">
        <v>16</v>
      </c>
      <c r="G18" s="72">
        <v>-27570</v>
      </c>
      <c r="H18" s="69">
        <f t="shared" si="0"/>
        <v>-3.8625248269457258E-6</v>
      </c>
    </row>
    <row r="19" spans="2:9" s="80" customFormat="1" x14ac:dyDescent="0.2">
      <c r="B19" s="76" t="s">
        <v>17</v>
      </c>
      <c r="C19" s="77">
        <f>SUM(C7:C18)</f>
        <v>4763362</v>
      </c>
      <c r="D19" s="78">
        <f>SUM(D7:D18)</f>
        <v>7.8649476873693893E-5</v>
      </c>
      <c r="E19" s="79"/>
      <c r="F19" s="76" t="s">
        <v>17</v>
      </c>
      <c r="G19" s="77">
        <f>SUM(G7:G18)</f>
        <v>-4684474</v>
      </c>
      <c r="H19" s="78">
        <f>SUM(H7:H18)</f>
        <v>-6.5628934081181541E-4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2001.6732000000002</v>
      </c>
      <c r="D22" s="69">
        <f>+IF(C22/$F$112=0,"",C22/$F$112)</f>
        <v>5.3417535718722462E-5</v>
      </c>
      <c r="E22" s="75"/>
      <c r="F22" s="65" t="s">
        <v>5</v>
      </c>
      <c r="G22" s="66">
        <v>1479740</v>
      </c>
      <c r="H22" s="69">
        <f t="shared" ref="H22:H33" si="2">+IF(G22/$C$106=0,"",G22/$C$106)</f>
        <v>7.0651305006712864E-5</v>
      </c>
      <c r="I22" s="114"/>
    </row>
    <row r="23" spans="2:9" x14ac:dyDescent="0.2">
      <c r="B23" s="65" t="s">
        <v>44</v>
      </c>
      <c r="C23" s="71">
        <v>21037.188900000001</v>
      </c>
      <c r="D23" s="69">
        <f>+IF(C23/$F$112=0,"",C23/$F$112)</f>
        <v>5.6140772104420523E-4</v>
      </c>
      <c r="E23" s="75"/>
      <c r="F23" s="65" t="s">
        <v>6</v>
      </c>
      <c r="G23" s="66">
        <v>1443724</v>
      </c>
      <c r="H23" s="69">
        <f t="shared" si="2"/>
        <v>6.8931693858050424E-5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8.6433406381092936</v>
      </c>
      <c r="D26" s="69">
        <f>+IF(C26/$F$112=0,"",C26/$F$112)</f>
        <v>2.3066000846955865E-7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-21402.0671</v>
      </c>
      <c r="D27" s="69">
        <f t="shared" ref="D27:D33" si="3">+IF(C27/$F$112=0,"",C27/$F$112)</f>
        <v>-5.7114502195900147E-4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>
        <v>-6470368</v>
      </c>
      <c r="H28" s="69">
        <f t="shared" si="2"/>
        <v>-3.0893261185997186E-4</v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/>
      <c r="H29" s="69" t="str">
        <f t="shared" si="2"/>
        <v/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-59.26</v>
      </c>
      <c r="D33" s="69">
        <f t="shared" si="3"/>
        <v>-1.581438551853266E-6</v>
      </c>
      <c r="E33" s="75"/>
      <c r="F33" s="65" t="s">
        <v>16</v>
      </c>
      <c r="G33" s="72">
        <v>-49121</v>
      </c>
      <c r="H33" s="69">
        <f t="shared" si="2"/>
        <v>-2.345319281248559E-6</v>
      </c>
    </row>
    <row r="34" spans="1:13" s="80" customFormat="1" x14ac:dyDescent="0.2">
      <c r="B34" s="76" t="s">
        <v>17</v>
      </c>
      <c r="C34" s="93">
        <f>SUM(C22:C33)</f>
        <v>1586.1783406381094</v>
      </c>
      <c r="D34" s="78">
        <f>SUM(D22:D33)</f>
        <v>4.2329456260542552E-5</v>
      </c>
      <c r="E34" s="79"/>
      <c r="F34" s="76" t="s">
        <v>17</v>
      </c>
      <c r="G34" s="93">
        <f>SUM(G22:G33)</f>
        <v>-3596025</v>
      </c>
      <c r="H34" s="78">
        <f>SUM(H22:H33)</f>
        <v>-1.7169493227645714E-4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4816081</v>
      </c>
      <c r="D37" s="69">
        <f t="shared" ref="D37:D48" si="4">+IF(C37/$C$114=0,"",C37/$C$114)</f>
        <v>5.7169901360932352E-5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8957003</v>
      </c>
      <c r="D38" s="69">
        <f t="shared" si="4"/>
        <v>1.0632524203799212E-4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>
        <v>4228</v>
      </c>
      <c r="H43" s="69">
        <f t="shared" si="5"/>
        <v>8.9247457836402165E-7</v>
      </c>
    </row>
    <row r="44" spans="1:13" x14ac:dyDescent="0.2">
      <c r="B44" s="65" t="s">
        <v>12</v>
      </c>
      <c r="C44" s="72">
        <v>-84321232</v>
      </c>
      <c r="D44" s="69">
        <f t="shared" si="4"/>
        <v>-1.0009458968967284E-3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-24262049</v>
      </c>
      <c r="D45" s="69">
        <f t="shared" si="4"/>
        <v>-2.8800573498330016E-4</v>
      </c>
      <c r="E45" s="68"/>
      <c r="F45" s="65" t="s">
        <v>13</v>
      </c>
      <c r="G45" s="72">
        <v>-101327539</v>
      </c>
      <c r="H45" s="69">
        <f t="shared" si="5"/>
        <v>-2.1388896084600036E-2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-4176963</v>
      </c>
      <c r="D47" s="69">
        <f t="shared" si="4"/>
        <v>-4.9583169946324425E-5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-329452</v>
      </c>
      <c r="D48" s="69">
        <f t="shared" si="4"/>
        <v>-3.9108018206425271E-6</v>
      </c>
      <c r="E48" s="68"/>
      <c r="F48" s="65" t="s">
        <v>16</v>
      </c>
      <c r="G48" s="72">
        <v>-38937</v>
      </c>
      <c r="H48" s="69">
        <f t="shared" si="5"/>
        <v>-8.2190829370293065E-6</v>
      </c>
    </row>
    <row r="49" spans="2:9" s="80" customFormat="1" x14ac:dyDescent="0.2">
      <c r="B49" s="76" t="s">
        <v>17</v>
      </c>
      <c r="C49" s="77">
        <f>SUM(C37:C48)</f>
        <v>-99316612</v>
      </c>
      <c r="D49" s="78">
        <f>SUM(D37:D48)</f>
        <v>-1.178950460248071E-3</v>
      </c>
      <c r="E49" s="79"/>
      <c r="F49" s="76" t="s">
        <v>17</v>
      </c>
      <c r="G49" s="77">
        <f>SUM(G37:G48)</f>
        <v>-101362248</v>
      </c>
      <c r="H49" s="78">
        <f>SUM(H37:H48)</f>
        <v>-2.13962226929587E-2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16018.890600000001</v>
      </c>
      <c r="H53" s="69">
        <f t="shared" ref="H53:H64" si="7">+IF(G53/$C$115=0,"",G53/$C$115)</f>
        <v>1.3091383280188203E-4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-2.7575477252599278E-6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15464891</v>
      </c>
      <c r="D58" s="69">
        <f t="shared" si="6"/>
        <v>7.1913079034826948E-4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99.9</v>
      </c>
      <c r="H60" s="69">
        <f t="shared" si="7"/>
        <v>8.1642931607935541E-7</v>
      </c>
    </row>
    <row r="61" spans="2:9" x14ac:dyDescent="0.2">
      <c r="B61" s="65" t="s">
        <v>13</v>
      </c>
      <c r="C61" s="72">
        <v>-372430390</v>
      </c>
      <c r="D61" s="69">
        <f t="shared" si="6"/>
        <v>-1.7318334847003722E-2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-13399681</v>
      </c>
      <c r="D63" s="69">
        <f t="shared" si="6"/>
        <v>-6.2309674138309084E-4</v>
      </c>
      <c r="E63" s="68"/>
      <c r="F63" s="65" t="s">
        <v>15</v>
      </c>
      <c r="G63" s="92"/>
      <c r="H63" s="69" t="str">
        <f t="shared" si="7"/>
        <v/>
      </c>
    </row>
    <row r="64" spans="2:9" x14ac:dyDescent="0.2">
      <c r="B64" s="65" t="s">
        <v>16</v>
      </c>
      <c r="C64" s="72">
        <v>-176753</v>
      </c>
      <c r="D64" s="69">
        <f t="shared" si="6"/>
        <v>-8.2191671823893012E-6</v>
      </c>
      <c r="E64" s="68"/>
      <c r="F64" s="65" t="s">
        <v>16</v>
      </c>
      <c r="G64" s="92">
        <v>-103.67</v>
      </c>
      <c r="H64" s="69">
        <f t="shared" si="7"/>
        <v>-8.472395114909587E-7</v>
      </c>
    </row>
    <row r="65" spans="2:8" s="80" customFormat="1" x14ac:dyDescent="0.2">
      <c r="B65" s="76" t="s">
        <v>17</v>
      </c>
      <c r="C65" s="77">
        <f>SUM(C53:C64)</f>
        <v>-370601234</v>
      </c>
      <c r="D65" s="78">
        <f>SUM(D53:D64)</f>
        <v>-1.7233277512946191E-2</v>
      </c>
      <c r="E65" s="79"/>
      <c r="F65" s="76" t="s">
        <v>17</v>
      </c>
      <c r="G65" s="77">
        <f>SUM(G53:G64)</f>
        <v>16015.1206</v>
      </c>
      <c r="H65" s="78">
        <f>SUM(H53:H64)</f>
        <v>1.3088302260647042E-4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184348</v>
      </c>
      <c r="D72" s="69">
        <f t="shared" si="8"/>
        <v>1.3690857666429823E-5</v>
      </c>
      <c r="E72" s="68"/>
      <c r="F72" s="65" t="s">
        <v>9</v>
      </c>
      <c r="G72" s="66">
        <v>-110711</v>
      </c>
      <c r="H72" s="69">
        <f t="shared" si="9"/>
        <v>-1.7168619305039887E-5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-529715</v>
      </c>
      <c r="D76" s="69">
        <f t="shared" si="8"/>
        <v>-3.9340012740972908E-5</v>
      </c>
      <c r="E76" s="68"/>
      <c r="F76" s="65" t="s">
        <v>13</v>
      </c>
      <c r="G76" s="72">
        <v>9436106</v>
      </c>
      <c r="H76" s="69">
        <f t="shared" si="9"/>
        <v>1.4633135969867738E-3</v>
      </c>
    </row>
    <row r="77" spans="2:8" x14ac:dyDescent="0.2">
      <c r="B77" s="65" t="s">
        <v>14</v>
      </c>
      <c r="C77" s="66">
        <v>-11857024</v>
      </c>
      <c r="D77" s="69">
        <f t="shared" si="8"/>
        <v>-8.8057818870528786E-4</v>
      </c>
      <c r="E77" s="68"/>
      <c r="F77" s="65" t="s">
        <v>14</v>
      </c>
      <c r="G77" s="66">
        <v>-5888025</v>
      </c>
      <c r="H77" s="69">
        <f t="shared" si="9"/>
        <v>-9.1309137920854737E-4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-21157</v>
      </c>
      <c r="D79" s="69">
        <f t="shared" si="8"/>
        <v>-1.5712536921944136E-6</v>
      </c>
      <c r="E79" s="68"/>
      <c r="F79" s="65" t="s">
        <v>16</v>
      </c>
      <c r="G79" s="72">
        <v>-16075</v>
      </c>
      <c r="H79" s="69">
        <f t="shared" si="9"/>
        <v>-2.4928467390640153E-6</v>
      </c>
    </row>
    <row r="80" spans="2:8" s="80" customFormat="1" x14ac:dyDescent="0.2">
      <c r="B80" s="76" t="s">
        <v>17</v>
      </c>
      <c r="C80" s="77">
        <f>SUM(C68:C79)</f>
        <v>-12223548</v>
      </c>
      <c r="D80" s="78">
        <f>SUM(D68:D79)</f>
        <v>-9.0779859747202533E-4</v>
      </c>
      <c r="E80" s="79"/>
      <c r="F80" s="76" t="s">
        <v>17</v>
      </c>
      <c r="G80" s="77">
        <f>SUM(G68:G79)</f>
        <v>3421295</v>
      </c>
      <c r="H80" s="78">
        <f>SUM(H68:H79)</f>
        <v>5.3056075173412245E-4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20944269888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21504976852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13465043936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4737389840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6448450981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58959672550</v>
      </c>
      <c r="D111" s="193">
        <v>1604773513</v>
      </c>
      <c r="F111" s="106">
        <f>+C111+D111</f>
        <v>60564446063</v>
      </c>
      <c r="G111" s="62"/>
      <c r="H111" s="62"/>
    </row>
    <row r="112" spans="2:8" x14ac:dyDescent="0.2">
      <c r="B112" s="189" t="s">
        <v>18</v>
      </c>
      <c r="C112" s="192">
        <v>37472211.57</v>
      </c>
      <c r="D112" s="193"/>
      <c r="F112" s="106">
        <f>+C112+D112</f>
        <v>37472211.57</v>
      </c>
      <c r="H112" s="75"/>
    </row>
    <row r="113" spans="1:13" x14ac:dyDescent="0.2">
      <c r="B113" s="189" t="s">
        <v>4</v>
      </c>
      <c r="C113" s="190">
        <v>7137818198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84241548181</v>
      </c>
      <c r="D114" s="107"/>
      <c r="F114" s="106"/>
      <c r="H114" s="75"/>
    </row>
    <row r="115" spans="1:13" x14ac:dyDescent="0.2">
      <c r="B115" s="189" t="s">
        <v>25</v>
      </c>
      <c r="C115" s="192">
        <v>122362093.12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995" priority="46" stopIfTrue="1" operator="lessThan">
      <formula>0</formula>
    </cfRule>
  </conditionalFormatting>
  <conditionalFormatting sqref="C89">
    <cfRule type="cellIs" dxfId="1994" priority="43" stopIfTrue="1" operator="lessThan">
      <formula>0</formula>
    </cfRule>
  </conditionalFormatting>
  <conditionalFormatting sqref="C85">
    <cfRule type="cellIs" dxfId="1993" priority="45" stopIfTrue="1" operator="lessThan">
      <formula>0</formula>
    </cfRule>
  </conditionalFormatting>
  <conditionalFormatting sqref="C7:C9">
    <cfRule type="cellIs" dxfId="1992" priority="42" stopIfTrue="1" operator="lessThan">
      <formula>0</formula>
    </cfRule>
  </conditionalFormatting>
  <conditionalFormatting sqref="C10:C13">
    <cfRule type="cellIs" dxfId="1991" priority="40" stopIfTrue="1" operator="lessThan">
      <formula>0</formula>
    </cfRule>
  </conditionalFormatting>
  <conditionalFormatting sqref="C88">
    <cfRule type="cellIs" dxfId="1990" priority="44" stopIfTrue="1" operator="lessThan">
      <formula>0</formula>
    </cfRule>
  </conditionalFormatting>
  <conditionalFormatting sqref="C101">
    <cfRule type="cellIs" dxfId="1989" priority="39" stopIfTrue="1" operator="lessThan">
      <formula>0</formula>
    </cfRule>
  </conditionalFormatting>
  <conditionalFormatting sqref="C7">
    <cfRule type="cellIs" dxfId="1988" priority="41" stopIfTrue="1" operator="lessThan">
      <formula>0</formula>
    </cfRule>
  </conditionalFormatting>
  <conditionalFormatting sqref="C29:C33">
    <cfRule type="cellIs" dxfId="1987" priority="34" stopIfTrue="1" operator="lessThan">
      <formula>0</formula>
    </cfRule>
  </conditionalFormatting>
  <conditionalFormatting sqref="G7:G9">
    <cfRule type="cellIs" dxfId="1986" priority="37" stopIfTrue="1" operator="lessThan">
      <formula>0</formula>
    </cfRule>
  </conditionalFormatting>
  <conditionalFormatting sqref="C22">
    <cfRule type="cellIs" dxfId="1985" priority="32" stopIfTrue="1" operator="lessThan">
      <formula>0</formula>
    </cfRule>
  </conditionalFormatting>
  <conditionalFormatting sqref="C25:C28">
    <cfRule type="cellIs" dxfId="1984" priority="31" stopIfTrue="1" operator="lessThan">
      <formula>0</formula>
    </cfRule>
  </conditionalFormatting>
  <conditionalFormatting sqref="G14:G18">
    <cfRule type="cellIs" dxfId="1983" priority="38" stopIfTrue="1" operator="lessThan">
      <formula>0</formula>
    </cfRule>
  </conditionalFormatting>
  <conditionalFormatting sqref="G7">
    <cfRule type="cellIs" dxfId="1982" priority="36" stopIfTrue="1" operator="lessThan">
      <formula>0</formula>
    </cfRule>
  </conditionalFormatting>
  <conditionalFormatting sqref="G10:G13">
    <cfRule type="cellIs" dxfId="1981" priority="35" stopIfTrue="1" operator="lessThan">
      <formula>0</formula>
    </cfRule>
  </conditionalFormatting>
  <conditionalFormatting sqref="C22:C24">
    <cfRule type="cellIs" dxfId="1980" priority="33" stopIfTrue="1" operator="lessThan">
      <formula>0</formula>
    </cfRule>
  </conditionalFormatting>
  <conditionalFormatting sqref="G22">
    <cfRule type="cellIs" dxfId="1979" priority="28" stopIfTrue="1" operator="lessThan">
      <formula>0</formula>
    </cfRule>
  </conditionalFormatting>
  <conditionalFormatting sqref="G29:G33">
    <cfRule type="cellIs" dxfId="1978" priority="30" stopIfTrue="1" operator="lessThan">
      <formula>0</formula>
    </cfRule>
  </conditionalFormatting>
  <conditionalFormatting sqref="G22:G24">
    <cfRule type="cellIs" dxfId="1977" priority="29" stopIfTrue="1" operator="lessThan">
      <formula>0</formula>
    </cfRule>
  </conditionalFormatting>
  <conditionalFormatting sqref="G25:G28">
    <cfRule type="cellIs" dxfId="1976" priority="27" stopIfTrue="1" operator="lessThan">
      <formula>0</formula>
    </cfRule>
  </conditionalFormatting>
  <conditionalFormatting sqref="C40:C43">
    <cfRule type="cellIs" dxfId="1975" priority="23" stopIfTrue="1" operator="lessThan">
      <formula>0</formula>
    </cfRule>
  </conditionalFormatting>
  <conditionalFormatting sqref="G44:G48">
    <cfRule type="cellIs" dxfId="1974" priority="22" stopIfTrue="1" operator="lessThan">
      <formula>0</formula>
    </cfRule>
  </conditionalFormatting>
  <conditionalFormatting sqref="G37">
    <cfRule type="cellIs" dxfId="1973" priority="20" stopIfTrue="1" operator="lessThan">
      <formula>0</formula>
    </cfRule>
  </conditionalFormatting>
  <conditionalFormatting sqref="C44:C48">
    <cfRule type="cellIs" dxfId="1972" priority="26" stopIfTrue="1" operator="lessThan">
      <formula>0</formula>
    </cfRule>
  </conditionalFormatting>
  <conditionalFormatting sqref="C37:C39">
    <cfRule type="cellIs" dxfId="1971" priority="25" stopIfTrue="1" operator="lessThan">
      <formula>0</formula>
    </cfRule>
  </conditionalFormatting>
  <conditionalFormatting sqref="C37">
    <cfRule type="cellIs" dxfId="1970" priority="24" stopIfTrue="1" operator="lessThan">
      <formula>0</formula>
    </cfRule>
  </conditionalFormatting>
  <conditionalFormatting sqref="C56:C59">
    <cfRule type="cellIs" dxfId="1969" priority="15" stopIfTrue="1" operator="lessThan">
      <formula>0</formula>
    </cfRule>
  </conditionalFormatting>
  <conditionalFormatting sqref="G60:G63">
    <cfRule type="cellIs" dxfId="1968" priority="14" stopIfTrue="1" operator="lessThan">
      <formula>0</formula>
    </cfRule>
  </conditionalFormatting>
  <conditionalFormatting sqref="G37:G39">
    <cfRule type="cellIs" dxfId="1967" priority="21" stopIfTrue="1" operator="lessThan">
      <formula>0</formula>
    </cfRule>
  </conditionalFormatting>
  <conditionalFormatting sqref="G53">
    <cfRule type="cellIs" dxfId="1966" priority="12" stopIfTrue="1" operator="lessThan">
      <formula>0</formula>
    </cfRule>
  </conditionalFormatting>
  <conditionalFormatting sqref="G40:G43">
    <cfRule type="cellIs" dxfId="1965" priority="19" stopIfTrue="1" operator="lessThan">
      <formula>0</formula>
    </cfRule>
  </conditionalFormatting>
  <conditionalFormatting sqref="C60:C64">
    <cfRule type="cellIs" dxfId="1964" priority="18" stopIfTrue="1" operator="lessThan">
      <formula>0</formula>
    </cfRule>
  </conditionalFormatting>
  <conditionalFormatting sqref="C53:C55">
    <cfRule type="cellIs" dxfId="1963" priority="17" stopIfTrue="1" operator="lessThan">
      <formula>0</formula>
    </cfRule>
  </conditionalFormatting>
  <conditionalFormatting sqref="C53">
    <cfRule type="cellIs" dxfId="1962" priority="16" stopIfTrue="1" operator="lessThan">
      <formula>0</formula>
    </cfRule>
  </conditionalFormatting>
  <conditionalFormatting sqref="G53:G55">
    <cfRule type="cellIs" dxfId="1961" priority="13" stopIfTrue="1" operator="lessThan">
      <formula>0</formula>
    </cfRule>
  </conditionalFormatting>
  <conditionalFormatting sqref="G56:G59">
    <cfRule type="cellIs" dxfId="1960" priority="11" stopIfTrue="1" operator="lessThan">
      <formula>0</formula>
    </cfRule>
  </conditionalFormatting>
  <conditionalFormatting sqref="C75:C78">
    <cfRule type="cellIs" dxfId="1959" priority="10" stopIfTrue="1" operator="lessThan">
      <formula>0</formula>
    </cfRule>
  </conditionalFormatting>
  <conditionalFormatting sqref="C68:C70">
    <cfRule type="cellIs" dxfId="1958" priority="9" stopIfTrue="1" operator="lessThan">
      <formula>0</formula>
    </cfRule>
  </conditionalFormatting>
  <conditionalFormatting sqref="C68">
    <cfRule type="cellIs" dxfId="1957" priority="8" stopIfTrue="1" operator="lessThan">
      <formula>0</formula>
    </cfRule>
  </conditionalFormatting>
  <conditionalFormatting sqref="C71:C74">
    <cfRule type="cellIs" dxfId="1956" priority="7" stopIfTrue="1" operator="lessThan">
      <formula>0</formula>
    </cfRule>
  </conditionalFormatting>
  <conditionalFormatting sqref="G75:G79">
    <cfRule type="cellIs" dxfId="1955" priority="6" stopIfTrue="1" operator="lessThan">
      <formula>0</formula>
    </cfRule>
  </conditionalFormatting>
  <conditionalFormatting sqref="G68:G70">
    <cfRule type="cellIs" dxfId="1954" priority="5" stopIfTrue="1" operator="lessThan">
      <formula>0</formula>
    </cfRule>
  </conditionalFormatting>
  <conditionalFormatting sqref="G68">
    <cfRule type="cellIs" dxfId="1953" priority="4" stopIfTrue="1" operator="lessThan">
      <formula>0</formula>
    </cfRule>
  </conditionalFormatting>
  <conditionalFormatting sqref="G71:G74">
    <cfRule type="cellIs" dxfId="1952" priority="3" stopIfTrue="1" operator="lessThan">
      <formula>0</formula>
    </cfRule>
  </conditionalFormatting>
  <conditionalFormatting sqref="G64">
    <cfRule type="cellIs" dxfId="1951" priority="2" stopIfTrue="1" operator="lessThan">
      <formula>0</formula>
    </cfRule>
  </conditionalFormatting>
  <conditionalFormatting sqref="C79">
    <cfRule type="cellIs" dxfId="1950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43063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5212808</v>
      </c>
      <c r="D7" s="67">
        <f>+IF(C7/$F$111=0,"",C7/$F$111)</f>
        <v>7.7251227614371276E-5</v>
      </c>
      <c r="E7" s="68"/>
      <c r="F7" s="65" t="s">
        <v>5</v>
      </c>
      <c r="G7" s="66">
        <v>700386</v>
      </c>
      <c r="H7" s="69">
        <f>+IF(G7/$C$113=0,"",G7/$C$113)</f>
        <v>9.8189718881504121E-5</v>
      </c>
      <c r="I7" s="70"/>
    </row>
    <row r="8" spans="1:9" x14ac:dyDescent="0.2">
      <c r="B8" s="65" t="s">
        <v>6</v>
      </c>
      <c r="C8" s="66">
        <v>531717</v>
      </c>
      <c r="D8" s="67">
        <f>+IF(C8/$F$111=0,"",C8/$F$111)</f>
        <v>7.8797820662933786E-6</v>
      </c>
      <c r="E8" s="68"/>
      <c r="F8" s="65" t="s">
        <v>6</v>
      </c>
      <c r="G8" s="66">
        <v>315533</v>
      </c>
      <c r="H8" s="69">
        <f>+IF(G8/$C$113=0,"",G8/$C$113)</f>
        <v>4.4235745100327018E-5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-11046</v>
      </c>
      <c r="H11" s="69">
        <f t="shared" si="0"/>
        <v>-1.5485798327851993E-6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5908165</v>
      </c>
      <c r="H14" s="69">
        <f t="shared" si="0"/>
        <v>8.2828763061446378E-4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-322634</v>
      </c>
      <c r="D18" s="67">
        <f>+IF(C18/$F$111=0,"",C18/$F$111)</f>
        <v>-4.7812757673282923E-6</v>
      </c>
      <c r="E18" s="75"/>
      <c r="F18" s="65" t="s">
        <v>16</v>
      </c>
      <c r="G18" s="72">
        <v>-28748</v>
      </c>
      <c r="H18" s="69">
        <f t="shared" si="0"/>
        <v>-4.0302890668937995E-6</v>
      </c>
    </row>
    <row r="19" spans="2:9" s="80" customFormat="1" x14ac:dyDescent="0.2">
      <c r="B19" s="76" t="s">
        <v>17</v>
      </c>
      <c r="C19" s="77">
        <f>SUM(C7:C18)</f>
        <v>5421891</v>
      </c>
      <c r="D19" s="78">
        <f>SUM(D7:D18)</f>
        <v>8.0349733913336367E-5</v>
      </c>
      <c r="E19" s="79"/>
      <c r="F19" s="76" t="s">
        <v>17</v>
      </c>
      <c r="G19" s="77">
        <f>SUM(G7:G18)</f>
        <v>6884290</v>
      </c>
      <c r="H19" s="78">
        <f>SUM(H7:H18)</f>
        <v>9.6513422569661589E-4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2142.4122000000002</v>
      </c>
      <c r="D22" s="69">
        <f>+IF(C22/$F$112=0,"",C22/$F$112)</f>
        <v>5.7237916579828008E-5</v>
      </c>
      <c r="E22" s="75"/>
      <c r="F22" s="65" t="s">
        <v>5</v>
      </c>
      <c r="G22" s="66">
        <v>1361527</v>
      </c>
      <c r="H22" s="69">
        <f t="shared" ref="H22:H33" si="2">+IF(G22/$C$106=0,"",G22/$C$106)</f>
        <v>6.4698945995613004E-5</v>
      </c>
      <c r="I22" s="114"/>
    </row>
    <row r="23" spans="2:9" x14ac:dyDescent="0.2">
      <c r="B23" s="65" t="s">
        <v>44</v>
      </c>
      <c r="C23" s="71">
        <v>21212.4895</v>
      </c>
      <c r="D23" s="69">
        <f>+IF(C23/$F$112=0,"",C23/$F$112)</f>
        <v>5.6672507020426668E-4</v>
      </c>
      <c r="E23" s="75"/>
      <c r="F23" s="65" t="s">
        <v>6</v>
      </c>
      <c r="G23" s="66">
        <v>1477844</v>
      </c>
      <c r="H23" s="69">
        <f t="shared" si="2"/>
        <v>7.0226260034461819E-5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-1086.3800000000001</v>
      </c>
      <c r="D26" s="69">
        <f>+IF(C26/$F$112=0,"",C26/$F$112)</f>
        <v>-2.902435292983934E-5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-20559.631930000003</v>
      </c>
      <c r="D27" s="69">
        <f t="shared" ref="D27:D33" si="3">+IF(C27/$F$112=0,"",C27/$F$112)</f>
        <v>-5.4928295186206855E-4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-3511276</v>
      </c>
      <c r="H29" s="69">
        <f t="shared" si="2"/>
        <v>-1.6685372842381534E-4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>
        <v>-449274</v>
      </c>
      <c r="H32" s="69">
        <f t="shared" si="2"/>
        <v>-2.1349230873301107E-5</v>
      </c>
    </row>
    <row r="33" spans="1:13" x14ac:dyDescent="0.2">
      <c r="B33" s="65" t="s">
        <v>16</v>
      </c>
      <c r="C33" s="71">
        <v>-127.3</v>
      </c>
      <c r="D33" s="69">
        <f t="shared" si="3"/>
        <v>-3.4010200187490085E-6</v>
      </c>
      <c r="E33" s="75"/>
      <c r="F33" s="65" t="s">
        <v>16</v>
      </c>
      <c r="G33" s="72">
        <v>-105788</v>
      </c>
      <c r="H33" s="69">
        <f t="shared" si="2"/>
        <v>-5.0269822772401197E-6</v>
      </c>
    </row>
    <row r="34" spans="1:13" s="80" customFormat="1" x14ac:dyDescent="0.2">
      <c r="B34" s="76" t="s">
        <v>17</v>
      </c>
      <c r="C34" s="93">
        <f>SUM(C22:C33)</f>
        <v>1581.5897699999944</v>
      </c>
      <c r="D34" s="78">
        <f>SUM(D22:D33)</f>
        <v>4.2254661973437802E-5</v>
      </c>
      <c r="E34" s="79"/>
      <c r="F34" s="76" t="s">
        <v>17</v>
      </c>
      <c r="G34" s="93">
        <f>SUM(G22:G33)</f>
        <v>-1226967</v>
      </c>
      <c r="H34" s="78">
        <f>SUM(H22:H33)</f>
        <v>-5.8304735544281742E-5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5021041</v>
      </c>
      <c r="D37" s="69">
        <f t="shared" ref="D37:D48" si="4">+IF(C37/$C$114=0,"",C37/$C$114)</f>
        <v>6.4076928292705929E-5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8690358</v>
      </c>
      <c r="D38" s="69">
        <f t="shared" si="4"/>
        <v>1.1090358481516947E-4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-214240</v>
      </c>
      <c r="H39" s="69">
        <f t="shared" si="5"/>
        <v>-4.5725006010973986E-5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>
        <v>5005</v>
      </c>
      <c r="H43" s="69">
        <f t="shared" si="5"/>
        <v>1.0682116088728753E-6</v>
      </c>
    </row>
    <row r="44" spans="1:13" x14ac:dyDescent="0.2">
      <c r="B44" s="65" t="s">
        <v>12</v>
      </c>
      <c r="C44" s="72">
        <v>-2188256</v>
      </c>
      <c r="D44" s="69">
        <f t="shared" si="4"/>
        <v>-2.7925827094039566E-5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-16429458</v>
      </c>
      <c r="D45" s="69">
        <f t="shared" si="4"/>
        <v>-2.0966751758331068E-4</v>
      </c>
      <c r="E45" s="68"/>
      <c r="F45" s="65" t="s">
        <v>13</v>
      </c>
      <c r="G45" s="72">
        <v>1513542</v>
      </c>
      <c r="H45" s="69">
        <f t="shared" si="5"/>
        <v>3.2303359338994397E-4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-12303530</v>
      </c>
      <c r="D47" s="69">
        <f t="shared" si="4"/>
        <v>-1.5701373670463082E-4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-644051</v>
      </c>
      <c r="D48" s="69">
        <f t="shared" si="4"/>
        <v>-8.2191740206553877E-6</v>
      </c>
      <c r="E48" s="68"/>
      <c r="F48" s="65" t="s">
        <v>16</v>
      </c>
      <c r="G48" s="72">
        <v>-18696</v>
      </c>
      <c r="H48" s="69">
        <f t="shared" si="5"/>
        <v>-3.9902665813161393E-6</v>
      </c>
    </row>
    <row r="49" spans="2:9" s="80" customFormat="1" x14ac:dyDescent="0.2">
      <c r="B49" s="76" t="s">
        <v>17</v>
      </c>
      <c r="C49" s="77">
        <f>SUM(C37:C48)</f>
        <v>-17853896</v>
      </c>
      <c r="D49" s="78">
        <f>SUM(D37:D48)</f>
        <v>-2.2784574229476107E-4</v>
      </c>
      <c r="E49" s="79"/>
      <c r="F49" s="76" t="s">
        <v>17</v>
      </c>
      <c r="G49" s="77">
        <f>SUM(G37:G48)</f>
        <v>1285611</v>
      </c>
      <c r="H49" s="78">
        <f>SUM(H37:H48)</f>
        <v>2.7438653240652674E-4</v>
      </c>
      <c r="I49" s="89"/>
    </row>
    <row r="50" spans="2:9" ht="4.5" customHeight="1" x14ac:dyDescent="0.2">
      <c r="C50" s="84"/>
      <c r="G50" s="90"/>
    </row>
    <row r="51" spans="2:9" ht="4.5" customHeight="1" x14ac:dyDescent="0.2">
      <c r="C51" s="84"/>
      <c r="G51" s="90"/>
    </row>
    <row r="52" spans="2:9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9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16018.981299999999</v>
      </c>
      <c r="H53" s="69">
        <f t="shared" ref="H53:H64" si="7">+IF(G53/$C$115=0,"",G53/$C$115)</f>
        <v>1.3089918751260765E-4</v>
      </c>
    </row>
    <row r="54" spans="2:9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9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9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9" x14ac:dyDescent="0.2">
      <c r="B57" s="65" t="s">
        <v>47</v>
      </c>
      <c r="C57" s="66">
        <v>-59301</v>
      </c>
      <c r="D57" s="69">
        <f t="shared" si="6"/>
        <v>-2.8060014936157482E-6</v>
      </c>
      <c r="E57" s="68"/>
      <c r="F57" s="65" t="s">
        <v>9</v>
      </c>
      <c r="G57" s="66"/>
      <c r="H57" s="69" t="str">
        <f t="shared" si="7"/>
        <v/>
      </c>
    </row>
    <row r="58" spans="2:9" x14ac:dyDescent="0.2">
      <c r="B58" s="65" t="s">
        <v>48</v>
      </c>
      <c r="C58" s="66">
        <v>14088436</v>
      </c>
      <c r="D58" s="69">
        <f t="shared" si="6"/>
        <v>6.6663584861486106E-4</v>
      </c>
      <c r="E58" s="68"/>
      <c r="F58" s="65" t="s">
        <v>10</v>
      </c>
      <c r="G58" s="66"/>
      <c r="H58" s="69" t="str">
        <f t="shared" si="7"/>
        <v/>
      </c>
    </row>
    <row r="59" spans="2:9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9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-78252.804999999993</v>
      </c>
      <c r="H60" s="69">
        <f t="shared" si="7"/>
        <v>-6.3944319574694313E-4</v>
      </c>
    </row>
    <row r="61" spans="2:9" x14ac:dyDescent="0.2">
      <c r="B61" s="65" t="s">
        <v>13</v>
      </c>
      <c r="C61" s="72">
        <v>-3597220</v>
      </c>
      <c r="D61" s="69">
        <f t="shared" si="6"/>
        <v>-1.7021306036769097E-4</v>
      </c>
      <c r="E61" s="68"/>
      <c r="F61" s="65" t="s">
        <v>13</v>
      </c>
      <c r="G61" s="72"/>
      <c r="H61" s="69" t="str">
        <f t="shared" si="7"/>
        <v/>
      </c>
    </row>
    <row r="62" spans="2:9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9" x14ac:dyDescent="0.2">
      <c r="B63" s="65" t="s">
        <v>15</v>
      </c>
      <c r="C63" s="72">
        <v>-589537</v>
      </c>
      <c r="D63" s="69">
        <f t="shared" si="6"/>
        <v>-2.7895679710995557E-5</v>
      </c>
      <c r="E63" s="68"/>
      <c r="F63" s="65" t="s">
        <v>15</v>
      </c>
      <c r="G63" s="92">
        <v>-1331.56</v>
      </c>
      <c r="H63" s="69">
        <f t="shared" si="7"/>
        <v>-1.088084934116802E-5</v>
      </c>
    </row>
    <row r="64" spans="2:9" x14ac:dyDescent="0.2">
      <c r="B64" s="65" t="s">
        <v>16</v>
      </c>
      <c r="C64" s="72">
        <v>-173701</v>
      </c>
      <c r="D64" s="69">
        <f t="shared" si="6"/>
        <v>-8.2191744733233693E-6</v>
      </c>
      <c r="E64" s="68"/>
      <c r="F64" s="65" t="s">
        <v>16</v>
      </c>
      <c r="G64" s="92">
        <v>-103.69</v>
      </c>
      <c r="H64" s="69">
        <f t="shared" si="7"/>
        <v>-8.4730336461422102E-7</v>
      </c>
    </row>
    <row r="65" spans="2:8" s="80" customFormat="1" x14ac:dyDescent="0.2">
      <c r="B65" s="76" t="s">
        <v>17</v>
      </c>
      <c r="C65" s="77">
        <f>SUM(C53:C64)</f>
        <v>9668677</v>
      </c>
      <c r="D65" s="78">
        <f>SUM(D53:D64)</f>
        <v>4.575019325692354E-4</v>
      </c>
      <c r="E65" s="79"/>
      <c r="F65" s="76" t="s">
        <v>17</v>
      </c>
      <c r="G65" s="77">
        <f>SUM(G53:G64)</f>
        <v>-63669.073699999994</v>
      </c>
      <c r="H65" s="78">
        <f>SUM(H53:H64)</f>
        <v>-5.202721609401178E-4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-178099</v>
      </c>
      <c r="D72" s="69">
        <f t="shared" si="8"/>
        <v>-1.3252994354602278E-5</v>
      </c>
      <c r="E72" s="68"/>
      <c r="F72" s="65" t="s">
        <v>9</v>
      </c>
      <c r="G72" s="66">
        <v>-106958</v>
      </c>
      <c r="H72" s="69">
        <f t="shared" si="9"/>
        <v>-1.6578385287354172E-5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48409489</v>
      </c>
      <c r="D76" s="69">
        <f t="shared" si="8"/>
        <v>3.6023261468406957E-3</v>
      </c>
      <c r="E76" s="68"/>
      <c r="F76" s="65" t="s">
        <v>13</v>
      </c>
      <c r="G76" s="72">
        <v>-191561</v>
      </c>
      <c r="H76" s="69">
        <f t="shared" si="9"/>
        <v>-2.9691767460412991E-5</v>
      </c>
    </row>
    <row r="77" spans="2:8" x14ac:dyDescent="0.2">
      <c r="B77" s="65" t="s">
        <v>14</v>
      </c>
      <c r="C77" s="66">
        <v>-11498058</v>
      </c>
      <c r="D77" s="69">
        <f t="shared" si="8"/>
        <v>-8.556123154138404E-4</v>
      </c>
      <c r="E77" s="68"/>
      <c r="F77" s="65" t="s">
        <v>14</v>
      </c>
      <c r="G77" s="66">
        <v>-5688262</v>
      </c>
      <c r="H77" s="69">
        <f t="shared" si="9"/>
        <v>-8.8167504115087996E-4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-21157</v>
      </c>
      <c r="D79" s="69">
        <f t="shared" si="8"/>
        <v>-1.5743693202113453E-6</v>
      </c>
      <c r="E79" s="68"/>
      <c r="F79" s="65" t="s">
        <v>16</v>
      </c>
      <c r="G79" s="72">
        <v>-16075</v>
      </c>
      <c r="H79" s="69">
        <f t="shared" si="9"/>
        <v>-2.4916092624602022E-6</v>
      </c>
    </row>
    <row r="80" spans="2:8" s="80" customFormat="1" x14ac:dyDescent="0.2">
      <c r="B80" s="76" t="s">
        <v>17</v>
      </c>
      <c r="C80" s="77">
        <f>SUM(C68:C79)</f>
        <v>36712175</v>
      </c>
      <c r="D80" s="78">
        <f>SUM(D68:D79)</f>
        <v>2.7318864677520417E-3</v>
      </c>
      <c r="E80" s="79"/>
      <c r="F80" s="76" t="s">
        <v>17</v>
      </c>
      <c r="G80" s="77">
        <f>SUM(G68:G79)</f>
        <v>-6002856</v>
      </c>
      <c r="H80" s="78">
        <f>SUM(H68:H79)</f>
        <v>-9.3043680316110737E-4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21044036793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21133630946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13438397032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4685401243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6451653653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58880773724</v>
      </c>
      <c r="D111" s="193">
        <v>8597869153</v>
      </c>
      <c r="F111" s="106">
        <f>+C111+D111</f>
        <v>67478642877</v>
      </c>
      <c r="G111" s="62"/>
      <c r="H111" s="62"/>
    </row>
    <row r="112" spans="2:8" x14ac:dyDescent="0.2">
      <c r="B112" s="189" t="s">
        <v>18</v>
      </c>
      <c r="C112" s="192">
        <v>37429947.280000001</v>
      </c>
      <c r="D112" s="193"/>
      <c r="F112" s="106">
        <f>+C112+D112</f>
        <v>37429947.280000001</v>
      </c>
      <c r="H112" s="75"/>
    </row>
    <row r="113" spans="1:13" x14ac:dyDescent="0.2">
      <c r="B113" s="189" t="s">
        <v>4</v>
      </c>
      <c r="C113" s="190">
        <v>7132987119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78359577055</v>
      </c>
      <c r="D114" s="107"/>
      <c r="F114" s="106"/>
      <c r="H114" s="75"/>
    </row>
    <row r="115" spans="1:13" x14ac:dyDescent="0.2">
      <c r="B115" s="189" t="s">
        <v>25</v>
      </c>
      <c r="C115" s="192">
        <v>122376476.16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949" priority="46" stopIfTrue="1" operator="lessThan">
      <formula>0</formula>
    </cfRule>
  </conditionalFormatting>
  <conditionalFormatting sqref="C89">
    <cfRule type="cellIs" dxfId="1948" priority="43" stopIfTrue="1" operator="lessThan">
      <formula>0</formula>
    </cfRule>
  </conditionalFormatting>
  <conditionalFormatting sqref="C85">
    <cfRule type="cellIs" dxfId="1947" priority="45" stopIfTrue="1" operator="lessThan">
      <formula>0</formula>
    </cfRule>
  </conditionalFormatting>
  <conditionalFormatting sqref="C7:C9">
    <cfRule type="cellIs" dxfId="1946" priority="42" stopIfTrue="1" operator="lessThan">
      <formula>0</formula>
    </cfRule>
  </conditionalFormatting>
  <conditionalFormatting sqref="C10:C13">
    <cfRule type="cellIs" dxfId="1945" priority="40" stopIfTrue="1" operator="lessThan">
      <formula>0</formula>
    </cfRule>
  </conditionalFormatting>
  <conditionalFormatting sqref="C88">
    <cfRule type="cellIs" dxfId="1944" priority="44" stopIfTrue="1" operator="lessThan">
      <formula>0</formula>
    </cfRule>
  </conditionalFormatting>
  <conditionalFormatting sqref="C101">
    <cfRule type="cellIs" dxfId="1943" priority="39" stopIfTrue="1" operator="lessThan">
      <formula>0</formula>
    </cfRule>
  </conditionalFormatting>
  <conditionalFormatting sqref="C7">
    <cfRule type="cellIs" dxfId="1942" priority="41" stopIfTrue="1" operator="lessThan">
      <formula>0</formula>
    </cfRule>
  </conditionalFormatting>
  <conditionalFormatting sqref="C29:C33">
    <cfRule type="cellIs" dxfId="1941" priority="34" stopIfTrue="1" operator="lessThan">
      <formula>0</formula>
    </cfRule>
  </conditionalFormatting>
  <conditionalFormatting sqref="G7:G9">
    <cfRule type="cellIs" dxfId="1940" priority="37" stopIfTrue="1" operator="lessThan">
      <formula>0</formula>
    </cfRule>
  </conditionalFormatting>
  <conditionalFormatting sqref="C22">
    <cfRule type="cellIs" dxfId="1939" priority="32" stopIfTrue="1" operator="lessThan">
      <formula>0</formula>
    </cfRule>
  </conditionalFormatting>
  <conditionalFormatting sqref="C25:C28">
    <cfRule type="cellIs" dxfId="1938" priority="31" stopIfTrue="1" operator="lessThan">
      <formula>0</formula>
    </cfRule>
  </conditionalFormatting>
  <conditionalFormatting sqref="G14:G18">
    <cfRule type="cellIs" dxfId="1937" priority="38" stopIfTrue="1" operator="lessThan">
      <formula>0</formula>
    </cfRule>
  </conditionalFormatting>
  <conditionalFormatting sqref="G7">
    <cfRule type="cellIs" dxfId="1936" priority="36" stopIfTrue="1" operator="lessThan">
      <formula>0</formula>
    </cfRule>
  </conditionalFormatting>
  <conditionalFormatting sqref="G10:G13">
    <cfRule type="cellIs" dxfId="1935" priority="35" stopIfTrue="1" operator="lessThan">
      <formula>0</formula>
    </cfRule>
  </conditionalFormatting>
  <conditionalFormatting sqref="C22:C24">
    <cfRule type="cellIs" dxfId="1934" priority="33" stopIfTrue="1" operator="lessThan">
      <formula>0</formula>
    </cfRule>
  </conditionalFormatting>
  <conditionalFormatting sqref="G22">
    <cfRule type="cellIs" dxfId="1933" priority="28" stopIfTrue="1" operator="lessThan">
      <formula>0</formula>
    </cfRule>
  </conditionalFormatting>
  <conditionalFormatting sqref="G29:G33">
    <cfRule type="cellIs" dxfId="1932" priority="30" stopIfTrue="1" operator="lessThan">
      <formula>0</formula>
    </cfRule>
  </conditionalFormatting>
  <conditionalFormatting sqref="G22:G24">
    <cfRule type="cellIs" dxfId="1931" priority="29" stopIfTrue="1" operator="lessThan">
      <formula>0</formula>
    </cfRule>
  </conditionalFormatting>
  <conditionalFormatting sqref="G25:G28">
    <cfRule type="cellIs" dxfId="1930" priority="27" stopIfTrue="1" operator="lessThan">
      <formula>0</formula>
    </cfRule>
  </conditionalFormatting>
  <conditionalFormatting sqref="C40:C43">
    <cfRule type="cellIs" dxfId="1929" priority="23" stopIfTrue="1" operator="lessThan">
      <formula>0</formula>
    </cfRule>
  </conditionalFormatting>
  <conditionalFormatting sqref="G44:G48">
    <cfRule type="cellIs" dxfId="1928" priority="22" stopIfTrue="1" operator="lessThan">
      <formula>0</formula>
    </cfRule>
  </conditionalFormatting>
  <conditionalFormatting sqref="G37">
    <cfRule type="cellIs" dxfId="1927" priority="20" stopIfTrue="1" operator="lessThan">
      <formula>0</formula>
    </cfRule>
  </conditionalFormatting>
  <conditionalFormatting sqref="C44:C48">
    <cfRule type="cellIs" dxfId="1926" priority="26" stopIfTrue="1" operator="lessThan">
      <formula>0</formula>
    </cfRule>
  </conditionalFormatting>
  <conditionalFormatting sqref="C37:C39">
    <cfRule type="cellIs" dxfId="1925" priority="25" stopIfTrue="1" operator="lessThan">
      <formula>0</formula>
    </cfRule>
  </conditionalFormatting>
  <conditionalFormatting sqref="C37">
    <cfRule type="cellIs" dxfId="1924" priority="24" stopIfTrue="1" operator="lessThan">
      <formula>0</formula>
    </cfRule>
  </conditionalFormatting>
  <conditionalFormatting sqref="C56:C59">
    <cfRule type="cellIs" dxfId="1923" priority="15" stopIfTrue="1" operator="lessThan">
      <formula>0</formula>
    </cfRule>
  </conditionalFormatting>
  <conditionalFormatting sqref="G60:G63">
    <cfRule type="cellIs" dxfId="1922" priority="14" stopIfTrue="1" operator="lessThan">
      <formula>0</formula>
    </cfRule>
  </conditionalFormatting>
  <conditionalFormatting sqref="G37:G39">
    <cfRule type="cellIs" dxfId="1921" priority="21" stopIfTrue="1" operator="lessThan">
      <formula>0</formula>
    </cfRule>
  </conditionalFormatting>
  <conditionalFormatting sqref="G53">
    <cfRule type="cellIs" dxfId="1920" priority="12" stopIfTrue="1" operator="lessThan">
      <formula>0</formula>
    </cfRule>
  </conditionalFormatting>
  <conditionalFormatting sqref="G40:G43">
    <cfRule type="cellIs" dxfId="1919" priority="19" stopIfTrue="1" operator="lessThan">
      <formula>0</formula>
    </cfRule>
  </conditionalFormatting>
  <conditionalFormatting sqref="C60:C64">
    <cfRule type="cellIs" dxfId="1918" priority="18" stopIfTrue="1" operator="lessThan">
      <formula>0</formula>
    </cfRule>
  </conditionalFormatting>
  <conditionalFormatting sqref="C53:C55">
    <cfRule type="cellIs" dxfId="1917" priority="17" stopIfTrue="1" operator="lessThan">
      <formula>0</formula>
    </cfRule>
  </conditionalFormatting>
  <conditionalFormatting sqref="C53">
    <cfRule type="cellIs" dxfId="1916" priority="16" stopIfTrue="1" operator="lessThan">
      <formula>0</formula>
    </cfRule>
  </conditionalFormatting>
  <conditionalFormatting sqref="G53:G55">
    <cfRule type="cellIs" dxfId="1915" priority="13" stopIfTrue="1" operator="lessThan">
      <formula>0</formula>
    </cfRule>
  </conditionalFormatting>
  <conditionalFormatting sqref="G56:G59">
    <cfRule type="cellIs" dxfId="1914" priority="11" stopIfTrue="1" operator="lessThan">
      <formula>0</formula>
    </cfRule>
  </conditionalFormatting>
  <conditionalFormatting sqref="C75:C78">
    <cfRule type="cellIs" dxfId="1913" priority="10" stopIfTrue="1" operator="lessThan">
      <formula>0</formula>
    </cfRule>
  </conditionalFormatting>
  <conditionalFormatting sqref="C68:C70">
    <cfRule type="cellIs" dxfId="1912" priority="9" stopIfTrue="1" operator="lessThan">
      <formula>0</formula>
    </cfRule>
  </conditionalFormatting>
  <conditionalFormatting sqref="C68">
    <cfRule type="cellIs" dxfId="1911" priority="8" stopIfTrue="1" operator="lessThan">
      <formula>0</formula>
    </cfRule>
  </conditionalFormatting>
  <conditionalFormatting sqref="C71:C74">
    <cfRule type="cellIs" dxfId="1910" priority="7" stopIfTrue="1" operator="lessThan">
      <formula>0</formula>
    </cfRule>
  </conditionalFormatting>
  <conditionalFormatting sqref="G75:G79">
    <cfRule type="cellIs" dxfId="1909" priority="6" stopIfTrue="1" operator="lessThan">
      <formula>0</formula>
    </cfRule>
  </conditionalFormatting>
  <conditionalFormatting sqref="G68:G70">
    <cfRule type="cellIs" dxfId="1908" priority="5" stopIfTrue="1" operator="lessThan">
      <formula>0</formula>
    </cfRule>
  </conditionalFormatting>
  <conditionalFormatting sqref="G68">
    <cfRule type="cellIs" dxfId="1907" priority="4" stopIfTrue="1" operator="lessThan">
      <formula>0</formula>
    </cfRule>
  </conditionalFormatting>
  <conditionalFormatting sqref="G71:G74">
    <cfRule type="cellIs" dxfId="1906" priority="3" stopIfTrue="1" operator="lessThan">
      <formula>0</formula>
    </cfRule>
  </conditionalFormatting>
  <conditionalFormatting sqref="G64">
    <cfRule type="cellIs" dxfId="1905" priority="2" stopIfTrue="1" operator="lessThan">
      <formula>0</formula>
    </cfRule>
  </conditionalFormatting>
  <conditionalFormatting sqref="C79">
    <cfRule type="cellIs" dxfId="1904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43066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4986654</v>
      </c>
      <c r="D7" s="67">
        <f>+IF(C7/$F$111=0,"",C7/$F$111)</f>
        <v>7.4848618103865832E-5</v>
      </c>
      <c r="E7" s="68"/>
      <c r="F7" s="65" t="s">
        <v>5</v>
      </c>
      <c r="G7" s="66">
        <v>683782</v>
      </c>
      <c r="H7" s="69">
        <f>+IF(G7/$C$113=0,"",G7/$C$113)</f>
        <v>9.6473547893858737E-5</v>
      </c>
      <c r="I7" s="70"/>
    </row>
    <row r="8" spans="1:9" x14ac:dyDescent="0.2">
      <c r="B8" s="65" t="s">
        <v>6</v>
      </c>
      <c r="C8" s="66">
        <v>532668</v>
      </c>
      <c r="D8" s="67">
        <f>+IF(C8/$F$111=0,"",C8/$F$111)</f>
        <v>7.9952336192063866E-6</v>
      </c>
      <c r="E8" s="68"/>
      <c r="F8" s="65" t="s">
        <v>6</v>
      </c>
      <c r="G8" s="66">
        <v>315779</v>
      </c>
      <c r="H8" s="69">
        <f>+IF(G8/$C$113=0,"",G8/$C$113)</f>
        <v>4.4552679772756256E-5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50631</v>
      </c>
      <c r="H11" s="69">
        <f t="shared" si="0"/>
        <v>7.1434349009098828E-6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4875412</v>
      </c>
      <c r="H14" s="69">
        <f t="shared" si="0"/>
        <v>6.8786293450879611E-4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-89596</v>
      </c>
      <c r="D17" s="67">
        <f>+IF(C17/$F$111=0,"",C17/$F$111)</f>
        <v>-1.3448169429108102E-6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-119790</v>
      </c>
      <c r="D18" s="67">
        <f>+IF(C18/$F$111=0,"",C18/$F$111)</f>
        <v>-1.7980224741203396E-6</v>
      </c>
      <c r="E18" s="75"/>
      <c r="F18" s="65" t="s">
        <v>16</v>
      </c>
      <c r="G18" s="72">
        <v>-27563</v>
      </c>
      <c r="H18" s="69">
        <f t="shared" si="0"/>
        <v>-3.8888131021267426E-6</v>
      </c>
    </row>
    <row r="19" spans="2:9" s="80" customFormat="1" x14ac:dyDescent="0.2">
      <c r="B19" s="76" t="s">
        <v>17</v>
      </c>
      <c r="C19" s="77">
        <f>SUM(C7:C18)</f>
        <v>5309936</v>
      </c>
      <c r="D19" s="78">
        <f>SUM(D7:D18)</f>
        <v>7.9701012306041062E-5</v>
      </c>
      <c r="E19" s="79"/>
      <c r="F19" s="76" t="s">
        <v>17</v>
      </c>
      <c r="G19" s="77">
        <f>SUM(G7:G18)</f>
        <v>5898041</v>
      </c>
      <c r="H19" s="78">
        <f>SUM(H7:H18)</f>
        <v>8.321437839741943E-4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2162.4346999999998</v>
      </c>
      <c r="D22" s="69">
        <f>+IF(C22/$F$112=0,"",C22/$F$112)</f>
        <v>5.8385353340340491E-5</v>
      </c>
      <c r="E22" s="75"/>
      <c r="F22" s="65" t="s">
        <v>5</v>
      </c>
      <c r="G22" s="66">
        <v>1552481</v>
      </c>
      <c r="H22" s="69">
        <f t="shared" ref="H22:H33" si="2">+IF(G22/$C$106=0,"",G22/$C$106)</f>
        <v>7.1360028158179762E-5</v>
      </c>
      <c r="I22" s="114"/>
    </row>
    <row r="23" spans="2:9" x14ac:dyDescent="0.2">
      <c r="B23" s="65" t="s">
        <v>44</v>
      </c>
      <c r="C23" s="71">
        <v>-83700.178400000004</v>
      </c>
      <c r="D23" s="69">
        <f>+IF(C23/$F$112=0,"",C23/$F$112)</f>
        <v>-2.2598899705658327E-3</v>
      </c>
      <c r="E23" s="75"/>
      <c r="F23" s="65" t="s">
        <v>6</v>
      </c>
      <c r="G23" s="66">
        <v>1396514</v>
      </c>
      <c r="H23" s="69">
        <f t="shared" si="2"/>
        <v>6.4190980993192353E-5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3615.68856342035</v>
      </c>
      <c r="D26" s="69">
        <f>+IF(C26/$F$112=0,"",C26/$F$112)</f>
        <v>9.762294988326133E-5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79596.160000000003</v>
      </c>
      <c r="D27" s="69">
        <f t="shared" ref="D27:D33" si="3">+IF(C27/$F$112=0,"",C27/$F$112)</f>
        <v>2.1490822017119298E-3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1357159</v>
      </c>
      <c r="H29" s="69">
        <f t="shared" si="2"/>
        <v>6.2382022359775801E-5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-134.33000000000001</v>
      </c>
      <c r="D33" s="69">
        <f t="shared" si="3"/>
        <v>-3.6268861733526288E-6</v>
      </c>
      <c r="E33" s="75"/>
      <c r="F33" s="65" t="s">
        <v>16</v>
      </c>
      <c r="G33" s="72">
        <v>-51588</v>
      </c>
      <c r="H33" s="69">
        <f t="shared" si="2"/>
        <v>-2.3712503615980983E-6</v>
      </c>
    </row>
    <row r="34" spans="1:13" s="80" customFormat="1" x14ac:dyDescent="0.2">
      <c r="B34" s="76" t="s">
        <v>17</v>
      </c>
      <c r="C34" s="93">
        <f>SUM(C22:C33)</f>
        <v>1539.7748634203472</v>
      </c>
      <c r="D34" s="78">
        <f>SUM(D22:D33)</f>
        <v>4.1573648196346482E-5</v>
      </c>
      <c r="E34" s="79"/>
      <c r="F34" s="76" t="s">
        <v>17</v>
      </c>
      <c r="G34" s="93">
        <f>SUM(G22:G33)</f>
        <v>4254566</v>
      </c>
      <c r="H34" s="78">
        <f>SUM(H22:H33)</f>
        <v>1.9556178114954982E-4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4136824</v>
      </c>
      <c r="D37" s="69">
        <f t="shared" ref="D37:D48" si="4">+IF(C37/$C$114=0,"",C37/$C$114)</f>
        <v>5.4168866574415945E-5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7628127</v>
      </c>
      <c r="D38" s="69">
        <f t="shared" si="4"/>
        <v>9.9885079393201103E-5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-26286</v>
      </c>
      <c r="H39" s="69">
        <f t="shared" si="5"/>
        <v>-5.6526889913249444E-6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>
        <v>5006</v>
      </c>
      <c r="H43" s="69">
        <f t="shared" si="5"/>
        <v>1.0765183402028712E-6</v>
      </c>
    </row>
    <row r="44" spans="1:13" x14ac:dyDescent="0.2">
      <c r="B44" s="65" t="s">
        <v>12</v>
      </c>
      <c r="C44" s="72">
        <v>20369991</v>
      </c>
      <c r="D44" s="69">
        <f t="shared" si="4"/>
        <v>2.6673102955336115E-4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11422044</v>
      </c>
      <c r="D45" s="69">
        <f t="shared" si="4"/>
        <v>1.4956381452126274E-4</v>
      </c>
      <c r="E45" s="68"/>
      <c r="F45" s="65" t="s">
        <v>13</v>
      </c>
      <c r="G45" s="72">
        <v>-13609976</v>
      </c>
      <c r="H45" s="69">
        <f t="shared" si="5"/>
        <v>-2.9267656359810053E-3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1017738</v>
      </c>
      <c r="D47" s="69">
        <f t="shared" si="4"/>
        <v>1.332657950391724E-5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-176155</v>
      </c>
      <c r="D48" s="69">
        <f t="shared" si="4"/>
        <v>-2.3066286338060891E-6</v>
      </c>
      <c r="E48" s="68"/>
      <c r="F48" s="65" t="s">
        <v>16</v>
      </c>
      <c r="G48" s="72">
        <v>-18696</v>
      </c>
      <c r="H48" s="69">
        <f t="shared" si="5"/>
        <v>-4.0204927863429642E-6</v>
      </c>
    </row>
    <row r="49" spans="2:10" s="80" customFormat="1" x14ac:dyDescent="0.2">
      <c r="B49" s="76" t="s">
        <v>17</v>
      </c>
      <c r="C49" s="77">
        <f>SUM(C37:C48)</f>
        <v>44398569</v>
      </c>
      <c r="D49" s="78">
        <f>SUM(D37:D48)</f>
        <v>5.8136874091235195E-4</v>
      </c>
      <c r="E49" s="79"/>
      <c r="F49" s="76" t="s">
        <v>17</v>
      </c>
      <c r="G49" s="77">
        <f>SUM(G37:G48)</f>
        <v>-13649952</v>
      </c>
      <c r="H49" s="78">
        <f>SUM(H37:H48)</f>
        <v>-2.9353622994184704E-3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15991.0767</v>
      </c>
      <c r="H53" s="69">
        <f t="shared" ref="H53:H64" si="7">+IF(G53/$C$115=0,"",G53/$C$115)</f>
        <v>1.3071045840823135E-4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/>
      <c r="D58" s="69" t="str">
        <f t="shared" si="6"/>
        <v/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119527.1434</v>
      </c>
      <c r="H60" s="69">
        <f t="shared" si="7"/>
        <v>9.770103664151898E-4</v>
      </c>
    </row>
    <row r="61" spans="2:10" x14ac:dyDescent="0.2">
      <c r="B61" s="65" t="s">
        <v>13</v>
      </c>
      <c r="C61" s="72">
        <v>-97440897</v>
      </c>
      <c r="D61" s="69">
        <f t="shared" si="6"/>
        <v>-4.601877228470796E-3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/>
      <c r="H63" s="69" t="str">
        <f t="shared" si="7"/>
        <v/>
      </c>
    </row>
    <row r="64" spans="2:10" x14ac:dyDescent="0.2">
      <c r="B64" s="65" t="s">
        <v>16</v>
      </c>
      <c r="C64" s="72">
        <v>-41439</v>
      </c>
      <c r="D64" s="69">
        <f t="shared" si="6"/>
        <v>-1.9570549568175803E-6</v>
      </c>
      <c r="E64" s="68"/>
      <c r="F64" s="65" t="s">
        <v>16</v>
      </c>
      <c r="G64" s="92">
        <v>-103.71</v>
      </c>
      <c r="H64" s="69">
        <f t="shared" si="7"/>
        <v>-8.4772163224741913E-7</v>
      </c>
    </row>
    <row r="65" spans="2:8" s="80" customFormat="1" x14ac:dyDescent="0.2">
      <c r="B65" s="76" t="s">
        <v>17</v>
      </c>
      <c r="C65" s="77">
        <f>SUM(C53:C64)</f>
        <v>-97482336</v>
      </c>
      <c r="D65" s="78">
        <f>SUM(D53:D64)</f>
        <v>-4.6038342834276132E-3</v>
      </c>
      <c r="E65" s="79"/>
      <c r="F65" s="76" t="s">
        <v>17</v>
      </c>
      <c r="G65" s="77">
        <f>SUM(G53:G64)</f>
        <v>135414.51010000001</v>
      </c>
      <c r="H65" s="78">
        <f>SUM(H53:H64)</f>
        <v>1.1068731031911737E-3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668651</v>
      </c>
      <c r="D72" s="69">
        <f t="shared" si="8"/>
        <v>4.976912623283706E-5</v>
      </c>
      <c r="E72" s="68"/>
      <c r="F72" s="65" t="s">
        <v>9</v>
      </c>
      <c r="G72" s="66">
        <v>401560</v>
      </c>
      <c r="H72" s="69">
        <f t="shared" si="9"/>
        <v>6.2348240603994458E-5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-56838076</v>
      </c>
      <c r="D76" s="69">
        <f t="shared" si="8"/>
        <v>-4.2305797482925867E-3</v>
      </c>
      <c r="E76" s="68"/>
      <c r="F76" s="65" t="s">
        <v>13</v>
      </c>
      <c r="G76" s="72">
        <v>-255344</v>
      </c>
      <c r="H76" s="69">
        <f t="shared" si="9"/>
        <v>-3.9646003458477834E-5</v>
      </c>
    </row>
    <row r="77" spans="2:8" x14ac:dyDescent="0.2">
      <c r="B77" s="65" t="s">
        <v>14</v>
      </c>
      <c r="C77" s="66">
        <v>42971637</v>
      </c>
      <c r="D77" s="69">
        <f t="shared" si="8"/>
        <v>3.1984709905236836E-3</v>
      </c>
      <c r="E77" s="68"/>
      <c r="F77" s="65" t="s">
        <v>14</v>
      </c>
      <c r="G77" s="66">
        <v>21355055</v>
      </c>
      <c r="H77" s="69">
        <f t="shared" si="9"/>
        <v>3.3156940612898067E-3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-21157</v>
      </c>
      <c r="D79" s="69">
        <f t="shared" si="8"/>
        <v>-1.5747608299518489E-6</v>
      </c>
      <c r="E79" s="68"/>
      <c r="F79" s="65" t="s">
        <v>16</v>
      </c>
      <c r="G79" s="72">
        <v>-16075</v>
      </c>
      <c r="H79" s="69">
        <f t="shared" si="9"/>
        <v>-2.4958859640133751E-6</v>
      </c>
    </row>
    <row r="80" spans="2:8" s="80" customFormat="1" x14ac:dyDescent="0.2">
      <c r="B80" s="76" t="s">
        <v>17</v>
      </c>
      <c r="C80" s="77">
        <f>SUM(C68:C79)</f>
        <v>-13218945</v>
      </c>
      <c r="D80" s="78">
        <f>SUM(D68:D79)</f>
        <v>-9.8391439236601751E-4</v>
      </c>
      <c r="E80" s="79"/>
      <c r="F80" s="76" t="s">
        <v>17</v>
      </c>
      <c r="G80" s="77">
        <f>SUM(G68:G79)</f>
        <v>21485196</v>
      </c>
      <c r="H80" s="78">
        <f>SUM(H68:H79)</f>
        <v>3.3359004124713099E-3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21755610810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21174162665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13435056040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4650176233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6440598742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58753256570</v>
      </c>
      <c r="D111" s="193">
        <v>7869937369</v>
      </c>
      <c r="F111" s="106">
        <f>+C111+D111</f>
        <v>66623193939</v>
      </c>
      <c r="G111" s="62"/>
      <c r="H111" s="62"/>
    </row>
    <row r="112" spans="2:8" x14ac:dyDescent="0.2">
      <c r="B112" s="189" t="s">
        <v>18</v>
      </c>
      <c r="C112" s="192">
        <v>36534175.789999999</v>
      </c>
      <c r="D112" s="193">
        <v>503104.56</v>
      </c>
      <c r="F112" s="106">
        <f>+C112+D112</f>
        <v>37037280.350000001</v>
      </c>
      <c r="H112" s="75"/>
    </row>
    <row r="113" spans="1:13" x14ac:dyDescent="0.2">
      <c r="B113" s="189" t="s">
        <v>4</v>
      </c>
      <c r="C113" s="190">
        <v>7087766698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76369033757</v>
      </c>
      <c r="D114" s="107"/>
      <c r="F114" s="106"/>
      <c r="H114" s="75"/>
    </row>
    <row r="115" spans="1:13" x14ac:dyDescent="0.2">
      <c r="B115" s="189" t="s">
        <v>25</v>
      </c>
      <c r="C115" s="192">
        <v>122339688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903" priority="46" stopIfTrue="1" operator="lessThan">
      <formula>0</formula>
    </cfRule>
  </conditionalFormatting>
  <conditionalFormatting sqref="C89">
    <cfRule type="cellIs" dxfId="1902" priority="43" stopIfTrue="1" operator="lessThan">
      <formula>0</formula>
    </cfRule>
  </conditionalFormatting>
  <conditionalFormatting sqref="C85">
    <cfRule type="cellIs" dxfId="1901" priority="45" stopIfTrue="1" operator="lessThan">
      <formula>0</formula>
    </cfRule>
  </conditionalFormatting>
  <conditionalFormatting sqref="C7:C9">
    <cfRule type="cellIs" dxfId="1900" priority="42" stopIfTrue="1" operator="lessThan">
      <formula>0</formula>
    </cfRule>
  </conditionalFormatting>
  <conditionalFormatting sqref="C10:C13">
    <cfRule type="cellIs" dxfId="1899" priority="40" stopIfTrue="1" operator="lessThan">
      <formula>0</formula>
    </cfRule>
  </conditionalFormatting>
  <conditionalFormatting sqref="C88">
    <cfRule type="cellIs" dxfId="1898" priority="44" stopIfTrue="1" operator="lessThan">
      <formula>0</formula>
    </cfRule>
  </conditionalFormatting>
  <conditionalFormatting sqref="C101">
    <cfRule type="cellIs" dxfId="1897" priority="39" stopIfTrue="1" operator="lessThan">
      <formula>0</formula>
    </cfRule>
  </conditionalFormatting>
  <conditionalFormatting sqref="C7">
    <cfRule type="cellIs" dxfId="1896" priority="41" stopIfTrue="1" operator="lessThan">
      <formula>0</formula>
    </cfRule>
  </conditionalFormatting>
  <conditionalFormatting sqref="C29:C33">
    <cfRule type="cellIs" dxfId="1895" priority="34" stopIfTrue="1" operator="lessThan">
      <formula>0</formula>
    </cfRule>
  </conditionalFormatting>
  <conditionalFormatting sqref="G7:G9">
    <cfRule type="cellIs" dxfId="1894" priority="37" stopIfTrue="1" operator="lessThan">
      <formula>0</formula>
    </cfRule>
  </conditionalFormatting>
  <conditionalFormatting sqref="C22">
    <cfRule type="cellIs" dxfId="1893" priority="32" stopIfTrue="1" operator="lessThan">
      <formula>0</formula>
    </cfRule>
  </conditionalFormatting>
  <conditionalFormatting sqref="C25:C28">
    <cfRule type="cellIs" dxfId="1892" priority="31" stopIfTrue="1" operator="lessThan">
      <formula>0</formula>
    </cfRule>
  </conditionalFormatting>
  <conditionalFormatting sqref="G14:G18">
    <cfRule type="cellIs" dxfId="1891" priority="38" stopIfTrue="1" operator="lessThan">
      <formula>0</formula>
    </cfRule>
  </conditionalFormatting>
  <conditionalFormatting sqref="G7">
    <cfRule type="cellIs" dxfId="1890" priority="36" stopIfTrue="1" operator="lessThan">
      <formula>0</formula>
    </cfRule>
  </conditionalFormatting>
  <conditionalFormatting sqref="G10:G13">
    <cfRule type="cellIs" dxfId="1889" priority="35" stopIfTrue="1" operator="lessThan">
      <formula>0</formula>
    </cfRule>
  </conditionalFormatting>
  <conditionalFormatting sqref="C22:C24">
    <cfRule type="cellIs" dxfId="1888" priority="33" stopIfTrue="1" operator="lessThan">
      <formula>0</formula>
    </cfRule>
  </conditionalFormatting>
  <conditionalFormatting sqref="G22">
    <cfRule type="cellIs" dxfId="1887" priority="28" stopIfTrue="1" operator="lessThan">
      <formula>0</formula>
    </cfRule>
  </conditionalFormatting>
  <conditionalFormatting sqref="G29:G33">
    <cfRule type="cellIs" dxfId="1886" priority="30" stopIfTrue="1" operator="lessThan">
      <formula>0</formula>
    </cfRule>
  </conditionalFormatting>
  <conditionalFormatting sqref="G22:G24">
    <cfRule type="cellIs" dxfId="1885" priority="29" stopIfTrue="1" operator="lessThan">
      <formula>0</formula>
    </cfRule>
  </conditionalFormatting>
  <conditionalFormatting sqref="G25:G28">
    <cfRule type="cellIs" dxfId="1884" priority="27" stopIfTrue="1" operator="lessThan">
      <formula>0</formula>
    </cfRule>
  </conditionalFormatting>
  <conditionalFormatting sqref="C40:C43">
    <cfRule type="cellIs" dxfId="1883" priority="23" stopIfTrue="1" operator="lessThan">
      <formula>0</formula>
    </cfRule>
  </conditionalFormatting>
  <conditionalFormatting sqref="G44:G48">
    <cfRule type="cellIs" dxfId="1882" priority="22" stopIfTrue="1" operator="lessThan">
      <formula>0</formula>
    </cfRule>
  </conditionalFormatting>
  <conditionalFormatting sqref="G37">
    <cfRule type="cellIs" dxfId="1881" priority="20" stopIfTrue="1" operator="lessThan">
      <formula>0</formula>
    </cfRule>
  </conditionalFormatting>
  <conditionalFormatting sqref="C44:C48">
    <cfRule type="cellIs" dxfId="1880" priority="26" stopIfTrue="1" operator="lessThan">
      <formula>0</formula>
    </cfRule>
  </conditionalFormatting>
  <conditionalFormatting sqref="C37:C39">
    <cfRule type="cellIs" dxfId="1879" priority="25" stopIfTrue="1" operator="lessThan">
      <formula>0</formula>
    </cfRule>
  </conditionalFormatting>
  <conditionalFormatting sqref="C37">
    <cfRule type="cellIs" dxfId="1878" priority="24" stopIfTrue="1" operator="lessThan">
      <formula>0</formula>
    </cfRule>
  </conditionalFormatting>
  <conditionalFormatting sqref="C56:C59">
    <cfRule type="cellIs" dxfId="1877" priority="15" stopIfTrue="1" operator="lessThan">
      <formula>0</formula>
    </cfRule>
  </conditionalFormatting>
  <conditionalFormatting sqref="G60:G63">
    <cfRule type="cellIs" dxfId="1876" priority="14" stopIfTrue="1" operator="lessThan">
      <formula>0</formula>
    </cfRule>
  </conditionalFormatting>
  <conditionalFormatting sqref="G37:G39">
    <cfRule type="cellIs" dxfId="1875" priority="21" stopIfTrue="1" operator="lessThan">
      <formula>0</formula>
    </cfRule>
  </conditionalFormatting>
  <conditionalFormatting sqref="G53">
    <cfRule type="cellIs" dxfId="1874" priority="12" stopIfTrue="1" operator="lessThan">
      <formula>0</formula>
    </cfRule>
  </conditionalFormatting>
  <conditionalFormatting sqref="G40:G43">
    <cfRule type="cellIs" dxfId="1873" priority="19" stopIfTrue="1" operator="lessThan">
      <formula>0</formula>
    </cfRule>
  </conditionalFormatting>
  <conditionalFormatting sqref="C60:C64">
    <cfRule type="cellIs" dxfId="1872" priority="18" stopIfTrue="1" operator="lessThan">
      <formula>0</formula>
    </cfRule>
  </conditionalFormatting>
  <conditionalFormatting sqref="C53:C55">
    <cfRule type="cellIs" dxfId="1871" priority="17" stopIfTrue="1" operator="lessThan">
      <formula>0</formula>
    </cfRule>
  </conditionalFormatting>
  <conditionalFormatting sqref="C53">
    <cfRule type="cellIs" dxfId="1870" priority="16" stopIfTrue="1" operator="lessThan">
      <formula>0</formula>
    </cfRule>
  </conditionalFormatting>
  <conditionalFormatting sqref="G53:G55">
    <cfRule type="cellIs" dxfId="1869" priority="13" stopIfTrue="1" operator="lessThan">
      <formula>0</formula>
    </cfRule>
  </conditionalFormatting>
  <conditionalFormatting sqref="G56:G59">
    <cfRule type="cellIs" dxfId="1868" priority="11" stopIfTrue="1" operator="lessThan">
      <formula>0</formula>
    </cfRule>
  </conditionalFormatting>
  <conditionalFormatting sqref="C75:C78">
    <cfRule type="cellIs" dxfId="1867" priority="10" stopIfTrue="1" operator="lessThan">
      <formula>0</formula>
    </cfRule>
  </conditionalFormatting>
  <conditionalFormatting sqref="C68:C70">
    <cfRule type="cellIs" dxfId="1866" priority="9" stopIfTrue="1" operator="lessThan">
      <formula>0</formula>
    </cfRule>
  </conditionalFormatting>
  <conditionalFormatting sqref="C68">
    <cfRule type="cellIs" dxfId="1865" priority="8" stopIfTrue="1" operator="lessThan">
      <formula>0</formula>
    </cfRule>
  </conditionalFormatting>
  <conditionalFormatting sqref="C71:C74">
    <cfRule type="cellIs" dxfId="1864" priority="7" stopIfTrue="1" operator="lessThan">
      <formula>0</formula>
    </cfRule>
  </conditionalFormatting>
  <conditionalFormatting sqref="G75:G79">
    <cfRule type="cellIs" dxfId="1863" priority="6" stopIfTrue="1" operator="lessThan">
      <formula>0</formula>
    </cfRule>
  </conditionalFormatting>
  <conditionalFormatting sqref="G68:G70">
    <cfRule type="cellIs" dxfId="1862" priority="5" stopIfTrue="1" operator="lessThan">
      <formula>0</formula>
    </cfRule>
  </conditionalFormatting>
  <conditionalFormatting sqref="G68">
    <cfRule type="cellIs" dxfId="1861" priority="4" stopIfTrue="1" operator="lessThan">
      <formula>0</formula>
    </cfRule>
  </conditionalFormatting>
  <conditionalFormatting sqref="G71:G74">
    <cfRule type="cellIs" dxfId="1860" priority="3" stopIfTrue="1" operator="lessThan">
      <formula>0</formula>
    </cfRule>
  </conditionalFormatting>
  <conditionalFormatting sqref="G64">
    <cfRule type="cellIs" dxfId="1859" priority="2" stopIfTrue="1" operator="lessThan">
      <formula>0</formula>
    </cfRule>
  </conditionalFormatting>
  <conditionalFormatting sqref="C79">
    <cfRule type="cellIs" dxfId="1858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43067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4791352</v>
      </c>
      <c r="D7" s="67">
        <f>+IF(C7/$F$111=0,"",C7/$F$111)</f>
        <v>7.6102840134725634E-5</v>
      </c>
      <c r="E7" s="68"/>
      <c r="F7" s="65" t="s">
        <v>5</v>
      </c>
      <c r="G7" s="66">
        <v>703431</v>
      </c>
      <c r="H7" s="69">
        <f>+IF(G7/$C$113=0,"",G7/$C$113)</f>
        <v>9.8426618397342905E-5</v>
      </c>
      <c r="I7" s="70"/>
    </row>
    <row r="8" spans="1:9" x14ac:dyDescent="0.2">
      <c r="B8" s="65" t="s">
        <v>6</v>
      </c>
      <c r="C8" s="66">
        <v>531653</v>
      </c>
      <c r="D8" s="67">
        <f>+IF(C8/$F$111=0,"",C8/$F$111)</f>
        <v>8.4444439202436576E-6</v>
      </c>
      <c r="E8" s="68"/>
      <c r="F8" s="65" t="s">
        <v>6</v>
      </c>
      <c r="G8" s="66">
        <v>315918</v>
      </c>
      <c r="H8" s="69">
        <f>+IF(G8/$C$113=0,"",G8/$C$113)</f>
        <v>4.4204393083119418E-5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121968</v>
      </c>
      <c r="H11" s="69">
        <f t="shared" si="0"/>
        <v>1.7066205203761449E-5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-13254916</v>
      </c>
      <c r="H14" s="69">
        <f t="shared" si="0"/>
        <v>-1.8546759511890076E-3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405927</v>
      </c>
      <c r="D17" s="67">
        <f>+IF(C17/$F$111=0,"",C17/$F$111)</f>
        <v>6.4474907264940609E-6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-318103</v>
      </c>
      <c r="D18" s="67">
        <f>+IF(C18/$F$111=0,"",C18/$F$111)</f>
        <v>-5.052549208527495E-6</v>
      </c>
      <c r="E18" s="75"/>
      <c r="F18" s="65" t="s">
        <v>16</v>
      </c>
      <c r="G18" s="72">
        <v>-27576</v>
      </c>
      <c r="H18" s="69">
        <f t="shared" si="0"/>
        <v>-3.858533998253031E-6</v>
      </c>
    </row>
    <row r="19" spans="2:9" s="80" customFormat="1" x14ac:dyDescent="0.2">
      <c r="B19" s="76" t="s">
        <v>17</v>
      </c>
      <c r="C19" s="77">
        <f>SUM(C7:C18)</f>
        <v>5410829</v>
      </c>
      <c r="D19" s="78">
        <f>SUM(D7:D18)</f>
        <v>8.5942225572935844E-5</v>
      </c>
      <c r="E19" s="79"/>
      <c r="F19" s="76" t="s">
        <v>17</v>
      </c>
      <c r="G19" s="77">
        <f>SUM(G7:G18)</f>
        <v>-12141175</v>
      </c>
      <c r="H19" s="78">
        <f>SUM(H7:H18)</f>
        <v>-1.6988372685030368E-3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2088.2883999999999</v>
      </c>
      <c r="D22" s="69">
        <f>+IF(C22/$F$112=0,"",C22/$F$112)</f>
        <v>5.6428024222775779E-5</v>
      </c>
      <c r="E22" s="75"/>
      <c r="F22" s="65" t="s">
        <v>5</v>
      </c>
      <c r="G22" s="66">
        <v>1481702</v>
      </c>
      <c r="H22" s="69">
        <f t="shared" ref="H22:H33" si="2">+IF(G22/$C$106=0,"",G22/$C$106)</f>
        <v>6.8252136588783371E-5</v>
      </c>
      <c r="I22" s="114"/>
    </row>
    <row r="23" spans="2:9" x14ac:dyDescent="0.2">
      <c r="B23" s="65" t="s">
        <v>44</v>
      </c>
      <c r="C23" s="71">
        <v>-204520.67559999999</v>
      </c>
      <c r="D23" s="69">
        <f>+IF(C23/$F$112=0,"",C23/$F$112)</f>
        <v>-5.5263907211356754E-3</v>
      </c>
      <c r="E23" s="75"/>
      <c r="F23" s="65" t="s">
        <v>6</v>
      </c>
      <c r="G23" s="66">
        <v>1396717</v>
      </c>
      <c r="H23" s="69">
        <f t="shared" si="2"/>
        <v>6.4337444006875704E-5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-76.549529047935721</v>
      </c>
      <c r="D26" s="69">
        <f>+IF(C26/$F$112=0,"",C26/$F$112)</f>
        <v>-2.0684588773078444E-6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204181.14400407768</v>
      </c>
      <c r="D27" s="69">
        <f t="shared" ref="D27:D33" si="3">+IF(C27/$F$112=0,"",C27/$F$112)</f>
        <v>5.5172161755513106E-3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-4929919</v>
      </c>
      <c r="H29" s="69">
        <f t="shared" si="2"/>
        <v>-2.2708851372248826E-4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-118.2</v>
      </c>
      <c r="D33" s="69">
        <f t="shared" si="3"/>
        <v>-3.1939038990649457E-6</v>
      </c>
      <c r="E33" s="75"/>
      <c r="F33" s="65" t="s">
        <v>16</v>
      </c>
      <c r="G33" s="72">
        <v>-28425</v>
      </c>
      <c r="H33" s="69">
        <f t="shared" si="2"/>
        <v>-1.3093503164173142E-6</v>
      </c>
    </row>
    <row r="34" spans="1:13" s="80" customFormat="1" x14ac:dyDescent="0.2">
      <c r="B34" s="76" t="s">
        <v>17</v>
      </c>
      <c r="C34" s="93">
        <f>SUM(C22:C33)</f>
        <v>1554.0072750297375</v>
      </c>
      <c r="D34" s="78">
        <f>SUM(D22:D33)</f>
        <v>4.1991115862038068E-5</v>
      </c>
      <c r="E34" s="79"/>
      <c r="F34" s="76" t="s">
        <v>17</v>
      </c>
      <c r="G34" s="93">
        <f>SUM(G22:G33)</f>
        <v>-2079925</v>
      </c>
      <c r="H34" s="78">
        <f>SUM(H22:H33)</f>
        <v>-9.5808283443246496E-5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4148059</v>
      </c>
      <c r="D37" s="69">
        <f t="shared" ref="D37:D48" si="4">+IF(C37/$C$114=0,"",C37/$C$114)</f>
        <v>5.5189868041193412E-5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7485539</v>
      </c>
      <c r="D38" s="69">
        <f t="shared" si="4"/>
        <v>9.9594993616823404E-5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>
        <v>-3232109</v>
      </c>
      <c r="H39" s="69">
        <f t="shared" si="5"/>
        <v>-6.9725417458379774E-4</v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-77680298</v>
      </c>
      <c r="D44" s="69">
        <f t="shared" si="4"/>
        <v>-1.0335352983215959E-3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-5863937</v>
      </c>
      <c r="D45" s="69">
        <f t="shared" si="4"/>
        <v>-7.8019601271792798E-5</v>
      </c>
      <c r="E45" s="68"/>
      <c r="F45" s="65" t="s">
        <v>13</v>
      </c>
      <c r="G45" s="72">
        <v>20185735</v>
      </c>
      <c r="H45" s="69">
        <f t="shared" si="5"/>
        <v>4.3546142768676049E-3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-1966887</v>
      </c>
      <c r="D47" s="69">
        <f t="shared" si="4"/>
        <v>-2.6169404529187935E-5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-197510</v>
      </c>
      <c r="D48" s="69">
        <f t="shared" si="4"/>
        <v>-2.6278678381421553E-6</v>
      </c>
      <c r="E48" s="68"/>
      <c r="F48" s="65" t="s">
        <v>16</v>
      </c>
      <c r="G48" s="72">
        <v>-18696</v>
      </c>
      <c r="H48" s="69">
        <f t="shared" si="5"/>
        <v>-4.0332377552918795E-6</v>
      </c>
    </row>
    <row r="49" spans="2:10" s="80" customFormat="1" x14ac:dyDescent="0.2">
      <c r="B49" s="76" t="s">
        <v>17</v>
      </c>
      <c r="C49" s="77">
        <f>SUM(C37:C48)</f>
        <v>-74075034</v>
      </c>
      <c r="D49" s="78">
        <f>SUM(D37:D48)</f>
        <v>-9.8556731030270185E-4</v>
      </c>
      <c r="E49" s="79"/>
      <c r="F49" s="76" t="s">
        <v>17</v>
      </c>
      <c r="G49" s="77">
        <f>SUM(G37:G48)</f>
        <v>16934930</v>
      </c>
      <c r="H49" s="78">
        <f>SUM(H37:H48)</f>
        <v>3.6533268645285153E-3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15991.160099999999</v>
      </c>
      <c r="H53" s="69">
        <f t="shared" ref="H53:H64" si="7">+IF(G53/$C$115=0,"",G53/$C$115)</f>
        <v>1.3056836074203489E-4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>
        <v>-8446097</v>
      </c>
      <c r="D55" s="69">
        <f t="shared" si="6"/>
        <v>-4.0082878104850863E-4</v>
      </c>
      <c r="E55" s="68"/>
      <c r="F55" s="65" t="s">
        <v>7</v>
      </c>
      <c r="G55" s="71"/>
      <c r="H55" s="69" t="str">
        <f t="shared" si="7"/>
        <v/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>
        <v>1281358</v>
      </c>
      <c r="D58" s="69">
        <f t="shared" si="6"/>
        <v>6.0809763992380732E-5</v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76427.701700000005</v>
      </c>
      <c r="H60" s="69">
        <f t="shared" si="7"/>
        <v>6.240347581943248E-4</v>
      </c>
    </row>
    <row r="61" spans="2:10" x14ac:dyDescent="0.2">
      <c r="B61" s="65" t="s">
        <v>13</v>
      </c>
      <c r="C61" s="72">
        <v>117741230</v>
      </c>
      <c r="D61" s="69">
        <f t="shared" si="6"/>
        <v>5.5876783915756708E-3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>
        <v>752.21</v>
      </c>
      <c r="H63" s="69">
        <f t="shared" si="7"/>
        <v>6.1418199817639303E-6</v>
      </c>
    </row>
    <row r="64" spans="2:10" x14ac:dyDescent="0.2">
      <c r="B64" s="65" t="s">
        <v>16</v>
      </c>
      <c r="C64" s="72">
        <v>-173191</v>
      </c>
      <c r="D64" s="69">
        <f t="shared" si="6"/>
        <v>-8.2191735920830964E-6</v>
      </c>
      <c r="E64" s="68"/>
      <c r="F64" s="65" t="s">
        <v>16</v>
      </c>
      <c r="G64" s="92">
        <v>-103.64</v>
      </c>
      <c r="H64" s="69">
        <f t="shared" si="7"/>
        <v>-8.4622409022748126E-7</v>
      </c>
    </row>
    <row r="65" spans="2:8" s="80" customFormat="1" x14ac:dyDescent="0.2">
      <c r="B65" s="76" t="s">
        <v>17</v>
      </c>
      <c r="C65" s="77">
        <f>SUM(C53:C64)</f>
        <v>110403300</v>
      </c>
      <c r="D65" s="78">
        <f>SUM(D53:D64)</f>
        <v>5.2394402009274602E-3</v>
      </c>
      <c r="E65" s="79"/>
      <c r="F65" s="76" t="s">
        <v>17</v>
      </c>
      <c r="G65" s="93">
        <f>SUM(G53:G64)</f>
        <v>93067.431800000006</v>
      </c>
      <c r="H65" s="78">
        <f>SUM(H53:H64)</f>
        <v>7.5989871482789605E-4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1284187</v>
      </c>
      <c r="D72" s="69">
        <f t="shared" si="8"/>
        <v>9.5576154675684839E-5</v>
      </c>
      <c r="E72" s="68"/>
      <c r="F72" s="65" t="s">
        <v>9</v>
      </c>
      <c r="G72" s="66">
        <v>992645</v>
      </c>
      <c r="H72" s="69">
        <f t="shared" si="9"/>
        <v>1.5361586582032208E-4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98979563</v>
      </c>
      <c r="D76" s="69">
        <f t="shared" si="8"/>
        <v>7.3665953813733453E-3</v>
      </c>
      <c r="E76" s="68"/>
      <c r="F76" s="65" t="s">
        <v>13</v>
      </c>
      <c r="G76" s="72">
        <v>4942307</v>
      </c>
      <c r="H76" s="69">
        <f t="shared" si="9"/>
        <v>7.6484218321236548E-4</v>
      </c>
    </row>
    <row r="77" spans="2:8" x14ac:dyDescent="0.2">
      <c r="B77" s="65" t="s">
        <v>14</v>
      </c>
      <c r="C77" s="66">
        <v>106978942</v>
      </c>
      <c r="D77" s="69">
        <f t="shared" si="8"/>
        <v>7.9619525097459464E-3</v>
      </c>
      <c r="E77" s="68"/>
      <c r="F77" s="65" t="s">
        <v>14</v>
      </c>
      <c r="G77" s="66">
        <v>52830022</v>
      </c>
      <c r="H77" s="69">
        <f t="shared" si="9"/>
        <v>8.1756615616223969E-3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-21157</v>
      </c>
      <c r="D79" s="69">
        <f t="shared" si="8"/>
        <v>-1.574618575389304E-6</v>
      </c>
      <c r="E79" s="68"/>
      <c r="F79" s="65" t="s">
        <v>16</v>
      </c>
      <c r="G79" s="72">
        <v>-16076</v>
      </c>
      <c r="H79" s="69">
        <f t="shared" si="9"/>
        <v>-2.4878266237451432E-6</v>
      </c>
    </row>
    <row r="80" spans="2:8" s="80" customFormat="1" x14ac:dyDescent="0.2">
      <c r="B80" s="76" t="s">
        <v>17</v>
      </c>
      <c r="C80" s="77">
        <f>SUM(C68:C79)</f>
        <v>207221535</v>
      </c>
      <c r="D80" s="78">
        <f>SUM(D68:D79)</f>
        <v>1.5422549427219587E-2</v>
      </c>
      <c r="E80" s="79"/>
      <c r="F80" s="76" t="s">
        <v>17</v>
      </c>
      <c r="G80" s="77">
        <f>SUM(G68:G79)</f>
        <v>58748898</v>
      </c>
      <c r="H80" s="78">
        <f>SUM(H68:H79)</f>
        <v>9.0916317840313392E-3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21709239799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21071583178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13436269793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4635481748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6461865086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58053787266</v>
      </c>
      <c r="D111" s="193">
        <v>4905124537</v>
      </c>
      <c r="F111" s="106">
        <f>+C111+D111</f>
        <v>62958911803</v>
      </c>
      <c r="G111" s="62"/>
      <c r="H111" s="62"/>
    </row>
    <row r="112" spans="2:8" x14ac:dyDescent="0.2">
      <c r="B112" s="189" t="s">
        <v>18</v>
      </c>
      <c r="C112" s="192">
        <v>36998001.409999996</v>
      </c>
      <c r="D112" s="193">
        <v>10000</v>
      </c>
      <c r="F112" s="106">
        <f>+C112+D112</f>
        <v>37008001.409999996</v>
      </c>
      <c r="H112" s="75"/>
    </row>
    <row r="113" spans="1:13" x14ac:dyDescent="0.2">
      <c r="B113" s="189" t="s">
        <v>4</v>
      </c>
      <c r="C113" s="190">
        <v>7146755740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75159791955</v>
      </c>
      <c r="D114" s="107"/>
      <c r="F114" s="106"/>
      <c r="H114" s="75"/>
    </row>
    <row r="115" spans="1:13" x14ac:dyDescent="0.2">
      <c r="B115" s="189" t="s">
        <v>25</v>
      </c>
      <c r="C115" s="192">
        <v>122473469.14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857" priority="46" stopIfTrue="1" operator="lessThan">
      <formula>0</formula>
    </cfRule>
  </conditionalFormatting>
  <conditionalFormatting sqref="C89">
    <cfRule type="cellIs" dxfId="1856" priority="43" stopIfTrue="1" operator="lessThan">
      <formula>0</formula>
    </cfRule>
  </conditionalFormatting>
  <conditionalFormatting sqref="C85">
    <cfRule type="cellIs" dxfId="1855" priority="45" stopIfTrue="1" operator="lessThan">
      <formula>0</formula>
    </cfRule>
  </conditionalFormatting>
  <conditionalFormatting sqref="C7:C9">
    <cfRule type="cellIs" dxfId="1854" priority="42" stopIfTrue="1" operator="lessThan">
      <formula>0</formula>
    </cfRule>
  </conditionalFormatting>
  <conditionalFormatting sqref="C10:C13">
    <cfRule type="cellIs" dxfId="1853" priority="40" stopIfTrue="1" operator="lessThan">
      <formula>0</formula>
    </cfRule>
  </conditionalFormatting>
  <conditionalFormatting sqref="C88">
    <cfRule type="cellIs" dxfId="1852" priority="44" stopIfTrue="1" operator="lessThan">
      <formula>0</formula>
    </cfRule>
  </conditionalFormatting>
  <conditionalFormatting sqref="C101">
    <cfRule type="cellIs" dxfId="1851" priority="39" stopIfTrue="1" operator="lessThan">
      <formula>0</formula>
    </cfRule>
  </conditionalFormatting>
  <conditionalFormatting sqref="C7">
    <cfRule type="cellIs" dxfId="1850" priority="41" stopIfTrue="1" operator="lessThan">
      <formula>0</formula>
    </cfRule>
  </conditionalFormatting>
  <conditionalFormatting sqref="C29:C33">
    <cfRule type="cellIs" dxfId="1849" priority="34" stopIfTrue="1" operator="lessThan">
      <formula>0</formula>
    </cfRule>
  </conditionalFormatting>
  <conditionalFormatting sqref="G7:G9">
    <cfRule type="cellIs" dxfId="1848" priority="37" stopIfTrue="1" operator="lessThan">
      <formula>0</formula>
    </cfRule>
  </conditionalFormatting>
  <conditionalFormatting sqref="C22">
    <cfRule type="cellIs" dxfId="1847" priority="32" stopIfTrue="1" operator="lessThan">
      <formula>0</formula>
    </cfRule>
  </conditionalFormatting>
  <conditionalFormatting sqref="C25:C28">
    <cfRule type="cellIs" dxfId="1846" priority="31" stopIfTrue="1" operator="lessThan">
      <formula>0</formula>
    </cfRule>
  </conditionalFormatting>
  <conditionalFormatting sqref="G14:G18">
    <cfRule type="cellIs" dxfId="1845" priority="38" stopIfTrue="1" operator="lessThan">
      <formula>0</formula>
    </cfRule>
  </conditionalFormatting>
  <conditionalFormatting sqref="G7">
    <cfRule type="cellIs" dxfId="1844" priority="36" stopIfTrue="1" operator="lessThan">
      <formula>0</formula>
    </cfRule>
  </conditionalFormatting>
  <conditionalFormatting sqref="G10:G13">
    <cfRule type="cellIs" dxfId="1843" priority="35" stopIfTrue="1" operator="lessThan">
      <formula>0</formula>
    </cfRule>
  </conditionalFormatting>
  <conditionalFormatting sqref="C22:C24">
    <cfRule type="cellIs" dxfId="1842" priority="33" stopIfTrue="1" operator="lessThan">
      <formula>0</formula>
    </cfRule>
  </conditionalFormatting>
  <conditionalFormatting sqref="G22">
    <cfRule type="cellIs" dxfId="1841" priority="28" stopIfTrue="1" operator="lessThan">
      <formula>0</formula>
    </cfRule>
  </conditionalFormatting>
  <conditionalFormatting sqref="G29:G33">
    <cfRule type="cellIs" dxfId="1840" priority="30" stopIfTrue="1" operator="lessThan">
      <formula>0</formula>
    </cfRule>
  </conditionalFormatting>
  <conditionalFormatting sqref="G22:G24">
    <cfRule type="cellIs" dxfId="1839" priority="29" stopIfTrue="1" operator="lessThan">
      <formula>0</formula>
    </cfRule>
  </conditionalFormatting>
  <conditionalFormatting sqref="G25:G28">
    <cfRule type="cellIs" dxfId="1838" priority="27" stopIfTrue="1" operator="lessThan">
      <formula>0</formula>
    </cfRule>
  </conditionalFormatting>
  <conditionalFormatting sqref="C40:C43">
    <cfRule type="cellIs" dxfId="1837" priority="23" stopIfTrue="1" operator="lessThan">
      <formula>0</formula>
    </cfRule>
  </conditionalFormatting>
  <conditionalFormatting sqref="G44:G48">
    <cfRule type="cellIs" dxfId="1836" priority="22" stopIfTrue="1" operator="lessThan">
      <formula>0</formula>
    </cfRule>
  </conditionalFormatting>
  <conditionalFormatting sqref="G37">
    <cfRule type="cellIs" dxfId="1835" priority="20" stopIfTrue="1" operator="lessThan">
      <formula>0</formula>
    </cfRule>
  </conditionalFormatting>
  <conditionalFormatting sqref="C44:C48">
    <cfRule type="cellIs" dxfId="1834" priority="26" stopIfTrue="1" operator="lessThan">
      <formula>0</formula>
    </cfRule>
  </conditionalFormatting>
  <conditionalFormatting sqref="C37:C39">
    <cfRule type="cellIs" dxfId="1833" priority="25" stopIfTrue="1" operator="lessThan">
      <formula>0</formula>
    </cfRule>
  </conditionalFormatting>
  <conditionalFormatting sqref="C37">
    <cfRule type="cellIs" dxfId="1832" priority="24" stopIfTrue="1" operator="lessThan">
      <formula>0</formula>
    </cfRule>
  </conditionalFormatting>
  <conditionalFormatting sqref="C56:C59">
    <cfRule type="cellIs" dxfId="1831" priority="15" stopIfTrue="1" operator="lessThan">
      <formula>0</formula>
    </cfRule>
  </conditionalFormatting>
  <conditionalFormatting sqref="G60:G63">
    <cfRule type="cellIs" dxfId="1830" priority="14" stopIfTrue="1" operator="lessThan">
      <formula>0</formula>
    </cfRule>
  </conditionalFormatting>
  <conditionalFormatting sqref="G37:G39">
    <cfRule type="cellIs" dxfId="1829" priority="21" stopIfTrue="1" operator="lessThan">
      <formula>0</formula>
    </cfRule>
  </conditionalFormatting>
  <conditionalFormatting sqref="G53">
    <cfRule type="cellIs" dxfId="1828" priority="12" stopIfTrue="1" operator="lessThan">
      <formula>0</formula>
    </cfRule>
  </conditionalFormatting>
  <conditionalFormatting sqref="G40:G43">
    <cfRule type="cellIs" dxfId="1827" priority="19" stopIfTrue="1" operator="lessThan">
      <formula>0</formula>
    </cfRule>
  </conditionalFormatting>
  <conditionalFormatting sqref="C60:C64">
    <cfRule type="cellIs" dxfId="1826" priority="18" stopIfTrue="1" operator="lessThan">
      <formula>0</formula>
    </cfRule>
  </conditionalFormatting>
  <conditionalFormatting sqref="C53:C55">
    <cfRule type="cellIs" dxfId="1825" priority="17" stopIfTrue="1" operator="lessThan">
      <formula>0</formula>
    </cfRule>
  </conditionalFormatting>
  <conditionalFormatting sqref="C53">
    <cfRule type="cellIs" dxfId="1824" priority="16" stopIfTrue="1" operator="lessThan">
      <formula>0</formula>
    </cfRule>
  </conditionalFormatting>
  <conditionalFormatting sqref="G53:G55">
    <cfRule type="cellIs" dxfId="1823" priority="13" stopIfTrue="1" operator="lessThan">
      <formula>0</formula>
    </cfRule>
  </conditionalFormatting>
  <conditionalFormatting sqref="G56:G59">
    <cfRule type="cellIs" dxfId="1822" priority="11" stopIfTrue="1" operator="lessThan">
      <formula>0</formula>
    </cfRule>
  </conditionalFormatting>
  <conditionalFormatting sqref="C75:C78">
    <cfRule type="cellIs" dxfId="1821" priority="10" stopIfTrue="1" operator="lessThan">
      <formula>0</formula>
    </cfRule>
  </conditionalFormatting>
  <conditionalFormatting sqref="C68:C70">
    <cfRule type="cellIs" dxfId="1820" priority="9" stopIfTrue="1" operator="lessThan">
      <formula>0</formula>
    </cfRule>
  </conditionalFormatting>
  <conditionalFormatting sqref="C68">
    <cfRule type="cellIs" dxfId="1819" priority="8" stopIfTrue="1" operator="lessThan">
      <formula>0</formula>
    </cfRule>
  </conditionalFormatting>
  <conditionalFormatting sqref="C71:C74">
    <cfRule type="cellIs" dxfId="1818" priority="7" stopIfTrue="1" operator="lessThan">
      <formula>0</formula>
    </cfRule>
  </conditionalFormatting>
  <conditionalFormatting sqref="G75:G79">
    <cfRule type="cellIs" dxfId="1817" priority="6" stopIfTrue="1" operator="lessThan">
      <formula>0</formula>
    </cfRule>
  </conditionalFormatting>
  <conditionalFormatting sqref="G68:G70">
    <cfRule type="cellIs" dxfId="1816" priority="5" stopIfTrue="1" operator="lessThan">
      <formula>0</formula>
    </cfRule>
  </conditionalFormatting>
  <conditionalFormatting sqref="G68">
    <cfRule type="cellIs" dxfId="1815" priority="4" stopIfTrue="1" operator="lessThan">
      <formula>0</formula>
    </cfRule>
  </conditionalFormatting>
  <conditionalFormatting sqref="G71:G74">
    <cfRule type="cellIs" dxfId="1814" priority="3" stopIfTrue="1" operator="lessThan">
      <formula>0</formula>
    </cfRule>
  </conditionalFormatting>
  <conditionalFormatting sqref="G64">
    <cfRule type="cellIs" dxfId="1813" priority="2" stopIfTrue="1" operator="lessThan">
      <formula>0</formula>
    </cfRule>
  </conditionalFormatting>
  <conditionalFormatting sqref="C79">
    <cfRule type="cellIs" dxfId="1812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dimension ref="A2:M121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43068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4610011</v>
      </c>
      <c r="D7" s="67">
        <f>+IF(C7/$F$111=0,"",C7/$F$111)</f>
        <v>7.3312636068882046E-5</v>
      </c>
      <c r="E7" s="68"/>
      <c r="F7" s="65" t="s">
        <v>5</v>
      </c>
      <c r="G7" s="66">
        <v>685700</v>
      </c>
      <c r="H7" s="69">
        <f>+IF(G7/$C$113=0,"",G7/$C$113)</f>
        <v>9.699456377636526E-5</v>
      </c>
      <c r="I7" s="70"/>
    </row>
    <row r="8" spans="1:9" x14ac:dyDescent="0.2">
      <c r="B8" s="65" t="s">
        <v>6</v>
      </c>
      <c r="C8" s="66">
        <v>532655</v>
      </c>
      <c r="D8" s="67">
        <f>+IF(C8/$F$111=0,"",C8/$F$111)</f>
        <v>8.4707698452932894E-6</v>
      </c>
      <c r="E8" s="68"/>
      <c r="F8" s="65" t="s">
        <v>6</v>
      </c>
      <c r="G8" s="66">
        <v>314596</v>
      </c>
      <c r="H8" s="69">
        <f>+IF(G8/$C$113=0,"",G8/$C$113)</f>
        <v>4.4500658868002634E-5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21098</v>
      </c>
      <c r="H11" s="69">
        <f t="shared" si="0"/>
        <v>2.9843828300331837E-6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1905634</v>
      </c>
      <c r="H14" s="69">
        <f t="shared" si="0"/>
        <v>2.6955831784659478E-4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>
        <v>-236824</v>
      </c>
      <c r="H17" s="69">
        <f t="shared" si="0"/>
        <v>-3.3499548741102415E-5</v>
      </c>
    </row>
    <row r="18" spans="2:9" x14ac:dyDescent="0.2">
      <c r="B18" s="65" t="s">
        <v>16</v>
      </c>
      <c r="C18" s="72">
        <v>-91166</v>
      </c>
      <c r="D18" s="67">
        <f>+IF(C18/$F$111=0,"",C18/$F$111)</f>
        <v>-1.4498056034694277E-6</v>
      </c>
      <c r="E18" s="75"/>
      <c r="F18" s="65" t="s">
        <v>16</v>
      </c>
      <c r="G18" s="72">
        <v>-65425</v>
      </c>
      <c r="H18" s="69">
        <f t="shared" si="0"/>
        <v>-9.2545855841748527E-6</v>
      </c>
    </row>
    <row r="19" spans="2:9" s="80" customFormat="1" x14ac:dyDescent="0.2">
      <c r="B19" s="76" t="s">
        <v>17</v>
      </c>
      <c r="C19" s="77">
        <f>SUM(C7:C18)</f>
        <v>5051500</v>
      </c>
      <c r="D19" s="78">
        <f>SUM(D7:D18)</f>
        <v>8.0333600310705908E-5</v>
      </c>
      <c r="E19" s="79"/>
      <c r="F19" s="76" t="s">
        <v>17</v>
      </c>
      <c r="G19" s="77">
        <f>SUM(G7:G18)</f>
        <v>2624779</v>
      </c>
      <c r="H19" s="78">
        <f>SUM(H7:H18)</f>
        <v>3.7128378899571862E-4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2087.1424000000002</v>
      </c>
      <c r="D22" s="69">
        <f>+IF(C22/$F$112=0,"",C22/$F$112)</f>
        <v>5.614687932278272E-5</v>
      </c>
      <c r="E22" s="75"/>
      <c r="F22" s="65" t="s">
        <v>5</v>
      </c>
      <c r="G22" s="66">
        <v>1590165</v>
      </c>
      <c r="H22" s="69">
        <f t="shared" ref="H22:H33" si="2">+IF(G22/$C$106=0,"",G22/$C$106)</f>
        <v>7.3270673638385953E-5</v>
      </c>
      <c r="I22" s="114"/>
    </row>
    <row r="23" spans="2:9" x14ac:dyDescent="0.2">
      <c r="B23" s="65" t="s">
        <v>44</v>
      </c>
      <c r="C23" s="71">
        <v>-50512.091500000002</v>
      </c>
      <c r="D23" s="69">
        <f>+IF(C23/$F$112=0,"",C23/$F$112)</f>
        <v>-1.358841785683554E-3</v>
      </c>
      <c r="E23" s="75"/>
      <c r="F23" s="65" t="s">
        <v>6</v>
      </c>
      <c r="G23" s="66">
        <v>1393625</v>
      </c>
      <c r="H23" s="69">
        <f t="shared" si="2"/>
        <v>6.4214620840790499E-5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-18.904228883953692</v>
      </c>
      <c r="D26" s="69">
        <f>+IF(C26/$F$112=0,"",C26/$F$112)</f>
        <v>-5.0854865381375574E-7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50176.127096995595</v>
      </c>
      <c r="D27" s="69">
        <f t="shared" ref="D27:D33" si="3">+IF(C27/$F$112=0,"",C27/$F$112)</f>
        <v>1.3498039007782217E-3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-322531</v>
      </c>
      <c r="H29" s="69">
        <f t="shared" si="2"/>
        <v>-1.486139088664526E-5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-199.85</v>
      </c>
      <c r="D33" s="69">
        <f t="shared" si="3"/>
        <v>-5.3762282020901522E-6</v>
      </c>
      <c r="E33" s="75"/>
      <c r="F33" s="65" t="s">
        <v>16</v>
      </c>
      <c r="G33" s="72">
        <v>-95658</v>
      </c>
      <c r="H33" s="69">
        <f t="shared" si="2"/>
        <v>-4.4076722220025745E-6</v>
      </c>
    </row>
    <row r="34" spans="1:13" s="80" customFormat="1" x14ac:dyDescent="0.2">
      <c r="B34" s="76" t="s">
        <v>17</v>
      </c>
      <c r="C34" s="93">
        <f>SUM(C22:C33)</f>
        <v>1532.4237681116342</v>
      </c>
      <c r="D34" s="78">
        <f>SUM(D22:D33)</f>
        <v>4.1224217561546514E-5</v>
      </c>
      <c r="E34" s="79"/>
      <c r="F34" s="76" t="s">
        <v>17</v>
      </c>
      <c r="G34" s="93">
        <f>SUM(G22:G33)</f>
        <v>2565601</v>
      </c>
      <c r="H34" s="78">
        <f>SUM(H22:H33)</f>
        <v>1.1821623137052863E-4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4227746</v>
      </c>
      <c r="D37" s="69">
        <f t="shared" ref="D37:D48" si="4">+IF(C37/$C$114=0,"",C37/$C$114)</f>
        <v>5.7412333014957886E-5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7244263</v>
      </c>
      <c r="D38" s="69">
        <f t="shared" si="4"/>
        <v>9.8376307328760498E-5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9459678</v>
      </c>
      <c r="D44" s="69">
        <f t="shared" si="4"/>
        <v>1.2846140320404084E-4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-4311266</v>
      </c>
      <c r="D45" s="69">
        <f t="shared" si="4"/>
        <v>-5.8546525573689961E-5</v>
      </c>
      <c r="E45" s="68"/>
      <c r="F45" s="65" t="s">
        <v>13</v>
      </c>
      <c r="G45" s="72">
        <v>-23985836</v>
      </c>
      <c r="H45" s="69">
        <f t="shared" si="5"/>
        <v>-5.1526594852687232E-3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77946</v>
      </c>
      <c r="D47" s="69">
        <f t="shared" si="4"/>
        <v>1.0584982421327835E-6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-233593</v>
      </c>
      <c r="D48" s="69">
        <f t="shared" si="4"/>
        <v>-3.1721676529202694E-6</v>
      </c>
      <c r="E48" s="68"/>
      <c r="F48" s="65" t="s">
        <v>16</v>
      </c>
      <c r="G48" s="72">
        <v>-18696</v>
      </c>
      <c r="H48" s="69">
        <f t="shared" si="5"/>
        <v>-4.0162920206985509E-6</v>
      </c>
    </row>
    <row r="49" spans="2:10" s="80" customFormat="1" x14ac:dyDescent="0.2">
      <c r="B49" s="76" t="s">
        <v>17</v>
      </c>
      <c r="C49" s="77">
        <f>SUM(C37:C48)</f>
        <v>16464774</v>
      </c>
      <c r="D49" s="78">
        <f>SUM(D37:D48)</f>
        <v>2.2358984856328182E-4</v>
      </c>
      <c r="E49" s="79"/>
      <c r="F49" s="76" t="s">
        <v>17</v>
      </c>
      <c r="G49" s="77">
        <f>SUM(G37:G48)</f>
        <v>-24004532</v>
      </c>
      <c r="H49" s="78">
        <f>SUM(H37:H48)</f>
        <v>-5.1566757772894215E-3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15966.878000000001</v>
      </c>
      <c r="H53" s="69">
        <f t="shared" ref="H53:H64" si="7">+IF(G53/$C$115=0,"",G53/$C$115)</f>
        <v>1.3027284108873787E-4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/>
      <c r="D58" s="69" t="str">
        <f t="shared" si="6"/>
        <v/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-91413.024999999994</v>
      </c>
      <c r="H60" s="69">
        <f t="shared" si="7"/>
        <v>-7.4583362378455081E-4</v>
      </c>
    </row>
    <row r="61" spans="2:10" x14ac:dyDescent="0.2">
      <c r="B61" s="65" t="s">
        <v>13</v>
      </c>
      <c r="C61" s="72">
        <v>-75376982</v>
      </c>
      <c r="D61" s="69">
        <f t="shared" si="6"/>
        <v>-3.708151624785948E-3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>
        <v>2897.18</v>
      </c>
      <c r="H63" s="69">
        <f t="shared" si="7"/>
        <v>2.3637925319243344E-5</v>
      </c>
    </row>
    <row r="64" spans="2:10" x14ac:dyDescent="0.2">
      <c r="B64" s="65" t="s">
        <v>16</v>
      </c>
      <c r="C64" s="72">
        <v>-167074</v>
      </c>
      <c r="D64" s="69">
        <f t="shared" si="6"/>
        <v>-8.2191633058416621E-6</v>
      </c>
      <c r="E64" s="68"/>
      <c r="F64" s="65" t="s">
        <v>16</v>
      </c>
      <c r="G64" s="92">
        <v>-103.46</v>
      </c>
      <c r="H64" s="69">
        <f t="shared" si="7"/>
        <v>-8.4412420130227198E-7</v>
      </c>
    </row>
    <row r="65" spans="2:8" s="80" customFormat="1" x14ac:dyDescent="0.2">
      <c r="B65" s="76" t="s">
        <v>17</v>
      </c>
      <c r="C65" s="77">
        <f>SUM(C53:C64)</f>
        <v>-75544056</v>
      </c>
      <c r="D65" s="78">
        <f>SUM(D53:D64)</f>
        <v>-3.7163707880917898E-3</v>
      </c>
      <c r="E65" s="79"/>
      <c r="F65" s="76" t="s">
        <v>17</v>
      </c>
      <c r="G65" s="93">
        <f>SUM(G53:G64)</f>
        <v>-72652.427000000011</v>
      </c>
      <c r="H65" s="78">
        <f>SUM(H53:H64)</f>
        <v>-5.9276698157787182E-4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412439</v>
      </c>
      <c r="D72" s="69">
        <f t="shared" si="8"/>
        <v>3.0232421379794858E-5</v>
      </c>
      <c r="E72" s="68"/>
      <c r="F72" s="65" t="s">
        <v>9</v>
      </c>
      <c r="G72" s="66">
        <v>247692</v>
      </c>
      <c r="H72" s="69">
        <f t="shared" si="9"/>
        <v>3.7987279948297705E-5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-55352070</v>
      </c>
      <c r="D76" s="69">
        <f t="shared" si="8"/>
        <v>-4.0573929829232965E-3</v>
      </c>
      <c r="E76" s="68"/>
      <c r="F76" s="65" t="s">
        <v>13</v>
      </c>
      <c r="G76" s="72">
        <v>356483</v>
      </c>
      <c r="H76" s="69">
        <f t="shared" si="9"/>
        <v>5.4672010068185537E-5</v>
      </c>
    </row>
    <row r="77" spans="2:8" x14ac:dyDescent="0.2">
      <c r="B77" s="65" t="s">
        <v>14</v>
      </c>
      <c r="C77" s="66">
        <v>26579444</v>
      </c>
      <c r="D77" s="69">
        <f t="shared" si="8"/>
        <v>1.9483146624074351E-3</v>
      </c>
      <c r="E77" s="68"/>
      <c r="F77" s="65" t="s">
        <v>14</v>
      </c>
      <c r="G77" s="66">
        <v>13183271</v>
      </c>
      <c r="H77" s="69">
        <f t="shared" si="9"/>
        <v>2.021852163619635E-3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-21159</v>
      </c>
      <c r="D79" s="69">
        <f t="shared" si="8"/>
        <v>-1.5509876708436385E-6</v>
      </c>
      <c r="E79" s="68"/>
      <c r="F79" s="65" t="s">
        <v>16</v>
      </c>
      <c r="G79" s="72">
        <v>-16078</v>
      </c>
      <c r="H79" s="69">
        <f t="shared" si="9"/>
        <v>-2.4658022342616256E-6</v>
      </c>
    </row>
    <row r="80" spans="2:8" s="80" customFormat="1" x14ac:dyDescent="0.2">
      <c r="B80" s="76" t="s">
        <v>17</v>
      </c>
      <c r="C80" s="77">
        <f>SUM(C68:C79)</f>
        <v>-28381346</v>
      </c>
      <c r="D80" s="78">
        <f>SUM(D68:D79)</f>
        <v>-2.0803968868069104E-3</v>
      </c>
      <c r="E80" s="79"/>
      <c r="F80" s="76" t="s">
        <v>17</v>
      </c>
      <c r="G80" s="77">
        <f>SUM(G68:G79)</f>
        <v>13771368</v>
      </c>
      <c r="H80" s="78">
        <f>SUM(H68:H79)</f>
        <v>2.1120456514018564E-3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21702611987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20327373211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13642274789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4655039998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6520393151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59134840030</v>
      </c>
      <c r="D111" s="193">
        <v>3746693730</v>
      </c>
      <c r="F111" s="106">
        <f>+C111+D111</f>
        <v>62881533760</v>
      </c>
      <c r="G111" s="62"/>
      <c r="H111" s="62"/>
    </row>
    <row r="112" spans="2:8" x14ac:dyDescent="0.2">
      <c r="B112" s="189" t="s">
        <v>18</v>
      </c>
      <c r="C112" s="192">
        <v>36472901.240000002</v>
      </c>
      <c r="D112" s="193">
        <v>700000</v>
      </c>
      <c r="F112" s="106">
        <f>+C112+D112</f>
        <v>37172901.240000002</v>
      </c>
      <c r="H112" s="75"/>
    </row>
    <row r="113" spans="1:13" x14ac:dyDescent="0.2">
      <c r="B113" s="189" t="s">
        <v>4</v>
      </c>
      <c r="C113" s="190">
        <v>7069468363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73638289510</v>
      </c>
      <c r="D114" s="107"/>
      <c r="F114" s="106"/>
      <c r="H114" s="75"/>
    </row>
    <row r="115" spans="1:13" x14ac:dyDescent="0.2">
      <c r="B115" s="189" t="s">
        <v>25</v>
      </c>
      <c r="C115" s="192">
        <v>122564901.98999999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811" priority="46" stopIfTrue="1" operator="lessThan">
      <formula>0</formula>
    </cfRule>
  </conditionalFormatting>
  <conditionalFormatting sqref="C89">
    <cfRule type="cellIs" dxfId="1810" priority="43" stopIfTrue="1" operator="lessThan">
      <formula>0</formula>
    </cfRule>
  </conditionalFormatting>
  <conditionalFormatting sqref="C85">
    <cfRule type="cellIs" dxfId="1809" priority="45" stopIfTrue="1" operator="lessThan">
      <formula>0</formula>
    </cfRule>
  </conditionalFormatting>
  <conditionalFormatting sqref="C7:C9">
    <cfRule type="cellIs" dxfId="1808" priority="42" stopIfTrue="1" operator="lessThan">
      <formula>0</formula>
    </cfRule>
  </conditionalFormatting>
  <conditionalFormatting sqref="C10:C13">
    <cfRule type="cellIs" dxfId="1807" priority="40" stopIfTrue="1" operator="lessThan">
      <formula>0</formula>
    </cfRule>
  </conditionalFormatting>
  <conditionalFormatting sqref="C88">
    <cfRule type="cellIs" dxfId="1806" priority="44" stopIfTrue="1" operator="lessThan">
      <formula>0</formula>
    </cfRule>
  </conditionalFormatting>
  <conditionalFormatting sqref="C101">
    <cfRule type="cellIs" dxfId="1805" priority="39" stopIfTrue="1" operator="lessThan">
      <formula>0</formula>
    </cfRule>
  </conditionalFormatting>
  <conditionalFormatting sqref="C7">
    <cfRule type="cellIs" dxfId="1804" priority="41" stopIfTrue="1" operator="lessThan">
      <formula>0</formula>
    </cfRule>
  </conditionalFormatting>
  <conditionalFormatting sqref="C29:C33">
    <cfRule type="cellIs" dxfId="1803" priority="34" stopIfTrue="1" operator="lessThan">
      <formula>0</formula>
    </cfRule>
  </conditionalFormatting>
  <conditionalFormatting sqref="G7:G9">
    <cfRule type="cellIs" dxfId="1802" priority="37" stopIfTrue="1" operator="lessThan">
      <formula>0</formula>
    </cfRule>
  </conditionalFormatting>
  <conditionalFormatting sqref="C22">
    <cfRule type="cellIs" dxfId="1801" priority="32" stopIfTrue="1" operator="lessThan">
      <formula>0</formula>
    </cfRule>
  </conditionalFormatting>
  <conditionalFormatting sqref="C25:C28">
    <cfRule type="cellIs" dxfId="1800" priority="31" stopIfTrue="1" operator="lessThan">
      <formula>0</formula>
    </cfRule>
  </conditionalFormatting>
  <conditionalFormatting sqref="G14:G18">
    <cfRule type="cellIs" dxfId="1799" priority="38" stopIfTrue="1" operator="lessThan">
      <formula>0</formula>
    </cfRule>
  </conditionalFormatting>
  <conditionalFormatting sqref="G7">
    <cfRule type="cellIs" dxfId="1798" priority="36" stopIfTrue="1" operator="lessThan">
      <formula>0</formula>
    </cfRule>
  </conditionalFormatting>
  <conditionalFormatting sqref="G10:G13">
    <cfRule type="cellIs" dxfId="1797" priority="35" stopIfTrue="1" operator="lessThan">
      <formula>0</formula>
    </cfRule>
  </conditionalFormatting>
  <conditionalFormatting sqref="C22:C24">
    <cfRule type="cellIs" dxfId="1796" priority="33" stopIfTrue="1" operator="lessThan">
      <formula>0</formula>
    </cfRule>
  </conditionalFormatting>
  <conditionalFormatting sqref="G22">
    <cfRule type="cellIs" dxfId="1795" priority="28" stopIfTrue="1" operator="lessThan">
      <formula>0</formula>
    </cfRule>
  </conditionalFormatting>
  <conditionalFormatting sqref="G29:G33">
    <cfRule type="cellIs" dxfId="1794" priority="30" stopIfTrue="1" operator="lessThan">
      <formula>0</formula>
    </cfRule>
  </conditionalFormatting>
  <conditionalFormatting sqref="G22:G24">
    <cfRule type="cellIs" dxfId="1793" priority="29" stopIfTrue="1" operator="lessThan">
      <formula>0</formula>
    </cfRule>
  </conditionalFormatting>
  <conditionalFormatting sqref="G25:G28">
    <cfRule type="cellIs" dxfId="1792" priority="27" stopIfTrue="1" operator="lessThan">
      <formula>0</formula>
    </cfRule>
  </conditionalFormatting>
  <conditionalFormatting sqref="C40:C43">
    <cfRule type="cellIs" dxfId="1791" priority="23" stopIfTrue="1" operator="lessThan">
      <formula>0</formula>
    </cfRule>
  </conditionalFormatting>
  <conditionalFormatting sqref="G44:G48">
    <cfRule type="cellIs" dxfId="1790" priority="22" stopIfTrue="1" operator="lessThan">
      <formula>0</formula>
    </cfRule>
  </conditionalFormatting>
  <conditionalFormatting sqref="G37">
    <cfRule type="cellIs" dxfId="1789" priority="20" stopIfTrue="1" operator="lessThan">
      <formula>0</formula>
    </cfRule>
  </conditionalFormatting>
  <conditionalFormatting sqref="C44:C48">
    <cfRule type="cellIs" dxfId="1788" priority="26" stopIfTrue="1" operator="lessThan">
      <formula>0</formula>
    </cfRule>
  </conditionalFormatting>
  <conditionalFormatting sqref="C37:C39">
    <cfRule type="cellIs" dxfId="1787" priority="25" stopIfTrue="1" operator="lessThan">
      <formula>0</formula>
    </cfRule>
  </conditionalFormatting>
  <conditionalFormatting sqref="C37">
    <cfRule type="cellIs" dxfId="1786" priority="24" stopIfTrue="1" operator="lessThan">
      <formula>0</formula>
    </cfRule>
  </conditionalFormatting>
  <conditionalFormatting sqref="C56:C59">
    <cfRule type="cellIs" dxfId="1785" priority="15" stopIfTrue="1" operator="lessThan">
      <formula>0</formula>
    </cfRule>
  </conditionalFormatting>
  <conditionalFormatting sqref="G60:G63">
    <cfRule type="cellIs" dxfId="1784" priority="14" stopIfTrue="1" operator="lessThan">
      <formula>0</formula>
    </cfRule>
  </conditionalFormatting>
  <conditionalFormatting sqref="G37:G39">
    <cfRule type="cellIs" dxfId="1783" priority="21" stopIfTrue="1" operator="lessThan">
      <formula>0</formula>
    </cfRule>
  </conditionalFormatting>
  <conditionalFormatting sqref="G53">
    <cfRule type="cellIs" dxfId="1782" priority="12" stopIfTrue="1" operator="lessThan">
      <formula>0</formula>
    </cfRule>
  </conditionalFormatting>
  <conditionalFormatting sqref="G40:G43">
    <cfRule type="cellIs" dxfId="1781" priority="19" stopIfTrue="1" operator="lessThan">
      <formula>0</formula>
    </cfRule>
  </conditionalFormatting>
  <conditionalFormatting sqref="C60:C64">
    <cfRule type="cellIs" dxfId="1780" priority="18" stopIfTrue="1" operator="lessThan">
      <formula>0</formula>
    </cfRule>
  </conditionalFormatting>
  <conditionalFormatting sqref="C53:C55">
    <cfRule type="cellIs" dxfId="1779" priority="17" stopIfTrue="1" operator="lessThan">
      <formula>0</formula>
    </cfRule>
  </conditionalFormatting>
  <conditionalFormatting sqref="C53">
    <cfRule type="cellIs" dxfId="1778" priority="16" stopIfTrue="1" operator="lessThan">
      <formula>0</formula>
    </cfRule>
  </conditionalFormatting>
  <conditionalFormatting sqref="G53:G55">
    <cfRule type="cellIs" dxfId="1777" priority="13" stopIfTrue="1" operator="lessThan">
      <formula>0</formula>
    </cfRule>
  </conditionalFormatting>
  <conditionalFormatting sqref="G56:G59">
    <cfRule type="cellIs" dxfId="1776" priority="11" stopIfTrue="1" operator="lessThan">
      <formula>0</formula>
    </cfRule>
  </conditionalFormatting>
  <conditionalFormatting sqref="C75:C78">
    <cfRule type="cellIs" dxfId="1775" priority="10" stopIfTrue="1" operator="lessThan">
      <formula>0</formula>
    </cfRule>
  </conditionalFormatting>
  <conditionalFormatting sqref="C68:C70">
    <cfRule type="cellIs" dxfId="1774" priority="9" stopIfTrue="1" operator="lessThan">
      <formula>0</formula>
    </cfRule>
  </conditionalFormatting>
  <conditionalFormatting sqref="C68">
    <cfRule type="cellIs" dxfId="1773" priority="8" stopIfTrue="1" operator="lessThan">
      <formula>0</formula>
    </cfRule>
  </conditionalFormatting>
  <conditionalFormatting sqref="C71:C74">
    <cfRule type="cellIs" dxfId="1772" priority="7" stopIfTrue="1" operator="lessThan">
      <formula>0</formula>
    </cfRule>
  </conditionalFormatting>
  <conditionalFormatting sqref="G75:G79">
    <cfRule type="cellIs" dxfId="1771" priority="6" stopIfTrue="1" operator="lessThan">
      <formula>0</formula>
    </cfRule>
  </conditionalFormatting>
  <conditionalFormatting sqref="G68:G70">
    <cfRule type="cellIs" dxfId="1770" priority="5" stopIfTrue="1" operator="lessThan">
      <formula>0</formula>
    </cfRule>
  </conditionalFormatting>
  <conditionalFormatting sqref="G68">
    <cfRule type="cellIs" dxfId="1769" priority="4" stopIfTrue="1" operator="lessThan">
      <formula>0</formula>
    </cfRule>
  </conditionalFormatting>
  <conditionalFormatting sqref="G71:G74">
    <cfRule type="cellIs" dxfId="1768" priority="3" stopIfTrue="1" operator="lessThan">
      <formula>0</formula>
    </cfRule>
  </conditionalFormatting>
  <conditionalFormatting sqref="G64">
    <cfRule type="cellIs" dxfId="1767" priority="2" stopIfTrue="1" operator="lessThan">
      <formula>0</formula>
    </cfRule>
  </conditionalFormatting>
  <conditionalFormatting sqref="C79">
    <cfRule type="cellIs" dxfId="1766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dimension ref="A2:M121"/>
  <sheetViews>
    <sheetView topLeftCell="A67" workbookViewId="0">
      <selection activeCell="C110" sqref="C110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43069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4440073</v>
      </c>
      <c r="D7" s="67">
        <f>+IF(C7/$F$111=0,"",C7/$F$111)</f>
        <v>6.6101432429030514E-5</v>
      </c>
      <c r="E7" s="68"/>
      <c r="F7" s="65" t="s">
        <v>5</v>
      </c>
      <c r="G7" s="66">
        <v>418085</v>
      </c>
      <c r="H7" s="69">
        <f>+IF(G7/$C$113=0,"",G7/$C$113)</f>
        <v>5.9118786470479384E-5</v>
      </c>
      <c r="I7" s="70"/>
    </row>
    <row r="8" spans="1:9" x14ac:dyDescent="0.2">
      <c r="B8" s="65" t="s">
        <v>6</v>
      </c>
      <c r="C8" s="66">
        <v>1065241</v>
      </c>
      <c r="D8" s="67">
        <f>+IF(C8/$F$111=0,"",C8/$F$111)</f>
        <v>1.5858738354556985E-5</v>
      </c>
      <c r="E8" s="68"/>
      <c r="F8" s="65" t="s">
        <v>6</v>
      </c>
      <c r="G8" s="66">
        <v>231697</v>
      </c>
      <c r="H8" s="69">
        <f>+IF(G8/$C$113=0,"",G8/$C$113)</f>
        <v>3.2762824470743178E-5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40937</v>
      </c>
      <c r="H11" s="69">
        <f t="shared" si="0"/>
        <v>5.7886452796489098E-6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-293470</v>
      </c>
      <c r="H14" s="69">
        <f t="shared" si="0"/>
        <v>-4.149775826803541E-5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-321223</v>
      </c>
      <c r="D18" s="67">
        <f>+IF(C18/$F$111=0,"",C18/$F$111)</f>
        <v>-4.7821962452307584E-6</v>
      </c>
      <c r="E18" s="75"/>
      <c r="F18" s="65" t="s">
        <v>16</v>
      </c>
      <c r="G18" s="72">
        <v>-45419</v>
      </c>
      <c r="H18" s="69">
        <f t="shared" si="0"/>
        <v>-6.4224168834153418E-6</v>
      </c>
    </row>
    <row r="19" spans="2:9" s="80" customFormat="1" x14ac:dyDescent="0.2">
      <c r="B19" s="76" t="s">
        <v>17</v>
      </c>
      <c r="C19" s="77">
        <f>SUM(C7:C18)</f>
        <v>5184091</v>
      </c>
      <c r="D19" s="78">
        <f>SUM(D7:D18)</f>
        <v>7.7177974538356748E-5</v>
      </c>
      <c r="E19" s="79"/>
      <c r="F19" s="76" t="s">
        <v>17</v>
      </c>
      <c r="G19" s="77">
        <f>SUM(G7:G18)</f>
        <v>351830</v>
      </c>
      <c r="H19" s="78">
        <f>SUM(H7:H18)</f>
        <v>4.9750081069420718E-5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2146.9216999999999</v>
      </c>
      <c r="D22" s="69">
        <f>+IF(C22/$F$112=0,"",C22/$F$112)</f>
        <v>5.5784064850386901E-5</v>
      </c>
      <c r="E22" s="75"/>
      <c r="F22" s="65" t="s">
        <v>5</v>
      </c>
      <c r="G22" s="66">
        <v>1515724</v>
      </c>
      <c r="H22" s="69">
        <f t="shared" ref="H22:H33" si="2">+IF(G22/$C$106=0,"",G22/$C$106)</f>
        <v>6.7418389313477517E-5</v>
      </c>
      <c r="I22" s="114"/>
    </row>
    <row r="23" spans="2:9" x14ac:dyDescent="0.2">
      <c r="B23" s="65" t="s">
        <v>44</v>
      </c>
      <c r="C23" s="71">
        <v>-111317.501</v>
      </c>
      <c r="D23" s="69">
        <f>+IF(C23/$F$112=0,"",C23/$F$112)</f>
        <v>-2.8923936512295764E-3</v>
      </c>
      <c r="E23" s="75"/>
      <c r="F23" s="65" t="s">
        <v>6</v>
      </c>
      <c r="G23" s="66">
        <v>1396251</v>
      </c>
      <c r="H23" s="69">
        <f t="shared" si="2"/>
        <v>6.2104310215667431E-5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6192.55292199625</v>
      </c>
      <c r="D26" s="69">
        <f>+IF(C26/$F$112=0,"",C26/$F$112)</f>
        <v>1.6090282835656825E-4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/>
      <c r="D27" s="69" t="str">
        <f t="shared" ref="D27:D33" si="3">+IF(C27/$F$112=0,"",C27/$F$112)</f>
        <v/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>
        <v>104739.6664858373</v>
      </c>
      <c r="D28" s="69">
        <f t="shared" si="3"/>
        <v>2.7214799438907544E-3</v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353257</v>
      </c>
      <c r="H29" s="69">
        <f t="shared" si="2"/>
        <v>1.5712634987445689E-5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-150.80000000000001</v>
      </c>
      <c r="D33" s="69">
        <f t="shared" si="3"/>
        <v>-3.9182784260079652E-6</v>
      </c>
      <c r="E33" s="75"/>
      <c r="F33" s="65" t="s">
        <v>16</v>
      </c>
      <c r="G33" s="72">
        <v>-28425</v>
      </c>
      <c r="H33" s="69">
        <f t="shared" si="2"/>
        <v>-1.2643249801649894E-6</v>
      </c>
    </row>
    <row r="34" spans="1:13" s="80" customFormat="1" x14ac:dyDescent="0.2">
      <c r="B34" s="76" t="s">
        <v>17</v>
      </c>
      <c r="C34" s="93">
        <f>SUM(C22:C33)</f>
        <v>1610.8401078335476</v>
      </c>
      <c r="D34" s="78">
        <f>SUM(D22:D33)</f>
        <v>4.1854907442125243E-5</v>
      </c>
      <c r="E34" s="79"/>
      <c r="F34" s="76" t="s">
        <v>17</v>
      </c>
      <c r="G34" s="93">
        <f>SUM(G22:G33)</f>
        <v>3236807</v>
      </c>
      <c r="H34" s="78">
        <f>SUM(H22:H33)</f>
        <v>1.4397100953642564E-4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4880259</v>
      </c>
      <c r="D37" s="69">
        <f t="shared" ref="D37:D48" si="4">+IF(C37/$C$114=0,"",C37/$C$114)</f>
        <v>6.6533648479296013E-5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6957636</v>
      </c>
      <c r="D38" s="69">
        <f t="shared" si="4"/>
        <v>9.4854987792839532E-5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-17084758</v>
      </c>
      <c r="D44" s="69">
        <f t="shared" si="4"/>
        <v>-2.3292027802742447E-4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3576686</v>
      </c>
      <c r="D45" s="69">
        <f t="shared" si="4"/>
        <v>4.8761749949094785E-5</v>
      </c>
      <c r="E45" s="68"/>
      <c r="F45" s="65" t="s">
        <v>13</v>
      </c>
      <c r="G45" s="72">
        <v>-27365626</v>
      </c>
      <c r="H45" s="69">
        <f t="shared" si="5"/>
        <v>-5.9122380326784357E-3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225370</v>
      </c>
      <c r="D47" s="69">
        <f t="shared" si="4"/>
        <v>3.0725189703618074E-6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-117012</v>
      </c>
      <c r="D48" s="69">
        <f t="shared" si="4"/>
        <v>-1.5952504315568878E-6</v>
      </c>
      <c r="E48" s="68"/>
      <c r="F48" s="65" t="s">
        <v>16</v>
      </c>
      <c r="G48" s="72">
        <v>-18696</v>
      </c>
      <c r="H48" s="69">
        <f t="shared" si="5"/>
        <v>-4.0391987473246923E-6</v>
      </c>
    </row>
    <row r="49" spans="2:10" s="80" customFormat="1" x14ac:dyDescent="0.2">
      <c r="B49" s="76" t="s">
        <v>17</v>
      </c>
      <c r="C49" s="77">
        <f>SUM(C37:C48)</f>
        <v>-1561819</v>
      </c>
      <c r="D49" s="78">
        <f>SUM(D37:D48)</f>
        <v>-2.1292623267389209E-5</v>
      </c>
      <c r="E49" s="79"/>
      <c r="F49" s="76" t="s">
        <v>17</v>
      </c>
      <c r="G49" s="77">
        <f>SUM(G37:G48)</f>
        <v>-27384322</v>
      </c>
      <c r="H49" s="78">
        <f>SUM(H37:H48)</f>
        <v>-5.9162772314257607E-3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15860.016299999999</v>
      </c>
      <c r="H53" s="69">
        <f t="shared" ref="H53:H64" si="7">+IF(G53/$C$115=0,"",G53/$C$115)</f>
        <v>1.2948114037987499E-4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/>
      <c r="D58" s="69" t="str">
        <f t="shared" si="6"/>
        <v/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-51270.23</v>
      </c>
      <c r="H60" s="69">
        <f t="shared" si="7"/>
        <v>-4.1857005203320495E-4</v>
      </c>
    </row>
    <row r="61" spans="2:10" x14ac:dyDescent="0.2">
      <c r="B61" s="65" t="s">
        <v>13</v>
      </c>
      <c r="C61" s="72">
        <v>-154187073</v>
      </c>
      <c r="D61" s="69">
        <f t="shared" si="6"/>
        <v>-7.6138244936212679E-3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>
        <v>5375757</v>
      </c>
      <c r="D63" s="69">
        <f t="shared" si="6"/>
        <v>2.6545721065965099E-4</v>
      </c>
      <c r="E63" s="68"/>
      <c r="F63" s="65" t="s">
        <v>15</v>
      </c>
      <c r="G63" s="92"/>
      <c r="H63" s="69" t="str">
        <f t="shared" si="7"/>
        <v/>
      </c>
    </row>
    <row r="64" spans="2:10" x14ac:dyDescent="0.2">
      <c r="B64" s="65" t="s">
        <v>16</v>
      </c>
      <c r="C64" s="72">
        <v>-166446</v>
      </c>
      <c r="D64" s="69">
        <f t="shared" si="6"/>
        <v>-8.2191756222344628E-6</v>
      </c>
      <c r="E64" s="68"/>
      <c r="F64" s="65" t="s">
        <v>16</v>
      </c>
      <c r="G64" s="92">
        <v>-103.42</v>
      </c>
      <c r="H64" s="69">
        <f t="shared" si="7"/>
        <v>-8.4432066681335451E-7</v>
      </c>
    </row>
    <row r="65" spans="2:8" s="80" customFormat="1" x14ac:dyDescent="0.2">
      <c r="B65" s="76" t="s">
        <v>17</v>
      </c>
      <c r="C65" s="77">
        <f>SUM(C53:C64)</f>
        <v>-148977762</v>
      </c>
      <c r="D65" s="78">
        <f>SUM(D53:D64)</f>
        <v>-7.3565864585838506E-3</v>
      </c>
      <c r="E65" s="79"/>
      <c r="F65" s="76" t="s">
        <v>17</v>
      </c>
      <c r="G65" s="93">
        <f>SUM(G53:G64)</f>
        <v>-35513.633700000006</v>
      </c>
      <c r="H65" s="78">
        <f>SUM(H53:H64)</f>
        <v>-2.899332323201433E-4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908232</v>
      </c>
      <c r="D72" s="69">
        <f t="shared" si="8"/>
        <v>6.6717458460521857E-5</v>
      </c>
      <c r="E72" s="68"/>
      <c r="F72" s="65" t="s">
        <v>9</v>
      </c>
      <c r="G72" s="66">
        <v>546045</v>
      </c>
      <c r="H72" s="69">
        <f t="shared" si="9"/>
        <v>8.3570514929422115E-5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18286843</v>
      </c>
      <c r="D76" s="69">
        <f t="shared" si="8"/>
        <v>1.3433260314837893E-3</v>
      </c>
      <c r="E76" s="68"/>
      <c r="F76" s="65" t="s">
        <v>13</v>
      </c>
      <c r="G76" s="72">
        <v>-5167182</v>
      </c>
      <c r="H76" s="69">
        <f t="shared" si="9"/>
        <v>-7.9082138005849556E-4</v>
      </c>
    </row>
    <row r="77" spans="2:8" x14ac:dyDescent="0.2">
      <c r="B77" s="65" t="s">
        <v>14</v>
      </c>
      <c r="C77" s="66">
        <v>58651713</v>
      </c>
      <c r="D77" s="69">
        <f t="shared" si="8"/>
        <v>4.30847319376101E-3</v>
      </c>
      <c r="E77" s="68"/>
      <c r="F77" s="65" t="s">
        <v>14</v>
      </c>
      <c r="G77" s="66">
        <v>29039716</v>
      </c>
      <c r="H77" s="69">
        <f t="shared" si="9"/>
        <v>4.4444395965976763E-3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-21160</v>
      </c>
      <c r="D79" s="69">
        <f t="shared" si="8"/>
        <v>-1.5543841452675556E-6</v>
      </c>
      <c r="E79" s="68"/>
      <c r="F79" s="65" t="s">
        <v>16</v>
      </c>
      <c r="G79" s="72">
        <v>-16078</v>
      </c>
      <c r="H79" s="69">
        <f t="shared" si="9"/>
        <v>-2.4606886594241294E-6</v>
      </c>
    </row>
    <row r="80" spans="2:8" s="80" customFormat="1" x14ac:dyDescent="0.2">
      <c r="B80" s="76" t="s">
        <v>17</v>
      </c>
      <c r="C80" s="77">
        <f>SUM(C68:C79)</f>
        <v>77825628</v>
      </c>
      <c r="D80" s="78">
        <f>SUM(D68:D79)</f>
        <v>5.7169622995600538E-3</v>
      </c>
      <c r="E80" s="79"/>
      <c r="F80" s="76" t="s">
        <v>17</v>
      </c>
      <c r="G80" s="77">
        <f>SUM(G68:G79)</f>
        <v>24402501</v>
      </c>
      <c r="H80" s="78">
        <f>SUM(H68:H79)</f>
        <v>3.7347280428091786E-3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22482352596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20250936061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13613108487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4628640770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6533943227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58623246972</v>
      </c>
      <c r="D111" s="193">
        <v>8547354887</v>
      </c>
      <c r="F111" s="106">
        <f>+C111+D111</f>
        <v>67170601859</v>
      </c>
      <c r="G111" s="62"/>
      <c r="H111" s="62"/>
    </row>
    <row r="112" spans="2:8" x14ac:dyDescent="0.2">
      <c r="B112" s="189" t="s">
        <v>18</v>
      </c>
      <c r="C112" s="192">
        <v>36934585.140000001</v>
      </c>
      <c r="D112" s="193">
        <v>1551704.91</v>
      </c>
      <c r="F112" s="106">
        <f>+C112+D112</f>
        <v>38486290.049999997</v>
      </c>
      <c r="H112" s="75"/>
    </row>
    <row r="113" spans="1:13" x14ac:dyDescent="0.2">
      <c r="B113" s="189" t="s">
        <v>4</v>
      </c>
      <c r="C113" s="190">
        <v>7071948275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73350238737</v>
      </c>
      <c r="D114" s="107"/>
      <c r="F114" s="106"/>
      <c r="H114" s="75"/>
    </row>
    <row r="115" spans="1:13" x14ac:dyDescent="0.2">
      <c r="B115" s="189" t="s">
        <v>25</v>
      </c>
      <c r="C115" s="192">
        <v>122489006.92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765" priority="46" stopIfTrue="1" operator="lessThan">
      <formula>0</formula>
    </cfRule>
  </conditionalFormatting>
  <conditionalFormatting sqref="C89">
    <cfRule type="cellIs" dxfId="1764" priority="43" stopIfTrue="1" operator="lessThan">
      <formula>0</formula>
    </cfRule>
  </conditionalFormatting>
  <conditionalFormatting sqref="C85">
    <cfRule type="cellIs" dxfId="1763" priority="45" stopIfTrue="1" operator="lessThan">
      <formula>0</formula>
    </cfRule>
  </conditionalFormatting>
  <conditionalFormatting sqref="C7:C9">
    <cfRule type="cellIs" dxfId="1762" priority="42" stopIfTrue="1" operator="lessThan">
      <formula>0</formula>
    </cfRule>
  </conditionalFormatting>
  <conditionalFormatting sqref="C10:C13">
    <cfRule type="cellIs" dxfId="1761" priority="40" stopIfTrue="1" operator="lessThan">
      <formula>0</formula>
    </cfRule>
  </conditionalFormatting>
  <conditionalFormatting sqref="C88">
    <cfRule type="cellIs" dxfId="1760" priority="44" stopIfTrue="1" operator="lessThan">
      <formula>0</formula>
    </cfRule>
  </conditionalFormatting>
  <conditionalFormatting sqref="C101">
    <cfRule type="cellIs" dxfId="1759" priority="39" stopIfTrue="1" operator="lessThan">
      <formula>0</formula>
    </cfRule>
  </conditionalFormatting>
  <conditionalFormatting sqref="C7">
    <cfRule type="cellIs" dxfId="1758" priority="41" stopIfTrue="1" operator="lessThan">
      <formula>0</formula>
    </cfRule>
  </conditionalFormatting>
  <conditionalFormatting sqref="C29:C33">
    <cfRule type="cellIs" dxfId="1757" priority="34" stopIfTrue="1" operator="lessThan">
      <formula>0</formula>
    </cfRule>
  </conditionalFormatting>
  <conditionalFormatting sqref="G7:G9">
    <cfRule type="cellIs" dxfId="1756" priority="37" stopIfTrue="1" operator="lessThan">
      <formula>0</formula>
    </cfRule>
  </conditionalFormatting>
  <conditionalFormatting sqref="C22">
    <cfRule type="cellIs" dxfId="1755" priority="32" stopIfTrue="1" operator="lessThan">
      <formula>0</formula>
    </cfRule>
  </conditionalFormatting>
  <conditionalFormatting sqref="C25:C28">
    <cfRule type="cellIs" dxfId="1754" priority="31" stopIfTrue="1" operator="lessThan">
      <formula>0</formula>
    </cfRule>
  </conditionalFormatting>
  <conditionalFormatting sqref="G14:G18">
    <cfRule type="cellIs" dxfId="1753" priority="38" stopIfTrue="1" operator="lessThan">
      <formula>0</formula>
    </cfRule>
  </conditionalFormatting>
  <conditionalFormatting sqref="G7">
    <cfRule type="cellIs" dxfId="1752" priority="36" stopIfTrue="1" operator="lessThan">
      <formula>0</formula>
    </cfRule>
  </conditionalFormatting>
  <conditionalFormatting sqref="G10:G13">
    <cfRule type="cellIs" dxfId="1751" priority="35" stopIfTrue="1" operator="lessThan">
      <formula>0</formula>
    </cfRule>
  </conditionalFormatting>
  <conditionalFormatting sqref="C22:C24">
    <cfRule type="cellIs" dxfId="1750" priority="33" stopIfTrue="1" operator="lessThan">
      <formula>0</formula>
    </cfRule>
  </conditionalFormatting>
  <conditionalFormatting sqref="G22">
    <cfRule type="cellIs" dxfId="1749" priority="28" stopIfTrue="1" operator="lessThan">
      <formula>0</formula>
    </cfRule>
  </conditionalFormatting>
  <conditionalFormatting sqref="G29:G33">
    <cfRule type="cellIs" dxfId="1748" priority="30" stopIfTrue="1" operator="lessThan">
      <formula>0</formula>
    </cfRule>
  </conditionalFormatting>
  <conditionalFormatting sqref="G22:G24">
    <cfRule type="cellIs" dxfId="1747" priority="29" stopIfTrue="1" operator="lessThan">
      <formula>0</formula>
    </cfRule>
  </conditionalFormatting>
  <conditionalFormatting sqref="G25:G28">
    <cfRule type="cellIs" dxfId="1746" priority="27" stopIfTrue="1" operator="lessThan">
      <formula>0</formula>
    </cfRule>
  </conditionalFormatting>
  <conditionalFormatting sqref="C40:C43">
    <cfRule type="cellIs" dxfId="1745" priority="23" stopIfTrue="1" operator="lessThan">
      <formula>0</formula>
    </cfRule>
  </conditionalFormatting>
  <conditionalFormatting sqref="G44:G48">
    <cfRule type="cellIs" dxfId="1744" priority="22" stopIfTrue="1" operator="lessThan">
      <formula>0</formula>
    </cfRule>
  </conditionalFormatting>
  <conditionalFormatting sqref="G37">
    <cfRule type="cellIs" dxfId="1743" priority="20" stopIfTrue="1" operator="lessThan">
      <formula>0</formula>
    </cfRule>
  </conditionalFormatting>
  <conditionalFormatting sqref="C44:C48">
    <cfRule type="cellIs" dxfId="1742" priority="26" stopIfTrue="1" operator="lessThan">
      <formula>0</formula>
    </cfRule>
  </conditionalFormatting>
  <conditionalFormatting sqref="C37:C39">
    <cfRule type="cellIs" dxfId="1741" priority="25" stopIfTrue="1" operator="lessThan">
      <formula>0</formula>
    </cfRule>
  </conditionalFormatting>
  <conditionalFormatting sqref="C37">
    <cfRule type="cellIs" dxfId="1740" priority="24" stopIfTrue="1" operator="lessThan">
      <formula>0</formula>
    </cfRule>
  </conditionalFormatting>
  <conditionalFormatting sqref="C56:C59">
    <cfRule type="cellIs" dxfId="1739" priority="15" stopIfTrue="1" operator="lessThan">
      <formula>0</formula>
    </cfRule>
  </conditionalFormatting>
  <conditionalFormatting sqref="G60:G63">
    <cfRule type="cellIs" dxfId="1738" priority="14" stopIfTrue="1" operator="lessThan">
      <formula>0</formula>
    </cfRule>
  </conditionalFormatting>
  <conditionalFormatting sqref="G37:G39">
    <cfRule type="cellIs" dxfId="1737" priority="21" stopIfTrue="1" operator="lessThan">
      <formula>0</formula>
    </cfRule>
  </conditionalFormatting>
  <conditionalFormatting sqref="G53">
    <cfRule type="cellIs" dxfId="1736" priority="12" stopIfTrue="1" operator="lessThan">
      <formula>0</formula>
    </cfRule>
  </conditionalFormatting>
  <conditionalFormatting sqref="G40:G43">
    <cfRule type="cellIs" dxfId="1735" priority="19" stopIfTrue="1" operator="lessThan">
      <formula>0</formula>
    </cfRule>
  </conditionalFormatting>
  <conditionalFormatting sqref="C60:C64">
    <cfRule type="cellIs" dxfId="1734" priority="18" stopIfTrue="1" operator="lessThan">
      <formula>0</formula>
    </cfRule>
  </conditionalFormatting>
  <conditionalFormatting sqref="C53:C55">
    <cfRule type="cellIs" dxfId="1733" priority="17" stopIfTrue="1" operator="lessThan">
      <formula>0</formula>
    </cfRule>
  </conditionalFormatting>
  <conditionalFormatting sqref="C53">
    <cfRule type="cellIs" dxfId="1732" priority="16" stopIfTrue="1" operator="lessThan">
      <formula>0</formula>
    </cfRule>
  </conditionalFormatting>
  <conditionalFormatting sqref="G53:G55">
    <cfRule type="cellIs" dxfId="1731" priority="13" stopIfTrue="1" operator="lessThan">
      <formula>0</formula>
    </cfRule>
  </conditionalFormatting>
  <conditionalFormatting sqref="G56:G59">
    <cfRule type="cellIs" dxfId="1730" priority="11" stopIfTrue="1" operator="lessThan">
      <formula>0</formula>
    </cfRule>
  </conditionalFormatting>
  <conditionalFormatting sqref="C75:C78">
    <cfRule type="cellIs" dxfId="1729" priority="10" stopIfTrue="1" operator="lessThan">
      <formula>0</formula>
    </cfRule>
  </conditionalFormatting>
  <conditionalFormatting sqref="C68:C70">
    <cfRule type="cellIs" dxfId="1728" priority="9" stopIfTrue="1" operator="lessThan">
      <formula>0</formula>
    </cfRule>
  </conditionalFormatting>
  <conditionalFormatting sqref="C68">
    <cfRule type="cellIs" dxfId="1727" priority="8" stopIfTrue="1" operator="lessThan">
      <formula>0</formula>
    </cfRule>
  </conditionalFormatting>
  <conditionalFormatting sqref="C71:C74">
    <cfRule type="cellIs" dxfId="1726" priority="7" stopIfTrue="1" operator="lessThan">
      <formula>0</formula>
    </cfRule>
  </conditionalFormatting>
  <conditionalFormatting sqref="G75:G79">
    <cfRule type="cellIs" dxfId="1725" priority="6" stopIfTrue="1" operator="lessThan">
      <formula>0</formula>
    </cfRule>
  </conditionalFormatting>
  <conditionalFormatting sqref="G68:G70">
    <cfRule type="cellIs" dxfId="1724" priority="5" stopIfTrue="1" operator="lessThan">
      <formula>0</formula>
    </cfRule>
  </conditionalFormatting>
  <conditionalFormatting sqref="G68">
    <cfRule type="cellIs" dxfId="1723" priority="4" stopIfTrue="1" operator="lessThan">
      <formula>0</formula>
    </cfRule>
  </conditionalFormatting>
  <conditionalFormatting sqref="G71:G74">
    <cfRule type="cellIs" dxfId="1722" priority="3" stopIfTrue="1" operator="lessThan">
      <formula>0</formula>
    </cfRule>
  </conditionalFormatting>
  <conditionalFormatting sqref="G64">
    <cfRule type="cellIs" dxfId="1721" priority="2" stopIfTrue="1" operator="lessThan">
      <formula>0</formula>
    </cfRule>
  </conditionalFormatting>
  <conditionalFormatting sqref="C79">
    <cfRule type="cellIs" dxfId="1720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dimension ref="A2:M121"/>
  <sheetViews>
    <sheetView workbookViewId="0">
      <selection activeCell="F74" sqref="F74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43070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4413861</v>
      </c>
      <c r="D7" s="67">
        <f>+IF(C7/$F$111=0,"",C7/$F$111)</f>
        <v>7.4493389463380674E-5</v>
      </c>
      <c r="E7" s="68"/>
      <c r="F7" s="65" t="s">
        <v>5</v>
      </c>
      <c r="G7" s="66">
        <v>516425</v>
      </c>
      <c r="H7" s="69">
        <f>+IF(G7/$C$113=0,"",G7/$C$113)</f>
        <v>7.3021679417678833E-5</v>
      </c>
      <c r="I7" s="70"/>
    </row>
    <row r="8" spans="1:9" x14ac:dyDescent="0.2">
      <c r="B8" s="65" t="s">
        <v>6</v>
      </c>
      <c r="C8" s="66">
        <v>532484</v>
      </c>
      <c r="D8" s="67">
        <f>+IF(C8/$F$111=0,"",C8/$F$111)</f>
        <v>8.9868117720559847E-6</v>
      </c>
      <c r="E8" s="68"/>
      <c r="F8" s="65" t="s">
        <v>6</v>
      </c>
      <c r="G8" s="66">
        <v>463392</v>
      </c>
      <c r="H8" s="69">
        <f>+IF(G8/$C$113=0,"",G8/$C$113)</f>
        <v>6.552289697190692E-5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>
        <v>6158</v>
      </c>
      <c r="H9" s="69">
        <f t="shared" ref="H9:H18" si="0">+IF(G9/$C$113=0,"",G9/$C$113)</f>
        <v>8.7073147476219446E-7</v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85512</v>
      </c>
      <c r="H11" s="69">
        <f t="shared" si="0"/>
        <v>1.2091261752170311E-5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3860909</v>
      </c>
      <c r="H14" s="69">
        <f t="shared" si="0"/>
        <v>5.4592643512384371E-4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>
        <v>-1638577</v>
      </c>
      <c r="D17" s="67">
        <f>+IF(C17/$F$111=0,"",C17/$F$111)</f>
        <v>-2.7654508066007952E-5</v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-321223</v>
      </c>
      <c r="D18" s="67">
        <f>+IF(C18/$F$111=0,"",C18/$F$111)</f>
        <v>-5.4213284114736582E-6</v>
      </c>
      <c r="E18" s="75"/>
      <c r="F18" s="65" t="s">
        <v>16</v>
      </c>
      <c r="G18" s="72">
        <v>-27635</v>
      </c>
      <c r="H18" s="69">
        <f t="shared" si="0"/>
        <v>-3.9075453564555445E-6</v>
      </c>
    </row>
    <row r="19" spans="2:9" s="80" customFormat="1" x14ac:dyDescent="0.2">
      <c r="B19" s="76" t="s">
        <v>17</v>
      </c>
      <c r="C19" s="77">
        <f>SUM(C7:C18)</f>
        <v>2986545</v>
      </c>
      <c r="D19" s="78">
        <f>SUM(D7:D18)</f>
        <v>5.0404364757955049E-5</v>
      </c>
      <c r="E19" s="79"/>
      <c r="F19" s="76" t="s">
        <v>17</v>
      </c>
      <c r="G19" s="77">
        <f>SUM(G7:G18)</f>
        <v>4904761</v>
      </c>
      <c r="H19" s="78">
        <f>SUM(H7:H18)</f>
        <v>6.9352545938390641E-4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2358.9721</v>
      </c>
      <c r="D22" s="69">
        <f>+IF(C22/$F$112=0,"",C22/$F$112)</f>
        <v>6.1292007241926224E-5</v>
      </c>
      <c r="E22" s="75"/>
      <c r="F22" s="65" t="s">
        <v>5</v>
      </c>
      <c r="G22" s="66">
        <v>243277</v>
      </c>
      <c r="H22" s="69">
        <f t="shared" ref="H22:H33" si="2">+IF(G22/$C$106=0,"",G22/$C$106)</f>
        <v>1.0781489366422921E-5</v>
      </c>
      <c r="I22" s="114"/>
    </row>
    <row r="23" spans="2:9" x14ac:dyDescent="0.2">
      <c r="B23" s="65" t="s">
        <v>44</v>
      </c>
      <c r="C23" s="71">
        <v>-123593.1446</v>
      </c>
      <c r="D23" s="69">
        <f>+IF(C23/$F$112=0,"",C23/$F$112)</f>
        <v>-3.2112596473165729E-3</v>
      </c>
      <c r="E23" s="75"/>
      <c r="F23" s="65" t="s">
        <v>6</v>
      </c>
      <c r="G23" s="66">
        <v>2792545</v>
      </c>
      <c r="H23" s="69">
        <f t="shared" si="2"/>
        <v>1.2375931231788247E-4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15864.52</v>
      </c>
      <c r="D26" s="69">
        <f>+IF(C26/$F$112=0,"",C26/$F$112)</f>
        <v>4.1219998944866008E-4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f>73840.9-443291.29-310+476916.12178106</f>
        <v>107155.73178105999</v>
      </c>
      <c r="D27" s="69">
        <f t="shared" ref="D27:D33" si="3">+IF(C27/$F$112=0,"",C27/$F$112)</f>
        <v>2.7841744666410569E-3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259551</v>
      </c>
      <c r="H29" s="69">
        <f t="shared" si="2"/>
        <v>1.1502716436590535E-5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-202.38</v>
      </c>
      <c r="D33" s="69">
        <f t="shared" si="3"/>
        <v>-5.2583396071623867E-6</v>
      </c>
      <c r="E33" s="75"/>
      <c r="F33" s="65" t="s">
        <v>16</v>
      </c>
      <c r="G33" s="72">
        <v>-40262</v>
      </c>
      <c r="H33" s="69">
        <f t="shared" si="2"/>
        <v>-1.7843212669957275E-6</v>
      </c>
    </row>
    <row r="34" spans="1:13" s="80" customFormat="1" x14ac:dyDescent="0.2">
      <c r="B34" s="76" t="s">
        <v>17</v>
      </c>
      <c r="C34" s="93">
        <f>SUM(C22:C33)</f>
        <v>1583.6992810599959</v>
      </c>
      <c r="D34" s="78">
        <f>SUM(D22:D33)</f>
        <v>4.1148476407907935E-5</v>
      </c>
      <c r="E34" s="79"/>
      <c r="F34" s="76" t="s">
        <v>17</v>
      </c>
      <c r="G34" s="93">
        <f>SUM(G22:G33)</f>
        <v>3255111</v>
      </c>
      <c r="H34" s="78">
        <f>SUM(H22:H33)</f>
        <v>1.4425919685390019E-4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-2219494</v>
      </c>
      <c r="D37" s="69">
        <f t="shared" ref="D37:D48" si="4">+IF(C37/$C$114=0,"",C37/$C$114)</f>
        <v>-3.0452666936278545E-5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13784486</v>
      </c>
      <c r="D38" s="69">
        <f t="shared" si="4"/>
        <v>1.8913065817965469E-4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>
        <v>2015</v>
      </c>
      <c r="H43" s="69">
        <f t="shared" si="5"/>
        <v>4.4381502814960579E-7</v>
      </c>
    </row>
    <row r="44" spans="1:13" x14ac:dyDescent="0.2">
      <c r="B44" s="65" t="s">
        <v>12</v>
      </c>
      <c r="C44" s="72">
        <v>-21509563</v>
      </c>
      <c r="D44" s="69">
        <f t="shared" si="4"/>
        <v>-2.9512292350594341E-4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-3478118</v>
      </c>
      <c r="D45" s="69">
        <f t="shared" si="4"/>
        <v>-4.7721673957701739E-5</v>
      </c>
      <c r="E45" s="68"/>
      <c r="F45" s="65" t="s">
        <v>13</v>
      </c>
      <c r="G45" s="72">
        <v>19012636</v>
      </c>
      <c r="H45" s="69">
        <f t="shared" si="5"/>
        <v>4.1876394945599051E-3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-2105458</v>
      </c>
      <c r="D47" s="69">
        <f t="shared" si="4"/>
        <v>-2.8888030885563626E-5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-325172</v>
      </c>
      <c r="D48" s="69">
        <f t="shared" si="4"/>
        <v>-4.4615370048324381E-6</v>
      </c>
      <c r="E48" s="68"/>
      <c r="F48" s="65" t="s">
        <v>16</v>
      </c>
      <c r="G48" s="72">
        <v>-18696</v>
      </c>
      <c r="H48" s="69">
        <f t="shared" si="5"/>
        <v>-4.1178986433176325E-6</v>
      </c>
    </row>
    <row r="49" spans="2:10" s="80" customFormat="1" x14ac:dyDescent="0.2">
      <c r="B49" s="76" t="s">
        <v>17</v>
      </c>
      <c r="C49" s="77">
        <f>SUM(C37:C48)</f>
        <v>-15853319</v>
      </c>
      <c r="D49" s="78">
        <f>SUM(D37:D48)</f>
        <v>-2.1751617411066508E-4</v>
      </c>
      <c r="E49" s="79"/>
      <c r="F49" s="76" t="s">
        <v>17</v>
      </c>
      <c r="G49" s="77">
        <f>SUM(G37:G48)</f>
        <v>18995955</v>
      </c>
      <c r="H49" s="78">
        <f>SUM(H37:H48)</f>
        <v>4.183965410944737E-3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15979.891100000001</v>
      </c>
      <c r="H53" s="69">
        <f t="shared" ref="H53:H64" si="7">+IF(G53/$C$115=0,"",G53/$C$115)</f>
        <v>1.3049937394728141E-4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>
        <v>2612.3656999967425</v>
      </c>
      <c r="H55" s="69">
        <f t="shared" si="7"/>
        <v>2.1333817998980384E-5</v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/>
      <c r="D58" s="69" t="str">
        <f t="shared" si="6"/>
        <v/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145621.4406</v>
      </c>
      <c r="H60" s="69">
        <f t="shared" si="7"/>
        <v>1.1892137882967943E-3</v>
      </c>
    </row>
    <row r="61" spans="2:10" x14ac:dyDescent="0.2">
      <c r="B61" s="65" t="s">
        <v>13</v>
      </c>
      <c r="C61" s="72">
        <v>73276509</v>
      </c>
      <c r="D61" s="69">
        <f t="shared" si="6"/>
        <v>3.6450555542721199E-3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>
        <v>-489719</v>
      </c>
      <c r="D63" s="69">
        <f t="shared" si="6"/>
        <v>-2.4360507689887198E-5</v>
      </c>
      <c r="E63" s="68"/>
      <c r="F63" s="65" t="s">
        <v>15</v>
      </c>
      <c r="G63" s="92"/>
      <c r="H63" s="69" t="str">
        <f t="shared" si="7"/>
        <v/>
      </c>
    </row>
    <row r="64" spans="2:10" x14ac:dyDescent="0.2">
      <c r="B64" s="65" t="s">
        <v>16</v>
      </c>
      <c r="C64" s="72">
        <v>-166446</v>
      </c>
      <c r="D64" s="69">
        <f t="shared" si="6"/>
        <v>-8.2796645891847454E-6</v>
      </c>
      <c r="E64" s="68"/>
      <c r="F64" s="65" t="s">
        <v>16</v>
      </c>
      <c r="G64" s="92">
        <v>-103.32</v>
      </c>
      <c r="H64" s="69">
        <f t="shared" si="7"/>
        <v>-8.4376015029496127E-7</v>
      </c>
    </row>
    <row r="65" spans="2:8" s="80" customFormat="1" x14ac:dyDescent="0.2">
      <c r="B65" s="76" t="s">
        <v>17</v>
      </c>
      <c r="C65" s="77">
        <f>SUM(C53:C64)</f>
        <v>72620344</v>
      </c>
      <c r="D65" s="78">
        <f>SUM(D53:D64)</f>
        <v>3.6124153819930478E-3</v>
      </c>
      <c r="E65" s="79"/>
      <c r="F65" s="76" t="s">
        <v>17</v>
      </c>
      <c r="G65" s="93">
        <f>SUM(G53:G64)</f>
        <v>164110.37739999674</v>
      </c>
      <c r="H65" s="78">
        <f>SUM(H53:H64)</f>
        <v>1.3402032200927612E-3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1079891</v>
      </c>
      <c r="D72" s="69">
        <f t="shared" si="8"/>
        <v>7.888048486597127E-5</v>
      </c>
      <c r="E72" s="68"/>
      <c r="F72" s="65" t="s">
        <v>9</v>
      </c>
      <c r="G72" s="66">
        <v>649248</v>
      </c>
      <c r="H72" s="69">
        <f t="shared" si="9"/>
        <v>9.8999048800638056E-5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-17407762</v>
      </c>
      <c r="D76" s="69">
        <f t="shared" si="8"/>
        <v>-1.2715475052495389E-3</v>
      </c>
      <c r="E76" s="68"/>
      <c r="F76" s="65" t="s">
        <v>13</v>
      </c>
      <c r="G76" s="72">
        <v>-3104917</v>
      </c>
      <c r="H76" s="69">
        <f t="shared" si="9"/>
        <v>-4.7344593992577677E-4</v>
      </c>
    </row>
    <row r="77" spans="2:8" x14ac:dyDescent="0.2">
      <c r="B77" s="65" t="s">
        <v>14</v>
      </c>
      <c r="C77" s="66">
        <v>69635407</v>
      </c>
      <c r="D77" s="69">
        <f t="shared" si="8"/>
        <v>5.086508423534644E-3</v>
      </c>
      <c r="E77" s="68"/>
      <c r="F77" s="65" t="s">
        <v>14</v>
      </c>
      <c r="G77" s="66">
        <v>34511676</v>
      </c>
      <c r="H77" s="69">
        <f t="shared" si="9"/>
        <v>5.2624314537985627E-3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-21161</v>
      </c>
      <c r="D79" s="69">
        <f t="shared" si="8"/>
        <v>-1.545702242401148E-6</v>
      </c>
      <c r="E79" s="68"/>
      <c r="F79" s="65" t="s">
        <v>16</v>
      </c>
      <c r="G79" s="72">
        <v>-16079</v>
      </c>
      <c r="H79" s="69">
        <f t="shared" si="9"/>
        <v>-2.4517683622675148E-6</v>
      </c>
    </row>
    <row r="80" spans="2:8" s="80" customFormat="1" x14ac:dyDescent="0.2">
      <c r="B80" s="76" t="s">
        <v>17</v>
      </c>
      <c r="C80" s="77">
        <f>SUM(C68:C79)</f>
        <v>53286375</v>
      </c>
      <c r="D80" s="78">
        <f>SUM(D68:D79)</f>
        <v>3.8922957009086749E-3</v>
      </c>
      <c r="E80" s="79"/>
      <c r="F80" s="76" t="s">
        <v>17</v>
      </c>
      <c r="G80" s="77">
        <f>SUM(G68:G79)</f>
        <v>32039928</v>
      </c>
      <c r="H80" s="78">
        <f>SUM(H68:H79)</f>
        <v>4.8855327943111565E-3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22564322213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20102988256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13690217572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4540179742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6558123617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59115382828</v>
      </c>
      <c r="D111" s="193">
        <v>136331073</v>
      </c>
      <c r="F111" s="106">
        <f>+C111+D111</f>
        <v>59251713901</v>
      </c>
      <c r="G111" s="62"/>
      <c r="H111" s="62"/>
    </row>
    <row r="112" spans="2:8" x14ac:dyDescent="0.2">
      <c r="B112" s="189" t="s">
        <v>18</v>
      </c>
      <c r="C112" s="192">
        <v>38487434.270000003</v>
      </c>
      <c r="D112" s="193"/>
      <c r="F112" s="106">
        <f>+C112+D112</f>
        <v>38487434.270000003</v>
      </c>
      <c r="H112" s="75"/>
    </row>
    <row r="113" spans="1:13" x14ac:dyDescent="0.2">
      <c r="B113" s="189" t="s">
        <v>4</v>
      </c>
      <c r="C113" s="190">
        <v>7072214774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72883403107</v>
      </c>
      <c r="D114" s="107"/>
      <c r="F114" s="106"/>
      <c r="H114" s="75"/>
    </row>
    <row r="115" spans="1:13" x14ac:dyDescent="0.2">
      <c r="B115" s="189" t="s">
        <v>25</v>
      </c>
      <c r="C115" s="192">
        <v>122451860.23999999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719" priority="46" stopIfTrue="1" operator="lessThan">
      <formula>0</formula>
    </cfRule>
  </conditionalFormatting>
  <conditionalFormatting sqref="C89">
    <cfRule type="cellIs" dxfId="1718" priority="43" stopIfTrue="1" operator="lessThan">
      <formula>0</formula>
    </cfRule>
  </conditionalFormatting>
  <conditionalFormatting sqref="C85">
    <cfRule type="cellIs" dxfId="1717" priority="45" stopIfTrue="1" operator="lessThan">
      <formula>0</formula>
    </cfRule>
  </conditionalFormatting>
  <conditionalFormatting sqref="C7:C9">
    <cfRule type="cellIs" dxfId="1716" priority="42" stopIfTrue="1" operator="lessThan">
      <formula>0</formula>
    </cfRule>
  </conditionalFormatting>
  <conditionalFormatting sqref="C10:C13">
    <cfRule type="cellIs" dxfId="1715" priority="40" stopIfTrue="1" operator="lessThan">
      <formula>0</formula>
    </cfRule>
  </conditionalFormatting>
  <conditionalFormatting sqref="C88">
    <cfRule type="cellIs" dxfId="1714" priority="44" stopIfTrue="1" operator="lessThan">
      <formula>0</formula>
    </cfRule>
  </conditionalFormatting>
  <conditionalFormatting sqref="C101">
    <cfRule type="cellIs" dxfId="1713" priority="39" stopIfTrue="1" operator="lessThan">
      <formula>0</formula>
    </cfRule>
  </conditionalFormatting>
  <conditionalFormatting sqref="C7">
    <cfRule type="cellIs" dxfId="1712" priority="41" stopIfTrue="1" operator="lessThan">
      <formula>0</formula>
    </cfRule>
  </conditionalFormatting>
  <conditionalFormatting sqref="C29:C33">
    <cfRule type="cellIs" dxfId="1711" priority="34" stopIfTrue="1" operator="lessThan">
      <formula>0</formula>
    </cfRule>
  </conditionalFormatting>
  <conditionalFormatting sqref="G7:G9">
    <cfRule type="cellIs" dxfId="1710" priority="37" stopIfTrue="1" operator="lessThan">
      <formula>0</formula>
    </cfRule>
  </conditionalFormatting>
  <conditionalFormatting sqref="C22">
    <cfRule type="cellIs" dxfId="1709" priority="32" stopIfTrue="1" operator="lessThan">
      <formula>0</formula>
    </cfRule>
  </conditionalFormatting>
  <conditionalFormatting sqref="C25:C28">
    <cfRule type="cellIs" dxfId="1708" priority="31" stopIfTrue="1" operator="lessThan">
      <formula>0</formula>
    </cfRule>
  </conditionalFormatting>
  <conditionalFormatting sqref="G14:G18">
    <cfRule type="cellIs" dxfId="1707" priority="38" stopIfTrue="1" operator="lessThan">
      <formula>0</formula>
    </cfRule>
  </conditionalFormatting>
  <conditionalFormatting sqref="G7">
    <cfRule type="cellIs" dxfId="1706" priority="36" stopIfTrue="1" operator="lessThan">
      <formula>0</formula>
    </cfRule>
  </conditionalFormatting>
  <conditionalFormatting sqref="G10:G13">
    <cfRule type="cellIs" dxfId="1705" priority="35" stopIfTrue="1" operator="lessThan">
      <formula>0</formula>
    </cfRule>
  </conditionalFormatting>
  <conditionalFormatting sqref="C22:C24">
    <cfRule type="cellIs" dxfId="1704" priority="33" stopIfTrue="1" operator="lessThan">
      <formula>0</formula>
    </cfRule>
  </conditionalFormatting>
  <conditionalFormatting sqref="G22">
    <cfRule type="cellIs" dxfId="1703" priority="28" stopIfTrue="1" operator="lessThan">
      <formula>0</formula>
    </cfRule>
  </conditionalFormatting>
  <conditionalFormatting sqref="G29:G33">
    <cfRule type="cellIs" dxfId="1702" priority="30" stopIfTrue="1" operator="lessThan">
      <formula>0</formula>
    </cfRule>
  </conditionalFormatting>
  <conditionalFormatting sqref="G22:G24">
    <cfRule type="cellIs" dxfId="1701" priority="29" stopIfTrue="1" operator="lessThan">
      <formula>0</formula>
    </cfRule>
  </conditionalFormatting>
  <conditionalFormatting sqref="G25:G28">
    <cfRule type="cellIs" dxfId="1700" priority="27" stopIfTrue="1" operator="lessThan">
      <formula>0</formula>
    </cfRule>
  </conditionalFormatting>
  <conditionalFormatting sqref="C40:C43">
    <cfRule type="cellIs" dxfId="1699" priority="23" stopIfTrue="1" operator="lessThan">
      <formula>0</formula>
    </cfRule>
  </conditionalFormatting>
  <conditionalFormatting sqref="G44:G48">
    <cfRule type="cellIs" dxfId="1698" priority="22" stopIfTrue="1" operator="lessThan">
      <formula>0</formula>
    </cfRule>
  </conditionalFormatting>
  <conditionalFormatting sqref="G37">
    <cfRule type="cellIs" dxfId="1697" priority="20" stopIfTrue="1" operator="lessThan">
      <formula>0</formula>
    </cfRule>
  </conditionalFormatting>
  <conditionalFormatting sqref="C44:C48">
    <cfRule type="cellIs" dxfId="1696" priority="26" stopIfTrue="1" operator="lessThan">
      <formula>0</formula>
    </cfRule>
  </conditionalFormatting>
  <conditionalFormatting sqref="C37:C39">
    <cfRule type="cellIs" dxfId="1695" priority="25" stopIfTrue="1" operator="lessThan">
      <formula>0</formula>
    </cfRule>
  </conditionalFormatting>
  <conditionalFormatting sqref="C37">
    <cfRule type="cellIs" dxfId="1694" priority="24" stopIfTrue="1" operator="lessThan">
      <formula>0</formula>
    </cfRule>
  </conditionalFormatting>
  <conditionalFormatting sqref="C56:C59">
    <cfRule type="cellIs" dxfId="1693" priority="15" stopIfTrue="1" operator="lessThan">
      <formula>0</formula>
    </cfRule>
  </conditionalFormatting>
  <conditionalFormatting sqref="G60:G63">
    <cfRule type="cellIs" dxfId="1692" priority="14" stopIfTrue="1" operator="lessThan">
      <formula>0</formula>
    </cfRule>
  </conditionalFormatting>
  <conditionalFormatting sqref="G37:G39">
    <cfRule type="cellIs" dxfId="1691" priority="21" stopIfTrue="1" operator="lessThan">
      <formula>0</formula>
    </cfRule>
  </conditionalFormatting>
  <conditionalFormatting sqref="G53">
    <cfRule type="cellIs" dxfId="1690" priority="12" stopIfTrue="1" operator="lessThan">
      <formula>0</formula>
    </cfRule>
  </conditionalFormatting>
  <conditionalFormatting sqref="G40:G43">
    <cfRule type="cellIs" dxfId="1689" priority="19" stopIfTrue="1" operator="lessThan">
      <formula>0</formula>
    </cfRule>
  </conditionalFormatting>
  <conditionalFormatting sqref="C60:C64">
    <cfRule type="cellIs" dxfId="1688" priority="18" stopIfTrue="1" operator="lessThan">
      <formula>0</formula>
    </cfRule>
  </conditionalFormatting>
  <conditionalFormatting sqref="C53:C55">
    <cfRule type="cellIs" dxfId="1687" priority="17" stopIfTrue="1" operator="lessThan">
      <formula>0</formula>
    </cfRule>
  </conditionalFormatting>
  <conditionalFormatting sqref="C53">
    <cfRule type="cellIs" dxfId="1686" priority="16" stopIfTrue="1" operator="lessThan">
      <formula>0</formula>
    </cfRule>
  </conditionalFormatting>
  <conditionalFormatting sqref="G53:G55">
    <cfRule type="cellIs" dxfId="1685" priority="13" stopIfTrue="1" operator="lessThan">
      <formula>0</formula>
    </cfRule>
  </conditionalFormatting>
  <conditionalFormatting sqref="G56:G59">
    <cfRule type="cellIs" dxfId="1684" priority="11" stopIfTrue="1" operator="lessThan">
      <formula>0</formula>
    </cfRule>
  </conditionalFormatting>
  <conditionalFormatting sqref="C75:C78">
    <cfRule type="cellIs" dxfId="1683" priority="10" stopIfTrue="1" operator="lessThan">
      <formula>0</formula>
    </cfRule>
  </conditionalFormatting>
  <conditionalFormatting sqref="C68:C70">
    <cfRule type="cellIs" dxfId="1682" priority="9" stopIfTrue="1" operator="lessThan">
      <formula>0</formula>
    </cfRule>
  </conditionalFormatting>
  <conditionalFormatting sqref="C68">
    <cfRule type="cellIs" dxfId="1681" priority="8" stopIfTrue="1" operator="lessThan">
      <formula>0</formula>
    </cfRule>
  </conditionalFormatting>
  <conditionalFormatting sqref="C71:C74">
    <cfRule type="cellIs" dxfId="1680" priority="7" stopIfTrue="1" operator="lessThan">
      <formula>0</formula>
    </cfRule>
  </conditionalFormatting>
  <conditionalFormatting sqref="G75:G79">
    <cfRule type="cellIs" dxfId="1679" priority="6" stopIfTrue="1" operator="lessThan">
      <formula>0</formula>
    </cfRule>
  </conditionalFormatting>
  <conditionalFormatting sqref="G68:G70">
    <cfRule type="cellIs" dxfId="1678" priority="5" stopIfTrue="1" operator="lessThan">
      <formula>0</formula>
    </cfRule>
  </conditionalFormatting>
  <conditionalFormatting sqref="G68">
    <cfRule type="cellIs" dxfId="1677" priority="4" stopIfTrue="1" operator="lessThan">
      <formula>0</formula>
    </cfRule>
  </conditionalFormatting>
  <conditionalFormatting sqref="G71:G74">
    <cfRule type="cellIs" dxfId="1676" priority="3" stopIfTrue="1" operator="lessThan">
      <formula>0</formula>
    </cfRule>
  </conditionalFormatting>
  <conditionalFormatting sqref="G64">
    <cfRule type="cellIs" dxfId="1675" priority="2" stopIfTrue="1" operator="lessThan">
      <formula>0</formula>
    </cfRule>
  </conditionalFormatting>
  <conditionalFormatting sqref="C79">
    <cfRule type="cellIs" dxfId="1674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dimension ref="A2:M121"/>
  <sheetViews>
    <sheetView topLeftCell="A4" workbookViewId="0">
      <selection activeCell="J38" sqref="J38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43073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4439182</v>
      </c>
      <c r="D7" s="67">
        <f>+IF(C7/$F$111=0,"",C7/$F$111)</f>
        <v>7.4586667158112996E-5</v>
      </c>
      <c r="E7" s="68"/>
      <c r="F7" s="65" t="s">
        <v>5</v>
      </c>
      <c r="G7" s="66">
        <v>696068</v>
      </c>
      <c r="H7" s="69">
        <f>+IF(G7/$C$113=0,"",G7/$C$113)</f>
        <v>9.9410055956668375E-5</v>
      </c>
      <c r="I7" s="70"/>
    </row>
    <row r="8" spans="1:9" x14ac:dyDescent="0.2">
      <c r="B8" s="65" t="s">
        <v>6</v>
      </c>
      <c r="C8" s="66">
        <v>533435</v>
      </c>
      <c r="D8" s="67">
        <f>+IF(C8/$F$111=0,"",C8/$F$111)</f>
        <v>8.9627185358671938E-6</v>
      </c>
      <c r="E8" s="68"/>
      <c r="F8" s="65" t="s">
        <v>6</v>
      </c>
      <c r="G8" s="66">
        <v>231755</v>
      </c>
      <c r="H8" s="69">
        <f>+IF(G8/$C$113=0,"",G8/$C$113)</f>
        <v>3.3098458079149855E-5</v>
      </c>
    </row>
    <row r="9" spans="1:9" x14ac:dyDescent="0.2">
      <c r="B9" s="65" t="s">
        <v>7</v>
      </c>
      <c r="C9" s="71"/>
      <c r="D9" s="67" t="str">
        <f>+IF(C9/$F$111=0,"",C9/$F$111)</f>
        <v/>
      </c>
      <c r="E9" s="68"/>
      <c r="F9" s="65" t="s">
        <v>7</v>
      </c>
      <c r="G9" s="66"/>
      <c r="H9" s="69" t="str">
        <f t="shared" ref="H9:H18" si="0">+IF(G9/$C$113=0,"",G9/$C$113)</f>
        <v/>
      </c>
    </row>
    <row r="10" spans="1:9" x14ac:dyDescent="0.2">
      <c r="B10" s="65" t="s">
        <v>8</v>
      </c>
      <c r="C10" s="66"/>
      <c r="D10" s="67" t="str">
        <f>+IF(C10/$F$111=0,"",C10/$F$111)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+IF(C11/$F$111=0,"",C11/$F$111)</f>
        <v/>
      </c>
      <c r="E11" s="68"/>
      <c r="F11" s="65" t="s">
        <v>9</v>
      </c>
      <c r="G11" s="66">
        <v>-9685</v>
      </c>
      <c r="H11" s="69">
        <f t="shared" si="0"/>
        <v>-1.3831786433801485E-6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-3879852</v>
      </c>
      <c r="H14" s="69">
        <f t="shared" si="0"/>
        <v>-5.5410722001814723E-4</v>
      </c>
      <c r="I14" s="74"/>
    </row>
    <row r="15" spans="1:9" x14ac:dyDescent="0.2">
      <c r="B15" s="65" t="s">
        <v>13</v>
      </c>
      <c r="C15" s="72"/>
      <c r="D15" s="67" t="str">
        <f>+IF(C15/$F$111=0,"",C15/$F$111)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+IF(C16/$F$111=0,"",C16/$F$111)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+IF(C17/$F$111=0,"",C17/$F$111)</f>
        <v/>
      </c>
      <c r="E17" s="68"/>
      <c r="F17" s="65" t="s">
        <v>15</v>
      </c>
      <c r="G17" s="72">
        <v>-2</v>
      </c>
      <c r="H17" s="69">
        <f t="shared" si="0"/>
        <v>-2.8563317364587474E-10</v>
      </c>
    </row>
    <row r="18" spans="2:9" x14ac:dyDescent="0.2">
      <c r="B18" s="65" t="s">
        <v>16</v>
      </c>
      <c r="C18" s="72">
        <v>-145337</v>
      </c>
      <c r="D18" s="67">
        <f>+IF(C18/$F$111=0,"",C18/$F$111)</f>
        <v>-2.4419369254873238E-6</v>
      </c>
      <c r="E18" s="75"/>
      <c r="F18" s="65" t="s">
        <v>16</v>
      </c>
      <c r="G18" s="72">
        <v>-32404</v>
      </c>
      <c r="H18" s="69">
        <f t="shared" si="0"/>
        <v>-4.6278286794104632E-6</v>
      </c>
    </row>
    <row r="19" spans="2:9" s="80" customFormat="1" x14ac:dyDescent="0.2">
      <c r="B19" s="76" t="s">
        <v>17</v>
      </c>
      <c r="C19" s="77">
        <f>SUM(C7:C18)</f>
        <v>4827280</v>
      </c>
      <c r="D19" s="78">
        <f>SUM(D7:D18)</f>
        <v>8.1107448768492874E-5</v>
      </c>
      <c r="E19" s="79"/>
      <c r="F19" s="76" t="s">
        <v>17</v>
      </c>
      <c r="G19" s="77">
        <f>SUM(G7:G18)</f>
        <v>-2994120</v>
      </c>
      <c r="H19" s="78">
        <f>SUM(H7:H18)</f>
        <v>-4.2760999893829327E-4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2326.6325000000002</v>
      </c>
      <c r="D22" s="69">
        <f>+IF(C22/$F$112=0,"",C22/$F$112)</f>
        <v>6.0468481409884366E-5</v>
      </c>
      <c r="E22" s="75"/>
      <c r="F22" s="65" t="s">
        <v>5</v>
      </c>
      <c r="G22" s="66">
        <v>1652614</v>
      </c>
      <c r="H22" s="69">
        <f t="shared" ref="H22:H33" si="2">+IF(G22/$C$106=0,"",G22/$C$106)</f>
        <v>7.2837267674816415E-5</v>
      </c>
      <c r="I22" s="114"/>
    </row>
    <row r="23" spans="2:9" x14ac:dyDescent="0.2">
      <c r="B23" s="65" t="s">
        <v>44</v>
      </c>
      <c r="C23" s="71">
        <v>19288.446</v>
      </c>
      <c r="D23" s="69">
        <f>+IF(C23/$F$112=0,"",C23/$F$112)</f>
        <v>5.0130093101362523E-4</v>
      </c>
      <c r="E23" s="75"/>
      <c r="F23" s="65" t="s">
        <v>6</v>
      </c>
      <c r="G23" s="66">
        <v>1377236</v>
      </c>
      <c r="H23" s="69">
        <f t="shared" si="2"/>
        <v>6.0700264661556449E-5</v>
      </c>
      <c r="I23" s="114"/>
    </row>
    <row r="24" spans="2:9" x14ac:dyDescent="0.2">
      <c r="B24" s="65" t="s">
        <v>45</v>
      </c>
      <c r="C24" s="71"/>
      <c r="D24" s="69" t="str">
        <f>+IF(C24/$F$112=0,"",C24/$F$112)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+IF(C25/$F$112=0,"",C25/$F$112)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7.995879765261634</v>
      </c>
      <c r="D26" s="69">
        <f>+IF(C26/$F$112=0,"",C26/$F$112)</f>
        <v>2.078105188255531E-7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-19910.061451317481</v>
      </c>
      <c r="D27" s="69">
        <f t="shared" ref="D27:D33" si="3">+IF(C27/$F$112=0,"",C27/$F$112)</f>
        <v>-5.174565303023345E-4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-3266023</v>
      </c>
      <c r="H29" s="69">
        <f t="shared" si="2"/>
        <v>-1.4394661517033434E-4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-129.41999999999999</v>
      </c>
      <c r="D33" s="69">
        <f t="shared" si="3"/>
        <v>-3.3635870143081184E-6</v>
      </c>
      <c r="E33" s="75"/>
      <c r="F33" s="65" t="s">
        <v>16</v>
      </c>
      <c r="G33" s="72">
        <v>-46253</v>
      </c>
      <c r="H33" s="69">
        <f t="shared" si="2"/>
        <v>-2.0385535531971069E-6</v>
      </c>
    </row>
    <row r="34" spans="1:13" s="80" customFormat="1" x14ac:dyDescent="0.2">
      <c r="B34" s="76" t="s">
        <v>17</v>
      </c>
      <c r="C34" s="93">
        <f>SUM(C22:C33)</f>
        <v>1583.5929284477807</v>
      </c>
      <c r="D34" s="78">
        <f>SUM(D22:D33)</f>
        <v>4.1157105625692504E-5</v>
      </c>
      <c r="E34" s="79"/>
      <c r="F34" s="76" t="s">
        <v>17</v>
      </c>
      <c r="G34" s="93">
        <f>SUM(G22:G33)</f>
        <v>-282426</v>
      </c>
      <c r="H34" s="78">
        <f>SUM(H22:H33)</f>
        <v>-1.2447636387158573E-5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4366648</v>
      </c>
      <c r="D37" s="69">
        <f t="shared" ref="D37:D48" si="4">+IF(C37/$C$114=0,"",C37/$C$114)</f>
        <v>5.7375052986719727E-5</v>
      </c>
      <c r="E37" s="68"/>
      <c r="F37" s="65" t="s">
        <v>5</v>
      </c>
      <c r="G37" s="66"/>
      <c r="H37" s="69" t="str">
        <f t="shared" ref="H37:H48" si="5">+IF(G37/$C$109=0,"",G37/$C$109)</f>
        <v/>
      </c>
      <c r="K37" s="86"/>
      <c r="M37" s="87"/>
    </row>
    <row r="38" spans="1:13" x14ac:dyDescent="0.2">
      <c r="B38" s="65" t="s">
        <v>6</v>
      </c>
      <c r="C38" s="66">
        <v>6819660</v>
      </c>
      <c r="D38" s="69">
        <f t="shared" si="4"/>
        <v>8.9606112938668978E-5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-32315517</v>
      </c>
      <c r="D44" s="69">
        <f t="shared" si="4"/>
        <v>-4.2460589911718141E-4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-6565211</v>
      </c>
      <c r="D45" s="69">
        <f t="shared" si="4"/>
        <v>-8.6262810511402604E-5</v>
      </c>
      <c r="E45" s="68"/>
      <c r="F45" s="65" t="s">
        <v>13</v>
      </c>
      <c r="G45" s="72">
        <v>11213867</v>
      </c>
      <c r="H45" s="69">
        <f t="shared" si="5"/>
        <v>2.4596395327788536E-3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/>
      <c r="D47" s="69" t="str">
        <f t="shared" si="4"/>
        <v/>
      </c>
      <c r="E47" s="68"/>
      <c r="F47" s="65" t="s">
        <v>15</v>
      </c>
      <c r="G47" s="72">
        <v>230515</v>
      </c>
      <c r="H47" s="69">
        <f t="shared" si="5"/>
        <v>5.0560953406930671E-5</v>
      </c>
    </row>
    <row r="48" spans="1:13" x14ac:dyDescent="0.2">
      <c r="B48" s="65" t="s">
        <v>16</v>
      </c>
      <c r="C48" s="72">
        <v>-110903</v>
      </c>
      <c r="D48" s="69">
        <f t="shared" si="4"/>
        <v>-1.457196802074767E-6</v>
      </c>
      <c r="E48" s="68"/>
      <c r="F48" s="65" t="s">
        <v>16</v>
      </c>
      <c r="G48" s="72">
        <v>-37472</v>
      </c>
      <c r="H48" s="69">
        <f t="shared" si="5"/>
        <v>-8.2190748804394773E-6</v>
      </c>
    </row>
    <row r="49" spans="2:10" s="80" customFormat="1" x14ac:dyDescent="0.2">
      <c r="B49" s="76" t="s">
        <v>17</v>
      </c>
      <c r="C49" s="77">
        <f>SUM(C37:C48)</f>
        <v>-27805323</v>
      </c>
      <c r="D49" s="78">
        <f>SUM(D37:D48)</f>
        <v>-3.6534474050527009E-4</v>
      </c>
      <c r="E49" s="79"/>
      <c r="F49" s="76" t="s">
        <v>17</v>
      </c>
      <c r="G49" s="77">
        <f>SUM(G37:G48)</f>
        <v>11406910</v>
      </c>
      <c r="H49" s="78">
        <f>SUM(H37:H48)</f>
        <v>2.5019814113053447E-3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+IF(C53/$C$107=0,"",C53/$C$107)</f>
        <v/>
      </c>
      <c r="E53" s="68"/>
      <c r="F53" s="65" t="s">
        <v>5</v>
      </c>
      <c r="G53" s="116">
        <v>15979.8601</v>
      </c>
      <c r="H53" s="69">
        <f t="shared" ref="H53:H64" si="7">+IF(G53/$C$115=0,"",G53/$C$115)</f>
        <v>1.3029593109247824E-4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/>
      <c r="D58" s="69" t="str">
        <f t="shared" si="6"/>
        <v/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3546.4787999999999</v>
      </c>
      <c r="H60" s="69">
        <f t="shared" si="7"/>
        <v>2.8917134095919581E-5</v>
      </c>
    </row>
    <row r="61" spans="2:10" x14ac:dyDescent="0.2">
      <c r="B61" s="65" t="s">
        <v>13</v>
      </c>
      <c r="C61" s="72">
        <v>64367944</v>
      </c>
      <c r="D61" s="69">
        <f t="shared" si="6"/>
        <v>3.2148040178891905E-3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>
        <v>-3025888</v>
      </c>
      <c r="D63" s="69">
        <f t="shared" si="6"/>
        <v>-1.5112548724692353E-4</v>
      </c>
      <c r="E63" s="68"/>
      <c r="F63" s="65" t="s">
        <v>15</v>
      </c>
      <c r="G63" s="92"/>
      <c r="H63" s="69" t="str">
        <f t="shared" si="7"/>
        <v/>
      </c>
    </row>
    <row r="64" spans="2:10" x14ac:dyDescent="0.2">
      <c r="B64" s="65" t="s">
        <v>16</v>
      </c>
      <c r="C64" s="72">
        <v>-160849</v>
      </c>
      <c r="D64" s="69">
        <f t="shared" si="6"/>
        <v>-8.0334710003081414E-6</v>
      </c>
      <c r="E64" s="68"/>
      <c r="F64" s="65" t="s">
        <v>16</v>
      </c>
      <c r="G64" s="92">
        <v>-103.21</v>
      </c>
      <c r="H64" s="69">
        <f t="shared" si="7"/>
        <v>-8.4154948565880608E-7</v>
      </c>
    </row>
    <row r="65" spans="2:8" s="80" customFormat="1" x14ac:dyDescent="0.2">
      <c r="B65" s="76" t="s">
        <v>17</v>
      </c>
      <c r="C65" s="77">
        <f>SUM(C53:C64)</f>
        <v>61181207</v>
      </c>
      <c r="D65" s="78">
        <f>SUM(D53:D64)</f>
        <v>3.055645059641959E-3</v>
      </c>
      <c r="E65" s="79"/>
      <c r="F65" s="76" t="s">
        <v>17</v>
      </c>
      <c r="G65" s="93">
        <f>SUM(G53:G64)</f>
        <v>19423.1289</v>
      </c>
      <c r="H65" s="78">
        <f>SUM(H53:H64)</f>
        <v>1.5837151570273901E-4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+IF(C68/$C$108=0,"",C68/$C$108)</f>
        <v/>
      </c>
      <c r="E68" s="68"/>
      <c r="F68" s="65" t="s">
        <v>5</v>
      </c>
      <c r="G68" s="66"/>
      <c r="H68" s="69" t="str">
        <f>+IF(G68/$C$110=0,"",G68/$C$110)</f>
        <v/>
      </c>
    </row>
    <row r="69" spans="2:8" x14ac:dyDescent="0.2">
      <c r="B69" s="65" t="s">
        <v>6</v>
      </c>
      <c r="C69" s="66"/>
      <c r="D69" s="69" t="str">
        <f t="shared" ref="D69:D79" si="8">+IF(C69/$C$108=0,"",C69/$C$108)</f>
        <v/>
      </c>
      <c r="E69" s="68"/>
      <c r="F69" s="65" t="s">
        <v>6</v>
      </c>
      <c r="G69" s="66"/>
      <c r="H69" s="69" t="str">
        <f t="shared" ref="H69:H79" si="9">+IF(G69/$C$110=0,"",G69/$C$110)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-177901</v>
      </c>
      <c r="D72" s="69">
        <f t="shared" si="8"/>
        <v>-1.2972965948142432E-5</v>
      </c>
      <c r="E72" s="68"/>
      <c r="F72" s="65" t="s">
        <v>9</v>
      </c>
      <c r="G72" s="66">
        <v>-106958</v>
      </c>
      <c r="H72" s="69">
        <f t="shared" si="9"/>
        <v>-1.6393382689611632E-5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-14326014</v>
      </c>
      <c r="D76" s="69">
        <f t="shared" si="8"/>
        <v>-1.0446871675516818E-3</v>
      </c>
      <c r="E76" s="68"/>
      <c r="F76" s="65" t="s">
        <v>13</v>
      </c>
      <c r="G76" s="72">
        <v>4483177</v>
      </c>
      <c r="H76" s="69">
        <f t="shared" si="9"/>
        <v>6.871336059599564E-4</v>
      </c>
    </row>
    <row r="77" spans="2:8" x14ac:dyDescent="0.2">
      <c r="B77" s="65" t="s">
        <v>14</v>
      </c>
      <c r="C77" s="66">
        <v>-11460112</v>
      </c>
      <c r="D77" s="69">
        <f t="shared" si="8"/>
        <v>-8.3569874670686762E-4</v>
      </c>
      <c r="E77" s="68"/>
      <c r="F77" s="65" t="s">
        <v>14</v>
      </c>
      <c r="G77" s="66">
        <v>-5689387</v>
      </c>
      <c r="H77" s="69">
        <f t="shared" si="9"/>
        <v>-8.7200862357468783E-4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-21162</v>
      </c>
      <c r="D79" s="69">
        <f t="shared" si="8"/>
        <v>-1.5431835987127118E-6</v>
      </c>
      <c r="E79" s="68"/>
      <c r="F79" s="65" t="s">
        <v>16</v>
      </c>
      <c r="G79" s="72">
        <v>-16080</v>
      </c>
      <c r="H79" s="69">
        <f t="shared" si="9"/>
        <v>-2.4645710806948061E-6</v>
      </c>
    </row>
    <row r="80" spans="2:8" s="80" customFormat="1" x14ac:dyDescent="0.2">
      <c r="B80" s="76" t="s">
        <v>17</v>
      </c>
      <c r="C80" s="77">
        <f>SUM(C68:C79)</f>
        <v>-25985189</v>
      </c>
      <c r="D80" s="78">
        <f>SUM(D68:D79)</f>
        <v>-1.8949020638054045E-3</v>
      </c>
      <c r="E80" s="79"/>
      <c r="F80" s="76" t="s">
        <v>17</v>
      </c>
      <c r="G80" s="77">
        <f>SUM(G68:G79)</f>
        <v>-1329248</v>
      </c>
      <c r="H80" s="78">
        <f>SUM(H68:H79)</f>
        <v>-2.0373297138503787E-4</v>
      </c>
    </row>
    <row r="81" spans="2:7" ht="4.5" customHeight="1" x14ac:dyDescent="0.2">
      <c r="C81" s="84"/>
      <c r="G81" s="90"/>
    </row>
    <row r="82" spans="2:7" ht="25.5" hidden="1" customHeight="1" x14ac:dyDescent="0.2">
      <c r="B82" s="63" t="s">
        <v>29</v>
      </c>
      <c r="C82" s="63"/>
      <c r="D82" s="63" t="s">
        <v>3</v>
      </c>
      <c r="G82" s="90"/>
    </row>
    <row r="83" spans="2:7" ht="12.75" hidden="1" customHeight="1" x14ac:dyDescent="0.2">
      <c r="B83" s="94" t="s">
        <v>30</v>
      </c>
      <c r="C83" s="95"/>
      <c r="D83" s="69" t="e">
        <f>+IF(C83/#REF!=0,"",C83/#REF!)</f>
        <v>#REF!</v>
      </c>
      <c r="G83" s="90"/>
    </row>
    <row r="84" spans="2:7" ht="12.75" hidden="1" customHeight="1" x14ac:dyDescent="0.2">
      <c r="B84" s="96" t="s">
        <v>31</v>
      </c>
      <c r="C84" s="95"/>
      <c r="D84" s="69" t="e">
        <f>+IF(C84/#REF!=0,"",C84/#REF!)</f>
        <v>#REF!</v>
      </c>
      <c r="G84" s="90"/>
    </row>
    <row r="85" spans="2:7" ht="12.75" hidden="1" customHeight="1" x14ac:dyDescent="0.2">
      <c r="B85" s="96" t="s">
        <v>32</v>
      </c>
      <c r="C85" s="97"/>
      <c r="D85" s="69" t="e">
        <f>+IF(C85/#REF!=0,"",C85/#REF!)</f>
        <v>#REF!</v>
      </c>
      <c r="G85" s="90"/>
    </row>
    <row r="86" spans="2:7" ht="12.75" hidden="1" customHeight="1" x14ac:dyDescent="0.2">
      <c r="B86" s="96" t="s">
        <v>33</v>
      </c>
      <c r="C86" s="95"/>
      <c r="D86" s="69" t="e">
        <f>+IF(C86/#REF!=0,"",C86/#REF!)</f>
        <v>#REF!</v>
      </c>
      <c r="G86" s="90"/>
    </row>
    <row r="87" spans="2:7" ht="12.75" hidden="1" customHeight="1" x14ac:dyDescent="0.2">
      <c r="B87" s="96" t="s">
        <v>7</v>
      </c>
      <c r="C87" s="95"/>
      <c r="D87" s="69" t="e">
        <f>+IF(C87/#REF!=0,"",C87/#REF!)</f>
        <v>#REF!</v>
      </c>
      <c r="G87" s="90"/>
    </row>
    <row r="88" spans="2:7" ht="12.75" hidden="1" customHeight="1" x14ac:dyDescent="0.2">
      <c r="B88" s="96"/>
      <c r="C88" s="98"/>
      <c r="D88" s="69"/>
      <c r="G88" s="90"/>
    </row>
    <row r="89" spans="2:7" ht="12.75" hidden="1" customHeight="1" x14ac:dyDescent="0.2">
      <c r="B89" s="96"/>
      <c r="C89" s="98"/>
      <c r="D89" s="69"/>
      <c r="G89" s="90"/>
    </row>
    <row r="90" spans="2:7" s="80" customFormat="1" ht="12.75" hidden="1" customHeight="1" x14ac:dyDescent="0.2">
      <c r="B90" s="76" t="s">
        <v>17</v>
      </c>
      <c r="C90" s="99"/>
      <c r="D90" s="78" t="e">
        <f>SUM(D83:D89)</f>
        <v>#REF!</v>
      </c>
      <c r="E90" s="100"/>
      <c r="G90" s="101"/>
    </row>
    <row r="91" spans="2:7" ht="4.5" hidden="1" customHeight="1" x14ac:dyDescent="0.2">
      <c r="C91" s="84"/>
      <c r="G91" s="90"/>
    </row>
    <row r="92" spans="2:7" ht="4.5" hidden="1" customHeight="1" x14ac:dyDescent="0.2">
      <c r="C92" s="84"/>
      <c r="G92" s="90"/>
    </row>
    <row r="93" spans="2:7" ht="4.5" hidden="1" customHeight="1" x14ac:dyDescent="0.2">
      <c r="C93" s="84"/>
      <c r="G93" s="90"/>
    </row>
    <row r="94" spans="2:7" ht="4.5" customHeight="1" x14ac:dyDescent="0.2">
      <c r="C94" s="84"/>
      <c r="G94" s="90"/>
    </row>
    <row r="95" spans="2:7" ht="25.5" hidden="1" customHeight="1" x14ac:dyDescent="0.2">
      <c r="B95" s="63" t="s">
        <v>25</v>
      </c>
      <c r="C95" s="63"/>
      <c r="D95" s="63" t="s">
        <v>3</v>
      </c>
      <c r="E95" s="81"/>
      <c r="F95" s="59"/>
    </row>
    <row r="96" spans="2:7" ht="12.75" hidden="1" customHeight="1" x14ac:dyDescent="0.2">
      <c r="B96" s="94"/>
      <c r="C96" s="102"/>
      <c r="D96" s="69" t="str">
        <f>+IF(C96/$C$115=0,"",C96/$C$115)</f>
        <v/>
      </c>
      <c r="E96" s="75"/>
      <c r="F96" s="59"/>
    </row>
    <row r="97" spans="2:8" ht="12.75" hidden="1" customHeight="1" x14ac:dyDescent="0.2">
      <c r="B97" s="96" t="s">
        <v>34</v>
      </c>
      <c r="C97" s="117"/>
      <c r="D97" s="69" t="str">
        <f t="shared" ref="D97:D102" si="10">+IF(C97/$C$115=0,"",C97/$C$115)</f>
        <v/>
      </c>
      <c r="E97" s="75"/>
      <c r="F97" s="59"/>
    </row>
    <row r="98" spans="2:8" ht="12.75" hidden="1" customHeight="1" x14ac:dyDescent="0.2">
      <c r="B98" s="96" t="s">
        <v>35</v>
      </c>
      <c r="C98" s="117"/>
      <c r="D98" s="69" t="str">
        <f t="shared" si="10"/>
        <v/>
      </c>
      <c r="E98" s="75"/>
      <c r="F98" s="59"/>
    </row>
    <row r="99" spans="2:8" ht="12.75" hidden="1" customHeight="1" x14ac:dyDescent="0.2">
      <c r="B99" s="96" t="s">
        <v>36</v>
      </c>
      <c r="C99" s="117"/>
      <c r="D99" s="69" t="str">
        <f t="shared" si="10"/>
        <v/>
      </c>
      <c r="E99" s="75"/>
      <c r="F99" s="59"/>
    </row>
    <row r="100" spans="2:8" ht="12.75" hidden="1" customHeight="1" x14ac:dyDescent="0.2">
      <c r="B100" s="96" t="s">
        <v>37</v>
      </c>
      <c r="C100" s="117"/>
      <c r="D100" s="69" t="str">
        <f t="shared" si="10"/>
        <v/>
      </c>
      <c r="E100" s="75"/>
      <c r="F100" s="59"/>
    </row>
    <row r="101" spans="2:8" ht="12.75" hidden="1" customHeight="1" x14ac:dyDescent="0.2">
      <c r="B101" s="96" t="s">
        <v>38</v>
      </c>
      <c r="C101" s="98"/>
      <c r="D101" s="69" t="str">
        <f t="shared" si="10"/>
        <v/>
      </c>
      <c r="E101" s="75"/>
      <c r="F101" s="59"/>
    </row>
    <row r="102" spans="2:8" ht="12.75" hidden="1" customHeight="1" x14ac:dyDescent="0.2">
      <c r="B102" s="96"/>
      <c r="C102" s="102"/>
      <c r="D102" s="69" t="str">
        <f t="shared" si="10"/>
        <v/>
      </c>
      <c r="E102" s="75"/>
      <c r="F102" s="59"/>
    </row>
    <row r="103" spans="2:8" s="80" customFormat="1" ht="12.75" hidden="1" customHeight="1" x14ac:dyDescent="0.2">
      <c r="B103" s="76" t="s">
        <v>17</v>
      </c>
      <c r="C103" s="99">
        <f>SUM(C96:C102)</f>
        <v>0</v>
      </c>
      <c r="D103" s="78">
        <f>SUM(D96:D102)</f>
        <v>0</v>
      </c>
      <c r="E103" s="79"/>
    </row>
    <row r="104" spans="2:8" x14ac:dyDescent="0.2">
      <c r="B104" s="59"/>
      <c r="C104" s="104"/>
      <c r="D104" s="75"/>
      <c r="E104" s="105"/>
      <c r="F104" s="59"/>
      <c r="H104" s="75"/>
    </row>
    <row r="105" spans="2:8" s="62" customFormat="1" ht="41.25" customHeight="1" x14ac:dyDescent="0.2">
      <c r="B105" s="63" t="s">
        <v>39</v>
      </c>
      <c r="C105" s="63" t="s">
        <v>40</v>
      </c>
      <c r="D105" s="63" t="s">
        <v>41</v>
      </c>
      <c r="F105" s="63" t="s">
        <v>42</v>
      </c>
    </row>
    <row r="106" spans="2:8" x14ac:dyDescent="0.2">
      <c r="B106" s="189" t="s">
        <v>19</v>
      </c>
      <c r="C106" s="190">
        <v>22689126771.999901</v>
      </c>
      <c r="D106" s="107"/>
      <c r="E106" s="58"/>
      <c r="F106" s="106"/>
      <c r="H106" s="75"/>
    </row>
    <row r="107" spans="2:8" x14ac:dyDescent="0.2">
      <c r="B107" s="189" t="s">
        <v>24</v>
      </c>
      <c r="C107" s="190">
        <v>20022353973</v>
      </c>
      <c r="D107" s="107"/>
      <c r="E107" s="108"/>
      <c r="F107" s="106"/>
      <c r="G107" s="62"/>
      <c r="H107" s="62"/>
    </row>
    <row r="108" spans="2:8" x14ac:dyDescent="0.2">
      <c r="B108" s="189" t="s">
        <v>26</v>
      </c>
      <c r="C108" s="190">
        <v>13713209509</v>
      </c>
      <c r="D108" s="107"/>
      <c r="E108" s="108"/>
      <c r="F108" s="106"/>
      <c r="H108" s="75"/>
    </row>
    <row r="109" spans="2:8" x14ac:dyDescent="0.2">
      <c r="B109" s="189" t="s">
        <v>22</v>
      </c>
      <c r="C109" s="190">
        <v>4559150579</v>
      </c>
      <c r="D109" s="107"/>
      <c r="E109" s="108"/>
      <c r="F109" s="106"/>
      <c r="G109" s="62"/>
      <c r="H109" s="62"/>
    </row>
    <row r="110" spans="2:8" x14ac:dyDescent="0.2">
      <c r="B110" s="189" t="s">
        <v>27</v>
      </c>
      <c r="C110" s="190">
        <v>6524461852.9998999</v>
      </c>
      <c r="D110" s="107"/>
      <c r="E110" s="108"/>
      <c r="F110" s="106"/>
      <c r="H110" s="75"/>
    </row>
    <row r="111" spans="2:8" x14ac:dyDescent="0.2">
      <c r="B111" s="189" t="s">
        <v>1</v>
      </c>
      <c r="C111" s="190">
        <v>58649511158.000099</v>
      </c>
      <c r="D111" s="193">
        <v>867587127</v>
      </c>
      <c r="F111" s="106">
        <f>+C111+D111</f>
        <v>59517098285.000099</v>
      </c>
      <c r="G111" s="62"/>
      <c r="H111" s="62"/>
    </row>
    <row r="112" spans="2:8" x14ac:dyDescent="0.2">
      <c r="B112" s="189" t="s">
        <v>18</v>
      </c>
      <c r="C112" s="192">
        <v>38476780.725299999</v>
      </c>
      <c r="D112" s="193"/>
      <c r="F112" s="106">
        <f>+C112+D112</f>
        <v>38476780.725299999</v>
      </c>
      <c r="H112" s="75"/>
    </row>
    <row r="113" spans="1:13" x14ac:dyDescent="0.2">
      <c r="B113" s="189" t="s">
        <v>4</v>
      </c>
      <c r="C113" s="190">
        <v>7001987809.9999008</v>
      </c>
      <c r="D113" s="107"/>
      <c r="F113" s="106"/>
      <c r="G113" s="62"/>
      <c r="H113" s="62"/>
    </row>
    <row r="114" spans="1:13" x14ac:dyDescent="0.2">
      <c r="B114" s="189" t="s">
        <v>21</v>
      </c>
      <c r="C114" s="190">
        <v>76107084398</v>
      </c>
      <c r="D114" s="107"/>
      <c r="F114" s="106"/>
      <c r="H114" s="75"/>
    </row>
    <row r="115" spans="1:13" x14ac:dyDescent="0.2">
      <c r="B115" s="189" t="s">
        <v>25</v>
      </c>
      <c r="C115" s="192">
        <v>122642817.5156</v>
      </c>
      <c r="D115" s="107"/>
      <c r="E115" s="108"/>
      <c r="F115" s="106"/>
      <c r="G115" s="62"/>
      <c r="H115" s="62"/>
    </row>
    <row r="116" spans="1:13" x14ac:dyDescent="0.2">
      <c r="E116" s="58"/>
    </row>
    <row r="117" spans="1:13" x14ac:dyDescent="0.2">
      <c r="C117" s="112"/>
    </row>
    <row r="119" spans="1:13" s="59" customFormat="1" x14ac:dyDescent="0.2">
      <c r="A119" s="58"/>
      <c r="B119" s="58"/>
      <c r="C119" s="58"/>
      <c r="D119" s="113"/>
      <c r="F119" s="58"/>
      <c r="G119" s="58"/>
      <c r="H119" s="58"/>
      <c r="I119" s="58"/>
      <c r="J119" s="58"/>
      <c r="K119" s="58"/>
      <c r="L119" s="58"/>
      <c r="M119" s="58"/>
    </row>
    <row r="120" spans="1:13" s="59" customFormat="1" x14ac:dyDescent="0.2">
      <c r="A120" s="58"/>
      <c r="B120" s="58"/>
      <c r="C120" s="58"/>
      <c r="D120" s="113"/>
      <c r="F120" s="58"/>
      <c r="G120" s="58"/>
      <c r="H120" s="58"/>
      <c r="I120" s="58"/>
      <c r="J120" s="58"/>
      <c r="K120" s="58"/>
      <c r="L120" s="58"/>
      <c r="M120" s="58"/>
    </row>
    <row r="121" spans="1:13" s="59" customFormat="1" x14ac:dyDescent="0.2">
      <c r="A121" s="58"/>
      <c r="B121" s="58"/>
      <c r="C121" s="58"/>
      <c r="D121" s="113"/>
      <c r="F121" s="58"/>
      <c r="G121" s="58"/>
      <c r="H121" s="58"/>
      <c r="I121" s="58"/>
      <c r="J121" s="58"/>
      <c r="K121" s="58"/>
      <c r="L121" s="58"/>
      <c r="M121" s="58"/>
    </row>
  </sheetData>
  <mergeCells count="2">
    <mergeCell ref="B2:H2"/>
    <mergeCell ref="B4:H4"/>
  </mergeCells>
  <conditionalFormatting sqref="C14:C18">
    <cfRule type="cellIs" dxfId="1673" priority="46" stopIfTrue="1" operator="lessThan">
      <formula>0</formula>
    </cfRule>
  </conditionalFormatting>
  <conditionalFormatting sqref="C89">
    <cfRule type="cellIs" dxfId="1672" priority="43" stopIfTrue="1" operator="lessThan">
      <formula>0</formula>
    </cfRule>
  </conditionalFormatting>
  <conditionalFormatting sqref="C85">
    <cfRule type="cellIs" dxfId="1671" priority="45" stopIfTrue="1" operator="lessThan">
      <formula>0</formula>
    </cfRule>
  </conditionalFormatting>
  <conditionalFormatting sqref="C7:C9">
    <cfRule type="cellIs" dxfId="1670" priority="42" stopIfTrue="1" operator="lessThan">
      <formula>0</formula>
    </cfRule>
  </conditionalFormatting>
  <conditionalFormatting sqref="C10:C13">
    <cfRule type="cellIs" dxfId="1669" priority="40" stopIfTrue="1" operator="lessThan">
      <formula>0</formula>
    </cfRule>
  </conditionalFormatting>
  <conditionalFormatting sqref="C88">
    <cfRule type="cellIs" dxfId="1668" priority="44" stopIfTrue="1" operator="lessThan">
      <formula>0</formula>
    </cfRule>
  </conditionalFormatting>
  <conditionalFormatting sqref="C101">
    <cfRule type="cellIs" dxfId="1667" priority="39" stopIfTrue="1" operator="lessThan">
      <formula>0</formula>
    </cfRule>
  </conditionalFormatting>
  <conditionalFormatting sqref="C7">
    <cfRule type="cellIs" dxfId="1666" priority="41" stopIfTrue="1" operator="lessThan">
      <formula>0</formula>
    </cfRule>
  </conditionalFormatting>
  <conditionalFormatting sqref="C29:C33">
    <cfRule type="cellIs" dxfId="1665" priority="34" stopIfTrue="1" operator="lessThan">
      <formula>0</formula>
    </cfRule>
  </conditionalFormatting>
  <conditionalFormatting sqref="G7:G9">
    <cfRule type="cellIs" dxfId="1664" priority="37" stopIfTrue="1" operator="lessThan">
      <formula>0</formula>
    </cfRule>
  </conditionalFormatting>
  <conditionalFormatting sqref="C22">
    <cfRule type="cellIs" dxfId="1663" priority="32" stopIfTrue="1" operator="lessThan">
      <formula>0</formula>
    </cfRule>
  </conditionalFormatting>
  <conditionalFormatting sqref="C25:C28">
    <cfRule type="cellIs" dxfId="1662" priority="31" stopIfTrue="1" operator="lessThan">
      <formula>0</formula>
    </cfRule>
  </conditionalFormatting>
  <conditionalFormatting sqref="G14:G18">
    <cfRule type="cellIs" dxfId="1661" priority="38" stopIfTrue="1" operator="lessThan">
      <formula>0</formula>
    </cfRule>
  </conditionalFormatting>
  <conditionalFormatting sqref="G7">
    <cfRule type="cellIs" dxfId="1660" priority="36" stopIfTrue="1" operator="lessThan">
      <formula>0</formula>
    </cfRule>
  </conditionalFormatting>
  <conditionalFormatting sqref="G10:G13">
    <cfRule type="cellIs" dxfId="1659" priority="35" stopIfTrue="1" operator="lessThan">
      <formula>0</formula>
    </cfRule>
  </conditionalFormatting>
  <conditionalFormatting sqref="C22:C24">
    <cfRule type="cellIs" dxfId="1658" priority="33" stopIfTrue="1" operator="lessThan">
      <formula>0</formula>
    </cfRule>
  </conditionalFormatting>
  <conditionalFormatting sqref="G22">
    <cfRule type="cellIs" dxfId="1657" priority="28" stopIfTrue="1" operator="lessThan">
      <formula>0</formula>
    </cfRule>
  </conditionalFormatting>
  <conditionalFormatting sqref="G29:G33">
    <cfRule type="cellIs" dxfId="1656" priority="30" stopIfTrue="1" operator="lessThan">
      <formula>0</formula>
    </cfRule>
  </conditionalFormatting>
  <conditionalFormatting sqref="G22:G24">
    <cfRule type="cellIs" dxfId="1655" priority="29" stopIfTrue="1" operator="lessThan">
      <formula>0</formula>
    </cfRule>
  </conditionalFormatting>
  <conditionalFormatting sqref="G25:G28">
    <cfRule type="cellIs" dxfId="1654" priority="27" stopIfTrue="1" operator="lessThan">
      <formula>0</formula>
    </cfRule>
  </conditionalFormatting>
  <conditionalFormatting sqref="C40:C43">
    <cfRule type="cellIs" dxfId="1653" priority="23" stopIfTrue="1" operator="lessThan">
      <formula>0</formula>
    </cfRule>
  </conditionalFormatting>
  <conditionalFormatting sqref="G44:G48">
    <cfRule type="cellIs" dxfId="1652" priority="22" stopIfTrue="1" operator="lessThan">
      <formula>0</formula>
    </cfRule>
  </conditionalFormatting>
  <conditionalFormatting sqref="G37">
    <cfRule type="cellIs" dxfId="1651" priority="20" stopIfTrue="1" operator="lessThan">
      <formula>0</formula>
    </cfRule>
  </conditionalFormatting>
  <conditionalFormatting sqref="C44:C48">
    <cfRule type="cellIs" dxfId="1650" priority="26" stopIfTrue="1" operator="lessThan">
      <formula>0</formula>
    </cfRule>
  </conditionalFormatting>
  <conditionalFormatting sqref="C37:C39">
    <cfRule type="cellIs" dxfId="1649" priority="25" stopIfTrue="1" operator="lessThan">
      <formula>0</formula>
    </cfRule>
  </conditionalFormatting>
  <conditionalFormatting sqref="C37">
    <cfRule type="cellIs" dxfId="1648" priority="24" stopIfTrue="1" operator="lessThan">
      <formula>0</formula>
    </cfRule>
  </conditionalFormatting>
  <conditionalFormatting sqref="C56:C59">
    <cfRule type="cellIs" dxfId="1647" priority="15" stopIfTrue="1" operator="lessThan">
      <formula>0</formula>
    </cfRule>
  </conditionalFormatting>
  <conditionalFormatting sqref="G60:G63">
    <cfRule type="cellIs" dxfId="1646" priority="14" stopIfTrue="1" operator="lessThan">
      <formula>0</formula>
    </cfRule>
  </conditionalFormatting>
  <conditionalFormatting sqref="G37:G39">
    <cfRule type="cellIs" dxfId="1645" priority="21" stopIfTrue="1" operator="lessThan">
      <formula>0</formula>
    </cfRule>
  </conditionalFormatting>
  <conditionalFormatting sqref="G53">
    <cfRule type="cellIs" dxfId="1644" priority="12" stopIfTrue="1" operator="lessThan">
      <formula>0</formula>
    </cfRule>
  </conditionalFormatting>
  <conditionalFormatting sqref="G40:G43">
    <cfRule type="cellIs" dxfId="1643" priority="19" stopIfTrue="1" operator="lessThan">
      <formula>0</formula>
    </cfRule>
  </conditionalFormatting>
  <conditionalFormatting sqref="C60:C64">
    <cfRule type="cellIs" dxfId="1642" priority="18" stopIfTrue="1" operator="lessThan">
      <formula>0</formula>
    </cfRule>
  </conditionalFormatting>
  <conditionalFormatting sqref="C53:C55">
    <cfRule type="cellIs" dxfId="1641" priority="17" stopIfTrue="1" operator="lessThan">
      <formula>0</formula>
    </cfRule>
  </conditionalFormatting>
  <conditionalFormatting sqref="C53">
    <cfRule type="cellIs" dxfId="1640" priority="16" stopIfTrue="1" operator="lessThan">
      <formula>0</formula>
    </cfRule>
  </conditionalFormatting>
  <conditionalFormatting sqref="G53:G55">
    <cfRule type="cellIs" dxfId="1639" priority="13" stopIfTrue="1" operator="lessThan">
      <formula>0</formula>
    </cfRule>
  </conditionalFormatting>
  <conditionalFormatting sqref="G56:G59">
    <cfRule type="cellIs" dxfId="1638" priority="11" stopIfTrue="1" operator="lessThan">
      <formula>0</formula>
    </cfRule>
  </conditionalFormatting>
  <conditionalFormatting sqref="C75:C78">
    <cfRule type="cellIs" dxfId="1637" priority="10" stopIfTrue="1" operator="lessThan">
      <formula>0</formula>
    </cfRule>
  </conditionalFormatting>
  <conditionalFormatting sqref="C68:C70">
    <cfRule type="cellIs" dxfId="1636" priority="9" stopIfTrue="1" operator="lessThan">
      <formula>0</formula>
    </cfRule>
  </conditionalFormatting>
  <conditionalFormatting sqref="C68">
    <cfRule type="cellIs" dxfId="1635" priority="8" stopIfTrue="1" operator="lessThan">
      <formula>0</formula>
    </cfRule>
  </conditionalFormatting>
  <conditionalFormatting sqref="C71:C74">
    <cfRule type="cellIs" dxfId="1634" priority="7" stopIfTrue="1" operator="lessThan">
      <formula>0</formula>
    </cfRule>
  </conditionalFormatting>
  <conditionalFormatting sqref="G75:G79">
    <cfRule type="cellIs" dxfId="1633" priority="6" stopIfTrue="1" operator="lessThan">
      <formula>0</formula>
    </cfRule>
  </conditionalFormatting>
  <conditionalFormatting sqref="G68:G70">
    <cfRule type="cellIs" dxfId="1632" priority="5" stopIfTrue="1" operator="lessThan">
      <formula>0</formula>
    </cfRule>
  </conditionalFormatting>
  <conditionalFormatting sqref="G68">
    <cfRule type="cellIs" dxfId="1631" priority="4" stopIfTrue="1" operator="lessThan">
      <formula>0</formula>
    </cfRule>
  </conditionalFormatting>
  <conditionalFormatting sqref="G71:G74">
    <cfRule type="cellIs" dxfId="1630" priority="3" stopIfTrue="1" operator="lessThan">
      <formula>0</formula>
    </cfRule>
  </conditionalFormatting>
  <conditionalFormatting sqref="G64">
    <cfRule type="cellIs" dxfId="1629" priority="2" stopIfTrue="1" operator="lessThan">
      <formula>0</formula>
    </cfRule>
  </conditionalFormatting>
  <conditionalFormatting sqref="C79">
    <cfRule type="cellIs" dxfId="1628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dimension ref="A2:M130"/>
  <sheetViews>
    <sheetView workbookViewId="0">
      <selection activeCell="J16" sqref="J1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43074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62" customFormat="1" ht="24" x14ac:dyDescent="0.2">
      <c r="B6" s="63" t="s">
        <v>1</v>
      </c>
      <c r="C6" s="63" t="s">
        <v>2</v>
      </c>
      <c r="D6" s="63" t="s">
        <v>3</v>
      </c>
      <c r="E6" s="64"/>
      <c r="F6" s="63" t="s">
        <v>4</v>
      </c>
      <c r="G6" s="63" t="s">
        <v>2</v>
      </c>
      <c r="H6" s="63" t="s">
        <v>3</v>
      </c>
    </row>
    <row r="7" spans="1:9" x14ac:dyDescent="0.2">
      <c r="B7" s="65" t="s">
        <v>5</v>
      </c>
      <c r="C7" s="66">
        <v>4394878</v>
      </c>
      <c r="D7" s="67">
        <f>+IF(C7/$F$120=0,"",C7/$F$120)</f>
        <v>7.3452069186120321E-5</v>
      </c>
      <c r="E7" s="68"/>
      <c r="F7" s="65" t="s">
        <v>5</v>
      </c>
      <c r="G7" s="66">
        <v>311780</v>
      </c>
      <c r="H7" s="69">
        <f>+IF(G7/$C$122=0,"",G7/$C$122)</f>
        <v>4.4547317686053847E-5</v>
      </c>
      <c r="I7" s="70"/>
    </row>
    <row r="8" spans="1:9" x14ac:dyDescent="0.2">
      <c r="B8" s="65" t="s">
        <v>6</v>
      </c>
      <c r="C8" s="66">
        <v>532418</v>
      </c>
      <c r="D8" s="67">
        <f>+IF(C8/$F$120=0,"",C8/$F$120)</f>
        <v>8.8983593564908536E-6</v>
      </c>
      <c r="E8" s="68"/>
      <c r="F8" s="65" t="s">
        <v>6</v>
      </c>
      <c r="G8" s="66">
        <v>231956</v>
      </c>
      <c r="H8" s="69">
        <f>+IF(G8/$C$122=0,"",G8/$C$122)</f>
        <v>3.31420155917195E-5</v>
      </c>
    </row>
    <row r="9" spans="1:9" x14ac:dyDescent="0.2">
      <c r="B9" s="65" t="s">
        <v>7</v>
      </c>
      <c r="C9" s="71"/>
      <c r="D9" s="67" t="str">
        <f>+IF(C9/$F$120=0,"",C9/$F$120)</f>
        <v/>
      </c>
      <c r="E9" s="68"/>
      <c r="F9" s="65" t="s">
        <v>7</v>
      </c>
      <c r="G9" s="66"/>
      <c r="H9" s="69" t="str">
        <f t="shared" ref="H9:H18" si="0">+IF(G9/$C$122=0,"",G9/$C$122)</f>
        <v/>
      </c>
    </row>
    <row r="10" spans="1:9" x14ac:dyDescent="0.2">
      <c r="B10" s="65" t="s">
        <v>8</v>
      </c>
      <c r="C10" s="66"/>
      <c r="D10" s="67" t="str">
        <f>+IF(C10/$F$120=0,"",C10/$F$120)</f>
        <v/>
      </c>
      <c r="E10" s="68"/>
      <c r="F10" s="65" t="s">
        <v>8</v>
      </c>
      <c r="G10" s="66"/>
      <c r="H10" s="69" t="str">
        <f t="shared" si="0"/>
        <v/>
      </c>
    </row>
    <row r="11" spans="1:9" x14ac:dyDescent="0.2">
      <c r="B11" s="65" t="s">
        <v>9</v>
      </c>
      <c r="C11" s="66"/>
      <c r="D11" s="67" t="str">
        <f t="shared" ref="D11:D14" si="1">+IF(C11/$F$120=0,"",C11/$F$120)</f>
        <v/>
      </c>
      <c r="E11" s="68"/>
      <c r="F11" s="65" t="s">
        <v>9</v>
      </c>
      <c r="G11" s="66">
        <v>103770</v>
      </c>
      <c r="H11" s="69">
        <f t="shared" si="0"/>
        <v>1.4826721265898415E-5</v>
      </c>
    </row>
    <row r="12" spans="1:9" x14ac:dyDescent="0.2">
      <c r="B12" s="65" t="s">
        <v>10</v>
      </c>
      <c r="C12" s="66"/>
      <c r="D12" s="67" t="str">
        <f t="shared" si="1"/>
        <v/>
      </c>
      <c r="E12" s="68"/>
      <c r="F12" s="65" t="s">
        <v>10</v>
      </c>
      <c r="G12" s="66">
        <v>0</v>
      </c>
      <c r="H12" s="69" t="str">
        <f t="shared" si="0"/>
        <v/>
      </c>
    </row>
    <row r="13" spans="1:9" x14ac:dyDescent="0.2">
      <c r="B13" s="65" t="s">
        <v>11</v>
      </c>
      <c r="C13" s="66"/>
      <c r="D13" s="67" t="str">
        <f t="shared" si="1"/>
        <v/>
      </c>
      <c r="E13" s="68"/>
      <c r="F13" s="65" t="s">
        <v>11</v>
      </c>
      <c r="G13" s="66"/>
      <c r="H13" s="69" t="str">
        <f t="shared" si="0"/>
        <v/>
      </c>
    </row>
    <row r="14" spans="1:9" x14ac:dyDescent="0.2">
      <c r="B14" s="65" t="s">
        <v>12</v>
      </c>
      <c r="C14" s="72"/>
      <c r="D14" s="67" t="str">
        <f t="shared" si="1"/>
        <v/>
      </c>
      <c r="E14" s="68"/>
      <c r="F14" s="65" t="s">
        <v>12</v>
      </c>
      <c r="G14" s="72">
        <v>-278078</v>
      </c>
      <c r="H14" s="69">
        <f t="shared" si="0"/>
        <v>-3.9731955248901413E-5</v>
      </c>
      <c r="I14" s="74"/>
    </row>
    <row r="15" spans="1:9" x14ac:dyDescent="0.2">
      <c r="B15" s="65" t="s">
        <v>13</v>
      </c>
      <c r="C15" s="72"/>
      <c r="D15" s="67" t="str">
        <f>+IF(C15/$F$120=0,"",C15/$F$120)</f>
        <v/>
      </c>
      <c r="E15" s="68"/>
      <c r="F15" s="65" t="s">
        <v>13</v>
      </c>
      <c r="G15" s="72"/>
      <c r="H15" s="69" t="str">
        <f t="shared" si="0"/>
        <v/>
      </c>
      <c r="I15" s="74"/>
    </row>
    <row r="16" spans="1:9" x14ac:dyDescent="0.2">
      <c r="B16" s="65" t="s">
        <v>14</v>
      </c>
      <c r="C16" s="66"/>
      <c r="D16" s="67" t="str">
        <f>+IF(C16/$F$120=0,"",C16/$F$120)</f>
        <v/>
      </c>
      <c r="E16" s="68"/>
      <c r="F16" s="65" t="s">
        <v>14</v>
      </c>
      <c r="G16" s="66"/>
      <c r="H16" s="69" t="str">
        <f t="shared" si="0"/>
        <v/>
      </c>
    </row>
    <row r="17" spans="2:9" x14ac:dyDescent="0.2">
      <c r="B17" s="65" t="s">
        <v>15</v>
      </c>
      <c r="C17" s="72"/>
      <c r="D17" s="67" t="str">
        <f>+IF(C17/$F$120=0,"",C17/$F$120)</f>
        <v/>
      </c>
      <c r="E17" s="68"/>
      <c r="F17" s="65" t="s">
        <v>15</v>
      </c>
      <c r="G17" s="72"/>
      <c r="H17" s="69" t="str">
        <f t="shared" si="0"/>
        <v/>
      </c>
    </row>
    <row r="18" spans="2:9" x14ac:dyDescent="0.2">
      <c r="B18" s="65" t="s">
        <v>16</v>
      </c>
      <c r="C18" s="72">
        <v>-124523</v>
      </c>
      <c r="D18" s="67">
        <f>+IF(C18/$F$120=0,"",C18/$F$120)</f>
        <v>-2.0811663057002402E-6</v>
      </c>
      <c r="E18" s="75"/>
      <c r="F18" s="65" t="s">
        <v>16</v>
      </c>
      <c r="G18" s="72">
        <v>-27652</v>
      </c>
      <c r="H18" s="69">
        <f t="shared" si="0"/>
        <v>-3.9509347253023317E-6</v>
      </c>
    </row>
    <row r="19" spans="2:9" s="80" customFormat="1" x14ac:dyDescent="0.2">
      <c r="B19" s="76" t="s">
        <v>17</v>
      </c>
      <c r="C19" s="77">
        <f>SUM(C7:C18)</f>
        <v>4802773</v>
      </c>
      <c r="D19" s="78">
        <f>SUM(D7:D18)</f>
        <v>8.0269262236910924E-5</v>
      </c>
      <c r="E19" s="79"/>
      <c r="F19" s="76" t="s">
        <v>17</v>
      </c>
      <c r="G19" s="77">
        <f>SUM(G7:G18)</f>
        <v>341776</v>
      </c>
      <c r="H19" s="78">
        <f>SUM(H7:H18)</f>
        <v>4.8833164569468023E-5</v>
      </c>
    </row>
    <row r="20" spans="2:9" ht="6" customHeight="1" x14ac:dyDescent="0.2"/>
    <row r="21" spans="2:9" ht="24" x14ac:dyDescent="0.2">
      <c r="B21" s="63" t="s">
        <v>18</v>
      </c>
      <c r="C21" s="63" t="s">
        <v>2</v>
      </c>
      <c r="D21" s="63" t="s">
        <v>3</v>
      </c>
      <c r="E21" s="81"/>
      <c r="F21" s="63" t="s">
        <v>19</v>
      </c>
      <c r="G21" s="63" t="s">
        <v>2</v>
      </c>
      <c r="H21" s="63" t="s">
        <v>3</v>
      </c>
    </row>
    <row r="22" spans="2:9" x14ac:dyDescent="0.2">
      <c r="B22" s="65" t="s">
        <v>43</v>
      </c>
      <c r="C22" s="71">
        <v>2362.8618999999999</v>
      </c>
      <c r="D22" s="69">
        <f>+IF(C22/$F$121=0,"",C22/$F$121)</f>
        <v>6.1431439411635091E-5</v>
      </c>
      <c r="E22" s="75"/>
      <c r="F22" s="65" t="s">
        <v>5</v>
      </c>
      <c r="G22" s="66">
        <v>1769348</v>
      </c>
      <c r="H22" s="69">
        <f t="shared" ref="H22:H33" si="2">+IF(G22/$C$115=0,"",G22/$C$115)</f>
        <v>7.7832913564796454E-5</v>
      </c>
      <c r="I22" s="114"/>
    </row>
    <row r="23" spans="2:9" x14ac:dyDescent="0.2">
      <c r="B23" s="65" t="s">
        <v>44</v>
      </c>
      <c r="C23" s="71">
        <v>-152342.39170000001</v>
      </c>
      <c r="D23" s="69">
        <f>+IF(C23/$F$121=0,"",C23/$F$121)</f>
        <v>-3.9607106981335355E-3</v>
      </c>
      <c r="E23" s="75"/>
      <c r="F23" s="65" t="s">
        <v>6</v>
      </c>
      <c r="G23" s="66">
        <v>1319356</v>
      </c>
      <c r="H23" s="69">
        <f t="shared" si="2"/>
        <v>5.8037944773552516E-5</v>
      </c>
      <c r="I23" s="114"/>
    </row>
    <row r="24" spans="2:9" x14ac:dyDescent="0.2">
      <c r="B24" s="65" t="s">
        <v>45</v>
      </c>
      <c r="C24" s="71"/>
      <c r="D24" s="69" t="str">
        <f>+IF(C24/$F$121=0,"",C24/$F$121)</f>
        <v/>
      </c>
      <c r="E24" s="75"/>
      <c r="F24" s="65" t="s">
        <v>7</v>
      </c>
      <c r="G24" s="71"/>
      <c r="H24" s="69" t="str">
        <f t="shared" si="2"/>
        <v/>
      </c>
      <c r="I24" s="114"/>
    </row>
    <row r="25" spans="2:9" x14ac:dyDescent="0.2">
      <c r="B25" s="65" t="s">
        <v>8</v>
      </c>
      <c r="C25" s="71"/>
      <c r="D25" s="69" t="str">
        <f>+IF(C25/$F$121=0,"",C25/$F$121)</f>
        <v/>
      </c>
      <c r="E25" s="75"/>
      <c r="F25" s="65" t="s">
        <v>8</v>
      </c>
      <c r="G25" s="66"/>
      <c r="H25" s="69" t="str">
        <f t="shared" si="2"/>
        <v/>
      </c>
      <c r="I25" s="114"/>
    </row>
    <row r="26" spans="2:9" x14ac:dyDescent="0.2">
      <c r="B26" s="65" t="s">
        <v>9</v>
      </c>
      <c r="C26" s="71">
        <v>7816.222338047236</v>
      </c>
      <c r="D26" s="69">
        <f>+IF(C26/$F$121=0,"",C26/$F$121)</f>
        <v>2.0321195622461792E-4</v>
      </c>
      <c r="E26" s="75"/>
      <c r="F26" s="65" t="s">
        <v>9</v>
      </c>
      <c r="G26" s="66"/>
      <c r="H26" s="69" t="str">
        <f t="shared" si="2"/>
        <v/>
      </c>
      <c r="I26" s="114"/>
    </row>
    <row r="27" spans="2:9" x14ac:dyDescent="0.2">
      <c r="B27" s="65" t="s">
        <v>10</v>
      </c>
      <c r="C27" s="71">
        <v>143903.04446280724</v>
      </c>
      <c r="D27" s="69">
        <f t="shared" ref="D27:D33" si="3">+IF(C27/$F$121=0,"",C27/$F$121)</f>
        <v>3.741298277765101E-3</v>
      </c>
      <c r="E27" s="75"/>
      <c r="F27" s="65" t="s">
        <v>10</v>
      </c>
      <c r="G27" s="66"/>
      <c r="H27" s="69" t="str">
        <f t="shared" si="2"/>
        <v/>
      </c>
      <c r="I27" s="114"/>
    </row>
    <row r="28" spans="2:9" x14ac:dyDescent="0.2">
      <c r="B28" s="65" t="s">
        <v>11</v>
      </c>
      <c r="C28" s="71"/>
      <c r="D28" s="69" t="str">
        <f t="shared" si="3"/>
        <v/>
      </c>
      <c r="E28" s="75"/>
      <c r="F28" s="65" t="s">
        <v>11</v>
      </c>
      <c r="G28" s="66"/>
      <c r="H28" s="69" t="str">
        <f t="shared" si="2"/>
        <v/>
      </c>
      <c r="I28" s="114"/>
    </row>
    <row r="29" spans="2:9" x14ac:dyDescent="0.2">
      <c r="B29" s="65" t="s">
        <v>12</v>
      </c>
      <c r="C29" s="71"/>
      <c r="D29" s="69" t="str">
        <f t="shared" si="3"/>
        <v/>
      </c>
      <c r="E29" s="75"/>
      <c r="F29" s="65" t="s">
        <v>12</v>
      </c>
      <c r="G29" s="72">
        <v>326235</v>
      </c>
      <c r="H29" s="69">
        <f t="shared" si="2"/>
        <v>1.4350947669317382E-5</v>
      </c>
      <c r="I29" s="114"/>
    </row>
    <row r="30" spans="2:9" x14ac:dyDescent="0.2">
      <c r="B30" s="65" t="s">
        <v>13</v>
      </c>
      <c r="C30" s="71"/>
      <c r="D30" s="69" t="str">
        <f t="shared" si="3"/>
        <v/>
      </c>
      <c r="E30" s="75"/>
      <c r="F30" s="65" t="s">
        <v>13</v>
      </c>
      <c r="G30" s="72"/>
      <c r="H30" s="69" t="str">
        <f t="shared" si="2"/>
        <v/>
      </c>
      <c r="I30" s="114"/>
    </row>
    <row r="31" spans="2:9" x14ac:dyDescent="0.2">
      <c r="B31" s="65" t="s">
        <v>14</v>
      </c>
      <c r="C31" s="71"/>
      <c r="D31" s="69" t="str">
        <f t="shared" si="3"/>
        <v/>
      </c>
      <c r="E31" s="75"/>
      <c r="F31" s="65" t="s">
        <v>14</v>
      </c>
      <c r="G31" s="66"/>
      <c r="H31" s="69" t="str">
        <f t="shared" si="2"/>
        <v/>
      </c>
    </row>
    <row r="32" spans="2:9" x14ac:dyDescent="0.2">
      <c r="B32" s="65" t="s">
        <v>15</v>
      </c>
      <c r="C32" s="71"/>
      <c r="D32" s="69" t="str">
        <f t="shared" si="3"/>
        <v/>
      </c>
      <c r="E32" s="75"/>
      <c r="F32" s="65" t="s">
        <v>15</v>
      </c>
      <c r="G32" s="72"/>
      <c r="H32" s="69" t="str">
        <f t="shared" si="2"/>
        <v/>
      </c>
    </row>
    <row r="33" spans="1:13" x14ac:dyDescent="0.2">
      <c r="B33" s="65" t="s">
        <v>16</v>
      </c>
      <c r="C33" s="71">
        <v>-124.46</v>
      </c>
      <c r="D33" s="69">
        <f t="shared" si="3"/>
        <v>-3.2358035605771558E-6</v>
      </c>
      <c r="E33" s="75"/>
      <c r="F33" s="65" t="s">
        <v>16</v>
      </c>
      <c r="G33" s="72">
        <v>-28425</v>
      </c>
      <c r="H33" s="69">
        <f t="shared" si="2"/>
        <v>-1.2504044247255708E-6</v>
      </c>
    </row>
    <row r="34" spans="1:13" s="80" customFormat="1" x14ac:dyDescent="0.2">
      <c r="B34" s="76" t="s">
        <v>17</v>
      </c>
      <c r="C34" s="93">
        <f>SUM(C22:C33)</f>
        <v>1615.277000854453</v>
      </c>
      <c r="D34" s="78">
        <f>SUM(D22:D33)</f>
        <v>4.1995171707241009E-5</v>
      </c>
      <c r="E34" s="79"/>
      <c r="F34" s="76" t="s">
        <v>17</v>
      </c>
      <c r="G34" s="93">
        <f>SUM(G22:G33)</f>
        <v>3386514</v>
      </c>
      <c r="H34" s="78">
        <f>SUM(H22:H33)</f>
        <v>1.489714015829408E-4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63" t="s">
        <v>21</v>
      </c>
      <c r="C36" s="63" t="s">
        <v>2</v>
      </c>
      <c r="D36" s="63" t="s">
        <v>3</v>
      </c>
      <c r="E36" s="85"/>
      <c r="F36" s="63" t="s">
        <v>22</v>
      </c>
      <c r="G36" s="63" t="s">
        <v>2</v>
      </c>
      <c r="H36" s="63" t="s">
        <v>3</v>
      </c>
    </row>
    <row r="37" spans="1:13" x14ac:dyDescent="0.2">
      <c r="B37" s="65" t="s">
        <v>5</v>
      </c>
      <c r="C37" s="66">
        <v>4045076</v>
      </c>
      <c r="D37" s="69">
        <f t="shared" ref="D37:D48" si="4">+IF(C37/$C$123=0,"",C37/$C$123)</f>
        <v>5.3057583370115951E-5</v>
      </c>
      <c r="E37" s="68"/>
      <c r="F37" s="65" t="s">
        <v>5</v>
      </c>
      <c r="G37" s="66"/>
      <c r="H37" s="69" t="str">
        <f t="shared" ref="H37:H48" si="5">+IF(G37/$C$118=0,"",G37/$C$118)</f>
        <v/>
      </c>
      <c r="K37" s="86"/>
      <c r="M37" s="87"/>
    </row>
    <row r="38" spans="1:13" x14ac:dyDescent="0.2">
      <c r="B38" s="65" t="s">
        <v>6</v>
      </c>
      <c r="C38" s="66">
        <v>6827691</v>
      </c>
      <c r="D38" s="69">
        <f t="shared" si="4"/>
        <v>8.9555989666916105E-5</v>
      </c>
      <c r="E38" s="68"/>
      <c r="F38" s="65" t="s">
        <v>6</v>
      </c>
      <c r="G38" s="66"/>
      <c r="H38" s="69" t="str">
        <f t="shared" si="5"/>
        <v/>
      </c>
    </row>
    <row r="39" spans="1:13" x14ac:dyDescent="0.2">
      <c r="B39" s="65" t="s">
        <v>7</v>
      </c>
      <c r="C39" s="71"/>
      <c r="D39" s="69" t="str">
        <f t="shared" si="4"/>
        <v/>
      </c>
      <c r="E39" s="68"/>
      <c r="F39" s="65" t="s">
        <v>7</v>
      </c>
      <c r="G39" s="71"/>
      <c r="H39" s="69" t="str">
        <f t="shared" si="5"/>
        <v/>
      </c>
    </row>
    <row r="40" spans="1:13" x14ac:dyDescent="0.2">
      <c r="B40" s="65" t="s">
        <v>8</v>
      </c>
      <c r="C40" s="66"/>
      <c r="D40" s="69" t="str">
        <f t="shared" si="4"/>
        <v/>
      </c>
      <c r="E40" s="68"/>
      <c r="F40" s="65" t="s">
        <v>8</v>
      </c>
      <c r="G40" s="66"/>
      <c r="H40" s="69" t="str">
        <f t="shared" si="5"/>
        <v/>
      </c>
    </row>
    <row r="41" spans="1:13" x14ac:dyDescent="0.2">
      <c r="B41" s="65" t="s">
        <v>9</v>
      </c>
      <c r="C41" s="66"/>
      <c r="D41" s="69" t="str">
        <f t="shared" si="4"/>
        <v/>
      </c>
      <c r="E41" s="68"/>
      <c r="F41" s="65" t="s">
        <v>9</v>
      </c>
      <c r="G41" s="66"/>
      <c r="H41" s="69" t="str">
        <f t="shared" si="5"/>
        <v/>
      </c>
    </row>
    <row r="42" spans="1:13" x14ac:dyDescent="0.2">
      <c r="B42" s="65" t="s">
        <v>10</v>
      </c>
      <c r="C42" s="66"/>
      <c r="D42" s="69" t="str">
        <f t="shared" si="4"/>
        <v/>
      </c>
      <c r="E42" s="68"/>
      <c r="F42" s="65" t="s">
        <v>10</v>
      </c>
      <c r="G42" s="66"/>
      <c r="H42" s="69" t="str">
        <f t="shared" si="5"/>
        <v/>
      </c>
    </row>
    <row r="43" spans="1:13" x14ac:dyDescent="0.2">
      <c r="B43" s="65" t="s">
        <v>11</v>
      </c>
      <c r="C43" s="66"/>
      <c r="D43" s="69" t="str">
        <f t="shared" si="4"/>
        <v/>
      </c>
      <c r="E43" s="68"/>
      <c r="F43" s="65" t="s">
        <v>11</v>
      </c>
      <c r="G43" s="66"/>
      <c r="H43" s="69" t="str">
        <f t="shared" si="5"/>
        <v/>
      </c>
    </row>
    <row r="44" spans="1:13" x14ac:dyDescent="0.2">
      <c r="B44" s="65" t="s">
        <v>12</v>
      </c>
      <c r="C44" s="72">
        <v>-40210390</v>
      </c>
      <c r="D44" s="69">
        <f t="shared" si="4"/>
        <v>-5.2742300015373668E-4</v>
      </c>
      <c r="E44" s="68"/>
      <c r="F44" s="65" t="s">
        <v>12</v>
      </c>
      <c r="G44" s="72"/>
      <c r="H44" s="69" t="str">
        <f t="shared" si="5"/>
        <v/>
      </c>
    </row>
    <row r="45" spans="1:13" x14ac:dyDescent="0.2">
      <c r="B45" s="65" t="s">
        <v>13</v>
      </c>
      <c r="C45" s="72">
        <v>-10482609</v>
      </c>
      <c r="D45" s="69">
        <f t="shared" si="4"/>
        <v>-1.3749603244879151E-4</v>
      </c>
      <c r="E45" s="68"/>
      <c r="F45" s="65" t="s">
        <v>13</v>
      </c>
      <c r="G45" s="72">
        <v>-59786465</v>
      </c>
      <c r="H45" s="69">
        <f t="shared" si="5"/>
        <v>-1.3088957667380286E-2</v>
      </c>
    </row>
    <row r="46" spans="1:13" x14ac:dyDescent="0.2">
      <c r="B46" s="65" t="s">
        <v>14</v>
      </c>
      <c r="C46" s="66"/>
      <c r="D46" s="69" t="str">
        <f t="shared" si="4"/>
        <v/>
      </c>
      <c r="E46" s="68"/>
      <c r="F46" s="65" t="s">
        <v>14</v>
      </c>
      <c r="G46" s="66"/>
      <c r="H46" s="69" t="str">
        <f t="shared" si="5"/>
        <v/>
      </c>
    </row>
    <row r="47" spans="1:13" x14ac:dyDescent="0.2">
      <c r="B47" s="65" t="s">
        <v>15</v>
      </c>
      <c r="C47" s="72">
        <v>-29007</v>
      </c>
      <c r="D47" s="69">
        <f t="shared" si="4"/>
        <v>-3.8047278241915685E-7</v>
      </c>
      <c r="E47" s="68"/>
      <c r="F47" s="65" t="s">
        <v>15</v>
      </c>
      <c r="G47" s="72"/>
      <c r="H47" s="69" t="str">
        <f t="shared" si="5"/>
        <v/>
      </c>
    </row>
    <row r="48" spans="1:13" x14ac:dyDescent="0.2">
      <c r="B48" s="65" t="s">
        <v>16</v>
      </c>
      <c r="C48" s="72">
        <v>-105272</v>
      </c>
      <c r="D48" s="69">
        <f t="shared" si="4"/>
        <v>-1.3808091409256208E-6</v>
      </c>
      <c r="E48" s="68"/>
      <c r="F48" s="65" t="s">
        <v>16</v>
      </c>
      <c r="G48" s="72">
        <v>-18696</v>
      </c>
      <c r="H48" s="69">
        <f t="shared" si="5"/>
        <v>-4.0930861617147263E-6</v>
      </c>
    </row>
    <row r="49" spans="2:10" s="80" customFormat="1" x14ac:dyDescent="0.2">
      <c r="B49" s="76" t="s">
        <v>17</v>
      </c>
      <c r="C49" s="77">
        <f>SUM(C37:C48)</f>
        <v>-39954511</v>
      </c>
      <c r="D49" s="78">
        <f>SUM(D37:D48)</f>
        <v>-5.2406674148884093E-4</v>
      </c>
      <c r="E49" s="79"/>
      <c r="F49" s="76" t="s">
        <v>17</v>
      </c>
      <c r="G49" s="77">
        <f>SUM(G37:G48)</f>
        <v>-59805161</v>
      </c>
      <c r="H49" s="78">
        <f>SUM(H37:H48)</f>
        <v>-1.3093050753542002E-2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63" t="s">
        <v>24</v>
      </c>
      <c r="C52" s="63" t="s">
        <v>2</v>
      </c>
      <c r="D52" s="63" t="s">
        <v>3</v>
      </c>
      <c r="E52" s="85"/>
      <c r="F52" s="63" t="s">
        <v>25</v>
      </c>
      <c r="G52" s="63" t="s">
        <v>2</v>
      </c>
      <c r="H52" s="63" t="s">
        <v>3</v>
      </c>
    </row>
    <row r="53" spans="2:10" x14ac:dyDescent="0.2">
      <c r="B53" s="65" t="s">
        <v>5</v>
      </c>
      <c r="C53" s="66"/>
      <c r="D53" s="69" t="str">
        <f t="shared" ref="D53:D64" si="6">+IF(C53/$C$116=0,"",C53/$C$116)</f>
        <v/>
      </c>
      <c r="E53" s="68"/>
      <c r="F53" s="65" t="s">
        <v>5</v>
      </c>
      <c r="G53" s="116">
        <v>15979.7963</v>
      </c>
      <c r="H53" s="69">
        <f t="shared" ref="H53:H64" si="7">+IF(G53/$C$124=0,"",G53/$C$124)</f>
        <v>1.3026802028079059E-4</v>
      </c>
    </row>
    <row r="54" spans="2:10" x14ac:dyDescent="0.2">
      <c r="B54" s="65" t="s">
        <v>6</v>
      </c>
      <c r="C54" s="66"/>
      <c r="D54" s="69" t="str">
        <f t="shared" si="6"/>
        <v/>
      </c>
      <c r="E54" s="68"/>
      <c r="F54" s="65" t="s">
        <v>6</v>
      </c>
      <c r="G54" s="66"/>
      <c r="H54" s="69" t="str">
        <f t="shared" si="7"/>
        <v/>
      </c>
    </row>
    <row r="55" spans="2:10" x14ac:dyDescent="0.2">
      <c r="B55" s="65" t="s">
        <v>7</v>
      </c>
      <c r="C55" s="71"/>
      <c r="D55" s="69" t="str">
        <f t="shared" si="6"/>
        <v/>
      </c>
      <c r="E55" s="68"/>
      <c r="F55" s="65" t="s">
        <v>7</v>
      </c>
      <c r="G55" s="71"/>
      <c r="H55" s="69" t="str">
        <f t="shared" si="7"/>
        <v/>
      </c>
    </row>
    <row r="56" spans="2:10" x14ac:dyDescent="0.2">
      <c r="B56" s="65" t="s">
        <v>8</v>
      </c>
      <c r="C56" s="66"/>
      <c r="D56" s="69" t="str">
        <f t="shared" si="6"/>
        <v/>
      </c>
      <c r="E56" s="68"/>
      <c r="F56" s="65" t="s">
        <v>8</v>
      </c>
      <c r="G56" s="66"/>
      <c r="H56" s="69" t="str">
        <f t="shared" si="7"/>
        <v/>
      </c>
    </row>
    <row r="57" spans="2:10" x14ac:dyDescent="0.2">
      <c r="B57" s="65" t="s">
        <v>47</v>
      </c>
      <c r="C57" s="66"/>
      <c r="D57" s="69" t="str">
        <f t="shared" si="6"/>
        <v/>
      </c>
      <c r="E57" s="68"/>
      <c r="F57" s="65" t="s">
        <v>9</v>
      </c>
      <c r="G57" s="66"/>
      <c r="H57" s="69" t="str">
        <f t="shared" si="7"/>
        <v/>
      </c>
      <c r="J57" s="74"/>
    </row>
    <row r="58" spans="2:10" x14ac:dyDescent="0.2">
      <c r="B58" s="65" t="s">
        <v>48</v>
      </c>
      <c r="C58" s="66"/>
      <c r="D58" s="69" t="str">
        <f t="shared" si="6"/>
        <v/>
      </c>
      <c r="E58" s="68"/>
      <c r="F58" s="65" t="s">
        <v>10</v>
      </c>
      <c r="G58" s="66"/>
      <c r="H58" s="69" t="str">
        <f t="shared" si="7"/>
        <v/>
      </c>
    </row>
    <row r="59" spans="2:10" x14ac:dyDescent="0.2">
      <c r="B59" s="65" t="s">
        <v>11</v>
      </c>
      <c r="C59" s="66"/>
      <c r="D59" s="69" t="str">
        <f t="shared" si="6"/>
        <v/>
      </c>
      <c r="E59" s="68"/>
      <c r="F59" s="65" t="s">
        <v>11</v>
      </c>
      <c r="G59" s="66"/>
      <c r="H59" s="69" t="str">
        <f t="shared" si="7"/>
        <v/>
      </c>
    </row>
    <row r="60" spans="2:10" x14ac:dyDescent="0.2">
      <c r="B60" s="65" t="s">
        <v>12</v>
      </c>
      <c r="C60" s="72"/>
      <c r="D60" s="69" t="str">
        <f t="shared" si="6"/>
        <v/>
      </c>
      <c r="E60" s="68"/>
      <c r="F60" s="65" t="s">
        <v>12</v>
      </c>
      <c r="G60" s="92">
        <v>90533.190499999997</v>
      </c>
      <c r="H60" s="69">
        <f t="shared" si="7"/>
        <v>7.3803065287751375E-4</v>
      </c>
    </row>
    <row r="61" spans="2:10" x14ac:dyDescent="0.2">
      <c r="B61" s="65" t="s">
        <v>13</v>
      </c>
      <c r="C61" s="72">
        <v>-253084012</v>
      </c>
      <c r="D61" s="69">
        <f t="shared" si="6"/>
        <v>-1.2613263593334149E-2</v>
      </c>
      <c r="E61" s="68"/>
      <c r="F61" s="65" t="s">
        <v>13</v>
      </c>
      <c r="G61" s="72"/>
      <c r="H61" s="69" t="str">
        <f t="shared" si="7"/>
        <v/>
      </c>
    </row>
    <row r="62" spans="2:10" x14ac:dyDescent="0.2">
      <c r="B62" s="65" t="s">
        <v>14</v>
      </c>
      <c r="C62" s="66"/>
      <c r="D62" s="69" t="str">
        <f t="shared" si="6"/>
        <v/>
      </c>
      <c r="E62" s="68"/>
      <c r="F62" s="65" t="s">
        <v>14</v>
      </c>
      <c r="G62" s="66"/>
      <c r="H62" s="69" t="str">
        <f t="shared" si="7"/>
        <v/>
      </c>
    </row>
    <row r="63" spans="2:10" x14ac:dyDescent="0.2">
      <c r="B63" s="65" t="s">
        <v>15</v>
      </c>
      <c r="C63" s="72"/>
      <c r="D63" s="69" t="str">
        <f t="shared" si="6"/>
        <v/>
      </c>
      <c r="E63" s="68"/>
      <c r="F63" s="65" t="s">
        <v>15</v>
      </c>
      <c r="G63" s="92">
        <v>-6495.9</v>
      </c>
      <c r="H63" s="69">
        <f t="shared" si="7"/>
        <v>-5.2954869827845529E-5</v>
      </c>
    </row>
    <row r="64" spans="2:10" x14ac:dyDescent="0.2">
      <c r="B64" s="65" t="s">
        <v>16</v>
      </c>
      <c r="C64" s="72">
        <v>-41439</v>
      </c>
      <c r="D64" s="69">
        <f t="shared" si="6"/>
        <v>-2.065247132419308E-6</v>
      </c>
      <c r="E64" s="68"/>
      <c r="F64" s="65" t="s">
        <v>16</v>
      </c>
      <c r="G64" s="92">
        <v>-103.23</v>
      </c>
      <c r="H64" s="69">
        <f t="shared" si="7"/>
        <v>-8.4153561667028346E-7</v>
      </c>
    </row>
    <row r="65" spans="2:8" s="80" customFormat="1" x14ac:dyDescent="0.2">
      <c r="B65" s="76" t="s">
        <v>17</v>
      </c>
      <c r="C65" s="77">
        <f>SUM(C53:C64)</f>
        <v>-253125451</v>
      </c>
      <c r="D65" s="78">
        <f>SUM(D53:D64)</f>
        <v>-1.2615328840466568E-2</v>
      </c>
      <c r="E65" s="79"/>
      <c r="F65" s="76" t="s">
        <v>17</v>
      </c>
      <c r="G65" s="93">
        <f>SUM(G53:G64)</f>
        <v>99913.856800000009</v>
      </c>
      <c r="H65" s="78">
        <f>SUM(H53:H64)</f>
        <v>8.1450226771378857E-4</v>
      </c>
    </row>
    <row r="66" spans="2:8" ht="13.5" customHeight="1" x14ac:dyDescent="0.2">
      <c r="C66" s="84"/>
      <c r="G66" s="90"/>
    </row>
    <row r="67" spans="2:8" ht="24" x14ac:dyDescent="0.2">
      <c r="B67" s="63" t="s">
        <v>26</v>
      </c>
      <c r="C67" s="63" t="s">
        <v>2</v>
      </c>
      <c r="D67" s="63" t="s">
        <v>3</v>
      </c>
      <c r="E67" s="85"/>
      <c r="F67" s="63" t="s">
        <v>27</v>
      </c>
      <c r="G67" s="63" t="s">
        <v>2</v>
      </c>
      <c r="H67" s="63" t="s">
        <v>3</v>
      </c>
    </row>
    <row r="68" spans="2:8" x14ac:dyDescent="0.2">
      <c r="B68" s="65" t="s">
        <v>5</v>
      </c>
      <c r="C68" s="66"/>
      <c r="D68" s="69" t="str">
        <f>+IF(C68/$C$117=0,"",C68/$C$117)</f>
        <v/>
      </c>
      <c r="E68" s="68"/>
      <c r="F68" s="65" t="s">
        <v>5</v>
      </c>
      <c r="G68" s="66"/>
      <c r="H68" s="69" t="str">
        <f>+IF(G68/$C$119=0,"",G68/$C$119)</f>
        <v/>
      </c>
    </row>
    <row r="69" spans="2:8" x14ac:dyDescent="0.2">
      <c r="B69" s="65" t="s">
        <v>6</v>
      </c>
      <c r="C69" s="66"/>
      <c r="D69" s="69" t="str">
        <f t="shared" ref="D69:D79" si="8">+IF(C69/$C$117=0,"",C69/$C$117)</f>
        <v/>
      </c>
      <c r="E69" s="68"/>
      <c r="F69" s="65" t="s">
        <v>6</v>
      </c>
      <c r="G69" s="66"/>
      <c r="H69" s="69" t="str">
        <f t="shared" ref="H69:H79" si="9">+IF(G69/$C$119=0,"",G69/$C$119)</f>
        <v/>
      </c>
    </row>
    <row r="70" spans="2:8" x14ac:dyDescent="0.2">
      <c r="B70" s="65" t="s">
        <v>7</v>
      </c>
      <c r="C70" s="71"/>
      <c r="D70" s="69" t="str">
        <f t="shared" si="8"/>
        <v/>
      </c>
      <c r="E70" s="68"/>
      <c r="F70" s="65" t="s">
        <v>7</v>
      </c>
      <c r="G70" s="71"/>
      <c r="H70" s="69" t="str">
        <f t="shared" si="9"/>
        <v/>
      </c>
    </row>
    <row r="71" spans="2:8" x14ac:dyDescent="0.2">
      <c r="B71" s="65" t="s">
        <v>8</v>
      </c>
      <c r="C71" s="66"/>
      <c r="D71" s="69" t="str">
        <f t="shared" si="8"/>
        <v/>
      </c>
      <c r="E71" s="68"/>
      <c r="F71" s="65" t="s">
        <v>8</v>
      </c>
      <c r="G71" s="66"/>
      <c r="H71" s="69" t="str">
        <f t="shared" si="9"/>
        <v/>
      </c>
    </row>
    <row r="72" spans="2:8" x14ac:dyDescent="0.2">
      <c r="B72" s="65" t="s">
        <v>9</v>
      </c>
      <c r="C72" s="66">
        <v>1345183</v>
      </c>
      <c r="D72" s="69">
        <f t="shared" si="8"/>
        <v>9.8325485564094999E-5</v>
      </c>
      <c r="E72" s="68"/>
      <c r="F72" s="65" t="s">
        <v>9</v>
      </c>
      <c r="G72" s="66">
        <v>6553976</v>
      </c>
      <c r="H72" s="69">
        <f t="shared" si="9"/>
        <v>8.8714281037982937E-4</v>
      </c>
    </row>
    <row r="73" spans="2:8" x14ac:dyDescent="0.2">
      <c r="B73" s="65" t="s">
        <v>10</v>
      </c>
      <c r="C73" s="66"/>
      <c r="D73" s="69" t="str">
        <f t="shared" si="8"/>
        <v/>
      </c>
      <c r="E73" s="68"/>
      <c r="F73" s="65" t="s">
        <v>10</v>
      </c>
      <c r="G73" s="66"/>
      <c r="H73" s="69" t="str">
        <f t="shared" si="9"/>
        <v/>
      </c>
    </row>
    <row r="74" spans="2:8" x14ac:dyDescent="0.2">
      <c r="B74" s="65" t="s">
        <v>11</v>
      </c>
      <c r="C74" s="66"/>
      <c r="D74" s="69" t="str">
        <f t="shared" si="8"/>
        <v/>
      </c>
      <c r="E74" s="68"/>
      <c r="F74" s="65" t="s">
        <v>11</v>
      </c>
      <c r="G74" s="66"/>
      <c r="H74" s="69" t="str">
        <f t="shared" si="9"/>
        <v/>
      </c>
    </row>
    <row r="75" spans="2:8" x14ac:dyDescent="0.2">
      <c r="B75" s="65" t="s">
        <v>12</v>
      </c>
      <c r="C75" s="72"/>
      <c r="D75" s="69" t="str">
        <f t="shared" si="8"/>
        <v/>
      </c>
      <c r="E75" s="68"/>
      <c r="F75" s="65" t="s">
        <v>12</v>
      </c>
      <c r="G75" s="72"/>
      <c r="H75" s="69" t="str">
        <f t="shared" si="9"/>
        <v/>
      </c>
    </row>
    <row r="76" spans="2:8" x14ac:dyDescent="0.2">
      <c r="B76" s="65" t="s">
        <v>13</v>
      </c>
      <c r="C76" s="72">
        <v>-36754008</v>
      </c>
      <c r="D76" s="69">
        <f t="shared" si="8"/>
        <v>-2.6865160227468174E-3</v>
      </c>
      <c r="E76" s="68"/>
      <c r="F76" s="65" t="s">
        <v>13</v>
      </c>
      <c r="G76" s="72">
        <v>6745343</v>
      </c>
      <c r="H76" s="69">
        <f t="shared" si="9"/>
        <v>9.1304614877990239E-4</v>
      </c>
    </row>
    <row r="77" spans="2:8" x14ac:dyDescent="0.2">
      <c r="B77" s="65" t="s">
        <v>14</v>
      </c>
      <c r="C77" s="66">
        <v>86399767</v>
      </c>
      <c r="D77" s="69">
        <f t="shared" si="8"/>
        <v>6.3153482038500863E-3</v>
      </c>
      <c r="E77" s="68"/>
      <c r="F77" s="65" t="s">
        <v>14</v>
      </c>
      <c r="G77" s="66">
        <v>43064610</v>
      </c>
      <c r="H77" s="69">
        <f t="shared" si="9"/>
        <v>5.8292033939872992E-3</v>
      </c>
    </row>
    <row r="78" spans="2:8" x14ac:dyDescent="0.2">
      <c r="B78" s="65" t="s">
        <v>15</v>
      </c>
      <c r="C78" s="72"/>
      <c r="D78" s="69" t="str">
        <f t="shared" si="8"/>
        <v/>
      </c>
      <c r="E78" s="68"/>
      <c r="F78" s="65" t="s">
        <v>15</v>
      </c>
      <c r="G78" s="72"/>
      <c r="H78" s="69" t="str">
        <f t="shared" si="9"/>
        <v/>
      </c>
    </row>
    <row r="79" spans="2:8" x14ac:dyDescent="0.2">
      <c r="B79" s="65" t="s">
        <v>16</v>
      </c>
      <c r="C79" s="72">
        <v>-21162</v>
      </c>
      <c r="D79" s="69">
        <f t="shared" si="8"/>
        <v>-1.5468259155128918E-6</v>
      </c>
      <c r="E79" s="68"/>
      <c r="F79" s="65" t="s">
        <v>16</v>
      </c>
      <c r="G79" s="72">
        <v>-16080</v>
      </c>
      <c r="H79" s="69">
        <f t="shared" si="9"/>
        <v>-2.1765805048580673E-6</v>
      </c>
    </row>
    <row r="80" spans="2:8" s="80" customFormat="1" x14ac:dyDescent="0.2">
      <c r="B80" s="76" t="s">
        <v>17</v>
      </c>
      <c r="C80" s="77">
        <f>SUM(C68:C79)</f>
        <v>50969780</v>
      </c>
      <c r="D80" s="78">
        <f>SUM(D68:D79)</f>
        <v>3.7256108407518508E-3</v>
      </c>
      <c r="E80" s="79"/>
      <c r="F80" s="76" t="s">
        <v>17</v>
      </c>
      <c r="G80" s="77">
        <f>SUM(G68:G79)</f>
        <v>56347849</v>
      </c>
      <c r="H80" s="78">
        <f>SUM(H68:H79)</f>
        <v>7.627215772642173E-3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49</v>
      </c>
      <c r="C82" s="198" t="s">
        <v>2</v>
      </c>
      <c r="D82" s="63" t="s">
        <v>3</v>
      </c>
      <c r="G82" s="90"/>
    </row>
    <row r="83" spans="2:7" ht="12.75" customHeight="1" x14ac:dyDescent="0.2">
      <c r="B83" s="199" t="s">
        <v>5</v>
      </c>
      <c r="C83" s="202"/>
      <c r="D83" s="69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13330.78</v>
      </c>
      <c r="D87" s="200">
        <f t="shared" si="10"/>
        <v>4.4435933333333332E-3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1049.0678</v>
      </c>
      <c r="D90" s="200">
        <f t="shared" si="10"/>
        <v>3.496892666666667E-4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-15724.234200000001</v>
      </c>
      <c r="D92" s="200">
        <f t="shared" si="10"/>
        <v>-5.2414114000000006E-3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-1344.3863999999994</v>
      </c>
      <c r="D95" s="78">
        <f>SUM(D83:D94)</f>
        <v>-4.4812880000000103E-4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63" t="s">
        <v>25</v>
      </c>
      <c r="C98" s="63"/>
      <c r="D98" s="63" t="s">
        <v>3</v>
      </c>
      <c r="E98" s="81"/>
      <c r="F98" s="59"/>
    </row>
    <row r="99" spans="2:7" ht="12.75" hidden="1" customHeight="1" x14ac:dyDescent="0.2">
      <c r="B99" s="94"/>
      <c r="C99" s="102"/>
      <c r="D99" s="69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69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69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69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69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69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69" t="str">
        <f t="shared" si="11"/>
        <v/>
      </c>
      <c r="E105" s="75"/>
      <c r="F105" s="59"/>
    </row>
    <row r="106" spans="2:7" s="80" customFormat="1" ht="12.75" hidden="1" customHeight="1" x14ac:dyDescent="0.2">
      <c r="B106" s="76" t="s">
        <v>17</v>
      </c>
      <c r="C106" s="99">
        <f>SUM(C99:C105)</f>
        <v>0</v>
      </c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62" customFormat="1" ht="41.25" customHeight="1" x14ac:dyDescent="0.2">
      <c r="B114" s="63" t="s">
        <v>39</v>
      </c>
      <c r="C114" s="63" t="s">
        <v>40</v>
      </c>
      <c r="D114" s="63" t="s">
        <v>41</v>
      </c>
      <c r="F114" s="63" t="s">
        <v>42</v>
      </c>
    </row>
    <row r="115" spans="1:13" x14ac:dyDescent="0.2">
      <c r="B115" s="189" t="s">
        <v>19</v>
      </c>
      <c r="C115" s="190">
        <v>22732645085</v>
      </c>
      <c r="D115" s="107"/>
      <c r="E115" s="58"/>
      <c r="F115" s="106"/>
      <c r="H115" s="75"/>
    </row>
    <row r="116" spans="1:13" x14ac:dyDescent="0.2">
      <c r="B116" s="189" t="s">
        <v>24</v>
      </c>
      <c r="C116" s="190">
        <v>20064911046</v>
      </c>
      <c r="D116" s="107"/>
      <c r="E116" s="108"/>
      <c r="F116" s="106"/>
      <c r="G116" s="62"/>
      <c r="H116" s="62"/>
    </row>
    <row r="117" spans="1:13" x14ac:dyDescent="0.2">
      <c r="B117" s="189" t="s">
        <v>26</v>
      </c>
      <c r="C117" s="190">
        <v>13680918962.999899</v>
      </c>
      <c r="D117" s="107"/>
      <c r="E117" s="108"/>
      <c r="F117" s="106"/>
      <c r="H117" s="75"/>
    </row>
    <row r="118" spans="1:13" x14ac:dyDescent="0.2">
      <c r="B118" s="189" t="s">
        <v>22</v>
      </c>
      <c r="C118" s="190">
        <v>4567702526</v>
      </c>
      <c r="D118" s="107"/>
      <c r="E118" s="108"/>
      <c r="F118" s="106"/>
      <c r="G118" s="62"/>
      <c r="H118" s="62"/>
    </row>
    <row r="119" spans="1:13" x14ac:dyDescent="0.2">
      <c r="B119" s="189" t="s">
        <v>27</v>
      </c>
      <c r="C119" s="190">
        <v>7387735011</v>
      </c>
      <c r="D119" s="107"/>
      <c r="E119" s="108"/>
      <c r="F119" s="106"/>
      <c r="H119" s="75"/>
    </row>
    <row r="120" spans="1:13" x14ac:dyDescent="0.2">
      <c r="B120" s="189" t="s">
        <v>1</v>
      </c>
      <c r="C120" s="190">
        <v>56495286560</v>
      </c>
      <c r="D120" s="193">
        <v>3337990415</v>
      </c>
      <c r="F120" s="106">
        <f>+C120+D120</f>
        <v>59833276975</v>
      </c>
      <c r="G120" s="62"/>
      <c r="H120" s="62"/>
    </row>
    <row r="121" spans="1:13" x14ac:dyDescent="0.2">
      <c r="B121" s="189" t="s">
        <v>18</v>
      </c>
      <c r="C121" s="192">
        <v>38463397.938099995</v>
      </c>
      <c r="D121" s="193"/>
      <c r="F121" s="106">
        <f>+C121+D121</f>
        <v>38463397.938099995</v>
      </c>
      <c r="H121" s="75"/>
    </row>
    <row r="122" spans="1:13" x14ac:dyDescent="0.2">
      <c r="B122" s="189" t="s">
        <v>4</v>
      </c>
      <c r="C122" s="190">
        <v>6998850126</v>
      </c>
      <c r="D122" s="107"/>
      <c r="F122" s="106"/>
      <c r="G122" s="62"/>
      <c r="H122" s="62"/>
    </row>
    <row r="123" spans="1:13" x14ac:dyDescent="0.2">
      <c r="B123" s="189" t="s">
        <v>21</v>
      </c>
      <c r="C123" s="190">
        <v>76239356244</v>
      </c>
      <c r="D123" s="107"/>
      <c r="F123" s="106"/>
      <c r="H123" s="75"/>
    </row>
    <row r="124" spans="1:13" x14ac:dyDescent="0.2">
      <c r="B124" s="189" t="s">
        <v>25</v>
      </c>
      <c r="C124" s="192">
        <v>122668604.81609999</v>
      </c>
      <c r="D124" s="107"/>
      <c r="E124" s="108"/>
      <c r="F124" s="106"/>
      <c r="G124" s="62"/>
      <c r="H124" s="62"/>
    </row>
    <row r="125" spans="1:13" x14ac:dyDescent="0.2">
      <c r="B125" s="195" t="s">
        <v>49</v>
      </c>
      <c r="C125" s="196">
        <v>3000000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627" priority="51" stopIfTrue="1" operator="lessThan">
      <formula>0</formula>
    </cfRule>
  </conditionalFormatting>
  <conditionalFormatting sqref="C7:C9">
    <cfRule type="cellIs" dxfId="1626" priority="47" stopIfTrue="1" operator="lessThan">
      <formula>0</formula>
    </cfRule>
  </conditionalFormatting>
  <conditionalFormatting sqref="C10:C13">
    <cfRule type="cellIs" dxfId="1625" priority="45" stopIfTrue="1" operator="lessThan">
      <formula>0</formula>
    </cfRule>
  </conditionalFormatting>
  <conditionalFormatting sqref="C104">
    <cfRule type="cellIs" dxfId="1624" priority="44" stopIfTrue="1" operator="lessThan">
      <formula>0</formula>
    </cfRule>
  </conditionalFormatting>
  <conditionalFormatting sqref="C7">
    <cfRule type="cellIs" dxfId="1623" priority="46" stopIfTrue="1" operator="lessThan">
      <formula>0</formula>
    </cfRule>
  </conditionalFormatting>
  <conditionalFormatting sqref="C29:C33">
    <cfRule type="cellIs" dxfId="1622" priority="39" stopIfTrue="1" operator="lessThan">
      <formula>0</formula>
    </cfRule>
  </conditionalFormatting>
  <conditionalFormatting sqref="G7:G9">
    <cfRule type="cellIs" dxfId="1621" priority="42" stopIfTrue="1" operator="lessThan">
      <formula>0</formula>
    </cfRule>
  </conditionalFormatting>
  <conditionalFormatting sqref="C22">
    <cfRule type="cellIs" dxfId="1620" priority="37" stopIfTrue="1" operator="lessThan">
      <formula>0</formula>
    </cfRule>
  </conditionalFormatting>
  <conditionalFormatting sqref="C25:C28">
    <cfRule type="cellIs" dxfId="1619" priority="36" stopIfTrue="1" operator="lessThan">
      <formula>0</formula>
    </cfRule>
  </conditionalFormatting>
  <conditionalFormatting sqref="G14:G18">
    <cfRule type="cellIs" dxfId="1618" priority="43" stopIfTrue="1" operator="lessThan">
      <formula>0</formula>
    </cfRule>
  </conditionalFormatting>
  <conditionalFormatting sqref="G7">
    <cfRule type="cellIs" dxfId="1617" priority="41" stopIfTrue="1" operator="lessThan">
      <formula>0</formula>
    </cfRule>
  </conditionalFormatting>
  <conditionalFormatting sqref="G10:G13">
    <cfRule type="cellIs" dxfId="1616" priority="40" stopIfTrue="1" operator="lessThan">
      <formula>0</formula>
    </cfRule>
  </conditionalFormatting>
  <conditionalFormatting sqref="C22:C24">
    <cfRule type="cellIs" dxfId="1615" priority="38" stopIfTrue="1" operator="lessThan">
      <formula>0</formula>
    </cfRule>
  </conditionalFormatting>
  <conditionalFormatting sqref="G22">
    <cfRule type="cellIs" dxfId="1614" priority="33" stopIfTrue="1" operator="lessThan">
      <formula>0</formula>
    </cfRule>
  </conditionalFormatting>
  <conditionalFormatting sqref="G29:G33">
    <cfRule type="cellIs" dxfId="1613" priority="35" stopIfTrue="1" operator="lessThan">
      <formula>0</formula>
    </cfRule>
  </conditionalFormatting>
  <conditionalFormatting sqref="G22:G24">
    <cfRule type="cellIs" dxfId="1612" priority="34" stopIfTrue="1" operator="lessThan">
      <formula>0</formula>
    </cfRule>
  </conditionalFormatting>
  <conditionalFormatting sqref="G25:G28">
    <cfRule type="cellIs" dxfId="1611" priority="32" stopIfTrue="1" operator="lessThan">
      <formula>0</formula>
    </cfRule>
  </conditionalFormatting>
  <conditionalFormatting sqref="C40:C43">
    <cfRule type="cellIs" dxfId="1610" priority="28" stopIfTrue="1" operator="lessThan">
      <formula>0</formula>
    </cfRule>
  </conditionalFormatting>
  <conditionalFormatting sqref="G44:G48">
    <cfRule type="cellIs" dxfId="1609" priority="27" stopIfTrue="1" operator="lessThan">
      <formula>0</formula>
    </cfRule>
  </conditionalFormatting>
  <conditionalFormatting sqref="G37">
    <cfRule type="cellIs" dxfId="1608" priority="25" stopIfTrue="1" operator="lessThan">
      <formula>0</formula>
    </cfRule>
  </conditionalFormatting>
  <conditionalFormatting sqref="C44:C48">
    <cfRule type="cellIs" dxfId="1607" priority="31" stopIfTrue="1" operator="lessThan">
      <formula>0</formula>
    </cfRule>
  </conditionalFormatting>
  <conditionalFormatting sqref="C37:C39">
    <cfRule type="cellIs" dxfId="1606" priority="30" stopIfTrue="1" operator="lessThan">
      <formula>0</formula>
    </cfRule>
  </conditionalFormatting>
  <conditionalFormatting sqref="C37">
    <cfRule type="cellIs" dxfId="1605" priority="29" stopIfTrue="1" operator="lessThan">
      <formula>0</formula>
    </cfRule>
  </conditionalFormatting>
  <conditionalFormatting sqref="C56:C59">
    <cfRule type="cellIs" dxfId="1604" priority="20" stopIfTrue="1" operator="lessThan">
      <formula>0</formula>
    </cfRule>
  </conditionalFormatting>
  <conditionalFormatting sqref="G60:G63">
    <cfRule type="cellIs" dxfId="1603" priority="19" stopIfTrue="1" operator="lessThan">
      <formula>0</formula>
    </cfRule>
  </conditionalFormatting>
  <conditionalFormatting sqref="G37:G39">
    <cfRule type="cellIs" dxfId="1602" priority="26" stopIfTrue="1" operator="lessThan">
      <formula>0</formula>
    </cfRule>
  </conditionalFormatting>
  <conditionalFormatting sqref="G53">
    <cfRule type="cellIs" dxfId="1601" priority="17" stopIfTrue="1" operator="lessThan">
      <formula>0</formula>
    </cfRule>
  </conditionalFormatting>
  <conditionalFormatting sqref="G40:G43">
    <cfRule type="cellIs" dxfId="1600" priority="24" stopIfTrue="1" operator="lessThan">
      <formula>0</formula>
    </cfRule>
  </conditionalFormatting>
  <conditionalFormatting sqref="C60:C64">
    <cfRule type="cellIs" dxfId="1599" priority="23" stopIfTrue="1" operator="lessThan">
      <formula>0</formula>
    </cfRule>
  </conditionalFormatting>
  <conditionalFormatting sqref="C53:C55">
    <cfRule type="cellIs" dxfId="1598" priority="22" stopIfTrue="1" operator="lessThan">
      <formula>0</formula>
    </cfRule>
  </conditionalFormatting>
  <conditionalFormatting sqref="C53">
    <cfRule type="cellIs" dxfId="1597" priority="21" stopIfTrue="1" operator="lessThan">
      <formula>0</formula>
    </cfRule>
  </conditionalFormatting>
  <conditionalFormatting sqref="G53:G55">
    <cfRule type="cellIs" dxfId="1596" priority="18" stopIfTrue="1" operator="lessThan">
      <formula>0</formula>
    </cfRule>
  </conditionalFormatting>
  <conditionalFormatting sqref="G56:G59">
    <cfRule type="cellIs" dxfId="1595" priority="16" stopIfTrue="1" operator="lessThan">
      <formula>0</formula>
    </cfRule>
  </conditionalFormatting>
  <conditionalFormatting sqref="C75:C78">
    <cfRule type="cellIs" dxfId="1594" priority="15" stopIfTrue="1" operator="lessThan">
      <formula>0</formula>
    </cfRule>
  </conditionalFormatting>
  <conditionalFormatting sqref="C68:C70">
    <cfRule type="cellIs" dxfId="1593" priority="14" stopIfTrue="1" operator="lessThan">
      <formula>0</formula>
    </cfRule>
  </conditionalFormatting>
  <conditionalFormatting sqref="C68">
    <cfRule type="cellIs" dxfId="1592" priority="13" stopIfTrue="1" operator="lessThan">
      <formula>0</formula>
    </cfRule>
  </conditionalFormatting>
  <conditionalFormatting sqref="C71:C74">
    <cfRule type="cellIs" dxfId="1591" priority="12" stopIfTrue="1" operator="lessThan">
      <formula>0</formula>
    </cfRule>
  </conditionalFormatting>
  <conditionalFormatting sqref="G75:G79">
    <cfRule type="cellIs" dxfId="1590" priority="11" stopIfTrue="1" operator="lessThan">
      <formula>0</formula>
    </cfRule>
  </conditionalFormatting>
  <conditionalFormatting sqref="G68:G70">
    <cfRule type="cellIs" dxfId="1589" priority="10" stopIfTrue="1" operator="lessThan">
      <formula>0</formula>
    </cfRule>
  </conditionalFormatting>
  <conditionalFormatting sqref="G68">
    <cfRule type="cellIs" dxfId="1588" priority="9" stopIfTrue="1" operator="lessThan">
      <formula>0</formula>
    </cfRule>
  </conditionalFormatting>
  <conditionalFormatting sqref="G71:G74">
    <cfRule type="cellIs" dxfId="1587" priority="8" stopIfTrue="1" operator="lessThan">
      <formula>0</formula>
    </cfRule>
  </conditionalFormatting>
  <conditionalFormatting sqref="G64">
    <cfRule type="cellIs" dxfId="1586" priority="7" stopIfTrue="1" operator="lessThan">
      <formula>0</formula>
    </cfRule>
  </conditionalFormatting>
  <conditionalFormatting sqref="C79">
    <cfRule type="cellIs" dxfId="1585" priority="6" stopIfTrue="1" operator="lessThan">
      <formula>0</formula>
    </cfRule>
  </conditionalFormatting>
  <conditionalFormatting sqref="C90:C93">
    <cfRule type="cellIs" dxfId="1584" priority="5" stopIfTrue="1" operator="lessThan">
      <formula>0</formula>
    </cfRule>
  </conditionalFormatting>
  <conditionalFormatting sqref="C83:C85">
    <cfRule type="cellIs" dxfId="1583" priority="4" stopIfTrue="1" operator="lessThan">
      <formula>0</formula>
    </cfRule>
  </conditionalFormatting>
  <conditionalFormatting sqref="C83">
    <cfRule type="cellIs" dxfId="1582" priority="3" stopIfTrue="1" operator="lessThan">
      <formula>0</formula>
    </cfRule>
  </conditionalFormatting>
  <conditionalFormatting sqref="C86:C89">
    <cfRule type="cellIs" dxfId="1581" priority="2" stopIfTrue="1" operator="lessThan">
      <formula>0</formula>
    </cfRule>
  </conditionalFormatting>
  <conditionalFormatting sqref="C94">
    <cfRule type="cellIs" dxfId="1580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dimension ref="A2:M130"/>
  <sheetViews>
    <sheetView workbookViewId="0">
      <selection activeCell="F96" sqref="F9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43075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4615147</v>
      </c>
      <c r="D7" s="67">
        <f>+IF(C7/$F$120=0,"",C7/$F$120)</f>
        <v>7.6311887639303295E-5</v>
      </c>
      <c r="E7" s="68"/>
      <c r="F7" s="199" t="s">
        <v>5</v>
      </c>
      <c r="G7" s="66">
        <v>761111</v>
      </c>
      <c r="H7" s="200">
        <f>+IF(G7/$C$122=0,"",G7/$C$122)</f>
        <v>1.0874492700960118E-4</v>
      </c>
      <c r="I7" s="70"/>
    </row>
    <row r="8" spans="1:9" x14ac:dyDescent="0.2">
      <c r="B8" s="199" t="s">
        <v>6</v>
      </c>
      <c r="C8" s="66">
        <v>533386</v>
      </c>
      <c r="D8" s="67">
        <f>+IF(C8/$F$120=0,"",C8/$F$120)</f>
        <v>8.8195874368416492E-6</v>
      </c>
      <c r="E8" s="68"/>
      <c r="F8" s="199" t="s">
        <v>6</v>
      </c>
      <c r="G8" s="66">
        <v>231344</v>
      </c>
      <c r="H8" s="200">
        <f>+IF(G8/$C$122=0,"",G8/$C$122)</f>
        <v>3.3053636584031992E-5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20508</v>
      </c>
      <c r="H11" s="200">
        <f t="shared" si="0"/>
        <v>2.9301126420625915E-6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277495</v>
      </c>
      <c r="H14" s="200">
        <f t="shared" si="0"/>
        <v>3.9647533041211175E-5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-136405</v>
      </c>
      <c r="D18" s="67">
        <f>+IF(C18/$F$120=0,"",C18/$F$120)</f>
        <v>-2.2554694429969761E-6</v>
      </c>
      <c r="E18" s="75"/>
      <c r="F18" s="199" t="s">
        <v>16</v>
      </c>
      <c r="G18" s="72">
        <v>-27679</v>
      </c>
      <c r="H18" s="200">
        <f t="shared" si="0"/>
        <v>-3.9546805061268998E-6</v>
      </c>
    </row>
    <row r="19" spans="2:9" s="80" customFormat="1" x14ac:dyDescent="0.2">
      <c r="B19" s="201" t="s">
        <v>17</v>
      </c>
      <c r="C19" s="77">
        <f>SUM(C7:C18)</f>
        <v>5012128</v>
      </c>
      <c r="D19" s="78">
        <f>SUM(D7:D18)</f>
        <v>8.2876005633147971E-5</v>
      </c>
      <c r="E19" s="79"/>
      <c r="F19" s="201" t="s">
        <v>17</v>
      </c>
      <c r="G19" s="77">
        <f>SUM(G7:G18)</f>
        <v>1262779</v>
      </c>
      <c r="H19" s="78">
        <f>SUM(H7:H18)</f>
        <v>1.8042152877078004E-4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2242.8521000000001</v>
      </c>
      <c r="D22" s="200">
        <f>+IF(C22/$F$121=0,"",C22/$F$121)</f>
        <v>6.0002083196059314E-5</v>
      </c>
      <c r="E22" s="75"/>
      <c r="F22" s="199" t="s">
        <v>5</v>
      </c>
      <c r="G22" s="66">
        <v>1646524</v>
      </c>
      <c r="H22" s="200">
        <f t="shared" ref="H22:H33" si="2">+IF(G22/$C$115=0,"",G22/$C$115)</f>
        <v>7.2789745021659393E-5</v>
      </c>
      <c r="I22" s="114"/>
    </row>
    <row r="23" spans="2:9" x14ac:dyDescent="0.2">
      <c r="B23" s="199" t="s">
        <v>44</v>
      </c>
      <c r="C23" s="71">
        <v>-42662.451999999997</v>
      </c>
      <c r="D23" s="200">
        <f>+IF(C23/$F$121=0,"",C23/$F$121)</f>
        <v>-1.1413307164800956E-3</v>
      </c>
      <c r="E23" s="75"/>
      <c r="F23" s="199" t="s">
        <v>6</v>
      </c>
      <c r="G23" s="66">
        <v>1316916</v>
      </c>
      <c r="H23" s="200">
        <f t="shared" si="2"/>
        <v>5.8218392112683202E-5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7714.8299861160367</v>
      </c>
      <c r="D26" s="200">
        <f>+IF(C26/$F$121=0,"",C26/$F$121)</f>
        <v>2.0639161658068651E-4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34433.741626630828</v>
      </c>
      <c r="D27" s="200">
        <f t="shared" ref="D27:D33" si="3">+IF(C27/$F$121=0,"",C27/$F$121)</f>
        <v>9.2119147305019073E-4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-700009</v>
      </c>
      <c r="H29" s="200">
        <f t="shared" si="2"/>
        <v>-3.0946088015034563E-5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/>
      <c r="D31" s="200" t="str">
        <f t="shared" si="3"/>
        <v/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-186.2</v>
      </c>
      <c r="D33" s="200">
        <f t="shared" si="3"/>
        <v>-4.9813306419563931E-6</v>
      </c>
      <c r="E33" s="75"/>
      <c r="F33" s="199" t="s">
        <v>16</v>
      </c>
      <c r="G33" s="72">
        <v>-62715</v>
      </c>
      <c r="H33" s="200">
        <f t="shared" si="2"/>
        <v>-2.7725127960681827E-6</v>
      </c>
    </row>
    <row r="34" spans="1:13" s="80" customFormat="1" x14ac:dyDescent="0.2">
      <c r="B34" s="201" t="s">
        <v>17</v>
      </c>
      <c r="C34" s="203">
        <f>SUM(C22:C33)</f>
        <v>1542.7717127468648</v>
      </c>
      <c r="D34" s="78">
        <f>SUM(D22:D33)</f>
        <v>4.1273125704884588E-5</v>
      </c>
      <c r="E34" s="79"/>
      <c r="F34" s="201" t="s">
        <v>17</v>
      </c>
      <c r="G34" s="203">
        <f>SUM(G22:G33)</f>
        <v>2200716</v>
      </c>
      <c r="H34" s="78">
        <f>SUM(H22:H33)</f>
        <v>9.7289536323239844E-5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4440494</v>
      </c>
      <c r="D37" s="200">
        <f t="shared" ref="D37:D48" si="4">+IF(C37/$C$123=0,"",C37/$C$123)</f>
        <v>5.8700827429377778E-5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6806746</v>
      </c>
      <c r="D38" s="200">
        <f t="shared" si="4"/>
        <v>8.9981344936308321E-5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-18031060</v>
      </c>
      <c r="D44" s="200">
        <f t="shared" si="4"/>
        <v>-2.3836044850612489E-4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88568</v>
      </c>
      <c r="D45" s="200">
        <f t="shared" si="4"/>
        <v>1.1708190313431639E-6</v>
      </c>
      <c r="E45" s="68"/>
      <c r="F45" s="199" t="s">
        <v>13</v>
      </c>
      <c r="G45" s="72">
        <v>-55271671</v>
      </c>
      <c r="H45" s="200">
        <f t="shared" si="5"/>
        <v>-1.2311515263809115E-2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-29858</v>
      </c>
      <c r="D47" s="200">
        <f t="shared" si="4"/>
        <v>-3.9470592807610185E-7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-205604</v>
      </c>
      <c r="D48" s="200">
        <f t="shared" si="4"/>
        <v>-2.7179689743505539E-6</v>
      </c>
      <c r="E48" s="68"/>
      <c r="F48" s="199" t="s">
        <v>16</v>
      </c>
      <c r="G48" s="72">
        <v>-18696</v>
      </c>
      <c r="H48" s="200">
        <f t="shared" si="5"/>
        <v>-4.1644496214376304E-6</v>
      </c>
    </row>
    <row r="49" spans="2:10" s="80" customFormat="1" x14ac:dyDescent="0.2">
      <c r="B49" s="201" t="s">
        <v>17</v>
      </c>
      <c r="C49" s="77">
        <f>SUM(C37:C48)</f>
        <v>-6930714</v>
      </c>
      <c r="D49" s="78">
        <f>SUM(D37:D48)</f>
        <v>-9.1620132011522285E-5</v>
      </c>
      <c r="E49" s="79"/>
      <c r="F49" s="201" t="s">
        <v>17</v>
      </c>
      <c r="G49" s="77">
        <f>SUM(G37:G48)</f>
        <v>-55290367</v>
      </c>
      <c r="H49" s="78">
        <f>SUM(H37:H48)</f>
        <v>-1.2315679713430554E-2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14077.8523</v>
      </c>
      <c r="H53" s="200">
        <f t="shared" ref="H53:H64" si="7">+IF(G53/$C$124=0,"",G53/$C$124)</f>
        <v>1.1467141749390571E-4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-82636.173899999994</v>
      </c>
      <c r="H60" s="200">
        <f t="shared" si="7"/>
        <v>-6.731145486862292E-4</v>
      </c>
    </row>
    <row r="61" spans="2:10" x14ac:dyDescent="0.2">
      <c r="B61" s="199" t="s">
        <v>13</v>
      </c>
      <c r="C61" s="72">
        <v>-272133104</v>
      </c>
      <c r="D61" s="200">
        <f t="shared" si="6"/>
        <v>-1.3770336007016276E-2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-4136945</v>
      </c>
      <c r="D63" s="200">
        <f t="shared" si="6"/>
        <v>-2.0933551212698454E-4</v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-162430</v>
      </c>
      <c r="D64" s="200">
        <f t="shared" si="6"/>
        <v>-8.2191973146334064E-6</v>
      </c>
      <c r="E64" s="68"/>
      <c r="F64" s="199" t="s">
        <v>16</v>
      </c>
      <c r="G64" s="92">
        <v>-103.09</v>
      </c>
      <c r="H64" s="200">
        <f t="shared" si="7"/>
        <v>-8.3972158377075311E-7</v>
      </c>
    </row>
    <row r="65" spans="2:8" s="80" customFormat="1" x14ac:dyDescent="0.2">
      <c r="B65" s="201" t="s">
        <v>17</v>
      </c>
      <c r="C65" s="77">
        <f>SUM(C53:C64)</f>
        <v>-276432479</v>
      </c>
      <c r="D65" s="78">
        <f>SUM(D53:D64)</f>
        <v>-1.3987890716457894E-2</v>
      </c>
      <c r="E65" s="79"/>
      <c r="F65" s="201" t="s">
        <v>17</v>
      </c>
      <c r="G65" s="203">
        <f>SUM(G53:G64)</f>
        <v>-68661.411599999992</v>
      </c>
      <c r="H65" s="78">
        <f>SUM(H53:H64)</f>
        <v>-5.5928285277609434E-4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405740</v>
      </c>
      <c r="D72" s="200">
        <f t="shared" si="8"/>
        <v>3.0205053037001185E-5</v>
      </c>
      <c r="E72" s="68"/>
      <c r="F72" s="199" t="s">
        <v>9</v>
      </c>
      <c r="G72" s="66">
        <v>138026.653000116</v>
      </c>
      <c r="H72" s="200">
        <f t="shared" si="9"/>
        <v>1.9230813255377985E-5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-31674402</v>
      </c>
      <c r="D76" s="200">
        <f t="shared" si="8"/>
        <v>-2.3579804611950916E-3</v>
      </c>
      <c r="E76" s="68"/>
      <c r="F76" s="199" t="s">
        <v>13</v>
      </c>
      <c r="G76" s="72">
        <v>3147368</v>
      </c>
      <c r="H76" s="200">
        <f t="shared" si="9"/>
        <v>4.3851274328807812E-4</v>
      </c>
    </row>
    <row r="77" spans="2:8" x14ac:dyDescent="0.2">
      <c r="B77" s="199" t="s">
        <v>14</v>
      </c>
      <c r="C77" s="66">
        <v>25994809</v>
      </c>
      <c r="D77" s="200">
        <f t="shared" si="8"/>
        <v>1.9351668174981903E-3</v>
      </c>
      <c r="E77" s="68"/>
      <c r="F77" s="199" t="s">
        <v>14</v>
      </c>
      <c r="G77" s="66">
        <v>14074596</v>
      </c>
      <c r="H77" s="200">
        <f t="shared" si="9"/>
        <v>1.9609685625041019E-3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-21163</v>
      </c>
      <c r="D79" s="200">
        <f t="shared" si="8"/>
        <v>-1.5754659077785185E-6</v>
      </c>
      <c r="E79" s="68"/>
      <c r="F79" s="199" t="s">
        <v>16</v>
      </c>
      <c r="G79" s="72">
        <v>-16081</v>
      </c>
      <c r="H79" s="200">
        <f t="shared" si="9"/>
        <v>-2.2405144313647416E-6</v>
      </c>
    </row>
    <row r="80" spans="2:8" s="80" customFormat="1" x14ac:dyDescent="0.2">
      <c r="B80" s="201" t="s">
        <v>17</v>
      </c>
      <c r="C80" s="77">
        <f>SUM(C68:C79)</f>
        <v>-5295016</v>
      </c>
      <c r="D80" s="78">
        <f>SUM(D68:D79)</f>
        <v>-3.9418405656767866E-4</v>
      </c>
      <c r="E80" s="79"/>
      <c r="F80" s="201" t="s">
        <v>17</v>
      </c>
      <c r="G80" s="77">
        <f>SUM(G68:G79)</f>
        <v>17343909.653000116</v>
      </c>
      <c r="H80" s="78">
        <f>SUM(H68:H79)</f>
        <v>2.4164716046161934E-3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-29027.646399998739</v>
      </c>
      <c r="D87" s="200">
        <f t="shared" si="10"/>
        <v>-9.6804720646258748E-3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6075.3882000000003</v>
      </c>
      <c r="D90" s="200">
        <f t="shared" si="10"/>
        <v>2.026090057093304E-3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39857.276899999997</v>
      </c>
      <c r="D92" s="200">
        <f t="shared" si="10"/>
        <v>1.329206130892255E-2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16905.018700001259</v>
      </c>
      <c r="D95" s="208">
        <f>SUM(D83:D94)</f>
        <v>5.6376793013899786E-3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22620274319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19762270424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13432851765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4489428784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7177369525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58185965854.999908</v>
      </c>
      <c r="D120" s="193">
        <v>2291466204</v>
      </c>
      <c r="F120" s="204">
        <f>+C120+D120</f>
        <v>60477432058.999908</v>
      </c>
      <c r="G120" s="197"/>
      <c r="H120" s="197"/>
    </row>
    <row r="121" spans="1:13" x14ac:dyDescent="0.2">
      <c r="B121" s="189" t="s">
        <v>18</v>
      </c>
      <c r="C121" s="192">
        <v>37322413.277099997</v>
      </c>
      <c r="D121" s="193">
        <v>57157.240000000005</v>
      </c>
      <c r="F121" s="204">
        <f>+C121+D121</f>
        <v>37379570.517099999</v>
      </c>
      <c r="H121" s="75"/>
    </row>
    <row r="122" spans="1:13" x14ac:dyDescent="0.2">
      <c r="B122" s="189" t="s">
        <v>4</v>
      </c>
      <c r="C122" s="190">
        <v>6999048331.9998999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75646190939</v>
      </c>
      <c r="D123" s="205"/>
      <c r="F123" s="204"/>
      <c r="H123" s="75"/>
    </row>
    <row r="124" spans="1:13" x14ac:dyDescent="0.2">
      <c r="B124" s="189" t="s">
        <v>25</v>
      </c>
      <c r="C124" s="192">
        <v>122766881.3002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2998577.57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579" priority="48" stopIfTrue="1" operator="lessThan">
      <formula>0</formula>
    </cfRule>
  </conditionalFormatting>
  <conditionalFormatting sqref="C7:C9">
    <cfRule type="cellIs" dxfId="1578" priority="47" stopIfTrue="1" operator="lessThan">
      <formula>0</formula>
    </cfRule>
  </conditionalFormatting>
  <conditionalFormatting sqref="C10:C13">
    <cfRule type="cellIs" dxfId="1577" priority="45" stopIfTrue="1" operator="lessThan">
      <formula>0</formula>
    </cfRule>
  </conditionalFormatting>
  <conditionalFormatting sqref="C104">
    <cfRule type="cellIs" dxfId="1576" priority="44" stopIfTrue="1" operator="lessThan">
      <formula>0</formula>
    </cfRule>
  </conditionalFormatting>
  <conditionalFormatting sqref="C7">
    <cfRule type="cellIs" dxfId="1575" priority="46" stopIfTrue="1" operator="lessThan">
      <formula>0</formula>
    </cfRule>
  </conditionalFormatting>
  <conditionalFormatting sqref="C29:C33">
    <cfRule type="cellIs" dxfId="1574" priority="39" stopIfTrue="1" operator="lessThan">
      <formula>0</formula>
    </cfRule>
  </conditionalFormatting>
  <conditionalFormatting sqref="G7:G9">
    <cfRule type="cellIs" dxfId="1573" priority="42" stopIfTrue="1" operator="lessThan">
      <formula>0</formula>
    </cfRule>
  </conditionalFormatting>
  <conditionalFormatting sqref="C22">
    <cfRule type="cellIs" dxfId="1572" priority="37" stopIfTrue="1" operator="lessThan">
      <formula>0</formula>
    </cfRule>
  </conditionalFormatting>
  <conditionalFormatting sqref="C25:C28">
    <cfRule type="cellIs" dxfId="1571" priority="36" stopIfTrue="1" operator="lessThan">
      <formula>0</formula>
    </cfRule>
  </conditionalFormatting>
  <conditionalFormatting sqref="G14:G18">
    <cfRule type="cellIs" dxfId="1570" priority="43" stopIfTrue="1" operator="lessThan">
      <formula>0</formula>
    </cfRule>
  </conditionalFormatting>
  <conditionalFormatting sqref="G7">
    <cfRule type="cellIs" dxfId="1569" priority="41" stopIfTrue="1" operator="lessThan">
      <formula>0</formula>
    </cfRule>
  </conditionalFormatting>
  <conditionalFormatting sqref="G10:G13">
    <cfRule type="cellIs" dxfId="1568" priority="40" stopIfTrue="1" operator="lessThan">
      <formula>0</formula>
    </cfRule>
  </conditionalFormatting>
  <conditionalFormatting sqref="C22:C24">
    <cfRule type="cellIs" dxfId="1567" priority="38" stopIfTrue="1" operator="lessThan">
      <formula>0</formula>
    </cfRule>
  </conditionalFormatting>
  <conditionalFormatting sqref="G22">
    <cfRule type="cellIs" dxfId="1566" priority="33" stopIfTrue="1" operator="lessThan">
      <formula>0</formula>
    </cfRule>
  </conditionalFormatting>
  <conditionalFormatting sqref="G29:G33">
    <cfRule type="cellIs" dxfId="1565" priority="35" stopIfTrue="1" operator="lessThan">
      <formula>0</formula>
    </cfRule>
  </conditionalFormatting>
  <conditionalFormatting sqref="G22:G24">
    <cfRule type="cellIs" dxfId="1564" priority="34" stopIfTrue="1" operator="lessThan">
      <formula>0</formula>
    </cfRule>
  </conditionalFormatting>
  <conditionalFormatting sqref="G25:G28">
    <cfRule type="cellIs" dxfId="1563" priority="32" stopIfTrue="1" operator="lessThan">
      <formula>0</formula>
    </cfRule>
  </conditionalFormatting>
  <conditionalFormatting sqref="C40:C43">
    <cfRule type="cellIs" dxfId="1562" priority="28" stopIfTrue="1" operator="lessThan">
      <formula>0</formula>
    </cfRule>
  </conditionalFormatting>
  <conditionalFormatting sqref="G44:G48">
    <cfRule type="cellIs" dxfId="1561" priority="27" stopIfTrue="1" operator="lessThan">
      <formula>0</formula>
    </cfRule>
  </conditionalFormatting>
  <conditionalFormatting sqref="G37">
    <cfRule type="cellIs" dxfId="1560" priority="25" stopIfTrue="1" operator="lessThan">
      <formula>0</formula>
    </cfRule>
  </conditionalFormatting>
  <conditionalFormatting sqref="C44:C48">
    <cfRule type="cellIs" dxfId="1559" priority="31" stopIfTrue="1" operator="lessThan">
      <formula>0</formula>
    </cfRule>
  </conditionalFormatting>
  <conditionalFormatting sqref="C37:C39">
    <cfRule type="cellIs" dxfId="1558" priority="30" stopIfTrue="1" operator="lessThan">
      <formula>0</formula>
    </cfRule>
  </conditionalFormatting>
  <conditionalFormatting sqref="C37">
    <cfRule type="cellIs" dxfId="1557" priority="29" stopIfTrue="1" operator="lessThan">
      <formula>0</formula>
    </cfRule>
  </conditionalFormatting>
  <conditionalFormatting sqref="C56:C59">
    <cfRule type="cellIs" dxfId="1556" priority="20" stopIfTrue="1" operator="lessThan">
      <formula>0</formula>
    </cfRule>
  </conditionalFormatting>
  <conditionalFormatting sqref="G60:G63">
    <cfRule type="cellIs" dxfId="1555" priority="19" stopIfTrue="1" operator="lessThan">
      <formula>0</formula>
    </cfRule>
  </conditionalFormatting>
  <conditionalFormatting sqref="G37:G39">
    <cfRule type="cellIs" dxfId="1554" priority="26" stopIfTrue="1" operator="lessThan">
      <formula>0</formula>
    </cfRule>
  </conditionalFormatting>
  <conditionalFormatting sqref="G53">
    <cfRule type="cellIs" dxfId="1553" priority="17" stopIfTrue="1" operator="lessThan">
      <formula>0</formula>
    </cfRule>
  </conditionalFormatting>
  <conditionalFormatting sqref="G40:G43">
    <cfRule type="cellIs" dxfId="1552" priority="24" stopIfTrue="1" operator="lessThan">
      <formula>0</formula>
    </cfRule>
  </conditionalFormatting>
  <conditionalFormatting sqref="C60:C64">
    <cfRule type="cellIs" dxfId="1551" priority="23" stopIfTrue="1" operator="lessThan">
      <formula>0</formula>
    </cfRule>
  </conditionalFormatting>
  <conditionalFormatting sqref="C53:C55">
    <cfRule type="cellIs" dxfId="1550" priority="22" stopIfTrue="1" operator="lessThan">
      <formula>0</formula>
    </cfRule>
  </conditionalFormatting>
  <conditionalFormatting sqref="C53">
    <cfRule type="cellIs" dxfId="1549" priority="21" stopIfTrue="1" operator="lessThan">
      <formula>0</formula>
    </cfRule>
  </conditionalFormatting>
  <conditionalFormatting sqref="G53:G55">
    <cfRule type="cellIs" dxfId="1548" priority="18" stopIfTrue="1" operator="lessThan">
      <formula>0</formula>
    </cfRule>
  </conditionalFormatting>
  <conditionalFormatting sqref="G56:G59">
    <cfRule type="cellIs" dxfId="1547" priority="16" stopIfTrue="1" operator="lessThan">
      <formula>0</formula>
    </cfRule>
  </conditionalFormatting>
  <conditionalFormatting sqref="C75:C78">
    <cfRule type="cellIs" dxfId="1546" priority="15" stopIfTrue="1" operator="lessThan">
      <formula>0</formula>
    </cfRule>
  </conditionalFormatting>
  <conditionalFormatting sqref="C68:C70">
    <cfRule type="cellIs" dxfId="1545" priority="14" stopIfTrue="1" operator="lessThan">
      <formula>0</formula>
    </cfRule>
  </conditionalFormatting>
  <conditionalFormatting sqref="C68">
    <cfRule type="cellIs" dxfId="1544" priority="13" stopIfTrue="1" operator="lessThan">
      <formula>0</formula>
    </cfRule>
  </conditionalFormatting>
  <conditionalFormatting sqref="C71:C74">
    <cfRule type="cellIs" dxfId="1543" priority="12" stopIfTrue="1" operator="lessThan">
      <formula>0</formula>
    </cfRule>
  </conditionalFormatting>
  <conditionalFormatting sqref="G75:G79">
    <cfRule type="cellIs" dxfId="1542" priority="11" stopIfTrue="1" operator="lessThan">
      <formula>0</formula>
    </cfRule>
  </conditionalFormatting>
  <conditionalFormatting sqref="G68:G70">
    <cfRule type="cellIs" dxfId="1541" priority="10" stopIfTrue="1" operator="lessThan">
      <formula>0</formula>
    </cfRule>
  </conditionalFormatting>
  <conditionalFormatting sqref="G68">
    <cfRule type="cellIs" dxfId="1540" priority="9" stopIfTrue="1" operator="lessThan">
      <formula>0</formula>
    </cfRule>
  </conditionalFormatting>
  <conditionalFormatting sqref="G71:G74">
    <cfRule type="cellIs" dxfId="1539" priority="8" stopIfTrue="1" operator="lessThan">
      <formula>0</formula>
    </cfRule>
  </conditionalFormatting>
  <conditionalFormatting sqref="G64">
    <cfRule type="cellIs" dxfId="1538" priority="7" stopIfTrue="1" operator="lessThan">
      <formula>0</formula>
    </cfRule>
  </conditionalFormatting>
  <conditionalFormatting sqref="C79">
    <cfRule type="cellIs" dxfId="1537" priority="6" stopIfTrue="1" operator="lessThan">
      <formula>0</formula>
    </cfRule>
  </conditionalFormatting>
  <conditionalFormatting sqref="C90:C93">
    <cfRule type="cellIs" dxfId="1536" priority="5" stopIfTrue="1" operator="lessThan">
      <formula>0</formula>
    </cfRule>
  </conditionalFormatting>
  <conditionalFormatting sqref="C83:C85">
    <cfRule type="cellIs" dxfId="1535" priority="4" stopIfTrue="1" operator="lessThan">
      <formula>0</formula>
    </cfRule>
  </conditionalFormatting>
  <conditionalFormatting sqref="C83">
    <cfRule type="cellIs" dxfId="1534" priority="3" stopIfTrue="1" operator="lessThan">
      <formula>0</formula>
    </cfRule>
  </conditionalFormatting>
  <conditionalFormatting sqref="C86:C89">
    <cfRule type="cellIs" dxfId="1533" priority="2" stopIfTrue="1" operator="lessThan">
      <formula>0</formula>
    </cfRule>
  </conditionalFormatting>
  <conditionalFormatting sqref="C94">
    <cfRule type="cellIs" dxfId="1532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43076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4486024</v>
      </c>
      <c r="D7" s="67">
        <f>+IF(C7/$F$120=0,"",C7/$F$120)</f>
        <v>7.465160352916546E-5</v>
      </c>
      <c r="E7" s="68"/>
      <c r="F7" s="199" t="s">
        <v>5</v>
      </c>
      <c r="G7" s="66">
        <v>709414</v>
      </c>
      <c r="H7" s="200">
        <f>+IF(G7/$C$122=0,"",G7/$C$122)</f>
        <v>1.0134243187368751E-4</v>
      </c>
      <c r="I7" s="70"/>
    </row>
    <row r="8" spans="1:9" x14ac:dyDescent="0.2">
      <c r="B8" s="199" t="s">
        <v>6</v>
      </c>
      <c r="C8" s="66">
        <v>533387</v>
      </c>
      <c r="D8" s="67">
        <f>+IF(C8/$F$120=0,"",C8/$F$120)</f>
        <v>8.876054798550115E-6</v>
      </c>
      <c r="E8" s="68"/>
      <c r="F8" s="199" t="s">
        <v>6</v>
      </c>
      <c r="G8" s="66">
        <v>231723</v>
      </c>
      <c r="H8" s="200">
        <f>+IF(G8/$C$122=0,"",G8/$C$122)</f>
        <v>3.3102493524326403E-5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5421</v>
      </c>
      <c r="H11" s="200">
        <f t="shared" si="0"/>
        <v>7.7441003869004549E-7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-9699948</v>
      </c>
      <c r="H14" s="200">
        <f t="shared" si="0"/>
        <v>-1.3856736959917781E-3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-83395</v>
      </c>
      <c r="D18" s="67">
        <f>+IF(C18/$F$120=0,"",C18/$F$120)</f>
        <v>-1.3877702117319823E-6</v>
      </c>
      <c r="E18" s="75"/>
      <c r="F18" s="199" t="s">
        <v>16</v>
      </c>
      <c r="G18" s="72">
        <v>-27687</v>
      </c>
      <c r="H18" s="200">
        <f t="shared" si="0"/>
        <v>-3.955191060913354E-6</v>
      </c>
    </row>
    <row r="19" spans="2:9" s="80" customFormat="1" x14ac:dyDescent="0.2">
      <c r="B19" s="201" t="s">
        <v>17</v>
      </c>
      <c r="C19" s="77">
        <f>SUM(C7:C18)</f>
        <v>4936016</v>
      </c>
      <c r="D19" s="78">
        <f>SUM(D7:D18)</f>
        <v>8.2139888115983595E-5</v>
      </c>
      <c r="E19" s="79"/>
      <c r="F19" s="201" t="s">
        <v>17</v>
      </c>
      <c r="G19" s="77">
        <f>SUM(G7:G18)</f>
        <v>-8781077</v>
      </c>
      <c r="H19" s="78">
        <f>SUM(H7:H18)</f>
        <v>-1.2544095516159874E-3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2374.8101000000001</v>
      </c>
      <c r="D22" s="200">
        <f>+IF(C22/$F$121=0,"",C22/$F$121)</f>
        <v>6.3644098958971567E-5</v>
      </c>
      <c r="E22" s="75"/>
      <c r="F22" s="199" t="s">
        <v>5</v>
      </c>
      <c r="G22" s="66">
        <v>1797198</v>
      </c>
      <c r="H22" s="200">
        <f t="shared" ref="H22:H33" si="2">+IF(G22/$C$115=0,"",G22/$C$115)</f>
        <v>7.9651776546900351E-5</v>
      </c>
      <c r="I22" s="114"/>
    </row>
    <row r="23" spans="2:9" x14ac:dyDescent="0.2">
      <c r="B23" s="199" t="s">
        <v>44</v>
      </c>
      <c r="C23" s="71">
        <v>-54141.883300000001</v>
      </c>
      <c r="D23" s="200">
        <f>+IF(C23/$F$121=0,"",C23/$F$121)</f>
        <v>-1.4509839664949588E-3</v>
      </c>
      <c r="E23" s="75"/>
      <c r="F23" s="199" t="s">
        <v>6</v>
      </c>
      <c r="G23" s="66">
        <v>1319168</v>
      </c>
      <c r="H23" s="200">
        <f t="shared" si="2"/>
        <v>5.8465497270652115E-5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11419.346519331502</v>
      </c>
      <c r="D26" s="200">
        <f>+IF(C26/$F$121=0,"",C26/$F$121)</f>
        <v>3.0603458353285664E-4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42135.722919321386</v>
      </c>
      <c r="D27" s="200">
        <f t="shared" ref="D27:D33" si="3">+IF(C27/$F$121=0,"",C27/$F$121)</f>
        <v>1.1292229720536798E-3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-4240759</v>
      </c>
      <c r="H29" s="200">
        <f t="shared" si="2"/>
        <v>-1.8795034729465345E-4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/>
      <c r="D31" s="200" t="str">
        <f t="shared" si="3"/>
        <v/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-204.46</v>
      </c>
      <c r="D33" s="200">
        <f t="shared" si="3"/>
        <v>-5.47945811463044E-6</v>
      </c>
      <c r="E33" s="75"/>
      <c r="F33" s="199" t="s">
        <v>16</v>
      </c>
      <c r="G33" s="72">
        <v>-69866</v>
      </c>
      <c r="H33" s="200">
        <f t="shared" si="2"/>
        <v>-3.0964596111423113E-6</v>
      </c>
    </row>
    <row r="34" spans="1:13" s="80" customFormat="1" x14ac:dyDescent="0.2">
      <c r="B34" s="201" t="s">
        <v>17</v>
      </c>
      <c r="C34" s="203">
        <v>1583.5362386528932</v>
      </c>
      <c r="D34" s="78">
        <f>SUM(D22:D33)</f>
        <v>4.2438229935918575E-5</v>
      </c>
      <c r="E34" s="79"/>
      <c r="F34" s="201" t="s">
        <v>17</v>
      </c>
      <c r="G34" s="203">
        <f>SUM(G22:G33)</f>
        <v>-1194259</v>
      </c>
      <c r="H34" s="78">
        <f>SUM(H22:H33)</f>
        <v>-5.2929533088243282E-5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4320661</v>
      </c>
      <c r="D37" s="200">
        <f t="shared" ref="D37:D48" si="4">+IF(C37/$C$123=0,"",C37/$C$123)</f>
        <v>5.7957732308706399E-5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6817357</v>
      </c>
      <c r="D38" s="200">
        <f t="shared" si="4"/>
        <v>9.1448635303460673E-5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3238940</v>
      </c>
      <c r="H39" s="200">
        <f t="shared" si="5"/>
        <v>7.3047017490855454E-4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-61686857</v>
      </c>
      <c r="D44" s="200">
        <f t="shared" si="4"/>
        <v>-8.2747300585985601E-4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-16119140</v>
      </c>
      <c r="D45" s="200">
        <f t="shared" si="4"/>
        <v>-2.1622358272647673E-4</v>
      </c>
      <c r="E45" s="68"/>
      <c r="F45" s="199" t="s">
        <v>13</v>
      </c>
      <c r="G45" s="72">
        <v>-5881004</v>
      </c>
      <c r="H45" s="200">
        <f t="shared" si="5"/>
        <v>-1.3263283730226274E-3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-859613</v>
      </c>
      <c r="D47" s="200">
        <f t="shared" si="4"/>
        <v>-1.1530925509565326E-5</v>
      </c>
      <c r="E47" s="68"/>
      <c r="F47" s="199" t="s">
        <v>15</v>
      </c>
      <c r="G47" s="72">
        <v>-146326</v>
      </c>
      <c r="H47" s="200">
        <f t="shared" si="5"/>
        <v>-3.300054302138019E-5</v>
      </c>
    </row>
    <row r="48" spans="1:13" x14ac:dyDescent="0.2">
      <c r="B48" s="199" t="s">
        <v>16</v>
      </c>
      <c r="C48" s="72">
        <v>-225858</v>
      </c>
      <c r="D48" s="200">
        <f t="shared" si="4"/>
        <v>-3.0296793716933149E-6</v>
      </c>
      <c r="E48" s="68"/>
      <c r="F48" s="199" t="s">
        <v>16</v>
      </c>
      <c r="G48" s="72">
        <v>-25830</v>
      </c>
      <c r="H48" s="200">
        <f t="shared" si="5"/>
        <v>-5.8253763940943534E-6</v>
      </c>
    </row>
    <row r="49" spans="2:10" s="80" customFormat="1" x14ac:dyDescent="0.2">
      <c r="B49" s="201" t="s">
        <v>17</v>
      </c>
      <c r="C49" s="77">
        <f>SUM(C37:C48)</f>
        <v>-67753450</v>
      </c>
      <c r="D49" s="78">
        <f>SUM(D37:D48)</f>
        <v>-9.088508258554243E-4</v>
      </c>
      <c r="E49" s="79"/>
      <c r="F49" s="201" t="s">
        <v>17</v>
      </c>
      <c r="G49" s="77">
        <f>SUM(G37:G48)</f>
        <v>-2814220</v>
      </c>
      <c r="H49" s="78">
        <f>SUM(H37:H48)</f>
        <v>-6.3468411752954745E-4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15731.840099999999</v>
      </c>
      <c r="H53" s="200">
        <f t="shared" ref="H53:H64" si="7">+IF(G53/$C$124=0,"",G53/$C$124)</f>
        <v>1.2821742589076839E-4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3961376</v>
      </c>
      <c r="D55" s="200">
        <f t="shared" si="6"/>
        <v>2.0330317278740133E-4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-78756.512300000002</v>
      </c>
      <c r="H60" s="200">
        <f t="shared" si="7"/>
        <v>-6.4188023874210622E-4</v>
      </c>
    </row>
    <row r="61" spans="2:10" x14ac:dyDescent="0.2">
      <c r="B61" s="199" t="s">
        <v>13</v>
      </c>
      <c r="C61" s="72">
        <v>-26792233</v>
      </c>
      <c r="D61" s="200">
        <f t="shared" si="6"/>
        <v>-1.3750136253057816E-3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-9081226</v>
      </c>
      <c r="D63" s="200">
        <f t="shared" si="6"/>
        <v>-4.6606079771257294E-4</v>
      </c>
      <c r="E63" s="68"/>
      <c r="F63" s="199" t="s">
        <v>15</v>
      </c>
      <c r="G63" s="92">
        <v>307.56</v>
      </c>
      <c r="H63" s="200">
        <f t="shared" si="7"/>
        <v>2.5066712639015909E-6</v>
      </c>
    </row>
    <row r="64" spans="2:10" x14ac:dyDescent="0.2">
      <c r="B64" s="199" t="s">
        <v>16</v>
      </c>
      <c r="C64" s="72">
        <v>-160151</v>
      </c>
      <c r="D64" s="200">
        <f t="shared" si="6"/>
        <v>-8.2191658719281147E-6</v>
      </c>
      <c r="E64" s="68"/>
      <c r="F64" s="199" t="s">
        <v>16</v>
      </c>
      <c r="G64" s="92">
        <v>-103.05</v>
      </c>
      <c r="H64" s="200">
        <f t="shared" si="7"/>
        <v>-8.3987668664669962E-7</v>
      </c>
    </row>
    <row r="65" spans="2:8" s="80" customFormat="1" x14ac:dyDescent="0.2">
      <c r="B65" s="201" t="s">
        <v>17</v>
      </c>
      <c r="C65" s="77">
        <f>SUM(C53:C64)</f>
        <v>-32072234</v>
      </c>
      <c r="D65" s="78">
        <f>SUM(D53:D64)</f>
        <v>-1.6459904161028813E-3</v>
      </c>
      <c r="E65" s="79"/>
      <c r="F65" s="201" t="s">
        <v>17</v>
      </c>
      <c r="G65" s="203">
        <f>SUM(G53:G64)</f>
        <v>-62820.162200000006</v>
      </c>
      <c r="H65" s="78">
        <f>SUM(H53:H64)</f>
        <v>-5.119960182740829E-4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>
        <v>1264291.73</v>
      </c>
      <c r="H70" s="200">
        <f t="shared" si="9"/>
        <v>1.7573096477289203E-4</v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753943</v>
      </c>
      <c r="D72" s="200">
        <f t="shared" si="8"/>
        <v>5.6148070898989653E-5</v>
      </c>
      <c r="E72" s="68"/>
      <c r="F72" s="199" t="s">
        <v>9</v>
      </c>
      <c r="G72" s="66">
        <v>634488</v>
      </c>
      <c r="H72" s="200">
        <f t="shared" si="9"/>
        <v>8.8191028803789387E-5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36229186</v>
      </c>
      <c r="D76" s="200">
        <f t="shared" si="8"/>
        <v>2.6980804969880794E-3</v>
      </c>
      <c r="E76" s="68"/>
      <c r="F76" s="199" t="s">
        <v>13</v>
      </c>
      <c r="G76" s="72">
        <v>3414044</v>
      </c>
      <c r="H76" s="200">
        <f t="shared" si="9"/>
        <v>4.7453703260172663E-4</v>
      </c>
    </row>
    <row r="77" spans="2:8" x14ac:dyDescent="0.2">
      <c r="B77" s="199" t="s">
        <v>14</v>
      </c>
      <c r="C77" s="66">
        <v>28767170</v>
      </c>
      <c r="D77" s="200">
        <f t="shared" si="8"/>
        <v>2.1423650073325016E-3</v>
      </c>
      <c r="E77" s="68"/>
      <c r="F77" s="199" t="s">
        <v>14</v>
      </c>
      <c r="G77" s="66">
        <v>16075900</v>
      </c>
      <c r="H77" s="200">
        <f t="shared" si="9"/>
        <v>2.2344790759586276E-3</v>
      </c>
    </row>
    <row r="78" spans="2:8" x14ac:dyDescent="0.2">
      <c r="B78" s="199" t="s">
        <v>15</v>
      </c>
      <c r="C78" s="72">
        <v>-275259</v>
      </c>
      <c r="D78" s="200">
        <f t="shared" si="8"/>
        <v>-2.0499244435700039E-5</v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-21163</v>
      </c>
      <c r="D79" s="200">
        <f t="shared" si="8"/>
        <v>-1.5760629443277781E-6</v>
      </c>
      <c r="E79" s="68"/>
      <c r="F79" s="199" t="s">
        <v>16</v>
      </c>
      <c r="G79" s="72">
        <v>-16082</v>
      </c>
      <c r="H79" s="200">
        <f t="shared" si="9"/>
        <v>-2.2353269490085561E-6</v>
      </c>
    </row>
    <row r="80" spans="2:8" s="80" customFormat="1" x14ac:dyDescent="0.2">
      <c r="B80" s="201" t="s">
        <v>17</v>
      </c>
      <c r="C80" s="77">
        <f>SUM(C68:C79)</f>
        <v>65453877</v>
      </c>
      <c r="D80" s="78">
        <f>SUM(D68:D79)</f>
        <v>4.8745182678395435E-3</v>
      </c>
      <c r="E80" s="79"/>
      <c r="F80" s="201" t="s">
        <v>17</v>
      </c>
      <c r="G80" s="77">
        <f>SUM(G68:G79)</f>
        <v>21372641.73</v>
      </c>
      <c r="H80" s="78">
        <f>SUM(H68:H79)</f>
        <v>2.970702775188027E-3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4135.8499999999995</v>
      </c>
      <c r="D87" s="200">
        <f t="shared" si="10"/>
        <v>3.8918022496623361E-4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37936.780500000001</v>
      </c>
      <c r="D90" s="200">
        <f t="shared" si="10"/>
        <v>3.5698211418413693E-3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-15359.510200000001</v>
      </c>
      <c r="D92" s="200">
        <f t="shared" si="10"/>
        <v>-1.4453178028717582E-3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26713.120299999999</v>
      </c>
      <c r="D95" s="209">
        <f>SUM(D83:D94)</f>
        <v>2.5136835639358443E-3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22563187889.999901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19485067280.000099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13427763197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4434048249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7194473277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58620415225</v>
      </c>
      <c r="D120" s="193">
        <v>1472386375</v>
      </c>
      <c r="F120" s="204">
        <f>+C120+D120</f>
        <v>60092801600</v>
      </c>
      <c r="G120" s="197"/>
      <c r="H120" s="197"/>
    </row>
    <row r="121" spans="1:13" x14ac:dyDescent="0.2">
      <c r="B121" s="189" t="s">
        <v>18</v>
      </c>
      <c r="C121" s="192">
        <v>37313908.733799994</v>
      </c>
      <c r="D121" s="193"/>
      <c r="F121" s="204">
        <f>+C121+D121</f>
        <v>37313908.733799994</v>
      </c>
      <c r="H121" s="75"/>
    </row>
    <row r="122" spans="1:13" x14ac:dyDescent="0.2">
      <c r="B122" s="189" t="s">
        <v>4</v>
      </c>
      <c r="C122" s="190">
        <v>7000167520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74548482625</v>
      </c>
      <c r="D123" s="205"/>
      <c r="F123" s="204"/>
      <c r="H123" s="75"/>
    </row>
    <row r="124" spans="1:13" x14ac:dyDescent="0.2">
      <c r="B124" s="189" t="s">
        <v>25</v>
      </c>
      <c r="C124" s="192">
        <v>122696583.48469999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10627081.5799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531" priority="48" stopIfTrue="1" operator="lessThan">
      <formula>0</formula>
    </cfRule>
  </conditionalFormatting>
  <conditionalFormatting sqref="C7:C9">
    <cfRule type="cellIs" dxfId="1530" priority="47" stopIfTrue="1" operator="lessThan">
      <formula>0</formula>
    </cfRule>
  </conditionalFormatting>
  <conditionalFormatting sqref="C10:C13">
    <cfRule type="cellIs" dxfId="1529" priority="45" stopIfTrue="1" operator="lessThan">
      <formula>0</formula>
    </cfRule>
  </conditionalFormatting>
  <conditionalFormatting sqref="C104">
    <cfRule type="cellIs" dxfId="1528" priority="44" stopIfTrue="1" operator="lessThan">
      <formula>0</formula>
    </cfRule>
  </conditionalFormatting>
  <conditionalFormatting sqref="C7">
    <cfRule type="cellIs" dxfId="1527" priority="46" stopIfTrue="1" operator="lessThan">
      <formula>0</formula>
    </cfRule>
  </conditionalFormatting>
  <conditionalFormatting sqref="C29:C33">
    <cfRule type="cellIs" dxfId="1526" priority="39" stopIfTrue="1" operator="lessThan">
      <formula>0</formula>
    </cfRule>
  </conditionalFormatting>
  <conditionalFormatting sqref="G7:G9">
    <cfRule type="cellIs" dxfId="1525" priority="42" stopIfTrue="1" operator="lessThan">
      <formula>0</formula>
    </cfRule>
  </conditionalFormatting>
  <conditionalFormatting sqref="C22">
    <cfRule type="cellIs" dxfId="1524" priority="37" stopIfTrue="1" operator="lessThan">
      <formula>0</formula>
    </cfRule>
  </conditionalFormatting>
  <conditionalFormatting sqref="C25:C28">
    <cfRule type="cellIs" dxfId="1523" priority="36" stopIfTrue="1" operator="lessThan">
      <formula>0</formula>
    </cfRule>
  </conditionalFormatting>
  <conditionalFormatting sqref="G14:G18">
    <cfRule type="cellIs" dxfId="1522" priority="43" stopIfTrue="1" operator="lessThan">
      <formula>0</formula>
    </cfRule>
  </conditionalFormatting>
  <conditionalFormatting sqref="G7">
    <cfRule type="cellIs" dxfId="1521" priority="41" stopIfTrue="1" operator="lessThan">
      <formula>0</formula>
    </cfRule>
  </conditionalFormatting>
  <conditionalFormatting sqref="G10:G13">
    <cfRule type="cellIs" dxfId="1520" priority="40" stopIfTrue="1" operator="lessThan">
      <formula>0</formula>
    </cfRule>
  </conditionalFormatting>
  <conditionalFormatting sqref="C22:C24">
    <cfRule type="cellIs" dxfId="1519" priority="38" stopIfTrue="1" operator="lessThan">
      <formula>0</formula>
    </cfRule>
  </conditionalFormatting>
  <conditionalFormatting sqref="G22">
    <cfRule type="cellIs" dxfId="1518" priority="33" stopIfTrue="1" operator="lessThan">
      <formula>0</formula>
    </cfRule>
  </conditionalFormatting>
  <conditionalFormatting sqref="G29:G33">
    <cfRule type="cellIs" dxfId="1517" priority="35" stopIfTrue="1" operator="lessThan">
      <formula>0</formula>
    </cfRule>
  </conditionalFormatting>
  <conditionalFormatting sqref="G22:G24">
    <cfRule type="cellIs" dxfId="1516" priority="34" stopIfTrue="1" operator="lessThan">
      <formula>0</formula>
    </cfRule>
  </conditionalFormatting>
  <conditionalFormatting sqref="G25:G28">
    <cfRule type="cellIs" dxfId="1515" priority="32" stopIfTrue="1" operator="lessThan">
      <formula>0</formula>
    </cfRule>
  </conditionalFormatting>
  <conditionalFormatting sqref="C40:C43">
    <cfRule type="cellIs" dxfId="1514" priority="28" stopIfTrue="1" operator="lessThan">
      <formula>0</formula>
    </cfRule>
  </conditionalFormatting>
  <conditionalFormatting sqref="G44:G48">
    <cfRule type="cellIs" dxfId="1513" priority="27" stopIfTrue="1" operator="lessThan">
      <formula>0</formula>
    </cfRule>
  </conditionalFormatting>
  <conditionalFormatting sqref="G37">
    <cfRule type="cellIs" dxfId="1512" priority="25" stopIfTrue="1" operator="lessThan">
      <formula>0</formula>
    </cfRule>
  </conditionalFormatting>
  <conditionalFormatting sqref="C44:C48">
    <cfRule type="cellIs" dxfId="1511" priority="31" stopIfTrue="1" operator="lessThan">
      <formula>0</formula>
    </cfRule>
  </conditionalFormatting>
  <conditionalFormatting sqref="C37:C39">
    <cfRule type="cellIs" dxfId="1510" priority="30" stopIfTrue="1" operator="lessThan">
      <formula>0</formula>
    </cfRule>
  </conditionalFormatting>
  <conditionalFormatting sqref="C37">
    <cfRule type="cellIs" dxfId="1509" priority="29" stopIfTrue="1" operator="lessThan">
      <formula>0</formula>
    </cfRule>
  </conditionalFormatting>
  <conditionalFormatting sqref="C56:C59">
    <cfRule type="cellIs" dxfId="1508" priority="20" stopIfTrue="1" operator="lessThan">
      <formula>0</formula>
    </cfRule>
  </conditionalFormatting>
  <conditionalFormatting sqref="G60:G63">
    <cfRule type="cellIs" dxfId="1507" priority="19" stopIfTrue="1" operator="lessThan">
      <formula>0</formula>
    </cfRule>
  </conditionalFormatting>
  <conditionalFormatting sqref="G37:G39">
    <cfRule type="cellIs" dxfId="1506" priority="26" stopIfTrue="1" operator="lessThan">
      <formula>0</formula>
    </cfRule>
  </conditionalFormatting>
  <conditionalFormatting sqref="G53">
    <cfRule type="cellIs" dxfId="1505" priority="17" stopIfTrue="1" operator="lessThan">
      <formula>0</formula>
    </cfRule>
  </conditionalFormatting>
  <conditionalFormatting sqref="G40:G43">
    <cfRule type="cellIs" dxfId="1504" priority="24" stopIfTrue="1" operator="lessThan">
      <formula>0</formula>
    </cfRule>
  </conditionalFormatting>
  <conditionalFormatting sqref="C60:C64">
    <cfRule type="cellIs" dxfId="1503" priority="23" stopIfTrue="1" operator="lessThan">
      <formula>0</formula>
    </cfRule>
  </conditionalFormatting>
  <conditionalFormatting sqref="C53:C55">
    <cfRule type="cellIs" dxfId="1502" priority="22" stopIfTrue="1" operator="lessThan">
      <formula>0</formula>
    </cfRule>
  </conditionalFormatting>
  <conditionalFormatting sqref="C53">
    <cfRule type="cellIs" dxfId="1501" priority="21" stopIfTrue="1" operator="lessThan">
      <formula>0</formula>
    </cfRule>
  </conditionalFormatting>
  <conditionalFormatting sqref="G53:G55">
    <cfRule type="cellIs" dxfId="1500" priority="18" stopIfTrue="1" operator="lessThan">
      <formula>0</formula>
    </cfRule>
  </conditionalFormatting>
  <conditionalFormatting sqref="G56:G59">
    <cfRule type="cellIs" dxfId="1499" priority="16" stopIfTrue="1" operator="lessThan">
      <formula>0</formula>
    </cfRule>
  </conditionalFormatting>
  <conditionalFormatting sqref="C75:C78">
    <cfRule type="cellIs" dxfId="1498" priority="15" stopIfTrue="1" operator="lessThan">
      <formula>0</formula>
    </cfRule>
  </conditionalFormatting>
  <conditionalFormatting sqref="C68:C70">
    <cfRule type="cellIs" dxfId="1497" priority="14" stopIfTrue="1" operator="lessThan">
      <formula>0</formula>
    </cfRule>
  </conditionalFormatting>
  <conditionalFormatting sqref="C68">
    <cfRule type="cellIs" dxfId="1496" priority="13" stopIfTrue="1" operator="lessThan">
      <formula>0</formula>
    </cfRule>
  </conditionalFormatting>
  <conditionalFormatting sqref="C71:C74">
    <cfRule type="cellIs" dxfId="1495" priority="12" stopIfTrue="1" operator="lessThan">
      <formula>0</formula>
    </cfRule>
  </conditionalFormatting>
  <conditionalFormatting sqref="G75:G79">
    <cfRule type="cellIs" dxfId="1494" priority="11" stopIfTrue="1" operator="lessThan">
      <formula>0</formula>
    </cfRule>
  </conditionalFormatting>
  <conditionalFormatting sqref="G68:G70">
    <cfRule type="cellIs" dxfId="1493" priority="10" stopIfTrue="1" operator="lessThan">
      <formula>0</formula>
    </cfRule>
  </conditionalFormatting>
  <conditionalFormatting sqref="G68">
    <cfRule type="cellIs" dxfId="1492" priority="9" stopIfTrue="1" operator="lessThan">
      <formula>0</formula>
    </cfRule>
  </conditionalFormatting>
  <conditionalFormatting sqref="G71:G74">
    <cfRule type="cellIs" dxfId="1491" priority="8" stopIfTrue="1" operator="lessThan">
      <formula>0</formula>
    </cfRule>
  </conditionalFormatting>
  <conditionalFormatting sqref="G64">
    <cfRule type="cellIs" dxfId="1490" priority="7" stopIfTrue="1" operator="lessThan">
      <formula>0</formula>
    </cfRule>
  </conditionalFormatting>
  <conditionalFormatting sqref="C79">
    <cfRule type="cellIs" dxfId="1489" priority="6" stopIfTrue="1" operator="lessThan">
      <formula>0</formula>
    </cfRule>
  </conditionalFormatting>
  <conditionalFormatting sqref="C90:C93">
    <cfRule type="cellIs" dxfId="1488" priority="5" stopIfTrue="1" operator="lessThan">
      <formula>0</formula>
    </cfRule>
  </conditionalFormatting>
  <conditionalFormatting sqref="C83:C85">
    <cfRule type="cellIs" dxfId="1487" priority="4" stopIfTrue="1" operator="lessThan">
      <formula>0</formula>
    </cfRule>
  </conditionalFormatting>
  <conditionalFormatting sqref="C83">
    <cfRule type="cellIs" dxfId="1486" priority="3" stopIfTrue="1" operator="lessThan">
      <formula>0</formula>
    </cfRule>
  </conditionalFormatting>
  <conditionalFormatting sqref="C86:C89">
    <cfRule type="cellIs" dxfId="1485" priority="2" stopIfTrue="1" operator="lessThan">
      <formula>0</formula>
    </cfRule>
  </conditionalFormatting>
  <conditionalFormatting sqref="C94">
    <cfRule type="cellIs" dxfId="1484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43080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4435220</v>
      </c>
      <c r="D7" s="67">
        <f>+IF(C7/$F$120=0,"",C7/$F$120)</f>
        <v>7.4603523657003112E-5</v>
      </c>
      <c r="E7" s="68"/>
      <c r="F7" s="199" t="s">
        <v>5</v>
      </c>
      <c r="G7" s="66">
        <v>343753</v>
      </c>
      <c r="H7" s="200">
        <f>+IF(G7/$C$122=0,"",G7/$C$122)</f>
        <v>4.9154219977075012E-5</v>
      </c>
      <c r="I7" s="70"/>
    </row>
    <row r="8" spans="1:9" x14ac:dyDescent="0.2">
      <c r="B8" s="199" t="s">
        <v>6</v>
      </c>
      <c r="C8" s="66">
        <v>85889</v>
      </c>
      <c r="D8" s="67">
        <f>+IF(C8/$F$120=0,"",C8/$F$120)</f>
        <v>1.4447134625512016E-6</v>
      </c>
      <c r="E8" s="68"/>
      <c r="F8" s="199" t="s">
        <v>6</v>
      </c>
      <c r="G8" s="66">
        <v>37706</v>
      </c>
      <c r="H8" s="200">
        <f>+IF(G8/$C$122=0,"",G8/$C$122)</f>
        <v>5.3916882716822561E-6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4181</v>
      </c>
      <c r="H11" s="200">
        <f t="shared" si="0"/>
        <v>5.978530913887316E-7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-2936462</v>
      </c>
      <c r="H14" s="200">
        <f t="shared" si="0"/>
        <v>-4.198930601400472E-4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>
        <v>7308</v>
      </c>
      <c r="D17" s="67">
        <f>+IF(C17/$F$120=0,"",C17/$F$120)</f>
        <v>1.2292570625253736E-7</v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-113079</v>
      </c>
      <c r="D18" s="67">
        <f>+IF(C18/$F$120=0,"",C18/$F$120)</f>
        <v>-1.9020684095964247E-6</v>
      </c>
      <c r="E18" s="75"/>
      <c r="F18" s="199" t="s">
        <v>16</v>
      </c>
      <c r="G18" s="72">
        <v>-26132</v>
      </c>
      <c r="H18" s="200">
        <f t="shared" si="0"/>
        <v>-3.7366890658144783E-6</v>
      </c>
    </row>
    <row r="19" spans="2:9" s="80" customFormat="1" x14ac:dyDescent="0.2">
      <c r="B19" s="201" t="s">
        <v>17</v>
      </c>
      <c r="C19" s="77">
        <f>SUM(C7:C18)</f>
        <v>4415338</v>
      </c>
      <c r="D19" s="78">
        <f>SUM(D7:D18)</f>
        <v>7.4269094416210422E-5</v>
      </c>
      <c r="E19" s="79"/>
      <c r="F19" s="201" t="s">
        <v>17</v>
      </c>
      <c r="G19" s="77">
        <f>SUM(G7:G18)</f>
        <v>-2576954</v>
      </c>
      <c r="H19" s="78">
        <f>SUM(H7:H18)</f>
        <v>-3.6848598786571571E-4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2488.9061999999999</v>
      </c>
      <c r="D22" s="200">
        <f>+IF(C22/$F$121=0,"",C22/$F$121)</f>
        <v>6.6164390737719319E-5</v>
      </c>
      <c r="E22" s="75"/>
      <c r="F22" s="199" t="s">
        <v>5</v>
      </c>
      <c r="G22" s="66">
        <v>1615906</v>
      </c>
      <c r="H22" s="200">
        <f t="shared" ref="H22:H33" si="2">+IF(G22/$C$115=0,"",G22/$C$115)</f>
        <v>7.1720302002332075E-5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214901</v>
      </c>
      <c r="H23" s="200">
        <f t="shared" si="2"/>
        <v>9.5381566877053274E-6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3295.6799396246302</v>
      </c>
      <c r="D26" s="200">
        <f>+IF(C26/$F$121=0,"",C26/$F$121)</f>
        <v>8.7611439624276421E-5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7268.6397407402983</v>
      </c>
      <c r="D27" s="200">
        <f t="shared" ref="D27:D33" si="3">+IF(C27/$F$121=0,"",C27/$F$121)</f>
        <v>1.9322749886599021E-4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>
        <v>-400</v>
      </c>
      <c r="D28" s="200">
        <f t="shared" si="3"/>
        <v>-1.0633488837420924E-5</v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-1853449</v>
      </c>
      <c r="H29" s="200">
        <f t="shared" si="2"/>
        <v>-8.2263400238578467E-5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-10895.5574</v>
      </c>
      <c r="D31" s="200">
        <f t="shared" si="3"/>
        <v>-2.8964446997594735E-4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-206.12</v>
      </c>
      <c r="D33" s="200">
        <f t="shared" si="3"/>
        <v>-5.4794367979230025E-6</v>
      </c>
      <c r="E33" s="75"/>
      <c r="F33" s="199" t="s">
        <v>16</v>
      </c>
      <c r="G33" s="72">
        <v>-30490</v>
      </c>
      <c r="H33" s="200">
        <f t="shared" si="2"/>
        <v>-1.3532668410483685E-6</v>
      </c>
    </row>
    <row r="34" spans="1:13" s="80" customFormat="1" x14ac:dyDescent="0.2">
      <c r="B34" s="201" t="s">
        <v>17</v>
      </c>
      <c r="C34" s="203">
        <v>1583.5362386528932</v>
      </c>
      <c r="D34" s="78">
        <f>SUM(D22:D33)</f>
        <v>4.1245933616694658E-5</v>
      </c>
      <c r="E34" s="79"/>
      <c r="F34" s="201" t="s">
        <v>17</v>
      </c>
      <c r="G34" s="203">
        <f>SUM(G22:G33)</f>
        <v>-53132</v>
      </c>
      <c r="H34" s="78">
        <f>SUM(H22:H33)</f>
        <v>-2.3582083895894261E-6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4807687</v>
      </c>
      <c r="D37" s="200">
        <f t="shared" ref="D37:D48" si="4">+IF(C37/$C$123=0,"",C37/$C$123)</f>
        <v>6.4896966630739682E-5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1109493</v>
      </c>
      <c r="D38" s="200">
        <f t="shared" si="4"/>
        <v>1.497658441534136E-5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>
        <v>6723</v>
      </c>
      <c r="H43" s="200">
        <f t="shared" si="5"/>
        <v>1.5194105291746988E-6</v>
      </c>
    </row>
    <row r="44" spans="1:13" x14ac:dyDescent="0.2">
      <c r="B44" s="199" t="s">
        <v>12</v>
      </c>
      <c r="C44" s="72">
        <v>-80723423</v>
      </c>
      <c r="D44" s="200">
        <f t="shared" si="4"/>
        <v>-1.0896519030357183E-3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-39992218</v>
      </c>
      <c r="D45" s="200">
        <f t="shared" si="4"/>
        <v>-5.3983831248483245E-4</v>
      </c>
      <c r="E45" s="68"/>
      <c r="F45" s="199" t="s">
        <v>13</v>
      </c>
      <c r="G45" s="72">
        <v>87973183</v>
      </c>
      <c r="H45" s="200">
        <f t="shared" si="5"/>
        <v>1.9882103307334913E-2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-121486</v>
      </c>
      <c r="D47" s="200">
        <f t="shared" si="4"/>
        <v>-1.6398889711626486E-6</v>
      </c>
      <c r="E47" s="68"/>
      <c r="F47" s="199" t="s">
        <v>15</v>
      </c>
      <c r="G47" s="72">
        <v>88716</v>
      </c>
      <c r="H47" s="200">
        <f t="shared" si="5"/>
        <v>2.0049981333669877E-5</v>
      </c>
    </row>
    <row r="48" spans="1:13" x14ac:dyDescent="0.2">
      <c r="B48" s="199" t="s">
        <v>16</v>
      </c>
      <c r="C48" s="72">
        <v>-122642</v>
      </c>
      <c r="D48" s="200">
        <f t="shared" si="4"/>
        <v>-1.6554933342222935E-6</v>
      </c>
      <c r="E48" s="68"/>
      <c r="F48" s="199" t="s">
        <v>16</v>
      </c>
      <c r="G48" s="72">
        <v>-16032</v>
      </c>
      <c r="H48" s="200">
        <f t="shared" si="5"/>
        <v>-3.6232618776928113E-6</v>
      </c>
    </row>
    <row r="49" spans="2:10" s="80" customFormat="1" x14ac:dyDescent="0.2">
      <c r="B49" s="201" t="s">
        <v>17</v>
      </c>
      <c r="C49" s="77">
        <f>SUM(C37:C48)</f>
        <v>-115042589</v>
      </c>
      <c r="D49" s="78">
        <f>SUM(D37:D48)</f>
        <v>-1.5529120467798548E-3</v>
      </c>
      <c r="E49" s="79"/>
      <c r="F49" s="201" t="s">
        <v>17</v>
      </c>
      <c r="G49" s="77">
        <f>SUM(G37:G48)</f>
        <v>88052590</v>
      </c>
      <c r="H49" s="78">
        <f>SUM(H37:H48)</f>
        <v>1.9900049437320062E-2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15916.506299999999</v>
      </c>
      <c r="H53" s="200">
        <f t="shared" ref="H53:H64" si="7">+IF(G53/$C$124=0,"",G53/$C$124)</f>
        <v>1.2974567256889921E-4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-52206.263899999998</v>
      </c>
      <c r="H60" s="200">
        <f t="shared" si="7"/>
        <v>-4.2556681060183061E-4</v>
      </c>
    </row>
    <row r="61" spans="2:10" x14ac:dyDescent="0.2">
      <c r="B61" s="199" t="s">
        <v>13</v>
      </c>
      <c r="C61" s="72">
        <v>415424174</v>
      </c>
      <c r="D61" s="200">
        <f t="shared" si="6"/>
        <v>2.1621678026753414E-2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-54455</v>
      </c>
      <c r="D64" s="200">
        <f t="shared" si="6"/>
        <v>-2.8342319745380468E-6</v>
      </c>
      <c r="E64" s="68"/>
      <c r="F64" s="199" t="s">
        <v>16</v>
      </c>
      <c r="G64" s="92">
        <v>-107.98</v>
      </c>
      <c r="H64" s="200">
        <f t="shared" si="7"/>
        <v>-8.8021437996036471E-7</v>
      </c>
    </row>
    <row r="65" spans="2:8" s="80" customFormat="1" x14ac:dyDescent="0.2">
      <c r="B65" s="201" t="s">
        <v>17</v>
      </c>
      <c r="C65" s="77">
        <f>SUM(C53:C64)</f>
        <v>415369719</v>
      </c>
      <c r="D65" s="78">
        <f>SUM(D53:D64)</f>
        <v>2.1618843794778877E-2</v>
      </c>
      <c r="E65" s="79"/>
      <c r="F65" s="201" t="s">
        <v>17</v>
      </c>
      <c r="G65" s="203">
        <f>SUM(G53:G64)</f>
        <v>-36397.7376</v>
      </c>
      <c r="H65" s="78">
        <f>SUM(H53:H64)</f>
        <v>-2.9670135241289175E-4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620190</v>
      </c>
      <c r="D72" s="200">
        <f t="shared" si="8"/>
        <v>4.5955734423071494E-5</v>
      </c>
      <c r="E72" s="68"/>
      <c r="F72" s="199" t="s">
        <v>9</v>
      </c>
      <c r="G72" s="66">
        <v>558547</v>
      </c>
      <c r="H72" s="200">
        <f t="shared" si="9"/>
        <v>7.7415960356592715E-5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114945120</v>
      </c>
      <c r="D76" s="200">
        <f t="shared" si="8"/>
        <v>8.5173695286091099E-3</v>
      </c>
      <c r="E76" s="68"/>
      <c r="F76" s="199" t="s">
        <v>13</v>
      </c>
      <c r="G76" s="72">
        <v>-7942631</v>
      </c>
      <c r="H76" s="200">
        <f t="shared" si="9"/>
        <v>-1.1008677991700686E-3</v>
      </c>
    </row>
    <row r="77" spans="2:8" x14ac:dyDescent="0.2">
      <c r="B77" s="199" t="s">
        <v>14</v>
      </c>
      <c r="C77" s="66">
        <v>5202159</v>
      </c>
      <c r="D77" s="200">
        <f t="shared" si="8"/>
        <v>3.8547709158579018E-4</v>
      </c>
      <c r="E77" s="68"/>
      <c r="F77" s="199" t="s">
        <v>14</v>
      </c>
      <c r="G77" s="66">
        <v>2822709</v>
      </c>
      <c r="H77" s="200">
        <f t="shared" si="9"/>
        <v>3.9123427042343339E-4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>
        <v>147435</v>
      </c>
      <c r="H78" s="200">
        <f t="shared" si="9"/>
        <v>2.0434846333744959E-5</v>
      </c>
    </row>
    <row r="79" spans="2:8" x14ac:dyDescent="0.2">
      <c r="B79" s="199" t="s">
        <v>16</v>
      </c>
      <c r="C79" s="72">
        <v>-21164</v>
      </c>
      <c r="D79" s="200">
        <f t="shared" si="8"/>
        <v>-1.5682406413032863E-6</v>
      </c>
      <c r="E79" s="68"/>
      <c r="F79" s="199" t="s">
        <v>16</v>
      </c>
      <c r="G79" s="72">
        <v>-16082</v>
      </c>
      <c r="H79" s="200">
        <f t="shared" si="9"/>
        <v>-2.2290039592992604E-6</v>
      </c>
    </row>
    <row r="80" spans="2:8" s="80" customFormat="1" x14ac:dyDescent="0.2">
      <c r="B80" s="201" t="s">
        <v>17</v>
      </c>
      <c r="C80" s="77">
        <f>SUM(C68:C79)</f>
        <v>120746305</v>
      </c>
      <c r="D80" s="78">
        <f>SUM(D68:D79)</f>
        <v>8.9472341139766685E-3</v>
      </c>
      <c r="E80" s="79"/>
      <c r="F80" s="201" t="s">
        <v>17</v>
      </c>
      <c r="G80" s="77">
        <f>SUM(G68:G79)</f>
        <v>-4430022</v>
      </c>
      <c r="H80" s="78">
        <f>SUM(H68:H79)</f>
        <v>-6.1401172601559663E-4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-1234.5628189800773</v>
      </c>
      <c r="D87" s="200">
        <f t="shared" si="10"/>
        <v>-9.1019364791582335E-5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16938.391500000002</v>
      </c>
      <c r="D90" s="200">
        <f t="shared" si="10"/>
        <v>1.2487996651274634E-3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29217.133900000001</v>
      </c>
      <c r="D92" s="200">
        <f t="shared" si="10"/>
        <v>2.1540620920412813E-3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44920.962581019921</v>
      </c>
      <c r="D95" s="209">
        <f>SUM(D83:D94)</f>
        <v>3.3118423923771626E-3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22530663632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19213317925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13495377841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4424742274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7214881756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59028165053</v>
      </c>
      <c r="D120" s="193">
        <v>422378066</v>
      </c>
      <c r="F120" s="204">
        <f>+C120+D120</f>
        <v>59450543119</v>
      </c>
      <c r="G120" s="197"/>
      <c r="H120" s="197"/>
    </row>
    <row r="121" spans="1:13" x14ac:dyDescent="0.2">
      <c r="B121" s="189" t="s">
        <v>18</v>
      </c>
      <c r="C121" s="192">
        <v>37616647.039999999</v>
      </c>
      <c r="D121" s="193">
        <v>357.7</v>
      </c>
      <c r="F121" s="204">
        <f>+C121+D121</f>
        <v>37617004.740000002</v>
      </c>
      <c r="H121" s="75"/>
    </row>
    <row r="122" spans="1:13" x14ac:dyDescent="0.2">
      <c r="B122" s="189" t="s">
        <v>4</v>
      </c>
      <c r="C122" s="190">
        <v>6993356830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74081844647</v>
      </c>
      <c r="D123" s="205"/>
      <c r="F123" s="204"/>
      <c r="H123" s="75"/>
    </row>
    <row r="124" spans="1:13" x14ac:dyDescent="0.2">
      <c r="B124" s="189" t="s">
        <v>25</v>
      </c>
      <c r="C124" s="192">
        <v>122674660.23999999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13563738.0222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483" priority="48" stopIfTrue="1" operator="lessThan">
      <formula>0</formula>
    </cfRule>
  </conditionalFormatting>
  <conditionalFormatting sqref="C7:C9">
    <cfRule type="cellIs" dxfId="1482" priority="47" stopIfTrue="1" operator="lessThan">
      <formula>0</formula>
    </cfRule>
  </conditionalFormatting>
  <conditionalFormatting sqref="C10:C13">
    <cfRule type="cellIs" dxfId="1481" priority="45" stopIfTrue="1" operator="lessThan">
      <formula>0</formula>
    </cfRule>
  </conditionalFormatting>
  <conditionalFormatting sqref="C104">
    <cfRule type="cellIs" dxfId="1480" priority="44" stopIfTrue="1" operator="lessThan">
      <formula>0</formula>
    </cfRule>
  </conditionalFormatting>
  <conditionalFormatting sqref="C7">
    <cfRule type="cellIs" dxfId="1479" priority="46" stopIfTrue="1" operator="lessThan">
      <formula>0</formula>
    </cfRule>
  </conditionalFormatting>
  <conditionalFormatting sqref="C29:C33">
    <cfRule type="cellIs" dxfId="1478" priority="39" stopIfTrue="1" operator="lessThan">
      <formula>0</formula>
    </cfRule>
  </conditionalFormatting>
  <conditionalFormatting sqref="G7:G9">
    <cfRule type="cellIs" dxfId="1477" priority="42" stopIfTrue="1" operator="lessThan">
      <formula>0</formula>
    </cfRule>
  </conditionalFormatting>
  <conditionalFormatting sqref="C22">
    <cfRule type="cellIs" dxfId="1476" priority="37" stopIfTrue="1" operator="lessThan">
      <formula>0</formula>
    </cfRule>
  </conditionalFormatting>
  <conditionalFormatting sqref="C25:C28">
    <cfRule type="cellIs" dxfId="1475" priority="36" stopIfTrue="1" operator="lessThan">
      <formula>0</formula>
    </cfRule>
  </conditionalFormatting>
  <conditionalFormatting sqref="G14:G18">
    <cfRule type="cellIs" dxfId="1474" priority="43" stopIfTrue="1" operator="lessThan">
      <formula>0</formula>
    </cfRule>
  </conditionalFormatting>
  <conditionalFormatting sqref="G7">
    <cfRule type="cellIs" dxfId="1473" priority="41" stopIfTrue="1" operator="lessThan">
      <formula>0</formula>
    </cfRule>
  </conditionalFormatting>
  <conditionalFormatting sqref="G10:G13">
    <cfRule type="cellIs" dxfId="1472" priority="40" stopIfTrue="1" operator="lessThan">
      <formula>0</formula>
    </cfRule>
  </conditionalFormatting>
  <conditionalFormatting sqref="C22:C24">
    <cfRule type="cellIs" dxfId="1471" priority="38" stopIfTrue="1" operator="lessThan">
      <formula>0</formula>
    </cfRule>
  </conditionalFormatting>
  <conditionalFormatting sqref="G22">
    <cfRule type="cellIs" dxfId="1470" priority="33" stopIfTrue="1" operator="lessThan">
      <formula>0</formula>
    </cfRule>
  </conditionalFormatting>
  <conditionalFormatting sqref="G29:G33">
    <cfRule type="cellIs" dxfId="1469" priority="35" stopIfTrue="1" operator="lessThan">
      <formula>0</formula>
    </cfRule>
  </conditionalFormatting>
  <conditionalFormatting sqref="G22:G24">
    <cfRule type="cellIs" dxfId="1468" priority="34" stopIfTrue="1" operator="lessThan">
      <formula>0</formula>
    </cfRule>
  </conditionalFormatting>
  <conditionalFormatting sqref="G25:G28">
    <cfRule type="cellIs" dxfId="1467" priority="32" stopIfTrue="1" operator="lessThan">
      <formula>0</formula>
    </cfRule>
  </conditionalFormatting>
  <conditionalFormatting sqref="C40:C43">
    <cfRule type="cellIs" dxfId="1466" priority="28" stopIfTrue="1" operator="lessThan">
      <formula>0</formula>
    </cfRule>
  </conditionalFormatting>
  <conditionalFormatting sqref="G44:G48">
    <cfRule type="cellIs" dxfId="1465" priority="27" stopIfTrue="1" operator="lessThan">
      <formula>0</formula>
    </cfRule>
  </conditionalFormatting>
  <conditionalFormatting sqref="G37">
    <cfRule type="cellIs" dxfId="1464" priority="25" stopIfTrue="1" operator="lessThan">
      <formula>0</formula>
    </cfRule>
  </conditionalFormatting>
  <conditionalFormatting sqref="C44:C48">
    <cfRule type="cellIs" dxfId="1463" priority="31" stopIfTrue="1" operator="lessThan">
      <formula>0</formula>
    </cfRule>
  </conditionalFormatting>
  <conditionalFormatting sqref="C37:C39">
    <cfRule type="cellIs" dxfId="1462" priority="30" stopIfTrue="1" operator="lessThan">
      <formula>0</formula>
    </cfRule>
  </conditionalFormatting>
  <conditionalFormatting sqref="C37">
    <cfRule type="cellIs" dxfId="1461" priority="29" stopIfTrue="1" operator="lessThan">
      <formula>0</formula>
    </cfRule>
  </conditionalFormatting>
  <conditionalFormatting sqref="C56:C59">
    <cfRule type="cellIs" dxfId="1460" priority="20" stopIfTrue="1" operator="lessThan">
      <formula>0</formula>
    </cfRule>
  </conditionalFormatting>
  <conditionalFormatting sqref="G60:G63">
    <cfRule type="cellIs" dxfId="1459" priority="19" stopIfTrue="1" operator="lessThan">
      <formula>0</formula>
    </cfRule>
  </conditionalFormatting>
  <conditionalFormatting sqref="G37:G39">
    <cfRule type="cellIs" dxfId="1458" priority="26" stopIfTrue="1" operator="lessThan">
      <formula>0</formula>
    </cfRule>
  </conditionalFormatting>
  <conditionalFormatting sqref="G53">
    <cfRule type="cellIs" dxfId="1457" priority="17" stopIfTrue="1" operator="lessThan">
      <formula>0</formula>
    </cfRule>
  </conditionalFormatting>
  <conditionalFormatting sqref="G40:G43">
    <cfRule type="cellIs" dxfId="1456" priority="24" stopIfTrue="1" operator="lessThan">
      <formula>0</formula>
    </cfRule>
  </conditionalFormatting>
  <conditionalFormatting sqref="C60:C64">
    <cfRule type="cellIs" dxfId="1455" priority="23" stopIfTrue="1" operator="lessThan">
      <formula>0</formula>
    </cfRule>
  </conditionalFormatting>
  <conditionalFormatting sqref="C53:C55">
    <cfRule type="cellIs" dxfId="1454" priority="22" stopIfTrue="1" operator="lessThan">
      <formula>0</formula>
    </cfRule>
  </conditionalFormatting>
  <conditionalFormatting sqref="C53">
    <cfRule type="cellIs" dxfId="1453" priority="21" stopIfTrue="1" operator="lessThan">
      <formula>0</formula>
    </cfRule>
  </conditionalFormatting>
  <conditionalFormatting sqref="G53:G55">
    <cfRule type="cellIs" dxfId="1452" priority="18" stopIfTrue="1" operator="lessThan">
      <formula>0</formula>
    </cfRule>
  </conditionalFormatting>
  <conditionalFormatting sqref="G56:G59">
    <cfRule type="cellIs" dxfId="1451" priority="16" stopIfTrue="1" operator="lessThan">
      <formula>0</formula>
    </cfRule>
  </conditionalFormatting>
  <conditionalFormatting sqref="C75:C78">
    <cfRule type="cellIs" dxfId="1450" priority="15" stopIfTrue="1" operator="lessThan">
      <formula>0</formula>
    </cfRule>
  </conditionalFormatting>
  <conditionalFormatting sqref="C68:C70">
    <cfRule type="cellIs" dxfId="1449" priority="14" stopIfTrue="1" operator="lessThan">
      <formula>0</formula>
    </cfRule>
  </conditionalFormatting>
  <conditionalFormatting sqref="C68">
    <cfRule type="cellIs" dxfId="1448" priority="13" stopIfTrue="1" operator="lessThan">
      <formula>0</formula>
    </cfRule>
  </conditionalFormatting>
  <conditionalFormatting sqref="C71:C74">
    <cfRule type="cellIs" dxfId="1447" priority="12" stopIfTrue="1" operator="lessThan">
      <formula>0</formula>
    </cfRule>
  </conditionalFormatting>
  <conditionalFormatting sqref="G75:G79">
    <cfRule type="cellIs" dxfId="1446" priority="11" stopIfTrue="1" operator="lessThan">
      <formula>0</formula>
    </cfRule>
  </conditionalFormatting>
  <conditionalFormatting sqref="G68:G70">
    <cfRule type="cellIs" dxfId="1445" priority="10" stopIfTrue="1" operator="lessThan">
      <formula>0</formula>
    </cfRule>
  </conditionalFormatting>
  <conditionalFormatting sqref="G68">
    <cfRule type="cellIs" dxfId="1444" priority="9" stopIfTrue="1" operator="lessThan">
      <formula>0</formula>
    </cfRule>
  </conditionalFormatting>
  <conditionalFormatting sqref="G71:G74">
    <cfRule type="cellIs" dxfId="1443" priority="8" stopIfTrue="1" operator="lessThan">
      <formula>0</formula>
    </cfRule>
  </conditionalFormatting>
  <conditionalFormatting sqref="G64">
    <cfRule type="cellIs" dxfId="1442" priority="7" stopIfTrue="1" operator="lessThan">
      <formula>0</formula>
    </cfRule>
  </conditionalFormatting>
  <conditionalFormatting sqref="C79">
    <cfRule type="cellIs" dxfId="1441" priority="6" stopIfTrue="1" operator="lessThan">
      <formula>0</formula>
    </cfRule>
  </conditionalFormatting>
  <conditionalFormatting sqref="C90:C93">
    <cfRule type="cellIs" dxfId="1440" priority="5" stopIfTrue="1" operator="lessThan">
      <formula>0</formula>
    </cfRule>
  </conditionalFormatting>
  <conditionalFormatting sqref="C83:C85">
    <cfRule type="cellIs" dxfId="1439" priority="4" stopIfTrue="1" operator="lessThan">
      <formula>0</formula>
    </cfRule>
  </conditionalFormatting>
  <conditionalFormatting sqref="C83">
    <cfRule type="cellIs" dxfId="1438" priority="3" stopIfTrue="1" operator="lessThan">
      <formula>0</formula>
    </cfRule>
  </conditionalFormatting>
  <conditionalFormatting sqref="C86:C89">
    <cfRule type="cellIs" dxfId="1437" priority="2" stopIfTrue="1" operator="lessThan">
      <formula>0</formula>
    </cfRule>
  </conditionalFormatting>
  <conditionalFormatting sqref="C94">
    <cfRule type="cellIs" dxfId="1436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43081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4213421</v>
      </c>
      <c r="D7" s="67">
        <f>+IF(C7/$F$120=0,"",C7/$F$120)</f>
        <v>7.3298357140341865E-5</v>
      </c>
      <c r="E7" s="68"/>
      <c r="F7" s="199" t="s">
        <v>5</v>
      </c>
      <c r="G7" s="66">
        <v>757744</v>
      </c>
      <c r="H7" s="200">
        <f>+IF(G7/$C$122=0,"",G7/$C$122)</f>
        <v>1.0842734083738685E-4</v>
      </c>
      <c r="I7" s="70"/>
    </row>
    <row r="8" spans="1:9" x14ac:dyDescent="0.2">
      <c r="B8" s="199" t="s">
        <v>6</v>
      </c>
      <c r="C8" s="66">
        <v>85886</v>
      </c>
      <c r="D8" s="67">
        <f>+IF(C8/$F$120=0,"",C8/$F$120)</f>
        <v>1.4941072115403141E-6</v>
      </c>
      <c r="E8" s="68"/>
      <c r="F8" s="199" t="s">
        <v>6</v>
      </c>
      <c r="G8" s="66">
        <v>37255</v>
      </c>
      <c r="H8" s="200">
        <f>+IF(G8/$C$122=0,"",G8/$C$122)</f>
        <v>5.3309040822452527E-6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-13796</v>
      </c>
      <c r="H11" s="200">
        <f t="shared" si="0"/>
        <v>-1.9741015358651324E-6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-2858232</v>
      </c>
      <c r="H14" s="200">
        <f t="shared" si="0"/>
        <v>-4.0899102501151558E-4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>
        <v>73102</v>
      </c>
      <c r="D17" s="67">
        <f>+IF(C17/$F$120=0,"",C17/$F$120)</f>
        <v>1.27171163377058E-6</v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-192683</v>
      </c>
      <c r="D18" s="67">
        <f>+IF(C18/$F$120=0,"",C18/$F$120)</f>
        <v>-3.3519905437582647E-6</v>
      </c>
      <c r="E18" s="75"/>
      <c r="F18" s="199" t="s">
        <v>16</v>
      </c>
      <c r="G18" s="72">
        <v>-26132</v>
      </c>
      <c r="H18" s="200">
        <f t="shared" si="0"/>
        <v>-3.7392882962617889E-6</v>
      </c>
    </row>
    <row r="19" spans="2:9" s="80" customFormat="1" x14ac:dyDescent="0.2">
      <c r="B19" s="201" t="s">
        <v>17</v>
      </c>
      <c r="C19" s="77">
        <f>SUM(C7:C18)</f>
        <v>4179726</v>
      </c>
      <c r="D19" s="78">
        <f>SUM(D7:D18)</f>
        <v>7.2712185441894497E-5</v>
      </c>
      <c r="E19" s="79"/>
      <c r="F19" s="201" t="s">
        <v>17</v>
      </c>
      <c r="G19" s="77">
        <f>SUM(G7:G18)</f>
        <v>-2103161</v>
      </c>
      <c r="H19" s="78">
        <f>SUM(H7:H18)</f>
        <v>-3.0094616992401042E-4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2506.42</v>
      </c>
      <c r="D22" s="200">
        <f>+IF(C22/$F$121=0,"",C22/$F$121)</f>
        <v>6.7172031743641962E-5</v>
      </c>
      <c r="E22" s="75"/>
      <c r="F22" s="199" t="s">
        <v>5</v>
      </c>
      <c r="G22" s="66">
        <v>1903716</v>
      </c>
      <c r="H22" s="200">
        <f t="shared" ref="H22:H33" si="2">+IF(G22/$C$115=0,"",G22/$C$115)</f>
        <v>8.435727948496831E-5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/>
      <c r="H23" s="200" t="str">
        <f t="shared" si="2"/>
        <v/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871.51</v>
      </c>
      <c r="D26" s="200">
        <f>+IF(C26/$F$121=0,"",C26/$F$121)</f>
        <v>2.3356459565795597E-5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7572.85</v>
      </c>
      <c r="D27" s="200">
        <f t="shared" ref="D27:D33" si="3">+IF(C27/$F$121=0,"",C27/$F$121)</f>
        <v>2.0295230671229841E-4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-1129984</v>
      </c>
      <c r="H29" s="200">
        <f t="shared" si="2"/>
        <v>-5.0071741846757834E-5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-9185.15</v>
      </c>
      <c r="D31" s="200">
        <f t="shared" si="3"/>
        <v>-2.4616193110895735E-4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-193.42</v>
      </c>
      <c r="D33" s="200">
        <f t="shared" si="3"/>
        <v>-5.1836541281410247E-6</v>
      </c>
      <c r="E33" s="75"/>
      <c r="F33" s="199" t="s">
        <v>16</v>
      </c>
      <c r="G33" s="72">
        <v>-32866</v>
      </c>
      <c r="H33" s="200">
        <f t="shared" si="2"/>
        <v>-1.4563550170051461E-6</v>
      </c>
    </row>
    <row r="34" spans="1:13" s="80" customFormat="1" x14ac:dyDescent="0.2">
      <c r="B34" s="201" t="s">
        <v>17</v>
      </c>
      <c r="C34" s="203">
        <v>1583.5362386528932</v>
      </c>
      <c r="D34" s="78">
        <f>SUM(D22:D33)</f>
        <v>4.2135212784637596E-5</v>
      </c>
      <c r="E34" s="79"/>
      <c r="F34" s="201" t="s">
        <v>17</v>
      </c>
      <c r="G34" s="203">
        <f>SUM(G22:G33)</f>
        <v>740866</v>
      </c>
      <c r="H34" s="78">
        <f>SUM(H22:H33)</f>
        <v>3.2829182621205329E-5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4037981</v>
      </c>
      <c r="D37" s="200">
        <f t="shared" ref="D37:D48" si="4">+IF(C37/$C$123=0,"",C37/$C$123)</f>
        <v>5.4671564521060979E-5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1094723</v>
      </c>
      <c r="D38" s="200">
        <f t="shared" si="4"/>
        <v>1.4821817915237699E-5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77721</v>
      </c>
      <c r="H39" s="200">
        <f t="shared" si="5"/>
        <v>1.7228964961525051E-5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-37952069</v>
      </c>
      <c r="D44" s="200">
        <f t="shared" si="4"/>
        <v>-5.1384565431121596E-4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-10260835</v>
      </c>
      <c r="D45" s="200">
        <f t="shared" si="4"/>
        <v>-1.3892484950832131E-4</v>
      </c>
      <c r="E45" s="68"/>
      <c r="F45" s="199" t="s">
        <v>13</v>
      </c>
      <c r="G45" s="72">
        <v>31781321</v>
      </c>
      <c r="H45" s="200">
        <f t="shared" si="5"/>
        <v>7.0451906941493324E-3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-3455475</v>
      </c>
      <c r="D47" s="200">
        <f t="shared" si="4"/>
        <v>-4.6784822517345471E-5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-140995</v>
      </c>
      <c r="D48" s="200">
        <f t="shared" si="4"/>
        <v>-1.9089780857430959E-6</v>
      </c>
      <c r="E48" s="68"/>
      <c r="F48" s="199" t="s">
        <v>16</v>
      </c>
      <c r="G48" s="72">
        <v>-16032</v>
      </c>
      <c r="H48" s="200">
        <f t="shared" si="5"/>
        <v>-3.5539270758632748E-6</v>
      </c>
    </row>
    <row r="49" spans="2:10" s="80" customFormat="1" x14ac:dyDescent="0.2">
      <c r="B49" s="201" t="s">
        <v>17</v>
      </c>
      <c r="C49" s="77">
        <f>SUM(C37:C48)</f>
        <v>-46676670</v>
      </c>
      <c r="D49" s="78">
        <f>SUM(D37:D48)</f>
        <v>-6.3197092198632716E-4</v>
      </c>
      <c r="E49" s="79"/>
      <c r="F49" s="201" t="s">
        <v>17</v>
      </c>
      <c r="G49" s="77">
        <f>SUM(G37:G48)</f>
        <v>31843010</v>
      </c>
      <c r="H49" s="78">
        <f>SUM(H37:H48)</f>
        <v>7.0588657320349944E-3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15916.531300000001</v>
      </c>
      <c r="H53" s="200">
        <f t="shared" ref="H53:H64" si="7">+IF(G53/$C$124=0,"",G53/$C$124)</f>
        <v>1.3248969028922125E-4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-97124.234400000001</v>
      </c>
      <c r="H60" s="200">
        <f t="shared" si="7"/>
        <v>-8.0846507902345083E-4</v>
      </c>
    </row>
    <row r="61" spans="2:10" x14ac:dyDescent="0.2">
      <c r="B61" s="199" t="s">
        <v>13</v>
      </c>
      <c r="C61" s="72">
        <v>149849105</v>
      </c>
      <c r="D61" s="200">
        <f t="shared" si="6"/>
        <v>7.6836791178106732E-3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>
        <v>-898.83989999999994</v>
      </c>
      <c r="H63" s="200">
        <f t="shared" si="7"/>
        <v>-7.4819706458651948E-6</v>
      </c>
    </row>
    <row r="64" spans="2:10" x14ac:dyDescent="0.2">
      <c r="B64" s="199" t="s">
        <v>16</v>
      </c>
      <c r="C64" s="72">
        <v>-160293</v>
      </c>
      <c r="D64" s="200">
        <f t="shared" si="6"/>
        <v>-8.2192014215315216E-6</v>
      </c>
      <c r="E64" s="68"/>
      <c r="F64" s="199" t="s">
        <v>16</v>
      </c>
      <c r="G64" s="92">
        <v>-107.98</v>
      </c>
      <c r="H64" s="200">
        <f t="shared" si="7"/>
        <v>-8.988288018150105E-7</v>
      </c>
    </row>
    <row r="65" spans="2:8" s="80" customFormat="1" x14ac:dyDescent="0.2">
      <c r="B65" s="201" t="s">
        <v>17</v>
      </c>
      <c r="C65" s="77">
        <f>SUM(C53:C64)</f>
        <v>149688812</v>
      </c>
      <c r="D65" s="78">
        <f>SUM(D53:D64)</f>
        <v>7.6754599163891416E-3</v>
      </c>
      <c r="E65" s="79"/>
      <c r="F65" s="201" t="s">
        <v>17</v>
      </c>
      <c r="G65" s="203">
        <f>SUM(G53:G64)</f>
        <v>-82214.523000000001</v>
      </c>
      <c r="H65" s="78">
        <f>SUM(H53:H64)</f>
        <v>-6.8435618818190973E-4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4191</v>
      </c>
      <c r="D72" s="200">
        <f t="shared" si="8"/>
        <v>3.0779452869411925E-7</v>
      </c>
      <c r="E72" s="68"/>
      <c r="F72" s="199" t="s">
        <v>9</v>
      </c>
      <c r="G72" s="66">
        <v>53751</v>
      </c>
      <c r="H72" s="200">
        <f t="shared" si="9"/>
        <v>7.5932181927275779E-6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20107112</v>
      </c>
      <c r="D76" s="200">
        <f t="shared" si="8"/>
        <v>1.4767022337007563E-3</v>
      </c>
      <c r="E76" s="68"/>
      <c r="F76" s="199" t="s">
        <v>13</v>
      </c>
      <c r="G76" s="72">
        <v>1596113</v>
      </c>
      <c r="H76" s="200">
        <f t="shared" si="9"/>
        <v>2.2547737287211388E-4</v>
      </c>
    </row>
    <row r="77" spans="2:8" x14ac:dyDescent="0.2">
      <c r="B77" s="199" t="s">
        <v>14</v>
      </c>
      <c r="C77" s="66">
        <v>4207823</v>
      </c>
      <c r="D77" s="200">
        <f t="shared" si="8"/>
        <v>3.0903003987431995E-4</v>
      </c>
      <c r="E77" s="68"/>
      <c r="F77" s="199" t="s">
        <v>14</v>
      </c>
      <c r="G77" s="66">
        <v>2280390</v>
      </c>
      <c r="H77" s="200">
        <f t="shared" si="9"/>
        <v>3.2214282217101154E-4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-21164</v>
      </c>
      <c r="D79" s="200">
        <f t="shared" si="8"/>
        <v>-1.5543219769225341E-6</v>
      </c>
      <c r="E79" s="68"/>
      <c r="F79" s="199" t="s">
        <v>16</v>
      </c>
      <c r="G79" s="72">
        <v>-16082</v>
      </c>
      <c r="H79" s="200">
        <f t="shared" si="9"/>
        <v>-2.2718486163130902E-6</v>
      </c>
    </row>
    <row r="80" spans="2:8" s="80" customFormat="1" x14ac:dyDescent="0.2">
      <c r="B80" s="201" t="s">
        <v>17</v>
      </c>
      <c r="C80" s="77">
        <f>SUM(C68:C79)</f>
        <v>24297962</v>
      </c>
      <c r="D80" s="78">
        <f>SUM(D68:D79)</f>
        <v>1.784485746126848E-3</v>
      </c>
      <c r="E80" s="79"/>
      <c r="F80" s="201" t="s">
        <v>17</v>
      </c>
      <c r="G80" s="77">
        <f>SUM(G68:G79)</f>
        <v>3914172</v>
      </c>
      <c r="H80" s="78">
        <f>SUM(H68:H79)</f>
        <v>5.5294156461953997E-4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-3915.875702645455</v>
      </c>
      <c r="D87" s="200">
        <f t="shared" si="10"/>
        <v>-2.7950583547757508E-4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12483.104300000001</v>
      </c>
      <c r="D90" s="200">
        <f t="shared" si="10"/>
        <v>8.9101410812607578E-4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5584.4252999999999</v>
      </c>
      <c r="D92" s="200">
        <f t="shared" si="10"/>
        <v>3.9860291226407463E-4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/>
      <c r="D95" s="209">
        <f>SUM(D83:D94)</f>
        <v>1.0101111849125754E-3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22567299605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19502259621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13616226441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4511066113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7078816733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57320725521</v>
      </c>
      <c r="D120" s="193">
        <v>162431870</v>
      </c>
      <c r="F120" s="204">
        <f>+C120+D120</f>
        <v>57483157391</v>
      </c>
      <c r="G120" s="197"/>
      <c r="H120" s="197"/>
    </row>
    <row r="121" spans="1:13" x14ac:dyDescent="0.2">
      <c r="B121" s="189" t="s">
        <v>18</v>
      </c>
      <c r="C121" s="192">
        <v>37213446.310000002</v>
      </c>
      <c r="D121" s="193">
        <v>100000</v>
      </c>
      <c r="F121" s="204">
        <f>+C121+D121</f>
        <v>37313446.310000002</v>
      </c>
      <c r="H121" s="75"/>
    </row>
    <row r="122" spans="1:13" x14ac:dyDescent="0.2">
      <c r="B122" s="189" t="s">
        <v>4</v>
      </c>
      <c r="C122" s="190">
        <v>6988495652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73858888718</v>
      </c>
      <c r="D123" s="205"/>
      <c r="F123" s="204"/>
      <c r="H123" s="75"/>
    </row>
    <row r="124" spans="1:13" x14ac:dyDescent="0.2">
      <c r="B124" s="189" t="s">
        <v>25</v>
      </c>
      <c r="C124" s="192">
        <v>120134112.06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14009996.2348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435" priority="48" stopIfTrue="1" operator="lessThan">
      <formula>0</formula>
    </cfRule>
  </conditionalFormatting>
  <conditionalFormatting sqref="C7:C9">
    <cfRule type="cellIs" dxfId="1434" priority="47" stopIfTrue="1" operator="lessThan">
      <formula>0</formula>
    </cfRule>
  </conditionalFormatting>
  <conditionalFormatting sqref="C10:C13">
    <cfRule type="cellIs" dxfId="1433" priority="45" stopIfTrue="1" operator="lessThan">
      <formula>0</formula>
    </cfRule>
  </conditionalFormatting>
  <conditionalFormatting sqref="C104">
    <cfRule type="cellIs" dxfId="1432" priority="44" stopIfTrue="1" operator="lessThan">
      <formula>0</formula>
    </cfRule>
  </conditionalFormatting>
  <conditionalFormatting sqref="C7">
    <cfRule type="cellIs" dxfId="1431" priority="46" stopIfTrue="1" operator="lessThan">
      <formula>0</formula>
    </cfRule>
  </conditionalFormatting>
  <conditionalFormatting sqref="C29:C33">
    <cfRule type="cellIs" dxfId="1430" priority="39" stopIfTrue="1" operator="lessThan">
      <formula>0</formula>
    </cfRule>
  </conditionalFormatting>
  <conditionalFormatting sqref="G7:G9">
    <cfRule type="cellIs" dxfId="1429" priority="42" stopIfTrue="1" operator="lessThan">
      <formula>0</formula>
    </cfRule>
  </conditionalFormatting>
  <conditionalFormatting sqref="C22">
    <cfRule type="cellIs" dxfId="1428" priority="37" stopIfTrue="1" operator="lessThan">
      <formula>0</formula>
    </cfRule>
  </conditionalFormatting>
  <conditionalFormatting sqref="C25:C28">
    <cfRule type="cellIs" dxfId="1427" priority="36" stopIfTrue="1" operator="lessThan">
      <formula>0</formula>
    </cfRule>
  </conditionalFormatting>
  <conditionalFormatting sqref="G14:G18">
    <cfRule type="cellIs" dxfId="1426" priority="43" stopIfTrue="1" operator="lessThan">
      <formula>0</formula>
    </cfRule>
  </conditionalFormatting>
  <conditionalFormatting sqref="G7">
    <cfRule type="cellIs" dxfId="1425" priority="41" stopIfTrue="1" operator="lessThan">
      <formula>0</formula>
    </cfRule>
  </conditionalFormatting>
  <conditionalFormatting sqref="G10:G13">
    <cfRule type="cellIs" dxfId="1424" priority="40" stopIfTrue="1" operator="lessThan">
      <formula>0</formula>
    </cfRule>
  </conditionalFormatting>
  <conditionalFormatting sqref="C22:C24">
    <cfRule type="cellIs" dxfId="1423" priority="38" stopIfTrue="1" operator="lessThan">
      <formula>0</formula>
    </cfRule>
  </conditionalFormatting>
  <conditionalFormatting sqref="G22">
    <cfRule type="cellIs" dxfId="1422" priority="33" stopIfTrue="1" operator="lessThan">
      <formula>0</formula>
    </cfRule>
  </conditionalFormatting>
  <conditionalFormatting sqref="G29:G33">
    <cfRule type="cellIs" dxfId="1421" priority="35" stopIfTrue="1" operator="lessThan">
      <formula>0</formula>
    </cfRule>
  </conditionalFormatting>
  <conditionalFormatting sqref="G22:G24">
    <cfRule type="cellIs" dxfId="1420" priority="34" stopIfTrue="1" operator="lessThan">
      <formula>0</formula>
    </cfRule>
  </conditionalFormatting>
  <conditionalFormatting sqref="G25:G28">
    <cfRule type="cellIs" dxfId="1419" priority="32" stopIfTrue="1" operator="lessThan">
      <formula>0</formula>
    </cfRule>
  </conditionalFormatting>
  <conditionalFormatting sqref="C40:C43">
    <cfRule type="cellIs" dxfId="1418" priority="28" stopIfTrue="1" operator="lessThan">
      <formula>0</formula>
    </cfRule>
  </conditionalFormatting>
  <conditionalFormatting sqref="G44:G48">
    <cfRule type="cellIs" dxfId="1417" priority="27" stopIfTrue="1" operator="lessThan">
      <formula>0</formula>
    </cfRule>
  </conditionalFormatting>
  <conditionalFormatting sqref="G37">
    <cfRule type="cellIs" dxfId="1416" priority="25" stopIfTrue="1" operator="lessThan">
      <formula>0</formula>
    </cfRule>
  </conditionalFormatting>
  <conditionalFormatting sqref="C44:C48">
    <cfRule type="cellIs" dxfId="1415" priority="31" stopIfTrue="1" operator="lessThan">
      <formula>0</formula>
    </cfRule>
  </conditionalFormatting>
  <conditionalFormatting sqref="C37:C39">
    <cfRule type="cellIs" dxfId="1414" priority="30" stopIfTrue="1" operator="lessThan">
      <formula>0</formula>
    </cfRule>
  </conditionalFormatting>
  <conditionalFormatting sqref="C37">
    <cfRule type="cellIs" dxfId="1413" priority="29" stopIfTrue="1" operator="lessThan">
      <formula>0</formula>
    </cfRule>
  </conditionalFormatting>
  <conditionalFormatting sqref="C56:C59">
    <cfRule type="cellIs" dxfId="1412" priority="20" stopIfTrue="1" operator="lessThan">
      <formula>0</formula>
    </cfRule>
  </conditionalFormatting>
  <conditionalFormatting sqref="G60:G63">
    <cfRule type="cellIs" dxfId="1411" priority="19" stopIfTrue="1" operator="lessThan">
      <formula>0</formula>
    </cfRule>
  </conditionalFormatting>
  <conditionalFormatting sqref="G37:G39">
    <cfRule type="cellIs" dxfId="1410" priority="26" stopIfTrue="1" operator="lessThan">
      <formula>0</formula>
    </cfRule>
  </conditionalFormatting>
  <conditionalFormatting sqref="G53">
    <cfRule type="cellIs" dxfId="1409" priority="17" stopIfTrue="1" operator="lessThan">
      <formula>0</formula>
    </cfRule>
  </conditionalFormatting>
  <conditionalFormatting sqref="G40:G43">
    <cfRule type="cellIs" dxfId="1408" priority="24" stopIfTrue="1" operator="lessThan">
      <formula>0</formula>
    </cfRule>
  </conditionalFormatting>
  <conditionalFormatting sqref="C60:C64">
    <cfRule type="cellIs" dxfId="1407" priority="23" stopIfTrue="1" operator="lessThan">
      <formula>0</formula>
    </cfRule>
  </conditionalFormatting>
  <conditionalFormatting sqref="C53:C55">
    <cfRule type="cellIs" dxfId="1406" priority="22" stopIfTrue="1" operator="lessThan">
      <formula>0</formula>
    </cfRule>
  </conditionalFormatting>
  <conditionalFormatting sqref="C53">
    <cfRule type="cellIs" dxfId="1405" priority="21" stopIfTrue="1" operator="lessThan">
      <formula>0</formula>
    </cfRule>
  </conditionalFormatting>
  <conditionalFormatting sqref="G53:G55">
    <cfRule type="cellIs" dxfId="1404" priority="18" stopIfTrue="1" operator="lessThan">
      <formula>0</formula>
    </cfRule>
  </conditionalFormatting>
  <conditionalFormatting sqref="G56:G59">
    <cfRule type="cellIs" dxfId="1403" priority="16" stopIfTrue="1" operator="lessThan">
      <formula>0</formula>
    </cfRule>
  </conditionalFormatting>
  <conditionalFormatting sqref="C75:C78">
    <cfRule type="cellIs" dxfId="1402" priority="15" stopIfTrue="1" operator="lessThan">
      <formula>0</formula>
    </cfRule>
  </conditionalFormatting>
  <conditionalFormatting sqref="C68:C70">
    <cfRule type="cellIs" dxfId="1401" priority="14" stopIfTrue="1" operator="lessThan">
      <formula>0</formula>
    </cfRule>
  </conditionalFormatting>
  <conditionalFormatting sqref="C68">
    <cfRule type="cellIs" dxfId="1400" priority="13" stopIfTrue="1" operator="lessThan">
      <formula>0</formula>
    </cfRule>
  </conditionalFormatting>
  <conditionalFormatting sqref="C71:C74">
    <cfRule type="cellIs" dxfId="1399" priority="12" stopIfTrue="1" operator="lessThan">
      <formula>0</formula>
    </cfRule>
  </conditionalFormatting>
  <conditionalFormatting sqref="G75:G79">
    <cfRule type="cellIs" dxfId="1398" priority="11" stopIfTrue="1" operator="lessThan">
      <formula>0</formula>
    </cfRule>
  </conditionalFormatting>
  <conditionalFormatting sqref="G68:G70">
    <cfRule type="cellIs" dxfId="1397" priority="10" stopIfTrue="1" operator="lessThan">
      <formula>0</formula>
    </cfRule>
  </conditionalFormatting>
  <conditionalFormatting sqref="G68">
    <cfRule type="cellIs" dxfId="1396" priority="9" stopIfTrue="1" operator="lessThan">
      <formula>0</formula>
    </cfRule>
  </conditionalFormatting>
  <conditionalFormatting sqref="G71:G74">
    <cfRule type="cellIs" dxfId="1395" priority="8" stopIfTrue="1" operator="lessThan">
      <formula>0</formula>
    </cfRule>
  </conditionalFormatting>
  <conditionalFormatting sqref="G64">
    <cfRule type="cellIs" dxfId="1394" priority="7" stopIfTrue="1" operator="lessThan">
      <formula>0</formula>
    </cfRule>
  </conditionalFormatting>
  <conditionalFormatting sqref="C79">
    <cfRule type="cellIs" dxfId="1393" priority="6" stopIfTrue="1" operator="lessThan">
      <formula>0</formula>
    </cfRule>
  </conditionalFormatting>
  <conditionalFormatting sqref="C90:C93">
    <cfRule type="cellIs" dxfId="1392" priority="5" stopIfTrue="1" operator="lessThan">
      <formula>0</formula>
    </cfRule>
  </conditionalFormatting>
  <conditionalFormatting sqref="C83:C85">
    <cfRule type="cellIs" dxfId="1391" priority="4" stopIfTrue="1" operator="lessThan">
      <formula>0</formula>
    </cfRule>
  </conditionalFormatting>
  <conditionalFormatting sqref="C83">
    <cfRule type="cellIs" dxfId="1390" priority="3" stopIfTrue="1" operator="lessThan">
      <formula>0</formula>
    </cfRule>
  </conditionalFormatting>
  <conditionalFormatting sqref="C86:C89">
    <cfRule type="cellIs" dxfId="1389" priority="2" stopIfTrue="1" operator="lessThan">
      <formula>0</formula>
    </cfRule>
  </conditionalFormatting>
  <conditionalFormatting sqref="C94">
    <cfRule type="cellIs" dxfId="1388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dimension ref="A2:M130"/>
  <sheetViews>
    <sheetView topLeftCell="A82"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43082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4301432</v>
      </c>
      <c r="D7" s="67">
        <f>+IF(C7/$F$120=0,"",C7/$F$120)</f>
        <v>7.3655765105067313E-5</v>
      </c>
      <c r="E7" s="68"/>
      <c r="F7" s="199" t="s">
        <v>5</v>
      </c>
      <c r="G7" s="66">
        <v>686457</v>
      </c>
      <c r="H7" s="200">
        <f>+IF(G7/$C$122=0,"",G7/$C$122)</f>
        <v>9.825830417259646E-5</v>
      </c>
      <c r="I7" s="70"/>
    </row>
    <row r="8" spans="1:9" x14ac:dyDescent="0.2">
      <c r="B8" s="199" t="s">
        <v>6</v>
      </c>
      <c r="C8" s="66">
        <v>86878</v>
      </c>
      <c r="D8" s="67">
        <f>+IF(C8/$F$120=0,"",C8/$F$120)</f>
        <v>1.4876593564185225E-6</v>
      </c>
      <c r="E8" s="68"/>
      <c r="F8" s="199" t="s">
        <v>6</v>
      </c>
      <c r="G8" s="66">
        <v>37240</v>
      </c>
      <c r="H8" s="200">
        <f>+IF(G8/$C$122=0,"",G8/$C$122)</f>
        <v>5.3304711691882988E-6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-133208</v>
      </c>
      <c r="H11" s="200">
        <f t="shared" si="0"/>
        <v>-1.9067169804114792E-5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870124</v>
      </c>
      <c r="H14" s="200">
        <f t="shared" si="0"/>
        <v>1.2454809064497312E-4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-172774</v>
      </c>
      <c r="D18" s="67">
        <f>+IF(C18/$F$120=0,"",C18/$F$120)</f>
        <v>-2.9585033914898339E-6</v>
      </c>
      <c r="E18" s="75"/>
      <c r="F18" s="199" t="s">
        <v>16</v>
      </c>
      <c r="G18" s="72">
        <v>-26135</v>
      </c>
      <c r="H18" s="200">
        <f t="shared" si="0"/>
        <v>-3.7409200861099943E-6</v>
      </c>
    </row>
    <row r="19" spans="2:9" s="80" customFormat="1" x14ac:dyDescent="0.2">
      <c r="B19" s="201" t="s">
        <v>17</v>
      </c>
      <c r="C19" s="77">
        <f>SUM(C7:C18)</f>
        <v>4215536</v>
      </c>
      <c r="D19" s="78">
        <f>SUM(D7:D18)</f>
        <v>7.2184921069996002E-5</v>
      </c>
      <c r="E19" s="79"/>
      <c r="F19" s="201" t="s">
        <v>17</v>
      </c>
      <c r="G19" s="77">
        <f>SUM(G7:G18)</f>
        <v>1434478</v>
      </c>
      <c r="H19" s="78">
        <f>SUM(H7:H18)</f>
        <v>2.0532877609653311E-4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2517.9023999999999</v>
      </c>
      <c r="D22" s="200">
        <f>+IF(C22/$F$121=0,"",C22/$F$121)</f>
        <v>6.8114131584913259E-5</v>
      </c>
      <c r="E22" s="75"/>
      <c r="F22" s="199" t="s">
        <v>5</v>
      </c>
      <c r="G22" s="66">
        <v>1792729</v>
      </c>
      <c r="H22" s="200">
        <f t="shared" ref="H22:H33" si="2">+IF(G22/$C$115=0,"",G22/$C$115)</f>
        <v>7.943499875139082E-5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212449</v>
      </c>
      <c r="H23" s="200">
        <f t="shared" si="2"/>
        <v>9.41351763135099E-6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60.162845275800464</v>
      </c>
      <c r="D26" s="200">
        <f>+IF(C26/$F$121=0,"",C26/$F$121)</f>
        <v>1.6275213684369378E-6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-280754.94172092003</v>
      </c>
      <c r="D27" s="200">
        <f t="shared" ref="D27:D33" si="3">+IF(C27/$F$121=0,"",C27/$F$121)</f>
        <v>-7.5949643812617202E-3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93009</v>
      </c>
      <c r="H29" s="200">
        <f t="shared" si="2"/>
        <v>4.1211860793617488E-6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279942.3149</v>
      </c>
      <c r="D31" s="200">
        <f t="shared" si="3"/>
        <v>7.5729812534766332E-3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>
        <v>-2.7801</v>
      </c>
      <c r="D32" s="200">
        <f t="shared" si="3"/>
        <v>-7.5207083967677759E-8</v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-73.39</v>
      </c>
      <c r="D33" s="200">
        <f t="shared" si="3"/>
        <v>-1.9853414957691704E-6</v>
      </c>
      <c r="E33" s="75"/>
      <c r="F33" s="199" t="s">
        <v>16</v>
      </c>
      <c r="G33" s="72">
        <v>-55004</v>
      </c>
      <c r="H33" s="200">
        <f t="shared" si="2"/>
        <v>-2.4372019816277311E-6</v>
      </c>
    </row>
    <row r="34" spans="1:13" s="80" customFormat="1" x14ac:dyDescent="0.2">
      <c r="B34" s="201" t="s">
        <v>17</v>
      </c>
      <c r="C34" s="203">
        <v>1583.5362386528932</v>
      </c>
      <c r="D34" s="78">
        <f>SUM(D22:D33)</f>
        <v>4.5697976588526369E-5</v>
      </c>
      <c r="E34" s="79"/>
      <c r="F34" s="201" t="s">
        <v>17</v>
      </c>
      <c r="G34" s="203">
        <f>SUM(G22:G33)</f>
        <v>2043183</v>
      </c>
      <c r="H34" s="78">
        <f>SUM(H22:H33)</f>
        <v>9.0532500480475835E-5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4256225</v>
      </c>
      <c r="D37" s="200">
        <f t="shared" ref="D37:D48" si="4">+IF(C37/$C$123=0,"",C37/$C$123)</f>
        <v>5.7938007628322663E-5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1074746</v>
      </c>
      <c r="D38" s="200">
        <f t="shared" si="4"/>
        <v>1.46300164926688E-5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161847</v>
      </c>
      <c r="H39" s="200">
        <f t="shared" si="5"/>
        <v>3.5652523570260745E-5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-21668836</v>
      </c>
      <c r="D44" s="200">
        <f t="shared" si="4"/>
        <v>-2.9496776732077667E-4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-4561083</v>
      </c>
      <c r="D45" s="200">
        <f t="shared" si="4"/>
        <v>-6.2087897525956175E-5</v>
      </c>
      <c r="E45" s="68"/>
      <c r="F45" s="199" t="s">
        <v>13</v>
      </c>
      <c r="G45" s="72">
        <v>70058255</v>
      </c>
      <c r="H45" s="200">
        <f t="shared" si="5"/>
        <v>1.5432807451969068E-2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-99419</v>
      </c>
      <c r="D48" s="200">
        <f t="shared" si="4"/>
        <v>-1.3533445201793164E-6</v>
      </c>
      <c r="E48" s="68"/>
      <c r="F48" s="199" t="s">
        <v>16</v>
      </c>
      <c r="G48" s="72">
        <v>-16032</v>
      </c>
      <c r="H48" s="200">
        <f t="shared" si="5"/>
        <v>-3.5316147835821502E-6</v>
      </c>
    </row>
    <row r="49" spans="2:10" s="80" customFormat="1" x14ac:dyDescent="0.2">
      <c r="B49" s="201" t="s">
        <v>17</v>
      </c>
      <c r="C49" s="77">
        <f>SUM(C37:C48)</f>
        <v>-20998367</v>
      </c>
      <c r="D49" s="78">
        <f>SUM(D37:D48)</f>
        <v>-2.858409852459207E-4</v>
      </c>
      <c r="E49" s="79"/>
      <c r="F49" s="201" t="s">
        <v>17</v>
      </c>
      <c r="G49" s="77">
        <f>SUM(G37:G48)</f>
        <v>70204070</v>
      </c>
      <c r="H49" s="78">
        <f>SUM(H37:H48)</f>
        <v>1.5464928360755746E-2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15792.545099999999</v>
      </c>
      <c r="H53" s="200">
        <f t="shared" ref="H53:H64" si="7">+IF(G53/$C$124=0,"",G53/$C$124)</f>
        <v>1.3154944186521714E-4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1215126</v>
      </c>
      <c r="D55" s="200">
        <f t="shared" si="6"/>
        <v>6.1772477708076605E-5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157106.93290000001</v>
      </c>
      <c r="H60" s="200">
        <f t="shared" si="7"/>
        <v>1.3086762903182162E-3</v>
      </c>
    </row>
    <row r="61" spans="2:10" x14ac:dyDescent="0.2">
      <c r="B61" s="199" t="s">
        <v>13</v>
      </c>
      <c r="C61" s="72">
        <v>250362407</v>
      </c>
      <c r="D61" s="200">
        <f t="shared" si="6"/>
        <v>1.2727491803605471E-2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7435520</v>
      </c>
      <c r="D63" s="200">
        <f t="shared" si="6"/>
        <v>3.7799412854959711E-4</v>
      </c>
      <c r="E63" s="68"/>
      <c r="F63" s="199" t="s">
        <v>15</v>
      </c>
      <c r="G63" s="92">
        <v>-4200.9400000000005</v>
      </c>
      <c r="H63" s="200">
        <f t="shared" si="7"/>
        <v>-3.4993176135318768E-5</v>
      </c>
    </row>
    <row r="64" spans="2:10" x14ac:dyDescent="0.2">
      <c r="B64" s="199" t="s">
        <v>16</v>
      </c>
      <c r="C64" s="72">
        <v>-161679</v>
      </c>
      <c r="D64" s="200">
        <f t="shared" si="6"/>
        <v>-8.2191578678788193E-6</v>
      </c>
      <c r="E64" s="68"/>
      <c r="F64" s="199" t="s">
        <v>16</v>
      </c>
      <c r="G64" s="92">
        <v>-107.96</v>
      </c>
      <c r="H64" s="200">
        <f t="shared" si="7"/>
        <v>-8.9928999118507132E-7</v>
      </c>
    </row>
    <row r="65" spans="2:8" s="80" customFormat="1" x14ac:dyDescent="0.2">
      <c r="B65" s="201" t="s">
        <v>17</v>
      </c>
      <c r="C65" s="77">
        <f>SUM(C53:C64)</f>
        <v>258851374</v>
      </c>
      <c r="D65" s="78">
        <f>SUM(D53:D64)</f>
        <v>1.3159039251995266E-2</v>
      </c>
      <c r="E65" s="79"/>
      <c r="F65" s="201" t="s">
        <v>17</v>
      </c>
      <c r="G65" s="203">
        <f>SUM(G53:G64)</f>
        <v>168590.57800000001</v>
      </c>
      <c r="H65" s="78">
        <f>SUM(H53:H64)</f>
        <v>1.4043332660569293E-3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-126548</v>
      </c>
      <c r="D72" s="200">
        <f t="shared" si="8"/>
        <v>-9.236418751343804E-6</v>
      </c>
      <c r="E72" s="68"/>
      <c r="F72" s="199" t="s">
        <v>9</v>
      </c>
      <c r="G72" s="66">
        <v>-1622741</v>
      </c>
      <c r="H72" s="200">
        <f t="shared" si="9"/>
        <v>-2.2911962213959826E-4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10210370</v>
      </c>
      <c r="D76" s="200">
        <f t="shared" si="8"/>
        <v>7.4522910615859778E-4</v>
      </c>
      <c r="E76" s="68"/>
      <c r="F76" s="199" t="s">
        <v>13</v>
      </c>
      <c r="G76" s="72">
        <v>780211</v>
      </c>
      <c r="H76" s="200">
        <f t="shared" si="9"/>
        <v>1.101603087055532E-4</v>
      </c>
    </row>
    <row r="77" spans="2:8" x14ac:dyDescent="0.2">
      <c r="B77" s="199" t="s">
        <v>14</v>
      </c>
      <c r="C77" s="66">
        <v>-127182114</v>
      </c>
      <c r="D77" s="200">
        <f t="shared" si="8"/>
        <v>-9.2827011298886215E-3</v>
      </c>
      <c r="E77" s="68"/>
      <c r="F77" s="199" t="s">
        <v>14</v>
      </c>
      <c r="G77" s="66">
        <v>-68853588</v>
      </c>
      <c r="H77" s="200">
        <f t="shared" si="9"/>
        <v>-9.7216426191952861E-3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-21164</v>
      </c>
      <c r="D79" s="200">
        <f t="shared" si="8"/>
        <v>-1.5447068816057167E-6</v>
      </c>
      <c r="E79" s="68"/>
      <c r="F79" s="199" t="s">
        <v>16</v>
      </c>
      <c r="G79" s="72">
        <v>-16082</v>
      </c>
      <c r="H79" s="200">
        <f t="shared" si="9"/>
        <v>-2.2706653515558056E-6</v>
      </c>
    </row>
    <row r="80" spans="2:8" s="80" customFormat="1" x14ac:dyDescent="0.2">
      <c r="B80" s="201" t="s">
        <v>17</v>
      </c>
      <c r="C80" s="77">
        <f>SUM(C68:C79)</f>
        <v>-117119456</v>
      </c>
      <c r="D80" s="78">
        <f>SUM(D68:D79)</f>
        <v>-8.5482531493629738E-3</v>
      </c>
      <c r="E80" s="79"/>
      <c r="F80" s="201" t="s">
        <v>17</v>
      </c>
      <c r="G80" s="77">
        <f>SUM(G68:G79)</f>
        <v>-69712200</v>
      </c>
      <c r="H80" s="78">
        <f>SUM(H68:H79)</f>
        <v>-9.8428725979808861E-3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/>
      <c r="D87" s="200" t="str">
        <f t="shared" si="10"/>
        <v/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8760.9460999999992</v>
      </c>
      <c r="D90" s="200">
        <f t="shared" si="10"/>
        <v>5.6324511959284017E-4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-46266.765399999997</v>
      </c>
      <c r="D92" s="200">
        <f t="shared" si="10"/>
        <v>-2.9745109162236348E-3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/>
      <c r="D95" s="209">
        <f>SUM(D83:D94)</f>
        <v>-2.4112657966307944E-3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22568502904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19670993379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13700981236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4539566454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7082505570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56555020587</v>
      </c>
      <c r="D120" s="193">
        <v>1844101245</v>
      </c>
      <c r="F120" s="204">
        <f>+C120+D120</f>
        <v>58399121832</v>
      </c>
      <c r="G120" s="197"/>
      <c r="H120" s="197"/>
    </row>
    <row r="121" spans="1:13" x14ac:dyDescent="0.2">
      <c r="B121" s="189" t="s">
        <v>18</v>
      </c>
      <c r="C121" s="192">
        <v>36965932.640000001</v>
      </c>
      <c r="D121" s="193"/>
      <c r="F121" s="204">
        <f>+C121+D121</f>
        <v>36965932.640000001</v>
      </c>
      <c r="H121" s="75"/>
    </row>
    <row r="122" spans="1:13" x14ac:dyDescent="0.2">
      <c r="B122" s="189" t="s">
        <v>4</v>
      </c>
      <c r="C122" s="190">
        <v>6986249211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73461708026</v>
      </c>
      <c r="D123" s="205"/>
      <c r="F123" s="204"/>
      <c r="H123" s="75"/>
    </row>
    <row r="124" spans="1:13" x14ac:dyDescent="0.2">
      <c r="B124" s="189" t="s">
        <v>25</v>
      </c>
      <c r="C124" s="192">
        <v>120050263.05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15554411.0286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387" priority="48" stopIfTrue="1" operator="lessThan">
      <formula>0</formula>
    </cfRule>
  </conditionalFormatting>
  <conditionalFormatting sqref="C7:C9">
    <cfRule type="cellIs" dxfId="1386" priority="47" stopIfTrue="1" operator="lessThan">
      <formula>0</formula>
    </cfRule>
  </conditionalFormatting>
  <conditionalFormatting sqref="C10:C13">
    <cfRule type="cellIs" dxfId="1385" priority="45" stopIfTrue="1" operator="lessThan">
      <formula>0</formula>
    </cfRule>
  </conditionalFormatting>
  <conditionalFormatting sqref="C104">
    <cfRule type="cellIs" dxfId="1384" priority="44" stopIfTrue="1" operator="lessThan">
      <formula>0</formula>
    </cfRule>
  </conditionalFormatting>
  <conditionalFormatting sqref="C7">
    <cfRule type="cellIs" dxfId="1383" priority="46" stopIfTrue="1" operator="lessThan">
      <formula>0</formula>
    </cfRule>
  </conditionalFormatting>
  <conditionalFormatting sqref="C29:C33">
    <cfRule type="cellIs" dxfId="1382" priority="39" stopIfTrue="1" operator="lessThan">
      <formula>0</formula>
    </cfRule>
  </conditionalFormatting>
  <conditionalFormatting sqref="G7:G9">
    <cfRule type="cellIs" dxfId="1381" priority="42" stopIfTrue="1" operator="lessThan">
      <formula>0</formula>
    </cfRule>
  </conditionalFormatting>
  <conditionalFormatting sqref="C22">
    <cfRule type="cellIs" dxfId="1380" priority="37" stopIfTrue="1" operator="lessThan">
      <formula>0</formula>
    </cfRule>
  </conditionalFormatting>
  <conditionalFormatting sqref="C25:C28">
    <cfRule type="cellIs" dxfId="1379" priority="36" stopIfTrue="1" operator="lessThan">
      <formula>0</formula>
    </cfRule>
  </conditionalFormatting>
  <conditionalFormatting sqref="G14:G18">
    <cfRule type="cellIs" dxfId="1378" priority="43" stopIfTrue="1" operator="lessThan">
      <formula>0</formula>
    </cfRule>
  </conditionalFormatting>
  <conditionalFormatting sqref="G7">
    <cfRule type="cellIs" dxfId="1377" priority="41" stopIfTrue="1" operator="lessThan">
      <formula>0</formula>
    </cfRule>
  </conditionalFormatting>
  <conditionalFormatting sqref="G10:G13">
    <cfRule type="cellIs" dxfId="1376" priority="40" stopIfTrue="1" operator="lessThan">
      <formula>0</formula>
    </cfRule>
  </conditionalFormatting>
  <conditionalFormatting sqref="C22:C24">
    <cfRule type="cellIs" dxfId="1375" priority="38" stopIfTrue="1" operator="lessThan">
      <formula>0</formula>
    </cfRule>
  </conditionalFormatting>
  <conditionalFormatting sqref="G22">
    <cfRule type="cellIs" dxfId="1374" priority="33" stopIfTrue="1" operator="lessThan">
      <formula>0</formula>
    </cfRule>
  </conditionalFormatting>
  <conditionalFormatting sqref="G29:G33">
    <cfRule type="cellIs" dxfId="1373" priority="35" stopIfTrue="1" operator="lessThan">
      <formula>0</formula>
    </cfRule>
  </conditionalFormatting>
  <conditionalFormatting sqref="G22:G24">
    <cfRule type="cellIs" dxfId="1372" priority="34" stopIfTrue="1" operator="lessThan">
      <formula>0</formula>
    </cfRule>
  </conditionalFormatting>
  <conditionalFormatting sqref="G25:G28">
    <cfRule type="cellIs" dxfId="1371" priority="32" stopIfTrue="1" operator="lessThan">
      <formula>0</formula>
    </cfRule>
  </conditionalFormatting>
  <conditionalFormatting sqref="C40:C43">
    <cfRule type="cellIs" dxfId="1370" priority="28" stopIfTrue="1" operator="lessThan">
      <formula>0</formula>
    </cfRule>
  </conditionalFormatting>
  <conditionalFormatting sqref="G44:G48">
    <cfRule type="cellIs" dxfId="1369" priority="27" stopIfTrue="1" operator="lessThan">
      <formula>0</formula>
    </cfRule>
  </conditionalFormatting>
  <conditionalFormatting sqref="G37">
    <cfRule type="cellIs" dxfId="1368" priority="25" stopIfTrue="1" operator="lessThan">
      <formula>0</formula>
    </cfRule>
  </conditionalFormatting>
  <conditionalFormatting sqref="C44:C48">
    <cfRule type="cellIs" dxfId="1367" priority="31" stopIfTrue="1" operator="lessThan">
      <formula>0</formula>
    </cfRule>
  </conditionalFormatting>
  <conditionalFormatting sqref="C37:C39">
    <cfRule type="cellIs" dxfId="1366" priority="30" stopIfTrue="1" operator="lessThan">
      <formula>0</formula>
    </cfRule>
  </conditionalFormatting>
  <conditionalFormatting sqref="C37">
    <cfRule type="cellIs" dxfId="1365" priority="29" stopIfTrue="1" operator="lessThan">
      <formula>0</formula>
    </cfRule>
  </conditionalFormatting>
  <conditionalFormatting sqref="C56:C59">
    <cfRule type="cellIs" dxfId="1364" priority="20" stopIfTrue="1" operator="lessThan">
      <formula>0</formula>
    </cfRule>
  </conditionalFormatting>
  <conditionalFormatting sqref="G60:G63">
    <cfRule type="cellIs" dxfId="1363" priority="19" stopIfTrue="1" operator="lessThan">
      <formula>0</formula>
    </cfRule>
  </conditionalFormatting>
  <conditionalFormatting sqref="G37:G39">
    <cfRule type="cellIs" dxfId="1362" priority="26" stopIfTrue="1" operator="lessThan">
      <formula>0</formula>
    </cfRule>
  </conditionalFormatting>
  <conditionalFormatting sqref="G53">
    <cfRule type="cellIs" dxfId="1361" priority="17" stopIfTrue="1" operator="lessThan">
      <formula>0</formula>
    </cfRule>
  </conditionalFormatting>
  <conditionalFormatting sqref="G40:G43">
    <cfRule type="cellIs" dxfId="1360" priority="24" stopIfTrue="1" operator="lessThan">
      <formula>0</formula>
    </cfRule>
  </conditionalFormatting>
  <conditionalFormatting sqref="C60:C64">
    <cfRule type="cellIs" dxfId="1359" priority="23" stopIfTrue="1" operator="lessThan">
      <formula>0</formula>
    </cfRule>
  </conditionalFormatting>
  <conditionalFormatting sqref="C53:C55">
    <cfRule type="cellIs" dxfId="1358" priority="22" stopIfTrue="1" operator="lessThan">
      <formula>0</formula>
    </cfRule>
  </conditionalFormatting>
  <conditionalFormatting sqref="C53">
    <cfRule type="cellIs" dxfId="1357" priority="21" stopIfTrue="1" operator="lessThan">
      <formula>0</formula>
    </cfRule>
  </conditionalFormatting>
  <conditionalFormatting sqref="G53:G55">
    <cfRule type="cellIs" dxfId="1356" priority="18" stopIfTrue="1" operator="lessThan">
      <formula>0</formula>
    </cfRule>
  </conditionalFormatting>
  <conditionalFormatting sqref="G56:G59">
    <cfRule type="cellIs" dxfId="1355" priority="16" stopIfTrue="1" operator="lessThan">
      <formula>0</formula>
    </cfRule>
  </conditionalFormatting>
  <conditionalFormatting sqref="C75:C78">
    <cfRule type="cellIs" dxfId="1354" priority="15" stopIfTrue="1" operator="lessThan">
      <formula>0</formula>
    </cfRule>
  </conditionalFormatting>
  <conditionalFormatting sqref="C68:C70">
    <cfRule type="cellIs" dxfId="1353" priority="14" stopIfTrue="1" operator="lessThan">
      <formula>0</formula>
    </cfRule>
  </conditionalFormatting>
  <conditionalFormatting sqref="C68">
    <cfRule type="cellIs" dxfId="1352" priority="13" stopIfTrue="1" operator="lessThan">
      <formula>0</formula>
    </cfRule>
  </conditionalFormatting>
  <conditionalFormatting sqref="C71:C74">
    <cfRule type="cellIs" dxfId="1351" priority="12" stopIfTrue="1" operator="lessThan">
      <formula>0</formula>
    </cfRule>
  </conditionalFormatting>
  <conditionalFormatting sqref="G75:G79">
    <cfRule type="cellIs" dxfId="1350" priority="11" stopIfTrue="1" operator="lessThan">
      <formula>0</formula>
    </cfRule>
  </conditionalFormatting>
  <conditionalFormatting sqref="G68:G70">
    <cfRule type="cellIs" dxfId="1349" priority="10" stopIfTrue="1" operator="lessThan">
      <formula>0</formula>
    </cfRule>
  </conditionalFormatting>
  <conditionalFormatting sqref="G68">
    <cfRule type="cellIs" dxfId="1348" priority="9" stopIfTrue="1" operator="lessThan">
      <formula>0</formula>
    </cfRule>
  </conditionalFormatting>
  <conditionalFormatting sqref="G71:G74">
    <cfRule type="cellIs" dxfId="1347" priority="8" stopIfTrue="1" operator="lessThan">
      <formula>0</formula>
    </cfRule>
  </conditionalFormatting>
  <conditionalFormatting sqref="G64">
    <cfRule type="cellIs" dxfId="1346" priority="7" stopIfTrue="1" operator="lessThan">
      <formula>0</formula>
    </cfRule>
  </conditionalFormatting>
  <conditionalFormatting sqref="C79">
    <cfRule type="cellIs" dxfId="1345" priority="6" stopIfTrue="1" operator="lessThan">
      <formula>0</formula>
    </cfRule>
  </conditionalFormatting>
  <conditionalFormatting sqref="C90:C93">
    <cfRule type="cellIs" dxfId="1344" priority="5" stopIfTrue="1" operator="lessThan">
      <formula>0</formula>
    </cfRule>
  </conditionalFormatting>
  <conditionalFormatting sqref="C83:C85">
    <cfRule type="cellIs" dxfId="1343" priority="4" stopIfTrue="1" operator="lessThan">
      <formula>0</formula>
    </cfRule>
  </conditionalFormatting>
  <conditionalFormatting sqref="C83">
    <cfRule type="cellIs" dxfId="1342" priority="3" stopIfTrue="1" operator="lessThan">
      <formula>0</formula>
    </cfRule>
  </conditionalFormatting>
  <conditionalFormatting sqref="C86:C89">
    <cfRule type="cellIs" dxfId="1341" priority="2" stopIfTrue="1" operator="lessThan">
      <formula>0</formula>
    </cfRule>
  </conditionalFormatting>
  <conditionalFormatting sqref="C94">
    <cfRule type="cellIs" dxfId="1340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43083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/>
      <c r="D7" s="67" t="str">
        <f>+IF(C7/$F$120=0,"",C7/$F$120)</f>
        <v/>
      </c>
      <c r="E7" s="68"/>
      <c r="F7" s="199" t="s">
        <v>5</v>
      </c>
      <c r="G7" s="66">
        <v>758965</v>
      </c>
      <c r="H7" s="200">
        <f>+IF(G7/$C$122=0,"",G7/$C$122)</f>
        <v>1.0871803606192061E-4</v>
      </c>
      <c r="I7" s="70"/>
    </row>
    <row r="8" spans="1:9" x14ac:dyDescent="0.2">
      <c r="B8" s="199" t="s">
        <v>6</v>
      </c>
      <c r="C8" s="66">
        <v>4526370</v>
      </c>
      <c r="D8" s="67">
        <f>+IF(C8/$F$120=0,"",C8/$F$120)</f>
        <v>7.7286222319314683E-5</v>
      </c>
      <c r="E8" s="68"/>
      <c r="F8" s="199" t="s">
        <v>6</v>
      </c>
      <c r="G8" s="66">
        <v>37666</v>
      </c>
      <c r="H8" s="200">
        <f>+IF(G8/$C$122=0,"",G8/$C$122)</f>
        <v>5.3954708666516922E-6</v>
      </c>
    </row>
    <row r="9" spans="1:9" x14ac:dyDescent="0.2">
      <c r="B9" s="199" t="s">
        <v>7</v>
      </c>
      <c r="C9" s="71">
        <v>120996</v>
      </c>
      <c r="D9" s="67">
        <f>+IF(C9/$F$120=0,"",C9/$F$120)</f>
        <v>2.0659653885448603E-6</v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-197857</v>
      </c>
      <c r="H11" s="200">
        <f t="shared" si="0"/>
        <v>-2.8342050636199858E-5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2310403</v>
      </c>
      <c r="H14" s="200">
        <f t="shared" si="0"/>
        <v>3.3095396582394387E-4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-55904</v>
      </c>
      <c r="D18" s="67">
        <f>+IF(C18/$F$120=0,"",C18/$F$120)</f>
        <v>-9.5454171279390941E-7</v>
      </c>
      <c r="E18" s="75"/>
      <c r="F18" s="199" t="s">
        <v>16</v>
      </c>
      <c r="G18" s="72">
        <v>-26100</v>
      </c>
      <c r="H18" s="200">
        <f t="shared" si="0"/>
        <v>-3.7386977544631542E-6</v>
      </c>
    </row>
    <row r="19" spans="2:9" s="80" customFormat="1" x14ac:dyDescent="0.2">
      <c r="B19" s="201" t="s">
        <v>17</v>
      </c>
      <c r="C19" s="77">
        <v>-168520</v>
      </c>
      <c r="D19" s="78">
        <f>SUM(D7:D18)</f>
        <v>7.8397645995065642E-5</v>
      </c>
      <c r="E19" s="79"/>
      <c r="F19" s="201" t="s">
        <v>17</v>
      </c>
      <c r="G19" s="77">
        <f>SUM(G7:G18)</f>
        <v>2883077</v>
      </c>
      <c r="H19" s="78">
        <f>SUM(H7:H18)</f>
        <v>4.1298672436185317E-4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2580.6064000000001</v>
      </c>
      <c r="D22" s="200">
        <f>+IF(C22/$F$121=0,"",C22/$F$121)</f>
        <v>7.0329198708273032E-5</v>
      </c>
      <c r="E22" s="75"/>
      <c r="F22" s="199" t="s">
        <v>5</v>
      </c>
      <c r="G22" s="66">
        <v>1770006</v>
      </c>
      <c r="H22" s="200">
        <f t="shared" ref="H22:H33" si="2">+IF(G22/$C$115=0,"",G22/$C$115)</f>
        <v>7.8598268907503953E-5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214944</v>
      </c>
      <c r="H23" s="200">
        <f t="shared" si="2"/>
        <v>9.5447282732682992E-6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81.05</v>
      </c>
      <c r="D26" s="200">
        <f>+IF(C26/$F$121=0,"",C26/$F$121)</f>
        <v>2.2088535296609076E-6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-348007.0950325196</v>
      </c>
      <c r="D27" s="200">
        <f t="shared" ref="D27:D33" si="3">+IF(C27/$F$121=0,"",C27/$F$121)</f>
        <v>-9.4842282567503995E-3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1625602</v>
      </c>
      <c r="H29" s="200">
        <f t="shared" si="2"/>
        <v>7.2185915263889636E-5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347083.64399999997</v>
      </c>
      <c r="D31" s="200">
        <f t="shared" si="3"/>
        <v>9.459061469919431E-3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-201.06</v>
      </c>
      <c r="D33" s="200">
        <f t="shared" si="3"/>
        <v>-5.4794829200940424E-6</v>
      </c>
      <c r="E33" s="75"/>
      <c r="F33" s="199" t="s">
        <v>16</v>
      </c>
      <c r="G33" s="72">
        <v>-42321</v>
      </c>
      <c r="H33" s="200">
        <f t="shared" si="2"/>
        <v>-1.8792915608390448E-6</v>
      </c>
    </row>
    <row r="34" spans="1:13" s="80" customFormat="1" x14ac:dyDescent="0.2">
      <c r="B34" s="201" t="s">
        <v>17</v>
      </c>
      <c r="C34" s="203">
        <v>1583.5362386528932</v>
      </c>
      <c r="D34" s="78">
        <f>SUM(D22:D33)</f>
        <v>4.1891782486870637E-5</v>
      </c>
      <c r="E34" s="79"/>
      <c r="F34" s="201" t="s">
        <v>17</v>
      </c>
      <c r="G34" s="203">
        <f>SUM(G22:G33)</f>
        <v>3568231</v>
      </c>
      <c r="H34" s="78">
        <f>SUM(H22:H33)</f>
        <v>1.5844962088382283E-4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4259550</v>
      </c>
      <c r="D37" s="200">
        <f t="shared" ref="D37:D48" si="4">+IF(C37/$C$123=0,"",C37/$C$123)</f>
        <v>5.80711491670486E-5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1091161</v>
      </c>
      <c r="D38" s="200">
        <f t="shared" si="4"/>
        <v>1.4875978259737745E-5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-1667647</v>
      </c>
      <c r="H39" s="200">
        <f t="shared" si="5"/>
        <v>-3.6174085639935794E-4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2223227</v>
      </c>
      <c r="D44" s="200">
        <f t="shared" si="4"/>
        <v>3.0309621145240685E-5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9303576</v>
      </c>
      <c r="D45" s="200">
        <f t="shared" si="4"/>
        <v>1.2683718930003716E-4</v>
      </c>
      <c r="E45" s="68"/>
      <c r="F45" s="199" t="s">
        <v>13</v>
      </c>
      <c r="G45" s="72">
        <v>15303718</v>
      </c>
      <c r="H45" s="200">
        <f t="shared" si="5"/>
        <v>3.319635423692346E-3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-88201</v>
      </c>
      <c r="D48" s="200">
        <f t="shared" si="4"/>
        <v>-1.2024588108328E-6</v>
      </c>
      <c r="E48" s="68"/>
      <c r="F48" s="199" t="s">
        <v>16</v>
      </c>
      <c r="G48" s="72">
        <v>-16032</v>
      </c>
      <c r="H48" s="200">
        <f t="shared" si="5"/>
        <v>-3.4776121144309958E-6</v>
      </c>
    </row>
    <row r="49" spans="2:10" s="80" customFormat="1" x14ac:dyDescent="0.2">
      <c r="B49" s="201" t="s">
        <v>17</v>
      </c>
      <c r="C49" s="77">
        <f>SUM(C37:C48)</f>
        <v>16789313</v>
      </c>
      <c r="D49" s="78">
        <f>SUM(D37:D48)</f>
        <v>2.2889147906123139E-4</v>
      </c>
      <c r="E49" s="79"/>
      <c r="F49" s="201" t="s">
        <v>17</v>
      </c>
      <c r="G49" s="77">
        <f>SUM(G37:G48)</f>
        <v>13620039</v>
      </c>
      <c r="H49" s="78">
        <f>SUM(H37:H48)</f>
        <v>2.954416955178557E-3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14911.530699999999</v>
      </c>
      <c r="H53" s="200">
        <f t="shared" ref="H53:H64" si="7">+IF(G53/$C$124=0,"",G53/$C$124)</f>
        <v>1.3291263564117672E-4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-120629</v>
      </c>
      <c r="D55" s="200">
        <f t="shared" si="6"/>
        <v>-5.9025597188817687E-6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-79789.509999999995</v>
      </c>
      <c r="H60" s="200">
        <f t="shared" si="7"/>
        <v>-7.1119687736806436E-4</v>
      </c>
    </row>
    <row r="61" spans="2:10" x14ac:dyDescent="0.2">
      <c r="B61" s="199" t="s">
        <v>13</v>
      </c>
      <c r="C61" s="72">
        <v>81377057</v>
      </c>
      <c r="D61" s="200">
        <f t="shared" si="6"/>
        <v>3.9819026825170202E-3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6259381</v>
      </c>
      <c r="D63" s="200">
        <f t="shared" si="6"/>
        <v>3.0628099508189473E-4</v>
      </c>
      <c r="E63" s="68"/>
      <c r="F63" s="199" t="s">
        <v>15</v>
      </c>
      <c r="G63" s="92">
        <v>7461.2299000000003</v>
      </c>
      <c r="H63" s="200">
        <f t="shared" si="7"/>
        <v>6.6505025613081657E-5</v>
      </c>
    </row>
    <row r="64" spans="2:10" x14ac:dyDescent="0.2">
      <c r="B64" s="199" t="s">
        <v>16</v>
      </c>
      <c r="C64" s="72">
        <v>-167973</v>
      </c>
      <c r="D64" s="200">
        <f t="shared" si="6"/>
        <v>-8.2191733634509723E-6</v>
      </c>
      <c r="E64" s="68"/>
      <c r="F64" s="199" t="s">
        <v>16</v>
      </c>
      <c r="G64" s="92">
        <v>-108.17</v>
      </c>
      <c r="H64" s="200">
        <f t="shared" si="7"/>
        <v>-9.6416391358843451E-7</v>
      </c>
    </row>
    <row r="65" spans="2:8" s="80" customFormat="1" x14ac:dyDescent="0.2">
      <c r="B65" s="201" t="s">
        <v>17</v>
      </c>
      <c r="C65" s="77">
        <f>SUM(C53:C64)</f>
        <v>87347836</v>
      </c>
      <c r="D65" s="78">
        <f>SUM(D53:D64)</f>
        <v>4.2740619445165821E-3</v>
      </c>
      <c r="E65" s="79"/>
      <c r="F65" s="201" t="s">
        <v>17</v>
      </c>
      <c r="G65" s="203">
        <f>SUM(G53:G64)</f>
        <v>-57524.919399999992</v>
      </c>
      <c r="H65" s="78">
        <f>SUM(H53:H64)</f>
        <v>-5.1274338002739439E-4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-166669</v>
      </c>
      <c r="D72" s="200">
        <f t="shared" si="8"/>
        <v>-1.2264875806638713E-5</v>
      </c>
      <c r="E72" s="68"/>
      <c r="F72" s="199" t="s">
        <v>9</v>
      </c>
      <c r="G72" s="66">
        <v>-2527206</v>
      </c>
      <c r="H72" s="200">
        <f t="shared" si="9"/>
        <v>-3.6924241000910386E-4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-55479066</v>
      </c>
      <c r="D76" s="200">
        <f t="shared" si="8"/>
        <v>-4.0826059696662991E-3</v>
      </c>
      <c r="E76" s="68"/>
      <c r="F76" s="199" t="s">
        <v>13</v>
      </c>
      <c r="G76" s="72">
        <v>8977931</v>
      </c>
      <c r="H76" s="200">
        <f t="shared" si="9"/>
        <v>1.3117382909566707E-3</v>
      </c>
    </row>
    <row r="77" spans="2:8" x14ac:dyDescent="0.2">
      <c r="B77" s="199" t="s">
        <v>14</v>
      </c>
      <c r="C77" s="66">
        <v>-166789904</v>
      </c>
      <c r="D77" s="200">
        <f t="shared" si="8"/>
        <v>-1.2273772917346317E-2</v>
      </c>
      <c r="E77" s="68"/>
      <c r="F77" s="199" t="s">
        <v>14</v>
      </c>
      <c r="G77" s="66">
        <v>-90798008</v>
      </c>
      <c r="H77" s="200">
        <f t="shared" si="9"/>
        <v>-1.3266221787201318E-2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-21162</v>
      </c>
      <c r="D79" s="200">
        <f t="shared" si="8"/>
        <v>-1.5572740090844034E-6</v>
      </c>
      <c r="E79" s="68"/>
      <c r="F79" s="199" t="s">
        <v>16</v>
      </c>
      <c r="G79" s="72">
        <v>-16080</v>
      </c>
      <c r="H79" s="200">
        <f t="shared" si="9"/>
        <v>-2.3494000698583299E-6</v>
      </c>
    </row>
    <row r="80" spans="2:8" s="80" customFormat="1" x14ac:dyDescent="0.2">
      <c r="B80" s="201" t="s">
        <v>17</v>
      </c>
      <c r="C80" s="77">
        <f>SUM(C68:C79)</f>
        <v>-222456801</v>
      </c>
      <c r="D80" s="78">
        <f>SUM(D68:D79)</f>
        <v>-1.637020103682834E-2</v>
      </c>
      <c r="E80" s="79"/>
      <c r="F80" s="201" t="s">
        <v>17</v>
      </c>
      <c r="G80" s="77">
        <f>SUM(G68:G79)</f>
        <v>-84363363</v>
      </c>
      <c r="H80" s="78">
        <f>SUM(H68:H79)</f>
        <v>-1.2326075306323609E-2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10788.333165447053</v>
      </c>
      <c r="D87" s="200">
        <f t="shared" si="10"/>
        <v>6.9527871257405805E-4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17674.521699999998</v>
      </c>
      <c r="D90" s="200">
        <f t="shared" si="10"/>
        <v>1.139074823189243E-3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-50570.106800000001</v>
      </c>
      <c r="D92" s="200">
        <f t="shared" si="10"/>
        <v>-3.2591057591035773E-3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/>
      <c r="D95" s="209">
        <f>SUM(D83:D94)</f>
        <v>-1.4247522233402762E-3</v>
      </c>
      <c r="G95" s="9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22519656280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20436726733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13589130671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4610059855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6844300469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56722223569</v>
      </c>
      <c r="D120" s="193">
        <v>1844101245</v>
      </c>
      <c r="F120" s="204">
        <f>+C120+D120</f>
        <v>58566324814</v>
      </c>
      <c r="G120" s="197"/>
      <c r="H120" s="197"/>
    </row>
    <row r="121" spans="1:13" x14ac:dyDescent="0.2">
      <c r="B121" s="189" t="s">
        <v>18</v>
      </c>
      <c r="C121" s="192">
        <v>36693243.310000002</v>
      </c>
      <c r="D121" s="193"/>
      <c r="F121" s="204">
        <f>+C121+D121</f>
        <v>36693243.310000002</v>
      </c>
      <c r="H121" s="75"/>
    </row>
    <row r="122" spans="1:13" x14ac:dyDescent="0.2">
      <c r="B122" s="189" t="s">
        <v>4</v>
      </c>
      <c r="C122" s="190">
        <v>6981040382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73350537420</v>
      </c>
      <c r="D123" s="205"/>
      <c r="F123" s="204"/>
      <c r="H123" s="75"/>
    </row>
    <row r="124" spans="1:13" x14ac:dyDescent="0.2">
      <c r="B124" s="189" t="s">
        <v>25</v>
      </c>
      <c r="C124" s="192">
        <v>112190467.28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15516559.000500001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339" priority="48" stopIfTrue="1" operator="lessThan">
      <formula>0</formula>
    </cfRule>
  </conditionalFormatting>
  <conditionalFormatting sqref="C7:C9">
    <cfRule type="cellIs" dxfId="1338" priority="47" stopIfTrue="1" operator="lessThan">
      <formula>0</formula>
    </cfRule>
  </conditionalFormatting>
  <conditionalFormatting sqref="C10:C13">
    <cfRule type="cellIs" dxfId="1337" priority="45" stopIfTrue="1" operator="lessThan">
      <formula>0</formula>
    </cfRule>
  </conditionalFormatting>
  <conditionalFormatting sqref="C104">
    <cfRule type="cellIs" dxfId="1336" priority="44" stopIfTrue="1" operator="lessThan">
      <formula>0</formula>
    </cfRule>
  </conditionalFormatting>
  <conditionalFormatting sqref="C7">
    <cfRule type="cellIs" dxfId="1335" priority="46" stopIfTrue="1" operator="lessThan">
      <formula>0</formula>
    </cfRule>
  </conditionalFormatting>
  <conditionalFormatting sqref="C29:C33">
    <cfRule type="cellIs" dxfId="1334" priority="39" stopIfTrue="1" operator="lessThan">
      <formula>0</formula>
    </cfRule>
  </conditionalFormatting>
  <conditionalFormatting sqref="G7:G9">
    <cfRule type="cellIs" dxfId="1333" priority="42" stopIfTrue="1" operator="lessThan">
      <formula>0</formula>
    </cfRule>
  </conditionalFormatting>
  <conditionalFormatting sqref="C22">
    <cfRule type="cellIs" dxfId="1332" priority="37" stopIfTrue="1" operator="lessThan">
      <formula>0</formula>
    </cfRule>
  </conditionalFormatting>
  <conditionalFormatting sqref="C25:C28">
    <cfRule type="cellIs" dxfId="1331" priority="36" stopIfTrue="1" operator="lessThan">
      <formula>0</formula>
    </cfRule>
  </conditionalFormatting>
  <conditionalFormatting sqref="G14:G18">
    <cfRule type="cellIs" dxfId="1330" priority="43" stopIfTrue="1" operator="lessThan">
      <formula>0</formula>
    </cfRule>
  </conditionalFormatting>
  <conditionalFormatting sqref="G7">
    <cfRule type="cellIs" dxfId="1329" priority="41" stopIfTrue="1" operator="lessThan">
      <formula>0</formula>
    </cfRule>
  </conditionalFormatting>
  <conditionalFormatting sqref="G10:G13">
    <cfRule type="cellIs" dxfId="1328" priority="40" stopIfTrue="1" operator="lessThan">
      <formula>0</formula>
    </cfRule>
  </conditionalFormatting>
  <conditionalFormatting sqref="C22:C24">
    <cfRule type="cellIs" dxfId="1327" priority="38" stopIfTrue="1" operator="lessThan">
      <formula>0</formula>
    </cfRule>
  </conditionalFormatting>
  <conditionalFormatting sqref="G22">
    <cfRule type="cellIs" dxfId="1326" priority="33" stopIfTrue="1" operator="lessThan">
      <formula>0</formula>
    </cfRule>
  </conditionalFormatting>
  <conditionalFormatting sqref="G29:G33">
    <cfRule type="cellIs" dxfId="1325" priority="35" stopIfTrue="1" operator="lessThan">
      <formula>0</formula>
    </cfRule>
  </conditionalFormatting>
  <conditionalFormatting sqref="G22:G24">
    <cfRule type="cellIs" dxfId="1324" priority="34" stopIfTrue="1" operator="lessThan">
      <formula>0</formula>
    </cfRule>
  </conditionalFormatting>
  <conditionalFormatting sqref="G25:G28">
    <cfRule type="cellIs" dxfId="1323" priority="32" stopIfTrue="1" operator="lessThan">
      <formula>0</formula>
    </cfRule>
  </conditionalFormatting>
  <conditionalFormatting sqref="C40:C43">
    <cfRule type="cellIs" dxfId="1322" priority="28" stopIfTrue="1" operator="lessThan">
      <formula>0</formula>
    </cfRule>
  </conditionalFormatting>
  <conditionalFormatting sqref="G44:G48">
    <cfRule type="cellIs" dxfId="1321" priority="27" stopIfTrue="1" operator="lessThan">
      <formula>0</formula>
    </cfRule>
  </conditionalFormatting>
  <conditionalFormatting sqref="G37">
    <cfRule type="cellIs" dxfId="1320" priority="25" stopIfTrue="1" operator="lessThan">
      <formula>0</formula>
    </cfRule>
  </conditionalFormatting>
  <conditionalFormatting sqref="C44:C48">
    <cfRule type="cellIs" dxfId="1319" priority="31" stopIfTrue="1" operator="lessThan">
      <formula>0</formula>
    </cfRule>
  </conditionalFormatting>
  <conditionalFormatting sqref="C37:C39">
    <cfRule type="cellIs" dxfId="1318" priority="30" stopIfTrue="1" operator="lessThan">
      <formula>0</formula>
    </cfRule>
  </conditionalFormatting>
  <conditionalFormatting sqref="C37">
    <cfRule type="cellIs" dxfId="1317" priority="29" stopIfTrue="1" operator="lessThan">
      <formula>0</formula>
    </cfRule>
  </conditionalFormatting>
  <conditionalFormatting sqref="C56:C59">
    <cfRule type="cellIs" dxfId="1316" priority="20" stopIfTrue="1" operator="lessThan">
      <formula>0</formula>
    </cfRule>
  </conditionalFormatting>
  <conditionalFormatting sqref="G60:G63">
    <cfRule type="cellIs" dxfId="1315" priority="19" stopIfTrue="1" operator="lessThan">
      <formula>0</formula>
    </cfRule>
  </conditionalFormatting>
  <conditionalFormatting sqref="G37:G39">
    <cfRule type="cellIs" dxfId="1314" priority="26" stopIfTrue="1" operator="lessThan">
      <formula>0</formula>
    </cfRule>
  </conditionalFormatting>
  <conditionalFormatting sqref="G53">
    <cfRule type="cellIs" dxfId="1313" priority="17" stopIfTrue="1" operator="lessThan">
      <formula>0</formula>
    </cfRule>
  </conditionalFormatting>
  <conditionalFormatting sqref="G40:G43">
    <cfRule type="cellIs" dxfId="1312" priority="24" stopIfTrue="1" operator="lessThan">
      <formula>0</formula>
    </cfRule>
  </conditionalFormatting>
  <conditionalFormatting sqref="C60:C64">
    <cfRule type="cellIs" dxfId="1311" priority="23" stopIfTrue="1" operator="lessThan">
      <formula>0</formula>
    </cfRule>
  </conditionalFormatting>
  <conditionalFormatting sqref="C53:C55">
    <cfRule type="cellIs" dxfId="1310" priority="22" stopIfTrue="1" operator="lessThan">
      <formula>0</formula>
    </cfRule>
  </conditionalFormatting>
  <conditionalFormatting sqref="C53">
    <cfRule type="cellIs" dxfId="1309" priority="21" stopIfTrue="1" operator="lessThan">
      <formula>0</formula>
    </cfRule>
  </conditionalFormatting>
  <conditionalFormatting sqref="G53:G55">
    <cfRule type="cellIs" dxfId="1308" priority="18" stopIfTrue="1" operator="lessThan">
      <formula>0</formula>
    </cfRule>
  </conditionalFormatting>
  <conditionalFormatting sqref="G56:G59">
    <cfRule type="cellIs" dxfId="1307" priority="16" stopIfTrue="1" operator="lessThan">
      <formula>0</formula>
    </cfRule>
  </conditionalFormatting>
  <conditionalFormatting sqref="C75:C78">
    <cfRule type="cellIs" dxfId="1306" priority="15" stopIfTrue="1" operator="lessThan">
      <formula>0</formula>
    </cfRule>
  </conditionalFormatting>
  <conditionalFormatting sqref="C68:C70">
    <cfRule type="cellIs" dxfId="1305" priority="14" stopIfTrue="1" operator="lessThan">
      <formula>0</formula>
    </cfRule>
  </conditionalFormatting>
  <conditionalFormatting sqref="C68">
    <cfRule type="cellIs" dxfId="1304" priority="13" stopIfTrue="1" operator="lessThan">
      <formula>0</formula>
    </cfRule>
  </conditionalFormatting>
  <conditionalFormatting sqref="C71:C74">
    <cfRule type="cellIs" dxfId="1303" priority="12" stopIfTrue="1" operator="lessThan">
      <formula>0</formula>
    </cfRule>
  </conditionalFormatting>
  <conditionalFormatting sqref="G75:G79">
    <cfRule type="cellIs" dxfId="1302" priority="11" stopIfTrue="1" operator="lessThan">
      <formula>0</formula>
    </cfRule>
  </conditionalFormatting>
  <conditionalFormatting sqref="G68:G70">
    <cfRule type="cellIs" dxfId="1301" priority="10" stopIfTrue="1" operator="lessThan">
      <formula>0</formula>
    </cfRule>
  </conditionalFormatting>
  <conditionalFormatting sqref="G68">
    <cfRule type="cellIs" dxfId="1300" priority="9" stopIfTrue="1" operator="lessThan">
      <formula>0</formula>
    </cfRule>
  </conditionalFormatting>
  <conditionalFormatting sqref="G71:G74">
    <cfRule type="cellIs" dxfId="1299" priority="8" stopIfTrue="1" operator="lessThan">
      <formula>0</formula>
    </cfRule>
  </conditionalFormatting>
  <conditionalFormatting sqref="G64">
    <cfRule type="cellIs" dxfId="1298" priority="7" stopIfTrue="1" operator="lessThan">
      <formula>0</formula>
    </cfRule>
  </conditionalFormatting>
  <conditionalFormatting sqref="C79">
    <cfRule type="cellIs" dxfId="1297" priority="6" stopIfTrue="1" operator="lessThan">
      <formula>0</formula>
    </cfRule>
  </conditionalFormatting>
  <conditionalFormatting sqref="C90:C93">
    <cfRule type="cellIs" dxfId="1296" priority="5" stopIfTrue="1" operator="lessThan">
      <formula>0</formula>
    </cfRule>
  </conditionalFormatting>
  <conditionalFormatting sqref="C83:C85">
    <cfRule type="cellIs" dxfId="1295" priority="4" stopIfTrue="1" operator="lessThan">
      <formula>0</formula>
    </cfRule>
  </conditionalFormatting>
  <conditionalFormatting sqref="C83">
    <cfRule type="cellIs" dxfId="1294" priority="3" stopIfTrue="1" operator="lessThan">
      <formula>0</formula>
    </cfRule>
  </conditionalFormatting>
  <conditionalFormatting sqref="C86:C89">
    <cfRule type="cellIs" dxfId="1293" priority="2" stopIfTrue="1" operator="lessThan">
      <formula>0</formula>
    </cfRule>
  </conditionalFormatting>
  <conditionalFormatting sqref="C94">
    <cfRule type="cellIs" dxfId="1292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43084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5123503</v>
      </c>
      <c r="D7" s="67">
        <f>+IF(C7/$F$120=0,"",C7/$F$120)</f>
        <v>7.9306109787834168E-5</v>
      </c>
      <c r="E7" s="68"/>
      <c r="F7" s="199" t="s">
        <v>5</v>
      </c>
      <c r="G7" s="66">
        <v>740132</v>
      </c>
      <c r="H7" s="200">
        <f>+IF(G7/$C$122=0,"",G7/$C$122)</f>
        <v>1.0597870599568694E-4</v>
      </c>
      <c r="I7" s="70"/>
    </row>
    <row r="8" spans="1:9" x14ac:dyDescent="0.2">
      <c r="B8" s="199" t="s">
        <v>6</v>
      </c>
      <c r="C8" s="66">
        <v>28800</v>
      </c>
      <c r="D8" s="67">
        <f>+IF(C8/$F$120=0,"",C8/$F$120)</f>
        <v>4.4579186581712243E-7</v>
      </c>
      <c r="E8" s="68"/>
      <c r="F8" s="199" t="s">
        <v>6</v>
      </c>
      <c r="G8" s="66">
        <v>37254</v>
      </c>
      <c r="H8" s="200">
        <f>+IF(G8/$C$122=0,"",G8/$C$122)</f>
        <v>5.3343602400157284E-6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-47724</v>
      </c>
      <c r="H11" s="200">
        <f t="shared" si="0"/>
        <v>-6.8335482926534234E-6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4863911</v>
      </c>
      <c r="H14" s="200">
        <f t="shared" si="0"/>
        <v>6.9645819104995825E-4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-248922</v>
      </c>
      <c r="D18" s="67">
        <f>+IF(C18/$F$120=0,"",C18/$F$120)</f>
        <v>-3.8530348202406165E-6</v>
      </c>
      <c r="E18" s="75"/>
      <c r="F18" s="199" t="s">
        <v>16</v>
      </c>
      <c r="G18" s="72">
        <v>-26100</v>
      </c>
      <c r="H18" s="200">
        <f t="shared" si="0"/>
        <v>-3.7372309621627348E-6</v>
      </c>
    </row>
    <row r="19" spans="2:9" s="80" customFormat="1" x14ac:dyDescent="0.2">
      <c r="B19" s="201" t="s">
        <v>17</v>
      </c>
      <c r="C19" s="77">
        <f>SUM(C7:C18)</f>
        <v>4903381</v>
      </c>
      <c r="D19" s="78">
        <f>SUM(D7:D18)</f>
        <v>7.5898866833410672E-5</v>
      </c>
      <c r="E19" s="79"/>
      <c r="F19" s="201" t="s">
        <v>17</v>
      </c>
      <c r="G19" s="77">
        <f>SUM(G7:G18)</f>
        <v>5567473</v>
      </c>
      <c r="H19" s="78">
        <f>SUM(H7:H18)</f>
        <v>7.972004780308447E-4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2462.3173999999999</v>
      </c>
      <c r="D22" s="200">
        <f>+IF(C22/$F$121=0,"",C22/$F$121)</f>
        <v>7.0794886059797108E-5</v>
      </c>
      <c r="E22" s="75"/>
      <c r="F22" s="199" t="s">
        <v>5</v>
      </c>
      <c r="G22" s="66">
        <v>1828829</v>
      </c>
      <c r="H22" s="200">
        <f t="shared" ref="H22:H33" si="2">+IF(G22/$C$115=0,"",G22/$C$115)</f>
        <v>8.1484496207554031E-5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212522</v>
      </c>
      <c r="H23" s="200">
        <f t="shared" si="2"/>
        <v>9.4690362538114817E-6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26.556124979060769</v>
      </c>
      <c r="D26" s="200">
        <f>+IF(C26/$F$121=0,"",C26/$F$121)</f>
        <v>7.6352376102379769E-7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f>-102061.428409877-1000</f>
        <v>-103061.428409877</v>
      </c>
      <c r="D27" s="200">
        <f t="shared" ref="D27:D33" si="3">+IF(C27/$F$121=0,"",C27/$F$121)</f>
        <v>-2.9631525494792747E-3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109757</v>
      </c>
      <c r="H29" s="200">
        <f t="shared" si="2"/>
        <v>4.8902843569587464E-6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102159.9749</v>
      </c>
      <c r="D31" s="200">
        <f t="shared" si="3"/>
        <v>2.937234567289023E-3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70934</v>
      </c>
      <c r="H32" s="200">
        <f t="shared" si="2"/>
        <v>3.1605039366647387E-6</v>
      </c>
    </row>
    <row r="33" spans="1:13" x14ac:dyDescent="0.2">
      <c r="B33" s="199" t="s">
        <v>16</v>
      </c>
      <c r="C33" s="71">
        <v>-61.79</v>
      </c>
      <c r="D33" s="200">
        <f t="shared" si="3"/>
        <v>-1.7765443275651072E-6</v>
      </c>
      <c r="E33" s="75"/>
      <c r="F33" s="199" t="s">
        <v>16</v>
      </c>
      <c r="G33" s="72">
        <v>-80186</v>
      </c>
      <c r="H33" s="200">
        <f t="shared" si="2"/>
        <v>-3.5727319573885407E-6</v>
      </c>
    </row>
    <row r="34" spans="1:13" s="80" customFormat="1" x14ac:dyDescent="0.2">
      <c r="B34" s="201" t="s">
        <v>17</v>
      </c>
      <c r="C34" s="203">
        <f>SUM(C22:C33)</f>
        <v>1525.6300151020632</v>
      </c>
      <c r="D34" s="78">
        <f>SUM(D22:D33)</f>
        <v>4.386388330300387E-5</v>
      </c>
      <c r="E34" s="79"/>
      <c r="F34" s="201" t="s">
        <v>17</v>
      </c>
      <c r="G34" s="203">
        <f>SUM(G22:G33)</f>
        <v>2141856</v>
      </c>
      <c r="H34" s="78">
        <f>SUM(H22:H33)</f>
        <v>9.5431588797600453E-5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4504749</v>
      </c>
      <c r="D37" s="200">
        <f t="shared" ref="D37:D48" si="4">+IF(C37/$C$123=0,"",C37/$C$123)</f>
        <v>6.1590623294586826E-5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1079167</v>
      </c>
      <c r="D38" s="200">
        <f t="shared" si="4"/>
        <v>1.4754777273705902E-5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2198862</v>
      </c>
      <c r="H39" s="200">
        <f t="shared" si="5"/>
        <v>4.8358788655447561E-4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18438347</v>
      </c>
      <c r="D44" s="200">
        <f t="shared" si="4"/>
        <v>2.5209601783626019E-4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1330891</v>
      </c>
      <c r="D45" s="200">
        <f t="shared" si="4"/>
        <v>1.8196442515921743E-5</v>
      </c>
      <c r="E45" s="68"/>
      <c r="F45" s="199" t="s">
        <v>13</v>
      </c>
      <c r="G45" s="72">
        <v>59091770</v>
      </c>
      <c r="H45" s="200">
        <f t="shared" si="5"/>
        <v>1.2995842470815889E-2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>
        <v>112412</v>
      </c>
      <c r="H47" s="200">
        <f t="shared" si="5"/>
        <v>2.4722370709649679E-5</v>
      </c>
    </row>
    <row r="48" spans="1:13" x14ac:dyDescent="0.2">
      <c r="B48" s="199" t="s">
        <v>16</v>
      </c>
      <c r="C48" s="72">
        <v>-106646</v>
      </c>
      <c r="D48" s="200">
        <f t="shared" si="4"/>
        <v>-1.458104238854264E-6</v>
      </c>
      <c r="E48" s="68"/>
      <c r="F48" s="199" t="s">
        <v>16</v>
      </c>
      <c r="G48" s="72">
        <v>-37372</v>
      </c>
      <c r="H48" s="200">
        <f t="shared" si="5"/>
        <v>-8.2190908280346216E-6</v>
      </c>
    </row>
    <row r="49" spans="2:10" s="80" customFormat="1" x14ac:dyDescent="0.2">
      <c r="B49" s="201" t="s">
        <v>17</v>
      </c>
      <c r="C49" s="77">
        <f>SUM(C37:C48)</f>
        <v>25246508</v>
      </c>
      <c r="D49" s="78">
        <f>SUM(D37:D48)</f>
        <v>3.4517975668162039E-4</v>
      </c>
      <c r="E49" s="79"/>
      <c r="F49" s="201" t="s">
        <v>17</v>
      </c>
      <c r="G49" s="77">
        <f>SUM(G37:G48)</f>
        <v>61365672</v>
      </c>
      <c r="H49" s="78">
        <f>SUM(H37:H48)</f>
        <v>1.349593363725198E-2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12131.2402</v>
      </c>
      <c r="H53" s="200">
        <f t="shared" ref="H53:H64" si="7">+IF(G53/$C$124=0,"",G53/$C$124)</f>
        <v>1.1218978891636073E-4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14812744</v>
      </c>
      <c r="D55" s="200">
        <f t="shared" si="6"/>
        <v>7.3100489603824235E-4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-36789.040000000001</v>
      </c>
      <c r="H60" s="200">
        <f t="shared" si="7"/>
        <v>-3.4022528315246381E-4</v>
      </c>
    </row>
    <row r="61" spans="2:10" x14ac:dyDescent="0.2">
      <c r="B61" s="199" t="s">
        <v>13</v>
      </c>
      <c r="C61" s="72">
        <v>281510180</v>
      </c>
      <c r="D61" s="200">
        <f t="shared" si="6"/>
        <v>1.3892450977658621E-2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11879953</v>
      </c>
      <c r="D63" s="200">
        <f t="shared" si="6"/>
        <v>5.862724561839593E-4</v>
      </c>
      <c r="E63" s="68"/>
      <c r="F63" s="199" t="s">
        <v>15</v>
      </c>
      <c r="G63" s="92">
        <v>467.67</v>
      </c>
      <c r="H63" s="200">
        <f t="shared" si="7"/>
        <v>4.3250152265977241E-6</v>
      </c>
    </row>
    <row r="64" spans="2:10" x14ac:dyDescent="0.2">
      <c r="B64" s="199" t="s">
        <v>16</v>
      </c>
      <c r="C64" s="72">
        <v>-166550</v>
      </c>
      <c r="D64" s="200">
        <f t="shared" si="6"/>
        <v>-8.2191972962719987E-6</v>
      </c>
      <c r="E64" s="68"/>
      <c r="F64" s="199" t="s">
        <v>16</v>
      </c>
      <c r="G64" s="92">
        <v>-108.17</v>
      </c>
      <c r="H64" s="200">
        <f t="shared" si="7"/>
        <v>-1.0003568692904738E-6</v>
      </c>
    </row>
    <row r="65" spans="2:8" s="80" customFormat="1" x14ac:dyDescent="0.2">
      <c r="B65" s="201" t="s">
        <v>17</v>
      </c>
      <c r="C65" s="77">
        <f>SUM(C53:C64)</f>
        <v>308036327</v>
      </c>
      <c r="D65" s="78">
        <f>SUM(D53:D64)</f>
        <v>1.5201509132584551E-2</v>
      </c>
      <c r="E65" s="79"/>
      <c r="F65" s="201" t="s">
        <v>17</v>
      </c>
      <c r="G65" s="203">
        <f>SUM(G53:G64)</f>
        <v>-24298.299800000001</v>
      </c>
      <c r="H65" s="78">
        <f>SUM(H53:H64)</f>
        <v>-2.2471083587879582E-4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3863032</v>
      </c>
      <c r="D72" s="200">
        <f t="shared" si="8"/>
        <v>2.8898602475467701E-4</v>
      </c>
      <c r="E72" s="68"/>
      <c r="F72" s="199" t="s">
        <v>9</v>
      </c>
      <c r="G72" s="66"/>
      <c r="H72" s="200" t="str">
        <f t="shared" si="9"/>
        <v/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>
        <v>-1341276</v>
      </c>
      <c r="H73" s="200">
        <f t="shared" si="9"/>
        <v>-1.9842178972861288E-4</v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26619811</v>
      </c>
      <c r="D76" s="200">
        <f t="shared" si="8"/>
        <v>1.9913770739177989E-3</v>
      </c>
      <c r="E76" s="68"/>
      <c r="F76" s="199" t="s">
        <v>13</v>
      </c>
      <c r="G76" s="72">
        <v>1969499</v>
      </c>
      <c r="H76" s="200">
        <f t="shared" si="9"/>
        <v>2.9135801762553967E-4</v>
      </c>
    </row>
    <row r="77" spans="2:8" x14ac:dyDescent="0.2">
      <c r="B77" s="199" t="s">
        <v>14</v>
      </c>
      <c r="C77" s="66">
        <v>-57587489</v>
      </c>
      <c r="D77" s="200">
        <f t="shared" si="8"/>
        <v>-4.3080097502981307E-3</v>
      </c>
      <c r="E77" s="68"/>
      <c r="F77" s="199" t="s">
        <v>14</v>
      </c>
      <c r="G77" s="66">
        <v>-27959046</v>
      </c>
      <c r="H77" s="200">
        <f t="shared" si="9"/>
        <v>-4.136124068740971E-3</v>
      </c>
    </row>
    <row r="78" spans="2:8" x14ac:dyDescent="0.2">
      <c r="B78" s="199" t="s">
        <v>15</v>
      </c>
      <c r="C78" s="72">
        <v>-330141</v>
      </c>
      <c r="D78" s="200">
        <f t="shared" si="8"/>
        <v>-2.4697215865292812E-5</v>
      </c>
      <c r="E78" s="68"/>
      <c r="F78" s="199" t="s">
        <v>15</v>
      </c>
      <c r="G78" s="72">
        <v>-50944</v>
      </c>
      <c r="H78" s="200">
        <f t="shared" si="9"/>
        <v>-7.5364053751311843E-6</v>
      </c>
    </row>
    <row r="79" spans="2:8" x14ac:dyDescent="0.2">
      <c r="B79" s="199" t="s">
        <v>16</v>
      </c>
      <c r="C79" s="72">
        <v>-21162</v>
      </c>
      <c r="D79" s="200">
        <f t="shared" si="8"/>
        <v>-1.583088686777245E-6</v>
      </c>
      <c r="E79" s="68"/>
      <c r="F79" s="199" t="s">
        <v>16</v>
      </c>
      <c r="G79" s="72">
        <v>-16080</v>
      </c>
      <c r="H79" s="200">
        <f t="shared" si="9"/>
        <v>-2.3787962946001384E-6</v>
      </c>
    </row>
    <row r="80" spans="2:8" s="80" customFormat="1" x14ac:dyDescent="0.2">
      <c r="B80" s="201" t="s">
        <v>17</v>
      </c>
      <c r="C80" s="77">
        <f>SUM(C68:C79)</f>
        <v>-27455949</v>
      </c>
      <c r="D80" s="78">
        <f>SUM(D68:D79)</f>
        <v>-2.0539269561777249E-3</v>
      </c>
      <c r="E80" s="79"/>
      <c r="F80" s="201" t="s">
        <v>17</v>
      </c>
      <c r="G80" s="77">
        <f>SUM(G68:G79)</f>
        <v>-27397847</v>
      </c>
      <c r="H80" s="78">
        <f>SUM(H68:H79)</f>
        <v>-4.0531030425137752E-3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4024.7251647331868</v>
      </c>
      <c r="D87" s="200">
        <f t="shared" si="10"/>
        <v>1.9170738478051371E-4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58767.000599999999</v>
      </c>
      <c r="D90" s="200">
        <f t="shared" si="10"/>
        <v>2.7992142407984142E-3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-237557.64199999999</v>
      </c>
      <c r="D92" s="200">
        <f t="shared" si="10"/>
        <v>-1.1315444513206813E-2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/>
      <c r="D95" s="209">
        <f>SUM(D83:D94)</f>
        <v>-8.3245228876278853E-3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22443889146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20263535963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13367539151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4546974937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6759721308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58786693737</v>
      </c>
      <c r="D120" s="193">
        <v>5817446016</v>
      </c>
      <c r="F120" s="204">
        <f>+C120+D120</f>
        <v>64604139753</v>
      </c>
      <c r="G120" s="197"/>
      <c r="H120" s="197"/>
    </row>
    <row r="121" spans="1:13" x14ac:dyDescent="0.2">
      <c r="B121" s="189" t="s">
        <v>18</v>
      </c>
      <c r="C121" s="192">
        <v>34381006.609999999</v>
      </c>
      <c r="D121" s="193">
        <v>400000</v>
      </c>
      <c r="F121" s="204">
        <f>+C121+D121</f>
        <v>34781006.609999999</v>
      </c>
      <c r="H121" s="75"/>
    </row>
    <row r="122" spans="1:13" x14ac:dyDescent="0.2">
      <c r="B122" s="189" t="s">
        <v>4</v>
      </c>
      <c r="C122" s="190">
        <v>6983780308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73140175550</v>
      </c>
      <c r="D123" s="205"/>
      <c r="F123" s="204"/>
      <c r="H123" s="75"/>
    </row>
    <row r="124" spans="1:13" x14ac:dyDescent="0.2">
      <c r="B124" s="189" t="s">
        <v>25</v>
      </c>
      <c r="C124" s="192">
        <v>108131411.22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20994106.039999999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291" priority="48" stopIfTrue="1" operator="lessThan">
      <formula>0</formula>
    </cfRule>
  </conditionalFormatting>
  <conditionalFormatting sqref="C7:C9">
    <cfRule type="cellIs" dxfId="1290" priority="47" stopIfTrue="1" operator="lessThan">
      <formula>0</formula>
    </cfRule>
  </conditionalFormatting>
  <conditionalFormatting sqref="C10:C13">
    <cfRule type="cellIs" dxfId="1289" priority="45" stopIfTrue="1" operator="lessThan">
      <formula>0</formula>
    </cfRule>
  </conditionalFormatting>
  <conditionalFormatting sqref="C104">
    <cfRule type="cellIs" dxfId="1288" priority="44" stopIfTrue="1" operator="lessThan">
      <formula>0</formula>
    </cfRule>
  </conditionalFormatting>
  <conditionalFormatting sqref="C7">
    <cfRule type="cellIs" dxfId="1287" priority="46" stopIfTrue="1" operator="lessThan">
      <formula>0</formula>
    </cfRule>
  </conditionalFormatting>
  <conditionalFormatting sqref="C29:C33">
    <cfRule type="cellIs" dxfId="1286" priority="39" stopIfTrue="1" operator="lessThan">
      <formula>0</formula>
    </cfRule>
  </conditionalFormatting>
  <conditionalFormatting sqref="G7:G9">
    <cfRule type="cellIs" dxfId="1285" priority="42" stopIfTrue="1" operator="lessThan">
      <formula>0</formula>
    </cfRule>
  </conditionalFormatting>
  <conditionalFormatting sqref="C22">
    <cfRule type="cellIs" dxfId="1284" priority="37" stopIfTrue="1" operator="lessThan">
      <formula>0</formula>
    </cfRule>
  </conditionalFormatting>
  <conditionalFormatting sqref="C25:C28">
    <cfRule type="cellIs" dxfId="1283" priority="36" stopIfTrue="1" operator="lessThan">
      <formula>0</formula>
    </cfRule>
  </conditionalFormatting>
  <conditionalFormatting sqref="G14:G18">
    <cfRule type="cellIs" dxfId="1282" priority="43" stopIfTrue="1" operator="lessThan">
      <formula>0</formula>
    </cfRule>
  </conditionalFormatting>
  <conditionalFormatting sqref="G7">
    <cfRule type="cellIs" dxfId="1281" priority="41" stopIfTrue="1" operator="lessThan">
      <formula>0</formula>
    </cfRule>
  </conditionalFormatting>
  <conditionalFormatting sqref="G10:G13">
    <cfRule type="cellIs" dxfId="1280" priority="40" stopIfTrue="1" operator="lessThan">
      <formula>0</formula>
    </cfRule>
  </conditionalFormatting>
  <conditionalFormatting sqref="C22:C24">
    <cfRule type="cellIs" dxfId="1279" priority="38" stopIfTrue="1" operator="lessThan">
      <formula>0</formula>
    </cfRule>
  </conditionalFormatting>
  <conditionalFormatting sqref="G22">
    <cfRule type="cellIs" dxfId="1278" priority="33" stopIfTrue="1" operator="lessThan">
      <formula>0</formula>
    </cfRule>
  </conditionalFormatting>
  <conditionalFormatting sqref="G29:G33">
    <cfRule type="cellIs" dxfId="1277" priority="35" stopIfTrue="1" operator="lessThan">
      <formula>0</formula>
    </cfRule>
  </conditionalFormatting>
  <conditionalFormatting sqref="G22:G24">
    <cfRule type="cellIs" dxfId="1276" priority="34" stopIfTrue="1" operator="lessThan">
      <formula>0</formula>
    </cfRule>
  </conditionalFormatting>
  <conditionalFormatting sqref="G25:G28">
    <cfRule type="cellIs" dxfId="1275" priority="32" stopIfTrue="1" operator="lessThan">
      <formula>0</formula>
    </cfRule>
  </conditionalFormatting>
  <conditionalFormatting sqref="C40:C43">
    <cfRule type="cellIs" dxfId="1274" priority="28" stopIfTrue="1" operator="lessThan">
      <formula>0</formula>
    </cfRule>
  </conditionalFormatting>
  <conditionalFormatting sqref="G44:G48">
    <cfRule type="cellIs" dxfId="1273" priority="27" stopIfTrue="1" operator="lessThan">
      <formula>0</formula>
    </cfRule>
  </conditionalFormatting>
  <conditionalFormatting sqref="G37">
    <cfRule type="cellIs" dxfId="1272" priority="25" stopIfTrue="1" operator="lessThan">
      <formula>0</formula>
    </cfRule>
  </conditionalFormatting>
  <conditionalFormatting sqref="C44:C48">
    <cfRule type="cellIs" dxfId="1271" priority="31" stopIfTrue="1" operator="lessThan">
      <formula>0</formula>
    </cfRule>
  </conditionalFormatting>
  <conditionalFormatting sqref="C37:C39">
    <cfRule type="cellIs" dxfId="1270" priority="30" stopIfTrue="1" operator="lessThan">
      <formula>0</formula>
    </cfRule>
  </conditionalFormatting>
  <conditionalFormatting sqref="C37">
    <cfRule type="cellIs" dxfId="1269" priority="29" stopIfTrue="1" operator="lessThan">
      <formula>0</formula>
    </cfRule>
  </conditionalFormatting>
  <conditionalFormatting sqref="C56:C59">
    <cfRule type="cellIs" dxfId="1268" priority="20" stopIfTrue="1" operator="lessThan">
      <formula>0</formula>
    </cfRule>
  </conditionalFormatting>
  <conditionalFormatting sqref="G60:G63">
    <cfRule type="cellIs" dxfId="1267" priority="19" stopIfTrue="1" operator="lessThan">
      <formula>0</formula>
    </cfRule>
  </conditionalFormatting>
  <conditionalFormatting sqref="G37:G39">
    <cfRule type="cellIs" dxfId="1266" priority="26" stopIfTrue="1" operator="lessThan">
      <formula>0</formula>
    </cfRule>
  </conditionalFormatting>
  <conditionalFormatting sqref="G53">
    <cfRule type="cellIs" dxfId="1265" priority="17" stopIfTrue="1" operator="lessThan">
      <formula>0</formula>
    </cfRule>
  </conditionalFormatting>
  <conditionalFormatting sqref="G40:G43">
    <cfRule type="cellIs" dxfId="1264" priority="24" stopIfTrue="1" operator="lessThan">
      <formula>0</formula>
    </cfRule>
  </conditionalFormatting>
  <conditionalFormatting sqref="C60:C64">
    <cfRule type="cellIs" dxfId="1263" priority="23" stopIfTrue="1" operator="lessThan">
      <formula>0</formula>
    </cfRule>
  </conditionalFormatting>
  <conditionalFormatting sqref="C53:C55">
    <cfRule type="cellIs" dxfId="1262" priority="22" stopIfTrue="1" operator="lessThan">
      <formula>0</formula>
    </cfRule>
  </conditionalFormatting>
  <conditionalFormatting sqref="C53">
    <cfRule type="cellIs" dxfId="1261" priority="21" stopIfTrue="1" operator="lessThan">
      <formula>0</formula>
    </cfRule>
  </conditionalFormatting>
  <conditionalFormatting sqref="G53:G55">
    <cfRule type="cellIs" dxfId="1260" priority="18" stopIfTrue="1" operator="lessThan">
      <formula>0</formula>
    </cfRule>
  </conditionalFormatting>
  <conditionalFormatting sqref="G56:G59">
    <cfRule type="cellIs" dxfId="1259" priority="16" stopIfTrue="1" operator="lessThan">
      <formula>0</formula>
    </cfRule>
  </conditionalFormatting>
  <conditionalFormatting sqref="C75:C78">
    <cfRule type="cellIs" dxfId="1258" priority="15" stopIfTrue="1" operator="lessThan">
      <formula>0</formula>
    </cfRule>
  </conditionalFormatting>
  <conditionalFormatting sqref="C68:C70">
    <cfRule type="cellIs" dxfId="1257" priority="14" stopIfTrue="1" operator="lessThan">
      <formula>0</formula>
    </cfRule>
  </conditionalFormatting>
  <conditionalFormatting sqref="C68">
    <cfRule type="cellIs" dxfId="1256" priority="13" stopIfTrue="1" operator="lessThan">
      <formula>0</formula>
    </cfRule>
  </conditionalFormatting>
  <conditionalFormatting sqref="C71:C74">
    <cfRule type="cellIs" dxfId="1255" priority="12" stopIfTrue="1" operator="lessThan">
      <formula>0</formula>
    </cfRule>
  </conditionalFormatting>
  <conditionalFormatting sqref="G75:G79">
    <cfRule type="cellIs" dxfId="1254" priority="11" stopIfTrue="1" operator="lessThan">
      <formula>0</formula>
    </cfRule>
  </conditionalFormatting>
  <conditionalFormatting sqref="G68:G70">
    <cfRule type="cellIs" dxfId="1253" priority="10" stopIfTrue="1" operator="lessThan">
      <formula>0</formula>
    </cfRule>
  </conditionalFormatting>
  <conditionalFormatting sqref="G68">
    <cfRule type="cellIs" dxfId="1252" priority="9" stopIfTrue="1" operator="lessThan">
      <formula>0</formula>
    </cfRule>
  </conditionalFormatting>
  <conditionalFormatting sqref="G71:G74">
    <cfRule type="cellIs" dxfId="1251" priority="8" stopIfTrue="1" operator="lessThan">
      <formula>0</formula>
    </cfRule>
  </conditionalFormatting>
  <conditionalFormatting sqref="G64">
    <cfRule type="cellIs" dxfId="1250" priority="7" stopIfTrue="1" operator="lessThan">
      <formula>0</formula>
    </cfRule>
  </conditionalFormatting>
  <conditionalFormatting sqref="C79">
    <cfRule type="cellIs" dxfId="1249" priority="6" stopIfTrue="1" operator="lessThan">
      <formula>0</formula>
    </cfRule>
  </conditionalFormatting>
  <conditionalFormatting sqref="C90:C93">
    <cfRule type="cellIs" dxfId="1248" priority="5" stopIfTrue="1" operator="lessThan">
      <formula>0</formula>
    </cfRule>
  </conditionalFormatting>
  <conditionalFormatting sqref="C83:C85">
    <cfRule type="cellIs" dxfId="1247" priority="4" stopIfTrue="1" operator="lessThan">
      <formula>0</formula>
    </cfRule>
  </conditionalFormatting>
  <conditionalFormatting sqref="C83">
    <cfRule type="cellIs" dxfId="1246" priority="3" stopIfTrue="1" operator="lessThan">
      <formula>0</formula>
    </cfRule>
  </conditionalFormatting>
  <conditionalFormatting sqref="C86:C89">
    <cfRule type="cellIs" dxfId="1245" priority="2" stopIfTrue="1" operator="lessThan">
      <formula>0</formula>
    </cfRule>
  </conditionalFormatting>
  <conditionalFormatting sqref="C94">
    <cfRule type="cellIs" dxfId="1244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dimension ref="A2:M130"/>
  <sheetViews>
    <sheetView topLeftCell="A49" workbookViewId="0">
      <selection activeCell="J20" sqref="J20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43087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4656975</v>
      </c>
      <c r="D7" s="67">
        <f>+IF(C7/$F$120=0,"",C7/$F$120)</f>
        <v>7.9493865260761768E-5</v>
      </c>
      <c r="E7" s="68"/>
      <c r="F7" s="199" t="s">
        <v>5</v>
      </c>
      <c r="G7" s="66">
        <v>696360</v>
      </c>
      <c r="H7" s="200">
        <f>+IF(G7/$C$122=0,"",G7/$C$122)</f>
        <v>9.9616335870743344E-5</v>
      </c>
      <c r="I7" s="70"/>
    </row>
    <row r="8" spans="1:9" x14ac:dyDescent="0.2">
      <c r="B8" s="199" t="s">
        <v>6</v>
      </c>
      <c r="C8" s="66">
        <v>29136</v>
      </c>
      <c r="D8" s="67">
        <f>+IF(C8/$F$120=0,"",C8/$F$120)</f>
        <v>4.9734715308490059E-7</v>
      </c>
      <c r="E8" s="68"/>
      <c r="F8" s="199" t="s">
        <v>6</v>
      </c>
      <c r="G8" s="66">
        <v>37279</v>
      </c>
      <c r="H8" s="200">
        <f>+IF(G8/$C$122=0,"",G8/$C$122)</f>
        <v>5.3328700455589654E-6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-329215</v>
      </c>
      <c r="H11" s="200">
        <f t="shared" si="0"/>
        <v>-4.7095169185028965E-5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7702625</v>
      </c>
      <c r="H14" s="200">
        <f t="shared" si="0"/>
        <v>1.1018830476856574E-3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>
        <v>-277238</v>
      </c>
      <c r="D17" s="67">
        <f>+IF(C17/$F$120=0,"",C17/$F$120)</f>
        <v>-4.7324111074599003E-6</v>
      </c>
      <c r="E17" s="68"/>
      <c r="F17" s="199" t="s">
        <v>15</v>
      </c>
      <c r="G17" s="72"/>
      <c r="H17" s="200" t="str">
        <f t="shared" si="0"/>
        <v/>
      </c>
    </row>
    <row r="18" spans="2:9" x14ac:dyDescent="0.2">
      <c r="B18" s="199" t="s">
        <v>16</v>
      </c>
      <c r="C18" s="72">
        <v>-316719</v>
      </c>
      <c r="D18" s="67">
        <f>+IF(C18/$F$120=0,"",C18/$F$120)</f>
        <v>-5.4063458600321467E-6</v>
      </c>
      <c r="E18" s="75"/>
      <c r="F18" s="199" t="s">
        <v>16</v>
      </c>
      <c r="G18" s="72">
        <v>-26039</v>
      </c>
      <c r="H18" s="200">
        <f t="shared" si="0"/>
        <v>-3.724955152131492E-6</v>
      </c>
    </row>
    <row r="19" spans="2:9" s="80" customFormat="1" x14ac:dyDescent="0.2">
      <c r="B19" s="201" t="s">
        <v>17</v>
      </c>
      <c r="C19" s="77">
        <f>SUM(C7:C18)</f>
        <v>4092154</v>
      </c>
      <c r="D19" s="78">
        <f>SUM(D7:D18)</f>
        <v>6.9852455446354616E-5</v>
      </c>
      <c r="E19" s="79"/>
      <c r="F19" s="201" t="s">
        <v>17</v>
      </c>
      <c r="G19" s="77">
        <f>SUM(G7:G18)</f>
        <v>8081010</v>
      </c>
      <c r="H19" s="78">
        <f>SUM(H7:H18)</f>
        <v>1.1560121292647993E-3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2522.2031999999999</v>
      </c>
      <c r="D22" s="200">
        <f>+IF(C22/$F$121=0,"",C22/$F$121)</f>
        <v>7.2287698212634201E-5</v>
      </c>
      <c r="E22" s="75"/>
      <c r="F22" s="199" t="s">
        <v>5</v>
      </c>
      <c r="G22" s="66">
        <v>1750987</v>
      </c>
      <c r="H22" s="200">
        <f t="shared" ref="H22:H33" si="2">+IF(G22/$C$115=0,"",G22/$C$115)</f>
        <v>7.7520882415013065E-5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194974</v>
      </c>
      <c r="H23" s="200">
        <f t="shared" si="2"/>
        <v>8.6320209847273324E-6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157.53</v>
      </c>
      <c r="D26" s="200">
        <f>+IF(C26/$F$121=0,"",C26/$F$121)</f>
        <v>4.5148943984514279E-6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-609548.21049368591</v>
      </c>
      <c r="D27" s="200">
        <f t="shared" ref="D27:D33" si="3">+IF(C27/$F$121=0,"",C27/$F$121)</f>
        <v>-1.7469979058871547E-2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6231392</v>
      </c>
      <c r="H29" s="200">
        <f t="shared" si="2"/>
        <v>2.7588040717255646E-4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608632.74939999997</v>
      </c>
      <c r="D31" s="200">
        <f t="shared" si="3"/>
        <v>1.7443741452295762E-2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-121.51</v>
      </c>
      <c r="D33" s="200">
        <f t="shared" si="3"/>
        <v>-3.4825418546044123E-6</v>
      </c>
      <c r="E33" s="75"/>
      <c r="F33" s="199" t="s">
        <v>16</v>
      </c>
      <c r="G33" s="72">
        <v>-123766</v>
      </c>
      <c r="H33" s="200">
        <f t="shared" si="2"/>
        <v>-5.4794521792431968E-6</v>
      </c>
    </row>
    <row r="34" spans="1:13" s="80" customFormat="1" x14ac:dyDescent="0.2">
      <c r="B34" s="201" t="s">
        <v>17</v>
      </c>
      <c r="C34" s="203">
        <f>SUM(C22:C33)</f>
        <v>1642.762106314078</v>
      </c>
      <c r="D34" s="78">
        <f>SUM(D22:D33)</f>
        <v>4.708244418069708E-5</v>
      </c>
      <c r="E34" s="79"/>
      <c r="F34" s="201" t="s">
        <v>17</v>
      </c>
      <c r="G34" s="203">
        <f>SUM(G22:G33)</f>
        <v>8053587</v>
      </c>
      <c r="H34" s="78">
        <f>SUM(H22:H33)</f>
        <v>3.565538583930537E-4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4201570</v>
      </c>
      <c r="D37" s="200">
        <f t="shared" ref="D37:D48" si="4">+IF(C37/$C$123=0,"",C37/$C$123)</f>
        <v>5.7468003818969195E-5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1064638</v>
      </c>
      <c r="D38" s="200">
        <f t="shared" si="4"/>
        <v>1.4561847273714284E-5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-77644</v>
      </c>
      <c r="H39" s="200">
        <f t="shared" si="5"/>
        <v>-1.6802691920916704E-5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127689348</v>
      </c>
      <c r="D44" s="200">
        <f t="shared" si="4"/>
        <v>1.7465023642366274E-3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47047901</v>
      </c>
      <c r="D45" s="200">
        <f t="shared" si="4"/>
        <v>6.435092011658701E-4</v>
      </c>
      <c r="E45" s="68"/>
      <c r="F45" s="199" t="s">
        <v>13</v>
      </c>
      <c r="G45" s="72">
        <v>335030978</v>
      </c>
      <c r="H45" s="200">
        <f t="shared" si="5"/>
        <v>7.2502991954271054E-2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-88201</v>
      </c>
      <c r="D48" s="200">
        <f t="shared" si="4"/>
        <v>-1.2063908026849253E-6</v>
      </c>
      <c r="E48" s="68"/>
      <c r="F48" s="199" t="s">
        <v>16</v>
      </c>
      <c r="G48" s="72">
        <v>-16032</v>
      </c>
      <c r="H48" s="200">
        <f t="shared" si="5"/>
        <v>-3.4694343011196819E-6</v>
      </c>
    </row>
    <row r="49" spans="2:10" s="80" customFormat="1" x14ac:dyDescent="0.2">
      <c r="B49" s="201" t="s">
        <v>17</v>
      </c>
      <c r="C49" s="77">
        <f>SUM(C37:C48)</f>
        <v>179915256</v>
      </c>
      <c r="D49" s="78">
        <f>SUM(D37:D48)</f>
        <v>2.4608350256924961E-3</v>
      </c>
      <c r="E49" s="79"/>
      <c r="F49" s="201" t="s">
        <v>17</v>
      </c>
      <c r="G49" s="77">
        <f>SUM(G37:G48)</f>
        <v>334937302</v>
      </c>
      <c r="H49" s="78">
        <f>SUM(H37:H48)</f>
        <v>7.2482719828049019E-2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14098.370199999999</v>
      </c>
      <c r="H53" s="200">
        <f t="shared" ref="H53:H64" si="7">+IF(G53/$C$124=0,"",G53/$C$124)</f>
        <v>1.3038333375061132E-4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-131991.60500000001</v>
      </c>
      <c r="H60" s="200">
        <f t="shared" si="7"/>
        <v>-1.2206734000355488E-3</v>
      </c>
    </row>
    <row r="61" spans="2:10" x14ac:dyDescent="0.2">
      <c r="B61" s="199" t="s">
        <v>13</v>
      </c>
      <c r="C61" s="72">
        <v>1544751973</v>
      </c>
      <c r="D61" s="200">
        <f t="shared" si="6"/>
        <v>7.495313222654959E-2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43339868</v>
      </c>
      <c r="D63" s="200">
        <f t="shared" si="6"/>
        <v>2.1028999565389809E-3</v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-169394</v>
      </c>
      <c r="D64" s="200">
        <f t="shared" si="6"/>
        <v>-8.2191905900120448E-6</v>
      </c>
      <c r="E64" s="68"/>
      <c r="F64" s="199" t="s">
        <v>16</v>
      </c>
      <c r="G64" s="92">
        <v>-108.53</v>
      </c>
      <c r="H64" s="200">
        <f t="shared" si="7"/>
        <v>-1.0036978041585151E-6</v>
      </c>
    </row>
    <row r="65" spans="2:8" s="80" customFormat="1" x14ac:dyDescent="0.2">
      <c r="B65" s="201" t="s">
        <v>17</v>
      </c>
      <c r="C65" s="77">
        <f>SUM(C53:C64)</f>
        <v>1587922447</v>
      </c>
      <c r="D65" s="78">
        <f>SUM(D53:D64)</f>
        <v>7.7047812992498563E-2</v>
      </c>
      <c r="E65" s="79"/>
      <c r="F65" s="201" t="s">
        <v>17</v>
      </c>
      <c r="G65" s="203">
        <f>SUM(G53:G64)</f>
        <v>-118001.7648</v>
      </c>
      <c r="H65" s="78">
        <f>SUM(H53:H64)</f>
        <v>-1.0912937640890959E-3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-48277</v>
      </c>
      <c r="D72" s="200">
        <f t="shared" si="8"/>
        <v>-3.3856641122337628E-6</v>
      </c>
      <c r="E72" s="68"/>
      <c r="F72" s="199" t="s">
        <v>9</v>
      </c>
      <c r="G72" s="66">
        <v>-7762387</v>
      </c>
      <c r="H72" s="200">
        <f t="shared" si="9"/>
        <v>-1.1531186183365194E-3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139031407</v>
      </c>
      <c r="D76" s="200">
        <f t="shared" si="8"/>
        <v>9.7502671075929727E-3</v>
      </c>
      <c r="E76" s="68"/>
      <c r="F76" s="199" t="s">
        <v>13</v>
      </c>
      <c r="G76" s="72">
        <v>4225135</v>
      </c>
      <c r="H76" s="200">
        <f t="shared" si="9"/>
        <v>6.2765252923942976E-4</v>
      </c>
    </row>
    <row r="77" spans="2:8" x14ac:dyDescent="0.2">
      <c r="B77" s="199" t="s">
        <v>14</v>
      </c>
      <c r="C77" s="66">
        <v>-336856276</v>
      </c>
      <c r="D77" s="200">
        <f t="shared" si="8"/>
        <v>-2.3623717394078161E-2</v>
      </c>
      <c r="E77" s="68"/>
      <c r="F77" s="199" t="s">
        <v>14</v>
      </c>
      <c r="G77" s="66">
        <v>-161910448</v>
      </c>
      <c r="H77" s="200">
        <f t="shared" si="9"/>
        <v>-2.4052131398757479E-2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-21158</v>
      </c>
      <c r="D79" s="200">
        <f t="shared" si="8"/>
        <v>-1.4838097082801739E-6</v>
      </c>
      <c r="E79" s="68"/>
      <c r="F79" s="199" t="s">
        <v>16</v>
      </c>
      <c r="G79" s="72">
        <v>-16077</v>
      </c>
      <c r="H79" s="200">
        <f t="shared" si="9"/>
        <v>-2.388271549330924E-6</v>
      </c>
    </row>
    <row r="80" spans="2:8" s="80" customFormat="1" x14ac:dyDescent="0.2">
      <c r="B80" s="201" t="s">
        <v>17</v>
      </c>
      <c r="C80" s="77">
        <f>SUM(C68:C79)</f>
        <v>-197894304</v>
      </c>
      <c r="D80" s="78">
        <f>SUM(D68:D79)</f>
        <v>-1.3878319760305702E-2</v>
      </c>
      <c r="E80" s="79"/>
      <c r="F80" s="201" t="s">
        <v>17</v>
      </c>
      <c r="G80" s="77">
        <f>SUM(G68:G79)</f>
        <v>-165463777</v>
      </c>
      <c r="H80" s="78">
        <f>SUM(H68:H79)</f>
        <v>-2.45799857594039E-2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38</v>
      </c>
      <c r="D87" s="200">
        <f t="shared" si="10"/>
        <v>1.7976853695801074E-6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35979.8586</v>
      </c>
      <c r="D90" s="200">
        <f t="shared" si="10"/>
        <v>1.7021175106521316E-3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-15135.2716</v>
      </c>
      <c r="D92" s="200">
        <f t="shared" si="10"/>
        <v>-7.1601200841950796E-4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20882.587</v>
      </c>
      <c r="D95" s="209">
        <f>SUM(D83:D94)</f>
        <v>9.8790318760220378E-4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22587294487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20609571970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14259240846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4620926240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6731646577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57801131962</v>
      </c>
      <c r="D120" s="193">
        <v>781690558</v>
      </c>
      <c r="F120" s="204">
        <f>+C120+D120</f>
        <v>58582822520</v>
      </c>
      <c r="G120" s="197"/>
      <c r="H120" s="197"/>
    </row>
    <row r="121" spans="1:13" x14ac:dyDescent="0.2">
      <c r="B121" s="189" t="s">
        <v>18</v>
      </c>
      <c r="C121" s="192">
        <v>34666498.710000001</v>
      </c>
      <c r="D121" s="193">
        <v>224682.81</v>
      </c>
      <c r="F121" s="204">
        <f>+C121+D121</f>
        <v>34891181.520000003</v>
      </c>
      <c r="H121" s="75"/>
    </row>
    <row r="122" spans="1:13" x14ac:dyDescent="0.2">
      <c r="B122" s="189" t="s">
        <v>4</v>
      </c>
      <c r="C122" s="190">
        <v>6990419733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73111465873</v>
      </c>
      <c r="D123" s="205"/>
      <c r="F123" s="204"/>
      <c r="H123" s="75"/>
    </row>
    <row r="124" spans="1:13" x14ac:dyDescent="0.2">
      <c r="B124" s="189" t="s">
        <v>25</v>
      </c>
      <c r="C124" s="192">
        <v>108130155.86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21138292.964400001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243" priority="48" stopIfTrue="1" operator="lessThan">
      <formula>0</formula>
    </cfRule>
  </conditionalFormatting>
  <conditionalFormatting sqref="C7:C9">
    <cfRule type="cellIs" dxfId="1242" priority="47" stopIfTrue="1" operator="lessThan">
      <formula>0</formula>
    </cfRule>
  </conditionalFormatting>
  <conditionalFormatting sqref="C10:C13">
    <cfRule type="cellIs" dxfId="1241" priority="45" stopIfTrue="1" operator="lessThan">
      <formula>0</formula>
    </cfRule>
  </conditionalFormatting>
  <conditionalFormatting sqref="C104">
    <cfRule type="cellIs" dxfId="1240" priority="44" stopIfTrue="1" operator="lessThan">
      <formula>0</formula>
    </cfRule>
  </conditionalFormatting>
  <conditionalFormatting sqref="C7">
    <cfRule type="cellIs" dxfId="1239" priority="46" stopIfTrue="1" operator="lessThan">
      <formula>0</formula>
    </cfRule>
  </conditionalFormatting>
  <conditionalFormatting sqref="C29:C33">
    <cfRule type="cellIs" dxfId="1238" priority="39" stopIfTrue="1" operator="lessThan">
      <formula>0</formula>
    </cfRule>
  </conditionalFormatting>
  <conditionalFormatting sqref="G7:G9">
    <cfRule type="cellIs" dxfId="1237" priority="42" stopIfTrue="1" operator="lessThan">
      <formula>0</formula>
    </cfRule>
  </conditionalFormatting>
  <conditionalFormatting sqref="C22">
    <cfRule type="cellIs" dxfId="1236" priority="37" stopIfTrue="1" operator="lessThan">
      <formula>0</formula>
    </cfRule>
  </conditionalFormatting>
  <conditionalFormatting sqref="C25:C28">
    <cfRule type="cellIs" dxfId="1235" priority="36" stopIfTrue="1" operator="lessThan">
      <formula>0</formula>
    </cfRule>
  </conditionalFormatting>
  <conditionalFormatting sqref="G14:G18">
    <cfRule type="cellIs" dxfId="1234" priority="43" stopIfTrue="1" operator="lessThan">
      <formula>0</formula>
    </cfRule>
  </conditionalFormatting>
  <conditionalFormatting sqref="G7">
    <cfRule type="cellIs" dxfId="1233" priority="41" stopIfTrue="1" operator="lessThan">
      <formula>0</formula>
    </cfRule>
  </conditionalFormatting>
  <conditionalFormatting sqref="G10:G13">
    <cfRule type="cellIs" dxfId="1232" priority="40" stopIfTrue="1" operator="lessThan">
      <formula>0</formula>
    </cfRule>
  </conditionalFormatting>
  <conditionalFormatting sqref="C22:C24">
    <cfRule type="cellIs" dxfId="1231" priority="38" stopIfTrue="1" operator="lessThan">
      <formula>0</formula>
    </cfRule>
  </conditionalFormatting>
  <conditionalFormatting sqref="G22">
    <cfRule type="cellIs" dxfId="1230" priority="33" stopIfTrue="1" operator="lessThan">
      <formula>0</formula>
    </cfRule>
  </conditionalFormatting>
  <conditionalFormatting sqref="G29:G33">
    <cfRule type="cellIs" dxfId="1229" priority="35" stopIfTrue="1" operator="lessThan">
      <formula>0</formula>
    </cfRule>
  </conditionalFormatting>
  <conditionalFormatting sqref="G22:G24">
    <cfRule type="cellIs" dxfId="1228" priority="34" stopIfTrue="1" operator="lessThan">
      <formula>0</formula>
    </cfRule>
  </conditionalFormatting>
  <conditionalFormatting sqref="G25:G28">
    <cfRule type="cellIs" dxfId="1227" priority="32" stopIfTrue="1" operator="lessThan">
      <formula>0</formula>
    </cfRule>
  </conditionalFormatting>
  <conditionalFormatting sqref="C40:C43">
    <cfRule type="cellIs" dxfId="1226" priority="28" stopIfTrue="1" operator="lessThan">
      <formula>0</formula>
    </cfRule>
  </conditionalFormatting>
  <conditionalFormatting sqref="G44:G48">
    <cfRule type="cellIs" dxfId="1225" priority="27" stopIfTrue="1" operator="lessThan">
      <formula>0</formula>
    </cfRule>
  </conditionalFormatting>
  <conditionalFormatting sqref="G37">
    <cfRule type="cellIs" dxfId="1224" priority="25" stopIfTrue="1" operator="lessThan">
      <formula>0</formula>
    </cfRule>
  </conditionalFormatting>
  <conditionalFormatting sqref="C44:C48">
    <cfRule type="cellIs" dxfId="1223" priority="31" stopIfTrue="1" operator="lessThan">
      <formula>0</formula>
    </cfRule>
  </conditionalFormatting>
  <conditionalFormatting sqref="C37:C39">
    <cfRule type="cellIs" dxfId="1222" priority="30" stopIfTrue="1" operator="lessThan">
      <formula>0</formula>
    </cfRule>
  </conditionalFormatting>
  <conditionalFormatting sqref="C37">
    <cfRule type="cellIs" dxfId="1221" priority="29" stopIfTrue="1" operator="lessThan">
      <formula>0</formula>
    </cfRule>
  </conditionalFormatting>
  <conditionalFormatting sqref="C56:C59">
    <cfRule type="cellIs" dxfId="1220" priority="20" stopIfTrue="1" operator="lessThan">
      <formula>0</formula>
    </cfRule>
  </conditionalFormatting>
  <conditionalFormatting sqref="G60:G63">
    <cfRule type="cellIs" dxfId="1219" priority="19" stopIfTrue="1" operator="lessThan">
      <formula>0</formula>
    </cfRule>
  </conditionalFormatting>
  <conditionalFormatting sqref="G37:G39">
    <cfRule type="cellIs" dxfId="1218" priority="26" stopIfTrue="1" operator="lessThan">
      <formula>0</formula>
    </cfRule>
  </conditionalFormatting>
  <conditionalFormatting sqref="G53">
    <cfRule type="cellIs" dxfId="1217" priority="17" stopIfTrue="1" operator="lessThan">
      <formula>0</formula>
    </cfRule>
  </conditionalFormatting>
  <conditionalFormatting sqref="G40:G43">
    <cfRule type="cellIs" dxfId="1216" priority="24" stopIfTrue="1" operator="lessThan">
      <formula>0</formula>
    </cfRule>
  </conditionalFormatting>
  <conditionalFormatting sqref="C60:C64">
    <cfRule type="cellIs" dxfId="1215" priority="23" stopIfTrue="1" operator="lessThan">
      <formula>0</formula>
    </cfRule>
  </conditionalFormatting>
  <conditionalFormatting sqref="C53:C55">
    <cfRule type="cellIs" dxfId="1214" priority="22" stopIfTrue="1" operator="lessThan">
      <formula>0</formula>
    </cfRule>
  </conditionalFormatting>
  <conditionalFormatting sqref="C53">
    <cfRule type="cellIs" dxfId="1213" priority="21" stopIfTrue="1" operator="lessThan">
      <formula>0</formula>
    </cfRule>
  </conditionalFormatting>
  <conditionalFormatting sqref="G53:G55">
    <cfRule type="cellIs" dxfId="1212" priority="18" stopIfTrue="1" operator="lessThan">
      <formula>0</formula>
    </cfRule>
  </conditionalFormatting>
  <conditionalFormatting sqref="G56:G59">
    <cfRule type="cellIs" dxfId="1211" priority="16" stopIfTrue="1" operator="lessThan">
      <formula>0</formula>
    </cfRule>
  </conditionalFormatting>
  <conditionalFormatting sqref="C75:C78">
    <cfRule type="cellIs" dxfId="1210" priority="15" stopIfTrue="1" operator="lessThan">
      <formula>0</formula>
    </cfRule>
  </conditionalFormatting>
  <conditionalFormatting sqref="C68:C70">
    <cfRule type="cellIs" dxfId="1209" priority="14" stopIfTrue="1" operator="lessThan">
      <formula>0</formula>
    </cfRule>
  </conditionalFormatting>
  <conditionalFormatting sqref="C68">
    <cfRule type="cellIs" dxfId="1208" priority="13" stopIfTrue="1" operator="lessThan">
      <formula>0</formula>
    </cfRule>
  </conditionalFormatting>
  <conditionalFormatting sqref="C71:C74">
    <cfRule type="cellIs" dxfId="1207" priority="12" stopIfTrue="1" operator="lessThan">
      <formula>0</formula>
    </cfRule>
  </conditionalFormatting>
  <conditionalFormatting sqref="G75:G79">
    <cfRule type="cellIs" dxfId="1206" priority="11" stopIfTrue="1" operator="lessThan">
      <formula>0</formula>
    </cfRule>
  </conditionalFormatting>
  <conditionalFormatting sqref="G68:G70">
    <cfRule type="cellIs" dxfId="1205" priority="10" stopIfTrue="1" operator="lessThan">
      <formula>0</formula>
    </cfRule>
  </conditionalFormatting>
  <conditionalFormatting sqref="G68">
    <cfRule type="cellIs" dxfId="1204" priority="9" stopIfTrue="1" operator="lessThan">
      <formula>0</formula>
    </cfRule>
  </conditionalFormatting>
  <conditionalFormatting sqref="G71:G74">
    <cfRule type="cellIs" dxfId="1203" priority="8" stopIfTrue="1" operator="lessThan">
      <formula>0</formula>
    </cfRule>
  </conditionalFormatting>
  <conditionalFormatting sqref="G64">
    <cfRule type="cellIs" dxfId="1202" priority="7" stopIfTrue="1" operator="lessThan">
      <formula>0</formula>
    </cfRule>
  </conditionalFormatting>
  <conditionalFormatting sqref="C79">
    <cfRule type="cellIs" dxfId="1201" priority="6" stopIfTrue="1" operator="lessThan">
      <formula>0</formula>
    </cfRule>
  </conditionalFormatting>
  <conditionalFormatting sqref="C90:C93">
    <cfRule type="cellIs" dxfId="1200" priority="5" stopIfTrue="1" operator="lessThan">
      <formula>0</formula>
    </cfRule>
  </conditionalFormatting>
  <conditionalFormatting sqref="C83:C85">
    <cfRule type="cellIs" dxfId="1199" priority="4" stopIfTrue="1" operator="lessThan">
      <formula>0</formula>
    </cfRule>
  </conditionalFormatting>
  <conditionalFormatting sqref="C83">
    <cfRule type="cellIs" dxfId="1198" priority="3" stopIfTrue="1" operator="lessThan">
      <formula>0</formula>
    </cfRule>
  </conditionalFormatting>
  <conditionalFormatting sqref="C86:C89">
    <cfRule type="cellIs" dxfId="1197" priority="2" stopIfTrue="1" operator="lessThan">
      <formula>0</formula>
    </cfRule>
  </conditionalFormatting>
  <conditionalFormatting sqref="C94">
    <cfRule type="cellIs" dxfId="1196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43088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4610823</v>
      </c>
      <c r="D7" s="67">
        <f>+IF(C7/$F$120=0,"",C7/$F$120)</f>
        <v>7.9416430461373333E-5</v>
      </c>
      <c r="E7" s="68"/>
      <c r="F7" s="199" t="s">
        <v>5</v>
      </c>
      <c r="G7" s="66">
        <v>309880</v>
      </c>
      <c r="H7" s="200">
        <f>+IF(G7/$C$122=0,"",G7/$C$122)</f>
        <v>4.4298377718586804E-5</v>
      </c>
      <c r="I7" s="70"/>
    </row>
    <row r="8" spans="1:9" x14ac:dyDescent="0.2">
      <c r="B8" s="199" t="s">
        <v>6</v>
      </c>
      <c r="C8" s="66">
        <v>28801</v>
      </c>
      <c r="D8" s="67">
        <f>+IF(C8/$F$120=0,"",C8/$F$120)</f>
        <v>4.9606601982292827E-7</v>
      </c>
      <c r="E8" s="68"/>
      <c r="F8" s="199" t="s">
        <v>6</v>
      </c>
      <c r="G8" s="66">
        <v>37814</v>
      </c>
      <c r="H8" s="200">
        <f>+IF(G8/$C$122=0,"",G8/$C$122)</f>
        <v>5.4056371984337207E-6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-60082</v>
      </c>
      <c r="H11" s="200">
        <f t="shared" si="0"/>
        <v>-8.5889219378086102E-6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-437107</v>
      </c>
      <c r="H14" s="200">
        <f t="shared" si="0"/>
        <v>-6.2485900959850015E-5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</row>
    <row r="17" spans="2:9" x14ac:dyDescent="0.2">
      <c r="B17" s="199" t="s">
        <v>15</v>
      </c>
      <c r="C17" s="72">
        <v>23314</v>
      </c>
      <c r="D17" s="67">
        <f>+IF(C17/$F$120=0,"",C17/$F$120)</f>
        <v>4.0155838985284363E-7</v>
      </c>
      <c r="E17" s="68"/>
      <c r="F17" s="199" t="s">
        <v>15</v>
      </c>
      <c r="G17" s="72"/>
      <c r="H17" s="200" t="str">
        <f t="shared" si="0"/>
        <v/>
      </c>
      <c r="I17" s="58" t="s">
        <v>51</v>
      </c>
    </row>
    <row r="18" spans="2:9" x14ac:dyDescent="0.2">
      <c r="B18" s="199" t="s">
        <v>16</v>
      </c>
      <c r="C18" s="72">
        <v>-101237</v>
      </c>
      <c r="D18" s="67">
        <f>+IF(C18/$F$120=0,"",C18/$F$120)</f>
        <v>-1.7436976371936317E-6</v>
      </c>
      <c r="E18" s="75"/>
      <c r="F18" s="199" t="s">
        <v>16</v>
      </c>
      <c r="G18" s="72">
        <v>-28324</v>
      </c>
      <c r="H18" s="200">
        <f t="shared" si="0"/>
        <v>-4.0490101023017056E-6</v>
      </c>
    </row>
    <row r="19" spans="2:9" s="80" customFormat="1" x14ac:dyDescent="0.2">
      <c r="B19" s="201" t="s">
        <v>17</v>
      </c>
      <c r="C19" s="77">
        <f>SUM(C7:C18)</f>
        <v>4561701</v>
      </c>
      <c r="D19" s="78">
        <f>SUM(D7:D18)</f>
        <v>7.8570357233855468E-5</v>
      </c>
      <c r="E19" s="79"/>
      <c r="F19" s="201" t="s">
        <v>17</v>
      </c>
      <c r="G19" s="77">
        <f>SUM(G7:G18)</f>
        <v>-177819</v>
      </c>
      <c r="H19" s="78">
        <f>SUM(H7:H18)</f>
        <v>-2.5419818082939812E-5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2403.0452</v>
      </c>
      <c r="D22" s="200">
        <f>+IF(C22/$F$121=0,"",C22/$F$121)</f>
        <v>7.3698510002146104E-5</v>
      </c>
      <c r="E22" s="75"/>
      <c r="F22" s="199" t="s">
        <v>5</v>
      </c>
      <c r="G22" s="66">
        <v>1751075</v>
      </c>
      <c r="H22" s="200">
        <f t="shared" ref="H22:H33" si="2">+IF(G22/$C$115=0,"",G22/$C$115)</f>
        <v>7.759148688613877E-5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197379</v>
      </c>
      <c r="H23" s="200">
        <f t="shared" si="2"/>
        <v>8.7460160701849918E-6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23.044061941549444</v>
      </c>
      <c r="D26" s="200">
        <f>+IF(C26/$F$121=0,"",C26/$F$121)</f>
        <v>7.0673370167542249E-7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-85491.216958208941</v>
      </c>
      <c r="D27" s="200">
        <f t="shared" ref="D27:D33" si="3">+IF(C27/$F$121=0,"",C27/$F$121)</f>
        <v>-2.6219129411674002E-3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-547616</v>
      </c>
      <c r="H29" s="200">
        <f t="shared" si="2"/>
        <v>-2.426528828441944E-5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84626.488299999997</v>
      </c>
      <c r="D31" s="200">
        <f t="shared" si="3"/>
        <v>2.5953927518400609E-3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>
        <v>-2.1</v>
      </c>
      <c r="D32" s="200">
        <f t="shared" si="3"/>
        <v>-6.4404477703751404E-8</v>
      </c>
      <c r="E32" s="75"/>
      <c r="F32" s="199" t="s">
        <v>15</v>
      </c>
      <c r="G32" s="72">
        <v>-36540</v>
      </c>
      <c r="H32" s="200">
        <f t="shared" si="2"/>
        <v>-1.6191156465711125E-6</v>
      </c>
    </row>
    <row r="33" spans="1:13" x14ac:dyDescent="0.2">
      <c r="B33" s="199" t="s">
        <v>16</v>
      </c>
      <c r="C33" s="71">
        <v>-93.56</v>
      </c>
      <c r="D33" s="200">
        <f t="shared" si="3"/>
        <v>-2.8693728256966575E-6</v>
      </c>
      <c r="E33" s="75"/>
      <c r="F33" s="199" t="s">
        <v>16</v>
      </c>
      <c r="G33" s="72">
        <v>-123660</v>
      </c>
      <c r="H33" s="200">
        <f t="shared" si="2"/>
        <v>-5.4794701930756371E-6</v>
      </c>
    </row>
    <row r="34" spans="1:13" s="80" customFormat="1" x14ac:dyDescent="0.2">
      <c r="B34" s="201" t="s">
        <v>17</v>
      </c>
      <c r="C34" s="203">
        <f>SUM(C22:C33)</f>
        <v>1465.70060373261</v>
      </c>
      <c r="D34" s="78">
        <f>SUM(D22:D33)</f>
        <v>4.495127707308176E-5</v>
      </c>
      <c r="E34" s="79"/>
      <c r="F34" s="201" t="s">
        <v>17</v>
      </c>
      <c r="G34" s="203">
        <f>SUM(G22:G33)</f>
        <v>1240638</v>
      </c>
      <c r="H34" s="78">
        <f>SUM(H22:H33)</f>
        <v>5.4973628832257564E-5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4062328</v>
      </c>
      <c r="D37" s="200">
        <f t="shared" ref="D37:D48" si="4">+IF(C37/$C$123=0,"",C37/$C$123)</f>
        <v>5.6126943137086906E-5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1080048</v>
      </c>
      <c r="D38" s="200">
        <f t="shared" si="4"/>
        <v>1.4922426914154749E-5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-161181</v>
      </c>
      <c r="H39" s="200">
        <f t="shared" si="5"/>
        <v>-3.2356163563188526E-5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34210986</v>
      </c>
      <c r="D44" s="200">
        <f t="shared" si="4"/>
        <v>4.7267430544399076E-4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23732884</v>
      </c>
      <c r="D45" s="200">
        <f t="shared" si="4"/>
        <v>3.2790415514135729E-4</v>
      </c>
      <c r="E45" s="68"/>
      <c r="F45" s="199" t="s">
        <v>13</v>
      </c>
      <c r="G45" s="72">
        <v>-16998551</v>
      </c>
      <c r="H45" s="200">
        <f t="shared" si="5"/>
        <v>-3.4123618571246105E-3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-403867</v>
      </c>
      <c r="D47" s="200">
        <f t="shared" si="4"/>
        <v>-5.580007361282958E-6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-285338</v>
      </c>
      <c r="D48" s="200">
        <f t="shared" si="4"/>
        <v>-3.9423576089498688E-6</v>
      </c>
      <c r="E48" s="68"/>
      <c r="F48" s="199" t="s">
        <v>16</v>
      </c>
      <c r="G48" s="72">
        <v>-40944</v>
      </c>
      <c r="H48" s="200">
        <f t="shared" si="5"/>
        <v>-8.2192737415153837E-6</v>
      </c>
    </row>
    <row r="49" spans="2:10" s="80" customFormat="1" x14ac:dyDescent="0.2">
      <c r="B49" s="201" t="s">
        <v>17</v>
      </c>
      <c r="C49" s="77">
        <f>SUM(C37:C48)</f>
        <v>62397041</v>
      </c>
      <c r="D49" s="78">
        <f>SUM(D37:D48)</f>
        <v>8.6210546566635687E-4</v>
      </c>
      <c r="E49" s="79"/>
      <c r="F49" s="201" t="s">
        <v>17</v>
      </c>
      <c r="G49" s="77">
        <f>SUM(G37:G48)</f>
        <v>-17200676</v>
      </c>
      <c r="H49" s="78">
        <f>SUM(H37:H48)</f>
        <v>-3.4529372944293144E-3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14098.394</v>
      </c>
      <c r="H53" s="200">
        <f t="shared" ref="H53:H64" si="7">+IF(G53/$C$124=0,"",G53/$C$124)</f>
        <v>1.3052778132257288E-4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-1215126</v>
      </c>
      <c r="D55" s="200">
        <f t="shared" si="6"/>
        <v>-5.3921169882309799E-5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-45587.565000000002</v>
      </c>
      <c r="H60" s="200">
        <f t="shared" si="7"/>
        <v>-4.2206535832014461E-4</v>
      </c>
    </row>
    <row r="61" spans="2:10" x14ac:dyDescent="0.2">
      <c r="B61" s="199" t="s">
        <v>13</v>
      </c>
      <c r="C61" s="72">
        <v>-149841847</v>
      </c>
      <c r="D61" s="200">
        <f t="shared" si="6"/>
        <v>-6.6492262428473042E-3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6476615</v>
      </c>
      <c r="D63" s="200">
        <f t="shared" si="6"/>
        <v>2.8739954348546234E-4</v>
      </c>
      <c r="E63" s="68"/>
      <c r="F63" s="199" t="s">
        <v>15</v>
      </c>
      <c r="G63" s="92">
        <v>-845.66000000000008</v>
      </c>
      <c r="H63" s="200">
        <f t="shared" si="7"/>
        <v>-7.8294111764252705E-6</v>
      </c>
    </row>
    <row r="64" spans="2:10" x14ac:dyDescent="0.2">
      <c r="B64" s="199" t="s">
        <v>16</v>
      </c>
      <c r="C64" s="72">
        <v>-185221</v>
      </c>
      <c r="D64" s="200">
        <f t="shared" si="6"/>
        <v>-8.2191748071980225E-6</v>
      </c>
      <c r="E64" s="68"/>
      <c r="F64" s="199" t="s">
        <v>16</v>
      </c>
      <c r="G64" s="92">
        <v>-109.07</v>
      </c>
      <c r="H64" s="200">
        <f t="shared" si="7"/>
        <v>-1.0098075787109527E-6</v>
      </c>
    </row>
    <row r="65" spans="2:8" s="80" customFormat="1" x14ac:dyDescent="0.2">
      <c r="B65" s="201" t="s">
        <v>17</v>
      </c>
      <c r="C65" s="77">
        <f>SUM(C53:C64)</f>
        <v>-144765579</v>
      </c>
      <c r="D65" s="78">
        <f>SUM(D53:D64)</f>
        <v>-6.4239670440513494E-3</v>
      </c>
      <c r="E65" s="79"/>
      <c r="F65" s="201" t="s">
        <v>17</v>
      </c>
      <c r="G65" s="203">
        <f>SUM(G53:G64)</f>
        <v>-32443.901000000002</v>
      </c>
      <c r="H65" s="78">
        <f>SUM(H53:H64)</f>
        <v>-3.0037679575270791E-4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-6973</v>
      </c>
      <c r="D72" s="200">
        <f t="shared" si="8"/>
        <v>-4.9596797898829897E-7</v>
      </c>
      <c r="E72" s="68"/>
      <c r="F72" s="199" t="s">
        <v>9</v>
      </c>
      <c r="G72" s="66">
        <v>-1195467</v>
      </c>
      <c r="H72" s="200">
        <f t="shared" si="9"/>
        <v>-1.8207071337123423E-4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-120438371</v>
      </c>
      <c r="D76" s="200">
        <f t="shared" si="8"/>
        <v>-8.5664097888301961E-3</v>
      </c>
      <c r="E76" s="68"/>
      <c r="F76" s="199" t="s">
        <v>13</v>
      </c>
      <c r="G76" s="72">
        <v>-51753</v>
      </c>
      <c r="H76" s="200">
        <f t="shared" si="9"/>
        <v>-7.882029055675719E-6</v>
      </c>
    </row>
    <row r="77" spans="2:8" x14ac:dyDescent="0.2">
      <c r="B77" s="199" t="s">
        <v>14</v>
      </c>
      <c r="C77" s="66">
        <v>-48230371</v>
      </c>
      <c r="D77" s="200">
        <f t="shared" si="8"/>
        <v>-3.4304775033308283E-3</v>
      </c>
      <c r="E77" s="68"/>
      <c r="F77" s="199" t="s">
        <v>14</v>
      </c>
      <c r="G77" s="66">
        <v>-23383397</v>
      </c>
      <c r="H77" s="200">
        <f t="shared" si="9"/>
        <v>-3.5613126693022712E-3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-21153</v>
      </c>
      <c r="D79" s="200">
        <f t="shared" si="8"/>
        <v>-1.5045476350981627E-6</v>
      </c>
      <c r="E79" s="68"/>
      <c r="F79" s="199" t="s">
        <v>16</v>
      </c>
      <c r="G79" s="72">
        <v>-16071</v>
      </c>
      <c r="H79" s="200">
        <f t="shared" si="9"/>
        <v>-2.447627943380374E-6</v>
      </c>
    </row>
    <row r="80" spans="2:8" s="80" customFormat="1" x14ac:dyDescent="0.2">
      <c r="B80" s="201" t="s">
        <v>17</v>
      </c>
      <c r="C80" s="77">
        <f>SUM(C68:C79)</f>
        <v>-168696868</v>
      </c>
      <c r="D80" s="78">
        <f>SUM(D68:D79)</f>
        <v>-1.199888780777511E-2</v>
      </c>
      <c r="E80" s="79"/>
      <c r="F80" s="201" t="s">
        <v>17</v>
      </c>
      <c r="G80" s="77">
        <f>SUM(G68:G79)</f>
        <v>-24646688</v>
      </c>
      <c r="H80" s="78">
        <f>SUM(H68:H79)</f>
        <v>-3.7537130396725618E-3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0</v>
      </c>
      <c r="D87" s="200" t="str">
        <f t="shared" si="10"/>
        <v/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139.96360000000001</v>
      </c>
      <c r="D90" s="200">
        <f t="shared" si="10"/>
        <v>6.6213293682569037E-6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-1907.575</v>
      </c>
      <c r="D92" s="200">
        <f t="shared" si="10"/>
        <v>-9.0242622865178252E-5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-1767.6114</v>
      </c>
      <c r="D95" s="209">
        <f>SUM(D83:D94)</f>
        <v>-8.3621293496921351E-5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22567875294.999901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22535230646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14059375394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4981462023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6565948899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55586246030</v>
      </c>
      <c r="D120" s="193">
        <v>2472558341</v>
      </c>
      <c r="F120" s="204">
        <f>+C120+D120</f>
        <v>58058804371</v>
      </c>
      <c r="G120" s="197"/>
      <c r="H120" s="197"/>
    </row>
    <row r="121" spans="1:13" x14ac:dyDescent="0.2">
      <c r="B121" s="189" t="s">
        <v>18</v>
      </c>
      <c r="C121" s="192">
        <v>32572625.151500002</v>
      </c>
      <c r="D121" s="193">
        <v>33803.39</v>
      </c>
      <c r="F121" s="204">
        <f>+C121+D121</f>
        <v>32606428.541500002</v>
      </c>
      <c r="H121" s="75"/>
    </row>
    <row r="122" spans="1:13" x14ac:dyDescent="0.2">
      <c r="B122" s="189" t="s">
        <v>4</v>
      </c>
      <c r="C122" s="190">
        <v>6995290029.9999008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72377503084</v>
      </c>
      <c r="D123" s="205"/>
      <c r="F123" s="204"/>
      <c r="H123" s="75"/>
    </row>
    <row r="124" spans="1:13" x14ac:dyDescent="0.2">
      <c r="B124" s="189" t="s">
        <v>25</v>
      </c>
      <c r="C124" s="192">
        <v>108010676.7858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21138292.964400001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195" priority="48" stopIfTrue="1" operator="lessThan">
      <formula>0</formula>
    </cfRule>
  </conditionalFormatting>
  <conditionalFormatting sqref="C7:C9">
    <cfRule type="cellIs" dxfId="1194" priority="47" stopIfTrue="1" operator="lessThan">
      <formula>0</formula>
    </cfRule>
  </conditionalFormatting>
  <conditionalFormatting sqref="C10:C13">
    <cfRule type="cellIs" dxfId="1193" priority="45" stopIfTrue="1" operator="lessThan">
      <formula>0</formula>
    </cfRule>
  </conditionalFormatting>
  <conditionalFormatting sqref="C104">
    <cfRule type="cellIs" dxfId="1192" priority="44" stopIfTrue="1" operator="lessThan">
      <formula>0</formula>
    </cfRule>
  </conditionalFormatting>
  <conditionalFormatting sqref="C7">
    <cfRule type="cellIs" dxfId="1191" priority="46" stopIfTrue="1" operator="lessThan">
      <formula>0</formula>
    </cfRule>
  </conditionalFormatting>
  <conditionalFormatting sqref="C29:C33">
    <cfRule type="cellIs" dxfId="1190" priority="39" stopIfTrue="1" operator="lessThan">
      <formula>0</formula>
    </cfRule>
  </conditionalFormatting>
  <conditionalFormatting sqref="G7:G9">
    <cfRule type="cellIs" dxfId="1189" priority="42" stopIfTrue="1" operator="lessThan">
      <formula>0</formula>
    </cfRule>
  </conditionalFormatting>
  <conditionalFormatting sqref="C22">
    <cfRule type="cellIs" dxfId="1188" priority="37" stopIfTrue="1" operator="lessThan">
      <formula>0</formula>
    </cfRule>
  </conditionalFormatting>
  <conditionalFormatting sqref="C25:C28">
    <cfRule type="cellIs" dxfId="1187" priority="36" stopIfTrue="1" operator="lessThan">
      <formula>0</formula>
    </cfRule>
  </conditionalFormatting>
  <conditionalFormatting sqref="G14:G18">
    <cfRule type="cellIs" dxfId="1186" priority="43" stopIfTrue="1" operator="lessThan">
      <formula>0</formula>
    </cfRule>
  </conditionalFormatting>
  <conditionalFormatting sqref="G7">
    <cfRule type="cellIs" dxfId="1185" priority="41" stopIfTrue="1" operator="lessThan">
      <formula>0</formula>
    </cfRule>
  </conditionalFormatting>
  <conditionalFormatting sqref="G10:G13">
    <cfRule type="cellIs" dxfId="1184" priority="40" stopIfTrue="1" operator="lessThan">
      <formula>0</formula>
    </cfRule>
  </conditionalFormatting>
  <conditionalFormatting sqref="C22:C24">
    <cfRule type="cellIs" dxfId="1183" priority="38" stopIfTrue="1" operator="lessThan">
      <formula>0</formula>
    </cfRule>
  </conditionalFormatting>
  <conditionalFormatting sqref="G22">
    <cfRule type="cellIs" dxfId="1182" priority="33" stopIfTrue="1" operator="lessThan">
      <formula>0</formula>
    </cfRule>
  </conditionalFormatting>
  <conditionalFormatting sqref="G29:G33">
    <cfRule type="cellIs" dxfId="1181" priority="35" stopIfTrue="1" operator="lessThan">
      <formula>0</formula>
    </cfRule>
  </conditionalFormatting>
  <conditionalFormatting sqref="G22:G24">
    <cfRule type="cellIs" dxfId="1180" priority="34" stopIfTrue="1" operator="lessThan">
      <formula>0</formula>
    </cfRule>
  </conditionalFormatting>
  <conditionalFormatting sqref="G25:G28">
    <cfRule type="cellIs" dxfId="1179" priority="32" stopIfTrue="1" operator="lessThan">
      <formula>0</formula>
    </cfRule>
  </conditionalFormatting>
  <conditionalFormatting sqref="C40:C43">
    <cfRule type="cellIs" dxfId="1178" priority="28" stopIfTrue="1" operator="lessThan">
      <formula>0</formula>
    </cfRule>
  </conditionalFormatting>
  <conditionalFormatting sqref="G44:G48">
    <cfRule type="cellIs" dxfId="1177" priority="27" stopIfTrue="1" operator="lessThan">
      <formula>0</formula>
    </cfRule>
  </conditionalFormatting>
  <conditionalFormatting sqref="G37">
    <cfRule type="cellIs" dxfId="1176" priority="25" stopIfTrue="1" operator="lessThan">
      <formula>0</formula>
    </cfRule>
  </conditionalFormatting>
  <conditionalFormatting sqref="C44:C48">
    <cfRule type="cellIs" dxfId="1175" priority="31" stopIfTrue="1" operator="lessThan">
      <formula>0</formula>
    </cfRule>
  </conditionalFormatting>
  <conditionalFormatting sqref="C37:C39">
    <cfRule type="cellIs" dxfId="1174" priority="30" stopIfTrue="1" operator="lessThan">
      <formula>0</formula>
    </cfRule>
  </conditionalFormatting>
  <conditionalFormatting sqref="C37">
    <cfRule type="cellIs" dxfId="1173" priority="29" stopIfTrue="1" operator="lessThan">
      <formula>0</formula>
    </cfRule>
  </conditionalFormatting>
  <conditionalFormatting sqref="C56:C59">
    <cfRule type="cellIs" dxfId="1172" priority="20" stopIfTrue="1" operator="lessThan">
      <formula>0</formula>
    </cfRule>
  </conditionalFormatting>
  <conditionalFormatting sqref="G60:G63">
    <cfRule type="cellIs" dxfId="1171" priority="19" stopIfTrue="1" operator="lessThan">
      <formula>0</formula>
    </cfRule>
  </conditionalFormatting>
  <conditionalFormatting sqref="G37:G39">
    <cfRule type="cellIs" dxfId="1170" priority="26" stopIfTrue="1" operator="lessThan">
      <formula>0</formula>
    </cfRule>
  </conditionalFormatting>
  <conditionalFormatting sqref="G53">
    <cfRule type="cellIs" dxfId="1169" priority="17" stopIfTrue="1" operator="lessThan">
      <formula>0</formula>
    </cfRule>
  </conditionalFormatting>
  <conditionalFormatting sqref="G40:G43">
    <cfRule type="cellIs" dxfId="1168" priority="24" stopIfTrue="1" operator="lessThan">
      <formula>0</formula>
    </cfRule>
  </conditionalFormatting>
  <conditionalFormatting sqref="C60:C64">
    <cfRule type="cellIs" dxfId="1167" priority="23" stopIfTrue="1" operator="lessThan">
      <formula>0</formula>
    </cfRule>
  </conditionalFormatting>
  <conditionalFormatting sqref="C53:C55">
    <cfRule type="cellIs" dxfId="1166" priority="22" stopIfTrue="1" operator="lessThan">
      <formula>0</formula>
    </cfRule>
  </conditionalFormatting>
  <conditionalFormatting sqref="C53">
    <cfRule type="cellIs" dxfId="1165" priority="21" stopIfTrue="1" operator="lessThan">
      <formula>0</formula>
    </cfRule>
  </conditionalFormatting>
  <conditionalFormatting sqref="G53:G55">
    <cfRule type="cellIs" dxfId="1164" priority="18" stopIfTrue="1" operator="lessThan">
      <formula>0</formula>
    </cfRule>
  </conditionalFormatting>
  <conditionalFormatting sqref="G56:G59">
    <cfRule type="cellIs" dxfId="1163" priority="16" stopIfTrue="1" operator="lessThan">
      <formula>0</formula>
    </cfRule>
  </conditionalFormatting>
  <conditionalFormatting sqref="C75:C78">
    <cfRule type="cellIs" dxfId="1162" priority="15" stopIfTrue="1" operator="lessThan">
      <formula>0</formula>
    </cfRule>
  </conditionalFormatting>
  <conditionalFormatting sqref="C68:C70">
    <cfRule type="cellIs" dxfId="1161" priority="14" stopIfTrue="1" operator="lessThan">
      <formula>0</formula>
    </cfRule>
  </conditionalFormatting>
  <conditionalFormatting sqref="C68">
    <cfRule type="cellIs" dxfId="1160" priority="13" stopIfTrue="1" operator="lessThan">
      <formula>0</formula>
    </cfRule>
  </conditionalFormatting>
  <conditionalFormatting sqref="C71:C74">
    <cfRule type="cellIs" dxfId="1159" priority="12" stopIfTrue="1" operator="lessThan">
      <formula>0</formula>
    </cfRule>
  </conditionalFormatting>
  <conditionalFormatting sqref="G75:G79">
    <cfRule type="cellIs" dxfId="1158" priority="11" stopIfTrue="1" operator="lessThan">
      <formula>0</formula>
    </cfRule>
  </conditionalFormatting>
  <conditionalFormatting sqref="G68:G70">
    <cfRule type="cellIs" dxfId="1157" priority="10" stopIfTrue="1" operator="lessThan">
      <formula>0</formula>
    </cfRule>
  </conditionalFormatting>
  <conditionalFormatting sqref="G68">
    <cfRule type="cellIs" dxfId="1156" priority="9" stopIfTrue="1" operator="lessThan">
      <formula>0</formula>
    </cfRule>
  </conditionalFormatting>
  <conditionalFormatting sqref="G71:G74">
    <cfRule type="cellIs" dxfId="1155" priority="8" stopIfTrue="1" operator="lessThan">
      <formula>0</formula>
    </cfRule>
  </conditionalFormatting>
  <conditionalFormatting sqref="G64">
    <cfRule type="cellIs" dxfId="1154" priority="7" stopIfTrue="1" operator="lessThan">
      <formula>0</formula>
    </cfRule>
  </conditionalFormatting>
  <conditionalFormatting sqref="C79">
    <cfRule type="cellIs" dxfId="1153" priority="6" stopIfTrue="1" operator="lessThan">
      <formula>0</formula>
    </cfRule>
  </conditionalFormatting>
  <conditionalFormatting sqref="C90:C93">
    <cfRule type="cellIs" dxfId="1152" priority="5" stopIfTrue="1" operator="lessThan">
      <formula>0</formula>
    </cfRule>
  </conditionalFormatting>
  <conditionalFormatting sqref="C83:C85">
    <cfRule type="cellIs" dxfId="1151" priority="4" stopIfTrue="1" operator="lessThan">
      <formula>0</formula>
    </cfRule>
  </conditionalFormatting>
  <conditionalFormatting sqref="C83">
    <cfRule type="cellIs" dxfId="1150" priority="3" stopIfTrue="1" operator="lessThan">
      <formula>0</formula>
    </cfRule>
  </conditionalFormatting>
  <conditionalFormatting sqref="C86:C89">
    <cfRule type="cellIs" dxfId="1149" priority="2" stopIfTrue="1" operator="lessThan">
      <formula>0</formula>
    </cfRule>
  </conditionalFormatting>
  <conditionalFormatting sqref="C94">
    <cfRule type="cellIs" dxfId="1148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43089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4734213</v>
      </c>
      <c r="D7" s="67">
        <f>+IF(C7/$F$120=0,"",C7/$F$120)</f>
        <v>8.1039669496845693E-5</v>
      </c>
      <c r="E7" s="68"/>
      <c r="F7" s="199" t="s">
        <v>5</v>
      </c>
      <c r="G7" s="66">
        <v>747699</v>
      </c>
      <c r="H7" s="200">
        <f>+IF(G7/$C$122=0,"",G7/$C$122)</f>
        <v>1.0689096895447269E-4</v>
      </c>
      <c r="I7" s="70"/>
    </row>
    <row r="8" spans="1:9" x14ac:dyDescent="0.2">
      <c r="B8" s="199" t="s">
        <v>6</v>
      </c>
      <c r="C8" s="66">
        <v>28800</v>
      </c>
      <c r="D8" s="67">
        <f>+IF(C8/$F$120=0,"",C8/$F$120)</f>
        <v>4.9299481909858217E-7</v>
      </c>
      <c r="E8" s="68"/>
      <c r="F8" s="199" t="s">
        <v>6</v>
      </c>
      <c r="G8" s="66">
        <v>37405</v>
      </c>
      <c r="H8" s="200">
        <f>+IF(G8/$C$122=0,"",G8/$C$122)</f>
        <v>5.347414793576093E-6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7437</v>
      </c>
      <c r="H11" s="200">
        <f t="shared" si="0"/>
        <v>1.0631927234280284E-6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8809979</v>
      </c>
      <c r="H14" s="200">
        <f t="shared" si="0"/>
        <v>1.2594736542091889E-3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-95173</v>
      </c>
      <c r="D18" s="67">
        <f>+IF(C18/$F$120=0,"",C18/$F$120)</f>
        <v>-1.6291595804885196E-6</v>
      </c>
      <c r="E18" s="75"/>
      <c r="F18" s="199" t="s">
        <v>16</v>
      </c>
      <c r="G18" s="72">
        <v>-25940</v>
      </c>
      <c r="H18" s="200">
        <f t="shared" si="0"/>
        <v>-3.7083796215843829E-6</v>
      </c>
    </row>
    <row r="19" spans="2:9" s="80" customFormat="1" x14ac:dyDescent="0.2">
      <c r="B19" s="201" t="s">
        <v>17</v>
      </c>
      <c r="C19" s="77">
        <f>SUM(C7:C18)</f>
        <v>4667840</v>
      </c>
      <c r="D19" s="78">
        <f>SUM(D7:D18)</f>
        <v>7.9903504735455753E-5</v>
      </c>
      <c r="E19" s="79"/>
      <c r="F19" s="201" t="s">
        <v>17</v>
      </c>
      <c r="G19" s="77">
        <f>SUM(G7:G18)</f>
        <v>9576580</v>
      </c>
      <c r="H19" s="78">
        <f>SUM(H7:H18)</f>
        <v>1.3690668510590812E-3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2369.5556000000001</v>
      </c>
      <c r="D22" s="200">
        <f>+IF(C22/$F$121=0,"",C22/$F$121)</f>
        <v>7.2517223550446597E-5</v>
      </c>
      <c r="E22" s="75"/>
      <c r="F22" s="199" t="s">
        <v>5</v>
      </c>
      <c r="G22" s="66">
        <v>1821824</v>
      </c>
      <c r="H22" s="200">
        <f t="shared" ref="H22:H33" si="2">+IF(G22/$C$115=0,"",G22/$C$115)</f>
        <v>8.0961561924994789E-5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199482</v>
      </c>
      <c r="H23" s="200">
        <f t="shared" si="2"/>
        <v>8.8649475997252262E-6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0.41820510200977878</v>
      </c>
      <c r="D26" s="200">
        <f>+IF(C26/$F$121=0,"",C26/$F$121)</f>
        <v>1.2798633158209265E-8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-2280.7469378957758</v>
      </c>
      <c r="D27" s="200">
        <f t="shared" ref="D27:D33" si="3">+IF(C27/$F$121=0,"",C27/$F$121)</f>
        <v>-6.9799347842854794E-5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6887924</v>
      </c>
      <c r="H29" s="200">
        <f t="shared" si="2"/>
        <v>3.0609822104696056E-4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1412.9940999999999</v>
      </c>
      <c r="D31" s="200">
        <f t="shared" si="3"/>
        <v>4.3242880236767634E-5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-146.72</v>
      </c>
      <c r="D33" s="200">
        <f t="shared" si="3"/>
        <v>-4.4901782592995598E-6</v>
      </c>
      <c r="E33" s="75"/>
      <c r="F33" s="199" t="s">
        <v>16</v>
      </c>
      <c r="G33" s="72">
        <v>-79620</v>
      </c>
      <c r="H33" s="200">
        <f t="shared" si="2"/>
        <v>-3.53829983602592E-6</v>
      </c>
    </row>
    <row r="34" spans="1:13" s="80" customFormat="1" x14ac:dyDescent="0.2">
      <c r="B34" s="201" t="s">
        <v>17</v>
      </c>
      <c r="C34" s="203">
        <f>SUM(C22:C33)</f>
        <v>1355.500967206234</v>
      </c>
      <c r="D34" s="78">
        <f>SUM(D22:D33)</f>
        <v>4.1483376318218085E-5</v>
      </c>
      <c r="E34" s="79"/>
      <c r="F34" s="201" t="s">
        <v>17</v>
      </c>
      <c r="G34" s="203">
        <f>SUM(G22:G33)</f>
        <v>8829610</v>
      </c>
      <c r="H34" s="78">
        <f>SUM(H22:H33)</f>
        <v>3.9238643073565466E-4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4631226</v>
      </c>
      <c r="D37" s="200">
        <f t="shared" ref="D37:D48" si="4">+IF(C37/$C$123=0,"",C37/$C$123)</f>
        <v>6.2620496162883138E-5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1099222</v>
      </c>
      <c r="D38" s="200">
        <f t="shared" si="4"/>
        <v>1.4862981645282855E-5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-1563736</v>
      </c>
      <c r="H39" s="200">
        <f t="shared" si="5"/>
        <v>-3.1176243033721762E-4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121755962</v>
      </c>
      <c r="D44" s="200">
        <f t="shared" si="4"/>
        <v>1.6463067773477575E-3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52098792</v>
      </c>
      <c r="D45" s="200">
        <f t="shared" si="4"/>
        <v>7.0444677165978225E-4</v>
      </c>
      <c r="E45" s="68"/>
      <c r="F45" s="199" t="s">
        <v>13</v>
      </c>
      <c r="G45" s="72">
        <v>-39117773</v>
      </c>
      <c r="H45" s="200">
        <f t="shared" si="5"/>
        <v>-7.7989200094258819E-3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>
        <v>-109991</v>
      </c>
      <c r="H47" s="200">
        <f t="shared" si="5"/>
        <v>-2.1928932681233214E-5</v>
      </c>
    </row>
    <row r="48" spans="1:13" x14ac:dyDescent="0.2">
      <c r="B48" s="199" t="s">
        <v>16</v>
      </c>
      <c r="C48" s="72">
        <v>-244205</v>
      </c>
      <c r="D48" s="200">
        <f t="shared" si="4"/>
        <v>-3.3019848881175044E-6</v>
      </c>
      <c r="E48" s="68"/>
      <c r="F48" s="199" t="s">
        <v>16</v>
      </c>
      <c r="G48" s="72">
        <v>-16433</v>
      </c>
      <c r="H48" s="200">
        <f t="shared" si="5"/>
        <v>-3.2762512455628677E-6</v>
      </c>
    </row>
    <row r="49" spans="2:10" s="80" customFormat="1" x14ac:dyDescent="0.2">
      <c r="B49" s="201" t="s">
        <v>17</v>
      </c>
      <c r="C49" s="77">
        <f>SUM(C37:C48)</f>
        <v>179340997</v>
      </c>
      <c r="D49" s="78">
        <f>SUM(D37:D48)</f>
        <v>2.4249350419275882E-3</v>
      </c>
      <c r="E49" s="79"/>
      <c r="F49" s="201" t="s">
        <v>17</v>
      </c>
      <c r="G49" s="77">
        <f>SUM(G37:G48)</f>
        <v>-40807933</v>
      </c>
      <c r="H49" s="78">
        <f>SUM(H37:H48)</f>
        <v>-8.1358876236898962E-3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14129.025900000001</v>
      </c>
      <c r="H53" s="200">
        <f t="shared" ref="H53:H64" si="7">+IF(G53/$C$124=0,"",G53/$C$124)</f>
        <v>1.3085247620113629E-4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-3840747</v>
      </c>
      <c r="D55" s="200">
        <f t="shared" si="6"/>
        <v>-1.6656543997503807E-4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-95834.125</v>
      </c>
      <c r="H60" s="200">
        <f t="shared" si="7"/>
        <v>-8.8754402812859308E-4</v>
      </c>
    </row>
    <row r="61" spans="2:10" x14ac:dyDescent="0.2">
      <c r="B61" s="199" t="s">
        <v>13</v>
      </c>
      <c r="C61" s="72">
        <v>-158968399</v>
      </c>
      <c r="D61" s="200">
        <f t="shared" si="6"/>
        <v>-6.8941383854657437E-3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-11955295</v>
      </c>
      <c r="D63" s="200">
        <f t="shared" si="6"/>
        <v>-5.1847699723683242E-4</v>
      </c>
      <c r="E63" s="68"/>
      <c r="F63" s="199" t="s">
        <v>15</v>
      </c>
      <c r="G63" s="92">
        <v>-463</v>
      </c>
      <c r="H63" s="200">
        <f t="shared" si="7"/>
        <v>-4.287959899707318E-6</v>
      </c>
    </row>
    <row r="64" spans="2:10" x14ac:dyDescent="0.2">
      <c r="B64" s="199" t="s">
        <v>16</v>
      </c>
      <c r="C64" s="72">
        <v>-189522</v>
      </c>
      <c r="D64" s="200">
        <f t="shared" si="6"/>
        <v>-8.2191863496734263E-6</v>
      </c>
      <c r="E64" s="68"/>
      <c r="F64" s="199" t="s">
        <v>16</v>
      </c>
      <c r="G64" s="92">
        <v>-109.15</v>
      </c>
      <c r="H64" s="200">
        <f t="shared" si="7"/>
        <v>-1.0108657085379132E-6</v>
      </c>
    </row>
    <row r="65" spans="2:8" s="80" customFormat="1" x14ac:dyDescent="0.2">
      <c r="B65" s="201" t="s">
        <v>17</v>
      </c>
      <c r="C65" s="77">
        <f>SUM(C53:C64)</f>
        <v>-174953963</v>
      </c>
      <c r="D65" s="78">
        <f>SUM(D53:D64)</f>
        <v>-7.5874000090272878E-3</v>
      </c>
      <c r="E65" s="79"/>
      <c r="F65" s="201" t="s">
        <v>17</v>
      </c>
      <c r="G65" s="203">
        <f>SUM(G53:G64)</f>
        <v>-82277.249099999986</v>
      </c>
      <c r="H65" s="78">
        <f>SUM(H53:H64)</f>
        <v>-7.6199037753570196E-4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-125</v>
      </c>
      <c r="D72" s="200">
        <f t="shared" si="8"/>
        <v>-8.9992886312157278E-9</v>
      </c>
      <c r="E72" s="68"/>
      <c r="F72" s="199" t="s">
        <v>9</v>
      </c>
      <c r="G72" s="66">
        <v>-197620</v>
      </c>
      <c r="H72" s="200">
        <f t="shared" si="9"/>
        <v>-3.0211150609852395E-5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-11402519</v>
      </c>
      <c r="D76" s="200">
        <f t="shared" si="8"/>
        <v>-8.209164768313706E-4</v>
      </c>
      <c r="E76" s="68"/>
      <c r="F76" s="199" t="s">
        <v>13</v>
      </c>
      <c r="G76" s="72">
        <v>-12834688</v>
      </c>
      <c r="H76" s="200">
        <f t="shared" si="9"/>
        <v>-1.9621024805104E-3</v>
      </c>
    </row>
    <row r="77" spans="2:8" x14ac:dyDescent="0.2">
      <c r="B77" s="199" t="s">
        <v>14</v>
      </c>
      <c r="C77" s="66">
        <v>-860549</v>
      </c>
      <c r="D77" s="200">
        <f t="shared" si="8"/>
        <v>-6.195463065843251E-5</v>
      </c>
      <c r="E77" s="68"/>
      <c r="F77" s="199" t="s">
        <v>14</v>
      </c>
      <c r="G77" s="66">
        <v>-416736</v>
      </c>
      <c r="H77" s="200">
        <f t="shared" si="9"/>
        <v>-6.3708501470233008E-5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-21152</v>
      </c>
      <c r="D79" s="200">
        <f t="shared" si="8"/>
        <v>-1.5228236250198006E-6</v>
      </c>
      <c r="E79" s="68"/>
      <c r="F79" s="199" t="s">
        <v>16</v>
      </c>
      <c r="G79" s="72">
        <v>-16071</v>
      </c>
      <c r="H79" s="200">
        <f t="shared" si="9"/>
        <v>-2.4568535646743134E-6</v>
      </c>
    </row>
    <row r="80" spans="2:8" s="80" customFormat="1" x14ac:dyDescent="0.2">
      <c r="B80" s="201" t="s">
        <v>17</v>
      </c>
      <c r="C80" s="77">
        <f>SUM(C68:C79)</f>
        <v>-12284345</v>
      </c>
      <c r="D80" s="78">
        <f>SUM(D68:D79)</f>
        <v>-8.844029304034541E-4</v>
      </c>
      <c r="E80" s="79"/>
      <c r="F80" s="201" t="s">
        <v>17</v>
      </c>
      <c r="G80" s="77">
        <f>SUM(G68:G79)</f>
        <v>-13465115</v>
      </c>
      <c r="H80" s="78">
        <f>SUM(H68:H79)</f>
        <v>-2.0584789861551596E-3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834.42</v>
      </c>
      <c r="D87" s="200">
        <f t="shared" si="10"/>
        <v>3.9183650269346454E-5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14169.4913</v>
      </c>
      <c r="D90" s="200">
        <f t="shared" si="10"/>
        <v>6.653872049971804E-4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-258617.69339999999</v>
      </c>
      <c r="D92" s="200">
        <f t="shared" si="10"/>
        <v>-1.214446591842318E-2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-243613.78209999998</v>
      </c>
      <c r="D95" s="209">
        <f>SUM(D83:D94)</f>
        <v>-1.1439895063156652E-2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22502332671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23058486806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13889986767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5015793591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6541293397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56470709019</v>
      </c>
      <c r="D120" s="193">
        <v>1947754795</v>
      </c>
      <c r="F120" s="204">
        <f>+C120+D120</f>
        <v>58418463814</v>
      </c>
      <c r="G120" s="197"/>
      <c r="H120" s="197"/>
    </row>
    <row r="121" spans="1:13" x14ac:dyDescent="0.2">
      <c r="B121" s="189" t="s">
        <v>18</v>
      </c>
      <c r="C121" s="192">
        <v>32575762.859999999</v>
      </c>
      <c r="D121" s="193">
        <v>100000</v>
      </c>
      <c r="F121" s="204">
        <f>+C121+D121</f>
        <v>32675762.859999999</v>
      </c>
      <c r="H121" s="75"/>
    </row>
    <row r="122" spans="1:13" x14ac:dyDescent="0.2">
      <c r="B122" s="189" t="s">
        <v>4</v>
      </c>
      <c r="C122" s="190">
        <v>6994968867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73957031384</v>
      </c>
      <c r="D123" s="205"/>
      <c r="F123" s="204"/>
      <c r="H123" s="75"/>
    </row>
    <row r="124" spans="1:13" x14ac:dyDescent="0.2">
      <c r="B124" s="189" t="s">
        <v>25</v>
      </c>
      <c r="C124" s="192">
        <v>107976756.04000001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21295106.3585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147" priority="48" stopIfTrue="1" operator="lessThan">
      <formula>0</formula>
    </cfRule>
  </conditionalFormatting>
  <conditionalFormatting sqref="C7:C9">
    <cfRule type="cellIs" dxfId="1146" priority="47" stopIfTrue="1" operator="lessThan">
      <formula>0</formula>
    </cfRule>
  </conditionalFormatting>
  <conditionalFormatting sqref="C10:C13">
    <cfRule type="cellIs" dxfId="1145" priority="45" stopIfTrue="1" operator="lessThan">
      <formula>0</formula>
    </cfRule>
  </conditionalFormatting>
  <conditionalFormatting sqref="C104">
    <cfRule type="cellIs" dxfId="1144" priority="44" stopIfTrue="1" operator="lessThan">
      <formula>0</formula>
    </cfRule>
  </conditionalFormatting>
  <conditionalFormatting sqref="C7">
    <cfRule type="cellIs" dxfId="1143" priority="46" stopIfTrue="1" operator="lessThan">
      <formula>0</formula>
    </cfRule>
  </conditionalFormatting>
  <conditionalFormatting sqref="C29:C33">
    <cfRule type="cellIs" dxfId="1142" priority="39" stopIfTrue="1" operator="lessThan">
      <formula>0</formula>
    </cfRule>
  </conditionalFormatting>
  <conditionalFormatting sqref="G7:G9">
    <cfRule type="cellIs" dxfId="1141" priority="42" stopIfTrue="1" operator="lessThan">
      <formula>0</formula>
    </cfRule>
  </conditionalFormatting>
  <conditionalFormatting sqref="C22">
    <cfRule type="cellIs" dxfId="1140" priority="37" stopIfTrue="1" operator="lessThan">
      <formula>0</formula>
    </cfRule>
  </conditionalFormatting>
  <conditionalFormatting sqref="C25:C28">
    <cfRule type="cellIs" dxfId="1139" priority="36" stopIfTrue="1" operator="lessThan">
      <formula>0</formula>
    </cfRule>
  </conditionalFormatting>
  <conditionalFormatting sqref="G14:G18">
    <cfRule type="cellIs" dxfId="1138" priority="43" stopIfTrue="1" operator="lessThan">
      <formula>0</formula>
    </cfRule>
  </conditionalFormatting>
  <conditionalFormatting sqref="G7">
    <cfRule type="cellIs" dxfId="1137" priority="41" stopIfTrue="1" operator="lessThan">
      <formula>0</formula>
    </cfRule>
  </conditionalFormatting>
  <conditionalFormatting sqref="G10:G13">
    <cfRule type="cellIs" dxfId="1136" priority="40" stopIfTrue="1" operator="lessThan">
      <formula>0</formula>
    </cfRule>
  </conditionalFormatting>
  <conditionalFormatting sqref="C22:C24">
    <cfRule type="cellIs" dxfId="1135" priority="38" stopIfTrue="1" operator="lessThan">
      <formula>0</formula>
    </cfRule>
  </conditionalFormatting>
  <conditionalFormatting sqref="G22">
    <cfRule type="cellIs" dxfId="1134" priority="33" stopIfTrue="1" operator="lessThan">
      <formula>0</formula>
    </cfRule>
  </conditionalFormatting>
  <conditionalFormatting sqref="G29:G33">
    <cfRule type="cellIs" dxfId="1133" priority="35" stopIfTrue="1" operator="lessThan">
      <formula>0</formula>
    </cfRule>
  </conditionalFormatting>
  <conditionalFormatting sqref="G22:G24">
    <cfRule type="cellIs" dxfId="1132" priority="34" stopIfTrue="1" operator="lessThan">
      <formula>0</formula>
    </cfRule>
  </conditionalFormatting>
  <conditionalFormatting sqref="G25:G28">
    <cfRule type="cellIs" dxfId="1131" priority="32" stopIfTrue="1" operator="lessThan">
      <formula>0</formula>
    </cfRule>
  </conditionalFormatting>
  <conditionalFormatting sqref="C40:C43">
    <cfRule type="cellIs" dxfId="1130" priority="28" stopIfTrue="1" operator="lessThan">
      <formula>0</formula>
    </cfRule>
  </conditionalFormatting>
  <conditionalFormatting sqref="G44:G48">
    <cfRule type="cellIs" dxfId="1129" priority="27" stopIfTrue="1" operator="lessThan">
      <formula>0</formula>
    </cfRule>
  </conditionalFormatting>
  <conditionalFormatting sqref="G37">
    <cfRule type="cellIs" dxfId="1128" priority="25" stopIfTrue="1" operator="lessThan">
      <formula>0</formula>
    </cfRule>
  </conditionalFormatting>
  <conditionalFormatting sqref="C44:C48">
    <cfRule type="cellIs" dxfId="1127" priority="31" stopIfTrue="1" operator="lessThan">
      <formula>0</formula>
    </cfRule>
  </conditionalFormatting>
  <conditionalFormatting sqref="C37:C39">
    <cfRule type="cellIs" dxfId="1126" priority="30" stopIfTrue="1" operator="lessThan">
      <formula>0</formula>
    </cfRule>
  </conditionalFormatting>
  <conditionalFormatting sqref="C37">
    <cfRule type="cellIs" dxfId="1125" priority="29" stopIfTrue="1" operator="lessThan">
      <formula>0</formula>
    </cfRule>
  </conditionalFormatting>
  <conditionalFormatting sqref="C56:C59">
    <cfRule type="cellIs" dxfId="1124" priority="20" stopIfTrue="1" operator="lessThan">
      <formula>0</formula>
    </cfRule>
  </conditionalFormatting>
  <conditionalFormatting sqref="G60:G63">
    <cfRule type="cellIs" dxfId="1123" priority="19" stopIfTrue="1" operator="lessThan">
      <formula>0</formula>
    </cfRule>
  </conditionalFormatting>
  <conditionalFormatting sqref="G37:G39">
    <cfRule type="cellIs" dxfId="1122" priority="26" stopIfTrue="1" operator="lessThan">
      <formula>0</formula>
    </cfRule>
  </conditionalFormatting>
  <conditionalFormatting sqref="G53">
    <cfRule type="cellIs" dxfId="1121" priority="17" stopIfTrue="1" operator="lessThan">
      <formula>0</formula>
    </cfRule>
  </conditionalFormatting>
  <conditionalFormatting sqref="G40:G43">
    <cfRule type="cellIs" dxfId="1120" priority="24" stopIfTrue="1" operator="lessThan">
      <formula>0</formula>
    </cfRule>
  </conditionalFormatting>
  <conditionalFormatting sqref="C60:C64">
    <cfRule type="cellIs" dxfId="1119" priority="23" stopIfTrue="1" operator="lessThan">
      <formula>0</formula>
    </cfRule>
  </conditionalFormatting>
  <conditionalFormatting sqref="C53:C55">
    <cfRule type="cellIs" dxfId="1118" priority="22" stopIfTrue="1" operator="lessThan">
      <formula>0</formula>
    </cfRule>
  </conditionalFormatting>
  <conditionalFormatting sqref="C53">
    <cfRule type="cellIs" dxfId="1117" priority="21" stopIfTrue="1" operator="lessThan">
      <formula>0</formula>
    </cfRule>
  </conditionalFormatting>
  <conditionalFormatting sqref="G53:G55">
    <cfRule type="cellIs" dxfId="1116" priority="18" stopIfTrue="1" operator="lessThan">
      <formula>0</formula>
    </cfRule>
  </conditionalFormatting>
  <conditionalFormatting sqref="G56:G59">
    <cfRule type="cellIs" dxfId="1115" priority="16" stopIfTrue="1" operator="lessThan">
      <formula>0</formula>
    </cfRule>
  </conditionalFormatting>
  <conditionalFormatting sqref="C75:C78">
    <cfRule type="cellIs" dxfId="1114" priority="15" stopIfTrue="1" operator="lessThan">
      <formula>0</formula>
    </cfRule>
  </conditionalFormatting>
  <conditionalFormatting sqref="C68:C70">
    <cfRule type="cellIs" dxfId="1113" priority="14" stopIfTrue="1" operator="lessThan">
      <formula>0</formula>
    </cfRule>
  </conditionalFormatting>
  <conditionalFormatting sqref="C68">
    <cfRule type="cellIs" dxfId="1112" priority="13" stopIfTrue="1" operator="lessThan">
      <formula>0</formula>
    </cfRule>
  </conditionalFormatting>
  <conditionalFormatting sqref="C71:C74">
    <cfRule type="cellIs" dxfId="1111" priority="12" stopIfTrue="1" operator="lessThan">
      <formula>0</formula>
    </cfRule>
  </conditionalFormatting>
  <conditionalFormatting sqref="G75:G79">
    <cfRule type="cellIs" dxfId="1110" priority="11" stopIfTrue="1" operator="lessThan">
      <formula>0</formula>
    </cfRule>
  </conditionalFormatting>
  <conditionalFormatting sqref="G68:G70">
    <cfRule type="cellIs" dxfId="1109" priority="10" stopIfTrue="1" operator="lessThan">
      <formula>0</formula>
    </cfRule>
  </conditionalFormatting>
  <conditionalFormatting sqref="G68">
    <cfRule type="cellIs" dxfId="1108" priority="9" stopIfTrue="1" operator="lessThan">
      <formula>0</formula>
    </cfRule>
  </conditionalFormatting>
  <conditionalFormatting sqref="G71:G74">
    <cfRule type="cellIs" dxfId="1107" priority="8" stopIfTrue="1" operator="lessThan">
      <formula>0</formula>
    </cfRule>
  </conditionalFormatting>
  <conditionalFormatting sqref="G64">
    <cfRule type="cellIs" dxfId="1106" priority="7" stopIfTrue="1" operator="lessThan">
      <formula>0</formula>
    </cfRule>
  </conditionalFormatting>
  <conditionalFormatting sqref="C79">
    <cfRule type="cellIs" dxfId="1105" priority="6" stopIfTrue="1" operator="lessThan">
      <formula>0</formula>
    </cfRule>
  </conditionalFormatting>
  <conditionalFormatting sqref="C90:C93">
    <cfRule type="cellIs" dxfId="1104" priority="5" stopIfTrue="1" operator="lessThan">
      <formula>0</formula>
    </cfRule>
  </conditionalFormatting>
  <conditionalFormatting sqref="C83:C85">
    <cfRule type="cellIs" dxfId="1103" priority="4" stopIfTrue="1" operator="lessThan">
      <formula>0</formula>
    </cfRule>
  </conditionalFormatting>
  <conditionalFormatting sqref="C83">
    <cfRule type="cellIs" dxfId="1102" priority="3" stopIfTrue="1" operator="lessThan">
      <formula>0</formula>
    </cfRule>
  </conditionalFormatting>
  <conditionalFormatting sqref="C86:C89">
    <cfRule type="cellIs" dxfId="1101" priority="2" stopIfTrue="1" operator="lessThan">
      <formula>0</formula>
    </cfRule>
  </conditionalFormatting>
  <conditionalFormatting sqref="C94">
    <cfRule type="cellIs" dxfId="1100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43090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4611871</v>
      </c>
      <c r="D7" s="67">
        <f>+IF(C7/$F$120=0,"",C7/$F$120)</f>
        <v>8.0214955599531201E-5</v>
      </c>
      <c r="E7" s="68"/>
      <c r="F7" s="199" t="s">
        <v>5</v>
      </c>
      <c r="G7" s="66">
        <v>758547</v>
      </c>
      <c r="H7" s="200">
        <f>+IF(G7/$C$122=0,"",G7/$C$122)</f>
        <v>1.083471575645054E-4</v>
      </c>
      <c r="I7" s="70"/>
    </row>
    <row r="8" spans="1:9" x14ac:dyDescent="0.2">
      <c r="B8" s="199" t="s">
        <v>6</v>
      </c>
      <c r="C8" s="66">
        <v>29137</v>
      </c>
      <c r="D8" s="67">
        <f>+IF(C8/$F$120=0,"",C8/$F$120)</f>
        <v>5.0678415794881092E-7</v>
      </c>
      <c r="E8" s="68"/>
      <c r="F8" s="199" t="s">
        <v>6</v>
      </c>
      <c r="G8" s="66">
        <v>37521</v>
      </c>
      <c r="H8" s="200">
        <f>+IF(G8/$C$122=0,"",G8/$C$122)</f>
        <v>5.3593168241095236E-6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-9688</v>
      </c>
      <c r="H11" s="200">
        <f t="shared" si="0"/>
        <v>-1.3837867165580093E-6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4244101</v>
      </c>
      <c r="H14" s="200">
        <f t="shared" si="0"/>
        <v>6.0620670804403007E-4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>
        <v>-1</v>
      </c>
      <c r="D17" s="67">
        <f>+IF(C17/$F$120=0,"",C17/$F$120)</f>
        <v>-1.7393148160373783E-11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-225364</v>
      </c>
      <c r="D18" s="67">
        <f>+IF(C18/$F$120=0,"",C18/$F$120)</f>
        <v>-3.9197894420144772E-6</v>
      </c>
      <c r="E18" s="75"/>
      <c r="F18" s="199" t="s">
        <v>16</v>
      </c>
      <c r="G18" s="72">
        <v>-25940</v>
      </c>
      <c r="H18" s="200">
        <f t="shared" si="0"/>
        <v>-3.7051432109325724E-6</v>
      </c>
    </row>
    <row r="19" spans="2:9" s="80" customFormat="1" x14ac:dyDescent="0.2">
      <c r="B19" s="201" t="s">
        <v>17</v>
      </c>
      <c r="C19" s="77">
        <f>SUM(C7:C18)</f>
        <v>4415643</v>
      </c>
      <c r="D19" s="78">
        <f>SUM(D7:D18)</f>
        <v>7.6801932922317373E-5</v>
      </c>
      <c r="E19" s="79"/>
      <c r="F19" s="201" t="s">
        <v>17</v>
      </c>
      <c r="G19" s="77">
        <f>SUM(G7:G18)</f>
        <v>5004541</v>
      </c>
      <c r="H19" s="78">
        <f>SUM(H7:H18)</f>
        <v>7.1482425250515434E-4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2465.4612000000002</v>
      </c>
      <c r="D22" s="200">
        <f>+IF(C22/$F$121=0,"",C22/$F$121)</f>
        <v>7.6000455852081998E-5</v>
      </c>
      <c r="E22" s="75"/>
      <c r="F22" s="199" t="s">
        <v>5</v>
      </c>
      <c r="G22" s="66">
        <v>1882833</v>
      </c>
      <c r="H22" s="200">
        <f t="shared" ref="H22:H33" si="2">+IF(G22/$C$115=0,"",G22/$C$115)</f>
        <v>8.6947722095764157E-5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199638</v>
      </c>
      <c r="H23" s="200">
        <f t="shared" si="2"/>
        <v>9.2191231743623395E-6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/>
      <c r="D26" s="200" t="str">
        <f>+IF(C26/$F$121=0,"",C26/$F$121)</f>
        <v/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-2295.7102574730525</v>
      </c>
      <c r="D27" s="200">
        <f t="shared" ref="D27:D33" si="3">+IF(C27/$F$121=0,"",C27/$F$121)</f>
        <v>-7.0767703045682687E-5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2844235</v>
      </c>
      <c r="H29" s="200">
        <f t="shared" si="2"/>
        <v>1.3134449754972734E-4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1413.2820999999999</v>
      </c>
      <c r="D31" s="200">
        <f t="shared" si="3"/>
        <v>4.3565919369401437E-5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-98468</v>
      </c>
      <c r="H32" s="200">
        <f t="shared" si="2"/>
        <v>-4.5471734876782518E-6</v>
      </c>
    </row>
    <row r="33" spans="1:13" x14ac:dyDescent="0.2">
      <c r="B33" s="199" t="s">
        <v>16</v>
      </c>
      <c r="C33" s="71">
        <v>-177.21</v>
      </c>
      <c r="D33" s="200">
        <f t="shared" si="3"/>
        <v>-5.4626861625514326E-6</v>
      </c>
      <c r="E33" s="75"/>
      <c r="F33" s="199" t="s">
        <v>16</v>
      </c>
      <c r="G33" s="72">
        <v>-48289</v>
      </c>
      <c r="H33" s="200">
        <f t="shared" si="2"/>
        <v>-2.2299473996272403E-6</v>
      </c>
    </row>
    <row r="34" spans="1:13" s="80" customFormat="1" x14ac:dyDescent="0.2">
      <c r="B34" s="201" t="s">
        <v>17</v>
      </c>
      <c r="C34" s="203">
        <f>SUM(C22:C33)</f>
        <v>1405.8230425269476</v>
      </c>
      <c r="D34" s="78">
        <f>SUM(D22:D33)</f>
        <v>4.3335986013249311E-5</v>
      </c>
      <c r="E34" s="79"/>
      <c r="F34" s="201" t="s">
        <v>17</v>
      </c>
      <c r="G34" s="203">
        <f>SUM(G22:G33)</f>
        <v>4779949</v>
      </c>
      <c r="H34" s="78">
        <f>SUM(H22:H33)</f>
        <v>2.2073422193254834E-4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4423328</v>
      </c>
      <c r="D37" s="200">
        <f t="shared" ref="D37:D48" si="4">+IF(C37/$C$123=0,"",C37/$C$123)</f>
        <v>5.6569130074045786E-5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1146036</v>
      </c>
      <c r="D38" s="200">
        <f t="shared" si="4"/>
        <v>1.4656444096738731E-5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-2159249</v>
      </c>
      <c r="H39" s="200">
        <f t="shared" si="5"/>
        <v>-4.3383518912973914E-4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83371191</v>
      </c>
      <c r="D44" s="200">
        <f t="shared" si="4"/>
        <v>1.0662188623830554E-3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46111862</v>
      </c>
      <c r="D45" s="200">
        <f t="shared" si="4"/>
        <v>5.8971614120283393E-4</v>
      </c>
      <c r="E45" s="68"/>
      <c r="F45" s="199" t="s">
        <v>13</v>
      </c>
      <c r="G45" s="72">
        <v>-48832033</v>
      </c>
      <c r="H45" s="200">
        <f t="shared" si="5"/>
        <v>-9.8113067423648975E-3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995151</v>
      </c>
      <c r="D47" s="200">
        <f t="shared" si="4"/>
        <v>1.2726803520407425E-5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-304775</v>
      </c>
      <c r="D48" s="200">
        <f t="shared" si="4"/>
        <v>-3.8977115462197933E-6</v>
      </c>
      <c r="E48" s="68"/>
      <c r="F48" s="199" t="s">
        <v>16</v>
      </c>
      <c r="G48" s="72">
        <v>-16032</v>
      </c>
      <c r="H48" s="200">
        <f t="shared" si="5"/>
        <v>-3.2211411245891407E-6</v>
      </c>
    </row>
    <row r="49" spans="2:10" s="80" customFormat="1" x14ac:dyDescent="0.2">
      <c r="B49" s="201" t="s">
        <v>17</v>
      </c>
      <c r="C49" s="77">
        <f>SUM(C37:C48)</f>
        <v>135742793</v>
      </c>
      <c r="D49" s="78">
        <f>SUM(D37:D48)</f>
        <v>1.7359896697308613E-3</v>
      </c>
      <c r="E49" s="79"/>
      <c r="F49" s="201" t="s">
        <v>17</v>
      </c>
      <c r="G49" s="77">
        <f>SUM(G37:G48)</f>
        <v>-51007314</v>
      </c>
      <c r="H49" s="78">
        <f>SUM(H37:H48)</f>
        <v>-1.0248363072619225E-2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14064.394899999999</v>
      </c>
      <c r="H53" s="200">
        <f t="shared" ref="H53:H64" si="7">+IF(G53/$C$124=0,"",G53/$C$124)</f>
        <v>1.3086566011076873E-4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-14443991</v>
      </c>
      <c r="D55" s="200">
        <f t="shared" si="6"/>
        <v>-6.3059054386404429E-4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67891.914999999994</v>
      </c>
      <c r="H60" s="200">
        <f t="shared" si="7"/>
        <v>6.3171720758915838E-4</v>
      </c>
    </row>
    <row r="61" spans="2:10" x14ac:dyDescent="0.2">
      <c r="B61" s="199" t="s">
        <v>13</v>
      </c>
      <c r="C61" s="72">
        <v>-250204517</v>
      </c>
      <c r="D61" s="200">
        <f t="shared" si="6"/>
        <v>-1.0923338463190022E-2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-188264</v>
      </c>
      <c r="D64" s="200">
        <f t="shared" si="6"/>
        <v>-8.2191617365325433E-6</v>
      </c>
      <c r="E64" s="68"/>
      <c r="F64" s="199" t="s">
        <v>16</v>
      </c>
      <c r="G64" s="92">
        <v>-109.15</v>
      </c>
      <c r="H64" s="200">
        <f t="shared" si="7"/>
        <v>-1.0156133202069296E-6</v>
      </c>
    </row>
    <row r="65" spans="2:8" s="80" customFormat="1" x14ac:dyDescent="0.2">
      <c r="B65" s="201" t="s">
        <v>17</v>
      </c>
      <c r="C65" s="77">
        <f>SUM(C53:C64)</f>
        <v>-264836772</v>
      </c>
      <c r="D65" s="78">
        <f>SUM(D53:D64)</f>
        <v>-1.1562148168790599E-2</v>
      </c>
      <c r="E65" s="79"/>
      <c r="F65" s="201" t="s">
        <v>17</v>
      </c>
      <c r="G65" s="203">
        <f>SUM(G53:G64)</f>
        <v>81847.159899999999</v>
      </c>
      <c r="H65" s="78">
        <f>SUM(H53:H64)</f>
        <v>7.6156725437972019E-4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5925</v>
      </c>
      <c r="D72" s="200">
        <f t="shared" si="8"/>
        <v>4.2658193681446753E-7</v>
      </c>
      <c r="E72" s="68"/>
      <c r="F72" s="199" t="s">
        <v>9</v>
      </c>
      <c r="G72" s="66">
        <v>-19</v>
      </c>
      <c r="H72" s="200">
        <f t="shared" si="9"/>
        <v>-2.9130836568172189E-9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35290256</v>
      </c>
      <c r="D76" s="200">
        <f t="shared" si="8"/>
        <v>2.5407908447524696E-3</v>
      </c>
      <c r="E76" s="68"/>
      <c r="F76" s="199" t="s">
        <v>13</v>
      </c>
      <c r="G76" s="72">
        <v>-4773127</v>
      </c>
      <c r="H76" s="200">
        <f t="shared" si="9"/>
        <v>-7.3181675029542121E-4</v>
      </c>
    </row>
    <row r="77" spans="2:8" x14ac:dyDescent="0.2">
      <c r="B77" s="199" t="s">
        <v>14</v>
      </c>
      <c r="C77" s="66">
        <v>-869038</v>
      </c>
      <c r="D77" s="200">
        <f t="shared" si="8"/>
        <v>-6.2568086616940293E-5</v>
      </c>
      <c r="E77" s="68"/>
      <c r="F77" s="199" t="s">
        <v>14</v>
      </c>
      <c r="G77" s="66">
        <v>-416425</v>
      </c>
      <c r="H77" s="200">
        <f t="shared" si="9"/>
        <v>-6.3846361146847912E-5</v>
      </c>
    </row>
    <row r="78" spans="2:8" x14ac:dyDescent="0.2">
      <c r="B78" s="199" t="s">
        <v>15</v>
      </c>
      <c r="C78" s="72">
        <v>3394454</v>
      </c>
      <c r="D78" s="200">
        <f t="shared" si="8"/>
        <v>2.4439033953546272E-4</v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-21152</v>
      </c>
      <c r="D79" s="200">
        <f t="shared" si="8"/>
        <v>-1.5228795151898088E-6</v>
      </c>
      <c r="E79" s="68"/>
      <c r="F79" s="199" t="s">
        <v>16</v>
      </c>
      <c r="G79" s="72">
        <v>-16071</v>
      </c>
      <c r="H79" s="200">
        <f t="shared" si="9"/>
        <v>-2.4640088130899749E-6</v>
      </c>
    </row>
    <row r="80" spans="2:8" s="80" customFormat="1" x14ac:dyDescent="0.2">
      <c r="B80" s="201" t="s">
        <v>17</v>
      </c>
      <c r="C80" s="77">
        <f>SUM(C68:C79)</f>
        <v>37800445</v>
      </c>
      <c r="D80" s="78">
        <f>SUM(D68:D79)</f>
        <v>2.7215168000926165E-3</v>
      </c>
      <c r="E80" s="79"/>
      <c r="F80" s="201" t="s">
        <v>17</v>
      </c>
      <c r="G80" s="77">
        <f>SUM(G68:G79)</f>
        <v>-5205642</v>
      </c>
      <c r="H80" s="78">
        <f>SUM(H68:H79)</f>
        <v>-7.9813003333901588E-4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47078.31</v>
      </c>
      <c r="D87" s="200">
        <f t="shared" si="10"/>
        <v>2.2253881216540085E-3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90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90"/>
    </row>
    <row r="90" spans="2:7" s="80" customFormat="1" ht="12.75" customHeight="1" x14ac:dyDescent="0.2">
      <c r="B90" s="199" t="s">
        <v>12</v>
      </c>
      <c r="C90" s="207">
        <v>22817.989399999999</v>
      </c>
      <c r="D90" s="200">
        <f t="shared" si="10"/>
        <v>1.0786046179394942E-3</v>
      </c>
      <c r="E90" s="100"/>
      <c r="G90" s="101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-152671.33619999999</v>
      </c>
      <c r="D92" s="200">
        <f t="shared" si="10"/>
        <v>-7.2167624134452917E-3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-82775.036800000002</v>
      </c>
      <c r="D95" s="209">
        <f>SUM(D83:D94)</f>
        <v>-3.9127696738517886E-3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21654770874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22905498886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13889477000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4977118164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6522298100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55546149746</v>
      </c>
      <c r="D120" s="193">
        <v>1947754795</v>
      </c>
      <c r="F120" s="204">
        <f>+C120+D120</f>
        <v>57493904541</v>
      </c>
      <c r="G120" s="197"/>
      <c r="H120" s="197"/>
    </row>
    <row r="121" spans="1:13" x14ac:dyDescent="0.2">
      <c r="B121" s="189" t="s">
        <v>18</v>
      </c>
      <c r="C121" s="192">
        <v>32340084.370000001</v>
      </c>
      <c r="D121" s="193">
        <v>100000</v>
      </c>
      <c r="F121" s="204">
        <f>+C121+D121</f>
        <v>32440084.370000001</v>
      </c>
      <c r="H121" s="75"/>
    </row>
    <row r="122" spans="1:13" x14ac:dyDescent="0.2">
      <c r="B122" s="189" t="s">
        <v>4</v>
      </c>
      <c r="C122" s="190">
        <v>7001078912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78193318409</v>
      </c>
      <c r="D123" s="205"/>
      <c r="F123" s="204"/>
      <c r="H123" s="75"/>
    </row>
    <row r="124" spans="1:13" x14ac:dyDescent="0.2">
      <c r="B124" s="189" t="s">
        <v>25</v>
      </c>
      <c r="C124" s="192">
        <v>107472005.17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21155100.785299998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099" priority="48" stopIfTrue="1" operator="lessThan">
      <formula>0</formula>
    </cfRule>
  </conditionalFormatting>
  <conditionalFormatting sqref="C7:C9">
    <cfRule type="cellIs" dxfId="1098" priority="47" stopIfTrue="1" operator="lessThan">
      <formula>0</formula>
    </cfRule>
  </conditionalFormatting>
  <conditionalFormatting sqref="C10:C13">
    <cfRule type="cellIs" dxfId="1097" priority="45" stopIfTrue="1" operator="lessThan">
      <formula>0</formula>
    </cfRule>
  </conditionalFormatting>
  <conditionalFormatting sqref="C104">
    <cfRule type="cellIs" dxfId="1096" priority="44" stopIfTrue="1" operator="lessThan">
      <formula>0</formula>
    </cfRule>
  </conditionalFormatting>
  <conditionalFormatting sqref="C7">
    <cfRule type="cellIs" dxfId="1095" priority="46" stopIfTrue="1" operator="lessThan">
      <formula>0</formula>
    </cfRule>
  </conditionalFormatting>
  <conditionalFormatting sqref="C29:C33">
    <cfRule type="cellIs" dxfId="1094" priority="39" stopIfTrue="1" operator="lessThan">
      <formula>0</formula>
    </cfRule>
  </conditionalFormatting>
  <conditionalFormatting sqref="G7:G9">
    <cfRule type="cellIs" dxfId="1093" priority="42" stopIfTrue="1" operator="lessThan">
      <formula>0</formula>
    </cfRule>
  </conditionalFormatting>
  <conditionalFormatting sqref="C22">
    <cfRule type="cellIs" dxfId="1092" priority="37" stopIfTrue="1" operator="lessThan">
      <formula>0</formula>
    </cfRule>
  </conditionalFormatting>
  <conditionalFormatting sqref="C25:C28">
    <cfRule type="cellIs" dxfId="1091" priority="36" stopIfTrue="1" operator="lessThan">
      <formula>0</formula>
    </cfRule>
  </conditionalFormatting>
  <conditionalFormatting sqref="G14:G18">
    <cfRule type="cellIs" dxfId="1090" priority="43" stopIfTrue="1" operator="lessThan">
      <formula>0</formula>
    </cfRule>
  </conditionalFormatting>
  <conditionalFormatting sqref="G7">
    <cfRule type="cellIs" dxfId="1089" priority="41" stopIfTrue="1" operator="lessThan">
      <formula>0</formula>
    </cfRule>
  </conditionalFormatting>
  <conditionalFormatting sqref="G10:G13">
    <cfRule type="cellIs" dxfId="1088" priority="40" stopIfTrue="1" operator="lessThan">
      <formula>0</formula>
    </cfRule>
  </conditionalFormatting>
  <conditionalFormatting sqref="C22:C24">
    <cfRule type="cellIs" dxfId="1087" priority="38" stopIfTrue="1" operator="lessThan">
      <formula>0</formula>
    </cfRule>
  </conditionalFormatting>
  <conditionalFormatting sqref="G22">
    <cfRule type="cellIs" dxfId="1086" priority="33" stopIfTrue="1" operator="lessThan">
      <formula>0</formula>
    </cfRule>
  </conditionalFormatting>
  <conditionalFormatting sqref="G29:G33">
    <cfRule type="cellIs" dxfId="1085" priority="35" stopIfTrue="1" operator="lessThan">
      <formula>0</formula>
    </cfRule>
  </conditionalFormatting>
  <conditionalFormatting sqref="G22:G24">
    <cfRule type="cellIs" dxfId="1084" priority="34" stopIfTrue="1" operator="lessThan">
      <formula>0</formula>
    </cfRule>
  </conditionalFormatting>
  <conditionalFormatting sqref="G25:G28">
    <cfRule type="cellIs" dxfId="1083" priority="32" stopIfTrue="1" operator="lessThan">
      <formula>0</formula>
    </cfRule>
  </conditionalFormatting>
  <conditionalFormatting sqref="C40:C43">
    <cfRule type="cellIs" dxfId="1082" priority="28" stopIfTrue="1" operator="lessThan">
      <formula>0</formula>
    </cfRule>
  </conditionalFormatting>
  <conditionalFormatting sqref="G44:G48">
    <cfRule type="cellIs" dxfId="1081" priority="27" stopIfTrue="1" operator="lessThan">
      <formula>0</formula>
    </cfRule>
  </conditionalFormatting>
  <conditionalFormatting sqref="G37">
    <cfRule type="cellIs" dxfId="1080" priority="25" stopIfTrue="1" operator="lessThan">
      <formula>0</formula>
    </cfRule>
  </conditionalFormatting>
  <conditionalFormatting sqref="C44:C48">
    <cfRule type="cellIs" dxfId="1079" priority="31" stopIfTrue="1" operator="lessThan">
      <formula>0</formula>
    </cfRule>
  </conditionalFormatting>
  <conditionalFormatting sqref="C37:C39">
    <cfRule type="cellIs" dxfId="1078" priority="30" stopIfTrue="1" operator="lessThan">
      <formula>0</formula>
    </cfRule>
  </conditionalFormatting>
  <conditionalFormatting sqref="C37">
    <cfRule type="cellIs" dxfId="1077" priority="29" stopIfTrue="1" operator="lessThan">
      <formula>0</formula>
    </cfRule>
  </conditionalFormatting>
  <conditionalFormatting sqref="C56:C59">
    <cfRule type="cellIs" dxfId="1076" priority="20" stopIfTrue="1" operator="lessThan">
      <formula>0</formula>
    </cfRule>
  </conditionalFormatting>
  <conditionalFormatting sqref="G60:G63">
    <cfRule type="cellIs" dxfId="1075" priority="19" stopIfTrue="1" operator="lessThan">
      <formula>0</formula>
    </cfRule>
  </conditionalFormatting>
  <conditionalFormatting sqref="G37:G39">
    <cfRule type="cellIs" dxfId="1074" priority="26" stopIfTrue="1" operator="lessThan">
      <formula>0</formula>
    </cfRule>
  </conditionalFormatting>
  <conditionalFormatting sqref="G53">
    <cfRule type="cellIs" dxfId="1073" priority="17" stopIfTrue="1" operator="lessThan">
      <formula>0</formula>
    </cfRule>
  </conditionalFormatting>
  <conditionalFormatting sqref="G40:G43">
    <cfRule type="cellIs" dxfId="1072" priority="24" stopIfTrue="1" operator="lessThan">
      <formula>0</formula>
    </cfRule>
  </conditionalFormatting>
  <conditionalFormatting sqref="C60:C64">
    <cfRule type="cellIs" dxfId="1071" priority="23" stopIfTrue="1" operator="lessThan">
      <formula>0</formula>
    </cfRule>
  </conditionalFormatting>
  <conditionalFormatting sqref="C53:C55">
    <cfRule type="cellIs" dxfId="1070" priority="22" stopIfTrue="1" operator="lessThan">
      <formula>0</formula>
    </cfRule>
  </conditionalFormatting>
  <conditionalFormatting sqref="C53">
    <cfRule type="cellIs" dxfId="1069" priority="21" stopIfTrue="1" operator="lessThan">
      <formula>0</formula>
    </cfRule>
  </conditionalFormatting>
  <conditionalFormatting sqref="G53:G55">
    <cfRule type="cellIs" dxfId="1068" priority="18" stopIfTrue="1" operator="lessThan">
      <formula>0</formula>
    </cfRule>
  </conditionalFormatting>
  <conditionalFormatting sqref="G56:G59">
    <cfRule type="cellIs" dxfId="1067" priority="16" stopIfTrue="1" operator="lessThan">
      <formula>0</formula>
    </cfRule>
  </conditionalFormatting>
  <conditionalFormatting sqref="C75:C78">
    <cfRule type="cellIs" dxfId="1066" priority="15" stopIfTrue="1" operator="lessThan">
      <formula>0</formula>
    </cfRule>
  </conditionalFormatting>
  <conditionalFormatting sqref="C68:C70">
    <cfRule type="cellIs" dxfId="1065" priority="14" stopIfTrue="1" operator="lessThan">
      <formula>0</formula>
    </cfRule>
  </conditionalFormatting>
  <conditionalFormatting sqref="C68">
    <cfRule type="cellIs" dxfId="1064" priority="13" stopIfTrue="1" operator="lessThan">
      <formula>0</formula>
    </cfRule>
  </conditionalFormatting>
  <conditionalFormatting sqref="C71:C74">
    <cfRule type="cellIs" dxfId="1063" priority="12" stopIfTrue="1" operator="lessThan">
      <formula>0</formula>
    </cfRule>
  </conditionalFormatting>
  <conditionalFormatting sqref="G75:G79">
    <cfRule type="cellIs" dxfId="1062" priority="11" stopIfTrue="1" operator="lessThan">
      <formula>0</formula>
    </cfRule>
  </conditionalFormatting>
  <conditionalFormatting sqref="G68:G70">
    <cfRule type="cellIs" dxfId="1061" priority="10" stopIfTrue="1" operator="lessThan">
      <formula>0</formula>
    </cfRule>
  </conditionalFormatting>
  <conditionalFormatting sqref="G68">
    <cfRule type="cellIs" dxfId="1060" priority="9" stopIfTrue="1" operator="lessThan">
      <formula>0</formula>
    </cfRule>
  </conditionalFormatting>
  <conditionalFormatting sqref="G71:G74">
    <cfRule type="cellIs" dxfId="1059" priority="8" stopIfTrue="1" operator="lessThan">
      <formula>0</formula>
    </cfRule>
  </conditionalFormatting>
  <conditionalFormatting sqref="G64">
    <cfRule type="cellIs" dxfId="1058" priority="7" stopIfTrue="1" operator="lessThan">
      <formula>0</formula>
    </cfRule>
  </conditionalFormatting>
  <conditionalFormatting sqref="C79">
    <cfRule type="cellIs" dxfId="1057" priority="6" stopIfTrue="1" operator="lessThan">
      <formula>0</formula>
    </cfRule>
  </conditionalFormatting>
  <conditionalFormatting sqref="C90:C93">
    <cfRule type="cellIs" dxfId="1056" priority="5" stopIfTrue="1" operator="lessThan">
      <formula>0</formula>
    </cfRule>
  </conditionalFormatting>
  <conditionalFormatting sqref="C83:C85">
    <cfRule type="cellIs" dxfId="1055" priority="4" stopIfTrue="1" operator="lessThan">
      <formula>0</formula>
    </cfRule>
  </conditionalFormatting>
  <conditionalFormatting sqref="C83">
    <cfRule type="cellIs" dxfId="1054" priority="3" stopIfTrue="1" operator="lessThan">
      <formula>0</formula>
    </cfRule>
  </conditionalFormatting>
  <conditionalFormatting sqref="C86:C89">
    <cfRule type="cellIs" dxfId="1053" priority="2" stopIfTrue="1" operator="lessThan">
      <formula>0</formula>
    </cfRule>
  </conditionalFormatting>
  <conditionalFormatting sqref="C94">
    <cfRule type="cellIs" dxfId="1052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dimension ref="A2:M130"/>
  <sheetViews>
    <sheetView topLeftCell="A49" workbookViewId="0">
      <selection activeCell="C71" sqref="C71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43091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4245344</v>
      </c>
      <c r="D7" s="67">
        <f>+IF(C7/$F$120=0,"",C7/$F$120)</f>
        <v>7.9553078199396843E-5</v>
      </c>
      <c r="E7" s="68"/>
      <c r="F7" s="199" t="s">
        <v>5</v>
      </c>
      <c r="G7" s="66">
        <v>687866</v>
      </c>
      <c r="H7" s="200">
        <f>+IF(G7/$C$122=0,"",G7/$C$122)</f>
        <v>9.818325697390276E-5</v>
      </c>
      <c r="I7" s="70"/>
    </row>
    <row r="8" spans="1:9" x14ac:dyDescent="0.2">
      <c r="B8" s="199" t="s">
        <v>6</v>
      </c>
      <c r="C8" s="66">
        <v>28803</v>
      </c>
      <c r="D8" s="67">
        <f>+IF(C8/$F$120=0,"",C8/$F$120)</f>
        <v>5.3973654699765849E-7</v>
      </c>
      <c r="E8" s="68"/>
      <c r="F8" s="199" t="s">
        <v>6</v>
      </c>
      <c r="G8" s="66">
        <v>38027</v>
      </c>
      <c r="H8" s="200">
        <f>+IF(G8/$C$122=0,"",G8/$C$122)</f>
        <v>5.4278227342921447E-6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14068</v>
      </c>
      <c r="H11" s="200">
        <f t="shared" si="0"/>
        <v>2.0080103670029685E-6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699272</v>
      </c>
      <c r="H14" s="200">
        <f t="shared" si="0"/>
        <v>9.9811304048542783E-5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>
        <v>-446400</v>
      </c>
      <c r="D17" s="67">
        <f>+IF(C17/$F$120=0,"",C17/$F$120)</f>
        <v>-8.3650451195970814E-6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-219979</v>
      </c>
      <c r="D18" s="67">
        <f>+IF(C18/$F$120=0,"",C18/$F$120)</f>
        <v>-4.1221645617469676E-6</v>
      </c>
      <c r="E18" s="75"/>
      <c r="F18" s="199" t="s">
        <v>16</v>
      </c>
      <c r="G18" s="72">
        <v>-25939</v>
      </c>
      <c r="H18" s="200">
        <f t="shared" si="0"/>
        <v>-3.7024296921872337E-6</v>
      </c>
    </row>
    <row r="19" spans="2:9" s="80" customFormat="1" x14ac:dyDescent="0.2">
      <c r="B19" s="201" t="s">
        <v>17</v>
      </c>
      <c r="C19" s="77">
        <f>SUM(C7:C18)</f>
        <v>3607768</v>
      </c>
      <c r="D19" s="78">
        <f>SUM(D7:D18)</f>
        <v>6.7605605065050445E-5</v>
      </c>
      <c r="E19" s="79"/>
      <c r="F19" s="201" t="s">
        <v>17</v>
      </c>
      <c r="G19" s="77">
        <f>SUM(G7:G18)</f>
        <v>1413294</v>
      </c>
      <c r="H19" s="78">
        <f>SUM(H7:H18)</f>
        <v>2.0172796443155341E-4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2492.1</v>
      </c>
      <c r="D22" s="200">
        <f>+IF(C22/$F$121=0,"",C22/$F$121)</f>
        <v>7.4690417435772761E-5</v>
      </c>
      <c r="E22" s="75"/>
      <c r="F22" s="199" t="s">
        <v>5</v>
      </c>
      <c r="G22" s="66">
        <v>1872125</v>
      </c>
      <c r="H22" s="200">
        <f t="shared" ref="H22:H33" si="2">+IF(G22/$C$115=0,"",G22/$C$115)</f>
        <v>8.5294731473652957E-5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199462</v>
      </c>
      <c r="H23" s="200">
        <f t="shared" si="2"/>
        <v>9.0875650553236369E-6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3002.04</v>
      </c>
      <c r="D26" s="200">
        <f>+IF(C26/$F$121=0,"",C26/$F$121)</f>
        <v>8.9973765402225935E-5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51317.48</v>
      </c>
      <c r="D27" s="200">
        <f t="shared" ref="D27:D33" si="3">+IF(C27/$F$121=0,"",C27/$F$121)</f>
        <v>1.5380297752706233E-3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103557</v>
      </c>
      <c r="H29" s="200">
        <f t="shared" si="2"/>
        <v>4.7180965518953482E-6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-55330.14</v>
      </c>
      <c r="D31" s="200">
        <f t="shared" si="3"/>
        <v>-1.6582927063038193E-3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-63.72</v>
      </c>
      <c r="D33" s="200">
        <f t="shared" si="3"/>
        <v>-1.909744151120517E-6</v>
      </c>
      <c r="E33" s="75"/>
      <c r="F33" s="199" t="s">
        <v>16</v>
      </c>
      <c r="G33" s="72">
        <v>-42371</v>
      </c>
      <c r="H33" s="200">
        <f t="shared" si="2"/>
        <v>-1.9304389756400611E-6</v>
      </c>
    </row>
    <row r="34" spans="1:13" s="80" customFormat="1" x14ac:dyDescent="0.2">
      <c r="B34" s="201" t="s">
        <v>17</v>
      </c>
      <c r="C34" s="203">
        <f>SUM(C22:C33)</f>
        <v>1417.7600000000032</v>
      </c>
      <c r="D34" s="78">
        <f>SUM(D22:D33)</f>
        <v>4.2491507653682306E-5</v>
      </c>
      <c r="E34" s="79"/>
      <c r="F34" s="201" t="s">
        <v>17</v>
      </c>
      <c r="G34" s="203">
        <f>SUM(G22:G33)</f>
        <v>2132773</v>
      </c>
      <c r="H34" s="78">
        <f>SUM(H22:H33)</f>
        <v>9.7169954105231877E-5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4236761</v>
      </c>
      <c r="D37" s="200">
        <f t="shared" ref="D37:D48" si="4">+IF(C37/$C$123=0,"",C37/$C$123)</f>
        <v>5.3624296199895225E-5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1142366</v>
      </c>
      <c r="D38" s="200">
        <f t="shared" si="4"/>
        <v>1.4458821904914985E-5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151284</v>
      </c>
      <c r="H39" s="200">
        <f t="shared" si="5"/>
        <v>3.0672440865914163E-5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36766753</v>
      </c>
      <c r="D44" s="200">
        <f t="shared" si="4"/>
        <v>4.6535342757837565E-4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17878235</v>
      </c>
      <c r="D45" s="200">
        <f t="shared" si="4"/>
        <v>2.2628318405766429E-4</v>
      </c>
      <c r="E45" s="68"/>
      <c r="F45" s="199" t="s">
        <v>13</v>
      </c>
      <c r="G45" s="72">
        <v>34336997</v>
      </c>
      <c r="H45" s="200">
        <f t="shared" si="5"/>
        <v>6.9617375928424157E-3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-123891</v>
      </c>
      <c r="D48" s="200">
        <f t="shared" si="4"/>
        <v>-1.5680770476553243E-6</v>
      </c>
      <c r="E48" s="68"/>
      <c r="F48" s="199" t="s">
        <v>16</v>
      </c>
      <c r="G48" s="72">
        <v>-16032</v>
      </c>
      <c r="H48" s="200">
        <f t="shared" si="5"/>
        <v>-3.2504466563703754E-6</v>
      </c>
    </row>
    <row r="49" spans="2:10" s="80" customFormat="1" x14ac:dyDescent="0.2">
      <c r="B49" s="201" t="s">
        <v>17</v>
      </c>
      <c r="C49" s="77">
        <f>SUM(C37:C48)</f>
        <v>59900224</v>
      </c>
      <c r="D49" s="78">
        <f>SUM(D37:D48)</f>
        <v>7.5815165269319483E-4</v>
      </c>
      <c r="E49" s="79"/>
      <c r="F49" s="201" t="s">
        <v>17</v>
      </c>
      <c r="G49" s="77">
        <f>SUM(G37:G48)</f>
        <v>34472249</v>
      </c>
      <c r="H49" s="78">
        <f>SUM(H37:H48)</f>
        <v>6.9891595870519591E-3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15544.894700000001</v>
      </c>
      <c r="H53" s="200">
        <f t="shared" ref="H53:H64" si="7">+IF(G53/$C$124=0,"",G53/$C$124)</f>
        <v>1.445332416682832E-4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80234.060000000012</v>
      </c>
      <c r="H60" s="200">
        <f t="shared" si="7"/>
        <v>7.4599982874168553E-4</v>
      </c>
    </row>
    <row r="61" spans="2:10" x14ac:dyDescent="0.2">
      <c r="B61" s="199" t="s">
        <v>13</v>
      </c>
      <c r="C61" s="72">
        <v>145869123</v>
      </c>
      <c r="D61" s="200">
        <f t="shared" si="6"/>
        <v>6.2987245700275507E-3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>
        <v>938.07989999999995</v>
      </c>
      <c r="H63" s="200">
        <f t="shared" si="7"/>
        <v>8.7220744500031206E-6</v>
      </c>
    </row>
    <row r="64" spans="2:10" x14ac:dyDescent="0.2">
      <c r="B64" s="199" t="s">
        <v>16</v>
      </c>
      <c r="C64" s="72">
        <v>-58186</v>
      </c>
      <c r="D64" s="200">
        <f t="shared" si="6"/>
        <v>-2.5125097093483114E-6</v>
      </c>
      <c r="E64" s="68"/>
      <c r="F64" s="199" t="s">
        <v>16</v>
      </c>
      <c r="G64" s="92">
        <v>-109.15</v>
      </c>
      <c r="H64" s="200">
        <f t="shared" si="7"/>
        <v>-1.014854306352626E-6</v>
      </c>
    </row>
    <row r="65" spans="2:8" s="80" customFormat="1" x14ac:dyDescent="0.2">
      <c r="B65" s="201" t="s">
        <v>17</v>
      </c>
      <c r="C65" s="77">
        <f>SUM(C53:C64)</f>
        <v>145810937</v>
      </c>
      <c r="D65" s="78">
        <f>SUM(D53:D64)</f>
        <v>6.2962120603182025E-3</v>
      </c>
      <c r="E65" s="79"/>
      <c r="F65" s="201" t="s">
        <v>17</v>
      </c>
      <c r="G65" s="203">
        <f>SUM(G53:G64)</f>
        <v>96607.884600000019</v>
      </c>
      <c r="H65" s="78">
        <f>SUM(H53:H64)</f>
        <v>8.9824029055361927E-4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>
        <v>4600317</v>
      </c>
      <c r="D70" s="200">
        <f t="shared" si="8"/>
        <v>3.2638215047683944E-4</v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-247925</v>
      </c>
      <c r="D72" s="200">
        <f t="shared" si="8"/>
        <v>-1.7589721459840793E-5</v>
      </c>
      <c r="E72" s="68"/>
      <c r="F72" s="199" t="s">
        <v>9</v>
      </c>
      <c r="G72" s="66"/>
      <c r="H72" s="200" t="str">
        <f t="shared" si="9"/>
        <v/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>
        <v>748</v>
      </c>
      <c r="H73" s="200">
        <f t="shared" si="9"/>
        <v>1.1477877089865487E-7</v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22826493</v>
      </c>
      <c r="D76" s="200">
        <f t="shared" si="8"/>
        <v>1.6194883685590629E-3</v>
      </c>
      <c r="E76" s="68"/>
      <c r="F76" s="199" t="s">
        <v>13</v>
      </c>
      <c r="G76" s="72">
        <v>4903756</v>
      </c>
      <c r="H76" s="200">
        <f t="shared" si="9"/>
        <v>7.5246936693436394E-4</v>
      </c>
    </row>
    <row r="77" spans="2:8" x14ac:dyDescent="0.2">
      <c r="B77" s="199" t="s">
        <v>14</v>
      </c>
      <c r="C77" s="66">
        <v>34165248</v>
      </c>
      <c r="D77" s="200">
        <f t="shared" si="8"/>
        <v>2.4239475483568934E-3</v>
      </c>
      <c r="E77" s="68"/>
      <c r="F77" s="199" t="s">
        <v>14</v>
      </c>
      <c r="G77" s="66">
        <v>16357119</v>
      </c>
      <c r="H77" s="200">
        <f t="shared" si="9"/>
        <v>2.5099599121163564E-3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-21152</v>
      </c>
      <c r="D79" s="200">
        <f t="shared" si="8"/>
        <v>-1.5006868541637692E-6</v>
      </c>
      <c r="E79" s="68"/>
      <c r="F79" s="199" t="s">
        <v>16</v>
      </c>
      <c r="G79" s="72">
        <v>-16071</v>
      </c>
      <c r="H79" s="200">
        <f t="shared" si="9"/>
        <v>-2.466055651219629E-6</v>
      </c>
    </row>
    <row r="80" spans="2:8" s="80" customFormat="1" x14ac:dyDescent="0.2">
      <c r="B80" s="201" t="s">
        <v>17</v>
      </c>
      <c r="C80" s="77">
        <f>SUM(C68:C79)</f>
        <v>61322981</v>
      </c>
      <c r="D80" s="78">
        <f>SUM(D68:D79)</f>
        <v>4.3507276590787911E-3</v>
      </c>
      <c r="E80" s="79"/>
      <c r="F80" s="201" t="s">
        <v>17</v>
      </c>
      <c r="G80" s="77">
        <f>SUM(G68:G79)</f>
        <v>21245552</v>
      </c>
      <c r="H80" s="78">
        <f>SUM(H68:H79)</f>
        <v>3.2600780021703993E-3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7298.72</v>
      </c>
      <c r="D87" s="200">
        <f t="shared" si="10"/>
        <v>2.3991550016673412E-4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96561.394400000005</v>
      </c>
      <c r="D90" s="200">
        <f t="shared" si="10"/>
        <v>3.1740600042573599E-3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-243408.19099999999</v>
      </c>
      <c r="D92" s="200">
        <f t="shared" si="10"/>
        <v>-8.0010464695789048E-3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-139548.07659999997</v>
      </c>
      <c r="D95" s="209">
        <f>SUM(D83:D94)</f>
        <v>-4.5870709651548106E-3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21948893767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23158517471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14094879249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4932245225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6516884561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51030039210</v>
      </c>
      <c r="D120" s="193">
        <v>2334885141</v>
      </c>
      <c r="F120" s="204">
        <f>+C120+D120</f>
        <v>53364924351</v>
      </c>
      <c r="G120" s="197"/>
      <c r="H120" s="197"/>
    </row>
    <row r="121" spans="1:13" x14ac:dyDescent="0.2">
      <c r="B121" s="189" t="s">
        <v>18</v>
      </c>
      <c r="C121" s="192">
        <v>33365725.960000001</v>
      </c>
      <c r="D121" s="193"/>
      <c r="F121" s="204">
        <f>+C121+D121</f>
        <v>33365725.960000001</v>
      </c>
      <c r="H121" s="75"/>
    </row>
    <row r="122" spans="1:13" x14ac:dyDescent="0.2">
      <c r="B122" s="189" t="s">
        <v>4</v>
      </c>
      <c r="C122" s="190">
        <v>7005939925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79008235077</v>
      </c>
      <c r="D123" s="205"/>
      <c r="F123" s="204"/>
      <c r="H123" s="75"/>
    </row>
    <row r="124" spans="1:13" x14ac:dyDescent="0.2">
      <c r="B124" s="189" t="s">
        <v>25</v>
      </c>
      <c r="C124" s="192">
        <v>107552383.94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30422044.406999998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051" priority="48" stopIfTrue="1" operator="lessThan">
      <formula>0</formula>
    </cfRule>
  </conditionalFormatting>
  <conditionalFormatting sqref="C7:C9">
    <cfRule type="cellIs" dxfId="1050" priority="47" stopIfTrue="1" operator="lessThan">
      <formula>0</formula>
    </cfRule>
  </conditionalFormatting>
  <conditionalFormatting sqref="C10:C13">
    <cfRule type="cellIs" dxfId="1049" priority="45" stopIfTrue="1" operator="lessThan">
      <formula>0</formula>
    </cfRule>
  </conditionalFormatting>
  <conditionalFormatting sqref="C104">
    <cfRule type="cellIs" dxfId="1048" priority="44" stopIfTrue="1" operator="lessThan">
      <formula>0</formula>
    </cfRule>
  </conditionalFormatting>
  <conditionalFormatting sqref="C7">
    <cfRule type="cellIs" dxfId="1047" priority="46" stopIfTrue="1" operator="lessThan">
      <formula>0</formula>
    </cfRule>
  </conditionalFormatting>
  <conditionalFormatting sqref="C29:C33">
    <cfRule type="cellIs" dxfId="1046" priority="39" stopIfTrue="1" operator="lessThan">
      <formula>0</formula>
    </cfRule>
  </conditionalFormatting>
  <conditionalFormatting sqref="G7:G9">
    <cfRule type="cellIs" dxfId="1045" priority="42" stopIfTrue="1" operator="lessThan">
      <formula>0</formula>
    </cfRule>
  </conditionalFormatting>
  <conditionalFormatting sqref="C22">
    <cfRule type="cellIs" dxfId="1044" priority="37" stopIfTrue="1" operator="lessThan">
      <formula>0</formula>
    </cfRule>
  </conditionalFormatting>
  <conditionalFormatting sqref="C25:C28">
    <cfRule type="cellIs" dxfId="1043" priority="36" stopIfTrue="1" operator="lessThan">
      <formula>0</formula>
    </cfRule>
  </conditionalFormatting>
  <conditionalFormatting sqref="G14:G18">
    <cfRule type="cellIs" dxfId="1042" priority="43" stopIfTrue="1" operator="lessThan">
      <formula>0</formula>
    </cfRule>
  </conditionalFormatting>
  <conditionalFormatting sqref="G7">
    <cfRule type="cellIs" dxfId="1041" priority="41" stopIfTrue="1" operator="lessThan">
      <formula>0</formula>
    </cfRule>
  </conditionalFormatting>
  <conditionalFormatting sqref="G10:G13">
    <cfRule type="cellIs" dxfId="1040" priority="40" stopIfTrue="1" operator="lessThan">
      <formula>0</formula>
    </cfRule>
  </conditionalFormatting>
  <conditionalFormatting sqref="C22:C24">
    <cfRule type="cellIs" dxfId="1039" priority="38" stopIfTrue="1" operator="lessThan">
      <formula>0</formula>
    </cfRule>
  </conditionalFormatting>
  <conditionalFormatting sqref="G22">
    <cfRule type="cellIs" dxfId="1038" priority="33" stopIfTrue="1" operator="lessThan">
      <formula>0</formula>
    </cfRule>
  </conditionalFormatting>
  <conditionalFormatting sqref="G29:G33">
    <cfRule type="cellIs" dxfId="1037" priority="35" stopIfTrue="1" operator="lessThan">
      <formula>0</formula>
    </cfRule>
  </conditionalFormatting>
  <conditionalFormatting sqref="G22:G24">
    <cfRule type="cellIs" dxfId="1036" priority="34" stopIfTrue="1" operator="lessThan">
      <formula>0</formula>
    </cfRule>
  </conditionalFormatting>
  <conditionalFormatting sqref="G25:G28">
    <cfRule type="cellIs" dxfId="1035" priority="32" stopIfTrue="1" operator="lessThan">
      <formula>0</formula>
    </cfRule>
  </conditionalFormatting>
  <conditionalFormatting sqref="C40:C43">
    <cfRule type="cellIs" dxfId="1034" priority="28" stopIfTrue="1" operator="lessThan">
      <formula>0</formula>
    </cfRule>
  </conditionalFormatting>
  <conditionalFormatting sqref="G44:G48">
    <cfRule type="cellIs" dxfId="1033" priority="27" stopIfTrue="1" operator="lessThan">
      <formula>0</formula>
    </cfRule>
  </conditionalFormatting>
  <conditionalFormatting sqref="G37">
    <cfRule type="cellIs" dxfId="1032" priority="25" stopIfTrue="1" operator="lessThan">
      <formula>0</formula>
    </cfRule>
  </conditionalFormatting>
  <conditionalFormatting sqref="C44:C48">
    <cfRule type="cellIs" dxfId="1031" priority="31" stopIfTrue="1" operator="lessThan">
      <formula>0</formula>
    </cfRule>
  </conditionalFormatting>
  <conditionalFormatting sqref="C37:C39">
    <cfRule type="cellIs" dxfId="1030" priority="30" stopIfTrue="1" operator="lessThan">
      <formula>0</formula>
    </cfRule>
  </conditionalFormatting>
  <conditionalFormatting sqref="C37">
    <cfRule type="cellIs" dxfId="1029" priority="29" stopIfTrue="1" operator="lessThan">
      <formula>0</formula>
    </cfRule>
  </conditionalFormatting>
  <conditionalFormatting sqref="C56:C59">
    <cfRule type="cellIs" dxfId="1028" priority="20" stopIfTrue="1" operator="lessThan">
      <formula>0</formula>
    </cfRule>
  </conditionalFormatting>
  <conditionalFormatting sqref="G60:G63">
    <cfRule type="cellIs" dxfId="1027" priority="19" stopIfTrue="1" operator="lessThan">
      <formula>0</formula>
    </cfRule>
  </conditionalFormatting>
  <conditionalFormatting sqref="G37:G39">
    <cfRule type="cellIs" dxfId="1026" priority="26" stopIfTrue="1" operator="lessThan">
      <formula>0</formula>
    </cfRule>
  </conditionalFormatting>
  <conditionalFormatting sqref="G53">
    <cfRule type="cellIs" dxfId="1025" priority="17" stopIfTrue="1" operator="lessThan">
      <formula>0</formula>
    </cfRule>
  </conditionalFormatting>
  <conditionalFormatting sqref="G40:G43">
    <cfRule type="cellIs" dxfId="1024" priority="24" stopIfTrue="1" operator="lessThan">
      <formula>0</formula>
    </cfRule>
  </conditionalFormatting>
  <conditionalFormatting sqref="C60:C64">
    <cfRule type="cellIs" dxfId="1023" priority="23" stopIfTrue="1" operator="lessThan">
      <formula>0</formula>
    </cfRule>
  </conditionalFormatting>
  <conditionalFormatting sqref="C53:C55">
    <cfRule type="cellIs" dxfId="1022" priority="22" stopIfTrue="1" operator="lessThan">
      <formula>0</formula>
    </cfRule>
  </conditionalFormatting>
  <conditionalFormatting sqref="C53">
    <cfRule type="cellIs" dxfId="1021" priority="21" stopIfTrue="1" operator="lessThan">
      <formula>0</formula>
    </cfRule>
  </conditionalFormatting>
  <conditionalFormatting sqref="G53:G55">
    <cfRule type="cellIs" dxfId="1020" priority="18" stopIfTrue="1" operator="lessThan">
      <formula>0</formula>
    </cfRule>
  </conditionalFormatting>
  <conditionalFormatting sqref="G56:G59">
    <cfRule type="cellIs" dxfId="1019" priority="16" stopIfTrue="1" operator="lessThan">
      <formula>0</formula>
    </cfRule>
  </conditionalFormatting>
  <conditionalFormatting sqref="C75:C78">
    <cfRule type="cellIs" dxfId="1018" priority="15" stopIfTrue="1" operator="lessThan">
      <formula>0</formula>
    </cfRule>
  </conditionalFormatting>
  <conditionalFormatting sqref="C68:C70">
    <cfRule type="cellIs" dxfId="1017" priority="14" stopIfTrue="1" operator="lessThan">
      <formula>0</formula>
    </cfRule>
  </conditionalFormatting>
  <conditionalFormatting sqref="C68">
    <cfRule type="cellIs" dxfId="1016" priority="13" stopIfTrue="1" operator="lessThan">
      <formula>0</formula>
    </cfRule>
  </conditionalFormatting>
  <conditionalFormatting sqref="C71:C74">
    <cfRule type="cellIs" dxfId="1015" priority="12" stopIfTrue="1" operator="lessThan">
      <formula>0</formula>
    </cfRule>
  </conditionalFormatting>
  <conditionalFormatting sqref="G75:G79">
    <cfRule type="cellIs" dxfId="1014" priority="11" stopIfTrue="1" operator="lessThan">
      <formula>0</formula>
    </cfRule>
  </conditionalFormatting>
  <conditionalFormatting sqref="G68:G70">
    <cfRule type="cellIs" dxfId="1013" priority="10" stopIfTrue="1" operator="lessThan">
      <formula>0</formula>
    </cfRule>
  </conditionalFormatting>
  <conditionalFormatting sqref="G68">
    <cfRule type="cellIs" dxfId="1012" priority="9" stopIfTrue="1" operator="lessThan">
      <formula>0</formula>
    </cfRule>
  </conditionalFormatting>
  <conditionalFormatting sqref="G71:G74">
    <cfRule type="cellIs" dxfId="1011" priority="8" stopIfTrue="1" operator="lessThan">
      <formula>0</formula>
    </cfRule>
  </conditionalFormatting>
  <conditionalFormatting sqref="G64">
    <cfRule type="cellIs" dxfId="1010" priority="7" stopIfTrue="1" operator="lessThan">
      <formula>0</formula>
    </cfRule>
  </conditionalFormatting>
  <conditionalFormatting sqref="C79">
    <cfRule type="cellIs" dxfId="1009" priority="6" stopIfTrue="1" operator="lessThan">
      <formula>0</formula>
    </cfRule>
  </conditionalFormatting>
  <conditionalFormatting sqref="C90:C93">
    <cfRule type="cellIs" dxfId="1008" priority="5" stopIfTrue="1" operator="lessThan">
      <formula>0</formula>
    </cfRule>
  </conditionalFormatting>
  <conditionalFormatting sqref="C83:C85">
    <cfRule type="cellIs" dxfId="1007" priority="4" stopIfTrue="1" operator="lessThan">
      <formula>0</formula>
    </cfRule>
  </conditionalFormatting>
  <conditionalFormatting sqref="C83">
    <cfRule type="cellIs" dxfId="1006" priority="3" stopIfTrue="1" operator="lessThan">
      <formula>0</formula>
    </cfRule>
  </conditionalFormatting>
  <conditionalFormatting sqref="C86:C89">
    <cfRule type="cellIs" dxfId="1005" priority="2" stopIfTrue="1" operator="lessThan">
      <formula>0</formula>
    </cfRule>
  </conditionalFormatting>
  <conditionalFormatting sqref="C94">
    <cfRule type="cellIs" dxfId="1004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43095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4245572</v>
      </c>
      <c r="D7" s="67">
        <f>+IF(C7/$F$120=0,"",C7/$F$120)</f>
        <v>7.9699153640949447E-5</v>
      </c>
      <c r="E7" s="68"/>
      <c r="F7" s="199" t="s">
        <v>5</v>
      </c>
      <c r="G7" s="66">
        <v>747824</v>
      </c>
      <c r="H7" s="200">
        <f>+IF(G7/$C$122=0,"",G7/$C$122)</f>
        <v>1.1012650432287999E-4</v>
      </c>
      <c r="I7" s="70"/>
    </row>
    <row r="8" spans="1:9" x14ac:dyDescent="0.2">
      <c r="B8" s="199" t="s">
        <v>6</v>
      </c>
      <c r="C8" s="66">
        <v>29138</v>
      </c>
      <c r="D8" s="67">
        <f>+IF(C8/$F$120=0,"",C8/$F$120)</f>
        <v>5.4698729377101246E-7</v>
      </c>
      <c r="E8" s="68"/>
      <c r="F8" s="199" t="s">
        <v>6</v>
      </c>
      <c r="G8" s="66">
        <v>37630</v>
      </c>
      <c r="H8" s="200">
        <f>+IF(G8/$C$122=0,"",G8/$C$122)</f>
        <v>5.5414915243024742E-6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-66387</v>
      </c>
      <c r="H11" s="200">
        <f t="shared" si="0"/>
        <v>-9.7763220256143611E-6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320069</v>
      </c>
      <c r="H14" s="200">
        <f t="shared" si="0"/>
        <v>4.713419215232444E-5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-92801</v>
      </c>
      <c r="D18" s="67">
        <f>+IF(C18/$F$120=0,"",C18/$F$120)</f>
        <v>-1.7420882644396914E-6</v>
      </c>
      <c r="E18" s="75"/>
      <c r="F18" s="199" t="s">
        <v>16</v>
      </c>
      <c r="G18" s="72">
        <v>-37739</v>
      </c>
      <c r="H18" s="200">
        <f t="shared" si="0"/>
        <v>-5.5575431473731355E-6</v>
      </c>
    </row>
    <row r="19" spans="2:9" s="80" customFormat="1" x14ac:dyDescent="0.2">
      <c r="B19" s="201" t="s">
        <v>17</v>
      </c>
      <c r="C19" s="77">
        <f>SUM(C7:C18)</f>
        <v>4181909</v>
      </c>
      <c r="D19" s="78">
        <f>SUM(D7:D18)</f>
        <v>7.8504052670280768E-5</v>
      </c>
      <c r="E19" s="79"/>
      <c r="F19" s="201" t="s">
        <v>17</v>
      </c>
      <c r="G19" s="77">
        <f>SUM(G7:G18)</f>
        <v>1001397</v>
      </c>
      <c r="H19" s="78">
        <f>SUM(H7:H18)</f>
        <v>1.4746832282651939E-4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2815.4890999999998</v>
      </c>
      <c r="D22" s="200">
        <f>+IF(C22/$F$121=0,"",C22/$F$121)</f>
        <v>7.4950359821672762E-5</v>
      </c>
      <c r="E22" s="75"/>
      <c r="F22" s="199" t="s">
        <v>5</v>
      </c>
      <c r="G22" s="66">
        <v>1899833</v>
      </c>
      <c r="H22" s="200">
        <f t="shared" ref="H22:H33" si="2">+IF(G22/$C$115=0,"",G22/$C$115)</f>
        <v>8.6390086305714885E-5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197241</v>
      </c>
      <c r="H23" s="200">
        <f t="shared" si="2"/>
        <v>8.9690341272235555E-6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-14928.46</v>
      </c>
      <c r="D26" s="200">
        <f>+IF(C26/$F$121=0,"",C26/$F$121)</f>
        <v>-3.9740642170607191E-4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-107743.56430913857</v>
      </c>
      <c r="D27" s="200">
        <f t="shared" ref="D27:D33" si="3">+IF(C27/$F$121=0,"",C27/$F$121)</f>
        <v>-2.8682117481610833E-3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2650183</v>
      </c>
      <c r="H29" s="200">
        <f t="shared" si="2"/>
        <v>1.2051034911802162E-4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121596.37420000001</v>
      </c>
      <c r="D31" s="200">
        <f t="shared" si="3"/>
        <v>3.236983584593088E-3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>
        <v>31.099</v>
      </c>
      <c r="D32" s="200">
        <f t="shared" si="3"/>
        <v>8.2787791296872762E-7</v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-178.66</v>
      </c>
      <c r="D33" s="200">
        <f t="shared" si="3"/>
        <v>-4.7560586491846323E-6</v>
      </c>
      <c r="E33" s="75"/>
      <c r="F33" s="199" t="s">
        <v>16</v>
      </c>
      <c r="G33" s="72">
        <v>-30490</v>
      </c>
      <c r="H33" s="200">
        <f t="shared" si="2"/>
        <v>-1.3864554050073068E-6</v>
      </c>
    </row>
    <row r="34" spans="1:13" s="80" customFormat="1" x14ac:dyDescent="0.2">
      <c r="B34" s="201" t="s">
        <v>17</v>
      </c>
      <c r="C34" s="203">
        <f>SUM(C22:C33)</f>
        <v>1592.2779908614334</v>
      </c>
      <c r="D34" s="78">
        <f>SUM(D22:D33)</f>
        <v>4.2387593811389734E-5</v>
      </c>
      <c r="E34" s="79"/>
      <c r="F34" s="201" t="s">
        <v>17</v>
      </c>
      <c r="G34" s="203">
        <f>SUM(G22:G33)</f>
        <v>4716767</v>
      </c>
      <c r="H34" s="78">
        <f>SUM(H22:H33)</f>
        <v>2.1448301414595276E-4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5546644</v>
      </c>
      <c r="D37" s="200">
        <f t="shared" ref="D37:D48" si="4">+IF(C37/$C$123=0,"",C37/$C$123)</f>
        <v>6.9905466830037045E-5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1130418</v>
      </c>
      <c r="D38" s="200">
        <f t="shared" si="4"/>
        <v>1.4246884783497338E-5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43590027</v>
      </c>
      <c r="D44" s="200">
        <f t="shared" si="4"/>
        <v>5.4937385319283499E-4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34212940</v>
      </c>
      <c r="D45" s="200">
        <f t="shared" si="4"/>
        <v>4.3119254495656246E-4</v>
      </c>
      <c r="E45" s="68"/>
      <c r="F45" s="199" t="s">
        <v>13</v>
      </c>
      <c r="G45" s="72">
        <v>3846884</v>
      </c>
      <c r="H45" s="200">
        <f t="shared" si="5"/>
        <v>7.7460298155977454E-4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-105950</v>
      </c>
      <c r="D48" s="200">
        <f t="shared" si="4"/>
        <v>-1.3353091005376268E-6</v>
      </c>
      <c r="E48" s="68"/>
      <c r="F48" s="199" t="s">
        <v>16</v>
      </c>
      <c r="G48" s="72">
        <v>-16032</v>
      </c>
      <c r="H48" s="200">
        <f t="shared" si="5"/>
        <v>-3.2281802623542339E-6</v>
      </c>
    </row>
    <row r="49" spans="2:10" s="80" customFormat="1" x14ac:dyDescent="0.2">
      <c r="B49" s="201" t="s">
        <v>17</v>
      </c>
      <c r="C49" s="77">
        <f>SUM(C37:C48)</f>
        <v>84374079</v>
      </c>
      <c r="D49" s="78">
        <f>SUM(D37:D48)</f>
        <v>1.0633834406623944E-3</v>
      </c>
      <c r="E49" s="79"/>
      <c r="F49" s="201" t="s">
        <v>17</v>
      </c>
      <c r="G49" s="77">
        <f>SUM(G37:G48)</f>
        <v>3830852</v>
      </c>
      <c r="H49" s="78">
        <f>SUM(H37:H48)</f>
        <v>7.7137480129742025E-4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14167.1829</v>
      </c>
      <c r="H53" s="200">
        <f t="shared" ref="H53:H64" si="7">+IF(G53/$C$124=0,"",G53/$C$124)</f>
        <v>1.3156138461549373E-4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12586.49</v>
      </c>
      <c r="H60" s="200">
        <f t="shared" si="7"/>
        <v>1.1688252093145955E-4</v>
      </c>
    </row>
    <row r="61" spans="2:10" x14ac:dyDescent="0.2">
      <c r="B61" s="199" t="s">
        <v>13</v>
      </c>
      <c r="C61" s="72">
        <v>25776145</v>
      </c>
      <c r="D61" s="200">
        <f t="shared" si="6"/>
        <v>1.1727782132380895E-3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329491</v>
      </c>
      <c r="D63" s="200">
        <f t="shared" si="6"/>
        <v>1.4991375407689216E-5</v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-180647</v>
      </c>
      <c r="D64" s="200">
        <f t="shared" si="6"/>
        <v>-8.2191835081165601E-6</v>
      </c>
      <c r="E64" s="68"/>
      <c r="F64" s="199" t="s">
        <v>16</v>
      </c>
      <c r="G64" s="92">
        <v>-109.17</v>
      </c>
      <c r="H64" s="200">
        <f t="shared" si="7"/>
        <v>-1.0137905651287563E-6</v>
      </c>
    </row>
    <row r="65" spans="2:8" s="80" customFormat="1" x14ac:dyDescent="0.2">
      <c r="B65" s="201" t="s">
        <v>17</v>
      </c>
      <c r="C65" s="77">
        <f>SUM(C53:C64)</f>
        <v>25924989</v>
      </c>
      <c r="D65" s="78">
        <f>SUM(D53:D64)</f>
        <v>1.1795504051376623E-3</v>
      </c>
      <c r="E65" s="79"/>
      <c r="F65" s="201" t="s">
        <v>17</v>
      </c>
      <c r="G65" s="203">
        <f>SUM(G53:G64)</f>
        <v>26644.502899999999</v>
      </c>
      <c r="H65" s="78">
        <f>SUM(H53:H64)</f>
        <v>2.474301149818245E-4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>
        <v>46912457</v>
      </c>
      <c r="D70" s="200">
        <f t="shared" si="8"/>
        <v>3.4580210671597937E-3</v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/>
      <c r="D72" s="200" t="str">
        <f t="shared" si="8"/>
        <v/>
      </c>
      <c r="E72" s="68"/>
      <c r="F72" s="199" t="s">
        <v>9</v>
      </c>
      <c r="G72" s="66">
        <v>-1467</v>
      </c>
      <c r="H72" s="200">
        <f t="shared" si="9"/>
        <v>-2.244063666180669E-7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-6366184</v>
      </c>
      <c r="D76" s="200">
        <f t="shared" si="8"/>
        <v>-4.6926551703347377E-4</v>
      </c>
      <c r="E76" s="68"/>
      <c r="F76" s="199" t="s">
        <v>13</v>
      </c>
      <c r="G76" s="72">
        <v>871841</v>
      </c>
      <c r="H76" s="200">
        <f t="shared" si="9"/>
        <v>1.3336514729288485E-4</v>
      </c>
    </row>
    <row r="77" spans="2:8" x14ac:dyDescent="0.2">
      <c r="B77" s="199" t="s">
        <v>14</v>
      </c>
      <c r="C77" s="66">
        <v>-66687177</v>
      </c>
      <c r="D77" s="200">
        <f t="shared" si="8"/>
        <v>-4.915659458540278E-3</v>
      </c>
      <c r="E77" s="68"/>
      <c r="F77" s="199" t="s">
        <v>14</v>
      </c>
      <c r="G77" s="66">
        <v>-32093440</v>
      </c>
      <c r="H77" s="200">
        <f t="shared" si="9"/>
        <v>-4.9093198791240172E-3</v>
      </c>
    </row>
    <row r="78" spans="2:8" x14ac:dyDescent="0.2">
      <c r="B78" s="199" t="s">
        <v>15</v>
      </c>
      <c r="C78" s="72">
        <v>-3083924</v>
      </c>
      <c r="D78" s="200">
        <f t="shared" si="8"/>
        <v>-2.273228656840485E-4</v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-21152</v>
      </c>
      <c r="D79" s="200">
        <f t="shared" si="8"/>
        <v>-1.5591607494053011E-6</v>
      </c>
      <c r="E79" s="68"/>
      <c r="F79" s="199" t="s">
        <v>16</v>
      </c>
      <c r="G79" s="72">
        <v>-16071</v>
      </c>
      <c r="H79" s="200">
        <f t="shared" si="9"/>
        <v>-2.4583740408445489E-6</v>
      </c>
    </row>
    <row r="80" spans="2:8" s="80" customFormat="1" x14ac:dyDescent="0.2">
      <c r="B80" s="201" t="s">
        <v>17</v>
      </c>
      <c r="C80" s="77">
        <f>SUM(C68:C79)</f>
        <v>-29245980</v>
      </c>
      <c r="D80" s="78">
        <f>SUM(D68:D79)</f>
        <v>-2.1557859348474121E-3</v>
      </c>
      <c r="E80" s="79"/>
      <c r="F80" s="201" t="s">
        <v>17</v>
      </c>
      <c r="G80" s="77">
        <f>SUM(G68:G79)</f>
        <v>-31239137</v>
      </c>
      <c r="H80" s="78">
        <f>SUM(H68:H79)</f>
        <v>-4.7786375122385949E-3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95187.310287181943</v>
      </c>
      <c r="D87" s="200">
        <f t="shared" si="10"/>
        <v>3.0816039294385665E-3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26388.214899999999</v>
      </c>
      <c r="D90" s="200">
        <f t="shared" si="10"/>
        <v>8.5429482649915505E-4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-486424.17910000001</v>
      </c>
      <c r="D92" s="200">
        <f t="shared" si="10"/>
        <v>-1.5747547201051044E-2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-364848.65391281806</v>
      </c>
      <c r="D95" s="209">
        <f>SUM(D83:D94)</f>
        <v>-1.1811648445113322E-2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21991331196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21978703824.000099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13566272758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4966265418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6537247682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52717856997.999908</v>
      </c>
      <c r="D120" s="193">
        <v>552118981</v>
      </c>
      <c r="F120" s="204">
        <f>+C120+D120</f>
        <v>53269975978.999908</v>
      </c>
      <c r="G120" s="197"/>
      <c r="H120" s="197"/>
    </row>
    <row r="121" spans="1:13" x14ac:dyDescent="0.2">
      <c r="B121" s="189" t="s">
        <v>18</v>
      </c>
      <c r="C121" s="192">
        <v>32604980.590399999</v>
      </c>
      <c r="D121" s="193">
        <v>4959737</v>
      </c>
      <c r="F121" s="204">
        <f>+C121+D121</f>
        <v>37564717.590399995</v>
      </c>
      <c r="H121" s="75"/>
    </row>
    <row r="122" spans="1:13" x14ac:dyDescent="0.2">
      <c r="B122" s="189" t="s">
        <v>4</v>
      </c>
      <c r="C122" s="190">
        <v>6790590554.0001001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79344924675</v>
      </c>
      <c r="D123" s="205"/>
      <c r="F123" s="204"/>
      <c r="H123" s="75"/>
    </row>
    <row r="124" spans="1:13" x14ac:dyDescent="0.2">
      <c r="B124" s="189" t="s">
        <v>25</v>
      </c>
      <c r="C124" s="192">
        <v>107684963.49749999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30888885.2905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003" priority="48" stopIfTrue="1" operator="lessThan">
      <formula>0</formula>
    </cfRule>
  </conditionalFormatting>
  <conditionalFormatting sqref="C7:C9">
    <cfRule type="cellIs" dxfId="1002" priority="47" stopIfTrue="1" operator="lessThan">
      <formula>0</formula>
    </cfRule>
  </conditionalFormatting>
  <conditionalFormatting sqref="C10:C13">
    <cfRule type="cellIs" dxfId="1001" priority="45" stopIfTrue="1" operator="lessThan">
      <formula>0</formula>
    </cfRule>
  </conditionalFormatting>
  <conditionalFormatting sqref="C104">
    <cfRule type="cellIs" dxfId="1000" priority="44" stopIfTrue="1" operator="lessThan">
      <formula>0</formula>
    </cfRule>
  </conditionalFormatting>
  <conditionalFormatting sqref="C7">
    <cfRule type="cellIs" dxfId="999" priority="46" stopIfTrue="1" operator="lessThan">
      <formula>0</formula>
    </cfRule>
  </conditionalFormatting>
  <conditionalFormatting sqref="C29:C33">
    <cfRule type="cellIs" dxfId="998" priority="39" stopIfTrue="1" operator="lessThan">
      <formula>0</formula>
    </cfRule>
  </conditionalFormatting>
  <conditionalFormatting sqref="G7:G9">
    <cfRule type="cellIs" dxfId="997" priority="42" stopIfTrue="1" operator="lessThan">
      <formula>0</formula>
    </cfRule>
  </conditionalFormatting>
  <conditionalFormatting sqref="C22">
    <cfRule type="cellIs" dxfId="996" priority="37" stopIfTrue="1" operator="lessThan">
      <formula>0</formula>
    </cfRule>
  </conditionalFormatting>
  <conditionalFormatting sqref="C25:C28">
    <cfRule type="cellIs" dxfId="995" priority="36" stopIfTrue="1" operator="lessThan">
      <formula>0</formula>
    </cfRule>
  </conditionalFormatting>
  <conditionalFormatting sqref="G14:G18">
    <cfRule type="cellIs" dxfId="994" priority="43" stopIfTrue="1" operator="lessThan">
      <formula>0</formula>
    </cfRule>
  </conditionalFormatting>
  <conditionalFormatting sqref="G7">
    <cfRule type="cellIs" dxfId="993" priority="41" stopIfTrue="1" operator="lessThan">
      <formula>0</formula>
    </cfRule>
  </conditionalFormatting>
  <conditionalFormatting sqref="G10:G13">
    <cfRule type="cellIs" dxfId="992" priority="40" stopIfTrue="1" operator="lessThan">
      <formula>0</formula>
    </cfRule>
  </conditionalFormatting>
  <conditionalFormatting sqref="C22:C24">
    <cfRule type="cellIs" dxfId="991" priority="38" stopIfTrue="1" operator="lessThan">
      <formula>0</formula>
    </cfRule>
  </conditionalFormatting>
  <conditionalFormatting sqref="G22">
    <cfRule type="cellIs" dxfId="990" priority="33" stopIfTrue="1" operator="lessThan">
      <formula>0</formula>
    </cfRule>
  </conditionalFormatting>
  <conditionalFormatting sqref="G29:G33">
    <cfRule type="cellIs" dxfId="989" priority="35" stopIfTrue="1" operator="lessThan">
      <formula>0</formula>
    </cfRule>
  </conditionalFormatting>
  <conditionalFormatting sqref="G22:G24">
    <cfRule type="cellIs" dxfId="988" priority="34" stopIfTrue="1" operator="lessThan">
      <formula>0</formula>
    </cfRule>
  </conditionalFormatting>
  <conditionalFormatting sqref="G25:G28">
    <cfRule type="cellIs" dxfId="987" priority="32" stopIfTrue="1" operator="lessThan">
      <formula>0</formula>
    </cfRule>
  </conditionalFormatting>
  <conditionalFormatting sqref="C40:C43">
    <cfRule type="cellIs" dxfId="986" priority="28" stopIfTrue="1" operator="lessThan">
      <formula>0</formula>
    </cfRule>
  </conditionalFormatting>
  <conditionalFormatting sqref="G44:G48">
    <cfRule type="cellIs" dxfId="985" priority="27" stopIfTrue="1" operator="lessThan">
      <formula>0</formula>
    </cfRule>
  </conditionalFormatting>
  <conditionalFormatting sqref="G37">
    <cfRule type="cellIs" dxfId="984" priority="25" stopIfTrue="1" operator="lessThan">
      <formula>0</formula>
    </cfRule>
  </conditionalFormatting>
  <conditionalFormatting sqref="C44:C48">
    <cfRule type="cellIs" dxfId="983" priority="31" stopIfTrue="1" operator="lessThan">
      <formula>0</formula>
    </cfRule>
  </conditionalFormatting>
  <conditionalFormatting sqref="C37:C39">
    <cfRule type="cellIs" dxfId="982" priority="30" stopIfTrue="1" operator="lessThan">
      <formula>0</formula>
    </cfRule>
  </conditionalFormatting>
  <conditionalFormatting sqref="C37">
    <cfRule type="cellIs" dxfId="981" priority="29" stopIfTrue="1" operator="lessThan">
      <formula>0</formula>
    </cfRule>
  </conditionalFormatting>
  <conditionalFormatting sqref="C56:C59">
    <cfRule type="cellIs" dxfId="980" priority="20" stopIfTrue="1" operator="lessThan">
      <formula>0</formula>
    </cfRule>
  </conditionalFormatting>
  <conditionalFormatting sqref="G60:G63">
    <cfRule type="cellIs" dxfId="979" priority="19" stopIfTrue="1" operator="lessThan">
      <formula>0</formula>
    </cfRule>
  </conditionalFormatting>
  <conditionalFormatting sqref="G37:G39">
    <cfRule type="cellIs" dxfId="978" priority="26" stopIfTrue="1" operator="lessThan">
      <formula>0</formula>
    </cfRule>
  </conditionalFormatting>
  <conditionalFormatting sqref="G53">
    <cfRule type="cellIs" dxfId="977" priority="17" stopIfTrue="1" operator="lessThan">
      <formula>0</formula>
    </cfRule>
  </conditionalFormatting>
  <conditionalFormatting sqref="G40:G43">
    <cfRule type="cellIs" dxfId="976" priority="24" stopIfTrue="1" operator="lessThan">
      <formula>0</formula>
    </cfRule>
  </conditionalFormatting>
  <conditionalFormatting sqref="C60:C64">
    <cfRule type="cellIs" dxfId="975" priority="23" stopIfTrue="1" operator="lessThan">
      <formula>0</formula>
    </cfRule>
  </conditionalFormatting>
  <conditionalFormatting sqref="C53:C55">
    <cfRule type="cellIs" dxfId="974" priority="22" stopIfTrue="1" operator="lessThan">
      <formula>0</formula>
    </cfRule>
  </conditionalFormatting>
  <conditionalFormatting sqref="C53">
    <cfRule type="cellIs" dxfId="973" priority="21" stopIfTrue="1" operator="lessThan">
      <formula>0</formula>
    </cfRule>
  </conditionalFormatting>
  <conditionalFormatting sqref="G53:G55">
    <cfRule type="cellIs" dxfId="972" priority="18" stopIfTrue="1" operator="lessThan">
      <formula>0</formula>
    </cfRule>
  </conditionalFormatting>
  <conditionalFormatting sqref="G56:G59">
    <cfRule type="cellIs" dxfId="971" priority="16" stopIfTrue="1" operator="lessThan">
      <formula>0</formula>
    </cfRule>
  </conditionalFormatting>
  <conditionalFormatting sqref="C75:C78">
    <cfRule type="cellIs" dxfId="970" priority="15" stopIfTrue="1" operator="lessThan">
      <formula>0</formula>
    </cfRule>
  </conditionalFormatting>
  <conditionalFormatting sqref="C68:C70">
    <cfRule type="cellIs" dxfId="969" priority="14" stopIfTrue="1" operator="lessThan">
      <formula>0</formula>
    </cfRule>
  </conditionalFormatting>
  <conditionalFormatting sqref="C68">
    <cfRule type="cellIs" dxfId="968" priority="13" stopIfTrue="1" operator="lessThan">
      <formula>0</formula>
    </cfRule>
  </conditionalFormatting>
  <conditionalFormatting sqref="C71:C74">
    <cfRule type="cellIs" dxfId="967" priority="12" stopIfTrue="1" operator="lessThan">
      <formula>0</formula>
    </cfRule>
  </conditionalFormatting>
  <conditionalFormatting sqref="G75:G79">
    <cfRule type="cellIs" dxfId="966" priority="11" stopIfTrue="1" operator="lessThan">
      <formula>0</formula>
    </cfRule>
  </conditionalFormatting>
  <conditionalFormatting sqref="G68:G70">
    <cfRule type="cellIs" dxfId="965" priority="10" stopIfTrue="1" operator="lessThan">
      <formula>0</formula>
    </cfRule>
  </conditionalFormatting>
  <conditionalFormatting sqref="G68">
    <cfRule type="cellIs" dxfId="964" priority="9" stopIfTrue="1" operator="lessThan">
      <formula>0</formula>
    </cfRule>
  </conditionalFormatting>
  <conditionalFormatting sqref="G71:G74">
    <cfRule type="cellIs" dxfId="963" priority="8" stopIfTrue="1" operator="lessThan">
      <formula>0</formula>
    </cfRule>
  </conditionalFormatting>
  <conditionalFormatting sqref="G64">
    <cfRule type="cellIs" dxfId="962" priority="7" stopIfTrue="1" operator="lessThan">
      <formula>0</formula>
    </cfRule>
  </conditionalFormatting>
  <conditionalFormatting sqref="C79">
    <cfRule type="cellIs" dxfId="961" priority="6" stopIfTrue="1" operator="lessThan">
      <formula>0</formula>
    </cfRule>
  </conditionalFormatting>
  <conditionalFormatting sqref="C90:C93">
    <cfRule type="cellIs" dxfId="960" priority="5" stopIfTrue="1" operator="lessThan">
      <formula>0</formula>
    </cfRule>
  </conditionalFormatting>
  <conditionalFormatting sqref="C83:C85">
    <cfRule type="cellIs" dxfId="959" priority="4" stopIfTrue="1" operator="lessThan">
      <formula>0</formula>
    </cfRule>
  </conditionalFormatting>
  <conditionalFormatting sqref="C83">
    <cfRule type="cellIs" dxfId="958" priority="3" stopIfTrue="1" operator="lessThan">
      <formula>0</formula>
    </cfRule>
  </conditionalFormatting>
  <conditionalFormatting sqref="C86:C89">
    <cfRule type="cellIs" dxfId="957" priority="2" stopIfTrue="1" operator="lessThan">
      <formula>0</formula>
    </cfRule>
  </conditionalFormatting>
  <conditionalFormatting sqref="C94">
    <cfRule type="cellIs" dxfId="956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9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9" ht="7.5" customHeight="1" x14ac:dyDescent="0.2"/>
    <row r="4" spans="1:9" x14ac:dyDescent="0.2">
      <c r="A4" s="60"/>
      <c r="B4" s="222">
        <v>43096</v>
      </c>
      <c r="C4" s="222"/>
      <c r="D4" s="222"/>
      <c r="E4" s="222"/>
      <c r="F4" s="222"/>
      <c r="G4" s="222"/>
      <c r="H4" s="222"/>
    </row>
    <row r="5" spans="1:9" x14ac:dyDescent="0.2">
      <c r="A5" s="60"/>
      <c r="B5" s="61"/>
      <c r="C5" s="61"/>
      <c r="D5" s="61"/>
      <c r="E5" s="61"/>
      <c r="F5" s="61"/>
      <c r="G5" s="61"/>
      <c r="H5" s="61"/>
    </row>
    <row r="6" spans="1:9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9" x14ac:dyDescent="0.2">
      <c r="B7" s="199" t="s">
        <v>5</v>
      </c>
      <c r="C7" s="66">
        <v>4256696</v>
      </c>
      <c r="D7" s="67">
        <f>+IF(C7/$F$120=0,"",C7/$F$120)</f>
        <v>8.1143485272784351E-5</v>
      </c>
      <c r="E7" s="68"/>
      <c r="F7" s="199" t="s">
        <v>5</v>
      </c>
      <c r="G7" s="66">
        <v>672909</v>
      </c>
      <c r="H7" s="200">
        <f>+IF(G7/$C$122=0,"",G7/$C$122)</f>
        <v>9.9081752811304433E-5</v>
      </c>
      <c r="I7" s="70"/>
    </row>
    <row r="8" spans="1:9" x14ac:dyDescent="0.2">
      <c r="B8" s="199" t="s">
        <v>6</v>
      </c>
      <c r="C8" s="66">
        <v>28803</v>
      </c>
      <c r="D8" s="67">
        <f>+IF(C8/$F$120=0,"",C8/$F$120)</f>
        <v>5.4905866106294824E-7</v>
      </c>
      <c r="E8" s="68"/>
      <c r="F8" s="199" t="s">
        <v>6</v>
      </c>
      <c r="G8" s="66">
        <v>38075</v>
      </c>
      <c r="H8" s="200">
        <f>+IF(G8/$C$122=0,"",G8/$C$122)</f>
        <v>5.6063119059046857E-6</v>
      </c>
    </row>
    <row r="9" spans="1:9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9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9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-48948</v>
      </c>
      <c r="H11" s="200">
        <f t="shared" si="0"/>
        <v>-7.2072949486598178E-6</v>
      </c>
    </row>
    <row r="12" spans="1:9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9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9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5044799</v>
      </c>
      <c r="H14" s="200">
        <f t="shared" si="0"/>
        <v>7.4281593425071712E-4</v>
      </c>
      <c r="I14" s="74"/>
    </row>
    <row r="15" spans="1:9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9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>
        <v>-76587</v>
      </c>
      <c r="D17" s="67">
        <f>+IF(C17/$F$120=0,"",C17/$F$120)</f>
        <v>-1.459943605694824E-6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-113035</v>
      </c>
      <c r="D18" s="67">
        <f>+IF(C18/$F$120=0,"",C18/$F$120)</f>
        <v>-2.1547354703763622E-6</v>
      </c>
      <c r="E18" s="75"/>
      <c r="F18" s="199" t="s">
        <v>16</v>
      </c>
      <c r="G18" s="72">
        <v>-25931</v>
      </c>
      <c r="H18" s="200">
        <f t="shared" si="0"/>
        <v>-3.8181818524494924E-6</v>
      </c>
    </row>
    <row r="19" spans="2:9" s="80" customFormat="1" x14ac:dyDescent="0.2">
      <c r="B19" s="201" t="s">
        <v>17</v>
      </c>
      <c r="C19" s="77">
        <f>SUM(C7:C18)</f>
        <v>4095877</v>
      </c>
      <c r="D19" s="78">
        <f>SUM(D7:D18)</f>
        <v>7.8077864857776098E-5</v>
      </c>
      <c r="E19" s="79"/>
      <c r="F19" s="201" t="s">
        <v>17</v>
      </c>
      <c r="G19" s="77">
        <f>SUM(G7:G18)</f>
        <v>5680904</v>
      </c>
      <c r="H19" s="78">
        <f>SUM(H7:H18)</f>
        <v>8.3647852216681693E-4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2827.0426000000002</v>
      </c>
      <c r="D22" s="200">
        <f>+IF(C22/$F$121=0,"",C22/$F$121)</f>
        <v>7.5889630477637564E-5</v>
      </c>
      <c r="E22" s="75"/>
      <c r="F22" s="199" t="s">
        <v>5</v>
      </c>
      <c r="G22" s="66">
        <v>1690443</v>
      </c>
      <c r="H22" s="200">
        <f t="shared" ref="H22:H33" si="2">+IF(G22/$C$115=0,"",G22/$C$115)</f>
        <v>7.7429727418269114E-5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199607</v>
      </c>
      <c r="H23" s="200">
        <f t="shared" si="2"/>
        <v>9.1428788789556607E-6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-5521.4304795446305</v>
      </c>
      <c r="D26" s="200">
        <f>+IF(C26/$F$121=0,"",C26/$F$121)</f>
        <v>-1.4821825422814893E-4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-92540.5987092086</v>
      </c>
      <c r="D27" s="200">
        <f t="shared" ref="D27:D33" si="3">+IF(C27/$F$121=0,"",C27/$F$121)</f>
        <v>-2.484176163536122E-3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4145334</v>
      </c>
      <c r="H29" s="200">
        <f t="shared" si="2"/>
        <v>1.8987453683897251E-4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96945.128500000006</v>
      </c>
      <c r="D31" s="200">
        <f t="shared" si="3"/>
        <v>2.6024121385620751E-3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-160.83000000000001</v>
      </c>
      <c r="D33" s="200">
        <f t="shared" si="3"/>
        <v>-4.3173489036629475E-6</v>
      </c>
      <c r="E33" s="75"/>
      <c r="F33" s="199" t="s">
        <v>16</v>
      </c>
      <c r="G33" s="72">
        <v>-51305</v>
      </c>
      <c r="H33" s="200">
        <f t="shared" si="2"/>
        <v>-2.34999474409625E-6</v>
      </c>
    </row>
    <row r="34" spans="1:13" s="80" customFormat="1" x14ac:dyDescent="0.2">
      <c r="B34" s="201" t="s">
        <v>17</v>
      </c>
      <c r="C34" s="203">
        <f>SUM(C22:C33)</f>
        <v>1549.3119112467703</v>
      </c>
      <c r="D34" s="78">
        <f>SUM(D22:D33)</f>
        <v>4.1590002371778927E-5</v>
      </c>
      <c r="E34" s="79"/>
      <c r="F34" s="201" t="s">
        <v>17</v>
      </c>
      <c r="G34" s="203">
        <f>SUM(G22:G33)</f>
        <v>5984079</v>
      </c>
      <c r="H34" s="78">
        <f>SUM(H22:H33)</f>
        <v>2.7409714839210102E-4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4643448</v>
      </c>
      <c r="D37" s="200">
        <f t="shared" ref="D37:D48" si="4">+IF(C37/$C$123=0,"",C37/$C$123)</f>
        <v>5.8426898151438204E-5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1144855</v>
      </c>
      <c r="D38" s="200">
        <f t="shared" si="4"/>
        <v>1.4405314000106126E-5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45700638</v>
      </c>
      <c r="D44" s="200">
        <f t="shared" si="4"/>
        <v>5.7503530175889695E-4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22636555</v>
      </c>
      <c r="D45" s="200">
        <f t="shared" si="4"/>
        <v>2.8482793249422179E-4</v>
      </c>
      <c r="E45" s="68"/>
      <c r="F45" s="199" t="s">
        <v>13</v>
      </c>
      <c r="G45" s="72">
        <v>-21860652</v>
      </c>
      <c r="H45" s="200">
        <f t="shared" si="5"/>
        <v>-4.4024563711576835E-3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-126359</v>
      </c>
      <c r="D48" s="200">
        <f t="shared" si="4"/>
        <v>-1.5899315387008921E-6</v>
      </c>
      <c r="E48" s="68"/>
      <c r="F48" s="199" t="s">
        <v>16</v>
      </c>
      <c r="G48" s="72">
        <v>-16032</v>
      </c>
      <c r="H48" s="200">
        <f t="shared" si="5"/>
        <v>-3.2286402318832938E-6</v>
      </c>
    </row>
    <row r="49" spans="2:10" s="80" customFormat="1" x14ac:dyDescent="0.2">
      <c r="B49" s="201" t="s">
        <v>17</v>
      </c>
      <c r="C49" s="77">
        <f>SUM(C37:C48)</f>
        <v>73999137</v>
      </c>
      <c r="D49" s="78">
        <f>SUM(D37:D48)</f>
        <v>9.3110551486596225E-4</v>
      </c>
      <c r="E49" s="79"/>
      <c r="F49" s="201" t="s">
        <v>17</v>
      </c>
      <c r="G49" s="77">
        <f>SUM(G37:G48)</f>
        <v>-21876684</v>
      </c>
      <c r="H49" s="78">
        <f>SUM(H37:H48)</f>
        <v>-4.4056850113895667E-3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14167.2659</v>
      </c>
      <c r="H53" s="200">
        <f t="shared" ref="H53:H64" si="7">+IF(G53/$C$124=0,"",G53/$C$124)</f>
        <v>1.3153140673746941E-4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28915.45</v>
      </c>
      <c r="H60" s="200">
        <f t="shared" si="7"/>
        <v>2.6845616096941898E-4</v>
      </c>
    </row>
    <row r="61" spans="2:10" x14ac:dyDescent="0.2">
      <c r="B61" s="199" t="s">
        <v>13</v>
      </c>
      <c r="C61" s="72">
        <v>-122514830</v>
      </c>
      <c r="D61" s="200">
        <f t="shared" si="6"/>
        <v>-5.5870446293853713E-3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-54455</v>
      </c>
      <c r="D64" s="200">
        <f t="shared" si="6"/>
        <v>-2.4833117369805794E-6</v>
      </c>
      <c r="E64" s="68"/>
      <c r="F64" s="199" t="s">
        <v>16</v>
      </c>
      <c r="G64" s="92">
        <v>-109.21</v>
      </c>
      <c r="H64" s="200">
        <f t="shared" si="7"/>
        <v>-1.0139249895633733E-6</v>
      </c>
    </row>
    <row r="65" spans="2:8" s="80" customFormat="1" x14ac:dyDescent="0.2">
      <c r="B65" s="201" t="s">
        <v>17</v>
      </c>
      <c r="C65" s="77">
        <f>SUM(C53:C64)</f>
        <v>-122569285</v>
      </c>
      <c r="D65" s="78">
        <f>SUM(D53:D64)</f>
        <v>-5.5895279411223514E-3</v>
      </c>
      <c r="E65" s="79"/>
      <c r="F65" s="201" t="s">
        <v>17</v>
      </c>
      <c r="G65" s="203">
        <f>SUM(G53:G64)</f>
        <v>42973.505900000004</v>
      </c>
      <c r="H65" s="78">
        <f>SUM(H53:H64)</f>
        <v>3.9897364271732506E-4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>
        <v>4025589</v>
      </c>
      <c r="D70" s="200">
        <f t="shared" si="8"/>
        <v>2.9797699399606448E-4</v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-1867561</v>
      </c>
      <c r="D72" s="200">
        <f t="shared" si="8"/>
        <v>-1.382382088395721E-4</v>
      </c>
      <c r="E72" s="68"/>
      <c r="F72" s="199" t="s">
        <v>9</v>
      </c>
      <c r="G72" s="66">
        <v>-1167</v>
      </c>
      <c r="H72" s="200">
        <f t="shared" si="9"/>
        <v>-1.7948331332993089E-7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11452145</v>
      </c>
      <c r="D76" s="200">
        <f t="shared" si="8"/>
        <v>8.4769601216295553E-4</v>
      </c>
      <c r="E76" s="68"/>
      <c r="F76" s="199" t="s">
        <v>13</v>
      </c>
      <c r="G76" s="72">
        <v>1151024</v>
      </c>
      <c r="H76" s="200">
        <f t="shared" si="9"/>
        <v>1.7702622214419054E-4</v>
      </c>
    </row>
    <row r="77" spans="2:8" x14ac:dyDescent="0.2">
      <c r="B77" s="199" t="s">
        <v>14</v>
      </c>
      <c r="C77" s="66">
        <v>-53091098</v>
      </c>
      <c r="D77" s="200">
        <f t="shared" si="8"/>
        <v>-3.9298412704303577E-3</v>
      </c>
      <c r="E77" s="68"/>
      <c r="F77" s="199" t="s">
        <v>14</v>
      </c>
      <c r="G77" s="66">
        <v>-25533430</v>
      </c>
      <c r="H77" s="200">
        <f t="shared" si="9"/>
        <v>-3.9270133822432362E-3</v>
      </c>
    </row>
    <row r="78" spans="2:8" x14ac:dyDescent="0.2">
      <c r="B78" s="199" t="s">
        <v>15</v>
      </c>
      <c r="C78" s="72">
        <v>-1017756</v>
      </c>
      <c r="D78" s="200">
        <f t="shared" si="8"/>
        <v>-7.5335031346085906E-5</v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-21152</v>
      </c>
      <c r="D79" s="200">
        <f t="shared" si="8"/>
        <v>-1.5656862578382335E-6</v>
      </c>
      <c r="E79" s="68"/>
      <c r="F79" s="199" t="s">
        <v>16</v>
      </c>
      <c r="G79" s="72">
        <v>-16070</v>
      </c>
      <c r="H79" s="200">
        <f t="shared" si="9"/>
        <v>-2.4715482821011048E-6</v>
      </c>
    </row>
    <row r="80" spans="2:8" s="80" customFormat="1" x14ac:dyDescent="0.2">
      <c r="B80" s="201" t="s">
        <v>17</v>
      </c>
      <c r="C80" s="77">
        <f>SUM(C68:C79)</f>
        <v>-40519833</v>
      </c>
      <c r="D80" s="78">
        <f>SUM(D68:D79)</f>
        <v>-2.9993071907148338E-3</v>
      </c>
      <c r="E80" s="79"/>
      <c r="F80" s="201" t="s">
        <v>17</v>
      </c>
      <c r="G80" s="77">
        <f>SUM(G68:G79)</f>
        <v>-24399643</v>
      </c>
      <c r="H80" s="78">
        <f>SUM(H68:H79)</f>
        <v>-3.7526381916944767E-3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3410.1</v>
      </c>
      <c r="D87" s="200">
        <f t="shared" si="10"/>
        <v>9.2906152379280046E-5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28545.5802</v>
      </c>
      <c r="D90" s="200">
        <f t="shared" si="10"/>
        <v>7.7770740559401756E-4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-372784.49790000002</v>
      </c>
      <c r="D92" s="200">
        <f t="shared" si="10"/>
        <v>-1.0156292591575264E-2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-340828.81770000001</v>
      </c>
      <c r="D95" s="209">
        <f>SUM(D83:D94)</f>
        <v>-9.2856790336019665E-3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21831963722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21928378620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13509730889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4965557897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6501997196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52233455533</v>
      </c>
      <c r="D120" s="193">
        <v>225420071</v>
      </c>
      <c r="F120" s="204">
        <f>+C120+D120</f>
        <v>52458875604</v>
      </c>
      <c r="G120" s="197"/>
      <c r="H120" s="197"/>
    </row>
    <row r="121" spans="1:13" x14ac:dyDescent="0.2">
      <c r="B121" s="189" t="s">
        <v>18</v>
      </c>
      <c r="C121" s="192">
        <v>37248571.640000001</v>
      </c>
      <c r="D121" s="193">
        <v>3455.84</v>
      </c>
      <c r="F121" s="204">
        <f>+C121+D121</f>
        <v>37252027.480000004</v>
      </c>
      <c r="H121" s="75"/>
    </row>
    <row r="122" spans="1:13" x14ac:dyDescent="0.2">
      <c r="B122" s="189" t="s">
        <v>4</v>
      </c>
      <c r="C122" s="190">
        <v>6791452320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79474491149</v>
      </c>
      <c r="D123" s="205"/>
      <c r="F123" s="204"/>
      <c r="H123" s="75"/>
    </row>
    <row r="124" spans="1:13" x14ac:dyDescent="0.2">
      <c r="B124" s="189" t="s">
        <v>25</v>
      </c>
      <c r="C124" s="192">
        <v>107710137.45999999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36704781.251499996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955" priority="48" stopIfTrue="1" operator="lessThan">
      <formula>0</formula>
    </cfRule>
  </conditionalFormatting>
  <conditionalFormatting sqref="C7:C9">
    <cfRule type="cellIs" dxfId="954" priority="47" stopIfTrue="1" operator="lessThan">
      <formula>0</formula>
    </cfRule>
  </conditionalFormatting>
  <conditionalFormatting sqref="C10:C13">
    <cfRule type="cellIs" dxfId="953" priority="45" stopIfTrue="1" operator="lessThan">
      <formula>0</formula>
    </cfRule>
  </conditionalFormatting>
  <conditionalFormatting sqref="C104">
    <cfRule type="cellIs" dxfId="952" priority="44" stopIfTrue="1" operator="lessThan">
      <formula>0</formula>
    </cfRule>
  </conditionalFormatting>
  <conditionalFormatting sqref="C7">
    <cfRule type="cellIs" dxfId="951" priority="46" stopIfTrue="1" operator="lessThan">
      <formula>0</formula>
    </cfRule>
  </conditionalFormatting>
  <conditionalFormatting sqref="C29:C33">
    <cfRule type="cellIs" dxfId="950" priority="39" stopIfTrue="1" operator="lessThan">
      <formula>0</formula>
    </cfRule>
  </conditionalFormatting>
  <conditionalFormatting sqref="G7:G9">
    <cfRule type="cellIs" dxfId="949" priority="42" stopIfTrue="1" operator="lessThan">
      <formula>0</formula>
    </cfRule>
  </conditionalFormatting>
  <conditionalFormatting sqref="C22">
    <cfRule type="cellIs" dxfId="948" priority="37" stopIfTrue="1" operator="lessThan">
      <formula>0</formula>
    </cfRule>
  </conditionalFormatting>
  <conditionalFormatting sqref="C25:C28">
    <cfRule type="cellIs" dxfId="947" priority="36" stopIfTrue="1" operator="lessThan">
      <formula>0</formula>
    </cfRule>
  </conditionalFormatting>
  <conditionalFormatting sqref="G14:G18">
    <cfRule type="cellIs" dxfId="946" priority="43" stopIfTrue="1" operator="lessThan">
      <formula>0</formula>
    </cfRule>
  </conditionalFormatting>
  <conditionalFormatting sqref="G7">
    <cfRule type="cellIs" dxfId="945" priority="41" stopIfTrue="1" operator="lessThan">
      <formula>0</formula>
    </cfRule>
  </conditionalFormatting>
  <conditionalFormatting sqref="G10:G13">
    <cfRule type="cellIs" dxfId="944" priority="40" stopIfTrue="1" operator="lessThan">
      <formula>0</formula>
    </cfRule>
  </conditionalFormatting>
  <conditionalFormatting sqref="C22:C24">
    <cfRule type="cellIs" dxfId="943" priority="38" stopIfTrue="1" operator="lessThan">
      <formula>0</formula>
    </cfRule>
  </conditionalFormatting>
  <conditionalFormatting sqref="G22">
    <cfRule type="cellIs" dxfId="942" priority="33" stopIfTrue="1" operator="lessThan">
      <formula>0</formula>
    </cfRule>
  </conditionalFormatting>
  <conditionalFormatting sqref="G29:G33">
    <cfRule type="cellIs" dxfId="941" priority="35" stopIfTrue="1" operator="lessThan">
      <formula>0</formula>
    </cfRule>
  </conditionalFormatting>
  <conditionalFormatting sqref="G22:G24">
    <cfRule type="cellIs" dxfId="940" priority="34" stopIfTrue="1" operator="lessThan">
      <formula>0</formula>
    </cfRule>
  </conditionalFormatting>
  <conditionalFormatting sqref="G25:G28">
    <cfRule type="cellIs" dxfId="939" priority="32" stopIfTrue="1" operator="lessThan">
      <formula>0</formula>
    </cfRule>
  </conditionalFormatting>
  <conditionalFormatting sqref="C40:C43">
    <cfRule type="cellIs" dxfId="938" priority="28" stopIfTrue="1" operator="lessThan">
      <formula>0</formula>
    </cfRule>
  </conditionalFormatting>
  <conditionalFormatting sqref="G44:G48">
    <cfRule type="cellIs" dxfId="937" priority="27" stopIfTrue="1" operator="lessThan">
      <formula>0</formula>
    </cfRule>
  </conditionalFormatting>
  <conditionalFormatting sqref="G37">
    <cfRule type="cellIs" dxfId="936" priority="25" stopIfTrue="1" operator="lessThan">
      <formula>0</formula>
    </cfRule>
  </conditionalFormatting>
  <conditionalFormatting sqref="C44:C48">
    <cfRule type="cellIs" dxfId="935" priority="31" stopIfTrue="1" operator="lessThan">
      <formula>0</formula>
    </cfRule>
  </conditionalFormatting>
  <conditionalFormatting sqref="C37:C39">
    <cfRule type="cellIs" dxfId="934" priority="30" stopIfTrue="1" operator="lessThan">
      <formula>0</formula>
    </cfRule>
  </conditionalFormatting>
  <conditionalFormatting sqref="C37">
    <cfRule type="cellIs" dxfId="933" priority="29" stopIfTrue="1" operator="lessThan">
      <formula>0</formula>
    </cfRule>
  </conditionalFormatting>
  <conditionalFormatting sqref="C56:C59">
    <cfRule type="cellIs" dxfId="932" priority="20" stopIfTrue="1" operator="lessThan">
      <formula>0</formula>
    </cfRule>
  </conditionalFormatting>
  <conditionalFormatting sqref="G60:G63">
    <cfRule type="cellIs" dxfId="931" priority="19" stopIfTrue="1" operator="lessThan">
      <formula>0</formula>
    </cfRule>
  </conditionalFormatting>
  <conditionalFormatting sqref="G37:G39">
    <cfRule type="cellIs" dxfId="930" priority="26" stopIfTrue="1" operator="lessThan">
      <formula>0</formula>
    </cfRule>
  </conditionalFormatting>
  <conditionalFormatting sqref="G53">
    <cfRule type="cellIs" dxfId="929" priority="17" stopIfTrue="1" operator="lessThan">
      <formula>0</formula>
    </cfRule>
  </conditionalFormatting>
  <conditionalFormatting sqref="G40:G43">
    <cfRule type="cellIs" dxfId="928" priority="24" stopIfTrue="1" operator="lessThan">
      <formula>0</formula>
    </cfRule>
  </conditionalFormatting>
  <conditionalFormatting sqref="C60:C64">
    <cfRule type="cellIs" dxfId="927" priority="23" stopIfTrue="1" operator="lessThan">
      <formula>0</formula>
    </cfRule>
  </conditionalFormatting>
  <conditionalFormatting sqref="C53:C55">
    <cfRule type="cellIs" dxfId="926" priority="22" stopIfTrue="1" operator="lessThan">
      <formula>0</formula>
    </cfRule>
  </conditionalFormatting>
  <conditionalFormatting sqref="C53">
    <cfRule type="cellIs" dxfId="925" priority="21" stopIfTrue="1" operator="lessThan">
      <formula>0</formula>
    </cfRule>
  </conditionalFormatting>
  <conditionalFormatting sqref="G53:G55">
    <cfRule type="cellIs" dxfId="924" priority="18" stopIfTrue="1" operator="lessThan">
      <formula>0</formula>
    </cfRule>
  </conditionalFormatting>
  <conditionalFormatting sqref="G56:G59">
    <cfRule type="cellIs" dxfId="923" priority="16" stopIfTrue="1" operator="lessThan">
      <formula>0</formula>
    </cfRule>
  </conditionalFormatting>
  <conditionalFormatting sqref="C75:C78">
    <cfRule type="cellIs" dxfId="922" priority="15" stopIfTrue="1" operator="lessThan">
      <formula>0</formula>
    </cfRule>
  </conditionalFormatting>
  <conditionalFormatting sqref="C68:C70">
    <cfRule type="cellIs" dxfId="921" priority="14" stopIfTrue="1" operator="lessThan">
      <formula>0</formula>
    </cfRule>
  </conditionalFormatting>
  <conditionalFormatting sqref="C68">
    <cfRule type="cellIs" dxfId="920" priority="13" stopIfTrue="1" operator="lessThan">
      <formula>0</formula>
    </cfRule>
  </conditionalFormatting>
  <conditionalFormatting sqref="C71:C74">
    <cfRule type="cellIs" dxfId="919" priority="12" stopIfTrue="1" operator="lessThan">
      <formula>0</formula>
    </cfRule>
  </conditionalFormatting>
  <conditionalFormatting sqref="G75:G79">
    <cfRule type="cellIs" dxfId="918" priority="11" stopIfTrue="1" operator="lessThan">
      <formula>0</formula>
    </cfRule>
  </conditionalFormatting>
  <conditionalFormatting sqref="G68:G70">
    <cfRule type="cellIs" dxfId="917" priority="10" stopIfTrue="1" operator="lessThan">
      <formula>0</formula>
    </cfRule>
  </conditionalFormatting>
  <conditionalFormatting sqref="G68">
    <cfRule type="cellIs" dxfId="916" priority="9" stopIfTrue="1" operator="lessThan">
      <formula>0</formula>
    </cfRule>
  </conditionalFormatting>
  <conditionalFormatting sqref="G71:G74">
    <cfRule type="cellIs" dxfId="915" priority="8" stopIfTrue="1" operator="lessThan">
      <formula>0</formula>
    </cfRule>
  </conditionalFormatting>
  <conditionalFormatting sqref="G64">
    <cfRule type="cellIs" dxfId="914" priority="7" stopIfTrue="1" operator="lessThan">
      <formula>0</formula>
    </cfRule>
  </conditionalFormatting>
  <conditionalFormatting sqref="C79">
    <cfRule type="cellIs" dxfId="913" priority="6" stopIfTrue="1" operator="lessThan">
      <formula>0</formula>
    </cfRule>
  </conditionalFormatting>
  <conditionalFormatting sqref="C90:C93">
    <cfRule type="cellIs" dxfId="912" priority="5" stopIfTrue="1" operator="lessThan">
      <formula>0</formula>
    </cfRule>
  </conditionalFormatting>
  <conditionalFormatting sqref="C83:C85">
    <cfRule type="cellIs" dxfId="911" priority="4" stopIfTrue="1" operator="lessThan">
      <formula>0</formula>
    </cfRule>
  </conditionalFormatting>
  <conditionalFormatting sqref="C83">
    <cfRule type="cellIs" dxfId="910" priority="3" stopIfTrue="1" operator="lessThan">
      <formula>0</formula>
    </cfRule>
  </conditionalFormatting>
  <conditionalFormatting sqref="C86:C89">
    <cfRule type="cellIs" dxfId="909" priority="2" stopIfTrue="1" operator="lessThan">
      <formula>0</formula>
    </cfRule>
  </conditionalFormatting>
  <conditionalFormatting sqref="C94">
    <cfRule type="cellIs" dxfId="908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dimension ref="A2:M130"/>
  <sheetViews>
    <sheetView topLeftCell="A10" workbookViewId="0">
      <selection activeCell="G68" sqref="G68:G79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43097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x14ac:dyDescent="0.2">
      <c r="B7" s="199" t="s">
        <v>5</v>
      </c>
      <c r="C7" s="66">
        <v>4171515</v>
      </c>
      <c r="D7" s="67">
        <f>+IF(C7/$F$120=0,"",C7/$F$120)</f>
        <v>7.9955501382754016E-5</v>
      </c>
      <c r="E7" s="68"/>
      <c r="F7" s="199" t="s">
        <v>5</v>
      </c>
      <c r="G7" s="66">
        <v>742614</v>
      </c>
      <c r="H7" s="200">
        <f>+IF(G7/$C$122=0,"",G7/$C$122)</f>
        <v>1.1447737725883056E-4</v>
      </c>
      <c r="I7" s="70"/>
    </row>
    <row r="8" spans="1:10" x14ac:dyDescent="0.2">
      <c r="B8" s="199" t="s">
        <v>6</v>
      </c>
      <c r="C8" s="66">
        <v>28805</v>
      </c>
      <c r="D8" s="67">
        <f>+IF(C8/$F$120=0,"",C8/$F$120)</f>
        <v>5.5210594168550983E-7</v>
      </c>
      <c r="E8" s="68"/>
      <c r="F8" s="199" t="s">
        <v>6</v>
      </c>
      <c r="G8" s="66">
        <v>37656</v>
      </c>
      <c r="H8" s="200">
        <f>+IF(G8/$C$122=0,"",G8/$C$122)</f>
        <v>5.8048462836123796E-6</v>
      </c>
    </row>
    <row r="9" spans="1:10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-22723</v>
      </c>
      <c r="H11" s="200">
        <f t="shared" si="0"/>
        <v>-3.5028553776960936E-6</v>
      </c>
    </row>
    <row r="12" spans="1:10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1547862</v>
      </c>
      <c r="H14" s="200">
        <f t="shared" si="0"/>
        <v>2.3861007484185322E-4</v>
      </c>
      <c r="J14" s="74"/>
    </row>
    <row r="15" spans="1:10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>
        <v>-18319</v>
      </c>
      <c r="D17" s="67">
        <f>+IF(C17/$F$120=0,"",C17/$F$120)</f>
        <v>-3.5112059523474584E-7</v>
      </c>
      <c r="E17" s="68"/>
      <c r="F17" s="199" t="s">
        <v>15</v>
      </c>
      <c r="G17" s="72">
        <v>182608</v>
      </c>
      <c r="H17" s="200">
        <f t="shared" si="0"/>
        <v>2.8149866426542631E-5</v>
      </c>
      <c r="I17" s="74"/>
    </row>
    <row r="18" spans="2:9" x14ac:dyDescent="0.2">
      <c r="B18" s="199" t="s">
        <v>16</v>
      </c>
      <c r="C18" s="72">
        <v>-89341</v>
      </c>
      <c r="D18" s="67">
        <f>+IF(C18/$F$120=0,"",C18/$F$120)</f>
        <v>-1.7124005185254341E-6</v>
      </c>
      <c r="E18" s="75"/>
      <c r="F18" s="199" t="s">
        <v>16</v>
      </c>
      <c r="G18" s="72">
        <v>-51899</v>
      </c>
      <c r="H18" s="200">
        <f t="shared" si="0"/>
        <v>-8.0004705033248059E-6</v>
      </c>
    </row>
    <row r="19" spans="2:9" s="80" customFormat="1" x14ac:dyDescent="0.2">
      <c r="B19" s="201" t="s">
        <v>17</v>
      </c>
      <c r="C19" s="77">
        <f>SUM(C7:C18)</f>
        <v>4092660</v>
      </c>
      <c r="D19" s="78">
        <f>SUM(D7:D18)</f>
        <v>7.8444086210679339E-5</v>
      </c>
      <c r="E19" s="79"/>
      <c r="F19" s="201" t="s">
        <v>17</v>
      </c>
      <c r="G19" s="77">
        <f>SUM(G7:G18)</f>
        <v>2436118</v>
      </c>
      <c r="H19" s="78">
        <f>SUM(H7:H18)</f>
        <v>3.7553883892981789E-4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2817.7019</v>
      </c>
      <c r="D22" s="200">
        <f>+IF(C22/$F$121=0,"",C22/$F$121)</f>
        <v>7.5667203004719838E-5</v>
      </c>
      <c r="E22" s="75"/>
      <c r="F22" s="199" t="s">
        <v>5</v>
      </c>
      <c r="G22" s="66">
        <v>1771385</v>
      </c>
      <c r="H22" s="200">
        <f t="shared" ref="H22:H33" si="2">+IF(G22/$C$115=0,"",G22/$C$115)</f>
        <v>7.9761576732743523E-5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197386</v>
      </c>
      <c r="H23" s="200">
        <f t="shared" si="2"/>
        <v>8.8878581364126455E-6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11.2582314007541</v>
      </c>
      <c r="D26" s="200">
        <f>+IF(C26/$F$121=0,"",C26/$F$121)</f>
        <v>3.0233108792486951E-7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-55357.455885872012</v>
      </c>
      <c r="D27" s="200">
        <f t="shared" ref="D27:D33" si="3">+IF(C27/$F$121=0,"",C27/$F$121)</f>
        <v>-1.4865816189928041E-3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3289874</v>
      </c>
      <c r="H29" s="200">
        <f t="shared" si="2"/>
        <v>1.4813580192451548E-4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54151.858999999997</v>
      </c>
      <c r="D31" s="200">
        <f t="shared" si="3"/>
        <v>1.4542062480193396E-3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5842</v>
      </c>
      <c r="H32" s="200">
        <f t="shared" si="2"/>
        <v>2.6305243144358098E-7</v>
      </c>
    </row>
    <row r="33" spans="1:13" x14ac:dyDescent="0.2">
      <c r="B33" s="199" t="s">
        <v>16</v>
      </c>
      <c r="C33" s="71">
        <v>-64</v>
      </c>
      <c r="D33" s="200">
        <f t="shared" si="3"/>
        <v>-1.718670449951455E-6</v>
      </c>
      <c r="E33" s="75"/>
      <c r="F33" s="199" t="s">
        <v>16</v>
      </c>
      <c r="G33" s="72">
        <v>-121690</v>
      </c>
      <c r="H33" s="200">
        <f t="shared" si="2"/>
        <v>-5.4794334786664439E-6</v>
      </c>
    </row>
    <row r="34" spans="1:13" s="80" customFormat="1" x14ac:dyDescent="0.2">
      <c r="B34" s="201" t="s">
        <v>17</v>
      </c>
      <c r="C34" s="203">
        <f>SUM(C22:C33)</f>
        <v>1559.363245528737</v>
      </c>
      <c r="D34" s="78">
        <f>SUM(D22:D33)</f>
        <v>4.1875492669228698E-5</v>
      </c>
      <c r="E34" s="79"/>
      <c r="F34" s="201" t="s">
        <v>17</v>
      </c>
      <c r="G34" s="203">
        <f>SUM(G22:G33)</f>
        <v>5142797</v>
      </c>
      <c r="H34" s="78">
        <f>SUM(H22:H33)</f>
        <v>2.315688557464488E-4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4574916</v>
      </c>
      <c r="D37" s="200">
        <f t="shared" ref="D37:D48" si="4">+IF(C37/$C$123=0,"",C37/$C$123)</f>
        <v>5.6943191877389215E-5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1132720</v>
      </c>
      <c r="D38" s="200">
        <f t="shared" si="4"/>
        <v>1.4098770841553443E-5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19242522</v>
      </c>
      <c r="D44" s="200">
        <f t="shared" si="4"/>
        <v>2.3950835872197068E-4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10059796</v>
      </c>
      <c r="D45" s="200">
        <f t="shared" si="4"/>
        <v>1.2521254901191463E-4</v>
      </c>
      <c r="E45" s="68"/>
      <c r="F45" s="199" t="s">
        <v>13</v>
      </c>
      <c r="G45" s="72">
        <v>37844168</v>
      </c>
      <c r="H45" s="200">
        <f t="shared" si="5"/>
        <v>7.6524937208230269E-3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-98906</v>
      </c>
      <c r="D48" s="200">
        <f t="shared" si="4"/>
        <v>-1.2310659552711039E-6</v>
      </c>
      <c r="E48" s="68"/>
      <c r="F48" s="199" t="s">
        <v>16</v>
      </c>
      <c r="G48" s="72">
        <v>-16032</v>
      </c>
      <c r="H48" s="200">
        <f t="shared" si="5"/>
        <v>-3.2418411030263573E-6</v>
      </c>
    </row>
    <row r="49" spans="2:10" s="80" customFormat="1" x14ac:dyDescent="0.2">
      <c r="B49" s="201" t="s">
        <v>17</v>
      </c>
      <c r="C49" s="77">
        <f>SUM(C37:C48)</f>
        <v>34911048</v>
      </c>
      <c r="D49" s="78">
        <f>SUM(D37:D48)</f>
        <v>4.3453180449755683E-4</v>
      </c>
      <c r="E49" s="79"/>
      <c r="F49" s="201" t="s">
        <v>17</v>
      </c>
      <c r="G49" s="77">
        <f>SUM(G37:G48)</f>
        <v>37828136</v>
      </c>
      <c r="H49" s="78">
        <f>SUM(H37:H48)</f>
        <v>7.649251879720001E-3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14167.359700000001</v>
      </c>
      <c r="H53" s="200">
        <f t="shared" ref="H53:H64" si="7">+IF(G53/$C$124=0,"",G53/$C$124)</f>
        <v>1.3150602477957253E-4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-358753</v>
      </c>
      <c r="D55" s="200">
        <f t="shared" si="6"/>
        <v>-1.6450179559921019E-5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-43445.584999999999</v>
      </c>
      <c r="H60" s="200">
        <f t="shared" si="7"/>
        <v>-4.0327600191961133E-4</v>
      </c>
    </row>
    <row r="61" spans="2:10" x14ac:dyDescent="0.2">
      <c r="B61" s="199" t="s">
        <v>13</v>
      </c>
      <c r="C61" s="72">
        <v>184538131</v>
      </c>
      <c r="D61" s="200">
        <f t="shared" si="6"/>
        <v>8.4617700495946448E-3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-179248</v>
      </c>
      <c r="D64" s="200">
        <f t="shared" si="6"/>
        <v>-8.2191975697951598E-6</v>
      </c>
      <c r="E64" s="68"/>
      <c r="F64" s="199" t="s">
        <v>16</v>
      </c>
      <c r="G64" s="92">
        <v>-109.29</v>
      </c>
      <c r="H64" s="200">
        <f t="shared" si="7"/>
        <v>-1.0144652039970074E-6</v>
      </c>
    </row>
    <row r="65" spans="2:8" s="80" customFormat="1" x14ac:dyDescent="0.2">
      <c r="B65" s="201" t="s">
        <v>17</v>
      </c>
      <c r="C65" s="77">
        <f>SUM(C53:C64)</f>
        <v>184000130</v>
      </c>
      <c r="D65" s="78">
        <f>SUM(D53:D64)</f>
        <v>8.4371006724649287E-3</v>
      </c>
      <c r="E65" s="79"/>
      <c r="F65" s="201" t="s">
        <v>17</v>
      </c>
      <c r="G65" s="203">
        <f>SUM(G53:G64)</f>
        <v>-29387.515299999999</v>
      </c>
      <c r="H65" s="78">
        <f>SUM(H53:H64)</f>
        <v>-2.7278444234403579E-4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>
        <v>4052984</v>
      </c>
      <c r="D70" s="200">
        <f t="shared" si="8"/>
        <v>3.0101001083119992E-4</v>
      </c>
      <c r="E70" s="68"/>
      <c r="F70" s="199" t="s">
        <v>7</v>
      </c>
      <c r="G70" s="71">
        <v>121534</v>
      </c>
      <c r="H70" s="200">
        <f t="shared" si="9"/>
        <v>1.8765800232023198E-5</v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-1308299</v>
      </c>
      <c r="D72" s="200">
        <f t="shared" si="8"/>
        <v>-9.716571695334795E-5</v>
      </c>
      <c r="E72" s="68"/>
      <c r="F72" s="199" t="s">
        <v>9</v>
      </c>
      <c r="G72" s="66">
        <v>-916</v>
      </c>
      <c r="H72" s="200">
        <f t="shared" si="9"/>
        <v>-1.4143756489980787E-7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45880376</v>
      </c>
      <c r="D76" s="200">
        <f t="shared" si="8"/>
        <v>3.4074776699586093E-3</v>
      </c>
      <c r="E76" s="68"/>
      <c r="F76" s="199" t="s">
        <v>13</v>
      </c>
      <c r="G76" s="72">
        <v>12994272</v>
      </c>
      <c r="H76" s="200">
        <f t="shared" si="9"/>
        <v>2.0064172372551924E-3</v>
      </c>
    </row>
    <row r="77" spans="2:8" x14ac:dyDescent="0.2">
      <c r="B77" s="199" t="s">
        <v>14</v>
      </c>
      <c r="C77" s="66">
        <v>-28738949</v>
      </c>
      <c r="D77" s="200">
        <f t="shared" si="8"/>
        <v>-2.1344055021602112E-3</v>
      </c>
      <c r="E77" s="68"/>
      <c r="F77" s="199" t="s">
        <v>14</v>
      </c>
      <c r="G77" s="66">
        <v>-14202322</v>
      </c>
      <c r="H77" s="200">
        <f t="shared" si="9"/>
        <v>-2.1929496065534598E-3</v>
      </c>
    </row>
    <row r="78" spans="2:8" x14ac:dyDescent="0.2">
      <c r="B78" s="199" t="s">
        <v>15</v>
      </c>
      <c r="C78" s="72">
        <v>750520</v>
      </c>
      <c r="D78" s="200">
        <f t="shared" si="8"/>
        <v>5.5740173987618046E-5</v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-21151</v>
      </c>
      <c r="D79" s="200">
        <f t="shared" si="8"/>
        <v>-1.5708580984012542E-6</v>
      </c>
      <c r="E79" s="68"/>
      <c r="F79" s="199" t="s">
        <v>16</v>
      </c>
      <c r="G79" s="72">
        <v>-16069</v>
      </c>
      <c r="H79" s="200">
        <f t="shared" si="9"/>
        <v>-2.4811792908024156E-6</v>
      </c>
    </row>
    <row r="80" spans="2:8" s="80" customFormat="1" x14ac:dyDescent="0.2">
      <c r="B80" s="201" t="s">
        <v>17</v>
      </c>
      <c r="C80" s="77">
        <f>SUM(C68:C79)</f>
        <v>20615481</v>
      </c>
      <c r="D80" s="78">
        <f>SUM(D68:D79)</f>
        <v>1.531085777565467E-3</v>
      </c>
      <c r="E80" s="79"/>
      <c r="F80" s="201" t="s">
        <v>17</v>
      </c>
      <c r="G80" s="77">
        <f>SUM(G68:G79)</f>
        <v>-1103501</v>
      </c>
      <c r="H80" s="78">
        <f>SUM(H68:H79)</f>
        <v>-1.7038918592194644E-4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2894.3</v>
      </c>
      <c r="D87" s="200">
        <f t="shared" si="10"/>
        <v>7.8923455484697868E-5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38122.502</v>
      </c>
      <c r="D90" s="200">
        <f t="shared" si="10"/>
        <v>1.0395465534195852E-3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-774715.58259999997</v>
      </c>
      <c r="D92" s="200">
        <f t="shared" si="10"/>
        <v>-2.112539501663023E-2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-733698.78059999994</v>
      </c>
      <c r="D95" s="209">
        <f>SUM(D83:D94)</f>
        <v>-2.0006925007725947E-2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22208500290.000103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21808454959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13464615308.999901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4945338001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6476355844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45723806071</v>
      </c>
      <c r="D120" s="193">
        <v>6449151735</v>
      </c>
      <c r="F120" s="204">
        <f>+C120+D120</f>
        <v>52172957806</v>
      </c>
      <c r="G120" s="197"/>
      <c r="H120" s="197"/>
    </row>
    <row r="121" spans="1:13" x14ac:dyDescent="0.2">
      <c r="B121" s="189" t="s">
        <v>18</v>
      </c>
      <c r="C121" s="192">
        <v>37179578.971500002</v>
      </c>
      <c r="D121" s="193">
        <v>58508.179999999993</v>
      </c>
      <c r="F121" s="204">
        <f>+C121+D121</f>
        <v>37238087.151500002</v>
      </c>
      <c r="H121" s="75"/>
    </row>
    <row r="122" spans="1:13" x14ac:dyDescent="0.2">
      <c r="B122" s="189" t="s">
        <v>4</v>
      </c>
      <c r="C122" s="190">
        <v>6486993480.9998999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80341755514.000092</v>
      </c>
      <c r="D123" s="205"/>
      <c r="F123" s="204"/>
      <c r="H123" s="75"/>
    </row>
    <row r="124" spans="1:13" x14ac:dyDescent="0.2">
      <c r="B124" s="189" t="s">
        <v>25</v>
      </c>
      <c r="C124" s="192">
        <v>107731639.85260001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36672241.252300002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907" priority="48" stopIfTrue="1" operator="lessThan">
      <formula>0</formula>
    </cfRule>
  </conditionalFormatting>
  <conditionalFormatting sqref="C7:C9">
    <cfRule type="cellIs" dxfId="906" priority="47" stopIfTrue="1" operator="lessThan">
      <formula>0</formula>
    </cfRule>
  </conditionalFormatting>
  <conditionalFormatting sqref="C10:C13">
    <cfRule type="cellIs" dxfId="905" priority="45" stopIfTrue="1" operator="lessThan">
      <formula>0</formula>
    </cfRule>
  </conditionalFormatting>
  <conditionalFormatting sqref="C104">
    <cfRule type="cellIs" dxfId="904" priority="44" stopIfTrue="1" operator="lessThan">
      <formula>0</formula>
    </cfRule>
  </conditionalFormatting>
  <conditionalFormatting sqref="C7">
    <cfRule type="cellIs" dxfId="903" priority="46" stopIfTrue="1" operator="lessThan">
      <formula>0</formula>
    </cfRule>
  </conditionalFormatting>
  <conditionalFormatting sqref="C29:C33">
    <cfRule type="cellIs" dxfId="902" priority="39" stopIfTrue="1" operator="lessThan">
      <formula>0</formula>
    </cfRule>
  </conditionalFormatting>
  <conditionalFormatting sqref="G7:G9">
    <cfRule type="cellIs" dxfId="901" priority="42" stopIfTrue="1" operator="lessThan">
      <formula>0</formula>
    </cfRule>
  </conditionalFormatting>
  <conditionalFormatting sqref="C22">
    <cfRule type="cellIs" dxfId="900" priority="37" stopIfTrue="1" operator="lessThan">
      <formula>0</formula>
    </cfRule>
  </conditionalFormatting>
  <conditionalFormatting sqref="C25:C28">
    <cfRule type="cellIs" dxfId="899" priority="36" stopIfTrue="1" operator="lessThan">
      <formula>0</formula>
    </cfRule>
  </conditionalFormatting>
  <conditionalFormatting sqref="G14:G18">
    <cfRule type="cellIs" dxfId="898" priority="43" stopIfTrue="1" operator="lessThan">
      <formula>0</formula>
    </cfRule>
  </conditionalFormatting>
  <conditionalFormatting sqref="G7">
    <cfRule type="cellIs" dxfId="897" priority="41" stopIfTrue="1" operator="lessThan">
      <formula>0</formula>
    </cfRule>
  </conditionalFormatting>
  <conditionalFormatting sqref="G10:G13">
    <cfRule type="cellIs" dxfId="896" priority="40" stopIfTrue="1" operator="lessThan">
      <formula>0</formula>
    </cfRule>
  </conditionalFormatting>
  <conditionalFormatting sqref="C22:C24">
    <cfRule type="cellIs" dxfId="895" priority="38" stopIfTrue="1" operator="lessThan">
      <formula>0</formula>
    </cfRule>
  </conditionalFormatting>
  <conditionalFormatting sqref="G22">
    <cfRule type="cellIs" dxfId="894" priority="33" stopIfTrue="1" operator="lessThan">
      <formula>0</formula>
    </cfRule>
  </conditionalFormatting>
  <conditionalFormatting sqref="G29:G33">
    <cfRule type="cellIs" dxfId="893" priority="35" stopIfTrue="1" operator="lessThan">
      <formula>0</formula>
    </cfRule>
  </conditionalFormatting>
  <conditionalFormatting sqref="G22:G24">
    <cfRule type="cellIs" dxfId="892" priority="34" stopIfTrue="1" operator="lessThan">
      <formula>0</formula>
    </cfRule>
  </conditionalFormatting>
  <conditionalFormatting sqref="G25:G28">
    <cfRule type="cellIs" dxfId="891" priority="32" stopIfTrue="1" operator="lessThan">
      <formula>0</formula>
    </cfRule>
  </conditionalFormatting>
  <conditionalFormatting sqref="C40:C43">
    <cfRule type="cellIs" dxfId="890" priority="28" stopIfTrue="1" operator="lessThan">
      <formula>0</formula>
    </cfRule>
  </conditionalFormatting>
  <conditionalFormatting sqref="G44:G48">
    <cfRule type="cellIs" dxfId="889" priority="27" stopIfTrue="1" operator="lessThan">
      <formula>0</formula>
    </cfRule>
  </conditionalFormatting>
  <conditionalFormatting sqref="G37">
    <cfRule type="cellIs" dxfId="888" priority="25" stopIfTrue="1" operator="lessThan">
      <formula>0</formula>
    </cfRule>
  </conditionalFormatting>
  <conditionalFormatting sqref="C44:C48">
    <cfRule type="cellIs" dxfId="887" priority="31" stopIfTrue="1" operator="lessThan">
      <formula>0</formula>
    </cfRule>
  </conditionalFormatting>
  <conditionalFormatting sqref="C37:C39">
    <cfRule type="cellIs" dxfId="886" priority="30" stopIfTrue="1" operator="lessThan">
      <formula>0</formula>
    </cfRule>
  </conditionalFormatting>
  <conditionalFormatting sqref="C37">
    <cfRule type="cellIs" dxfId="885" priority="29" stopIfTrue="1" operator="lessThan">
      <formula>0</formula>
    </cfRule>
  </conditionalFormatting>
  <conditionalFormatting sqref="C56:C59">
    <cfRule type="cellIs" dxfId="884" priority="20" stopIfTrue="1" operator="lessThan">
      <formula>0</formula>
    </cfRule>
  </conditionalFormatting>
  <conditionalFormatting sqref="G60:G63">
    <cfRule type="cellIs" dxfId="883" priority="19" stopIfTrue="1" operator="lessThan">
      <formula>0</formula>
    </cfRule>
  </conditionalFormatting>
  <conditionalFormatting sqref="G37:G39">
    <cfRule type="cellIs" dxfId="882" priority="26" stopIfTrue="1" operator="lessThan">
      <formula>0</formula>
    </cfRule>
  </conditionalFormatting>
  <conditionalFormatting sqref="G53">
    <cfRule type="cellIs" dxfId="881" priority="17" stopIfTrue="1" operator="lessThan">
      <formula>0</formula>
    </cfRule>
  </conditionalFormatting>
  <conditionalFormatting sqref="G40:G43">
    <cfRule type="cellIs" dxfId="880" priority="24" stopIfTrue="1" operator="lessThan">
      <formula>0</formula>
    </cfRule>
  </conditionalFormatting>
  <conditionalFormatting sqref="C60:C64">
    <cfRule type="cellIs" dxfId="879" priority="23" stopIfTrue="1" operator="lessThan">
      <formula>0</formula>
    </cfRule>
  </conditionalFormatting>
  <conditionalFormatting sqref="C53:C55">
    <cfRule type="cellIs" dxfId="878" priority="22" stopIfTrue="1" operator="lessThan">
      <formula>0</formula>
    </cfRule>
  </conditionalFormatting>
  <conditionalFormatting sqref="C53">
    <cfRule type="cellIs" dxfId="877" priority="21" stopIfTrue="1" operator="lessThan">
      <formula>0</formula>
    </cfRule>
  </conditionalFormatting>
  <conditionalFormatting sqref="G53:G55">
    <cfRule type="cellIs" dxfId="876" priority="18" stopIfTrue="1" operator="lessThan">
      <formula>0</formula>
    </cfRule>
  </conditionalFormatting>
  <conditionalFormatting sqref="G56:G59">
    <cfRule type="cellIs" dxfId="875" priority="16" stopIfTrue="1" operator="lessThan">
      <formula>0</formula>
    </cfRule>
  </conditionalFormatting>
  <conditionalFormatting sqref="C75:C78">
    <cfRule type="cellIs" dxfId="874" priority="15" stopIfTrue="1" operator="lessThan">
      <formula>0</formula>
    </cfRule>
  </conditionalFormatting>
  <conditionalFormatting sqref="C68:C70">
    <cfRule type="cellIs" dxfId="873" priority="14" stopIfTrue="1" operator="lessThan">
      <formula>0</formula>
    </cfRule>
  </conditionalFormatting>
  <conditionalFormatting sqref="C68">
    <cfRule type="cellIs" dxfId="872" priority="13" stopIfTrue="1" operator="lessThan">
      <formula>0</formula>
    </cfRule>
  </conditionalFormatting>
  <conditionalFormatting sqref="C71:C74">
    <cfRule type="cellIs" dxfId="871" priority="12" stopIfTrue="1" operator="lessThan">
      <formula>0</formula>
    </cfRule>
  </conditionalFormatting>
  <conditionalFormatting sqref="G75:G79">
    <cfRule type="cellIs" dxfId="870" priority="11" stopIfTrue="1" operator="lessThan">
      <formula>0</formula>
    </cfRule>
  </conditionalFormatting>
  <conditionalFormatting sqref="G68:G70">
    <cfRule type="cellIs" dxfId="869" priority="10" stopIfTrue="1" operator="lessThan">
      <formula>0</formula>
    </cfRule>
  </conditionalFormatting>
  <conditionalFormatting sqref="G68">
    <cfRule type="cellIs" dxfId="868" priority="9" stopIfTrue="1" operator="lessThan">
      <formula>0</formula>
    </cfRule>
  </conditionalFormatting>
  <conditionalFormatting sqref="G71:G74">
    <cfRule type="cellIs" dxfId="867" priority="8" stopIfTrue="1" operator="lessThan">
      <formula>0</formula>
    </cfRule>
  </conditionalFormatting>
  <conditionalFormatting sqref="G64">
    <cfRule type="cellIs" dxfId="866" priority="7" stopIfTrue="1" operator="lessThan">
      <formula>0</formula>
    </cfRule>
  </conditionalFormatting>
  <conditionalFormatting sqref="C79">
    <cfRule type="cellIs" dxfId="865" priority="6" stopIfTrue="1" operator="lessThan">
      <formula>0</formula>
    </cfRule>
  </conditionalFormatting>
  <conditionalFormatting sqref="C90:C93">
    <cfRule type="cellIs" dxfId="864" priority="5" stopIfTrue="1" operator="lessThan">
      <formula>0</formula>
    </cfRule>
  </conditionalFormatting>
  <conditionalFormatting sqref="C83:C85">
    <cfRule type="cellIs" dxfId="863" priority="4" stopIfTrue="1" operator="lessThan">
      <formula>0</formula>
    </cfRule>
  </conditionalFormatting>
  <conditionalFormatting sqref="C83">
    <cfRule type="cellIs" dxfId="862" priority="3" stopIfTrue="1" operator="lessThan">
      <formula>0</formula>
    </cfRule>
  </conditionalFormatting>
  <conditionalFormatting sqref="C86:C89">
    <cfRule type="cellIs" dxfId="861" priority="2" stopIfTrue="1" operator="lessThan">
      <formula>0</formula>
    </cfRule>
  </conditionalFormatting>
  <conditionalFormatting sqref="C94">
    <cfRule type="cellIs" dxfId="860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dimension ref="A2:M130"/>
  <sheetViews>
    <sheetView topLeftCell="A28" workbookViewId="0">
      <selection activeCell="F42" sqref="F42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43098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x14ac:dyDescent="0.2">
      <c r="B7" s="199" t="s">
        <v>5</v>
      </c>
      <c r="C7" s="66">
        <v>3807827</v>
      </c>
      <c r="D7" s="67">
        <f>+IF(C7/$F$120=0,"",C7/$F$120)</f>
        <v>7.9875073520366664E-5</v>
      </c>
      <c r="E7" s="68"/>
      <c r="F7" s="199" t="s">
        <v>5</v>
      </c>
      <c r="G7" s="66">
        <v>636919</v>
      </c>
      <c r="H7" s="200">
        <f>+IF(G7/$C$122=0,"",G7/$C$122)</f>
        <v>9.8255380300340481E-5</v>
      </c>
      <c r="I7" s="70"/>
    </row>
    <row r="8" spans="1:10" x14ac:dyDescent="0.2">
      <c r="B8" s="199" t="s">
        <v>6</v>
      </c>
      <c r="C8" s="66">
        <v>29140</v>
      </c>
      <c r="D8" s="67">
        <f>+IF(C8/$F$120=0,"",C8/$F$120)</f>
        <v>6.1125666748607135E-7</v>
      </c>
      <c r="E8" s="68"/>
      <c r="F8" s="199" t="s">
        <v>6</v>
      </c>
      <c r="G8" s="66">
        <v>37660</v>
      </c>
      <c r="H8" s="200">
        <f>+IF(G8/$C$122=0,"",G8/$C$122)</f>
        <v>5.8096832126390052E-6</v>
      </c>
    </row>
    <row r="9" spans="1:10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-14181</v>
      </c>
      <c r="H11" s="200">
        <f t="shared" si="0"/>
        <v>-2.1876558055877252E-6</v>
      </c>
    </row>
    <row r="12" spans="1:10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1068862</v>
      </c>
      <c r="H14" s="200">
        <f t="shared" si="0"/>
        <v>1.6488979336239386E-4</v>
      </c>
      <c r="J14" s="74"/>
    </row>
    <row r="15" spans="1:10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>
        <v>-237428</v>
      </c>
      <c r="D17" s="67">
        <f>+IF(C17/$F$120=0,"",C17/$F$120)</f>
        <v>-4.9804203173604308E-6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-255802</v>
      </c>
      <c r="D18" s="67">
        <f>+IF(C18/$F$120=0,"",C18/$F$120)</f>
        <v>-5.3658434473669187E-6</v>
      </c>
      <c r="E18" s="75"/>
      <c r="F18" s="199" t="s">
        <v>16</v>
      </c>
      <c r="G18" s="72">
        <v>-25910</v>
      </c>
      <c r="H18" s="200">
        <f t="shared" si="0"/>
        <v>-3.997049708961143E-6</v>
      </c>
    </row>
    <row r="19" spans="2:9" s="80" customFormat="1" x14ac:dyDescent="0.2">
      <c r="B19" s="201" t="s">
        <v>17</v>
      </c>
      <c r="C19" s="77">
        <f>SUM(C7:C18)</f>
        <v>3343737</v>
      </c>
      <c r="D19" s="78">
        <f>SUM(D7:D18)</f>
        <v>7.0140066423125385E-5</v>
      </c>
      <c r="E19" s="79"/>
      <c r="F19" s="201" t="s">
        <v>17</v>
      </c>
      <c r="G19" s="77">
        <f>SUM(G7:G18)</f>
        <v>1703350</v>
      </c>
      <c r="H19" s="78">
        <f>SUM(H7:H18)</f>
        <v>2.6277015136082449E-4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2918.4371999999998</v>
      </c>
      <c r="D22" s="200">
        <f>+IF(C22/$F$121=0,"",C22/$F$121)</f>
        <v>7.5844394903499455E-5</v>
      </c>
      <c r="E22" s="75"/>
      <c r="F22" s="199" t="s">
        <v>5</v>
      </c>
      <c r="G22" s="66">
        <v>1944805</v>
      </c>
      <c r="H22" s="200">
        <f t="shared" ref="H22:H33" si="2">+IF(G22/$C$115=0,"",G22/$C$115)</f>
        <v>7.942043676597813E-5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211485</v>
      </c>
      <c r="H23" s="200">
        <f t="shared" si="2"/>
        <v>8.6364602463757991E-6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4.9454228912118197</v>
      </c>
      <c r="D26" s="200">
        <f>+IF(C26/$F$121=0,"",C26/$F$121)</f>
        <v>1.2852173304461556E-7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-19958.476975734578</v>
      </c>
      <c r="D27" s="200">
        <f t="shared" ref="D27:D33" si="3">+IF(C27/$F$121=0,"",C27/$F$121)</f>
        <v>-5.1868123440175951E-4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1998349</v>
      </c>
      <c r="H29" s="200">
        <f t="shared" si="2"/>
        <v>8.1607025069791383E-5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18771.393499999998</v>
      </c>
      <c r="D31" s="200">
        <f t="shared" si="3"/>
        <v>4.8783128912384432E-4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-19278</v>
      </c>
      <c r="H32" s="200">
        <f t="shared" si="2"/>
        <v>-7.8725999777588314E-7</v>
      </c>
    </row>
    <row r="33" spans="1:13" x14ac:dyDescent="0.2">
      <c r="B33" s="199" t="s">
        <v>16</v>
      </c>
      <c r="C33" s="71">
        <v>-153.1</v>
      </c>
      <c r="D33" s="200">
        <f t="shared" si="3"/>
        <v>-3.978765367891338E-6</v>
      </c>
      <c r="E33" s="75"/>
      <c r="F33" s="199" t="s">
        <v>16</v>
      </c>
      <c r="G33" s="72">
        <v>-134178</v>
      </c>
      <c r="H33" s="200">
        <f t="shared" si="2"/>
        <v>-5.4794569966579753E-6</v>
      </c>
    </row>
    <row r="34" spans="1:13" s="80" customFormat="1" x14ac:dyDescent="0.2">
      <c r="B34" s="201" t="s">
        <v>17</v>
      </c>
      <c r="C34" s="203">
        <f>SUM(C22:C33)</f>
        <v>1583.1991471566312</v>
      </c>
      <c r="D34" s="78">
        <f>SUM(D22:D33)</f>
        <v>4.1144205990737533E-5</v>
      </c>
      <c r="E34" s="79"/>
      <c r="F34" s="201" t="s">
        <v>17</v>
      </c>
      <c r="G34" s="203">
        <f>SUM(G22:G33)</f>
        <v>4001183</v>
      </c>
      <c r="H34" s="78">
        <f>SUM(H22:H33)</f>
        <v>1.6339720508771143E-4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4694257</v>
      </c>
      <c r="D37" s="200">
        <f t="shared" ref="D37:D48" si="4">+IF(C37/$C$123=0,"",C37/$C$123)</f>
        <v>5.8406012795194188E-5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1133391</v>
      </c>
      <c r="D38" s="200">
        <f t="shared" si="4"/>
        <v>1.410166704719361E-5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969806</v>
      </c>
      <c r="H39" s="200">
        <f t="shared" si="5"/>
        <v>1.9488403742259821E-4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>
        <v>-24967</v>
      </c>
      <c r="H41" s="200">
        <f t="shared" si="5"/>
        <v>-5.0171578257197932E-6</v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15121805</v>
      </c>
      <c r="D44" s="200">
        <f t="shared" si="4"/>
        <v>1.8814571428799732E-4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14912565</v>
      </c>
      <c r="D45" s="200">
        <f t="shared" si="4"/>
        <v>1.8554234721259724E-4</v>
      </c>
      <c r="E45" s="68"/>
      <c r="F45" s="199" t="s">
        <v>13</v>
      </c>
      <c r="G45" s="72">
        <v>18278863</v>
      </c>
      <c r="H45" s="200">
        <f t="shared" si="5"/>
        <v>3.6731662012140015E-3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-128627</v>
      </c>
      <c r="D48" s="200">
        <f t="shared" si="4"/>
        <v>-1.6003789753751111E-6</v>
      </c>
      <c r="E48" s="68"/>
      <c r="F48" s="199" t="s">
        <v>16</v>
      </c>
      <c r="G48" s="72">
        <v>-16032</v>
      </c>
      <c r="H48" s="200">
        <f t="shared" si="5"/>
        <v>-3.2216555558112596E-6</v>
      </c>
    </row>
    <row r="49" spans="2:10" s="80" customFormat="1" x14ac:dyDescent="0.2">
      <c r="B49" s="201" t="s">
        <v>17</v>
      </c>
      <c r="C49" s="77">
        <f>SUM(C37:C48)</f>
        <v>35733391</v>
      </c>
      <c r="D49" s="78">
        <f>SUM(D37:D48)</f>
        <v>4.4459536236760727E-4</v>
      </c>
      <c r="E49" s="79"/>
      <c r="F49" s="201" t="s">
        <v>17</v>
      </c>
      <c r="G49" s="77">
        <f>SUM(G37:G48)</f>
        <v>19207670</v>
      </c>
      <c r="H49" s="78">
        <f>SUM(H37:H48)</f>
        <v>3.8598114252550685E-3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14167.0659</v>
      </c>
      <c r="H53" s="200">
        <f t="shared" ref="H53:H64" si="7">+IF(G53/$C$124=0,"",G53/$C$124)</f>
        <v>1.3154097496645865E-4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4981340</v>
      </c>
      <c r="D55" s="200">
        <f t="shared" si="6"/>
        <v>2.2346604649914112E-4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65341.23</v>
      </c>
      <c r="H60" s="200">
        <f t="shared" si="7"/>
        <v>6.0669225091326904E-4</v>
      </c>
    </row>
    <row r="61" spans="2:10" x14ac:dyDescent="0.2">
      <c r="B61" s="199" t="s">
        <v>13</v>
      </c>
      <c r="C61" s="72">
        <v>84972236</v>
      </c>
      <c r="D61" s="200">
        <f t="shared" si="6"/>
        <v>3.811907968761818E-3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244828</v>
      </c>
      <c r="D63" s="200">
        <f t="shared" si="6"/>
        <v>1.0983138117914402E-5</v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-183216</v>
      </c>
      <c r="D64" s="200">
        <f t="shared" si="6"/>
        <v>-8.2191850336228083E-6</v>
      </c>
      <c r="E64" s="68"/>
      <c r="F64" s="199" t="s">
        <v>16</v>
      </c>
      <c r="G64" s="92">
        <v>-109.34</v>
      </c>
      <c r="H64" s="200">
        <f t="shared" si="7"/>
        <v>-1.0152201101028683E-6</v>
      </c>
    </row>
    <row r="65" spans="2:8" s="80" customFormat="1" x14ac:dyDescent="0.2">
      <c r="B65" s="201" t="s">
        <v>17</v>
      </c>
      <c r="C65" s="77">
        <f>SUM(C53:C64)</f>
        <v>90015188</v>
      </c>
      <c r="D65" s="78">
        <f>SUM(D53:D64)</f>
        <v>4.038137968345251E-3</v>
      </c>
      <c r="E65" s="79"/>
      <c r="F65" s="201" t="s">
        <v>17</v>
      </c>
      <c r="G65" s="203">
        <f>SUM(G53:G64)</f>
        <v>79398.955900000001</v>
      </c>
      <c r="H65" s="78">
        <f>SUM(H53:H64)</f>
        <v>7.3721800576962489E-4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-452011</v>
      </c>
      <c r="D72" s="200">
        <f t="shared" si="8"/>
        <v>-3.3520550653875319E-5</v>
      </c>
      <c r="E72" s="68"/>
      <c r="F72" s="199" t="s">
        <v>9</v>
      </c>
      <c r="G72" s="66">
        <v>-288</v>
      </c>
      <c r="H72" s="200">
        <f t="shared" si="9"/>
        <v>-5.167073591922377E-8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-5547</v>
      </c>
      <c r="D76" s="200">
        <f t="shared" si="8"/>
        <v>-4.1135833967988916E-7</v>
      </c>
      <c r="E76" s="68"/>
      <c r="F76" s="199" t="s">
        <v>13</v>
      </c>
      <c r="G76" s="72">
        <v>318854</v>
      </c>
      <c r="H76" s="200">
        <f t="shared" si="9"/>
        <v>5.7206322329125611E-5</v>
      </c>
    </row>
    <row r="77" spans="2:8" x14ac:dyDescent="0.2">
      <c r="B77" s="199" t="s">
        <v>14</v>
      </c>
      <c r="C77" s="66">
        <v>-9933161</v>
      </c>
      <c r="D77" s="200">
        <f t="shared" si="8"/>
        <v>-7.366303617690694E-4</v>
      </c>
      <c r="E77" s="68"/>
      <c r="F77" s="199" t="s">
        <v>14</v>
      </c>
      <c r="G77" s="66">
        <v>-4908403</v>
      </c>
      <c r="H77" s="200">
        <f t="shared" si="9"/>
        <v>-8.806277611046031E-4</v>
      </c>
    </row>
    <row r="78" spans="2:8" x14ac:dyDescent="0.2">
      <c r="B78" s="199" t="s">
        <v>15</v>
      </c>
      <c r="C78" s="72">
        <v>-90</v>
      </c>
      <c r="D78" s="200">
        <f t="shared" si="8"/>
        <v>-6.6742834994032861E-9</v>
      </c>
      <c r="E78" s="68"/>
      <c r="F78" s="199" t="s">
        <v>15</v>
      </c>
      <c r="G78" s="72">
        <v>-46</v>
      </c>
      <c r="H78" s="200">
        <f t="shared" si="9"/>
        <v>-8.2529647648760185E-9</v>
      </c>
    </row>
    <row r="79" spans="2:8" x14ac:dyDescent="0.2">
      <c r="B79" s="199" t="s">
        <v>16</v>
      </c>
      <c r="C79" s="72">
        <v>-21151</v>
      </c>
      <c r="D79" s="200">
        <f t="shared" si="8"/>
        <v>-1.5685307810653211E-6</v>
      </c>
      <c r="E79" s="68"/>
      <c r="F79" s="199" t="s">
        <v>16</v>
      </c>
      <c r="G79" s="72">
        <v>-16069</v>
      </c>
      <c r="H79" s="200">
        <f t="shared" si="9"/>
        <v>-2.8829758871041898E-6</v>
      </c>
    </row>
    <row r="80" spans="2:8" s="80" customFormat="1" x14ac:dyDescent="0.2">
      <c r="B80" s="201" t="s">
        <v>17</v>
      </c>
      <c r="C80" s="77">
        <f>SUM(C68:C79)</f>
        <v>-10411960</v>
      </c>
      <c r="D80" s="78">
        <f>SUM(D68:D79)</f>
        <v>-7.7213747582718928E-4</v>
      </c>
      <c r="E80" s="79"/>
      <c r="F80" s="201" t="s">
        <v>17</v>
      </c>
      <c r="G80" s="77">
        <f>SUM(G68:G79)</f>
        <v>-4605952</v>
      </c>
      <c r="H80" s="78">
        <f>SUM(H68:H79)</f>
        <v>-8.263643383632658E-4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10.94</v>
      </c>
      <c r="D87" s="200">
        <f t="shared" si="10"/>
        <v>3.0261452848287749E-7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111462.46339999999</v>
      </c>
      <c r="D90" s="200">
        <f t="shared" si="10"/>
        <v>3.0831956860448801E-3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107813.9825</v>
      </c>
      <c r="D92" s="200">
        <f t="shared" si="10"/>
        <v>2.9822739925135927E-3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219287.38589999999</v>
      </c>
      <c r="D95" s="209">
        <f>SUM(D83:D94)</f>
        <v>6.0657722930869563E-3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24487462915.000099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22291261147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13484593516.000099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4976323422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5573754561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46683844564</v>
      </c>
      <c r="D120" s="193">
        <v>988437065</v>
      </c>
      <c r="F120" s="204">
        <f>+C120+D120</f>
        <v>47672281629</v>
      </c>
      <c r="G120" s="197"/>
      <c r="H120" s="197"/>
    </row>
    <row r="121" spans="1:13" x14ac:dyDescent="0.2">
      <c r="B121" s="189" t="s">
        <v>18</v>
      </c>
      <c r="C121" s="192">
        <v>36915291.9331</v>
      </c>
      <c r="D121" s="193">
        <v>1563981.37</v>
      </c>
      <c r="F121" s="204">
        <f>+C121+D121</f>
        <v>38479273.303099997</v>
      </c>
      <c r="H121" s="75"/>
    </row>
    <row r="122" spans="1:13" x14ac:dyDescent="0.2">
      <c r="B122" s="189" t="s">
        <v>4</v>
      </c>
      <c r="C122" s="190">
        <v>6482281154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80372837921.000092</v>
      </c>
      <c r="D123" s="205"/>
      <c r="F123" s="204"/>
      <c r="H123" s="75"/>
    </row>
    <row r="124" spans="1:13" x14ac:dyDescent="0.2">
      <c r="B124" s="189" t="s">
        <v>25</v>
      </c>
      <c r="C124" s="192">
        <v>107700782.2362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36151602.022699997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859" priority="48" stopIfTrue="1" operator="lessThan">
      <formula>0</formula>
    </cfRule>
  </conditionalFormatting>
  <conditionalFormatting sqref="C7:C9">
    <cfRule type="cellIs" dxfId="858" priority="47" stopIfTrue="1" operator="lessThan">
      <formula>0</formula>
    </cfRule>
  </conditionalFormatting>
  <conditionalFormatting sqref="C10:C13">
    <cfRule type="cellIs" dxfId="857" priority="45" stopIfTrue="1" operator="lessThan">
      <formula>0</formula>
    </cfRule>
  </conditionalFormatting>
  <conditionalFormatting sqref="C104">
    <cfRule type="cellIs" dxfId="856" priority="44" stopIfTrue="1" operator="lessThan">
      <formula>0</formula>
    </cfRule>
  </conditionalFormatting>
  <conditionalFormatting sqref="C7">
    <cfRule type="cellIs" dxfId="855" priority="46" stopIfTrue="1" operator="lessThan">
      <formula>0</formula>
    </cfRule>
  </conditionalFormatting>
  <conditionalFormatting sqref="C29:C33">
    <cfRule type="cellIs" dxfId="854" priority="39" stopIfTrue="1" operator="lessThan">
      <formula>0</formula>
    </cfRule>
  </conditionalFormatting>
  <conditionalFormatting sqref="G7:G9">
    <cfRule type="cellIs" dxfId="853" priority="42" stopIfTrue="1" operator="lessThan">
      <formula>0</formula>
    </cfRule>
  </conditionalFormatting>
  <conditionalFormatting sqref="C22">
    <cfRule type="cellIs" dxfId="852" priority="37" stopIfTrue="1" operator="lessThan">
      <formula>0</formula>
    </cfRule>
  </conditionalFormatting>
  <conditionalFormatting sqref="C25:C28">
    <cfRule type="cellIs" dxfId="851" priority="36" stopIfTrue="1" operator="lessThan">
      <formula>0</formula>
    </cfRule>
  </conditionalFormatting>
  <conditionalFormatting sqref="G14:G18">
    <cfRule type="cellIs" dxfId="850" priority="43" stopIfTrue="1" operator="lessThan">
      <formula>0</formula>
    </cfRule>
  </conditionalFormatting>
  <conditionalFormatting sqref="G7">
    <cfRule type="cellIs" dxfId="849" priority="41" stopIfTrue="1" operator="lessThan">
      <formula>0</formula>
    </cfRule>
  </conditionalFormatting>
  <conditionalFormatting sqref="G10:G13">
    <cfRule type="cellIs" dxfId="848" priority="40" stopIfTrue="1" operator="lessThan">
      <formula>0</formula>
    </cfRule>
  </conditionalFormatting>
  <conditionalFormatting sqref="C22:C24">
    <cfRule type="cellIs" dxfId="847" priority="38" stopIfTrue="1" operator="lessThan">
      <formula>0</formula>
    </cfRule>
  </conditionalFormatting>
  <conditionalFormatting sqref="G22">
    <cfRule type="cellIs" dxfId="846" priority="33" stopIfTrue="1" operator="lessThan">
      <formula>0</formula>
    </cfRule>
  </conditionalFormatting>
  <conditionalFormatting sqref="G29:G33">
    <cfRule type="cellIs" dxfId="845" priority="35" stopIfTrue="1" operator="lessThan">
      <formula>0</formula>
    </cfRule>
  </conditionalFormatting>
  <conditionalFormatting sqref="G22:G24">
    <cfRule type="cellIs" dxfId="844" priority="34" stopIfTrue="1" operator="lessThan">
      <formula>0</formula>
    </cfRule>
  </conditionalFormatting>
  <conditionalFormatting sqref="G25:G28">
    <cfRule type="cellIs" dxfId="843" priority="32" stopIfTrue="1" operator="lessThan">
      <formula>0</formula>
    </cfRule>
  </conditionalFormatting>
  <conditionalFormatting sqref="C40:C43">
    <cfRule type="cellIs" dxfId="842" priority="28" stopIfTrue="1" operator="lessThan">
      <formula>0</formula>
    </cfRule>
  </conditionalFormatting>
  <conditionalFormatting sqref="G44:G48">
    <cfRule type="cellIs" dxfId="841" priority="27" stopIfTrue="1" operator="lessThan">
      <formula>0</formula>
    </cfRule>
  </conditionalFormatting>
  <conditionalFormatting sqref="G37">
    <cfRule type="cellIs" dxfId="840" priority="25" stopIfTrue="1" operator="lessThan">
      <formula>0</formula>
    </cfRule>
  </conditionalFormatting>
  <conditionalFormatting sqref="C44:C48">
    <cfRule type="cellIs" dxfId="839" priority="31" stopIfTrue="1" operator="lessThan">
      <formula>0</formula>
    </cfRule>
  </conditionalFormatting>
  <conditionalFormatting sqref="C37:C39">
    <cfRule type="cellIs" dxfId="838" priority="30" stopIfTrue="1" operator="lessThan">
      <formula>0</formula>
    </cfRule>
  </conditionalFormatting>
  <conditionalFormatting sqref="C37">
    <cfRule type="cellIs" dxfId="837" priority="29" stopIfTrue="1" operator="lessThan">
      <formula>0</formula>
    </cfRule>
  </conditionalFormatting>
  <conditionalFormatting sqref="C56:C59">
    <cfRule type="cellIs" dxfId="836" priority="20" stopIfTrue="1" operator="lessThan">
      <formula>0</formula>
    </cfRule>
  </conditionalFormatting>
  <conditionalFormatting sqref="G60:G63">
    <cfRule type="cellIs" dxfId="835" priority="19" stopIfTrue="1" operator="lessThan">
      <formula>0</formula>
    </cfRule>
  </conditionalFormatting>
  <conditionalFormatting sqref="G37:G39">
    <cfRule type="cellIs" dxfId="834" priority="26" stopIfTrue="1" operator="lessThan">
      <formula>0</formula>
    </cfRule>
  </conditionalFormatting>
  <conditionalFormatting sqref="G53">
    <cfRule type="cellIs" dxfId="833" priority="17" stopIfTrue="1" operator="lessThan">
      <formula>0</formula>
    </cfRule>
  </conditionalFormatting>
  <conditionalFormatting sqref="G40:G43">
    <cfRule type="cellIs" dxfId="832" priority="24" stopIfTrue="1" operator="lessThan">
      <formula>0</formula>
    </cfRule>
  </conditionalFormatting>
  <conditionalFormatting sqref="C60:C64">
    <cfRule type="cellIs" dxfId="831" priority="23" stopIfTrue="1" operator="lessThan">
      <formula>0</formula>
    </cfRule>
  </conditionalFormatting>
  <conditionalFormatting sqref="C53:C55">
    <cfRule type="cellIs" dxfId="830" priority="22" stopIfTrue="1" operator="lessThan">
      <formula>0</formula>
    </cfRule>
  </conditionalFormatting>
  <conditionalFormatting sqref="C53">
    <cfRule type="cellIs" dxfId="829" priority="21" stopIfTrue="1" operator="lessThan">
      <formula>0</formula>
    </cfRule>
  </conditionalFormatting>
  <conditionalFormatting sqref="G53:G55">
    <cfRule type="cellIs" dxfId="828" priority="18" stopIfTrue="1" operator="lessThan">
      <formula>0</formula>
    </cfRule>
  </conditionalFormatting>
  <conditionalFormatting sqref="G56:G59">
    <cfRule type="cellIs" dxfId="827" priority="16" stopIfTrue="1" operator="lessThan">
      <formula>0</formula>
    </cfRule>
  </conditionalFormatting>
  <conditionalFormatting sqref="C75:C78">
    <cfRule type="cellIs" dxfId="826" priority="15" stopIfTrue="1" operator="lessThan">
      <formula>0</formula>
    </cfRule>
  </conditionalFormatting>
  <conditionalFormatting sqref="C68:C70">
    <cfRule type="cellIs" dxfId="825" priority="14" stopIfTrue="1" operator="lessThan">
      <formula>0</formula>
    </cfRule>
  </conditionalFormatting>
  <conditionalFormatting sqref="C68">
    <cfRule type="cellIs" dxfId="824" priority="13" stopIfTrue="1" operator="lessThan">
      <formula>0</formula>
    </cfRule>
  </conditionalFormatting>
  <conditionalFormatting sqref="C71:C74">
    <cfRule type="cellIs" dxfId="823" priority="12" stopIfTrue="1" operator="lessThan">
      <formula>0</formula>
    </cfRule>
  </conditionalFormatting>
  <conditionalFormatting sqref="G75:G79">
    <cfRule type="cellIs" dxfId="822" priority="11" stopIfTrue="1" operator="lessThan">
      <formula>0</formula>
    </cfRule>
  </conditionalFormatting>
  <conditionalFormatting sqref="G68:G70">
    <cfRule type="cellIs" dxfId="821" priority="10" stopIfTrue="1" operator="lessThan">
      <formula>0</formula>
    </cfRule>
  </conditionalFormatting>
  <conditionalFormatting sqref="G68">
    <cfRule type="cellIs" dxfId="820" priority="9" stopIfTrue="1" operator="lessThan">
      <formula>0</formula>
    </cfRule>
  </conditionalFormatting>
  <conditionalFormatting sqref="G71:G74">
    <cfRule type="cellIs" dxfId="819" priority="8" stopIfTrue="1" operator="lessThan">
      <formula>0</formula>
    </cfRule>
  </conditionalFormatting>
  <conditionalFormatting sqref="G64">
    <cfRule type="cellIs" dxfId="818" priority="7" stopIfTrue="1" operator="lessThan">
      <formula>0</formula>
    </cfRule>
  </conditionalFormatting>
  <conditionalFormatting sqref="C79">
    <cfRule type="cellIs" dxfId="817" priority="6" stopIfTrue="1" operator="lessThan">
      <formula>0</formula>
    </cfRule>
  </conditionalFormatting>
  <conditionalFormatting sqref="C90:C93">
    <cfRule type="cellIs" dxfId="816" priority="5" stopIfTrue="1" operator="lessThan">
      <formula>0</formula>
    </cfRule>
  </conditionalFormatting>
  <conditionalFormatting sqref="C83:C85">
    <cfRule type="cellIs" dxfId="815" priority="4" stopIfTrue="1" operator="lessThan">
      <formula>0</formula>
    </cfRule>
  </conditionalFormatting>
  <conditionalFormatting sqref="C83">
    <cfRule type="cellIs" dxfId="814" priority="3" stopIfTrue="1" operator="lessThan">
      <formula>0</formula>
    </cfRule>
  </conditionalFormatting>
  <conditionalFormatting sqref="C86:C89">
    <cfRule type="cellIs" dxfId="813" priority="2" stopIfTrue="1" operator="lessThan">
      <formula>0</formula>
    </cfRule>
  </conditionalFormatting>
  <conditionalFormatting sqref="C94">
    <cfRule type="cellIs" dxfId="812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43102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x14ac:dyDescent="0.2">
      <c r="B7" s="199" t="s">
        <v>5</v>
      </c>
      <c r="C7" s="66">
        <v>3938777</v>
      </c>
      <c r="D7" s="67">
        <f>+IF(C7/$F$120=0,"",C7/$F$120)</f>
        <v>8.2047939049285619E-5</v>
      </c>
      <c r="E7" s="68"/>
      <c r="F7" s="199" t="s">
        <v>5</v>
      </c>
      <c r="G7" s="66">
        <v>689865</v>
      </c>
      <c r="H7" s="200">
        <f>+IF(G7/$C$122=0,"",G7/$C$122)</f>
        <v>1.0637667033338107E-4</v>
      </c>
      <c r="I7" s="70"/>
    </row>
    <row r="8" spans="1:10" x14ac:dyDescent="0.2">
      <c r="B8" s="199" t="s">
        <v>6</v>
      </c>
      <c r="C8" s="66"/>
      <c r="D8" s="67" t="str">
        <f>+IF(C8/$F$120=0,"",C8/$F$120)</f>
        <v/>
      </c>
      <c r="E8" s="68"/>
      <c r="F8" s="199" t="s">
        <v>6</v>
      </c>
      <c r="G8" s="66">
        <v>37594</v>
      </c>
      <c r="H8" s="200">
        <f>+IF(G8/$C$122=0,"",G8/$C$122)</f>
        <v>5.796966862376158E-6</v>
      </c>
    </row>
    <row r="9" spans="1:10" x14ac:dyDescent="0.2">
      <c r="B9" s="199" t="s">
        <v>7</v>
      </c>
      <c r="C9" s="71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x14ac:dyDescent="0.2">
      <c r="B10" s="199" t="s">
        <v>8</v>
      </c>
      <c r="C10" s="66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x14ac:dyDescent="0.2">
      <c r="B11" s="199" t="s">
        <v>9</v>
      </c>
      <c r="C11" s="66"/>
      <c r="D11" s="67" t="str">
        <f t="shared" ref="D11:D14" si="1">+IF(C11/$F$120=0,"",C11/$F$120)</f>
        <v/>
      </c>
      <c r="E11" s="68"/>
      <c r="F11" s="199" t="s">
        <v>9</v>
      </c>
      <c r="G11" s="66">
        <v>-90737</v>
      </c>
      <c r="H11" s="200">
        <f t="shared" si="0"/>
        <v>-1.3991577969660728E-5</v>
      </c>
    </row>
    <row r="12" spans="1:10" x14ac:dyDescent="0.2">
      <c r="B12" s="199" t="s">
        <v>10</v>
      </c>
      <c r="C12" s="66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x14ac:dyDescent="0.2">
      <c r="B13" s="199" t="s">
        <v>11</v>
      </c>
      <c r="C13" s="66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x14ac:dyDescent="0.2">
      <c r="B14" s="199" t="s">
        <v>12</v>
      </c>
      <c r="C14" s="72"/>
      <c r="D14" s="67" t="str">
        <f t="shared" si="1"/>
        <v/>
      </c>
      <c r="E14" s="68"/>
      <c r="F14" s="199" t="s">
        <v>12</v>
      </c>
      <c r="G14" s="72">
        <v>6899872</v>
      </c>
      <c r="H14" s="200">
        <f t="shared" si="0"/>
        <v>1.063955134825693E-3</v>
      </c>
      <c r="J14" s="74"/>
    </row>
    <row r="15" spans="1:10" x14ac:dyDescent="0.2">
      <c r="B15" s="199" t="s">
        <v>13</v>
      </c>
      <c r="C15" s="72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x14ac:dyDescent="0.2">
      <c r="B16" s="199" t="s">
        <v>14</v>
      </c>
      <c r="C16" s="66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x14ac:dyDescent="0.2">
      <c r="B17" s="199" t="s">
        <v>15</v>
      </c>
      <c r="C17" s="72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x14ac:dyDescent="0.2">
      <c r="B18" s="199" t="s">
        <v>16</v>
      </c>
      <c r="C18" s="72">
        <v>-157885</v>
      </c>
      <c r="D18" s="67">
        <f>+IF(C18/$F$120=0,"",C18/$F$120)</f>
        <v>-3.2888733880583894E-6</v>
      </c>
      <c r="E18" s="75"/>
      <c r="F18" s="199" t="s">
        <v>16</v>
      </c>
      <c r="G18" s="72">
        <v>-35472</v>
      </c>
      <c r="H18" s="200">
        <f t="shared" si="0"/>
        <v>-5.4697560393202928E-6</v>
      </c>
    </row>
    <row r="19" spans="2:9" s="80" customFormat="1" x14ac:dyDescent="0.2">
      <c r="B19" s="201" t="s">
        <v>17</v>
      </c>
      <c r="C19" s="77">
        <f>SUM(C7:C18)</f>
        <v>3780892</v>
      </c>
      <c r="D19" s="78">
        <f>SUM(D7:D18)</f>
        <v>7.8759065661227224E-5</v>
      </c>
      <c r="E19" s="79"/>
      <c r="F19" s="201" t="s">
        <v>17</v>
      </c>
      <c r="G19" s="77">
        <f>SUM(G7:G18)</f>
        <v>7501122</v>
      </c>
      <c r="H19" s="78">
        <f>SUM(H7:H18)</f>
        <v>1.1566674380124693E-3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2852.3024</v>
      </c>
      <c r="D22" s="200">
        <f>+IF(C22/$F$121=0,"",C22/$F$121)</f>
        <v>7.4110815222168519E-5</v>
      </c>
      <c r="E22" s="75"/>
      <c r="F22" s="199" t="s">
        <v>5</v>
      </c>
      <c r="G22" s="66">
        <v>2389977</v>
      </c>
      <c r="H22" s="200">
        <f t="shared" ref="H22:H33" si="2">+IF(G22/$C$115=0,"",G22/$C$115)</f>
        <v>8.1779102434177179E-5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221391</v>
      </c>
      <c r="H23" s="200">
        <f t="shared" si="2"/>
        <v>7.5754525114697424E-6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-34574.280012104755</v>
      </c>
      <c r="D26" s="200">
        <f>+IF(C26/$F$121=0,"",C26/$F$121)</f>
        <v>-8.9833675328976695E-4</v>
      </c>
      <c r="E26" s="75"/>
      <c r="F26" s="199" t="s">
        <v>9</v>
      </c>
      <c r="G26" s="66">
        <v>13081</v>
      </c>
      <c r="H26" s="200">
        <f t="shared" si="2"/>
        <v>4.4759947017961751E-7</v>
      </c>
      <c r="I26" s="114"/>
    </row>
    <row r="27" spans="2:9" x14ac:dyDescent="0.2">
      <c r="B27" s="199" t="s">
        <v>10</v>
      </c>
      <c r="C27" s="71">
        <v>-157527.32042275264</v>
      </c>
      <c r="D27" s="200">
        <f t="shared" ref="D27:D33" si="3">+IF(C27/$F$121=0,"",C27/$F$121)</f>
        <v>-4.093001547204096E-3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6810861</v>
      </c>
      <c r="H29" s="200">
        <f t="shared" si="2"/>
        <v>2.3305081989656907E-4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191110.16940000001</v>
      </c>
      <c r="D31" s="200">
        <f t="shared" si="3"/>
        <v>4.9655781418831068E-3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-210.88</v>
      </c>
      <c r="D33" s="200">
        <f t="shared" si="3"/>
        <v>-5.4792537825059849E-6</v>
      </c>
      <c r="E33" s="75"/>
      <c r="F33" s="199" t="s">
        <v>16</v>
      </c>
      <c r="G33" s="72">
        <v>-160160</v>
      </c>
      <c r="H33" s="200">
        <f t="shared" si="2"/>
        <v>-5.480279118107755E-6</v>
      </c>
    </row>
    <row r="34" spans="1:13" s="80" customFormat="1" x14ac:dyDescent="0.2">
      <c r="B34" s="201" t="s">
        <v>17</v>
      </c>
      <c r="C34" s="203">
        <f>SUM(C22:C33)</f>
        <v>1649.9913651426077</v>
      </c>
      <c r="D34" s="78">
        <f>SUM(D22:D33)</f>
        <v>4.2871402828906784E-5</v>
      </c>
      <c r="E34" s="79"/>
      <c r="F34" s="201" t="s">
        <v>17</v>
      </c>
      <c r="G34" s="203">
        <f>SUM(G22:G33)</f>
        <v>9275150</v>
      </c>
      <c r="H34" s="78">
        <f>SUM(H22:H33)</f>
        <v>3.1737269519428789E-4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4772022</v>
      </c>
      <c r="D37" s="200">
        <f t="shared" ref="D37:D48" si="4">+IF(C37/$C$123=0,"",C37/$C$123)</f>
        <v>5.8956204110292554E-5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1132140</v>
      </c>
      <c r="D38" s="200">
        <f t="shared" si="4"/>
        <v>1.3987084913151409E-5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>
        <v>2899</v>
      </c>
      <c r="D41" s="200">
        <f t="shared" si="4"/>
        <v>3.5815852423928079E-8</v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28742377</v>
      </c>
      <c r="D44" s="200">
        <f t="shared" si="4"/>
        <v>3.5509925248185741E-4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2133382</v>
      </c>
      <c r="D45" s="200">
        <f t="shared" si="4"/>
        <v>2.6356983399746302E-5</v>
      </c>
      <c r="E45" s="68"/>
      <c r="F45" s="199" t="s">
        <v>13</v>
      </c>
      <c r="G45" s="72">
        <v>36608879</v>
      </c>
      <c r="H45" s="200">
        <f t="shared" si="5"/>
        <v>7.3293046200186632E-3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-62236</v>
      </c>
      <c r="D47" s="200">
        <f t="shared" si="4"/>
        <v>-7.6889803085739492E-7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-181501</v>
      </c>
      <c r="D48" s="200">
        <f t="shared" si="4"/>
        <v>-2.242363929215374E-6</v>
      </c>
      <c r="E48" s="68"/>
      <c r="F48" s="199" t="s">
        <v>16</v>
      </c>
      <c r="G48" s="72">
        <v>-16032</v>
      </c>
      <c r="H48" s="200">
        <f t="shared" si="5"/>
        <v>-3.209697070159925E-6</v>
      </c>
    </row>
    <row r="49" spans="2:10" s="80" customFormat="1" x14ac:dyDescent="0.2">
      <c r="B49" s="201" t="s">
        <v>17</v>
      </c>
      <c r="C49" s="77">
        <f>SUM(C37:C48)</f>
        <v>36539083</v>
      </c>
      <c r="D49" s="78">
        <f>SUM(D37:D48)</f>
        <v>4.514240787973988E-4</v>
      </c>
      <c r="E49" s="79"/>
      <c r="F49" s="201" t="s">
        <v>17</v>
      </c>
      <c r="G49" s="77">
        <f>SUM(G37:G48)</f>
        <v>36592847</v>
      </c>
      <c r="H49" s="78">
        <f>SUM(H37:H48)</f>
        <v>7.3260949229485032E-3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14167.3359</v>
      </c>
      <c r="H53" s="200">
        <f t="shared" ref="H53:H64" si="7">+IF(G53/$C$124=0,"",G53/$C$124)</f>
        <v>1.314196039063564E-4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-79063.66</v>
      </c>
      <c r="H60" s="200">
        <f t="shared" si="7"/>
        <v>-7.3341346276591319E-4</v>
      </c>
    </row>
    <row r="61" spans="2:10" x14ac:dyDescent="0.2">
      <c r="B61" s="199" t="s">
        <v>13</v>
      </c>
      <c r="C61" s="72">
        <v>174485729</v>
      </c>
      <c r="D61" s="200">
        <f t="shared" si="6"/>
        <v>7.7923641489386119E-3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-54455</v>
      </c>
      <c r="D64" s="200">
        <f t="shared" si="6"/>
        <v>-2.4319077105179879E-6</v>
      </c>
      <c r="E64" s="68"/>
      <c r="F64" s="199" t="s">
        <v>16</v>
      </c>
      <c r="G64" s="92">
        <v>-109.36</v>
      </c>
      <c r="H64" s="200">
        <f t="shared" si="7"/>
        <v>-1.0144495750396612E-6</v>
      </c>
    </row>
    <row r="65" spans="2:8" s="80" customFormat="1" x14ac:dyDescent="0.2">
      <c r="B65" s="201" t="s">
        <v>17</v>
      </c>
      <c r="C65" s="77">
        <f>SUM(C53:C64)</f>
        <v>174431274</v>
      </c>
      <c r="D65" s="78">
        <f>SUM(D53:D64)</f>
        <v>7.7899322412280942E-3</v>
      </c>
      <c r="E65" s="79"/>
      <c r="F65" s="201" t="s">
        <v>17</v>
      </c>
      <c r="G65" s="203">
        <f>SUM(G53:G64)</f>
        <v>-65005.684100000006</v>
      </c>
      <c r="H65" s="78">
        <f>SUM(H53:H64)</f>
        <v>-6.0300830843459648E-4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-7209678</v>
      </c>
      <c r="D72" s="200">
        <f t="shared" si="8"/>
        <v>-5.3518235903604096E-4</v>
      </c>
      <c r="E72" s="68"/>
      <c r="F72" s="199" t="s">
        <v>9</v>
      </c>
      <c r="G72" s="66">
        <v>-3222</v>
      </c>
      <c r="H72" s="200">
        <f t="shared" si="9"/>
        <v>-5.786215372080955E-7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106726370</v>
      </c>
      <c r="D76" s="200">
        <f t="shared" si="8"/>
        <v>7.9224162948682789E-3</v>
      </c>
      <c r="E76" s="68"/>
      <c r="F76" s="199" t="s">
        <v>13</v>
      </c>
      <c r="G76" s="72">
        <v>4366526</v>
      </c>
      <c r="H76" s="200">
        <f t="shared" si="9"/>
        <v>7.8416076548079344E-4</v>
      </c>
    </row>
    <row r="77" spans="2:8" x14ac:dyDescent="0.2">
      <c r="B77" s="199" t="s">
        <v>14</v>
      </c>
      <c r="C77" s="66">
        <v>-112085597</v>
      </c>
      <c r="D77" s="200">
        <f t="shared" si="8"/>
        <v>-8.320237632862798E-3</v>
      </c>
      <c r="E77" s="68"/>
      <c r="F77" s="199" t="s">
        <v>14</v>
      </c>
      <c r="G77" s="66">
        <v>-54969659</v>
      </c>
      <c r="H77" s="200">
        <f t="shared" si="9"/>
        <v>-9.8717034731175737E-3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-21150</v>
      </c>
      <c r="D79" s="200">
        <f t="shared" si="8"/>
        <v>-1.5699878543275116E-6</v>
      </c>
      <c r="E79" s="68"/>
      <c r="F79" s="199" t="s">
        <v>16</v>
      </c>
      <c r="G79" s="72">
        <v>-16069</v>
      </c>
      <c r="H79" s="200">
        <f t="shared" si="9"/>
        <v>-2.8857447180002753E-6</v>
      </c>
    </row>
    <row r="80" spans="2:8" s="80" customFormat="1" x14ac:dyDescent="0.2">
      <c r="B80" s="201" t="s">
        <v>17</v>
      </c>
      <c r="C80" s="77">
        <f>SUM(C68:C79)</f>
        <v>-12590055</v>
      </c>
      <c r="D80" s="78">
        <f>SUM(D68:D79)</f>
        <v>-9.3457368488488748E-4</v>
      </c>
      <c r="E80" s="79"/>
      <c r="F80" s="201" t="s">
        <v>17</v>
      </c>
      <c r="G80" s="77">
        <f>SUM(G68:G79)</f>
        <v>-50622424</v>
      </c>
      <c r="H80" s="78">
        <f>SUM(H68:H79)</f>
        <v>-9.0910070738919879E-3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-51209.236793575605</v>
      </c>
      <c r="D87" s="200">
        <f t="shared" si="10"/>
        <v>-1.4073715324932146E-3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49010.480499999998</v>
      </c>
      <c r="D90" s="200">
        <f t="shared" si="10"/>
        <v>1.3469436251814459E-3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500010.42019999999</v>
      </c>
      <c r="D92" s="200">
        <f t="shared" si="10"/>
        <v>1.3741669968175198E-2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497811.66390642436</v>
      </c>
      <c r="D95" s="209">
        <f>SUM(D83:D94)</f>
        <v>1.3681242060863429E-2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29224788838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22391885911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13471441796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4994863892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5568406623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47003170886</v>
      </c>
      <c r="D120" s="193">
        <v>1002629694</v>
      </c>
      <c r="F120" s="204">
        <f>+C120+D120</f>
        <v>48005800580</v>
      </c>
      <c r="G120" s="197"/>
      <c r="H120" s="197"/>
    </row>
    <row r="121" spans="1:13" x14ac:dyDescent="0.2">
      <c r="B121" s="189" t="s">
        <v>18</v>
      </c>
      <c r="C121" s="192">
        <v>38486991.32</v>
      </c>
      <c r="D121" s="193">
        <v>1.32</v>
      </c>
      <c r="F121" s="204">
        <f>+C121+D121</f>
        <v>38486992.640000001</v>
      </c>
      <c r="H121" s="75"/>
    </row>
    <row r="122" spans="1:13" x14ac:dyDescent="0.2">
      <c r="B122" s="189" t="s">
        <v>4</v>
      </c>
      <c r="C122" s="190">
        <v>6485115560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80941812181</v>
      </c>
      <c r="D123" s="205"/>
      <c r="F123" s="204"/>
      <c r="H123" s="75"/>
    </row>
    <row r="124" spans="1:13" x14ac:dyDescent="0.2">
      <c r="B124" s="189" t="s">
        <v>25</v>
      </c>
      <c r="C124" s="192">
        <v>107802302.54000001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36386437.846200004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811" priority="48" stopIfTrue="1" operator="lessThan">
      <formula>0</formula>
    </cfRule>
  </conditionalFormatting>
  <conditionalFormatting sqref="C7:C9">
    <cfRule type="cellIs" dxfId="810" priority="47" stopIfTrue="1" operator="lessThan">
      <formula>0</formula>
    </cfRule>
  </conditionalFormatting>
  <conditionalFormatting sqref="C10:C13">
    <cfRule type="cellIs" dxfId="809" priority="45" stopIfTrue="1" operator="lessThan">
      <formula>0</formula>
    </cfRule>
  </conditionalFormatting>
  <conditionalFormatting sqref="C104">
    <cfRule type="cellIs" dxfId="808" priority="44" stopIfTrue="1" operator="lessThan">
      <formula>0</formula>
    </cfRule>
  </conditionalFormatting>
  <conditionalFormatting sqref="C7">
    <cfRule type="cellIs" dxfId="807" priority="46" stopIfTrue="1" operator="lessThan">
      <formula>0</formula>
    </cfRule>
  </conditionalFormatting>
  <conditionalFormatting sqref="C29:C33">
    <cfRule type="cellIs" dxfId="806" priority="39" stopIfTrue="1" operator="lessThan">
      <formula>0</formula>
    </cfRule>
  </conditionalFormatting>
  <conditionalFormatting sqref="G7:G9">
    <cfRule type="cellIs" dxfId="805" priority="42" stopIfTrue="1" operator="lessThan">
      <formula>0</formula>
    </cfRule>
  </conditionalFormatting>
  <conditionalFormatting sqref="C22">
    <cfRule type="cellIs" dxfId="804" priority="37" stopIfTrue="1" operator="lessThan">
      <formula>0</formula>
    </cfRule>
  </conditionalFormatting>
  <conditionalFormatting sqref="C25:C28">
    <cfRule type="cellIs" dxfId="803" priority="36" stopIfTrue="1" operator="lessThan">
      <formula>0</formula>
    </cfRule>
  </conditionalFormatting>
  <conditionalFormatting sqref="G14:G18">
    <cfRule type="cellIs" dxfId="802" priority="43" stopIfTrue="1" operator="lessThan">
      <formula>0</formula>
    </cfRule>
  </conditionalFormatting>
  <conditionalFormatting sqref="G7">
    <cfRule type="cellIs" dxfId="801" priority="41" stopIfTrue="1" operator="lessThan">
      <formula>0</formula>
    </cfRule>
  </conditionalFormatting>
  <conditionalFormatting sqref="G10:G13">
    <cfRule type="cellIs" dxfId="800" priority="40" stopIfTrue="1" operator="lessThan">
      <formula>0</formula>
    </cfRule>
  </conditionalFormatting>
  <conditionalFormatting sqref="C22:C24">
    <cfRule type="cellIs" dxfId="799" priority="38" stopIfTrue="1" operator="lessThan">
      <formula>0</formula>
    </cfRule>
  </conditionalFormatting>
  <conditionalFormatting sqref="G22">
    <cfRule type="cellIs" dxfId="798" priority="33" stopIfTrue="1" operator="lessThan">
      <formula>0</formula>
    </cfRule>
  </conditionalFormatting>
  <conditionalFormatting sqref="G29:G33">
    <cfRule type="cellIs" dxfId="797" priority="35" stopIfTrue="1" operator="lessThan">
      <formula>0</formula>
    </cfRule>
  </conditionalFormatting>
  <conditionalFormatting sqref="G22:G24">
    <cfRule type="cellIs" dxfId="796" priority="34" stopIfTrue="1" operator="lessThan">
      <formula>0</formula>
    </cfRule>
  </conditionalFormatting>
  <conditionalFormatting sqref="G25:G28">
    <cfRule type="cellIs" dxfId="795" priority="32" stopIfTrue="1" operator="lessThan">
      <formula>0</formula>
    </cfRule>
  </conditionalFormatting>
  <conditionalFormatting sqref="C40:C43">
    <cfRule type="cellIs" dxfId="794" priority="28" stopIfTrue="1" operator="lessThan">
      <formula>0</formula>
    </cfRule>
  </conditionalFormatting>
  <conditionalFormatting sqref="G44:G48">
    <cfRule type="cellIs" dxfId="793" priority="27" stopIfTrue="1" operator="lessThan">
      <formula>0</formula>
    </cfRule>
  </conditionalFormatting>
  <conditionalFormatting sqref="G37">
    <cfRule type="cellIs" dxfId="792" priority="25" stopIfTrue="1" operator="lessThan">
      <formula>0</formula>
    </cfRule>
  </conditionalFormatting>
  <conditionalFormatting sqref="C44:C48">
    <cfRule type="cellIs" dxfId="791" priority="31" stopIfTrue="1" operator="lessThan">
      <formula>0</formula>
    </cfRule>
  </conditionalFormatting>
  <conditionalFormatting sqref="C37:C39">
    <cfRule type="cellIs" dxfId="790" priority="30" stopIfTrue="1" operator="lessThan">
      <formula>0</formula>
    </cfRule>
  </conditionalFormatting>
  <conditionalFormatting sqref="C37">
    <cfRule type="cellIs" dxfId="789" priority="29" stopIfTrue="1" operator="lessThan">
      <formula>0</formula>
    </cfRule>
  </conditionalFormatting>
  <conditionalFormatting sqref="C56:C59">
    <cfRule type="cellIs" dxfId="788" priority="20" stopIfTrue="1" operator="lessThan">
      <formula>0</formula>
    </cfRule>
  </conditionalFormatting>
  <conditionalFormatting sqref="G60:G63">
    <cfRule type="cellIs" dxfId="787" priority="19" stopIfTrue="1" operator="lessThan">
      <formula>0</formula>
    </cfRule>
  </conditionalFormatting>
  <conditionalFormatting sqref="G37:G39">
    <cfRule type="cellIs" dxfId="786" priority="26" stopIfTrue="1" operator="lessThan">
      <formula>0</formula>
    </cfRule>
  </conditionalFormatting>
  <conditionalFormatting sqref="G53">
    <cfRule type="cellIs" dxfId="785" priority="17" stopIfTrue="1" operator="lessThan">
      <formula>0</formula>
    </cfRule>
  </conditionalFormatting>
  <conditionalFormatting sqref="G40:G43">
    <cfRule type="cellIs" dxfId="784" priority="24" stopIfTrue="1" operator="lessThan">
      <formula>0</formula>
    </cfRule>
  </conditionalFormatting>
  <conditionalFormatting sqref="C60:C64">
    <cfRule type="cellIs" dxfId="783" priority="23" stopIfTrue="1" operator="lessThan">
      <formula>0</formula>
    </cfRule>
  </conditionalFormatting>
  <conditionalFormatting sqref="C53:C55">
    <cfRule type="cellIs" dxfId="782" priority="22" stopIfTrue="1" operator="lessThan">
      <formula>0</formula>
    </cfRule>
  </conditionalFormatting>
  <conditionalFormatting sqref="C53">
    <cfRule type="cellIs" dxfId="781" priority="21" stopIfTrue="1" operator="lessThan">
      <formula>0</formula>
    </cfRule>
  </conditionalFormatting>
  <conditionalFormatting sqref="G53:G55">
    <cfRule type="cellIs" dxfId="780" priority="18" stopIfTrue="1" operator="lessThan">
      <formula>0</formula>
    </cfRule>
  </conditionalFormatting>
  <conditionalFormatting sqref="G56:G59">
    <cfRule type="cellIs" dxfId="779" priority="16" stopIfTrue="1" operator="lessThan">
      <formula>0</formula>
    </cfRule>
  </conditionalFormatting>
  <conditionalFormatting sqref="C75:C78">
    <cfRule type="cellIs" dxfId="778" priority="15" stopIfTrue="1" operator="lessThan">
      <formula>0</formula>
    </cfRule>
  </conditionalFormatting>
  <conditionalFormatting sqref="C68:C70">
    <cfRule type="cellIs" dxfId="777" priority="14" stopIfTrue="1" operator="lessThan">
      <formula>0</formula>
    </cfRule>
  </conditionalFormatting>
  <conditionalFormatting sqref="C68">
    <cfRule type="cellIs" dxfId="776" priority="13" stopIfTrue="1" operator="lessThan">
      <formula>0</formula>
    </cfRule>
  </conditionalFormatting>
  <conditionalFormatting sqref="C71:C74">
    <cfRule type="cellIs" dxfId="775" priority="12" stopIfTrue="1" operator="lessThan">
      <formula>0</formula>
    </cfRule>
  </conditionalFormatting>
  <conditionalFormatting sqref="G75:G79">
    <cfRule type="cellIs" dxfId="774" priority="11" stopIfTrue="1" operator="lessThan">
      <formula>0</formula>
    </cfRule>
  </conditionalFormatting>
  <conditionalFormatting sqref="G68:G70">
    <cfRule type="cellIs" dxfId="773" priority="10" stopIfTrue="1" operator="lessThan">
      <formula>0</formula>
    </cfRule>
  </conditionalFormatting>
  <conditionalFormatting sqref="G68">
    <cfRule type="cellIs" dxfId="772" priority="9" stopIfTrue="1" operator="lessThan">
      <formula>0</formula>
    </cfRule>
  </conditionalFormatting>
  <conditionalFormatting sqref="G71:G74">
    <cfRule type="cellIs" dxfId="771" priority="8" stopIfTrue="1" operator="lessThan">
      <formula>0</formula>
    </cfRule>
  </conditionalFormatting>
  <conditionalFormatting sqref="G64">
    <cfRule type="cellIs" dxfId="770" priority="7" stopIfTrue="1" operator="lessThan">
      <formula>0</formula>
    </cfRule>
  </conditionalFormatting>
  <conditionalFormatting sqref="C79">
    <cfRule type="cellIs" dxfId="769" priority="6" stopIfTrue="1" operator="lessThan">
      <formula>0</formula>
    </cfRule>
  </conditionalFormatting>
  <conditionalFormatting sqref="C90:C93">
    <cfRule type="cellIs" dxfId="768" priority="5" stopIfTrue="1" operator="lessThan">
      <formula>0</formula>
    </cfRule>
  </conditionalFormatting>
  <conditionalFormatting sqref="C83:C85">
    <cfRule type="cellIs" dxfId="767" priority="4" stopIfTrue="1" operator="lessThan">
      <formula>0</formula>
    </cfRule>
  </conditionalFormatting>
  <conditionalFormatting sqref="C83">
    <cfRule type="cellIs" dxfId="766" priority="3" stopIfTrue="1" operator="lessThan">
      <formula>0</formula>
    </cfRule>
  </conditionalFormatting>
  <conditionalFormatting sqref="C86:C89">
    <cfRule type="cellIs" dxfId="765" priority="2" stopIfTrue="1" operator="lessThan">
      <formula>0</formula>
    </cfRule>
  </conditionalFormatting>
  <conditionalFormatting sqref="C94">
    <cfRule type="cellIs" dxfId="764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dimension ref="A2:M130"/>
  <sheetViews>
    <sheetView zoomScale="85" zoomScaleNormal="85"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43103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5" x14ac:dyDescent="0.2">
      <c r="B7" s="199" t="s">
        <v>5</v>
      </c>
      <c r="C7" s="214">
        <v>4019910</v>
      </c>
      <c r="D7" s="67">
        <f>+IF(C7/$F$120=0,"",C7/$F$120)</f>
        <v>8.2198605652176917E-5</v>
      </c>
      <c r="E7" s="68"/>
      <c r="F7" s="199" t="s">
        <v>5</v>
      </c>
      <c r="G7" s="66">
        <v>610320</v>
      </c>
      <c r="H7" s="200">
        <f>+IF(G7/$C$122=0,"",G7/$C$122)</f>
        <v>9.4968350244351238E-5</v>
      </c>
      <c r="I7" s="70"/>
    </row>
    <row r="8" spans="1:10" ht="15" x14ac:dyDescent="0.2">
      <c r="B8" s="199" t="s">
        <v>6</v>
      </c>
      <c r="C8" s="214"/>
      <c r="D8" s="67" t="str">
        <f>+IF(C8/$F$120=0,"",C8/$F$120)</f>
        <v/>
      </c>
      <c r="E8" s="68"/>
      <c r="F8" s="199" t="s">
        <v>6</v>
      </c>
      <c r="G8" s="66">
        <v>35069</v>
      </c>
      <c r="H8" s="200">
        <f>+IF(G8/$C$122=0,"",G8/$C$122)</f>
        <v>5.4568833967740752E-6</v>
      </c>
    </row>
    <row r="9" spans="1:10" ht="15" x14ac:dyDescent="0.2">
      <c r="B9" s="199" t="s">
        <v>7</v>
      </c>
      <c r="C9" s="214"/>
      <c r="D9" s="67" t="str">
        <f>+IF(C9/$F$120=0,"",C9/$F$120)</f>
        <v/>
      </c>
      <c r="E9" s="68"/>
      <c r="F9" s="199" t="s">
        <v>7</v>
      </c>
      <c r="G9" s="66">
        <v>7114</v>
      </c>
      <c r="H9" s="200">
        <f t="shared" ref="H9:H18" si="0">+IF(G9/$C$122=0,"",G9/$C$122)</f>
        <v>1.1069682193575743E-6</v>
      </c>
    </row>
    <row r="10" spans="1:10" ht="15" x14ac:dyDescent="0.2">
      <c r="B10" s="199" t="s">
        <v>8</v>
      </c>
      <c r="C10" s="214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5" x14ac:dyDescent="0.2">
      <c r="B11" s="199" t="s">
        <v>9</v>
      </c>
      <c r="C11" s="214"/>
      <c r="D11" s="67" t="str">
        <f t="shared" ref="D11:D14" si="1">+IF(C11/$F$120=0,"",C11/$F$120)</f>
        <v/>
      </c>
      <c r="E11" s="68"/>
      <c r="F11" s="199" t="s">
        <v>9</v>
      </c>
      <c r="G11" s="66">
        <v>-92801</v>
      </c>
      <c r="H11" s="200">
        <f t="shared" si="0"/>
        <v>-1.4440224588782998E-5</v>
      </c>
    </row>
    <row r="12" spans="1:10" ht="15" x14ac:dyDescent="0.2">
      <c r="B12" s="199" t="s">
        <v>10</v>
      </c>
      <c r="C12" s="214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ht="15" x14ac:dyDescent="0.2">
      <c r="B13" s="199" t="s">
        <v>11</v>
      </c>
      <c r="C13" s="214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5" x14ac:dyDescent="0.2">
      <c r="B14" s="199" t="s">
        <v>12</v>
      </c>
      <c r="C14" s="215"/>
      <c r="D14" s="67" t="str">
        <f t="shared" si="1"/>
        <v/>
      </c>
      <c r="E14" s="68"/>
      <c r="F14" s="199" t="s">
        <v>12</v>
      </c>
      <c r="G14" s="72">
        <v>6320287</v>
      </c>
      <c r="H14" s="200">
        <f t="shared" si="0"/>
        <v>9.8346314959499932E-4</v>
      </c>
      <c r="J14" s="74"/>
    </row>
    <row r="15" spans="1:10" ht="15" x14ac:dyDescent="0.2">
      <c r="B15" s="199" t="s">
        <v>13</v>
      </c>
      <c r="C15" s="214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5" x14ac:dyDescent="0.2">
      <c r="B16" s="199" t="s">
        <v>14</v>
      </c>
      <c r="C16" s="214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5" x14ac:dyDescent="0.2">
      <c r="B17" s="199" t="s">
        <v>15</v>
      </c>
      <c r="C17" s="214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5" x14ac:dyDescent="0.2">
      <c r="B18" s="199" t="s">
        <v>16</v>
      </c>
      <c r="C18" s="214">
        <v>-198769</v>
      </c>
      <c r="D18" s="67">
        <f>+IF(C18/$F$120=0,"",C18/$F$120)</f>
        <v>-4.0644030953124699E-6</v>
      </c>
      <c r="E18" s="75"/>
      <c r="F18" s="199" t="s">
        <v>16</v>
      </c>
      <c r="G18" s="72">
        <v>-25878</v>
      </c>
      <c r="H18" s="200">
        <f t="shared" si="0"/>
        <v>-4.0267252713712831E-6</v>
      </c>
    </row>
    <row r="19" spans="2:9" s="80" customFormat="1" x14ac:dyDescent="0.2">
      <c r="B19" s="201" t="s">
        <v>17</v>
      </c>
      <c r="C19" s="77">
        <f>SUM(C7:C18)</f>
        <v>3821141</v>
      </c>
      <c r="D19" s="78">
        <f>SUM(D7:D18)</f>
        <v>7.8134202556864451E-5</v>
      </c>
      <c r="E19" s="79"/>
      <c r="F19" s="201" t="s">
        <v>17</v>
      </c>
      <c r="G19" s="77">
        <f>SUM(G7:G18)</f>
        <v>6854111</v>
      </c>
      <c r="H19" s="78">
        <f>SUM(H7:H18)</f>
        <v>1.0665284015953279E-3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2781.6669999999999</v>
      </c>
      <c r="D22" s="200">
        <f>+IF(C22/$F$121=0,"",C22/$F$121)</f>
        <v>7.2371739749866061E-5</v>
      </c>
      <c r="E22" s="75"/>
      <c r="F22" s="199" t="s">
        <v>5</v>
      </c>
      <c r="G22" s="66">
        <v>2473552</v>
      </c>
      <c r="H22" s="200">
        <f t="shared" ref="H22:H33" si="2">+IF(G22/$C$115=0,"",G22/$C$115)</f>
        <v>8.3760505280562898E-5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/>
      <c r="H23" s="200" t="str">
        <f t="shared" si="2"/>
        <v/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50.17751888465682</v>
      </c>
      <c r="D26" s="200">
        <f>+IF(C26/$F$121=0,"",C26/$F$121)</f>
        <v>1.305488521097016E-6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-147434.93483985975</v>
      </c>
      <c r="D27" s="200">
        <f t="shared" ref="D27:D33" si="3">+IF(C27/$F$121=0,"",C27/$F$121)</f>
        <v>-3.8358735011303621E-3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4102145</v>
      </c>
      <c r="H29" s="200">
        <f t="shared" si="2"/>
        <v>1.3890863743076139E-4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146500.99040000001</v>
      </c>
      <c r="D31" s="200">
        <f t="shared" si="3"/>
        <v>3.8115746961539351E-3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-137.26</v>
      </c>
      <c r="D33" s="200">
        <f t="shared" si="3"/>
        <v>-3.5711481633375294E-6</v>
      </c>
      <c r="E33" s="75"/>
      <c r="F33" s="199" t="s">
        <v>16</v>
      </c>
      <c r="G33" s="72">
        <v>-116826</v>
      </c>
      <c r="H33" s="200">
        <f t="shared" si="2"/>
        <v>-3.9560133726345926E-6</v>
      </c>
    </row>
    <row r="34" spans="1:13" s="80" customFormat="1" x14ac:dyDescent="0.2">
      <c r="B34" s="201" t="s">
        <v>17</v>
      </c>
      <c r="C34" s="203">
        <f>SUM(C22:C33)</f>
        <v>1760.6400790249265</v>
      </c>
      <c r="D34" s="78">
        <f>SUM(D22:D33)</f>
        <v>4.5807275131198704E-5</v>
      </c>
      <c r="E34" s="79"/>
      <c r="F34" s="201" t="s">
        <v>17</v>
      </c>
      <c r="G34" s="203">
        <f>SUM(G22:G33)</f>
        <v>6458871</v>
      </c>
      <c r="H34" s="78">
        <f>SUM(H22:H33)</f>
        <v>2.1871312933868971E-4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4284560</v>
      </c>
      <c r="D37" s="200">
        <f t="shared" ref="D37:D48" si="4">+IF(C37/$C$123=0,"",C37/$C$123)</f>
        <v>5.2469282609728908E-5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1123803</v>
      </c>
      <c r="D38" s="200">
        <f t="shared" si="4"/>
        <v>1.3762238644029068E-5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5561071</v>
      </c>
      <c r="D44" s="200">
        <f t="shared" si="4"/>
        <v>6.8101603411264576E-5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331456</v>
      </c>
      <c r="D45" s="200">
        <f t="shared" si="4"/>
        <v>4.0590535636542152E-6</v>
      </c>
      <c r="E45" s="68"/>
      <c r="F45" s="199" t="s">
        <v>13</v>
      </c>
      <c r="G45" s="72">
        <v>24680849</v>
      </c>
      <c r="H45" s="200">
        <f t="shared" si="5"/>
        <v>4.8576915000153259E-3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>
        <v>57464</v>
      </c>
      <c r="H47" s="200">
        <f t="shared" si="5"/>
        <v>1.1310080311940675E-5</v>
      </c>
    </row>
    <row r="48" spans="1:13" x14ac:dyDescent="0.2">
      <c r="B48" s="199" t="s">
        <v>16</v>
      </c>
      <c r="C48" s="72">
        <v>-259419</v>
      </c>
      <c r="D48" s="200">
        <f t="shared" si="4"/>
        <v>-3.1768790319970462E-6</v>
      </c>
      <c r="E48" s="68"/>
      <c r="F48" s="199" t="s">
        <v>16</v>
      </c>
      <c r="G48" s="72">
        <v>-41760</v>
      </c>
      <c r="H48" s="200">
        <f t="shared" si="5"/>
        <v>-8.2192147053223336E-6</v>
      </c>
    </row>
    <row r="49" spans="2:10" s="80" customFormat="1" x14ac:dyDescent="0.2">
      <c r="B49" s="201" t="s">
        <v>17</v>
      </c>
      <c r="C49" s="77">
        <f>SUM(C37:C48)</f>
        <v>11041471</v>
      </c>
      <c r="D49" s="78">
        <f>SUM(D37:D48)</f>
        <v>1.3521529919667972E-4</v>
      </c>
      <c r="E49" s="79"/>
      <c r="F49" s="201" t="s">
        <v>17</v>
      </c>
      <c r="G49" s="77">
        <f>SUM(G37:G48)</f>
        <v>24696553</v>
      </c>
      <c r="H49" s="78">
        <f>SUM(H37:H48)</f>
        <v>4.8607823656219443E-3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14167.1859</v>
      </c>
      <c r="H53" s="200">
        <f t="shared" ref="H53:H64" si="7">+IF(G53/$C$124=0,"",G53/$C$124)</f>
        <v>1.314993014782306E-4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>
        <v>1479.22</v>
      </c>
      <c r="H55" s="200">
        <f t="shared" si="7"/>
        <v>1.3730065949980107E-5</v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107089.04</v>
      </c>
      <c r="H60" s="200">
        <f t="shared" si="7"/>
        <v>9.9399655339980366E-4</v>
      </c>
    </row>
    <row r="61" spans="2:10" x14ac:dyDescent="0.2">
      <c r="B61" s="199" t="s">
        <v>13</v>
      </c>
      <c r="C61" s="72">
        <v>135658238</v>
      </c>
      <c r="D61" s="200">
        <f t="shared" si="6"/>
        <v>6.0167673801000713E-3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>
        <v>21.53</v>
      </c>
      <c r="H63" s="200">
        <f t="shared" si="7"/>
        <v>1.9984067272148276E-7</v>
      </c>
    </row>
    <row r="64" spans="2:10" x14ac:dyDescent="0.2">
      <c r="B64" s="199" t="s">
        <v>16</v>
      </c>
      <c r="C64" s="72">
        <v>-185315</v>
      </c>
      <c r="D64" s="200">
        <f t="shared" si="6"/>
        <v>-8.2191635648639698E-6</v>
      </c>
      <c r="E64" s="68"/>
      <c r="F64" s="199" t="s">
        <v>16</v>
      </c>
      <c r="G64" s="92">
        <v>-109.55</v>
      </c>
      <c r="H64" s="200">
        <f t="shared" si="7"/>
        <v>-1.0168390941309073E-6</v>
      </c>
    </row>
    <row r="65" spans="2:8" s="80" customFormat="1" x14ac:dyDescent="0.2">
      <c r="B65" s="201" t="s">
        <v>17</v>
      </c>
      <c r="C65" s="77">
        <f>SUM(C53:C64)</f>
        <v>135472923</v>
      </c>
      <c r="D65" s="78">
        <f>SUM(D53:D64)</f>
        <v>6.0085482165352071E-3</v>
      </c>
      <c r="E65" s="79"/>
      <c r="F65" s="201" t="s">
        <v>17</v>
      </c>
      <c r="G65" s="203">
        <f>SUM(G53:G64)</f>
        <v>122647.42589999999</v>
      </c>
      <c r="H65" s="78">
        <f>SUM(H53:H64)</f>
        <v>1.1384089224066049E-3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-287024</v>
      </c>
      <c r="D72" s="200">
        <f t="shared" si="8"/>
        <v>-2.1327094405468449E-5</v>
      </c>
      <c r="E72" s="68"/>
      <c r="F72" s="199" t="s">
        <v>9</v>
      </c>
      <c r="G72" s="66">
        <v>-3178799</v>
      </c>
      <c r="H72" s="200">
        <f t="shared" si="9"/>
        <v>-5.7611909901977322E-4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92603656</v>
      </c>
      <c r="D76" s="200">
        <f t="shared" si="8"/>
        <v>6.8808424166743017E-3</v>
      </c>
      <c r="E76" s="68"/>
      <c r="F76" s="199" t="s">
        <v>13</v>
      </c>
      <c r="G76" s="72">
        <v>-3280059</v>
      </c>
      <c r="H76" s="200">
        <f t="shared" si="9"/>
        <v>-5.9447125653798764E-4</v>
      </c>
    </row>
    <row r="77" spans="2:8" x14ac:dyDescent="0.2">
      <c r="B77" s="199" t="s">
        <v>14</v>
      </c>
      <c r="C77" s="66">
        <v>-99798783</v>
      </c>
      <c r="D77" s="200">
        <f t="shared" si="8"/>
        <v>-7.4154707153125171E-3</v>
      </c>
      <c r="E77" s="68"/>
      <c r="F77" s="199" t="s">
        <v>14</v>
      </c>
      <c r="G77" s="66">
        <v>-45389565</v>
      </c>
      <c r="H77" s="200">
        <f t="shared" si="9"/>
        <v>-8.2263129228049448E-3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>
        <v>-564852</v>
      </c>
      <c r="H78" s="200">
        <f t="shared" si="9"/>
        <v>-1.0237263360140637E-4</v>
      </c>
    </row>
    <row r="79" spans="2:8" x14ac:dyDescent="0.2">
      <c r="B79" s="199" t="s">
        <v>16</v>
      </c>
      <c r="C79" s="72">
        <v>-21149</v>
      </c>
      <c r="D79" s="200">
        <f t="shared" si="8"/>
        <v>-1.5714599461412712E-6</v>
      </c>
      <c r="E79" s="68"/>
      <c r="F79" s="199" t="s">
        <v>16</v>
      </c>
      <c r="G79" s="72">
        <v>-16067</v>
      </c>
      <c r="H79" s="200">
        <f t="shared" si="9"/>
        <v>-2.9119505712537022E-6</v>
      </c>
    </row>
    <row r="80" spans="2:8" s="80" customFormat="1" x14ac:dyDescent="0.2">
      <c r="B80" s="201" t="s">
        <v>17</v>
      </c>
      <c r="C80" s="77">
        <f>SUM(C68:C79)</f>
        <v>-7503300</v>
      </c>
      <c r="D80" s="78">
        <f>SUM(D68:D79)</f>
        <v>-5.5752685298982518E-4</v>
      </c>
      <c r="E80" s="79"/>
      <c r="F80" s="201" t="s">
        <v>17</v>
      </c>
      <c r="G80" s="77">
        <f>SUM(G68:G79)</f>
        <v>-52429342</v>
      </c>
      <c r="H80" s="78">
        <f>SUM(H68:H79)</f>
        <v>-9.5021878625353648E-3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-4163.6126783138461</v>
      </c>
      <c r="D87" s="200">
        <f t="shared" si="10"/>
        <v>-9.9409073814197169E-5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35917.026899999997</v>
      </c>
      <c r="D90" s="200">
        <f t="shared" si="10"/>
        <v>8.5754335336843943E-4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308657.43320000003</v>
      </c>
      <c r="D92" s="200">
        <f t="shared" si="10"/>
        <v>7.3694053532148878E-3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340410.84742168617</v>
      </c>
      <c r="D95" s="209">
        <f>SUM(D83:D94)</f>
        <v>8.1275396327691301E-3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29531244967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22546698157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13458185843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5080777361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5517607393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46740471230</v>
      </c>
      <c r="D120" s="193">
        <v>2164372935</v>
      </c>
      <c r="F120" s="204">
        <f>+C120+D120</f>
        <v>48904844165</v>
      </c>
      <c r="G120" s="197"/>
      <c r="H120" s="197"/>
    </row>
    <row r="121" spans="1:13" x14ac:dyDescent="0.2">
      <c r="B121" s="189" t="s">
        <v>18</v>
      </c>
      <c r="C121" s="192">
        <v>38398190.219999999</v>
      </c>
      <c r="D121" s="193">
        <v>37627.54</v>
      </c>
      <c r="F121" s="204">
        <f>+C121+D121</f>
        <v>38435817.759999998</v>
      </c>
      <c r="H121" s="75"/>
    </row>
    <row r="122" spans="1:13" x14ac:dyDescent="0.2">
      <c r="B122" s="189" t="s">
        <v>4</v>
      </c>
      <c r="C122" s="190">
        <v>6426562096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81658444463</v>
      </c>
      <c r="D123" s="205"/>
      <c r="F123" s="204"/>
      <c r="H123" s="75"/>
    </row>
    <row r="124" spans="1:13" x14ac:dyDescent="0.2">
      <c r="B124" s="189" t="s">
        <v>25</v>
      </c>
      <c r="C124" s="192">
        <v>107735826.28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41883628.109200001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763" priority="48" stopIfTrue="1" operator="lessThan">
      <formula>0</formula>
    </cfRule>
  </conditionalFormatting>
  <conditionalFormatting sqref="C7:C9">
    <cfRule type="cellIs" dxfId="762" priority="47" stopIfTrue="1" operator="lessThan">
      <formula>0</formula>
    </cfRule>
  </conditionalFormatting>
  <conditionalFormatting sqref="C10:C13">
    <cfRule type="cellIs" dxfId="761" priority="45" stopIfTrue="1" operator="lessThan">
      <formula>0</formula>
    </cfRule>
  </conditionalFormatting>
  <conditionalFormatting sqref="C104">
    <cfRule type="cellIs" dxfId="760" priority="44" stopIfTrue="1" operator="lessThan">
      <formula>0</formula>
    </cfRule>
  </conditionalFormatting>
  <conditionalFormatting sqref="C7">
    <cfRule type="cellIs" dxfId="759" priority="46" stopIfTrue="1" operator="lessThan">
      <formula>0</formula>
    </cfRule>
  </conditionalFormatting>
  <conditionalFormatting sqref="C29:C33">
    <cfRule type="cellIs" dxfId="758" priority="39" stopIfTrue="1" operator="lessThan">
      <formula>0</formula>
    </cfRule>
  </conditionalFormatting>
  <conditionalFormatting sqref="G7:G9">
    <cfRule type="cellIs" dxfId="757" priority="42" stopIfTrue="1" operator="lessThan">
      <formula>0</formula>
    </cfRule>
  </conditionalFormatting>
  <conditionalFormatting sqref="C22">
    <cfRule type="cellIs" dxfId="756" priority="37" stopIfTrue="1" operator="lessThan">
      <formula>0</formula>
    </cfRule>
  </conditionalFormatting>
  <conditionalFormatting sqref="C25:C28">
    <cfRule type="cellIs" dxfId="755" priority="36" stopIfTrue="1" operator="lessThan">
      <formula>0</formula>
    </cfRule>
  </conditionalFormatting>
  <conditionalFormatting sqref="G14:G18">
    <cfRule type="cellIs" dxfId="754" priority="43" stopIfTrue="1" operator="lessThan">
      <formula>0</formula>
    </cfRule>
  </conditionalFormatting>
  <conditionalFormatting sqref="G7">
    <cfRule type="cellIs" dxfId="753" priority="41" stopIfTrue="1" operator="lessThan">
      <formula>0</formula>
    </cfRule>
  </conditionalFormatting>
  <conditionalFormatting sqref="G10:G13">
    <cfRule type="cellIs" dxfId="752" priority="40" stopIfTrue="1" operator="lessThan">
      <formula>0</formula>
    </cfRule>
  </conditionalFormatting>
  <conditionalFormatting sqref="C22:C24">
    <cfRule type="cellIs" dxfId="751" priority="38" stopIfTrue="1" operator="lessThan">
      <formula>0</formula>
    </cfRule>
  </conditionalFormatting>
  <conditionalFormatting sqref="G22">
    <cfRule type="cellIs" dxfId="750" priority="33" stopIfTrue="1" operator="lessThan">
      <formula>0</formula>
    </cfRule>
  </conditionalFormatting>
  <conditionalFormatting sqref="G29:G33">
    <cfRule type="cellIs" dxfId="749" priority="35" stopIfTrue="1" operator="lessThan">
      <formula>0</formula>
    </cfRule>
  </conditionalFormatting>
  <conditionalFormatting sqref="G22:G24">
    <cfRule type="cellIs" dxfId="748" priority="34" stopIfTrue="1" operator="lessThan">
      <formula>0</formula>
    </cfRule>
  </conditionalFormatting>
  <conditionalFormatting sqref="G25:G28">
    <cfRule type="cellIs" dxfId="747" priority="32" stopIfTrue="1" operator="lessThan">
      <formula>0</formula>
    </cfRule>
  </conditionalFormatting>
  <conditionalFormatting sqref="C40:C43">
    <cfRule type="cellIs" dxfId="746" priority="28" stopIfTrue="1" operator="lessThan">
      <formula>0</formula>
    </cfRule>
  </conditionalFormatting>
  <conditionalFormatting sqref="G44:G48">
    <cfRule type="cellIs" dxfId="745" priority="27" stopIfTrue="1" operator="lessThan">
      <formula>0</formula>
    </cfRule>
  </conditionalFormatting>
  <conditionalFormatting sqref="G37">
    <cfRule type="cellIs" dxfId="744" priority="25" stopIfTrue="1" operator="lessThan">
      <formula>0</formula>
    </cfRule>
  </conditionalFormatting>
  <conditionalFormatting sqref="C44:C48">
    <cfRule type="cellIs" dxfId="743" priority="31" stopIfTrue="1" operator="lessThan">
      <formula>0</formula>
    </cfRule>
  </conditionalFormatting>
  <conditionalFormatting sqref="C37:C39">
    <cfRule type="cellIs" dxfId="742" priority="30" stopIfTrue="1" operator="lessThan">
      <formula>0</formula>
    </cfRule>
  </conditionalFormatting>
  <conditionalFormatting sqref="C37">
    <cfRule type="cellIs" dxfId="741" priority="29" stopIfTrue="1" operator="lessThan">
      <formula>0</formula>
    </cfRule>
  </conditionalFormatting>
  <conditionalFormatting sqref="C56:C59">
    <cfRule type="cellIs" dxfId="740" priority="20" stopIfTrue="1" operator="lessThan">
      <formula>0</formula>
    </cfRule>
  </conditionalFormatting>
  <conditionalFormatting sqref="G60:G63">
    <cfRule type="cellIs" dxfId="739" priority="19" stopIfTrue="1" operator="lessThan">
      <formula>0</formula>
    </cfRule>
  </conditionalFormatting>
  <conditionalFormatting sqref="G37:G39">
    <cfRule type="cellIs" dxfId="738" priority="26" stopIfTrue="1" operator="lessThan">
      <formula>0</formula>
    </cfRule>
  </conditionalFormatting>
  <conditionalFormatting sqref="G53">
    <cfRule type="cellIs" dxfId="737" priority="17" stopIfTrue="1" operator="lessThan">
      <formula>0</formula>
    </cfRule>
  </conditionalFormatting>
  <conditionalFormatting sqref="G40:G43">
    <cfRule type="cellIs" dxfId="736" priority="24" stopIfTrue="1" operator="lessThan">
      <formula>0</formula>
    </cfRule>
  </conditionalFormatting>
  <conditionalFormatting sqref="C60:C64">
    <cfRule type="cellIs" dxfId="735" priority="23" stopIfTrue="1" operator="lessThan">
      <formula>0</formula>
    </cfRule>
  </conditionalFormatting>
  <conditionalFormatting sqref="C53:C55">
    <cfRule type="cellIs" dxfId="734" priority="22" stopIfTrue="1" operator="lessThan">
      <formula>0</formula>
    </cfRule>
  </conditionalFormatting>
  <conditionalFormatting sqref="C53">
    <cfRule type="cellIs" dxfId="733" priority="21" stopIfTrue="1" operator="lessThan">
      <formula>0</formula>
    </cfRule>
  </conditionalFormatting>
  <conditionalFormatting sqref="G53:G55">
    <cfRule type="cellIs" dxfId="732" priority="18" stopIfTrue="1" operator="lessThan">
      <formula>0</formula>
    </cfRule>
  </conditionalFormatting>
  <conditionalFormatting sqref="G56:G59">
    <cfRule type="cellIs" dxfId="731" priority="16" stopIfTrue="1" operator="lessThan">
      <formula>0</formula>
    </cfRule>
  </conditionalFormatting>
  <conditionalFormatting sqref="C75:C78">
    <cfRule type="cellIs" dxfId="730" priority="15" stopIfTrue="1" operator="lessThan">
      <formula>0</formula>
    </cfRule>
  </conditionalFormatting>
  <conditionalFormatting sqref="C68:C70">
    <cfRule type="cellIs" dxfId="729" priority="14" stopIfTrue="1" operator="lessThan">
      <formula>0</formula>
    </cfRule>
  </conditionalFormatting>
  <conditionalFormatting sqref="C68">
    <cfRule type="cellIs" dxfId="728" priority="13" stopIfTrue="1" operator="lessThan">
      <formula>0</formula>
    </cfRule>
  </conditionalFormatting>
  <conditionalFormatting sqref="C71:C74">
    <cfRule type="cellIs" dxfId="727" priority="12" stopIfTrue="1" operator="lessThan">
      <formula>0</formula>
    </cfRule>
  </conditionalFormatting>
  <conditionalFormatting sqref="G75:G79">
    <cfRule type="cellIs" dxfId="726" priority="11" stopIfTrue="1" operator="lessThan">
      <formula>0</formula>
    </cfRule>
  </conditionalFormatting>
  <conditionalFormatting sqref="G68:G70">
    <cfRule type="cellIs" dxfId="725" priority="10" stopIfTrue="1" operator="lessThan">
      <formula>0</formula>
    </cfRule>
  </conditionalFormatting>
  <conditionalFormatting sqref="G68">
    <cfRule type="cellIs" dxfId="724" priority="9" stopIfTrue="1" operator="lessThan">
      <formula>0</formula>
    </cfRule>
  </conditionalFormatting>
  <conditionalFormatting sqref="G71:G74">
    <cfRule type="cellIs" dxfId="723" priority="8" stopIfTrue="1" operator="lessThan">
      <formula>0</formula>
    </cfRule>
  </conditionalFormatting>
  <conditionalFormatting sqref="G64">
    <cfRule type="cellIs" dxfId="722" priority="7" stopIfTrue="1" operator="lessThan">
      <formula>0</formula>
    </cfRule>
  </conditionalFormatting>
  <conditionalFormatting sqref="C79">
    <cfRule type="cellIs" dxfId="721" priority="6" stopIfTrue="1" operator="lessThan">
      <formula>0</formula>
    </cfRule>
  </conditionalFormatting>
  <conditionalFormatting sqref="C90:C93">
    <cfRule type="cellIs" dxfId="720" priority="5" stopIfTrue="1" operator="lessThan">
      <formula>0</formula>
    </cfRule>
  </conditionalFormatting>
  <conditionalFormatting sqref="C83:C85">
    <cfRule type="cellIs" dxfId="719" priority="4" stopIfTrue="1" operator="lessThan">
      <formula>0</formula>
    </cfRule>
  </conditionalFormatting>
  <conditionalFormatting sqref="C83">
    <cfRule type="cellIs" dxfId="718" priority="3" stopIfTrue="1" operator="lessThan">
      <formula>0</formula>
    </cfRule>
  </conditionalFormatting>
  <conditionalFormatting sqref="C86:C89">
    <cfRule type="cellIs" dxfId="717" priority="2" stopIfTrue="1" operator="lessThan">
      <formula>0</formula>
    </cfRule>
  </conditionalFormatting>
  <conditionalFormatting sqref="C94">
    <cfRule type="cellIs" dxfId="716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43104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5" x14ac:dyDescent="0.2">
      <c r="B7" s="199" t="s">
        <v>5</v>
      </c>
      <c r="C7" s="214">
        <v>4060056</v>
      </c>
      <c r="D7" s="67">
        <f>+IF(C7/$F$120=0,"",C7/$F$120)</f>
        <v>8.2251314735663986E-5</v>
      </c>
      <c r="E7" s="68"/>
      <c r="F7" s="199" t="s">
        <v>5</v>
      </c>
      <c r="G7" s="66">
        <v>677096</v>
      </c>
      <c r="H7" s="200">
        <f>+IF(G7/$C$122=0,"",G7/$C$122)</f>
        <v>1.0524888563971316E-4</v>
      </c>
      <c r="I7" s="70"/>
    </row>
    <row r="8" spans="1:10" ht="15" x14ac:dyDescent="0.2">
      <c r="B8" s="199" t="s">
        <v>6</v>
      </c>
      <c r="C8" s="214"/>
      <c r="D8" s="67" t="str">
        <f>+IF(C8/$F$120=0,"",C8/$F$120)</f>
        <v/>
      </c>
      <c r="E8" s="68"/>
      <c r="F8" s="199" t="s">
        <v>6</v>
      </c>
      <c r="G8" s="66">
        <v>35441</v>
      </c>
      <c r="H8" s="200">
        <f>+IF(G8/$C$122=0,"",G8/$C$122)</f>
        <v>5.5090057480136849E-6</v>
      </c>
    </row>
    <row r="9" spans="1:10" ht="15" x14ac:dyDescent="0.2">
      <c r="B9" s="199" t="s">
        <v>7</v>
      </c>
      <c r="C9" s="214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5" x14ac:dyDescent="0.2">
      <c r="B10" s="199" t="s">
        <v>8</v>
      </c>
      <c r="C10" s="214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5" x14ac:dyDescent="0.2">
      <c r="B11" s="199" t="s">
        <v>9</v>
      </c>
      <c r="C11" s="214"/>
      <c r="D11" s="67" t="str">
        <f t="shared" ref="D11:D14" si="1">+IF(C11/$F$120=0,"",C11/$F$120)</f>
        <v/>
      </c>
      <c r="E11" s="68"/>
      <c r="F11" s="199" t="s">
        <v>9</v>
      </c>
      <c r="G11" s="66">
        <v>-7651</v>
      </c>
      <c r="H11" s="200">
        <f t="shared" si="0"/>
        <v>-1.1892836821210661E-6</v>
      </c>
    </row>
    <row r="12" spans="1:10" ht="15" x14ac:dyDescent="0.2">
      <c r="B12" s="199" t="s">
        <v>10</v>
      </c>
      <c r="C12" s="214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ht="15" x14ac:dyDescent="0.2">
      <c r="B13" s="199" t="s">
        <v>11</v>
      </c>
      <c r="C13" s="214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5" x14ac:dyDescent="0.2">
      <c r="B14" s="199" t="s">
        <v>12</v>
      </c>
      <c r="C14" s="215"/>
      <c r="D14" s="67" t="str">
        <f t="shared" si="1"/>
        <v/>
      </c>
      <c r="E14" s="68"/>
      <c r="F14" s="199" t="s">
        <v>12</v>
      </c>
      <c r="G14" s="72">
        <v>-6361181</v>
      </c>
      <c r="H14" s="200">
        <f t="shared" si="0"/>
        <v>-9.8879215296282389E-4</v>
      </c>
      <c r="J14" s="74"/>
    </row>
    <row r="15" spans="1:10" ht="15" x14ac:dyDescent="0.2">
      <c r="B15" s="199" t="s">
        <v>13</v>
      </c>
      <c r="C15" s="214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5" x14ac:dyDescent="0.2">
      <c r="B16" s="199" t="s">
        <v>14</v>
      </c>
      <c r="C16" s="214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5" x14ac:dyDescent="0.2">
      <c r="B17" s="199" t="s">
        <v>15</v>
      </c>
      <c r="C17" s="214">
        <v>-9977</v>
      </c>
      <c r="D17" s="67">
        <f>+IF(C17/$F$120=0,"",C17/$F$120)</f>
        <v>-2.0212070156611623E-7</v>
      </c>
      <c r="E17" s="68"/>
      <c r="F17" s="199" t="s">
        <v>15</v>
      </c>
      <c r="G17" s="72">
        <v>-609207</v>
      </c>
      <c r="H17" s="200">
        <f t="shared" si="0"/>
        <v>-9.469611085268962E-5</v>
      </c>
      <c r="I17" s="74"/>
    </row>
    <row r="18" spans="2:9" ht="15" x14ac:dyDescent="0.2">
      <c r="B18" s="199" t="s">
        <v>16</v>
      </c>
      <c r="C18" s="214">
        <v>-253092</v>
      </c>
      <c r="D18" s="67">
        <f>+IF(C18/$F$120=0,"",C18/$F$120)</f>
        <v>-5.1273060640244047E-6</v>
      </c>
      <c r="E18" s="75"/>
      <c r="F18" s="199" t="s">
        <v>16</v>
      </c>
      <c r="G18" s="72">
        <v>-88127</v>
      </c>
      <c r="H18" s="200">
        <f t="shared" si="0"/>
        <v>-1.3698601889201829E-5</v>
      </c>
    </row>
    <row r="19" spans="2:9" s="80" customFormat="1" x14ac:dyDescent="0.2">
      <c r="B19" s="201" t="s">
        <v>17</v>
      </c>
      <c r="C19" s="77">
        <f>SUM(C7:C18)</f>
        <v>3796987</v>
      </c>
      <c r="D19" s="78">
        <f>SUM(D7:D18)</f>
        <v>7.6921887970073465E-5</v>
      </c>
      <c r="E19" s="79"/>
      <c r="F19" s="201" t="s">
        <v>17</v>
      </c>
      <c r="G19" s="77">
        <f>SUM(G7:G18)</f>
        <v>-6353629</v>
      </c>
      <c r="H19" s="78">
        <f>SUM(H7:H18)</f>
        <v>-9.8761825799910949E-4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2597.7192</v>
      </c>
      <c r="D22" s="200">
        <f>+IF(C22/$F$121=0,"",C22/$F$121)</f>
        <v>6.7627444247814786E-5</v>
      </c>
      <c r="E22" s="75"/>
      <c r="F22" s="199" t="s">
        <v>5</v>
      </c>
      <c r="G22" s="66">
        <v>2165536</v>
      </c>
      <c r="H22" s="200">
        <f t="shared" ref="H22:H33" si="2">+IF(G22/$C$115=0,"",G22/$C$115)</f>
        <v>7.3266938651387722E-5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233731</v>
      </c>
      <c r="H23" s="200">
        <f t="shared" si="2"/>
        <v>7.9078596882838725E-6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9.1377392754329776</v>
      </c>
      <c r="D26" s="200">
        <f>+IF(C26/$F$121=0,"",C26/$F$121)</f>
        <v>2.3788635561549962E-7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-23434.036591413431</v>
      </c>
      <c r="D27" s="200">
        <f t="shared" ref="D27:D33" si="3">+IF(C27/$F$121=0,"",C27/$F$121)</f>
        <v>-6.1006747884338828E-4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-2868834</v>
      </c>
      <c r="H29" s="200">
        <f t="shared" si="2"/>
        <v>-9.7061736530362576E-5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22752.4722</v>
      </c>
      <c r="D31" s="200">
        <f t="shared" si="3"/>
        <v>5.9232404534156566E-4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-15973</v>
      </c>
      <c r="H32" s="200">
        <f t="shared" si="2"/>
        <v>-5.4041715819021991E-7</v>
      </c>
    </row>
    <row r="33" spans="1:13" x14ac:dyDescent="0.2">
      <c r="B33" s="199" t="s">
        <v>16</v>
      </c>
      <c r="C33" s="71">
        <v>-195.85</v>
      </c>
      <c r="D33" s="200">
        <f t="shared" si="3"/>
        <v>-5.0986399746110065E-6</v>
      </c>
      <c r="E33" s="75"/>
      <c r="F33" s="199" t="s">
        <v>16</v>
      </c>
      <c r="G33" s="72">
        <v>-121228</v>
      </c>
      <c r="H33" s="200">
        <f t="shared" si="2"/>
        <v>-4.10152703018118E-6</v>
      </c>
    </row>
    <row r="34" spans="1:13" s="80" customFormat="1" x14ac:dyDescent="0.2">
      <c r="B34" s="201" t="s">
        <v>17</v>
      </c>
      <c r="C34" s="203">
        <f>SUM(C22:C33)</f>
        <v>1729.4425478620019</v>
      </c>
      <c r="D34" s="78">
        <f>SUM(D22:D33)</f>
        <v>4.5023257126996702E-5</v>
      </c>
      <c r="E34" s="79"/>
      <c r="F34" s="201" t="s">
        <v>17</v>
      </c>
      <c r="G34" s="203">
        <f>SUM(G22:G33)</f>
        <v>-606768</v>
      </c>
      <c r="H34" s="78">
        <f>SUM(H22:H33)</f>
        <v>-2.0528882379062379E-5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4482279</v>
      </c>
      <c r="D37" s="200">
        <f t="shared" ref="D37:D48" si="4">+IF(C37/$C$123=0,"",C37/$C$123)</f>
        <v>5.4712332639052432E-5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1136477</v>
      </c>
      <c r="D38" s="200">
        <f t="shared" si="4"/>
        <v>1.3872252856333216E-5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-78792281</v>
      </c>
      <c r="D44" s="200">
        <f t="shared" si="4"/>
        <v>-9.6176732583172335E-4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-17431103</v>
      </c>
      <c r="D45" s="200">
        <f t="shared" si="4"/>
        <v>-2.1277040219977043E-4</v>
      </c>
      <c r="E45" s="68"/>
      <c r="F45" s="199" t="s">
        <v>13</v>
      </c>
      <c r="G45" s="72">
        <v>-390934</v>
      </c>
      <c r="H45" s="200">
        <f t="shared" si="5"/>
        <v>-7.6295115364968379E-5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4997</v>
      </c>
      <c r="D47" s="200">
        <f t="shared" si="4"/>
        <v>6.0995204938680744E-8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-114707</v>
      </c>
      <c r="D48" s="200">
        <f t="shared" si="4"/>
        <v>-1.4001554878729743E-6</v>
      </c>
      <c r="E48" s="68"/>
      <c r="F48" s="199" t="s">
        <v>16</v>
      </c>
      <c r="G48" s="72">
        <v>-16032</v>
      </c>
      <c r="H48" s="200">
        <f t="shared" si="5"/>
        <v>-3.1288229970562115E-6</v>
      </c>
    </row>
    <row r="49" spans="2:10" s="80" customFormat="1" x14ac:dyDescent="0.2">
      <c r="B49" s="201" t="s">
        <v>17</v>
      </c>
      <c r="C49" s="77">
        <f>SUM(C37:C48)</f>
        <v>-90714338</v>
      </c>
      <c r="D49" s="78">
        <f>SUM(D37:D48)</f>
        <v>-1.1072923028190424E-3</v>
      </c>
      <c r="E49" s="79"/>
      <c r="F49" s="201" t="s">
        <v>17</v>
      </c>
      <c r="G49" s="77">
        <f>SUM(G37:G48)</f>
        <v>-406966</v>
      </c>
      <c r="H49" s="78">
        <f>SUM(H37:H48)</f>
        <v>-7.9423938362024586E-5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14106.4697</v>
      </c>
      <c r="H53" s="200">
        <f t="shared" ref="H53:H64" si="7">+IF(G53/$C$124=0,"",G53/$C$124)</f>
        <v>1.307886331758528E-4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>
        <v>7940</v>
      </c>
      <c r="H55" s="200">
        <f t="shared" si="7"/>
        <v>7.3615991066586375E-5</v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64302.11</v>
      </c>
      <c r="H60" s="200">
        <f t="shared" si="7"/>
        <v>5.9617928908345765E-4</v>
      </c>
    </row>
    <row r="61" spans="2:10" x14ac:dyDescent="0.2">
      <c r="B61" s="199" t="s">
        <v>13</v>
      </c>
      <c r="C61" s="72">
        <v>-14795886</v>
      </c>
      <c r="D61" s="200">
        <f t="shared" si="6"/>
        <v>-6.3036554684822201E-4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-192920</v>
      </c>
      <c r="D64" s="200">
        <f t="shared" si="6"/>
        <v>-8.2191847989339056E-6</v>
      </c>
      <c r="E64" s="68"/>
      <c r="F64" s="199" t="s">
        <v>16</v>
      </c>
      <c r="G64" s="92">
        <v>-109.72</v>
      </c>
      <c r="H64" s="200">
        <f t="shared" si="7"/>
        <v>-1.0172728639579165E-6</v>
      </c>
    </row>
    <row r="65" spans="2:8" s="80" customFormat="1" x14ac:dyDescent="0.2">
      <c r="B65" s="201" t="s">
        <v>17</v>
      </c>
      <c r="C65" s="77">
        <f>SUM(C53:C64)</f>
        <v>-14988806</v>
      </c>
      <c r="D65" s="78">
        <f>SUM(D53:D64)</f>
        <v>-6.3858473164715593E-4</v>
      </c>
      <c r="E65" s="79"/>
      <c r="F65" s="201" t="s">
        <v>17</v>
      </c>
      <c r="G65" s="203">
        <f>SUM(G53:G64)</f>
        <v>86238.859700000001</v>
      </c>
      <c r="H65" s="78">
        <f>SUM(H53:H64)</f>
        <v>7.9956664046193884E-4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>
        <v>444866</v>
      </c>
      <c r="D70" s="200">
        <f t="shared" si="8"/>
        <v>3.3607088065500169E-5</v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-52467</v>
      </c>
      <c r="D72" s="200">
        <f t="shared" si="8"/>
        <v>-3.9635824934533045E-6</v>
      </c>
      <c r="E72" s="68"/>
      <c r="F72" s="199" t="s">
        <v>9</v>
      </c>
      <c r="G72" s="66">
        <v>-1231953</v>
      </c>
      <c r="H72" s="200">
        <f t="shared" si="9"/>
        <v>-2.254258700142737E-4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97832283</v>
      </c>
      <c r="D76" s="200">
        <f t="shared" si="8"/>
        <v>7.3906707872256712E-3</v>
      </c>
      <c r="E76" s="68"/>
      <c r="F76" s="199" t="s">
        <v>13</v>
      </c>
      <c r="G76" s="72">
        <v>8665565</v>
      </c>
      <c r="H76" s="200">
        <f t="shared" si="9"/>
        <v>1.5856469599816224E-3</v>
      </c>
    </row>
    <row r="77" spans="2:8" x14ac:dyDescent="0.2">
      <c r="B77" s="199" t="s">
        <v>14</v>
      </c>
      <c r="C77" s="66">
        <v>-18162119</v>
      </c>
      <c r="D77" s="200">
        <f t="shared" si="8"/>
        <v>-1.3720444643760008E-3</v>
      </c>
      <c r="E77" s="68"/>
      <c r="F77" s="199" t="s">
        <v>14</v>
      </c>
      <c r="G77" s="66">
        <v>-7553899</v>
      </c>
      <c r="H77" s="200">
        <f t="shared" si="9"/>
        <v>-1.3822315088927515E-3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>
        <v>132034</v>
      </c>
      <c r="H78" s="200">
        <f t="shared" si="9"/>
        <v>2.4159914640789553E-5</v>
      </c>
    </row>
    <row r="79" spans="2:8" x14ac:dyDescent="0.2">
      <c r="B79" s="199" t="s">
        <v>16</v>
      </c>
      <c r="C79" s="72">
        <v>-21147</v>
      </c>
      <c r="D79" s="200">
        <f t="shared" si="8"/>
        <v>-1.5975351933416628E-6</v>
      </c>
      <c r="E79" s="68"/>
      <c r="F79" s="199" t="s">
        <v>16</v>
      </c>
      <c r="G79" s="72">
        <v>-16065</v>
      </c>
      <c r="H79" s="200">
        <f t="shared" si="9"/>
        <v>-2.939614256208887E-6</v>
      </c>
    </row>
    <row r="80" spans="2:8" s="80" customFormat="1" x14ac:dyDescent="0.2">
      <c r="B80" s="201" t="s">
        <v>17</v>
      </c>
      <c r="C80" s="77">
        <f>SUM(C68:C79)</f>
        <v>80041416</v>
      </c>
      <c r="D80" s="78">
        <f>SUM(D68:D79)</f>
        <v>6.0466722932283759E-3</v>
      </c>
      <c r="E80" s="79"/>
      <c r="F80" s="201" t="s">
        <v>17</v>
      </c>
      <c r="G80" s="77">
        <f>SUM(G68:G79)</f>
        <v>-4318</v>
      </c>
      <c r="H80" s="78">
        <f>SUM(H68:H79)</f>
        <v>-7.9011854082220703E-7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/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/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-38.266369688033592</v>
      </c>
      <c r="D87" s="200">
        <f t="shared" si="10"/>
        <v>-9.1363550426588149E-7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27490.463400000001</v>
      </c>
      <c r="D90" s="200">
        <f t="shared" si="10"/>
        <v>6.5635344025895281E-4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-434150.5808</v>
      </c>
      <c r="D92" s="200">
        <f t="shared" si="10"/>
        <v>-1.0365639281966505E-2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-406698.38376968802</v>
      </c>
      <c r="D95" s="209">
        <f>SUM(D83:D94)</f>
        <v>-9.7101994772118179E-3</v>
      </c>
      <c r="F95" s="210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39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29556796556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23471914152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13237267065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5123971543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5465002752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46189298428</v>
      </c>
      <c r="D120" s="193">
        <v>3172295524</v>
      </c>
      <c r="F120" s="204">
        <f>+C120+D120</f>
        <v>49361593952</v>
      </c>
      <c r="G120" s="197"/>
      <c r="H120" s="197"/>
    </row>
    <row r="121" spans="1:13" x14ac:dyDescent="0.2">
      <c r="B121" s="189" t="s">
        <v>18</v>
      </c>
      <c r="C121" s="192">
        <v>38374576.689999998</v>
      </c>
      <c r="D121" s="193">
        <v>37627.54</v>
      </c>
      <c r="F121" s="204">
        <f>+C121+D121</f>
        <v>38412204.229999997</v>
      </c>
      <c r="H121" s="75"/>
    </row>
    <row r="122" spans="1:13" x14ac:dyDescent="0.2">
      <c r="B122" s="189" t="s">
        <v>4</v>
      </c>
      <c r="C122" s="190">
        <v>6433284266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81924472670</v>
      </c>
      <c r="D123" s="205"/>
      <c r="F123" s="204"/>
      <c r="H123" s="75"/>
    </row>
    <row r="124" spans="1:13" x14ac:dyDescent="0.2">
      <c r="B124" s="189" t="s">
        <v>25</v>
      </c>
      <c r="C124" s="192">
        <v>107857000.7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41883628.109200001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715" priority="48" stopIfTrue="1" operator="lessThan">
      <formula>0</formula>
    </cfRule>
  </conditionalFormatting>
  <conditionalFormatting sqref="C7:C9">
    <cfRule type="cellIs" dxfId="714" priority="47" stopIfTrue="1" operator="lessThan">
      <formula>0</formula>
    </cfRule>
  </conditionalFormatting>
  <conditionalFormatting sqref="C10:C13">
    <cfRule type="cellIs" dxfId="713" priority="45" stopIfTrue="1" operator="lessThan">
      <formula>0</formula>
    </cfRule>
  </conditionalFormatting>
  <conditionalFormatting sqref="C104">
    <cfRule type="cellIs" dxfId="712" priority="44" stopIfTrue="1" operator="lessThan">
      <formula>0</formula>
    </cfRule>
  </conditionalFormatting>
  <conditionalFormatting sqref="C7">
    <cfRule type="cellIs" dxfId="711" priority="46" stopIfTrue="1" operator="lessThan">
      <formula>0</formula>
    </cfRule>
  </conditionalFormatting>
  <conditionalFormatting sqref="C29:C33">
    <cfRule type="cellIs" dxfId="710" priority="39" stopIfTrue="1" operator="lessThan">
      <formula>0</formula>
    </cfRule>
  </conditionalFormatting>
  <conditionalFormatting sqref="G7:G9">
    <cfRule type="cellIs" dxfId="709" priority="42" stopIfTrue="1" operator="lessThan">
      <formula>0</formula>
    </cfRule>
  </conditionalFormatting>
  <conditionalFormatting sqref="C22">
    <cfRule type="cellIs" dxfId="708" priority="37" stopIfTrue="1" operator="lessThan">
      <formula>0</formula>
    </cfRule>
  </conditionalFormatting>
  <conditionalFormatting sqref="C25:C28">
    <cfRule type="cellIs" dxfId="707" priority="36" stopIfTrue="1" operator="lessThan">
      <formula>0</formula>
    </cfRule>
  </conditionalFormatting>
  <conditionalFormatting sqref="G14:G18">
    <cfRule type="cellIs" dxfId="706" priority="43" stopIfTrue="1" operator="lessThan">
      <formula>0</formula>
    </cfRule>
  </conditionalFormatting>
  <conditionalFormatting sqref="G7">
    <cfRule type="cellIs" dxfId="705" priority="41" stopIfTrue="1" operator="lessThan">
      <formula>0</formula>
    </cfRule>
  </conditionalFormatting>
  <conditionalFormatting sqref="G10:G13">
    <cfRule type="cellIs" dxfId="704" priority="40" stopIfTrue="1" operator="lessThan">
      <formula>0</formula>
    </cfRule>
  </conditionalFormatting>
  <conditionalFormatting sqref="C22:C24">
    <cfRule type="cellIs" dxfId="703" priority="38" stopIfTrue="1" operator="lessThan">
      <formula>0</formula>
    </cfRule>
  </conditionalFormatting>
  <conditionalFormatting sqref="G22">
    <cfRule type="cellIs" dxfId="702" priority="33" stopIfTrue="1" operator="lessThan">
      <formula>0</formula>
    </cfRule>
  </conditionalFormatting>
  <conditionalFormatting sqref="G29:G33">
    <cfRule type="cellIs" dxfId="701" priority="35" stopIfTrue="1" operator="lessThan">
      <formula>0</formula>
    </cfRule>
  </conditionalFormatting>
  <conditionalFormatting sqref="G22:G24">
    <cfRule type="cellIs" dxfId="700" priority="34" stopIfTrue="1" operator="lessThan">
      <formula>0</formula>
    </cfRule>
  </conditionalFormatting>
  <conditionalFormatting sqref="G25:G28">
    <cfRule type="cellIs" dxfId="699" priority="32" stopIfTrue="1" operator="lessThan">
      <formula>0</formula>
    </cfRule>
  </conditionalFormatting>
  <conditionalFormatting sqref="C40:C43">
    <cfRule type="cellIs" dxfId="698" priority="28" stopIfTrue="1" operator="lessThan">
      <formula>0</formula>
    </cfRule>
  </conditionalFormatting>
  <conditionalFormatting sqref="G44:G48">
    <cfRule type="cellIs" dxfId="697" priority="27" stopIfTrue="1" operator="lessThan">
      <formula>0</formula>
    </cfRule>
  </conditionalFormatting>
  <conditionalFormatting sqref="G37">
    <cfRule type="cellIs" dxfId="696" priority="25" stopIfTrue="1" operator="lessThan">
      <formula>0</formula>
    </cfRule>
  </conditionalFormatting>
  <conditionalFormatting sqref="C44:C48">
    <cfRule type="cellIs" dxfId="695" priority="31" stopIfTrue="1" operator="lessThan">
      <formula>0</formula>
    </cfRule>
  </conditionalFormatting>
  <conditionalFormatting sqref="C37:C39">
    <cfRule type="cellIs" dxfId="694" priority="30" stopIfTrue="1" operator="lessThan">
      <formula>0</formula>
    </cfRule>
  </conditionalFormatting>
  <conditionalFormatting sqref="C37">
    <cfRule type="cellIs" dxfId="693" priority="29" stopIfTrue="1" operator="lessThan">
      <formula>0</formula>
    </cfRule>
  </conditionalFormatting>
  <conditionalFormatting sqref="C56:C59">
    <cfRule type="cellIs" dxfId="692" priority="20" stopIfTrue="1" operator="lessThan">
      <formula>0</formula>
    </cfRule>
  </conditionalFormatting>
  <conditionalFormatting sqref="G60:G63">
    <cfRule type="cellIs" dxfId="691" priority="19" stopIfTrue="1" operator="lessThan">
      <formula>0</formula>
    </cfRule>
  </conditionalFormatting>
  <conditionalFormatting sqref="G37:G39">
    <cfRule type="cellIs" dxfId="690" priority="26" stopIfTrue="1" operator="lessThan">
      <formula>0</formula>
    </cfRule>
  </conditionalFormatting>
  <conditionalFormatting sqref="G53">
    <cfRule type="cellIs" dxfId="689" priority="17" stopIfTrue="1" operator="lessThan">
      <formula>0</formula>
    </cfRule>
  </conditionalFormatting>
  <conditionalFormatting sqref="G40:G43">
    <cfRule type="cellIs" dxfId="688" priority="24" stopIfTrue="1" operator="lessThan">
      <formula>0</formula>
    </cfRule>
  </conditionalFormatting>
  <conditionalFormatting sqref="C60:C64">
    <cfRule type="cellIs" dxfId="687" priority="23" stopIfTrue="1" operator="lessThan">
      <formula>0</formula>
    </cfRule>
  </conditionalFormatting>
  <conditionalFormatting sqref="C53:C55">
    <cfRule type="cellIs" dxfId="686" priority="22" stopIfTrue="1" operator="lessThan">
      <formula>0</formula>
    </cfRule>
  </conditionalFormatting>
  <conditionalFormatting sqref="C53">
    <cfRule type="cellIs" dxfId="685" priority="21" stopIfTrue="1" operator="lessThan">
      <formula>0</formula>
    </cfRule>
  </conditionalFormatting>
  <conditionalFormatting sqref="G53:G55">
    <cfRule type="cellIs" dxfId="684" priority="18" stopIfTrue="1" operator="lessThan">
      <formula>0</formula>
    </cfRule>
  </conditionalFormatting>
  <conditionalFormatting sqref="G56:G59">
    <cfRule type="cellIs" dxfId="683" priority="16" stopIfTrue="1" operator="lessThan">
      <formula>0</formula>
    </cfRule>
  </conditionalFormatting>
  <conditionalFormatting sqref="C75:C78">
    <cfRule type="cellIs" dxfId="682" priority="15" stopIfTrue="1" operator="lessThan">
      <formula>0</formula>
    </cfRule>
  </conditionalFormatting>
  <conditionalFormatting sqref="C68:C70">
    <cfRule type="cellIs" dxfId="681" priority="14" stopIfTrue="1" operator="lessThan">
      <formula>0</formula>
    </cfRule>
  </conditionalFormatting>
  <conditionalFormatting sqref="C68">
    <cfRule type="cellIs" dxfId="680" priority="13" stopIfTrue="1" operator="lessThan">
      <formula>0</formula>
    </cfRule>
  </conditionalFormatting>
  <conditionalFormatting sqref="C71:C74">
    <cfRule type="cellIs" dxfId="679" priority="12" stopIfTrue="1" operator="lessThan">
      <formula>0</formula>
    </cfRule>
  </conditionalFormatting>
  <conditionalFormatting sqref="G75:G79">
    <cfRule type="cellIs" dxfId="678" priority="11" stopIfTrue="1" operator="lessThan">
      <formula>0</formula>
    </cfRule>
  </conditionalFormatting>
  <conditionalFormatting sqref="G68:G70">
    <cfRule type="cellIs" dxfId="677" priority="10" stopIfTrue="1" operator="lessThan">
      <formula>0</formula>
    </cfRule>
  </conditionalFormatting>
  <conditionalFormatting sqref="G68">
    <cfRule type="cellIs" dxfId="676" priority="9" stopIfTrue="1" operator="lessThan">
      <formula>0</formula>
    </cfRule>
  </conditionalFormatting>
  <conditionalFormatting sqref="G71:G74">
    <cfRule type="cellIs" dxfId="675" priority="8" stopIfTrue="1" operator="lessThan">
      <formula>0</formula>
    </cfRule>
  </conditionalFormatting>
  <conditionalFormatting sqref="G64">
    <cfRule type="cellIs" dxfId="674" priority="7" stopIfTrue="1" operator="lessThan">
      <formula>0</formula>
    </cfRule>
  </conditionalFormatting>
  <conditionalFormatting sqref="C79">
    <cfRule type="cellIs" dxfId="673" priority="6" stopIfTrue="1" operator="lessThan">
      <formula>0</formula>
    </cfRule>
  </conditionalFormatting>
  <conditionalFormatting sqref="C90:C93">
    <cfRule type="cellIs" dxfId="672" priority="5" stopIfTrue="1" operator="lessThan">
      <formula>0</formula>
    </cfRule>
  </conditionalFormatting>
  <conditionalFormatting sqref="C83:C85">
    <cfRule type="cellIs" dxfId="671" priority="4" stopIfTrue="1" operator="lessThan">
      <formula>0</formula>
    </cfRule>
  </conditionalFormatting>
  <conditionalFormatting sqref="C83">
    <cfRule type="cellIs" dxfId="670" priority="3" stopIfTrue="1" operator="lessThan">
      <formula>0</formula>
    </cfRule>
  </conditionalFormatting>
  <conditionalFormatting sqref="C86:C89">
    <cfRule type="cellIs" dxfId="669" priority="2" stopIfTrue="1" operator="lessThan">
      <formula>0</formula>
    </cfRule>
  </conditionalFormatting>
  <conditionalFormatting sqref="C94">
    <cfRule type="cellIs" dxfId="668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dimension ref="A2:M130"/>
  <sheetViews>
    <sheetView zoomScale="90" zoomScaleNormal="90"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43105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5" x14ac:dyDescent="0.2">
      <c r="B7" s="199" t="s">
        <v>5</v>
      </c>
      <c r="C7" s="214">
        <v>4945015</v>
      </c>
      <c r="D7" s="67">
        <f>+IF(C7/$F$120=0,"",C7/$F$120)</f>
        <v>8.1171528971074109E-5</v>
      </c>
      <c r="E7" s="68"/>
      <c r="F7" s="199" t="s">
        <v>5</v>
      </c>
      <c r="G7" s="66">
        <v>621750</v>
      </c>
      <c r="H7" s="200">
        <f>+IF(G7/$C$122=0,"",G7/$C$122)</f>
        <v>9.0986068149294977E-5</v>
      </c>
      <c r="I7" s="70"/>
    </row>
    <row r="8" spans="1:10" ht="15" x14ac:dyDescent="0.2">
      <c r="B8" s="199" t="s">
        <v>6</v>
      </c>
      <c r="C8" s="214"/>
      <c r="D8" s="67" t="str">
        <f>+IF(C8/$F$120=0,"",C8/$F$120)</f>
        <v/>
      </c>
      <c r="E8" s="68"/>
      <c r="F8" s="199" t="s">
        <v>6</v>
      </c>
      <c r="G8" s="66">
        <v>34978</v>
      </c>
      <c r="H8" s="200">
        <f>+IF(G8/$C$122=0,"",G8/$C$122)</f>
        <v>5.1186340035802813E-6</v>
      </c>
    </row>
    <row r="9" spans="1:10" ht="15" x14ac:dyDescent="0.2">
      <c r="B9" s="199" t="s">
        <v>7</v>
      </c>
      <c r="C9" s="214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5" x14ac:dyDescent="0.2">
      <c r="B10" s="199" t="s">
        <v>8</v>
      </c>
      <c r="C10" s="214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5" x14ac:dyDescent="0.2">
      <c r="B11" s="199" t="s">
        <v>9</v>
      </c>
      <c r="C11" s="214"/>
      <c r="D11" s="67" t="str">
        <f t="shared" ref="D11:D14" si="1">+IF(C11/$F$120=0,"",C11/$F$120)</f>
        <v/>
      </c>
      <c r="E11" s="68"/>
      <c r="F11" s="199" t="s">
        <v>9</v>
      </c>
      <c r="G11" s="66">
        <v>41721</v>
      </c>
      <c r="H11" s="200">
        <f t="shared" si="0"/>
        <v>6.1053956562231376E-6</v>
      </c>
    </row>
    <row r="12" spans="1:10" ht="15" x14ac:dyDescent="0.2">
      <c r="B12" s="199" t="s">
        <v>10</v>
      </c>
      <c r="C12" s="214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ht="15" x14ac:dyDescent="0.2">
      <c r="B13" s="199" t="s">
        <v>11</v>
      </c>
      <c r="C13" s="214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5" x14ac:dyDescent="0.2">
      <c r="B14" s="199" t="s">
        <v>12</v>
      </c>
      <c r="C14" s="215"/>
      <c r="D14" s="67" t="str">
        <f t="shared" si="1"/>
        <v/>
      </c>
      <c r="E14" s="68"/>
      <c r="F14" s="199" t="s">
        <v>12</v>
      </c>
      <c r="G14" s="72">
        <v>2416403</v>
      </c>
      <c r="H14" s="200">
        <f t="shared" si="0"/>
        <v>3.5361320150247016E-4</v>
      </c>
      <c r="J14" s="74"/>
    </row>
    <row r="15" spans="1:10" ht="15" x14ac:dyDescent="0.2">
      <c r="B15" s="199" t="s">
        <v>13</v>
      </c>
      <c r="C15" s="214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5" x14ac:dyDescent="0.2">
      <c r="B16" s="199" t="s">
        <v>14</v>
      </c>
      <c r="C16" s="214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5" x14ac:dyDescent="0.2">
      <c r="B17" s="199" t="s">
        <v>15</v>
      </c>
      <c r="C17" s="214"/>
      <c r="D17" s="67" t="str">
        <f>+IF(C17/$F$120=0,"",C17/$F$120)</f>
        <v/>
      </c>
      <c r="E17" s="68"/>
      <c r="F17" s="199" t="s">
        <v>15</v>
      </c>
      <c r="G17" s="72">
        <v>275007</v>
      </c>
      <c r="H17" s="200">
        <f t="shared" si="0"/>
        <v>4.0244158654657279E-5</v>
      </c>
      <c r="I17" s="74"/>
    </row>
    <row r="18" spans="2:9" ht="15" x14ac:dyDescent="0.2">
      <c r="B18" s="199" t="s">
        <v>16</v>
      </c>
      <c r="C18" s="214">
        <v>-263557</v>
      </c>
      <c r="D18" s="67">
        <f>+IF(C18/$F$120=0,"",C18/$F$120)</f>
        <v>-4.3262406000850108E-6</v>
      </c>
      <c r="E18" s="75"/>
      <c r="F18" s="199" t="s">
        <v>16</v>
      </c>
      <c r="G18" s="72">
        <v>-69082</v>
      </c>
      <c r="H18" s="200">
        <f t="shared" si="0"/>
        <v>-1.0109368009472611E-5</v>
      </c>
    </row>
    <row r="19" spans="2:9" s="80" customFormat="1" x14ac:dyDescent="0.2">
      <c r="B19" s="201" t="s">
        <v>17</v>
      </c>
      <c r="C19" s="77">
        <f>SUM(C7:C18)</f>
        <v>4681458</v>
      </c>
      <c r="D19" s="78">
        <f>SUM(D7:D18)</f>
        <v>7.6845288370989102E-5</v>
      </c>
      <c r="E19" s="79"/>
      <c r="F19" s="201" t="s">
        <v>17</v>
      </c>
      <c r="G19" s="77">
        <f>SUM(G7:G18)</f>
        <v>3320777</v>
      </c>
      <c r="H19" s="78">
        <f>SUM(H7:H18)</f>
        <v>4.8595808995675319E-4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2436.6669000000002</v>
      </c>
      <c r="D22" s="200">
        <f>+IF(C22/$F$121=0,"",C22/$F$121)</f>
        <v>6.3363165951132457E-5</v>
      </c>
      <c r="E22" s="75"/>
      <c r="F22" s="199" t="s">
        <v>5</v>
      </c>
      <c r="G22" s="66">
        <v>2106053</v>
      </c>
      <c r="H22" s="200">
        <f t="shared" ref="H22:H33" si="2">+IF(G22/$C$115=0,"",G22/$C$115)</f>
        <v>7.1184661306498008E-5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231095</v>
      </c>
      <c r="H23" s="200">
        <f t="shared" si="2"/>
        <v>7.8110186707671438E-6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-14.287476532278561</v>
      </c>
      <c r="D26" s="200">
        <f>+IF(C26/$F$121=0,"",C26/$F$121)</f>
        <v>-3.7153200814509232E-7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45654.017699233314</v>
      </c>
      <c r="D27" s="200">
        <f t="shared" ref="D27:D33" si="3">+IF(C27/$F$121=0,"",C27/$F$121)</f>
        <v>1.1871885729692717E-3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6022315</v>
      </c>
      <c r="H29" s="200">
        <f t="shared" si="2"/>
        <v>2.0355444689950468E-4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-46234.046199999997</v>
      </c>
      <c r="D31" s="200">
        <f t="shared" si="3"/>
        <v>-1.2022716531188259E-3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11996</v>
      </c>
      <c r="H32" s="200">
        <f t="shared" si="2"/>
        <v>4.0546519818482729E-7</v>
      </c>
    </row>
    <row r="33" spans="1:13" x14ac:dyDescent="0.2">
      <c r="B33" s="199" t="s">
        <v>16</v>
      </c>
      <c r="C33" s="71">
        <v>-210.23</v>
      </c>
      <c r="D33" s="200">
        <f t="shared" si="3"/>
        <v>-5.4668278121669303E-6</v>
      </c>
      <c r="E33" s="75"/>
      <c r="F33" s="199" t="s">
        <v>16</v>
      </c>
      <c r="G33" s="72">
        <v>-54286</v>
      </c>
      <c r="H33" s="200">
        <f t="shared" si="2"/>
        <v>-1.8348686019224353E-6</v>
      </c>
    </row>
    <row r="34" spans="1:13" s="80" customFormat="1" x14ac:dyDescent="0.2">
      <c r="B34" s="201" t="s">
        <v>17</v>
      </c>
      <c r="C34" s="203">
        <f>SUM(C22:C33)</f>
        <v>1632.1209227010363</v>
      </c>
      <c r="D34" s="78">
        <f>SUM(D22:D33)</f>
        <v>4.2441725981266208E-5</v>
      </c>
      <c r="E34" s="79"/>
      <c r="F34" s="201" t="s">
        <v>17</v>
      </c>
      <c r="G34" s="203">
        <f>SUM(G22:G33)</f>
        <v>8317173</v>
      </c>
      <c r="H34" s="78">
        <f>SUM(H22:H33)</f>
        <v>2.8112072347303223E-4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4627685</v>
      </c>
      <c r="D37" s="200">
        <f t="shared" ref="D37:D48" si="4">+IF(C37/$C$123=0,"",C37/$C$123)</f>
        <v>5.6538638236519129E-5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1121784</v>
      </c>
      <c r="D38" s="200">
        <f t="shared" si="4"/>
        <v>1.3705370991222475E-5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-1110790</v>
      </c>
      <c r="H39" s="200">
        <f t="shared" si="5"/>
        <v>-2.167006914396055E-4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>
        <v>287</v>
      </c>
      <c r="H43" s="200">
        <f t="shared" si="5"/>
        <v>5.5989969700093431E-8</v>
      </c>
    </row>
    <row r="44" spans="1:13" x14ac:dyDescent="0.2">
      <c r="B44" s="199" t="s">
        <v>12</v>
      </c>
      <c r="C44" s="72">
        <v>41185888</v>
      </c>
      <c r="D44" s="200">
        <f t="shared" si="4"/>
        <v>5.0318766771761567E-4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22117020</v>
      </c>
      <c r="D45" s="200">
        <f t="shared" si="4"/>
        <v>2.7021419838425874E-4</v>
      </c>
      <c r="E45" s="68"/>
      <c r="F45" s="199" t="s">
        <v>13</v>
      </c>
      <c r="G45" s="72">
        <v>36743783</v>
      </c>
      <c r="H45" s="200">
        <f t="shared" si="5"/>
        <v>7.1682344837519446E-3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2331</v>
      </c>
      <c r="D47" s="200">
        <f t="shared" si="4"/>
        <v>2.847894049169857E-8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-135769</v>
      </c>
      <c r="D48" s="200">
        <f t="shared" si="4"/>
        <v>-1.6587547282786029E-6</v>
      </c>
      <c r="E48" s="68"/>
      <c r="F48" s="199" t="s">
        <v>16</v>
      </c>
      <c r="G48" s="72">
        <v>16032</v>
      </c>
      <c r="H48" s="200">
        <f t="shared" si="5"/>
        <v>3.127634823107658E-6</v>
      </c>
    </row>
    <row r="49" spans="2:10" s="80" customFormat="1" x14ac:dyDescent="0.2">
      <c r="B49" s="201" t="s">
        <v>17</v>
      </c>
      <c r="C49" s="77">
        <f>SUM(C37:C48)</f>
        <v>68918939</v>
      </c>
      <c r="D49" s="78">
        <f>SUM(D37:D48)</f>
        <v>8.4201559954182905E-4</v>
      </c>
      <c r="E49" s="79"/>
      <c r="F49" s="201" t="s">
        <v>17</v>
      </c>
      <c r="G49" s="77">
        <f>SUM(G37:G48)</f>
        <v>35649312</v>
      </c>
      <c r="H49" s="78">
        <f>SUM(H37:H48)</f>
        <v>6.9547174171051464E-3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14106.5129</v>
      </c>
      <c r="H53" s="200">
        <f t="shared" ref="H53:H64" si="7">+IF(G53/$C$124=0,"",G53/$C$124)</f>
        <v>1.3068632651865692E-4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-4981340</v>
      </c>
      <c r="D55" s="200">
        <f t="shared" si="6"/>
        <v>-2.0682225488287528E-4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30623.884999999998</v>
      </c>
      <c r="H60" s="200">
        <f t="shared" si="7"/>
        <v>2.8370746638453788E-4</v>
      </c>
    </row>
    <row r="61" spans="2:10" x14ac:dyDescent="0.2">
      <c r="B61" s="199" t="s">
        <v>13</v>
      </c>
      <c r="C61" s="72">
        <v>180753081</v>
      </c>
      <c r="D61" s="200">
        <f t="shared" si="6"/>
        <v>7.5047597211688024E-3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-43097</v>
      </c>
      <c r="D63" s="200">
        <f t="shared" si="6"/>
        <v>-1.789361641383097E-6</v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-197960</v>
      </c>
      <c r="D64" s="200">
        <f t="shared" si="6"/>
        <v>-8.219180697686564E-6</v>
      </c>
      <c r="E64" s="68"/>
      <c r="F64" s="199" t="s">
        <v>16</v>
      </c>
      <c r="G64" s="92">
        <v>-109.76</v>
      </c>
      <c r="H64" s="200">
        <f t="shared" si="7"/>
        <v>-1.016844580965703E-6</v>
      </c>
    </row>
    <row r="65" spans="2:8" s="80" customFormat="1" x14ac:dyDescent="0.2">
      <c r="B65" s="201" t="s">
        <v>17</v>
      </c>
      <c r="C65" s="77">
        <f>SUM(C53:C64)</f>
        <v>175530684</v>
      </c>
      <c r="D65" s="78">
        <f>SUM(D53:D64)</f>
        <v>7.2879289239468582E-3</v>
      </c>
      <c r="E65" s="79"/>
      <c r="F65" s="201" t="s">
        <v>17</v>
      </c>
      <c r="G65" s="203">
        <f>SUM(G53:G64)</f>
        <v>44620.637899999994</v>
      </c>
      <c r="H65" s="78">
        <f>SUM(H53:H64)</f>
        <v>4.1337694832222909E-4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127421</v>
      </c>
      <c r="D72" s="200">
        <f t="shared" si="8"/>
        <v>9.2854476488081144E-6</v>
      </c>
      <c r="E72" s="68"/>
      <c r="F72" s="199" t="s">
        <v>9</v>
      </c>
      <c r="G72" s="66">
        <v>2788553</v>
      </c>
      <c r="H72" s="200">
        <f t="shared" si="9"/>
        <v>5.1027322151565423E-4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72761274</v>
      </c>
      <c r="D76" s="200">
        <f t="shared" si="8"/>
        <v>5.3022735701931624E-3</v>
      </c>
      <c r="E76" s="68"/>
      <c r="F76" s="199" t="s">
        <v>13</v>
      </c>
      <c r="G76" s="72">
        <v>5014775</v>
      </c>
      <c r="H76" s="200">
        <f t="shared" si="9"/>
        <v>9.1764631851220515E-4</v>
      </c>
    </row>
    <row r="77" spans="2:8" x14ac:dyDescent="0.2">
      <c r="B77" s="199" t="s">
        <v>14</v>
      </c>
      <c r="C77" s="66">
        <v>44338786</v>
      </c>
      <c r="D77" s="200">
        <f t="shared" si="8"/>
        <v>3.2310645514844975E-3</v>
      </c>
      <c r="E77" s="68"/>
      <c r="F77" s="199" t="s">
        <v>14</v>
      </c>
      <c r="G77" s="66">
        <v>17792972</v>
      </c>
      <c r="H77" s="200">
        <f t="shared" si="9"/>
        <v>3.2559098366707873E-3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>
        <v>330</v>
      </c>
      <c r="H78" s="200">
        <f t="shared" si="9"/>
        <v>6.0386215754251719E-8</v>
      </c>
    </row>
    <row r="79" spans="2:8" x14ac:dyDescent="0.2">
      <c r="B79" s="199" t="s">
        <v>16</v>
      </c>
      <c r="C79" s="72">
        <v>-21147</v>
      </c>
      <c r="D79" s="200">
        <f t="shared" si="8"/>
        <v>-1.541028256169275E-6</v>
      </c>
      <c r="E79" s="68"/>
      <c r="F79" s="199" t="s">
        <v>16</v>
      </c>
      <c r="G79" s="72">
        <v>-16065</v>
      </c>
      <c r="H79" s="200">
        <f t="shared" si="9"/>
        <v>-2.9397107760365271E-6</v>
      </c>
    </row>
    <row r="80" spans="2:8" s="80" customFormat="1" x14ac:dyDescent="0.2">
      <c r="B80" s="201" t="s">
        <v>17</v>
      </c>
      <c r="C80" s="77">
        <f>SUM(C68:C79)</f>
        <v>117206334</v>
      </c>
      <c r="D80" s="78">
        <f>SUM(D68:D79)</f>
        <v>8.5410825410702981E-3</v>
      </c>
      <c r="E80" s="79"/>
      <c r="F80" s="201" t="s">
        <v>17</v>
      </c>
      <c r="G80" s="77">
        <f>SUM(G68:G79)</f>
        <v>25580565</v>
      </c>
      <c r="H80" s="78">
        <f>SUM(H68:H79)</f>
        <v>4.6809500521383645E-3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17149.16</v>
      </c>
      <c r="D87" s="200">
        <f t="shared" si="10"/>
        <v>4.0559881331606463E-4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95672.831900000005</v>
      </c>
      <c r="D90" s="200">
        <f t="shared" si="10"/>
        <v>2.2627806309596116E-3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-588246.45900000003</v>
      </c>
      <c r="D92" s="200">
        <f t="shared" si="10"/>
        <v>-1.3912755243275884E-2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-475424.46710000001</v>
      </c>
      <c r="D95" s="209">
        <f>SUM(D83:D94)</f>
        <v>-1.1244375799000207E-2</v>
      </c>
      <c r="F95" s="74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29585769762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24085125669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13722655581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5125918116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5464823319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48098090590</v>
      </c>
      <c r="D120" s="193">
        <v>12822469398</v>
      </c>
      <c r="F120" s="204">
        <f>+C120+D120</f>
        <v>60920559988</v>
      </c>
      <c r="G120" s="197"/>
      <c r="H120" s="197"/>
    </row>
    <row r="121" spans="1:13" x14ac:dyDescent="0.2">
      <c r="B121" s="189" t="s">
        <v>18</v>
      </c>
      <c r="C121" s="192">
        <v>38367633.140000001</v>
      </c>
      <c r="D121" s="193">
        <v>87940.59</v>
      </c>
      <c r="F121" s="204">
        <f>+C121+D121</f>
        <v>38455573.730000004</v>
      </c>
      <c r="H121" s="75"/>
    </row>
    <row r="122" spans="1:13" x14ac:dyDescent="0.2">
      <c r="B122" s="189" t="s">
        <v>4</v>
      </c>
      <c r="C122" s="190">
        <v>6833463767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81849955081</v>
      </c>
      <c r="D123" s="205"/>
      <c r="F123" s="204"/>
      <c r="H123" s="75"/>
    </row>
    <row r="124" spans="1:13" x14ac:dyDescent="0.2">
      <c r="B124" s="189" t="s">
        <v>25</v>
      </c>
      <c r="C124" s="192">
        <v>107941766.18000001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42281090.173299998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667" priority="48" stopIfTrue="1" operator="lessThan">
      <formula>0</formula>
    </cfRule>
  </conditionalFormatting>
  <conditionalFormatting sqref="C7:C9">
    <cfRule type="cellIs" dxfId="666" priority="47" stopIfTrue="1" operator="lessThan">
      <formula>0</formula>
    </cfRule>
  </conditionalFormatting>
  <conditionalFormatting sqref="C10:C13">
    <cfRule type="cellIs" dxfId="665" priority="45" stopIfTrue="1" operator="lessThan">
      <formula>0</formula>
    </cfRule>
  </conditionalFormatting>
  <conditionalFormatting sqref="C104">
    <cfRule type="cellIs" dxfId="664" priority="44" stopIfTrue="1" operator="lessThan">
      <formula>0</formula>
    </cfRule>
  </conditionalFormatting>
  <conditionalFormatting sqref="C7">
    <cfRule type="cellIs" dxfId="663" priority="46" stopIfTrue="1" operator="lessThan">
      <formula>0</formula>
    </cfRule>
  </conditionalFormatting>
  <conditionalFormatting sqref="C29:C33">
    <cfRule type="cellIs" dxfId="662" priority="39" stopIfTrue="1" operator="lessThan">
      <formula>0</formula>
    </cfRule>
  </conditionalFormatting>
  <conditionalFormatting sqref="G7:G9">
    <cfRule type="cellIs" dxfId="661" priority="42" stopIfTrue="1" operator="lessThan">
      <formula>0</formula>
    </cfRule>
  </conditionalFormatting>
  <conditionalFormatting sqref="C22">
    <cfRule type="cellIs" dxfId="660" priority="37" stopIfTrue="1" operator="lessThan">
      <formula>0</formula>
    </cfRule>
  </conditionalFormatting>
  <conditionalFormatting sqref="C25:C28">
    <cfRule type="cellIs" dxfId="659" priority="36" stopIfTrue="1" operator="lessThan">
      <formula>0</formula>
    </cfRule>
  </conditionalFormatting>
  <conditionalFormatting sqref="G14:G18">
    <cfRule type="cellIs" dxfId="658" priority="43" stopIfTrue="1" operator="lessThan">
      <formula>0</formula>
    </cfRule>
  </conditionalFormatting>
  <conditionalFormatting sqref="G7">
    <cfRule type="cellIs" dxfId="657" priority="41" stopIfTrue="1" operator="lessThan">
      <formula>0</formula>
    </cfRule>
  </conditionalFormatting>
  <conditionalFormatting sqref="G10:G13">
    <cfRule type="cellIs" dxfId="656" priority="40" stopIfTrue="1" operator="lessThan">
      <formula>0</formula>
    </cfRule>
  </conditionalFormatting>
  <conditionalFormatting sqref="C22:C24">
    <cfRule type="cellIs" dxfId="655" priority="38" stopIfTrue="1" operator="lessThan">
      <formula>0</formula>
    </cfRule>
  </conditionalFormatting>
  <conditionalFormatting sqref="G22">
    <cfRule type="cellIs" dxfId="654" priority="33" stopIfTrue="1" operator="lessThan">
      <formula>0</formula>
    </cfRule>
  </conditionalFormatting>
  <conditionalFormatting sqref="G29:G33">
    <cfRule type="cellIs" dxfId="653" priority="35" stopIfTrue="1" operator="lessThan">
      <formula>0</formula>
    </cfRule>
  </conditionalFormatting>
  <conditionalFormatting sqref="G22:G24">
    <cfRule type="cellIs" dxfId="652" priority="34" stopIfTrue="1" operator="lessThan">
      <formula>0</formula>
    </cfRule>
  </conditionalFormatting>
  <conditionalFormatting sqref="G25:G28">
    <cfRule type="cellIs" dxfId="651" priority="32" stopIfTrue="1" operator="lessThan">
      <formula>0</formula>
    </cfRule>
  </conditionalFormatting>
  <conditionalFormatting sqref="C40:C43">
    <cfRule type="cellIs" dxfId="650" priority="28" stopIfTrue="1" operator="lessThan">
      <formula>0</formula>
    </cfRule>
  </conditionalFormatting>
  <conditionalFormatting sqref="G44:G48">
    <cfRule type="cellIs" dxfId="649" priority="27" stopIfTrue="1" operator="lessThan">
      <formula>0</formula>
    </cfRule>
  </conditionalFormatting>
  <conditionalFormatting sqref="G37">
    <cfRule type="cellIs" dxfId="648" priority="25" stopIfTrue="1" operator="lessThan">
      <formula>0</formula>
    </cfRule>
  </conditionalFormatting>
  <conditionalFormatting sqref="C44:C48">
    <cfRule type="cellIs" dxfId="647" priority="31" stopIfTrue="1" operator="lessThan">
      <formula>0</formula>
    </cfRule>
  </conditionalFormatting>
  <conditionalFormatting sqref="C37:C39">
    <cfRule type="cellIs" dxfId="646" priority="30" stopIfTrue="1" operator="lessThan">
      <formula>0</formula>
    </cfRule>
  </conditionalFormatting>
  <conditionalFormatting sqref="C37">
    <cfRule type="cellIs" dxfId="645" priority="29" stopIfTrue="1" operator="lessThan">
      <formula>0</formula>
    </cfRule>
  </conditionalFormatting>
  <conditionalFormatting sqref="C56:C59">
    <cfRule type="cellIs" dxfId="644" priority="20" stopIfTrue="1" operator="lessThan">
      <formula>0</formula>
    </cfRule>
  </conditionalFormatting>
  <conditionalFormatting sqref="G60:G63">
    <cfRule type="cellIs" dxfId="643" priority="19" stopIfTrue="1" operator="lessThan">
      <formula>0</formula>
    </cfRule>
  </conditionalFormatting>
  <conditionalFormatting sqref="G37:G39">
    <cfRule type="cellIs" dxfId="642" priority="26" stopIfTrue="1" operator="lessThan">
      <formula>0</formula>
    </cfRule>
  </conditionalFormatting>
  <conditionalFormatting sqref="G53">
    <cfRule type="cellIs" dxfId="641" priority="17" stopIfTrue="1" operator="lessThan">
      <formula>0</formula>
    </cfRule>
  </conditionalFormatting>
  <conditionalFormatting sqref="G40:G43">
    <cfRule type="cellIs" dxfId="640" priority="24" stopIfTrue="1" operator="lessThan">
      <formula>0</formula>
    </cfRule>
  </conditionalFormatting>
  <conditionalFormatting sqref="C60:C64">
    <cfRule type="cellIs" dxfId="639" priority="23" stopIfTrue="1" operator="lessThan">
      <formula>0</formula>
    </cfRule>
  </conditionalFormatting>
  <conditionalFormatting sqref="C53:C55">
    <cfRule type="cellIs" dxfId="638" priority="22" stopIfTrue="1" operator="lessThan">
      <formula>0</formula>
    </cfRule>
  </conditionalFormatting>
  <conditionalFormatting sqref="C53">
    <cfRule type="cellIs" dxfId="637" priority="21" stopIfTrue="1" operator="lessThan">
      <formula>0</formula>
    </cfRule>
  </conditionalFormatting>
  <conditionalFormatting sqref="G53:G55">
    <cfRule type="cellIs" dxfId="636" priority="18" stopIfTrue="1" operator="lessThan">
      <formula>0</formula>
    </cfRule>
  </conditionalFormatting>
  <conditionalFormatting sqref="G56:G59">
    <cfRule type="cellIs" dxfId="635" priority="16" stopIfTrue="1" operator="lessThan">
      <formula>0</formula>
    </cfRule>
  </conditionalFormatting>
  <conditionalFormatting sqref="C75:C78">
    <cfRule type="cellIs" dxfId="634" priority="15" stopIfTrue="1" operator="lessThan">
      <formula>0</formula>
    </cfRule>
  </conditionalFormatting>
  <conditionalFormatting sqref="C68:C70">
    <cfRule type="cellIs" dxfId="633" priority="14" stopIfTrue="1" operator="lessThan">
      <formula>0</formula>
    </cfRule>
  </conditionalFormatting>
  <conditionalFormatting sqref="C68">
    <cfRule type="cellIs" dxfId="632" priority="13" stopIfTrue="1" operator="lessThan">
      <formula>0</formula>
    </cfRule>
  </conditionalFormatting>
  <conditionalFormatting sqref="C71:C74">
    <cfRule type="cellIs" dxfId="631" priority="12" stopIfTrue="1" operator="lessThan">
      <formula>0</formula>
    </cfRule>
  </conditionalFormatting>
  <conditionalFormatting sqref="G75:G79">
    <cfRule type="cellIs" dxfId="630" priority="11" stopIfTrue="1" operator="lessThan">
      <formula>0</formula>
    </cfRule>
  </conditionalFormatting>
  <conditionalFormatting sqref="G68:G70">
    <cfRule type="cellIs" dxfId="629" priority="10" stopIfTrue="1" operator="lessThan">
      <formula>0</formula>
    </cfRule>
  </conditionalFormatting>
  <conditionalFormatting sqref="G68">
    <cfRule type="cellIs" dxfId="628" priority="9" stopIfTrue="1" operator="lessThan">
      <formula>0</formula>
    </cfRule>
  </conditionalFormatting>
  <conditionalFormatting sqref="G71:G74">
    <cfRule type="cellIs" dxfId="627" priority="8" stopIfTrue="1" operator="lessThan">
      <formula>0</formula>
    </cfRule>
  </conditionalFormatting>
  <conditionalFormatting sqref="G64">
    <cfRule type="cellIs" dxfId="626" priority="7" stopIfTrue="1" operator="lessThan">
      <formula>0</formula>
    </cfRule>
  </conditionalFormatting>
  <conditionalFormatting sqref="C79">
    <cfRule type="cellIs" dxfId="625" priority="6" stopIfTrue="1" operator="lessThan">
      <formula>0</formula>
    </cfRule>
  </conditionalFormatting>
  <conditionalFormatting sqref="C90:C93">
    <cfRule type="cellIs" dxfId="624" priority="5" stopIfTrue="1" operator="lessThan">
      <formula>0</formula>
    </cfRule>
  </conditionalFormatting>
  <conditionalFormatting sqref="C83:C85">
    <cfRule type="cellIs" dxfId="623" priority="4" stopIfTrue="1" operator="lessThan">
      <formula>0</formula>
    </cfRule>
  </conditionalFormatting>
  <conditionalFormatting sqref="C83">
    <cfRule type="cellIs" dxfId="622" priority="3" stopIfTrue="1" operator="lessThan">
      <formula>0</formula>
    </cfRule>
  </conditionalFormatting>
  <conditionalFormatting sqref="C86:C89">
    <cfRule type="cellIs" dxfId="621" priority="2" stopIfTrue="1" operator="lessThan">
      <formula>0</formula>
    </cfRule>
  </conditionalFormatting>
  <conditionalFormatting sqref="C94">
    <cfRule type="cellIs" dxfId="620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43108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5" x14ac:dyDescent="0.2">
      <c r="B7" s="199" t="s">
        <v>5</v>
      </c>
      <c r="C7" s="214">
        <v>5096841</v>
      </c>
      <c r="D7" s="67">
        <f>+IF(C7/$F$120=0,"",C7/$F$120)</f>
        <v>8.0585969772767273E-5</v>
      </c>
      <c r="E7" s="68"/>
      <c r="F7" s="199" t="s">
        <v>5</v>
      </c>
      <c r="G7" s="66">
        <v>667186</v>
      </c>
      <c r="H7" s="200">
        <f>+IF(G7/$C$122=0,"",G7/$C$122)</f>
        <v>9.7577194855650242E-5</v>
      </c>
      <c r="I7" s="70"/>
    </row>
    <row r="8" spans="1:10" ht="15" x14ac:dyDescent="0.2">
      <c r="B8" s="199" t="s">
        <v>6</v>
      </c>
      <c r="C8" s="214"/>
      <c r="D8" s="67" t="str">
        <f>+IF(C8/$F$120=0,"",C8/$F$120)</f>
        <v/>
      </c>
      <c r="E8" s="68"/>
      <c r="F8" s="199" t="s">
        <v>6</v>
      </c>
      <c r="G8" s="66">
        <v>35019</v>
      </c>
      <c r="H8" s="200">
        <f>+IF(G8/$C$122=0,"",G8/$C$122)</f>
        <v>5.121593958281523E-6</v>
      </c>
    </row>
    <row r="9" spans="1:10" ht="15" x14ac:dyDescent="0.2">
      <c r="B9" s="199" t="s">
        <v>7</v>
      </c>
      <c r="C9" s="214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5" x14ac:dyDescent="0.2">
      <c r="B10" s="199" t="s">
        <v>8</v>
      </c>
      <c r="C10" s="214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5" x14ac:dyDescent="0.2">
      <c r="B11" s="199" t="s">
        <v>9</v>
      </c>
      <c r="C11" s="214"/>
      <c r="D11" s="67" t="str">
        <f t="shared" ref="D11:D14" si="1">+IF(C11/$F$120=0,"",C11/$F$120)</f>
        <v/>
      </c>
      <c r="E11" s="68"/>
      <c r="F11" s="199" t="s">
        <v>9</v>
      </c>
      <c r="G11" s="66">
        <v>5487</v>
      </c>
      <c r="H11" s="200">
        <f t="shared" si="0"/>
        <v>8.0248396724894247E-7</v>
      </c>
    </row>
    <row r="12" spans="1:10" ht="15" x14ac:dyDescent="0.2">
      <c r="B12" s="199" t="s">
        <v>10</v>
      </c>
      <c r="C12" s="214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ht="15" x14ac:dyDescent="0.2">
      <c r="B13" s="199" t="s">
        <v>11</v>
      </c>
      <c r="C13" s="214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5" x14ac:dyDescent="0.2">
      <c r="B14" s="199" t="s">
        <v>12</v>
      </c>
      <c r="C14" s="215"/>
      <c r="D14" s="67" t="str">
        <f t="shared" si="1"/>
        <v/>
      </c>
      <c r="E14" s="68"/>
      <c r="F14" s="199" t="s">
        <v>12</v>
      </c>
      <c r="G14" s="72">
        <v>584305</v>
      </c>
      <c r="H14" s="200">
        <f t="shared" si="0"/>
        <v>8.5455694274356349E-5</v>
      </c>
      <c r="J14" s="74"/>
    </row>
    <row r="15" spans="1:10" ht="15" x14ac:dyDescent="0.2">
      <c r="B15" s="199" t="s">
        <v>13</v>
      </c>
      <c r="C15" s="214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5" x14ac:dyDescent="0.2">
      <c r="B16" s="199" t="s">
        <v>14</v>
      </c>
      <c r="C16" s="214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5" x14ac:dyDescent="0.2">
      <c r="B17" s="199" t="s">
        <v>15</v>
      </c>
      <c r="C17" s="214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5" x14ac:dyDescent="0.2">
      <c r="B18" s="199" t="s">
        <v>16</v>
      </c>
      <c r="C18" s="214">
        <v>-288221</v>
      </c>
      <c r="D18" s="67">
        <f>+IF(C18/$F$120=0,"",C18/$F$120)</f>
        <v>-4.5570518668086281E-6</v>
      </c>
      <c r="E18" s="75"/>
      <c r="F18" s="199" t="s">
        <v>16</v>
      </c>
      <c r="G18" s="72">
        <v>-54642</v>
      </c>
      <c r="H18" s="200">
        <f t="shared" si="0"/>
        <v>-7.9914942479345209E-6</v>
      </c>
    </row>
    <row r="19" spans="2:9" s="80" customFormat="1" x14ac:dyDescent="0.2">
      <c r="B19" s="201" t="s">
        <v>17</v>
      </c>
      <c r="C19" s="77">
        <f>SUM(C7:C18)</f>
        <v>4808620</v>
      </c>
      <c r="D19" s="78">
        <f>SUM(D7:D18)</f>
        <v>7.6028917905958651E-5</v>
      </c>
      <c r="E19" s="79"/>
      <c r="F19" s="201" t="s">
        <v>17</v>
      </c>
      <c r="G19" s="77">
        <f>SUM(G7:G18)</f>
        <v>1237355</v>
      </c>
      <c r="H19" s="78">
        <f>SUM(H7:H18)</f>
        <v>1.8096547280760253E-4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2372.7015999999999</v>
      </c>
      <c r="D22" s="200">
        <f>+IF(C22/$F$121=0,"",C22/$F$121)</f>
        <v>5.8640068459701762E-5</v>
      </c>
      <c r="E22" s="75"/>
      <c r="F22" s="199" t="s">
        <v>5</v>
      </c>
      <c r="G22" s="66">
        <v>2329019</v>
      </c>
      <c r="H22" s="200">
        <f t="shared" ref="H22:H33" si="2">+IF(G22/$C$115=0,"",G22/$C$115)</f>
        <v>7.7446892409850692E-5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231247</v>
      </c>
      <c r="H23" s="200">
        <f t="shared" si="2"/>
        <v>7.6896588345139057E-6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-66.90961631821574</v>
      </c>
      <c r="D26" s="200">
        <f>+IF(C26/$F$121=0,"",C26/$F$121)</f>
        <v>-1.653635872927531E-6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3665.1215975809901</v>
      </c>
      <c r="D27" s="200">
        <f t="shared" ref="D27:D33" si="3">+IF(C27/$F$121=0,"",C27/$F$121)</f>
        <v>9.0581546956971216E-5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4633900</v>
      </c>
      <c r="H29" s="200">
        <f t="shared" si="2"/>
        <v>1.5409112366108097E-4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-4147.1945999999998</v>
      </c>
      <c r="D31" s="200">
        <f t="shared" si="3"/>
        <v>-1.0249572692145757E-4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-123.76</v>
      </c>
      <c r="D33" s="200">
        <f t="shared" si="3"/>
        <v>-3.0586631174239065E-6</v>
      </c>
      <c r="E33" s="75"/>
      <c r="F33" s="199" t="s">
        <v>16</v>
      </c>
      <c r="G33" s="72">
        <v>-164781</v>
      </c>
      <c r="H33" s="200">
        <f t="shared" si="2"/>
        <v>-5.479464262931134E-6</v>
      </c>
    </row>
    <row r="34" spans="1:13" s="80" customFormat="1" x14ac:dyDescent="0.2">
      <c r="B34" s="201" t="s">
        <v>17</v>
      </c>
      <c r="C34" s="203">
        <f>SUM(C22:C33)</f>
        <v>1699.9589812627739</v>
      </c>
      <c r="D34" s="78">
        <f>SUM(D22:D33)</f>
        <v>4.2013589504863963E-5</v>
      </c>
      <c r="E34" s="79"/>
      <c r="F34" s="201" t="s">
        <v>17</v>
      </c>
      <c r="G34" s="203">
        <f>SUM(G22:G33)</f>
        <v>7029385</v>
      </c>
      <c r="H34" s="78">
        <f>SUM(H22:H33)</f>
        <v>2.3374821064251443E-4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5597469</v>
      </c>
      <c r="D37" s="200">
        <f t="shared" ref="D37:D48" si="4">+IF(C37/$C$123=0,"",C37/$C$123)</f>
        <v>6.7997640638606027E-5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1122256</v>
      </c>
      <c r="D38" s="200">
        <f t="shared" si="4"/>
        <v>1.3633083129628667E-5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>
        <v>286</v>
      </c>
      <c r="H43" s="200">
        <f t="shared" si="5"/>
        <v>5.5402419115016407E-8</v>
      </c>
    </row>
    <row r="44" spans="1:13" x14ac:dyDescent="0.2">
      <c r="B44" s="199" t="s">
        <v>12</v>
      </c>
      <c r="C44" s="72">
        <v>-1767088</v>
      </c>
      <c r="D44" s="200">
        <f t="shared" si="4"/>
        <v>-2.1466454713870331E-5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3198649</v>
      </c>
      <c r="D45" s="200">
        <f t="shared" si="4"/>
        <v>3.8856952174462515E-5</v>
      </c>
      <c r="E45" s="68"/>
      <c r="F45" s="199" t="s">
        <v>13</v>
      </c>
      <c r="G45" s="72">
        <v>24988755</v>
      </c>
      <c r="H45" s="200">
        <f t="shared" si="5"/>
        <v>4.8406904813722441E-3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-134337</v>
      </c>
      <c r="D48" s="200">
        <f t="shared" si="4"/>
        <v>-1.6319159696049086E-6</v>
      </c>
      <c r="E48" s="68"/>
      <c r="F48" s="199" t="s">
        <v>16</v>
      </c>
      <c r="G48" s="72">
        <v>-16032</v>
      </c>
      <c r="H48" s="200">
        <f t="shared" si="5"/>
        <v>-3.1056349064753254E-6</v>
      </c>
    </row>
    <row r="49" spans="2:10" s="80" customFormat="1" x14ac:dyDescent="0.2">
      <c r="B49" s="201" t="s">
        <v>17</v>
      </c>
      <c r="C49" s="77">
        <f>SUM(C37:C48)</f>
        <v>8016949</v>
      </c>
      <c r="D49" s="78">
        <f>SUM(D37:D48)</f>
        <v>9.7389305259221965E-5</v>
      </c>
      <c r="E49" s="79"/>
      <c r="F49" s="201" t="s">
        <v>17</v>
      </c>
      <c r="G49" s="77">
        <f>SUM(G37:G48)</f>
        <v>24973009</v>
      </c>
      <c r="H49" s="78">
        <f>SUM(H37:H48)</f>
        <v>4.8376402488848839E-3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14106.455900000001</v>
      </c>
      <c r="H53" s="200">
        <f t="shared" ref="H53:H64" si="7">+IF(G53/$C$124=0,"",G53/$C$124)</f>
        <v>1.3045355878517099E-4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26103.16</v>
      </c>
      <c r="H60" s="200">
        <f t="shared" si="7"/>
        <v>2.4139657343264537E-4</v>
      </c>
    </row>
    <row r="61" spans="2:10" x14ac:dyDescent="0.2">
      <c r="B61" s="199" t="s">
        <v>13</v>
      </c>
      <c r="C61" s="72">
        <v>138922593</v>
      </c>
      <c r="D61" s="200">
        <f t="shared" si="6"/>
        <v>5.1634723091956592E-3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82491</v>
      </c>
      <c r="D63" s="200">
        <f t="shared" si="6"/>
        <v>3.0660239278564223E-6</v>
      </c>
      <c r="E63" s="68"/>
      <c r="F63" s="199" t="s">
        <v>15</v>
      </c>
      <c r="G63" s="92">
        <v>-325.56009999999998</v>
      </c>
      <c r="H63" s="200">
        <f t="shared" si="7"/>
        <v>-3.0107118290042033E-6</v>
      </c>
    </row>
    <row r="64" spans="2:10" x14ac:dyDescent="0.2">
      <c r="B64" s="199" t="s">
        <v>16</v>
      </c>
      <c r="C64" s="72">
        <v>-60934</v>
      </c>
      <c r="D64" s="200">
        <f t="shared" si="6"/>
        <v>-2.2647937595616885E-6</v>
      </c>
      <c r="E64" s="68"/>
      <c r="F64" s="199" t="s">
        <v>16</v>
      </c>
      <c r="G64" s="92">
        <v>-109.68</v>
      </c>
      <c r="H64" s="200">
        <f t="shared" si="7"/>
        <v>-1.0142977392044697E-6</v>
      </c>
    </row>
    <row r="65" spans="2:8" s="80" customFormat="1" x14ac:dyDescent="0.2">
      <c r="B65" s="201" t="s">
        <v>17</v>
      </c>
      <c r="C65" s="77">
        <f>SUM(C53:C64)</f>
        <v>138944150</v>
      </c>
      <c r="D65" s="78">
        <f>SUM(D53:D64)</f>
        <v>5.1642735393639541E-3</v>
      </c>
      <c r="E65" s="79"/>
      <c r="F65" s="201" t="s">
        <v>17</v>
      </c>
      <c r="G65" s="203">
        <f>SUM(G53:G64)</f>
        <v>39774.375800000002</v>
      </c>
      <c r="H65" s="78">
        <f>SUM(H53:H64)</f>
        <v>3.6782512264960766E-4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15616</v>
      </c>
      <c r="D72" s="200">
        <f t="shared" si="8"/>
        <v>1.1285092203038467E-6</v>
      </c>
      <c r="E72" s="68"/>
      <c r="F72" s="199" t="s">
        <v>9</v>
      </c>
      <c r="G72" s="66">
        <v>436403</v>
      </c>
      <c r="H72" s="200">
        <f t="shared" si="9"/>
        <v>7.9492378552197229E-5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7369577</v>
      </c>
      <c r="D76" s="200">
        <f t="shared" si="8"/>
        <v>5.325714391802742E-4</v>
      </c>
      <c r="E76" s="68"/>
      <c r="F76" s="199" t="s">
        <v>13</v>
      </c>
      <c r="G76" s="72">
        <v>2902938</v>
      </c>
      <c r="H76" s="200">
        <f t="shared" si="9"/>
        <v>5.2878061427065882E-4</v>
      </c>
    </row>
    <row r="77" spans="2:8" x14ac:dyDescent="0.2">
      <c r="B77" s="199" t="s">
        <v>14</v>
      </c>
      <c r="C77" s="66">
        <v>5442813</v>
      </c>
      <c r="D77" s="200">
        <f t="shared" si="8"/>
        <v>3.9333149685512558E-4</v>
      </c>
      <c r="E77" s="68"/>
      <c r="F77" s="199" t="s">
        <v>14</v>
      </c>
      <c r="G77" s="66">
        <v>2181710</v>
      </c>
      <c r="H77" s="200">
        <f t="shared" si="9"/>
        <v>3.9740633591225135E-4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-21148</v>
      </c>
      <c r="D79" s="200">
        <f t="shared" si="8"/>
        <v>-1.5282859241153784E-6</v>
      </c>
      <c r="E79" s="68"/>
      <c r="F79" s="199" t="s">
        <v>16</v>
      </c>
      <c r="G79" s="72">
        <v>-16066</v>
      </c>
      <c r="H79" s="200">
        <f t="shared" si="9"/>
        <v>-2.9264797763067642E-6</v>
      </c>
    </row>
    <row r="80" spans="2:8" s="80" customFormat="1" x14ac:dyDescent="0.2">
      <c r="B80" s="201" t="s">
        <v>17</v>
      </c>
      <c r="C80" s="77">
        <f>SUM(C68:C79)</f>
        <v>12806858</v>
      </c>
      <c r="D80" s="78">
        <f>SUM(D68:D79)</f>
        <v>9.2550315933158823E-4</v>
      </c>
      <c r="E80" s="79"/>
      <c r="F80" s="201" t="s">
        <v>17</v>
      </c>
      <c r="G80" s="77">
        <f>SUM(G68:G79)</f>
        <v>5504985</v>
      </c>
      <c r="H80" s="78">
        <f>SUM(H68:H79)</f>
        <v>1.0027528489588008E-3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18094.27</v>
      </c>
      <c r="D87" s="200">
        <f t="shared" si="10"/>
        <v>4.2238007725723525E-4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30791.276999999998</v>
      </c>
      <c r="D90" s="200">
        <f t="shared" si="10"/>
        <v>7.1877019399560905E-4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-493309.73369999998</v>
      </c>
      <c r="D92" s="200">
        <f t="shared" si="10"/>
        <v>-1.1515479952048473E-2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-444424.18669999996</v>
      </c>
      <c r="D95" s="209">
        <f>SUM(D83:D94)</f>
        <v>-1.037432968079563E-2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30072465499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26904878090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13837724778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5162229458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5489872211</v>
      </c>
      <c r="D119" s="205"/>
      <c r="E119" s="206"/>
      <c r="F119" s="204"/>
      <c r="H119" s="75"/>
    </row>
    <row r="120" spans="1:13" x14ac:dyDescent="0.2">
      <c r="B120" s="189" t="s">
        <v>1</v>
      </c>
      <c r="C120" s="190">
        <v>58136971180</v>
      </c>
      <c r="D120" s="193">
        <v>5110279109</v>
      </c>
      <c r="F120" s="204">
        <f>+C120+D120</f>
        <v>63247250289</v>
      </c>
      <c r="G120" s="197"/>
      <c r="H120" s="197"/>
    </row>
    <row r="121" spans="1:13" x14ac:dyDescent="0.2">
      <c r="B121" s="189" t="s">
        <v>18</v>
      </c>
      <c r="C121" s="192">
        <v>38452121.420000002</v>
      </c>
      <c r="D121" s="193">
        <v>2010000.51</v>
      </c>
      <c r="F121" s="204">
        <f>+C121+D121</f>
        <v>40462121.93</v>
      </c>
      <c r="H121" s="75"/>
    </row>
    <row r="122" spans="1:13" x14ac:dyDescent="0.2">
      <c r="B122" s="189" t="s">
        <v>4</v>
      </c>
      <c r="C122" s="190">
        <v>6837519781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82318576754</v>
      </c>
      <c r="D123" s="205"/>
      <c r="F123" s="204"/>
      <c r="H123" s="75"/>
    </row>
    <row r="124" spans="1:13" x14ac:dyDescent="0.2">
      <c r="B124" s="189" t="s">
        <v>25</v>
      </c>
      <c r="C124" s="192">
        <v>108133929.28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42838833.965599999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619" priority="48" stopIfTrue="1" operator="lessThan">
      <formula>0</formula>
    </cfRule>
  </conditionalFormatting>
  <conditionalFormatting sqref="C7:C9">
    <cfRule type="cellIs" dxfId="618" priority="47" stopIfTrue="1" operator="lessThan">
      <formula>0</formula>
    </cfRule>
  </conditionalFormatting>
  <conditionalFormatting sqref="C10:C13">
    <cfRule type="cellIs" dxfId="617" priority="45" stopIfTrue="1" operator="lessThan">
      <formula>0</formula>
    </cfRule>
  </conditionalFormatting>
  <conditionalFormatting sqref="C104">
    <cfRule type="cellIs" dxfId="616" priority="44" stopIfTrue="1" operator="lessThan">
      <formula>0</formula>
    </cfRule>
  </conditionalFormatting>
  <conditionalFormatting sqref="C7">
    <cfRule type="cellIs" dxfId="615" priority="46" stopIfTrue="1" operator="lessThan">
      <formula>0</formula>
    </cfRule>
  </conditionalFormatting>
  <conditionalFormatting sqref="C29:C33">
    <cfRule type="cellIs" dxfId="614" priority="39" stopIfTrue="1" operator="lessThan">
      <formula>0</formula>
    </cfRule>
  </conditionalFormatting>
  <conditionalFormatting sqref="G7:G9">
    <cfRule type="cellIs" dxfId="613" priority="42" stopIfTrue="1" operator="lessThan">
      <formula>0</formula>
    </cfRule>
  </conditionalFormatting>
  <conditionalFormatting sqref="C22">
    <cfRule type="cellIs" dxfId="612" priority="37" stopIfTrue="1" operator="lessThan">
      <formula>0</formula>
    </cfRule>
  </conditionalFormatting>
  <conditionalFormatting sqref="C25:C28">
    <cfRule type="cellIs" dxfId="611" priority="36" stopIfTrue="1" operator="lessThan">
      <formula>0</formula>
    </cfRule>
  </conditionalFormatting>
  <conditionalFormatting sqref="G14:G18">
    <cfRule type="cellIs" dxfId="610" priority="43" stopIfTrue="1" operator="lessThan">
      <formula>0</formula>
    </cfRule>
  </conditionalFormatting>
  <conditionalFormatting sqref="G7">
    <cfRule type="cellIs" dxfId="609" priority="41" stopIfTrue="1" operator="lessThan">
      <formula>0</formula>
    </cfRule>
  </conditionalFormatting>
  <conditionalFormatting sqref="G10:G13">
    <cfRule type="cellIs" dxfId="608" priority="40" stopIfTrue="1" operator="lessThan">
      <formula>0</formula>
    </cfRule>
  </conditionalFormatting>
  <conditionalFormatting sqref="C22:C24">
    <cfRule type="cellIs" dxfId="607" priority="38" stopIfTrue="1" operator="lessThan">
      <formula>0</formula>
    </cfRule>
  </conditionalFormatting>
  <conditionalFormatting sqref="G22">
    <cfRule type="cellIs" dxfId="606" priority="33" stopIfTrue="1" operator="lessThan">
      <formula>0</formula>
    </cfRule>
  </conditionalFormatting>
  <conditionalFormatting sqref="G29:G33">
    <cfRule type="cellIs" dxfId="605" priority="35" stopIfTrue="1" operator="lessThan">
      <formula>0</formula>
    </cfRule>
  </conditionalFormatting>
  <conditionalFormatting sqref="G22:G24">
    <cfRule type="cellIs" dxfId="604" priority="34" stopIfTrue="1" operator="lessThan">
      <formula>0</formula>
    </cfRule>
  </conditionalFormatting>
  <conditionalFormatting sqref="G25:G28">
    <cfRule type="cellIs" dxfId="603" priority="32" stopIfTrue="1" operator="lessThan">
      <formula>0</formula>
    </cfRule>
  </conditionalFormatting>
  <conditionalFormatting sqref="C40:C43">
    <cfRule type="cellIs" dxfId="602" priority="28" stopIfTrue="1" operator="lessThan">
      <formula>0</formula>
    </cfRule>
  </conditionalFormatting>
  <conditionalFormatting sqref="G44:G48">
    <cfRule type="cellIs" dxfId="601" priority="27" stopIfTrue="1" operator="lessThan">
      <formula>0</formula>
    </cfRule>
  </conditionalFormatting>
  <conditionalFormatting sqref="G37">
    <cfRule type="cellIs" dxfId="600" priority="25" stopIfTrue="1" operator="lessThan">
      <formula>0</formula>
    </cfRule>
  </conditionalFormatting>
  <conditionalFormatting sqref="C44:C48">
    <cfRule type="cellIs" dxfId="599" priority="31" stopIfTrue="1" operator="lessThan">
      <formula>0</formula>
    </cfRule>
  </conditionalFormatting>
  <conditionalFormatting sqref="C37:C39">
    <cfRule type="cellIs" dxfId="598" priority="30" stopIfTrue="1" operator="lessThan">
      <formula>0</formula>
    </cfRule>
  </conditionalFormatting>
  <conditionalFormatting sqref="C37">
    <cfRule type="cellIs" dxfId="597" priority="29" stopIfTrue="1" operator="lessThan">
      <formula>0</formula>
    </cfRule>
  </conditionalFormatting>
  <conditionalFormatting sqref="C56:C59">
    <cfRule type="cellIs" dxfId="596" priority="20" stopIfTrue="1" operator="lessThan">
      <formula>0</formula>
    </cfRule>
  </conditionalFormatting>
  <conditionalFormatting sqref="G60:G63">
    <cfRule type="cellIs" dxfId="595" priority="19" stopIfTrue="1" operator="lessThan">
      <formula>0</formula>
    </cfRule>
  </conditionalFormatting>
  <conditionalFormatting sqref="G37:G39">
    <cfRule type="cellIs" dxfId="594" priority="26" stopIfTrue="1" operator="lessThan">
      <formula>0</formula>
    </cfRule>
  </conditionalFormatting>
  <conditionalFormatting sqref="G53">
    <cfRule type="cellIs" dxfId="593" priority="17" stopIfTrue="1" operator="lessThan">
      <formula>0</formula>
    </cfRule>
  </conditionalFormatting>
  <conditionalFormatting sqref="G40:G43">
    <cfRule type="cellIs" dxfId="592" priority="24" stopIfTrue="1" operator="lessThan">
      <formula>0</formula>
    </cfRule>
  </conditionalFormatting>
  <conditionalFormatting sqref="C60:C64">
    <cfRule type="cellIs" dxfId="591" priority="23" stopIfTrue="1" operator="lessThan">
      <formula>0</formula>
    </cfRule>
  </conditionalFormatting>
  <conditionalFormatting sqref="C53:C55">
    <cfRule type="cellIs" dxfId="590" priority="22" stopIfTrue="1" operator="lessThan">
      <formula>0</formula>
    </cfRule>
  </conditionalFormatting>
  <conditionalFormatting sqref="C53">
    <cfRule type="cellIs" dxfId="589" priority="21" stopIfTrue="1" operator="lessThan">
      <formula>0</formula>
    </cfRule>
  </conditionalFormatting>
  <conditionalFormatting sqref="G53:G55">
    <cfRule type="cellIs" dxfId="588" priority="18" stopIfTrue="1" operator="lessThan">
      <formula>0</formula>
    </cfRule>
  </conditionalFormatting>
  <conditionalFormatting sqref="G56:G59">
    <cfRule type="cellIs" dxfId="587" priority="16" stopIfTrue="1" operator="lessThan">
      <formula>0</formula>
    </cfRule>
  </conditionalFormatting>
  <conditionalFormatting sqref="C75:C78">
    <cfRule type="cellIs" dxfId="586" priority="15" stopIfTrue="1" operator="lessThan">
      <formula>0</formula>
    </cfRule>
  </conditionalFormatting>
  <conditionalFormatting sqref="C68:C70">
    <cfRule type="cellIs" dxfId="585" priority="14" stopIfTrue="1" operator="lessThan">
      <formula>0</formula>
    </cfRule>
  </conditionalFormatting>
  <conditionalFormatting sqref="C68">
    <cfRule type="cellIs" dxfId="584" priority="13" stopIfTrue="1" operator="lessThan">
      <formula>0</formula>
    </cfRule>
  </conditionalFormatting>
  <conditionalFormatting sqref="C71:C74">
    <cfRule type="cellIs" dxfId="583" priority="12" stopIfTrue="1" operator="lessThan">
      <formula>0</formula>
    </cfRule>
  </conditionalFormatting>
  <conditionalFormatting sqref="G75:G79">
    <cfRule type="cellIs" dxfId="582" priority="11" stopIfTrue="1" operator="lessThan">
      <formula>0</formula>
    </cfRule>
  </conditionalFormatting>
  <conditionalFormatting sqref="G68:G70">
    <cfRule type="cellIs" dxfId="581" priority="10" stopIfTrue="1" operator="lessThan">
      <formula>0</formula>
    </cfRule>
  </conditionalFormatting>
  <conditionalFormatting sqref="G68">
    <cfRule type="cellIs" dxfId="580" priority="9" stopIfTrue="1" operator="lessThan">
      <formula>0</formula>
    </cfRule>
  </conditionalFormatting>
  <conditionalFormatting sqref="G71:G74">
    <cfRule type="cellIs" dxfId="579" priority="8" stopIfTrue="1" operator="lessThan">
      <formula>0</formula>
    </cfRule>
  </conditionalFormatting>
  <conditionalFormatting sqref="G64">
    <cfRule type="cellIs" dxfId="578" priority="7" stopIfTrue="1" operator="lessThan">
      <formula>0</formula>
    </cfRule>
  </conditionalFormatting>
  <conditionalFormatting sqref="C79">
    <cfRule type="cellIs" dxfId="577" priority="6" stopIfTrue="1" operator="lessThan">
      <formula>0</formula>
    </cfRule>
  </conditionalFormatting>
  <conditionalFormatting sqref="C90:C93">
    <cfRule type="cellIs" dxfId="576" priority="5" stopIfTrue="1" operator="lessThan">
      <formula>0</formula>
    </cfRule>
  </conditionalFormatting>
  <conditionalFormatting sqref="C83:C85">
    <cfRule type="cellIs" dxfId="575" priority="4" stopIfTrue="1" operator="lessThan">
      <formula>0</formula>
    </cfRule>
  </conditionalFormatting>
  <conditionalFormatting sqref="C83">
    <cfRule type="cellIs" dxfId="574" priority="3" stopIfTrue="1" operator="lessThan">
      <formula>0</formula>
    </cfRule>
  </conditionalFormatting>
  <conditionalFormatting sqref="C86:C89">
    <cfRule type="cellIs" dxfId="573" priority="2" stopIfTrue="1" operator="lessThan">
      <formula>0</formula>
    </cfRule>
  </conditionalFormatting>
  <conditionalFormatting sqref="C94">
    <cfRule type="cellIs" dxfId="572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dimension ref="A2:M130"/>
  <sheetViews>
    <sheetView topLeftCell="A49" workbookViewId="0">
      <selection activeCell="G53" sqref="G53:G64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43109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5021773</v>
      </c>
      <c r="D7" s="67">
        <f>+IF(C7/$F$120=0,"",C7/$F$120)</f>
        <v>8.0272700445483102E-5</v>
      </c>
      <c r="E7" s="68"/>
      <c r="F7" s="199" t="s">
        <v>5</v>
      </c>
      <c r="G7" s="66">
        <v>428010</v>
      </c>
      <c r="H7" s="200">
        <f>+IF(G7/$C$122=0,"",G7/$C$122)</f>
        <v>6.258715120243038E-5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66">
        <v>35409</v>
      </c>
      <c r="H8" s="200">
        <f>+IF(G8/$C$122=0,"",G8/$C$122)</f>
        <v>5.1777959321671389E-6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66">
        <v>11024</v>
      </c>
      <c r="H11" s="200">
        <f t="shared" si="0"/>
        <v>1.612020174424879E-6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72">
        <v>-1887174</v>
      </c>
      <c r="H14" s="200">
        <f t="shared" si="0"/>
        <v>-2.759581422940944E-4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2.75" x14ac:dyDescent="0.2">
      <c r="B17" s="199" t="s">
        <v>15</v>
      </c>
      <c r="C17" s="218">
        <v>2999</v>
      </c>
      <c r="D17" s="67">
        <f>+IF(C17/$F$120=0,"",C17/$F$120)</f>
        <v>4.7938811379169037E-8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-338389</v>
      </c>
      <c r="D18" s="67">
        <f>+IF(C18/$F$120=0,"",C18/$F$120)</f>
        <v>-5.4091251896584303E-6</v>
      </c>
      <c r="E18" s="75"/>
      <c r="F18" s="199" t="s">
        <v>16</v>
      </c>
      <c r="G18" s="72">
        <v>-25860</v>
      </c>
      <c r="H18" s="200">
        <f t="shared" si="0"/>
        <v>-3.7814624193239633E-6</v>
      </c>
    </row>
    <row r="19" spans="2:9" s="80" customFormat="1" x14ac:dyDescent="0.2">
      <c r="B19" s="201" t="s">
        <v>17</v>
      </c>
      <c r="C19" s="77">
        <f>SUM(C7:C18)</f>
        <v>4686383</v>
      </c>
      <c r="D19" s="78">
        <f>SUM(D7:D18)</f>
        <v>7.4911514067203832E-5</v>
      </c>
      <c r="E19" s="79"/>
      <c r="F19" s="201" t="s">
        <v>17</v>
      </c>
      <c r="G19" s="77">
        <f>SUM(G7:G18)</f>
        <v>-1438591</v>
      </c>
      <c r="H19" s="78">
        <f>SUM(H7:H18)</f>
        <v>-2.1036263740439596E-4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2285.8074999999999</v>
      </c>
      <c r="D22" s="200">
        <f>+IF(C22/$F$121=0,"",C22/$F$121)</f>
        <v>5.9246362347493815E-5</v>
      </c>
      <c r="E22" s="75"/>
      <c r="F22" s="199" t="s">
        <v>5</v>
      </c>
      <c r="G22" s="66">
        <v>2279168</v>
      </c>
      <c r="H22" s="200">
        <f t="shared" ref="H22:H33" si="2">+IF(G22/$C$115=0,"",G22/$C$115)</f>
        <v>7.281080399522794E-5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233945</v>
      </c>
      <c r="H23" s="200">
        <f t="shared" si="2"/>
        <v>7.4736586072916093E-6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-6.6663853437630678</v>
      </c>
      <c r="D26" s="200">
        <f>+IF(C26/$F$121=0,"",C26/$F$121)</f>
        <v>-1.7278755171842286E-7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15401.233875366335</v>
      </c>
      <c r="D27" s="200">
        <f t="shared" ref="D27:D33" si="3">+IF(C27/$F$121=0,"",C27/$F$121)</f>
        <v>3.9918806932711981E-4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-2401543</v>
      </c>
      <c r="H29" s="200">
        <f t="shared" si="2"/>
        <v>-7.672022275633551E-5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-15894.765299999999</v>
      </c>
      <c r="D31" s="200">
        <f t="shared" si="3"/>
        <v>-4.1198002211129819E-4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-165.74</v>
      </c>
      <c r="D33" s="200">
        <f t="shared" si="3"/>
        <v>-4.2958526015308052E-6</v>
      </c>
      <c r="E33" s="75"/>
      <c r="F33" s="199" t="s">
        <v>16</v>
      </c>
      <c r="G33" s="72">
        <v>-33465</v>
      </c>
      <c r="H33" s="200">
        <f t="shared" si="2"/>
        <v>-1.069080276530867E-6</v>
      </c>
    </row>
    <row r="34" spans="1:13" s="80" customFormat="1" x14ac:dyDescent="0.2">
      <c r="B34" s="201" t="s">
        <v>17</v>
      </c>
      <c r="C34" s="203">
        <f>SUM(C22:C33)</f>
        <v>1619.8696900225748</v>
      </c>
      <c r="D34" s="78">
        <f>SUM(D22:D33)</f>
        <v>4.1985769410066223E-5</v>
      </c>
      <c r="E34" s="79"/>
      <c r="F34" s="201" t="s">
        <v>17</v>
      </c>
      <c r="G34" s="203">
        <f>SUM(G22:G33)</f>
        <v>78105</v>
      </c>
      <c r="H34" s="78">
        <f>SUM(H22:H33)</f>
        <v>2.4951595696531658E-6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4375910</v>
      </c>
      <c r="D37" s="200">
        <f t="shared" ref="D37:D48" si="4">+IF(C37/$C$123=0,"",C37/$C$123)</f>
        <v>5.2917354436145176E-5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1135333</v>
      </c>
      <c r="D38" s="200">
        <f t="shared" si="4"/>
        <v>1.3729445707076246E-5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>
        <v>287</v>
      </c>
      <c r="H43" s="200">
        <f t="shared" si="5"/>
        <v>5.5289618761037111E-8</v>
      </c>
    </row>
    <row r="44" spans="1:13" x14ac:dyDescent="0.2">
      <c r="B44" s="199" t="s">
        <v>12</v>
      </c>
      <c r="C44" s="72">
        <v>7931015</v>
      </c>
      <c r="D44" s="200">
        <f t="shared" si="4"/>
        <v>9.5908812519769366E-5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5029488</v>
      </c>
      <c r="D45" s="200">
        <f t="shared" si="4"/>
        <v>6.0820994748141284E-5</v>
      </c>
      <c r="E45" s="68"/>
      <c r="F45" s="199" t="s">
        <v>13</v>
      </c>
      <c r="G45" s="72">
        <v>5231140</v>
      </c>
      <c r="H45" s="200">
        <f t="shared" si="5"/>
        <v>1.0077621473366261E-3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-109017</v>
      </c>
      <c r="D48" s="200">
        <f t="shared" si="4"/>
        <v>-1.3183294968509954E-6</v>
      </c>
      <c r="E48" s="68"/>
      <c r="F48" s="199" t="s">
        <v>16</v>
      </c>
      <c r="G48" s="72">
        <v>-42665</v>
      </c>
      <c r="H48" s="200">
        <f t="shared" si="5"/>
        <v>-8.2192738133785653E-6</v>
      </c>
    </row>
    <row r="49" spans="2:10" s="80" customFormat="1" x14ac:dyDescent="0.2">
      <c r="B49" s="201" t="s">
        <v>17</v>
      </c>
      <c r="C49" s="77">
        <f>SUM(C37:C48)</f>
        <v>18362729</v>
      </c>
      <c r="D49" s="78">
        <f>SUM(D37:D48)</f>
        <v>2.220582779142811E-4</v>
      </c>
      <c r="E49" s="79"/>
      <c r="F49" s="201" t="s">
        <v>17</v>
      </c>
      <c r="G49" s="77">
        <f>SUM(G37:G48)</f>
        <v>5188762</v>
      </c>
      <c r="H49" s="78">
        <f>SUM(H37:H48)</f>
        <v>9.9959816314200856E-4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14068.3549</v>
      </c>
      <c r="H53" s="200">
        <f t="shared" ref="H53:H64" si="7">+IF(G53/$C$124=0,"",G53/$C$124)</f>
        <v>1.3005514371116988E-4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-117447.45800000116</v>
      </c>
      <c r="H60" s="200">
        <f t="shared" si="7"/>
        <v>-1.0857450026869693E-3</v>
      </c>
    </row>
    <row r="61" spans="2:10" x14ac:dyDescent="0.2">
      <c r="B61" s="199" t="s">
        <v>13</v>
      </c>
      <c r="C61" s="72">
        <v>34933601</v>
      </c>
      <c r="D61" s="200">
        <f t="shared" si="6"/>
        <v>1.2901518987643815E-3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>
        <v>3696.08</v>
      </c>
      <c r="H63" s="200">
        <f t="shared" si="7"/>
        <v>3.4168473782814558E-5</v>
      </c>
    </row>
    <row r="64" spans="2:10" x14ac:dyDescent="0.2">
      <c r="B64" s="199" t="s">
        <v>16</v>
      </c>
      <c r="C64" s="72">
        <v>-185724</v>
      </c>
      <c r="D64" s="200">
        <f t="shared" si="6"/>
        <v>-6.8590744837932972E-6</v>
      </c>
      <c r="E64" s="68"/>
      <c r="F64" s="199" t="s">
        <v>16</v>
      </c>
      <c r="G64" s="92">
        <v>-109.67</v>
      </c>
      <c r="H64" s="200">
        <f t="shared" si="7"/>
        <v>-1.0138461612739099E-6</v>
      </c>
    </row>
    <row r="65" spans="2:8" s="80" customFormat="1" x14ac:dyDescent="0.2">
      <c r="B65" s="201" t="s">
        <v>17</v>
      </c>
      <c r="C65" s="77">
        <f>SUM(C53:C64)</f>
        <v>34747877</v>
      </c>
      <c r="D65" s="78">
        <f>SUM(D53:D64)</f>
        <v>1.2832928242805881E-3</v>
      </c>
      <c r="E65" s="79"/>
      <c r="F65" s="201" t="s">
        <v>17</v>
      </c>
      <c r="G65" s="203">
        <f>SUM(G53:G64)</f>
        <v>-99792.693100001154</v>
      </c>
      <c r="H65" s="78">
        <f>SUM(H53:H64)</f>
        <v>-9.2253523135425871E-4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-410287</v>
      </c>
      <c r="D72" s="200">
        <f t="shared" si="8"/>
        <v>-2.9634403826882267E-5</v>
      </c>
      <c r="E72" s="68"/>
      <c r="F72" s="199" t="s">
        <v>9</v>
      </c>
      <c r="G72" s="66">
        <v>-2553488</v>
      </c>
      <c r="H72" s="200">
        <f t="shared" si="9"/>
        <v>-4.6467575513253664E-4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16773212</v>
      </c>
      <c r="D76" s="200">
        <f t="shared" si="8"/>
        <v>1.2115035033571806E-3</v>
      </c>
      <c r="E76" s="68"/>
      <c r="F76" s="199" t="s">
        <v>13</v>
      </c>
      <c r="G76" s="72">
        <v>-1812765</v>
      </c>
      <c r="H76" s="200">
        <f t="shared" si="9"/>
        <v>-3.2988130167552491E-4</v>
      </c>
    </row>
    <row r="77" spans="2:8" x14ac:dyDescent="0.2">
      <c r="B77" s="199" t="s">
        <v>14</v>
      </c>
      <c r="C77" s="66">
        <v>20899264</v>
      </c>
      <c r="D77" s="200">
        <f t="shared" si="8"/>
        <v>1.5095219421054598E-3</v>
      </c>
      <c r="E77" s="68"/>
      <c r="F77" s="199" t="s">
        <v>14</v>
      </c>
      <c r="G77" s="66">
        <v>8374893</v>
      </c>
      <c r="H77" s="200">
        <f t="shared" si="9"/>
        <v>1.5240368190213526E-3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-21148</v>
      </c>
      <c r="D79" s="200">
        <f t="shared" si="8"/>
        <v>-1.5274877637626983E-6</v>
      </c>
      <c r="E79" s="68"/>
      <c r="F79" s="199" t="s">
        <v>16</v>
      </c>
      <c r="G79" s="72">
        <v>-16066</v>
      </c>
      <c r="H79" s="200">
        <f t="shared" si="9"/>
        <v>-2.9236404016620928E-6</v>
      </c>
    </row>
    <row r="80" spans="2:8" s="80" customFormat="1" x14ac:dyDescent="0.2">
      <c r="B80" s="201" t="s">
        <v>17</v>
      </c>
      <c r="C80" s="77">
        <f>SUM(C68:C79)</f>
        <v>37241041</v>
      </c>
      <c r="D80" s="78">
        <f>SUM(D68:D79)</f>
        <v>2.6898635538719954E-3</v>
      </c>
      <c r="E80" s="79"/>
      <c r="F80" s="201" t="s">
        <v>17</v>
      </c>
      <c r="G80" s="77">
        <f>SUM(G68:G79)</f>
        <v>3992574</v>
      </c>
      <c r="H80" s="78">
        <f>SUM(H68:H79)</f>
        <v>7.2655612181162898E-4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-8450.9377198821658</v>
      </c>
      <c r="D87" s="200">
        <f t="shared" si="10"/>
        <v>-1.9212817235573734E-4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36438.4663</v>
      </c>
      <c r="D90" s="200">
        <f t="shared" si="10"/>
        <v>8.2841172964681869E-4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74382.630900000004</v>
      </c>
      <c r="D92" s="200">
        <f t="shared" si="10"/>
        <v>1.6910548158704994E-3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102370.15948011784</v>
      </c>
      <c r="D95" s="209">
        <f>SUM(D83:D94)</f>
        <v>2.3273383731615806E-3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31302607236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27077122495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13844955424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5190847874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5495203853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61755992865</v>
      </c>
      <c r="D120" s="217">
        <v>802921587</v>
      </c>
      <c r="F120" s="204">
        <f>+C120+D120</f>
        <v>62558914452</v>
      </c>
      <c r="G120" s="197"/>
      <c r="H120" s="197"/>
    </row>
    <row r="121" spans="1:13" x14ac:dyDescent="0.2">
      <c r="B121" s="189" t="s">
        <v>18</v>
      </c>
      <c r="C121" s="192">
        <v>38459472.229999997</v>
      </c>
      <c r="D121" s="193">
        <v>121926.01</v>
      </c>
      <c r="F121" s="204">
        <f>+C121+D121</f>
        <v>38581398.239999995</v>
      </c>
      <c r="H121" s="75"/>
    </row>
    <row r="122" spans="1:13" x14ac:dyDescent="0.2">
      <c r="B122" s="189" t="s">
        <v>4</v>
      </c>
      <c r="C122" s="190">
        <v>6838624091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82693287422</v>
      </c>
      <c r="D123" s="205"/>
      <c r="F123" s="204"/>
      <c r="H123" s="75"/>
    </row>
    <row r="124" spans="1:13" x14ac:dyDescent="0.2">
      <c r="B124" s="189" t="s">
        <v>25</v>
      </c>
      <c r="C124" s="192">
        <v>108172229.86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43985937.180700004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571" priority="48" stopIfTrue="1" operator="lessThan">
      <formula>0</formula>
    </cfRule>
  </conditionalFormatting>
  <conditionalFormatting sqref="C7:C9">
    <cfRule type="cellIs" dxfId="570" priority="47" stopIfTrue="1" operator="lessThan">
      <formula>0</formula>
    </cfRule>
  </conditionalFormatting>
  <conditionalFormatting sqref="C10:C13">
    <cfRule type="cellIs" dxfId="569" priority="45" stopIfTrue="1" operator="lessThan">
      <formula>0</formula>
    </cfRule>
  </conditionalFormatting>
  <conditionalFormatting sqref="C104">
    <cfRule type="cellIs" dxfId="568" priority="44" stopIfTrue="1" operator="lessThan">
      <formula>0</formula>
    </cfRule>
  </conditionalFormatting>
  <conditionalFormatting sqref="C7">
    <cfRule type="cellIs" dxfId="567" priority="46" stopIfTrue="1" operator="lessThan">
      <formula>0</formula>
    </cfRule>
  </conditionalFormatting>
  <conditionalFormatting sqref="C29:C33">
    <cfRule type="cellIs" dxfId="566" priority="39" stopIfTrue="1" operator="lessThan">
      <formula>0</formula>
    </cfRule>
  </conditionalFormatting>
  <conditionalFormatting sqref="G7:G9">
    <cfRule type="cellIs" dxfId="565" priority="42" stopIfTrue="1" operator="lessThan">
      <formula>0</formula>
    </cfRule>
  </conditionalFormatting>
  <conditionalFormatting sqref="C22">
    <cfRule type="cellIs" dxfId="564" priority="37" stopIfTrue="1" operator="lessThan">
      <formula>0</formula>
    </cfRule>
  </conditionalFormatting>
  <conditionalFormatting sqref="C25:C28">
    <cfRule type="cellIs" dxfId="563" priority="36" stopIfTrue="1" operator="lessThan">
      <formula>0</formula>
    </cfRule>
  </conditionalFormatting>
  <conditionalFormatting sqref="G14:G18">
    <cfRule type="cellIs" dxfId="562" priority="43" stopIfTrue="1" operator="lessThan">
      <formula>0</formula>
    </cfRule>
  </conditionalFormatting>
  <conditionalFormatting sqref="G7">
    <cfRule type="cellIs" dxfId="561" priority="41" stopIfTrue="1" operator="lessThan">
      <formula>0</formula>
    </cfRule>
  </conditionalFormatting>
  <conditionalFormatting sqref="G10:G13">
    <cfRule type="cellIs" dxfId="560" priority="40" stopIfTrue="1" operator="lessThan">
      <formula>0</formula>
    </cfRule>
  </conditionalFormatting>
  <conditionalFormatting sqref="C22:C24">
    <cfRule type="cellIs" dxfId="559" priority="38" stopIfTrue="1" operator="lessThan">
      <formula>0</formula>
    </cfRule>
  </conditionalFormatting>
  <conditionalFormatting sqref="G22">
    <cfRule type="cellIs" dxfId="558" priority="33" stopIfTrue="1" operator="lessThan">
      <formula>0</formula>
    </cfRule>
  </conditionalFormatting>
  <conditionalFormatting sqref="G29:G33">
    <cfRule type="cellIs" dxfId="557" priority="35" stopIfTrue="1" operator="lessThan">
      <formula>0</formula>
    </cfRule>
  </conditionalFormatting>
  <conditionalFormatting sqref="G22:G24">
    <cfRule type="cellIs" dxfId="556" priority="34" stopIfTrue="1" operator="lessThan">
      <formula>0</formula>
    </cfRule>
  </conditionalFormatting>
  <conditionalFormatting sqref="G25:G28">
    <cfRule type="cellIs" dxfId="555" priority="32" stopIfTrue="1" operator="lessThan">
      <formula>0</formula>
    </cfRule>
  </conditionalFormatting>
  <conditionalFormatting sqref="C40:C43">
    <cfRule type="cellIs" dxfId="554" priority="28" stopIfTrue="1" operator="lessThan">
      <formula>0</formula>
    </cfRule>
  </conditionalFormatting>
  <conditionalFormatting sqref="G44:G48">
    <cfRule type="cellIs" dxfId="553" priority="27" stopIfTrue="1" operator="lessThan">
      <formula>0</formula>
    </cfRule>
  </conditionalFormatting>
  <conditionalFormatting sqref="G37">
    <cfRule type="cellIs" dxfId="552" priority="25" stopIfTrue="1" operator="lessThan">
      <formula>0</formula>
    </cfRule>
  </conditionalFormatting>
  <conditionalFormatting sqref="C44:C48">
    <cfRule type="cellIs" dxfId="551" priority="31" stopIfTrue="1" operator="lessThan">
      <formula>0</formula>
    </cfRule>
  </conditionalFormatting>
  <conditionalFormatting sqref="C37:C39">
    <cfRule type="cellIs" dxfId="550" priority="30" stopIfTrue="1" operator="lessThan">
      <formula>0</formula>
    </cfRule>
  </conditionalFormatting>
  <conditionalFormatting sqref="C37">
    <cfRule type="cellIs" dxfId="549" priority="29" stopIfTrue="1" operator="lessThan">
      <formula>0</formula>
    </cfRule>
  </conditionalFormatting>
  <conditionalFormatting sqref="C56:C59">
    <cfRule type="cellIs" dxfId="548" priority="20" stopIfTrue="1" operator="lessThan">
      <formula>0</formula>
    </cfRule>
  </conditionalFormatting>
  <conditionalFormatting sqref="G60:G63">
    <cfRule type="cellIs" dxfId="547" priority="19" stopIfTrue="1" operator="lessThan">
      <formula>0</formula>
    </cfRule>
  </conditionalFormatting>
  <conditionalFormatting sqref="G37:G39">
    <cfRule type="cellIs" dxfId="546" priority="26" stopIfTrue="1" operator="lessThan">
      <formula>0</formula>
    </cfRule>
  </conditionalFormatting>
  <conditionalFormatting sqref="G53">
    <cfRule type="cellIs" dxfId="545" priority="17" stopIfTrue="1" operator="lessThan">
      <formula>0</formula>
    </cfRule>
  </conditionalFormatting>
  <conditionalFormatting sqref="G40:G43">
    <cfRule type="cellIs" dxfId="544" priority="24" stopIfTrue="1" operator="lessThan">
      <formula>0</formula>
    </cfRule>
  </conditionalFormatting>
  <conditionalFormatting sqref="C60:C64">
    <cfRule type="cellIs" dxfId="543" priority="23" stopIfTrue="1" operator="lessThan">
      <formula>0</formula>
    </cfRule>
  </conditionalFormatting>
  <conditionalFormatting sqref="C53:C55">
    <cfRule type="cellIs" dxfId="542" priority="22" stopIfTrue="1" operator="lessThan">
      <formula>0</formula>
    </cfRule>
  </conditionalFormatting>
  <conditionalFormatting sqref="C53">
    <cfRule type="cellIs" dxfId="541" priority="21" stopIfTrue="1" operator="lessThan">
      <formula>0</formula>
    </cfRule>
  </conditionalFormatting>
  <conditionalFormatting sqref="G53:G55">
    <cfRule type="cellIs" dxfId="540" priority="18" stopIfTrue="1" operator="lessThan">
      <formula>0</formula>
    </cfRule>
  </conditionalFormatting>
  <conditionalFormatting sqref="G56:G59">
    <cfRule type="cellIs" dxfId="539" priority="16" stopIfTrue="1" operator="lessThan">
      <formula>0</formula>
    </cfRule>
  </conditionalFormatting>
  <conditionalFormatting sqref="C75:C78">
    <cfRule type="cellIs" dxfId="538" priority="15" stopIfTrue="1" operator="lessThan">
      <formula>0</formula>
    </cfRule>
  </conditionalFormatting>
  <conditionalFormatting sqref="C68:C70">
    <cfRule type="cellIs" dxfId="537" priority="14" stopIfTrue="1" operator="lessThan">
      <formula>0</formula>
    </cfRule>
  </conditionalFormatting>
  <conditionalFormatting sqref="C68">
    <cfRule type="cellIs" dxfId="536" priority="13" stopIfTrue="1" operator="lessThan">
      <formula>0</formula>
    </cfRule>
  </conditionalFormatting>
  <conditionalFormatting sqref="C71:C74">
    <cfRule type="cellIs" dxfId="535" priority="12" stopIfTrue="1" operator="lessThan">
      <formula>0</formula>
    </cfRule>
  </conditionalFormatting>
  <conditionalFormatting sqref="G75:G79">
    <cfRule type="cellIs" dxfId="534" priority="11" stopIfTrue="1" operator="lessThan">
      <formula>0</formula>
    </cfRule>
  </conditionalFormatting>
  <conditionalFormatting sqref="G68:G70">
    <cfRule type="cellIs" dxfId="533" priority="10" stopIfTrue="1" operator="lessThan">
      <formula>0</formula>
    </cfRule>
  </conditionalFormatting>
  <conditionalFormatting sqref="G68">
    <cfRule type="cellIs" dxfId="532" priority="9" stopIfTrue="1" operator="lessThan">
      <formula>0</formula>
    </cfRule>
  </conditionalFormatting>
  <conditionalFormatting sqref="G71:G74">
    <cfRule type="cellIs" dxfId="531" priority="8" stopIfTrue="1" operator="lessThan">
      <formula>0</formula>
    </cfRule>
  </conditionalFormatting>
  <conditionalFormatting sqref="G64">
    <cfRule type="cellIs" dxfId="530" priority="7" stopIfTrue="1" operator="lessThan">
      <formula>0</formula>
    </cfRule>
  </conditionalFormatting>
  <conditionalFormatting sqref="C79">
    <cfRule type="cellIs" dxfId="529" priority="6" stopIfTrue="1" operator="lessThan">
      <formula>0</formula>
    </cfRule>
  </conditionalFormatting>
  <conditionalFormatting sqref="C90:C93">
    <cfRule type="cellIs" dxfId="528" priority="5" stopIfTrue="1" operator="lessThan">
      <formula>0</formula>
    </cfRule>
  </conditionalFormatting>
  <conditionalFormatting sqref="C83:C85">
    <cfRule type="cellIs" dxfId="527" priority="4" stopIfTrue="1" operator="lessThan">
      <formula>0</formula>
    </cfRule>
  </conditionalFormatting>
  <conditionalFormatting sqref="C83">
    <cfRule type="cellIs" dxfId="526" priority="3" stopIfTrue="1" operator="lessThan">
      <formula>0</formula>
    </cfRule>
  </conditionalFormatting>
  <conditionalFormatting sqref="C86:C89">
    <cfRule type="cellIs" dxfId="525" priority="2" stopIfTrue="1" operator="lessThan">
      <formula>0</formula>
    </cfRule>
  </conditionalFormatting>
  <conditionalFormatting sqref="C94">
    <cfRule type="cellIs" dxfId="524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dimension ref="A2:M130"/>
  <sheetViews>
    <sheetView topLeftCell="A31" workbookViewId="0">
      <selection activeCell="G53" sqref="G53:G64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43110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5092081</v>
      </c>
      <c r="D7" s="67">
        <f>+IF(C7/$F$120=0,"",C7/$F$120)</f>
        <v>8.0453469595816046E-5</v>
      </c>
      <c r="E7" s="68"/>
      <c r="F7" s="199" t="s">
        <v>5</v>
      </c>
      <c r="G7" s="66">
        <v>605554</v>
      </c>
      <c r="H7" s="200">
        <f>+IF(G7/$C$122=0,"",G7/$C$122)</f>
        <v>8.8569532971744265E-5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66">
        <v>35024</v>
      </c>
      <c r="H8" s="200">
        <f>+IF(G8/$C$122=0,"",G8/$C$122)</f>
        <v>5.1226799307780497E-6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66">
        <v>50757</v>
      </c>
      <c r="H11" s="200">
        <f t="shared" si="0"/>
        <v>7.4238198163117139E-6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66">
        <v>0</v>
      </c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72">
        <v>-8275203</v>
      </c>
      <c r="H14" s="200">
        <f t="shared" si="0"/>
        <v>-1.2103476567843282E-3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2.75" x14ac:dyDescent="0.2">
      <c r="B17" s="199" t="s">
        <v>15</v>
      </c>
      <c r="C17" s="218"/>
      <c r="D17" s="67" t="str">
        <f>+IF(C17/$F$120=0,"",C17/$F$120)</f>
        <v/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-229053</v>
      </c>
      <c r="D18" s="67">
        <f>+IF(C18/$F$120=0,"",C18/$F$120)</f>
        <v>-3.6189739659150064E-6</v>
      </c>
      <c r="E18" s="75"/>
      <c r="F18" s="199" t="s">
        <v>16</v>
      </c>
      <c r="G18" s="72">
        <v>-25866</v>
      </c>
      <c r="H18" s="200">
        <f t="shared" si="0"/>
        <v>-3.783212628183675E-6</v>
      </c>
    </row>
    <row r="19" spans="2:9" s="80" customFormat="1" x14ac:dyDescent="0.2">
      <c r="B19" s="201" t="s">
        <v>17</v>
      </c>
      <c r="C19" s="77">
        <f>SUM(C7:C18)</f>
        <v>4863028</v>
      </c>
      <c r="D19" s="78">
        <f>SUM(D7:D18)</f>
        <v>7.6834495629901043E-5</v>
      </c>
      <c r="E19" s="79"/>
      <c r="F19" s="201" t="s">
        <v>17</v>
      </c>
      <c r="G19" s="77">
        <f>SUM(G7:G18)</f>
        <v>-7609734</v>
      </c>
      <c r="H19" s="78">
        <f>SUM(H7:H18)</f>
        <v>-1.1130148366936779E-3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2169.4306000000001</v>
      </c>
      <c r="D22" s="200">
        <f>+IF(C22/$F$121=0,"",C22/$F$121)</f>
        <v>5.6208919407889314E-5</v>
      </c>
      <c r="E22" s="75"/>
      <c r="F22" s="199" t="s">
        <v>5</v>
      </c>
      <c r="G22" s="66">
        <v>2492759</v>
      </c>
      <c r="H22" s="200">
        <f t="shared" ref="H22:H33" si="2">+IF(G22/$C$115=0,"",G22/$C$115)</f>
        <v>7.8873160045212341E-5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245147</v>
      </c>
      <c r="H23" s="200">
        <f t="shared" si="2"/>
        <v>7.7566738563991421E-6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-13.30398837762823</v>
      </c>
      <c r="D26" s="200">
        <f>+IF(C26/$F$121=0,"",C26/$F$121)</f>
        <v>-3.4470003812133984E-7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31400.738210932992</v>
      </c>
      <c r="D27" s="200">
        <f t="shared" ref="D27:D33" si="3">+IF(C27/$F$121=0,"",C27/$F$121)</f>
        <v>8.1357825571675942E-4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-8146736</v>
      </c>
      <c r="H29" s="200">
        <f t="shared" si="2"/>
        <v>-2.5777013035519798E-4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-31641.766100000001</v>
      </c>
      <c r="D31" s="200">
        <f t="shared" si="3"/>
        <v>-8.1982317417214645E-4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-201.67</v>
      </c>
      <c r="D33" s="200">
        <f t="shared" si="3"/>
        <v>-5.2251741894804267E-6</v>
      </c>
      <c r="E33" s="75"/>
      <c r="F33" s="199" t="s">
        <v>16</v>
      </c>
      <c r="G33" s="72">
        <v>-53285</v>
      </c>
      <c r="H33" s="200">
        <f t="shared" si="2"/>
        <v>-1.6859858225400609E-6</v>
      </c>
    </row>
    <row r="34" spans="1:13" s="80" customFormat="1" x14ac:dyDescent="0.2">
      <c r="B34" s="201" t="s">
        <v>17</v>
      </c>
      <c r="C34" s="203">
        <f>SUM(C22:C33)</f>
        <v>1713.4287225553617</v>
      </c>
      <c r="D34" s="78">
        <f>SUM(D22:D33)</f>
        <v>4.4394126724900541E-5</v>
      </c>
      <c r="E34" s="79"/>
      <c r="F34" s="201" t="s">
        <v>17</v>
      </c>
      <c r="G34" s="203">
        <f>SUM(G22:G33)</f>
        <v>-5462115</v>
      </c>
      <c r="H34" s="78">
        <f>SUM(H22:H33)</f>
        <v>-1.7282628227612655E-4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4935186</v>
      </c>
      <c r="D37" s="200">
        <f t="shared" ref="D37:D48" si="4">+IF(C37/$C$123=0,"",C37/$C$123)</f>
        <v>5.9740085445447275E-5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1122692</v>
      </c>
      <c r="D38" s="200">
        <f t="shared" si="4"/>
        <v>1.3590109067605576E-5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109500</v>
      </c>
      <c r="H39" s="200">
        <f t="shared" si="5"/>
        <v>2.0773491012090442E-5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>
        <v>286</v>
      </c>
      <c r="H43" s="200">
        <f t="shared" si="5"/>
        <v>5.4257702552126634E-8</v>
      </c>
    </row>
    <row r="44" spans="1:13" x14ac:dyDescent="0.2">
      <c r="B44" s="199" t="s">
        <v>12</v>
      </c>
      <c r="C44" s="72">
        <v>-121409012</v>
      </c>
      <c r="D44" s="200">
        <f t="shared" si="4"/>
        <v>-1.4696476993425038E-3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-28582520</v>
      </c>
      <c r="D45" s="200">
        <f t="shared" si="4"/>
        <v>-3.4598942918183948E-4</v>
      </c>
      <c r="E45" s="68"/>
      <c r="F45" s="199" t="s">
        <v>13</v>
      </c>
      <c r="G45" s="72">
        <v>-23480009</v>
      </c>
      <c r="H45" s="200">
        <f t="shared" si="5"/>
        <v>-4.4544452595918051E-3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-162540</v>
      </c>
      <c r="D48" s="200">
        <f t="shared" si="4"/>
        <v>-1.9675354664045085E-6</v>
      </c>
      <c r="E48" s="68"/>
      <c r="F48" s="199" t="s">
        <v>16</v>
      </c>
      <c r="G48" s="72">
        <v>-16032</v>
      </c>
      <c r="H48" s="200">
        <f t="shared" si="5"/>
        <v>-3.0414667388660635E-6</v>
      </c>
    </row>
    <row r="49" spans="2:10" s="80" customFormat="1" x14ac:dyDescent="0.2">
      <c r="B49" s="201" t="s">
        <v>17</v>
      </c>
      <c r="C49" s="77">
        <f>SUM(C37:C48)</f>
        <v>-144096194</v>
      </c>
      <c r="D49" s="78">
        <f>SUM(D37:D48)</f>
        <v>-1.7442744694776949E-3</v>
      </c>
      <c r="E49" s="79"/>
      <c r="F49" s="201" t="s">
        <v>17</v>
      </c>
      <c r="G49" s="77">
        <f>SUM(G37:G48)</f>
        <v>-23386255</v>
      </c>
      <c r="H49" s="78">
        <f>SUM(H37:H48)</f>
        <v>-4.4366589776160285E-3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13326.1847</v>
      </c>
      <c r="H53" s="200">
        <f t="shared" ref="H53:H64" si="7">+IF(G53/$C$124=0,"",G53/$C$124)</f>
        <v>1.2330957470455168E-4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789450</v>
      </c>
      <c r="D55" s="200">
        <f t="shared" si="6"/>
        <v>2.8970045614509456E-5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-5023.6549999999997</v>
      </c>
      <c r="H60" s="200">
        <f t="shared" si="7"/>
        <v>-4.6484779811913798E-5</v>
      </c>
    </row>
    <row r="61" spans="2:10" x14ac:dyDescent="0.2">
      <c r="B61" s="199" t="s">
        <v>13</v>
      </c>
      <c r="C61" s="72">
        <v>-102158091</v>
      </c>
      <c r="D61" s="200">
        <f t="shared" si="6"/>
        <v>-3.7488435697779566E-3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-223977</v>
      </c>
      <c r="D64" s="200">
        <f t="shared" si="6"/>
        <v>-8.2191701901336183E-6</v>
      </c>
      <c r="E64" s="68"/>
      <c r="F64" s="199" t="s">
        <v>16</v>
      </c>
      <c r="G64" s="92">
        <v>-109.63</v>
      </c>
      <c r="H64" s="200">
        <f t="shared" si="7"/>
        <v>-1.0144260325958112E-6</v>
      </c>
    </row>
    <row r="65" spans="2:8" s="80" customFormat="1" x14ac:dyDescent="0.2">
      <c r="B65" s="201" t="s">
        <v>17</v>
      </c>
      <c r="C65" s="77">
        <f>SUM(C53:C64)</f>
        <v>-101592618</v>
      </c>
      <c r="D65" s="78">
        <f>SUM(D53:D64)</f>
        <v>-3.7280926943535808E-3</v>
      </c>
      <c r="E65" s="79"/>
      <c r="F65" s="201" t="s">
        <v>17</v>
      </c>
      <c r="G65" s="203">
        <f>SUM(G53:G64)</f>
        <v>8192.8996999999999</v>
      </c>
      <c r="H65" s="78">
        <f>SUM(H53:H64)</f>
        <v>7.5810368860042073E-5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1070324</v>
      </c>
      <c r="D72" s="200">
        <f t="shared" si="8"/>
        <v>7.5858400797338275E-5</v>
      </c>
      <c r="E72" s="68"/>
      <c r="F72" s="199" t="s">
        <v>9</v>
      </c>
      <c r="G72" s="66">
        <v>793679</v>
      </c>
      <c r="H72" s="200">
        <f t="shared" si="9"/>
        <v>1.417531246260486E-4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-22652828</v>
      </c>
      <c r="D76" s="200">
        <f t="shared" si="8"/>
        <v>-1.6055019840881515E-3</v>
      </c>
      <c r="E76" s="68"/>
      <c r="F76" s="199" t="s">
        <v>13</v>
      </c>
      <c r="G76" s="72">
        <v>-3352937</v>
      </c>
      <c r="H76" s="200">
        <f t="shared" si="9"/>
        <v>-5.9884323060618904E-4</v>
      </c>
    </row>
    <row r="77" spans="2:8" x14ac:dyDescent="0.2">
      <c r="B77" s="199" t="s">
        <v>14</v>
      </c>
      <c r="C77" s="66">
        <v>41724114</v>
      </c>
      <c r="D77" s="200">
        <f t="shared" si="8"/>
        <v>2.9571648984100447E-3</v>
      </c>
      <c r="E77" s="68"/>
      <c r="F77" s="199" t="s">
        <v>14</v>
      </c>
      <c r="G77" s="66">
        <v>16739180</v>
      </c>
      <c r="H77" s="200">
        <f t="shared" si="9"/>
        <v>2.9896608939859316E-3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-21148</v>
      </c>
      <c r="D79" s="200">
        <f t="shared" si="8"/>
        <v>-1.4988484422119934E-6</v>
      </c>
      <c r="E79" s="68"/>
      <c r="F79" s="199" t="s">
        <v>16</v>
      </c>
      <c r="G79" s="72">
        <v>-16066</v>
      </c>
      <c r="H79" s="200">
        <f t="shared" si="9"/>
        <v>-2.8694292027911748E-6</v>
      </c>
    </row>
    <row r="80" spans="2:8" s="80" customFormat="1" x14ac:dyDescent="0.2">
      <c r="B80" s="201" t="s">
        <v>17</v>
      </c>
      <c r="C80" s="77">
        <f>SUM(C68:C79)</f>
        <v>20120462</v>
      </c>
      <c r="D80" s="78">
        <f>SUM(D68:D79)</f>
        <v>1.4260224666770194E-3</v>
      </c>
      <c r="E80" s="79"/>
      <c r="F80" s="201" t="s">
        <v>17</v>
      </c>
      <c r="G80" s="77">
        <f>SUM(G68:G79)</f>
        <v>14163856</v>
      </c>
      <c r="H80" s="78">
        <f>SUM(H68:H79)</f>
        <v>2.529701358803E-3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-3982</v>
      </c>
      <c r="D87" s="200">
        <f t="shared" si="10"/>
        <v>-7.4957981997862509E-5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40064.005299999997</v>
      </c>
      <c r="D90" s="200">
        <f t="shared" si="10"/>
        <v>7.5417302562523047E-4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924979.4031</v>
      </c>
      <c r="D92" s="200">
        <f t="shared" si="10"/>
        <v>1.7412001367645254E-2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961061.40839999996</v>
      </c>
      <c r="D95" s="209">
        <f>SUM(D83:D94)</f>
        <v>1.8091216411272624E-2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31604654848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27250561166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14109498602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5271140991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5599022964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62118108106</v>
      </c>
      <c r="D120" s="217">
        <v>1174140514</v>
      </c>
      <c r="F120" s="204">
        <f>+C120+D120</f>
        <v>63292248620</v>
      </c>
      <c r="G120" s="197"/>
      <c r="H120" s="197"/>
    </row>
    <row r="121" spans="1:13" x14ac:dyDescent="0.2">
      <c r="B121" s="189" t="s">
        <v>18</v>
      </c>
      <c r="C121" s="192">
        <v>37579582.490000002</v>
      </c>
      <c r="D121" s="193">
        <v>1016260</v>
      </c>
      <c r="F121" s="204">
        <f>+C121+D121</f>
        <v>38595842.490000002</v>
      </c>
      <c r="H121" s="75"/>
    </row>
    <row r="122" spans="1:13" x14ac:dyDescent="0.2">
      <c r="B122" s="189" t="s">
        <v>4</v>
      </c>
      <c r="C122" s="190">
        <v>6837046326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82610963195</v>
      </c>
      <c r="D123" s="205"/>
      <c r="F123" s="204"/>
      <c r="H123" s="75"/>
    </row>
    <row r="124" spans="1:13" x14ac:dyDescent="0.2">
      <c r="B124" s="189" t="s">
        <v>25</v>
      </c>
      <c r="C124" s="192">
        <v>108070964.73999999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53123095.0176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523" priority="48" stopIfTrue="1" operator="lessThan">
      <formula>0</formula>
    </cfRule>
  </conditionalFormatting>
  <conditionalFormatting sqref="C7:C9">
    <cfRule type="cellIs" dxfId="522" priority="47" stopIfTrue="1" operator="lessThan">
      <formula>0</formula>
    </cfRule>
  </conditionalFormatting>
  <conditionalFormatting sqref="C10:C13">
    <cfRule type="cellIs" dxfId="521" priority="45" stopIfTrue="1" operator="lessThan">
      <formula>0</formula>
    </cfRule>
  </conditionalFormatting>
  <conditionalFormatting sqref="C104">
    <cfRule type="cellIs" dxfId="520" priority="44" stopIfTrue="1" operator="lessThan">
      <formula>0</formula>
    </cfRule>
  </conditionalFormatting>
  <conditionalFormatting sqref="C7">
    <cfRule type="cellIs" dxfId="519" priority="46" stopIfTrue="1" operator="lessThan">
      <formula>0</formula>
    </cfRule>
  </conditionalFormatting>
  <conditionalFormatting sqref="C29:C33">
    <cfRule type="cellIs" dxfId="518" priority="39" stopIfTrue="1" operator="lessThan">
      <formula>0</formula>
    </cfRule>
  </conditionalFormatting>
  <conditionalFormatting sqref="G7:G9">
    <cfRule type="cellIs" dxfId="517" priority="42" stopIfTrue="1" operator="lessThan">
      <formula>0</formula>
    </cfRule>
  </conditionalFormatting>
  <conditionalFormatting sqref="C22">
    <cfRule type="cellIs" dxfId="516" priority="37" stopIfTrue="1" operator="lessThan">
      <formula>0</formula>
    </cfRule>
  </conditionalFormatting>
  <conditionalFormatting sqref="C25:C28">
    <cfRule type="cellIs" dxfId="515" priority="36" stopIfTrue="1" operator="lessThan">
      <formula>0</formula>
    </cfRule>
  </conditionalFormatting>
  <conditionalFormatting sqref="G14:G18">
    <cfRule type="cellIs" dxfId="514" priority="43" stopIfTrue="1" operator="lessThan">
      <formula>0</formula>
    </cfRule>
  </conditionalFormatting>
  <conditionalFormatting sqref="G7">
    <cfRule type="cellIs" dxfId="513" priority="41" stopIfTrue="1" operator="lessThan">
      <formula>0</formula>
    </cfRule>
  </conditionalFormatting>
  <conditionalFormatting sqref="G10:G13">
    <cfRule type="cellIs" dxfId="512" priority="40" stopIfTrue="1" operator="lessThan">
      <formula>0</formula>
    </cfRule>
  </conditionalFormatting>
  <conditionalFormatting sqref="C22:C24">
    <cfRule type="cellIs" dxfId="511" priority="38" stopIfTrue="1" operator="lessThan">
      <formula>0</formula>
    </cfRule>
  </conditionalFormatting>
  <conditionalFormatting sqref="G22">
    <cfRule type="cellIs" dxfId="510" priority="33" stopIfTrue="1" operator="lessThan">
      <formula>0</formula>
    </cfRule>
  </conditionalFormatting>
  <conditionalFormatting sqref="G29:G33">
    <cfRule type="cellIs" dxfId="509" priority="35" stopIfTrue="1" operator="lessThan">
      <formula>0</formula>
    </cfRule>
  </conditionalFormatting>
  <conditionalFormatting sqref="G22:G24">
    <cfRule type="cellIs" dxfId="508" priority="34" stopIfTrue="1" operator="lessThan">
      <formula>0</formula>
    </cfRule>
  </conditionalFormatting>
  <conditionalFormatting sqref="G25:G28">
    <cfRule type="cellIs" dxfId="507" priority="32" stopIfTrue="1" operator="lessThan">
      <formula>0</formula>
    </cfRule>
  </conditionalFormatting>
  <conditionalFormatting sqref="C40:C43">
    <cfRule type="cellIs" dxfId="506" priority="28" stopIfTrue="1" operator="lessThan">
      <formula>0</formula>
    </cfRule>
  </conditionalFormatting>
  <conditionalFormatting sqref="G44:G48">
    <cfRule type="cellIs" dxfId="505" priority="27" stopIfTrue="1" operator="lessThan">
      <formula>0</formula>
    </cfRule>
  </conditionalFormatting>
  <conditionalFormatting sqref="G37">
    <cfRule type="cellIs" dxfId="504" priority="25" stopIfTrue="1" operator="lessThan">
      <formula>0</formula>
    </cfRule>
  </conditionalFormatting>
  <conditionalFormatting sqref="C44:C48">
    <cfRule type="cellIs" dxfId="503" priority="31" stopIfTrue="1" operator="lessThan">
      <formula>0</formula>
    </cfRule>
  </conditionalFormatting>
  <conditionalFormatting sqref="C37:C39">
    <cfRule type="cellIs" dxfId="502" priority="30" stopIfTrue="1" operator="lessThan">
      <formula>0</formula>
    </cfRule>
  </conditionalFormatting>
  <conditionalFormatting sqref="C37">
    <cfRule type="cellIs" dxfId="501" priority="29" stopIfTrue="1" operator="lessThan">
      <formula>0</formula>
    </cfRule>
  </conditionalFormatting>
  <conditionalFormatting sqref="C56:C59">
    <cfRule type="cellIs" dxfId="500" priority="20" stopIfTrue="1" operator="lessThan">
      <formula>0</formula>
    </cfRule>
  </conditionalFormatting>
  <conditionalFormatting sqref="G60:G63">
    <cfRule type="cellIs" dxfId="499" priority="19" stopIfTrue="1" operator="lessThan">
      <formula>0</formula>
    </cfRule>
  </conditionalFormatting>
  <conditionalFormatting sqref="G37:G39">
    <cfRule type="cellIs" dxfId="498" priority="26" stopIfTrue="1" operator="lessThan">
      <formula>0</formula>
    </cfRule>
  </conditionalFormatting>
  <conditionalFormatting sqref="G53">
    <cfRule type="cellIs" dxfId="497" priority="17" stopIfTrue="1" operator="lessThan">
      <formula>0</formula>
    </cfRule>
  </conditionalFormatting>
  <conditionalFormatting sqref="G40:G43">
    <cfRule type="cellIs" dxfId="496" priority="24" stopIfTrue="1" operator="lessThan">
      <formula>0</formula>
    </cfRule>
  </conditionalFormatting>
  <conditionalFormatting sqref="C60:C64">
    <cfRule type="cellIs" dxfId="495" priority="23" stopIfTrue="1" operator="lessThan">
      <formula>0</formula>
    </cfRule>
  </conditionalFormatting>
  <conditionalFormatting sqref="C53:C55">
    <cfRule type="cellIs" dxfId="494" priority="22" stopIfTrue="1" operator="lessThan">
      <formula>0</formula>
    </cfRule>
  </conditionalFormatting>
  <conditionalFormatting sqref="C53">
    <cfRule type="cellIs" dxfId="493" priority="21" stopIfTrue="1" operator="lessThan">
      <formula>0</formula>
    </cfRule>
  </conditionalFormatting>
  <conditionalFormatting sqref="G53:G55">
    <cfRule type="cellIs" dxfId="492" priority="18" stopIfTrue="1" operator="lessThan">
      <formula>0</formula>
    </cfRule>
  </conditionalFormatting>
  <conditionalFormatting sqref="G56:G59">
    <cfRule type="cellIs" dxfId="491" priority="16" stopIfTrue="1" operator="lessThan">
      <formula>0</formula>
    </cfRule>
  </conditionalFormatting>
  <conditionalFormatting sqref="C75:C78">
    <cfRule type="cellIs" dxfId="490" priority="15" stopIfTrue="1" operator="lessThan">
      <formula>0</formula>
    </cfRule>
  </conditionalFormatting>
  <conditionalFormatting sqref="C68:C70">
    <cfRule type="cellIs" dxfId="489" priority="14" stopIfTrue="1" operator="lessThan">
      <formula>0</formula>
    </cfRule>
  </conditionalFormatting>
  <conditionalFormatting sqref="C68">
    <cfRule type="cellIs" dxfId="488" priority="13" stopIfTrue="1" operator="lessThan">
      <formula>0</formula>
    </cfRule>
  </conditionalFormatting>
  <conditionalFormatting sqref="C71:C74">
    <cfRule type="cellIs" dxfId="487" priority="12" stopIfTrue="1" operator="lessThan">
      <formula>0</formula>
    </cfRule>
  </conditionalFormatting>
  <conditionalFormatting sqref="G75:G79">
    <cfRule type="cellIs" dxfId="486" priority="11" stopIfTrue="1" operator="lessThan">
      <formula>0</formula>
    </cfRule>
  </conditionalFormatting>
  <conditionalFormatting sqref="G68:G70">
    <cfRule type="cellIs" dxfId="485" priority="10" stopIfTrue="1" operator="lessThan">
      <formula>0</formula>
    </cfRule>
  </conditionalFormatting>
  <conditionalFormatting sqref="G68">
    <cfRule type="cellIs" dxfId="484" priority="9" stopIfTrue="1" operator="lessThan">
      <formula>0</formula>
    </cfRule>
  </conditionalFormatting>
  <conditionalFormatting sqref="G71:G74">
    <cfRule type="cellIs" dxfId="483" priority="8" stopIfTrue="1" operator="lessThan">
      <formula>0</formula>
    </cfRule>
  </conditionalFormatting>
  <conditionalFormatting sqref="G64">
    <cfRule type="cellIs" dxfId="482" priority="7" stopIfTrue="1" operator="lessThan">
      <formula>0</formula>
    </cfRule>
  </conditionalFormatting>
  <conditionalFormatting sqref="C79">
    <cfRule type="cellIs" dxfId="481" priority="6" stopIfTrue="1" operator="lessThan">
      <formula>0</formula>
    </cfRule>
  </conditionalFormatting>
  <conditionalFormatting sqref="C90:C93">
    <cfRule type="cellIs" dxfId="480" priority="5" stopIfTrue="1" operator="lessThan">
      <formula>0</formula>
    </cfRule>
  </conditionalFormatting>
  <conditionalFormatting sqref="C83:C85">
    <cfRule type="cellIs" dxfId="479" priority="4" stopIfTrue="1" operator="lessThan">
      <formula>0</formula>
    </cfRule>
  </conditionalFormatting>
  <conditionalFormatting sqref="C83">
    <cfRule type="cellIs" dxfId="478" priority="3" stopIfTrue="1" operator="lessThan">
      <formula>0</formula>
    </cfRule>
  </conditionalFormatting>
  <conditionalFormatting sqref="C86:C89">
    <cfRule type="cellIs" dxfId="477" priority="2" stopIfTrue="1" operator="lessThan">
      <formula>0</formula>
    </cfRule>
  </conditionalFormatting>
  <conditionalFormatting sqref="C94">
    <cfRule type="cellIs" dxfId="476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43111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5129880</v>
      </c>
      <c r="D7" s="67">
        <f>+IF(C7/$F$120=0,"",C7/$F$120)</f>
        <v>7.9746680000790734E-5</v>
      </c>
      <c r="E7" s="68"/>
      <c r="F7" s="199" t="s">
        <v>5</v>
      </c>
      <c r="G7" s="66">
        <v>393295</v>
      </c>
      <c r="H7" s="200">
        <f>+IF(G7/$C$122=0,"",G7/$C$122)</f>
        <v>5.7589378053250408E-5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66">
        <v>35369</v>
      </c>
      <c r="H8" s="200">
        <f>+IF(G8/$C$122=0,"",G8/$C$122)</f>
        <v>5.1790099349481023E-6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66">
        <v>-21764</v>
      </c>
      <c r="H11" s="200">
        <f t="shared" si="0"/>
        <v>-3.1868577631318527E-6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72">
        <v>910694</v>
      </c>
      <c r="H14" s="200">
        <f t="shared" si="0"/>
        <v>1.3335104961117439E-4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2.75" x14ac:dyDescent="0.2">
      <c r="B17" s="199" t="s">
        <v>15</v>
      </c>
      <c r="C17" s="218">
        <v>3997</v>
      </c>
      <c r="D17" s="67">
        <f>+IF(C17/$F$120=0,"",C17/$F$120)</f>
        <v>6.2135465149898361E-8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-300187</v>
      </c>
      <c r="D18" s="67">
        <f>+IF(C18/$F$120=0,"",C18/$F$120)</f>
        <v>-4.6665646427201743E-6</v>
      </c>
      <c r="E18" s="75"/>
      <c r="F18" s="199" t="s">
        <v>16</v>
      </c>
      <c r="G18" s="72">
        <v>-28850</v>
      </c>
      <c r="H18" s="200">
        <f t="shared" si="0"/>
        <v>-4.2244461710326197E-6</v>
      </c>
    </row>
    <row r="19" spans="2:9" s="80" customFormat="1" x14ac:dyDescent="0.2">
      <c r="B19" s="201" t="s">
        <v>17</v>
      </c>
      <c r="C19" s="77">
        <f>SUM(C7:C18)</f>
        <v>4833690</v>
      </c>
      <c r="D19" s="78">
        <f>SUM(D7:D18)</f>
        <v>7.5142250823220449E-5</v>
      </c>
      <c r="E19" s="79"/>
      <c r="F19" s="201" t="s">
        <v>17</v>
      </c>
      <c r="G19" s="77">
        <f>SUM(G7:G18)</f>
        <v>1288744</v>
      </c>
      <c r="H19" s="78">
        <f>SUM(H7:H18)</f>
        <v>1.8870813366520843E-4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2186.5319</v>
      </c>
      <c r="D22" s="200">
        <f>+IF(C22/$F$121=0,"",C22/$F$121)</f>
        <v>5.6668469603078415E-5</v>
      </c>
      <c r="E22" s="75"/>
      <c r="F22" s="199" t="s">
        <v>5</v>
      </c>
      <c r="G22" s="66">
        <v>2423383</v>
      </c>
      <c r="H22" s="200">
        <f t="shared" ref="H22:H33" si="2">+IF(G22/$C$115=0,"",G22/$C$115)</f>
        <v>7.6182273877676353E-5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247901</v>
      </c>
      <c r="H23" s="200">
        <f t="shared" si="2"/>
        <v>7.7930982748289669E-6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7.8179146108814166</v>
      </c>
      <c r="D26" s="200">
        <f>+IF(C26/$F$121=0,"",C26/$F$121)</f>
        <v>2.0261733043373217E-7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-18992.329471923498</v>
      </c>
      <c r="D27" s="200">
        <f t="shared" ref="D27:D33" si="3">+IF(C27/$F$121=0,"",C27/$F$121)</f>
        <v>-4.9222526566904752E-4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-468830</v>
      </c>
      <c r="H29" s="200">
        <f t="shared" si="2"/>
        <v>-1.4738295788189901E-5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18599.7883</v>
      </c>
      <c r="D31" s="200">
        <f t="shared" si="3"/>
        <v>4.8205175415105703E-4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733</v>
      </c>
      <c r="H32" s="200">
        <f t="shared" si="2"/>
        <v>2.3042831757232254E-8</v>
      </c>
    </row>
    <row r="33" spans="1:13" x14ac:dyDescent="0.2">
      <c r="B33" s="199" t="s">
        <v>16</v>
      </c>
      <c r="C33" s="71">
        <v>-177.53</v>
      </c>
      <c r="D33" s="200">
        <f t="shared" si="3"/>
        <v>-4.6010549439660644E-6</v>
      </c>
      <c r="E33" s="75"/>
      <c r="F33" s="199" t="s">
        <v>16</v>
      </c>
      <c r="G33" s="72">
        <v>-45710</v>
      </c>
      <c r="H33" s="200">
        <f t="shared" si="2"/>
        <v>-1.436954760740909E-6</v>
      </c>
    </row>
    <row r="34" spans="1:13" s="80" customFormat="1" x14ac:dyDescent="0.2">
      <c r="B34" s="201" t="s">
        <v>17</v>
      </c>
      <c r="C34" s="203">
        <f>SUM(C22:C33)</f>
        <v>1624.2786426873852</v>
      </c>
      <c r="D34" s="78">
        <f>SUM(D22:D33)</f>
        <v>4.2096520471555595E-5</v>
      </c>
      <c r="E34" s="79"/>
      <c r="F34" s="201" t="s">
        <v>17</v>
      </c>
      <c r="G34" s="203">
        <f>SUM(G22:G33)</f>
        <v>2157477</v>
      </c>
      <c r="H34" s="78">
        <f>SUM(H22:H33)</f>
        <v>6.7823164435331743E-5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4784096</v>
      </c>
      <c r="D37" s="200">
        <f t="shared" ref="D37:D48" si="4">+IF(C37/$C$123=0,"",C37/$C$123)</f>
        <v>5.7067041428383023E-5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1132580</v>
      </c>
      <c r="D38" s="200">
        <f t="shared" si="4"/>
        <v>1.3509969235767436E-5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>
        <v>287</v>
      </c>
      <c r="H43" s="200">
        <f t="shared" si="5"/>
        <v>5.4607980686800415E-8</v>
      </c>
    </row>
    <row r="44" spans="1:13" x14ac:dyDescent="0.2">
      <c r="B44" s="199" t="s">
        <v>12</v>
      </c>
      <c r="C44" s="72">
        <v>15380954</v>
      </c>
      <c r="D44" s="200">
        <f t="shared" si="4"/>
        <v>1.8347155640816021E-4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2722375</v>
      </c>
      <c r="D45" s="200">
        <f t="shared" si="4"/>
        <v>3.2473823039628433E-5</v>
      </c>
      <c r="E45" s="68"/>
      <c r="F45" s="199" t="s">
        <v>13</v>
      </c>
      <c r="G45" s="72">
        <v>12648753</v>
      </c>
      <c r="H45" s="200">
        <f t="shared" si="5"/>
        <v>2.4066998590108321E-3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-125842</v>
      </c>
      <c r="D48" s="200">
        <f t="shared" si="4"/>
        <v>-1.5011050420874866E-6</v>
      </c>
      <c r="E48" s="68"/>
      <c r="F48" s="199" t="s">
        <v>16</v>
      </c>
      <c r="G48" s="72">
        <v>-16032</v>
      </c>
      <c r="H48" s="200">
        <f t="shared" si="5"/>
        <v>-3.0504360500724189E-6</v>
      </c>
    </row>
    <row r="49" spans="2:10" s="80" customFormat="1" x14ac:dyDescent="0.2">
      <c r="B49" s="201" t="s">
        <v>17</v>
      </c>
      <c r="C49" s="77">
        <f>SUM(C37:C48)</f>
        <v>23894163</v>
      </c>
      <c r="D49" s="78">
        <f>SUM(D37:D48)</f>
        <v>2.8502128506985156E-4</v>
      </c>
      <c r="E49" s="79"/>
      <c r="F49" s="201" t="s">
        <v>17</v>
      </c>
      <c r="G49" s="77">
        <f>SUM(G37:G48)</f>
        <v>12633008</v>
      </c>
      <c r="H49" s="78">
        <f>SUM(H37:H48)</f>
        <v>2.4037040309414465E-3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13683.9259</v>
      </c>
      <c r="H53" s="200">
        <f t="shared" ref="H53:H64" si="7">+IF(G53/$C$124=0,"",G53/$C$124)</f>
        <v>1.2661194476492024E-4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-36721.480000000003</v>
      </c>
      <c r="H60" s="200">
        <f t="shared" si="7"/>
        <v>-3.3976930534577971E-4</v>
      </c>
    </row>
    <row r="61" spans="2:10" x14ac:dyDescent="0.2">
      <c r="B61" s="199" t="s">
        <v>13</v>
      </c>
      <c r="C61" s="72">
        <v>113174271</v>
      </c>
      <c r="D61" s="200">
        <f t="shared" si="6"/>
        <v>4.1382661522825787E-3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-197255</v>
      </c>
      <c r="D64" s="200">
        <f t="shared" si="6"/>
        <v>-7.212714362158339E-6</v>
      </c>
      <c r="E64" s="68"/>
      <c r="F64" s="199" t="s">
        <v>16</v>
      </c>
      <c r="G64" s="92">
        <v>-109.56</v>
      </c>
      <c r="H64" s="200">
        <f t="shared" si="7"/>
        <v>-1.0137152721971887E-6</v>
      </c>
    </row>
    <row r="65" spans="2:8" s="80" customFormat="1" x14ac:dyDescent="0.2">
      <c r="B65" s="201" t="s">
        <v>17</v>
      </c>
      <c r="C65" s="77">
        <f>SUM(C53:C64)</f>
        <v>112977016</v>
      </c>
      <c r="D65" s="78">
        <f>SUM(D53:D64)</f>
        <v>4.1310534379204204E-3</v>
      </c>
      <c r="E65" s="79"/>
      <c r="F65" s="201" t="s">
        <v>17</v>
      </c>
      <c r="G65" s="203">
        <f>SUM(G53:G64)</f>
        <v>-23147.114100000003</v>
      </c>
      <c r="H65" s="78">
        <f>SUM(H53:H64)</f>
        <v>-2.1417107585305667E-4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102295</v>
      </c>
      <c r="D72" s="200">
        <f t="shared" si="8"/>
        <v>7.2432912303119778E-6</v>
      </c>
      <c r="E72" s="68"/>
      <c r="F72" s="199" t="s">
        <v>9</v>
      </c>
      <c r="G72" s="66">
        <v>-467114</v>
      </c>
      <c r="H72" s="200">
        <f t="shared" si="9"/>
        <v>-8.3219613899772709E-5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78879462</v>
      </c>
      <c r="D76" s="200">
        <f t="shared" si="8"/>
        <v>5.5852868210208408E-3</v>
      </c>
      <c r="E76" s="68"/>
      <c r="F76" s="199" t="s">
        <v>13</v>
      </c>
      <c r="G76" s="72">
        <v>-6587748</v>
      </c>
      <c r="H76" s="200">
        <f t="shared" si="9"/>
        <v>-1.1736532089147401E-3</v>
      </c>
    </row>
    <row r="77" spans="2:8" x14ac:dyDescent="0.2">
      <c r="B77" s="199" t="s">
        <v>14</v>
      </c>
      <c r="C77" s="66">
        <v>-25490472</v>
      </c>
      <c r="D77" s="200">
        <f t="shared" si="8"/>
        <v>-1.8049260696428272E-3</v>
      </c>
      <c r="E77" s="68"/>
      <c r="F77" s="199" t="s">
        <v>14</v>
      </c>
      <c r="G77" s="66">
        <v>-9839484</v>
      </c>
      <c r="H77" s="200">
        <f t="shared" si="9"/>
        <v>-1.7529726350590889E-3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-1.4975156775000538E-6</v>
      </c>
      <c r="E79" s="68"/>
      <c r="F79" s="199" t="s">
        <v>16</v>
      </c>
      <c r="G79" s="72">
        <v>-16067</v>
      </c>
      <c r="H79" s="200">
        <f t="shared" si="9"/>
        <v>-2.8624480031162592E-6</v>
      </c>
    </row>
    <row r="80" spans="2:8" s="80" customFormat="1" x14ac:dyDescent="0.2">
      <c r="B80" s="201" t="s">
        <v>17</v>
      </c>
      <c r="C80" s="77">
        <f>SUM(C68:C79)</f>
        <v>53470136</v>
      </c>
      <c r="D80" s="78">
        <f>SUM(D68:D79)</f>
        <v>3.7861065269308258E-3</v>
      </c>
      <c r="E80" s="79"/>
      <c r="F80" s="201" t="s">
        <v>17</v>
      </c>
      <c r="G80" s="77">
        <f>SUM(G68:G79)</f>
        <v>-16910413</v>
      </c>
      <c r="H80" s="78">
        <f>SUM(H68:H79)</f>
        <v>-3.0127079058767177E-3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-232.35849999952006</v>
      </c>
      <c r="D87" s="200">
        <f t="shared" si="10"/>
        <v>-4.2725427079551577E-6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34734.422400000003</v>
      </c>
      <c r="D90" s="200">
        <f t="shared" si="10"/>
        <v>6.386867841738557E-4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204380.3694</v>
      </c>
      <c r="D92" s="200">
        <f t="shared" si="10"/>
        <v>3.75808871606141E-3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238882.43330000047</v>
      </c>
      <c r="D95" s="209">
        <f>SUM(D83:D94)</f>
        <v>4.3925029575273104E-3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31810326427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27348233979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14122723600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5255642058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5613027724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62370595305</v>
      </c>
      <c r="D120" s="217">
        <v>1956596748</v>
      </c>
      <c r="F120" s="204">
        <f>+C120+D120</f>
        <v>64327192053</v>
      </c>
      <c r="G120" s="197"/>
      <c r="H120" s="197"/>
    </row>
    <row r="121" spans="1:13" x14ac:dyDescent="0.2">
      <c r="B121" s="189" t="s">
        <v>18</v>
      </c>
      <c r="C121" s="192">
        <v>38584629.43</v>
      </c>
      <c r="D121" s="193"/>
      <c r="F121" s="204">
        <f>+C121+D121</f>
        <v>38584629.43</v>
      </c>
      <c r="H121" s="75"/>
    </row>
    <row r="122" spans="1:13" x14ac:dyDescent="0.2">
      <c r="B122" s="189" t="s">
        <v>4</v>
      </c>
      <c r="C122" s="190">
        <v>6829297577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83832907406</v>
      </c>
      <c r="D123" s="205"/>
      <c r="F123" s="204"/>
      <c r="H123" s="75"/>
    </row>
    <row r="124" spans="1:13" x14ac:dyDescent="0.2">
      <c r="B124" s="189" t="s">
        <v>25</v>
      </c>
      <c r="C124" s="192">
        <v>108077685.13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6">
        <v>54384125.7729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475" priority="48" stopIfTrue="1" operator="lessThan">
      <formula>0</formula>
    </cfRule>
  </conditionalFormatting>
  <conditionalFormatting sqref="C7:C9">
    <cfRule type="cellIs" dxfId="474" priority="47" stopIfTrue="1" operator="lessThan">
      <formula>0</formula>
    </cfRule>
  </conditionalFormatting>
  <conditionalFormatting sqref="C10:C13">
    <cfRule type="cellIs" dxfId="473" priority="45" stopIfTrue="1" operator="lessThan">
      <formula>0</formula>
    </cfRule>
  </conditionalFormatting>
  <conditionalFormatting sqref="C104">
    <cfRule type="cellIs" dxfId="472" priority="44" stopIfTrue="1" operator="lessThan">
      <formula>0</formula>
    </cfRule>
  </conditionalFormatting>
  <conditionalFormatting sqref="C7">
    <cfRule type="cellIs" dxfId="471" priority="46" stopIfTrue="1" operator="lessThan">
      <formula>0</formula>
    </cfRule>
  </conditionalFormatting>
  <conditionalFormatting sqref="C29:C33">
    <cfRule type="cellIs" dxfId="470" priority="39" stopIfTrue="1" operator="lessThan">
      <formula>0</formula>
    </cfRule>
  </conditionalFormatting>
  <conditionalFormatting sqref="G7:G9">
    <cfRule type="cellIs" dxfId="469" priority="42" stopIfTrue="1" operator="lessThan">
      <formula>0</formula>
    </cfRule>
  </conditionalFormatting>
  <conditionalFormatting sqref="C22">
    <cfRule type="cellIs" dxfId="468" priority="37" stopIfTrue="1" operator="lessThan">
      <formula>0</formula>
    </cfRule>
  </conditionalFormatting>
  <conditionalFormatting sqref="C25:C28">
    <cfRule type="cellIs" dxfId="467" priority="36" stopIfTrue="1" operator="lessThan">
      <formula>0</formula>
    </cfRule>
  </conditionalFormatting>
  <conditionalFormatting sqref="G14:G18">
    <cfRule type="cellIs" dxfId="466" priority="43" stopIfTrue="1" operator="lessThan">
      <formula>0</formula>
    </cfRule>
  </conditionalFormatting>
  <conditionalFormatting sqref="G7">
    <cfRule type="cellIs" dxfId="465" priority="41" stopIfTrue="1" operator="lessThan">
      <formula>0</formula>
    </cfRule>
  </conditionalFormatting>
  <conditionalFormatting sqref="G10:G13">
    <cfRule type="cellIs" dxfId="464" priority="40" stopIfTrue="1" operator="lessThan">
      <formula>0</formula>
    </cfRule>
  </conditionalFormatting>
  <conditionalFormatting sqref="C22:C24">
    <cfRule type="cellIs" dxfId="463" priority="38" stopIfTrue="1" operator="lessThan">
      <formula>0</formula>
    </cfRule>
  </conditionalFormatting>
  <conditionalFormatting sqref="G22">
    <cfRule type="cellIs" dxfId="462" priority="33" stopIfTrue="1" operator="lessThan">
      <formula>0</formula>
    </cfRule>
  </conditionalFormatting>
  <conditionalFormatting sqref="G29:G33">
    <cfRule type="cellIs" dxfId="461" priority="35" stopIfTrue="1" operator="lessThan">
      <formula>0</formula>
    </cfRule>
  </conditionalFormatting>
  <conditionalFormatting sqref="G22:G24">
    <cfRule type="cellIs" dxfId="460" priority="34" stopIfTrue="1" operator="lessThan">
      <formula>0</formula>
    </cfRule>
  </conditionalFormatting>
  <conditionalFormatting sqref="G25:G28">
    <cfRule type="cellIs" dxfId="459" priority="32" stopIfTrue="1" operator="lessThan">
      <formula>0</formula>
    </cfRule>
  </conditionalFormatting>
  <conditionalFormatting sqref="C40:C43">
    <cfRule type="cellIs" dxfId="458" priority="28" stopIfTrue="1" operator="lessThan">
      <formula>0</formula>
    </cfRule>
  </conditionalFormatting>
  <conditionalFormatting sqref="G44:G48">
    <cfRule type="cellIs" dxfId="457" priority="27" stopIfTrue="1" operator="lessThan">
      <formula>0</formula>
    </cfRule>
  </conditionalFormatting>
  <conditionalFormatting sqref="G37">
    <cfRule type="cellIs" dxfId="456" priority="25" stopIfTrue="1" operator="lessThan">
      <formula>0</formula>
    </cfRule>
  </conditionalFormatting>
  <conditionalFormatting sqref="C44:C48">
    <cfRule type="cellIs" dxfId="455" priority="31" stopIfTrue="1" operator="lessThan">
      <formula>0</formula>
    </cfRule>
  </conditionalFormatting>
  <conditionalFormatting sqref="C37:C39">
    <cfRule type="cellIs" dxfId="454" priority="30" stopIfTrue="1" operator="lessThan">
      <formula>0</formula>
    </cfRule>
  </conditionalFormatting>
  <conditionalFormatting sqref="C37">
    <cfRule type="cellIs" dxfId="453" priority="29" stopIfTrue="1" operator="lessThan">
      <formula>0</formula>
    </cfRule>
  </conditionalFormatting>
  <conditionalFormatting sqref="C56:C59">
    <cfRule type="cellIs" dxfId="452" priority="20" stopIfTrue="1" operator="lessThan">
      <formula>0</formula>
    </cfRule>
  </conditionalFormatting>
  <conditionalFormatting sqref="G60:G63">
    <cfRule type="cellIs" dxfId="451" priority="19" stopIfTrue="1" operator="lessThan">
      <formula>0</formula>
    </cfRule>
  </conditionalFormatting>
  <conditionalFormatting sqref="G37:G39">
    <cfRule type="cellIs" dxfId="450" priority="26" stopIfTrue="1" operator="lessThan">
      <formula>0</formula>
    </cfRule>
  </conditionalFormatting>
  <conditionalFormatting sqref="G53">
    <cfRule type="cellIs" dxfId="449" priority="17" stopIfTrue="1" operator="lessThan">
      <formula>0</formula>
    </cfRule>
  </conditionalFormatting>
  <conditionalFormatting sqref="G40:G43">
    <cfRule type="cellIs" dxfId="448" priority="24" stopIfTrue="1" operator="lessThan">
      <formula>0</formula>
    </cfRule>
  </conditionalFormatting>
  <conditionalFormatting sqref="C60:C64">
    <cfRule type="cellIs" dxfId="447" priority="23" stopIfTrue="1" operator="lessThan">
      <formula>0</formula>
    </cfRule>
  </conditionalFormatting>
  <conditionalFormatting sqref="C53:C55">
    <cfRule type="cellIs" dxfId="446" priority="22" stopIfTrue="1" operator="lessThan">
      <formula>0</formula>
    </cfRule>
  </conditionalFormatting>
  <conditionalFormatting sqref="C53">
    <cfRule type="cellIs" dxfId="445" priority="21" stopIfTrue="1" operator="lessThan">
      <formula>0</formula>
    </cfRule>
  </conditionalFormatting>
  <conditionalFormatting sqref="G53:G55">
    <cfRule type="cellIs" dxfId="444" priority="18" stopIfTrue="1" operator="lessThan">
      <formula>0</formula>
    </cfRule>
  </conditionalFormatting>
  <conditionalFormatting sqref="G56:G59">
    <cfRule type="cellIs" dxfId="443" priority="16" stopIfTrue="1" operator="lessThan">
      <formula>0</formula>
    </cfRule>
  </conditionalFormatting>
  <conditionalFormatting sqref="C75:C78">
    <cfRule type="cellIs" dxfId="442" priority="15" stopIfTrue="1" operator="lessThan">
      <formula>0</formula>
    </cfRule>
  </conditionalFormatting>
  <conditionalFormatting sqref="C68:C70">
    <cfRule type="cellIs" dxfId="441" priority="14" stopIfTrue="1" operator="lessThan">
      <formula>0</formula>
    </cfRule>
  </conditionalFormatting>
  <conditionalFormatting sqref="C68">
    <cfRule type="cellIs" dxfId="440" priority="13" stopIfTrue="1" operator="lessThan">
      <formula>0</formula>
    </cfRule>
  </conditionalFormatting>
  <conditionalFormatting sqref="C71:C74">
    <cfRule type="cellIs" dxfId="439" priority="12" stopIfTrue="1" operator="lessThan">
      <formula>0</formula>
    </cfRule>
  </conditionalFormatting>
  <conditionalFormatting sqref="G75:G79">
    <cfRule type="cellIs" dxfId="438" priority="11" stopIfTrue="1" operator="lessThan">
      <formula>0</formula>
    </cfRule>
  </conditionalFormatting>
  <conditionalFormatting sqref="G68:G70">
    <cfRule type="cellIs" dxfId="437" priority="10" stopIfTrue="1" operator="lessThan">
      <formula>0</formula>
    </cfRule>
  </conditionalFormatting>
  <conditionalFormatting sqref="G68">
    <cfRule type="cellIs" dxfId="436" priority="9" stopIfTrue="1" operator="lessThan">
      <formula>0</formula>
    </cfRule>
  </conditionalFormatting>
  <conditionalFormatting sqref="G71:G74">
    <cfRule type="cellIs" dxfId="435" priority="8" stopIfTrue="1" operator="lessThan">
      <formula>0</formula>
    </cfRule>
  </conditionalFormatting>
  <conditionalFormatting sqref="G64">
    <cfRule type="cellIs" dxfId="434" priority="7" stopIfTrue="1" operator="lessThan">
      <formula>0</formula>
    </cfRule>
  </conditionalFormatting>
  <conditionalFormatting sqref="C79">
    <cfRule type="cellIs" dxfId="433" priority="6" stopIfTrue="1" operator="lessThan">
      <formula>0</formula>
    </cfRule>
  </conditionalFormatting>
  <conditionalFormatting sqref="C90:C93">
    <cfRule type="cellIs" dxfId="432" priority="5" stopIfTrue="1" operator="lessThan">
      <formula>0</formula>
    </cfRule>
  </conditionalFormatting>
  <conditionalFormatting sqref="C83:C85">
    <cfRule type="cellIs" dxfId="431" priority="4" stopIfTrue="1" operator="lessThan">
      <formula>0</formula>
    </cfRule>
  </conditionalFormatting>
  <conditionalFormatting sqref="C83">
    <cfRule type="cellIs" dxfId="430" priority="3" stopIfTrue="1" operator="lessThan">
      <formula>0</formula>
    </cfRule>
  </conditionalFormatting>
  <conditionalFormatting sqref="C86:C89">
    <cfRule type="cellIs" dxfId="429" priority="2" stopIfTrue="1" operator="lessThan">
      <formula>0</formula>
    </cfRule>
  </conditionalFormatting>
  <conditionalFormatting sqref="C94">
    <cfRule type="cellIs" dxfId="428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43112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4970458</v>
      </c>
      <c r="D7" s="67">
        <f>+IF(C7/$F$120=0,"",C7/$F$120)</f>
        <v>7.9870111222023974E-5</v>
      </c>
      <c r="E7" s="68"/>
      <c r="F7" s="199" t="s">
        <v>5</v>
      </c>
      <c r="G7" s="66">
        <v>656852</v>
      </c>
      <c r="H7" s="200">
        <f>+IF(G7/$C$122=0,"",G7/$C$122)</f>
        <v>9.6447703462827018E-5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66">
        <v>34959</v>
      </c>
      <c r="H8" s="200">
        <f>+IF(G8/$C$122=0,"",G8/$C$122)</f>
        <v>5.1331430297189778E-6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66">
        <v>-75590</v>
      </c>
      <c r="H11" s="200">
        <f t="shared" si="0"/>
        <v>-1.1099124163061229E-5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72">
        <v>325344</v>
      </c>
      <c r="H14" s="200">
        <f t="shared" si="0"/>
        <v>4.7771311704021596E-5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2.75" x14ac:dyDescent="0.2">
      <c r="B17" s="199" t="s">
        <v>15</v>
      </c>
      <c r="C17" s="218">
        <v>416564</v>
      </c>
      <c r="D17" s="67">
        <f>+IF(C17/$F$120=0,"",C17/$F$120)</f>
        <v>6.6937519663361397E-6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-163193</v>
      </c>
      <c r="D18" s="67">
        <f>+IF(C18/$F$120=0,"",C18/$F$120)</f>
        <v>-2.6223424603237285E-6</v>
      </c>
      <c r="E18" s="75"/>
      <c r="F18" s="199" t="s">
        <v>16</v>
      </c>
      <c r="G18" s="72">
        <v>-28850</v>
      </c>
      <c r="H18" s="200">
        <f t="shared" si="0"/>
        <v>-4.2361388028087902E-6</v>
      </c>
    </row>
    <row r="19" spans="2:9" s="80" customFormat="1" x14ac:dyDescent="0.2">
      <c r="B19" s="201" t="s">
        <v>17</v>
      </c>
      <c r="C19" s="77">
        <f>SUM(C7:C18)</f>
        <v>5223829</v>
      </c>
      <c r="D19" s="78">
        <f>SUM(D7:D18)</f>
        <v>8.3941520728036376E-5</v>
      </c>
      <c r="E19" s="79"/>
      <c r="F19" s="201" t="s">
        <v>17</v>
      </c>
      <c r="G19" s="77">
        <f>SUM(G7:G18)</f>
        <v>912715</v>
      </c>
      <c r="H19" s="78">
        <f>SUM(H7:H18)</f>
        <v>1.3401689523069758E-4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2192.0621999999998</v>
      </c>
      <c r="D22" s="200">
        <f>+IF(C22/$F$121=0,"",C22/$F$121)</f>
        <v>5.6290786597378336E-5</v>
      </c>
      <c r="E22" s="75"/>
      <c r="F22" s="199" t="s">
        <v>5</v>
      </c>
      <c r="G22" s="66">
        <v>2413502</v>
      </c>
      <c r="H22" s="200">
        <f t="shared" ref="H22:H33" si="2">+IF(G22/$C$115=0,"",G22/$C$115)</f>
        <v>7.6061243609431715E-5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248068</v>
      </c>
      <c r="H23" s="200">
        <f t="shared" si="2"/>
        <v>7.8178350710728666E-6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27.569893558907097</v>
      </c>
      <c r="D26" s="200">
        <f>+IF(C26/$F$121=0,"",C26/$F$121)</f>
        <v>7.0797762711152765E-7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-66066.752849392986</v>
      </c>
      <c r="D27" s="200">
        <f t="shared" ref="D27:D33" si="3">+IF(C27/$F$121=0,"",C27/$F$121)</f>
        <v>-1.6965529015677192E-3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4774598</v>
      </c>
      <c r="H29" s="200">
        <f t="shared" si="2"/>
        <v>1.5047091803325848E-4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65568.948999999993</v>
      </c>
      <c r="D31" s="200">
        <f t="shared" si="3"/>
        <v>1.6837696099925373E-3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5652</v>
      </c>
      <c r="H32" s="200">
        <f t="shared" si="2"/>
        <v>1.7812214320953867E-7</v>
      </c>
    </row>
    <row r="33" spans="1:13" x14ac:dyDescent="0.2">
      <c r="B33" s="199" t="s">
        <v>16</v>
      </c>
      <c r="C33" s="71">
        <v>-64.53</v>
      </c>
      <c r="D33" s="200">
        <f t="shared" si="3"/>
        <v>-1.6570900493283559E-6</v>
      </c>
      <c r="E33" s="75"/>
      <c r="F33" s="199" t="s">
        <v>16</v>
      </c>
      <c r="G33" s="72">
        <v>-71502</v>
      </c>
      <c r="H33" s="200">
        <f t="shared" si="2"/>
        <v>-2.2533774741274655E-6</v>
      </c>
    </row>
    <row r="34" spans="1:13" s="80" customFormat="1" x14ac:dyDescent="0.2">
      <c r="B34" s="201" t="s">
        <v>17</v>
      </c>
      <c r="C34" s="203">
        <f>SUM(C22:C33)</f>
        <v>1657.2982441659176</v>
      </c>
      <c r="D34" s="78">
        <f>SUM(D22:D33)</f>
        <v>4.2558382599979586E-5</v>
      </c>
      <c r="E34" s="79"/>
      <c r="F34" s="201" t="s">
        <v>17</v>
      </c>
      <c r="G34" s="203">
        <f>SUM(G22:G33)</f>
        <v>7370318</v>
      </c>
      <c r="H34" s="78">
        <f>SUM(H22:H33)</f>
        <v>2.3227474138284512E-4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4909585</v>
      </c>
      <c r="D37" s="200">
        <f t="shared" ref="D37:D48" si="4">+IF(C37/$C$123=0,"",C37/$C$123)</f>
        <v>5.8292253726602964E-5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1119384</v>
      </c>
      <c r="D38" s="200">
        <f t="shared" si="4"/>
        <v>1.3290617464714375E-5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10846011</v>
      </c>
      <c r="D44" s="200">
        <f t="shared" si="4"/>
        <v>1.2877634772257262E-4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7136388</v>
      </c>
      <c r="D45" s="200">
        <f t="shared" si="4"/>
        <v>8.4731426380739851E-5</v>
      </c>
      <c r="E45" s="68"/>
      <c r="F45" s="199" t="s">
        <v>13</v>
      </c>
      <c r="G45" s="72">
        <v>20414225</v>
      </c>
      <c r="H45" s="200">
        <f t="shared" si="5"/>
        <v>3.8602654276243E-3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-216919</v>
      </c>
      <c r="D48" s="200">
        <f t="shared" si="4"/>
        <v>-2.5755124692048286E-6</v>
      </c>
      <c r="E48" s="68"/>
      <c r="F48" s="199" t="s">
        <v>16</v>
      </c>
      <c r="G48" s="72">
        <v>-16032</v>
      </c>
      <c r="H48" s="200">
        <f t="shared" si="5"/>
        <v>-3.0316005303004535E-6</v>
      </c>
    </row>
    <row r="49" spans="2:10" s="80" customFormat="1" x14ac:dyDescent="0.2">
      <c r="B49" s="201" t="s">
        <v>17</v>
      </c>
      <c r="C49" s="77">
        <f>SUM(C37:C48)</f>
        <v>23794449</v>
      </c>
      <c r="D49" s="78">
        <f>SUM(D37:D48)</f>
        <v>2.8251513282542498E-4</v>
      </c>
      <c r="E49" s="79"/>
      <c r="F49" s="201" t="s">
        <v>17</v>
      </c>
      <c r="G49" s="77">
        <f>SUM(G37:G48)</f>
        <v>20398193</v>
      </c>
      <c r="H49" s="78">
        <f>SUM(H37:H48)</f>
        <v>3.8572338270939995E-3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13683.795899999999</v>
      </c>
      <c r="H53" s="200">
        <f t="shared" ref="H53:H64" si="7">+IF(G53/$C$124=0,"",G53/$C$124)</f>
        <v>1.2635740123953605E-4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-27864.19</v>
      </c>
      <c r="H60" s="200">
        <f t="shared" si="7"/>
        <v>-2.5730043489209512E-4</v>
      </c>
    </row>
    <row r="61" spans="2:10" x14ac:dyDescent="0.2">
      <c r="B61" s="199" t="s">
        <v>13</v>
      </c>
      <c r="C61" s="72">
        <v>102825682</v>
      </c>
      <c r="D61" s="200">
        <f t="shared" si="6"/>
        <v>3.7192700464475903E-3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-54455</v>
      </c>
      <c r="D64" s="200">
        <f t="shared" si="6"/>
        <v>-1.9696718411194543E-6</v>
      </c>
      <c r="E64" s="68"/>
      <c r="F64" s="199" t="s">
        <v>16</v>
      </c>
      <c r="G64" s="92">
        <v>-109.56</v>
      </c>
      <c r="H64" s="200">
        <f t="shared" si="7"/>
        <v>-1.0116868872476804E-6</v>
      </c>
    </row>
    <row r="65" spans="2:8" s="80" customFormat="1" x14ac:dyDescent="0.2">
      <c r="B65" s="201" t="s">
        <v>17</v>
      </c>
      <c r="C65" s="77">
        <f>SUM(C53:C64)</f>
        <v>102771227</v>
      </c>
      <c r="D65" s="78">
        <f>SUM(D53:D64)</f>
        <v>3.717300374606471E-3</v>
      </c>
      <c r="E65" s="79"/>
      <c r="F65" s="201" t="s">
        <v>17</v>
      </c>
      <c r="G65" s="203">
        <f>SUM(G53:G64)</f>
        <v>-14289.954099999999</v>
      </c>
      <c r="H65" s="78">
        <f>SUM(H53:H64)</f>
        <v>-1.3195472053980677E-4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-86534</v>
      </c>
      <c r="D72" s="200">
        <f t="shared" si="8"/>
        <v>-6.0744871647116361E-6</v>
      </c>
      <c r="E72" s="68"/>
      <c r="F72" s="199" t="s">
        <v>9</v>
      </c>
      <c r="G72" s="66">
        <v>-1632830</v>
      </c>
      <c r="H72" s="200">
        <f t="shared" si="9"/>
        <v>-2.9210153375752691E-4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117319682</v>
      </c>
      <c r="D76" s="200">
        <f t="shared" si="8"/>
        <v>8.2355710180628504E-3</v>
      </c>
      <c r="E76" s="68"/>
      <c r="F76" s="199" t="s">
        <v>13</v>
      </c>
      <c r="G76" s="72">
        <v>7010229</v>
      </c>
      <c r="H76" s="200">
        <f t="shared" si="9"/>
        <v>1.2540795079043711E-3</v>
      </c>
    </row>
    <row r="77" spans="2:8" x14ac:dyDescent="0.2">
      <c r="B77" s="199" t="s">
        <v>14</v>
      </c>
      <c r="C77" s="66">
        <v>-89865936</v>
      </c>
      <c r="D77" s="200">
        <f t="shared" si="8"/>
        <v>-6.3083813850832891E-3</v>
      </c>
      <c r="E77" s="68"/>
      <c r="F77" s="199" t="s">
        <v>14</v>
      </c>
      <c r="G77" s="66">
        <v>-34440202</v>
      </c>
      <c r="H77" s="200">
        <f t="shared" si="9"/>
        <v>-6.1611042344390087E-3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-1.4846110089269696E-6</v>
      </c>
      <c r="E79" s="68"/>
      <c r="F79" s="199" t="s">
        <v>16</v>
      </c>
      <c r="G79" s="72">
        <v>-16067</v>
      </c>
      <c r="H79" s="200">
        <f t="shared" si="9"/>
        <v>-2.8742706484338143E-6</v>
      </c>
    </row>
    <row r="80" spans="2:8" s="80" customFormat="1" x14ac:dyDescent="0.2">
      <c r="B80" s="201" t="s">
        <v>17</v>
      </c>
      <c r="C80" s="77">
        <f>SUM(C68:C79)</f>
        <v>27346063</v>
      </c>
      <c r="D80" s="78">
        <f>SUM(D68:D79)</f>
        <v>1.9196305348059229E-3</v>
      </c>
      <c r="E80" s="79"/>
      <c r="F80" s="201" t="s">
        <v>17</v>
      </c>
      <c r="G80" s="77">
        <f>SUM(G68:G79)</f>
        <v>-29078870</v>
      </c>
      <c r="H80" s="78">
        <f>SUM(H68:H79)</f>
        <v>-5.2020005309405988E-3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/>
      <c r="D87" s="200" t="str">
        <f t="shared" si="10"/>
        <v/>
      </c>
      <c r="G87" s="90"/>
    </row>
    <row r="88" spans="2:7" ht="12.75" customHeight="1" x14ac:dyDescent="0.2">
      <c r="B88" s="199" t="s">
        <v>10</v>
      </c>
      <c r="C88" s="202">
        <v>-12.57</v>
      </c>
      <c r="D88" s="200">
        <f t="shared" si="10"/>
        <v>-2.2986811698327102E-7</v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126627.8305</v>
      </c>
      <c r="D90" s="200">
        <f t="shared" si="10"/>
        <v>2.3156484450844719E-3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-185321.90890000001</v>
      </c>
      <c r="D92" s="200">
        <f t="shared" si="10"/>
        <v>-3.3889895174692361E-3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-58706.64840000002</v>
      </c>
      <c r="D95" s="209">
        <f>SUM(D83:D94)</f>
        <v>-1.0735709405017475E-3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31731035222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27646737321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14245482401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5288295684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5589939837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61696571038</v>
      </c>
      <c r="D120" s="217">
        <v>535194061</v>
      </c>
      <c r="F120" s="204">
        <f>+C120+D120</f>
        <v>62231765099</v>
      </c>
      <c r="G120" s="197"/>
      <c r="H120" s="197"/>
    </row>
    <row r="121" spans="1:13" x14ac:dyDescent="0.2">
      <c r="B121" s="189" t="s">
        <v>18</v>
      </c>
      <c r="C121" s="192">
        <v>38922376.759999998</v>
      </c>
      <c r="D121" s="193">
        <v>19381.43</v>
      </c>
      <c r="F121" s="204">
        <f>+C121+D121</f>
        <v>38941758.189999998</v>
      </c>
      <c r="H121" s="75"/>
    </row>
    <row r="122" spans="1:13" x14ac:dyDescent="0.2">
      <c r="B122" s="189" t="s">
        <v>4</v>
      </c>
      <c r="C122" s="190">
        <v>6810447283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84223626402</v>
      </c>
      <c r="D123" s="205"/>
      <c r="F123" s="204"/>
      <c r="H123" s="75"/>
    </row>
    <row r="124" spans="1:13" x14ac:dyDescent="0.2">
      <c r="B124" s="189" t="s">
        <v>25</v>
      </c>
      <c r="C124" s="192">
        <v>108294375.84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2">
        <v>54683529.690699995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427" priority="48" stopIfTrue="1" operator="lessThan">
      <formula>0</formula>
    </cfRule>
  </conditionalFormatting>
  <conditionalFormatting sqref="C7:C9">
    <cfRule type="cellIs" dxfId="426" priority="47" stopIfTrue="1" operator="lessThan">
      <formula>0</formula>
    </cfRule>
  </conditionalFormatting>
  <conditionalFormatting sqref="C10:C13">
    <cfRule type="cellIs" dxfId="425" priority="45" stopIfTrue="1" operator="lessThan">
      <formula>0</formula>
    </cfRule>
  </conditionalFormatting>
  <conditionalFormatting sqref="C104">
    <cfRule type="cellIs" dxfId="424" priority="44" stopIfTrue="1" operator="lessThan">
      <formula>0</formula>
    </cfRule>
  </conditionalFormatting>
  <conditionalFormatting sqref="C7">
    <cfRule type="cellIs" dxfId="423" priority="46" stopIfTrue="1" operator="lessThan">
      <formula>0</formula>
    </cfRule>
  </conditionalFormatting>
  <conditionalFormatting sqref="C29:C33">
    <cfRule type="cellIs" dxfId="422" priority="39" stopIfTrue="1" operator="lessThan">
      <formula>0</formula>
    </cfRule>
  </conditionalFormatting>
  <conditionalFormatting sqref="G7:G9">
    <cfRule type="cellIs" dxfId="421" priority="42" stopIfTrue="1" operator="lessThan">
      <formula>0</formula>
    </cfRule>
  </conditionalFormatting>
  <conditionalFormatting sqref="C22">
    <cfRule type="cellIs" dxfId="420" priority="37" stopIfTrue="1" operator="lessThan">
      <formula>0</formula>
    </cfRule>
  </conditionalFormatting>
  <conditionalFormatting sqref="C25:C28">
    <cfRule type="cellIs" dxfId="419" priority="36" stopIfTrue="1" operator="lessThan">
      <formula>0</formula>
    </cfRule>
  </conditionalFormatting>
  <conditionalFormatting sqref="G14:G18">
    <cfRule type="cellIs" dxfId="418" priority="43" stopIfTrue="1" operator="lessThan">
      <formula>0</formula>
    </cfRule>
  </conditionalFormatting>
  <conditionalFormatting sqref="G7">
    <cfRule type="cellIs" dxfId="417" priority="41" stopIfTrue="1" operator="lessThan">
      <formula>0</formula>
    </cfRule>
  </conditionalFormatting>
  <conditionalFormatting sqref="G10:G13">
    <cfRule type="cellIs" dxfId="416" priority="40" stopIfTrue="1" operator="lessThan">
      <formula>0</formula>
    </cfRule>
  </conditionalFormatting>
  <conditionalFormatting sqref="C22:C24">
    <cfRule type="cellIs" dxfId="415" priority="38" stopIfTrue="1" operator="lessThan">
      <formula>0</formula>
    </cfRule>
  </conditionalFormatting>
  <conditionalFormatting sqref="G22">
    <cfRule type="cellIs" dxfId="414" priority="33" stopIfTrue="1" operator="lessThan">
      <formula>0</formula>
    </cfRule>
  </conditionalFormatting>
  <conditionalFormatting sqref="G29:G33">
    <cfRule type="cellIs" dxfId="413" priority="35" stopIfTrue="1" operator="lessThan">
      <formula>0</formula>
    </cfRule>
  </conditionalFormatting>
  <conditionalFormatting sqref="G22:G24">
    <cfRule type="cellIs" dxfId="412" priority="34" stopIfTrue="1" operator="lessThan">
      <formula>0</formula>
    </cfRule>
  </conditionalFormatting>
  <conditionalFormatting sqref="G25:G28">
    <cfRule type="cellIs" dxfId="411" priority="32" stopIfTrue="1" operator="lessThan">
      <formula>0</formula>
    </cfRule>
  </conditionalFormatting>
  <conditionalFormatting sqref="C40:C43">
    <cfRule type="cellIs" dxfId="410" priority="28" stopIfTrue="1" operator="lessThan">
      <formula>0</formula>
    </cfRule>
  </conditionalFormatting>
  <conditionalFormatting sqref="G44:G48">
    <cfRule type="cellIs" dxfId="409" priority="27" stopIfTrue="1" operator="lessThan">
      <formula>0</formula>
    </cfRule>
  </conditionalFormatting>
  <conditionalFormatting sqref="G37">
    <cfRule type="cellIs" dxfId="408" priority="25" stopIfTrue="1" operator="lessThan">
      <formula>0</formula>
    </cfRule>
  </conditionalFormatting>
  <conditionalFormatting sqref="C44:C48">
    <cfRule type="cellIs" dxfId="407" priority="31" stopIfTrue="1" operator="lessThan">
      <formula>0</formula>
    </cfRule>
  </conditionalFormatting>
  <conditionalFormatting sqref="C37:C39">
    <cfRule type="cellIs" dxfId="406" priority="30" stopIfTrue="1" operator="lessThan">
      <formula>0</formula>
    </cfRule>
  </conditionalFormatting>
  <conditionalFormatting sqref="C37">
    <cfRule type="cellIs" dxfId="405" priority="29" stopIfTrue="1" operator="lessThan">
      <formula>0</formula>
    </cfRule>
  </conditionalFormatting>
  <conditionalFormatting sqref="C56:C59">
    <cfRule type="cellIs" dxfId="404" priority="20" stopIfTrue="1" operator="lessThan">
      <formula>0</formula>
    </cfRule>
  </conditionalFormatting>
  <conditionalFormatting sqref="G60:G63">
    <cfRule type="cellIs" dxfId="403" priority="19" stopIfTrue="1" operator="lessThan">
      <formula>0</formula>
    </cfRule>
  </conditionalFormatting>
  <conditionalFormatting sqref="G37:G39">
    <cfRule type="cellIs" dxfId="402" priority="26" stopIfTrue="1" operator="lessThan">
      <formula>0</formula>
    </cfRule>
  </conditionalFormatting>
  <conditionalFormatting sqref="G53">
    <cfRule type="cellIs" dxfId="401" priority="17" stopIfTrue="1" operator="lessThan">
      <formula>0</formula>
    </cfRule>
  </conditionalFormatting>
  <conditionalFormatting sqref="G40:G43">
    <cfRule type="cellIs" dxfId="400" priority="24" stopIfTrue="1" operator="lessThan">
      <formula>0</formula>
    </cfRule>
  </conditionalFormatting>
  <conditionalFormatting sqref="C60:C64">
    <cfRule type="cellIs" dxfId="399" priority="23" stopIfTrue="1" operator="lessThan">
      <formula>0</formula>
    </cfRule>
  </conditionalFormatting>
  <conditionalFormatting sqref="C53:C55">
    <cfRule type="cellIs" dxfId="398" priority="22" stopIfTrue="1" operator="lessThan">
      <formula>0</formula>
    </cfRule>
  </conditionalFormatting>
  <conditionalFormatting sqref="C53">
    <cfRule type="cellIs" dxfId="397" priority="21" stopIfTrue="1" operator="lessThan">
      <formula>0</formula>
    </cfRule>
  </conditionalFormatting>
  <conditionalFormatting sqref="G53:G55">
    <cfRule type="cellIs" dxfId="396" priority="18" stopIfTrue="1" operator="lessThan">
      <formula>0</formula>
    </cfRule>
  </conditionalFormatting>
  <conditionalFormatting sqref="G56:G59">
    <cfRule type="cellIs" dxfId="395" priority="16" stopIfTrue="1" operator="lessThan">
      <formula>0</formula>
    </cfRule>
  </conditionalFormatting>
  <conditionalFormatting sqref="C75:C78">
    <cfRule type="cellIs" dxfId="394" priority="15" stopIfTrue="1" operator="lessThan">
      <formula>0</formula>
    </cfRule>
  </conditionalFormatting>
  <conditionalFormatting sqref="C68:C70">
    <cfRule type="cellIs" dxfId="393" priority="14" stopIfTrue="1" operator="lessThan">
      <formula>0</formula>
    </cfRule>
  </conditionalFormatting>
  <conditionalFormatting sqref="C68">
    <cfRule type="cellIs" dxfId="392" priority="13" stopIfTrue="1" operator="lessThan">
      <formula>0</formula>
    </cfRule>
  </conditionalFormatting>
  <conditionalFormatting sqref="C71:C74">
    <cfRule type="cellIs" dxfId="391" priority="12" stopIfTrue="1" operator="lessThan">
      <formula>0</formula>
    </cfRule>
  </conditionalFormatting>
  <conditionalFormatting sqref="G75:G79">
    <cfRule type="cellIs" dxfId="390" priority="11" stopIfTrue="1" operator="lessThan">
      <formula>0</formula>
    </cfRule>
  </conditionalFormatting>
  <conditionalFormatting sqref="G68:G70">
    <cfRule type="cellIs" dxfId="389" priority="10" stopIfTrue="1" operator="lessThan">
      <formula>0</formula>
    </cfRule>
  </conditionalFormatting>
  <conditionalFormatting sqref="G68">
    <cfRule type="cellIs" dxfId="388" priority="9" stopIfTrue="1" operator="lessThan">
      <formula>0</formula>
    </cfRule>
  </conditionalFormatting>
  <conditionalFormatting sqref="G71:G74">
    <cfRule type="cellIs" dxfId="387" priority="8" stopIfTrue="1" operator="lessThan">
      <formula>0</formula>
    </cfRule>
  </conditionalFormatting>
  <conditionalFormatting sqref="G64">
    <cfRule type="cellIs" dxfId="386" priority="7" stopIfTrue="1" operator="lessThan">
      <formula>0</formula>
    </cfRule>
  </conditionalFormatting>
  <conditionalFormatting sqref="C79">
    <cfRule type="cellIs" dxfId="385" priority="6" stopIfTrue="1" operator="lessThan">
      <formula>0</formula>
    </cfRule>
  </conditionalFormatting>
  <conditionalFormatting sqref="C90:C93">
    <cfRule type="cellIs" dxfId="384" priority="5" stopIfTrue="1" operator="lessThan">
      <formula>0</formula>
    </cfRule>
  </conditionalFormatting>
  <conditionalFormatting sqref="C83:C85">
    <cfRule type="cellIs" dxfId="383" priority="4" stopIfTrue="1" operator="lessThan">
      <formula>0</formula>
    </cfRule>
  </conditionalFormatting>
  <conditionalFormatting sqref="C83">
    <cfRule type="cellIs" dxfId="382" priority="3" stopIfTrue="1" operator="lessThan">
      <formula>0</formula>
    </cfRule>
  </conditionalFormatting>
  <conditionalFormatting sqref="C86:C89">
    <cfRule type="cellIs" dxfId="381" priority="2" stopIfTrue="1" operator="lessThan">
      <formula>0</formula>
    </cfRule>
  </conditionalFormatting>
  <conditionalFormatting sqref="C94">
    <cfRule type="cellIs" dxfId="380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43115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3929023</v>
      </c>
      <c r="D7" s="67">
        <f>+IF(C7/$F$120=0,"",C7/$F$120)</f>
        <v>8.0084651434317582E-5</v>
      </c>
      <c r="E7" s="68"/>
      <c r="F7" s="199" t="s">
        <v>5</v>
      </c>
      <c r="G7" s="66">
        <v>653591</v>
      </c>
      <c r="H7" s="200">
        <f>+IF(G7/$C$122=0,"",G7/$C$122)</f>
        <v>1.0203457061188964E-4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66">
        <v>35395</v>
      </c>
      <c r="H8" s="200">
        <f>+IF(G8/$C$122=0,"",G8/$C$122)</f>
        <v>5.5256477320033992E-6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66">
        <v>-40929.403037176176</v>
      </c>
      <c r="H11" s="200">
        <f t="shared" si="0"/>
        <v>-6.3896443866259519E-6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72">
        <v>1944915</v>
      </c>
      <c r="H14" s="200">
        <f t="shared" si="0"/>
        <v>3.0362805929338581E-4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2.75" x14ac:dyDescent="0.2">
      <c r="B17" s="199" t="s">
        <v>15</v>
      </c>
      <c r="C17" s="218">
        <v>1893116</v>
      </c>
      <c r="D17" s="67">
        <f>+IF(C17/$F$120=0,"",C17/$F$120)</f>
        <v>3.8587082586365503E-5</v>
      </c>
      <c r="E17" s="68"/>
      <c r="F17" s="199" t="s">
        <v>15</v>
      </c>
      <c r="G17" s="72">
        <v>-39635</v>
      </c>
      <c r="H17" s="200">
        <f t="shared" si="0"/>
        <v>-6.1875702177695927E-6</v>
      </c>
      <c r="I17" s="74"/>
    </row>
    <row r="18" spans="2:9" ht="12.75" x14ac:dyDescent="0.2">
      <c r="B18" s="199" t="s">
        <v>16</v>
      </c>
      <c r="C18" s="218">
        <v>-261916</v>
      </c>
      <c r="D18" s="67">
        <f>+IF(C18/$F$120=0,"",C18/$F$120)</f>
        <v>-5.3385922060193394E-6</v>
      </c>
      <c r="E18" s="75"/>
      <c r="F18" s="199" t="s">
        <v>16</v>
      </c>
      <c r="G18" s="72">
        <v>-49206</v>
      </c>
      <c r="H18" s="200">
        <f t="shared" si="0"/>
        <v>-7.6817353383517242E-6</v>
      </c>
    </row>
    <row r="19" spans="2:9" s="80" customFormat="1" x14ac:dyDescent="0.2">
      <c r="B19" s="201" t="s">
        <v>17</v>
      </c>
      <c r="C19" s="77">
        <f>SUM(C7:C18)</f>
        <v>5560223</v>
      </c>
      <c r="D19" s="78">
        <f>SUM(D7:D18)</f>
        <v>1.1333314181466375E-4</v>
      </c>
      <c r="E19" s="79"/>
      <c r="F19" s="201" t="s">
        <v>17</v>
      </c>
      <c r="G19" s="77">
        <f>SUM(G7:G18)</f>
        <v>2504130.5969628235</v>
      </c>
      <c r="H19" s="78">
        <f>SUM(H7:H18)</f>
        <v>3.909293276945316E-4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2201.4661999999998</v>
      </c>
      <c r="D22" s="200">
        <f>+IF(C22/$F$121=0,"",C22/$F$121)</f>
        <v>5.649788525874421E-5</v>
      </c>
      <c r="E22" s="75"/>
      <c r="F22" s="199" t="s">
        <v>5</v>
      </c>
      <c r="G22" s="66">
        <v>2480070</v>
      </c>
      <c r="H22" s="200">
        <f t="shared" ref="H22:H33" si="2">+IF(G22/$C$115=0,"",G22/$C$115)</f>
        <v>7.8010834216637846E-5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250620</v>
      </c>
      <c r="H23" s="200">
        <f t="shared" si="2"/>
        <v>7.8832755814851091E-6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16.929288670244205</v>
      </c>
      <c r="D26" s="200">
        <f>+IF(C26/$F$121=0,"",C26/$F$121)</f>
        <v>4.3446908646774384E-7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-40370.557011300873</v>
      </c>
      <c r="D27" s="200">
        <f t="shared" ref="D27:D33" si="3">+IF(C27/$F$121=0,"",C27/$F$121)</f>
        <v>-1.0360600121210439E-3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1343766</v>
      </c>
      <c r="H29" s="200">
        <f t="shared" si="2"/>
        <v>4.2268285432247705E-5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40269.464099999997</v>
      </c>
      <c r="D31" s="200">
        <f t="shared" si="3"/>
        <v>1.0334655885940558E-3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-171.53</v>
      </c>
      <c r="D33" s="200">
        <f t="shared" si="3"/>
        <v>-4.4021035882505918E-6</v>
      </c>
      <c r="E33" s="75"/>
      <c r="F33" s="199" t="s">
        <v>16</v>
      </c>
      <c r="G33" s="72">
        <v>-30490</v>
      </c>
      <c r="H33" s="200">
        <f t="shared" si="2"/>
        <v>-9.5906580671726507E-7</v>
      </c>
    </row>
    <row r="34" spans="1:13" s="80" customFormat="1" x14ac:dyDescent="0.2">
      <c r="B34" s="201" t="s">
        <v>17</v>
      </c>
      <c r="C34" s="203">
        <f>SUM(C22:C33)</f>
        <v>1945.7725773693662</v>
      </c>
      <c r="D34" s="78">
        <f>SUM(D22:D33)</f>
        <v>4.9935827229973346E-5</v>
      </c>
      <c r="E34" s="79"/>
      <c r="F34" s="201" t="s">
        <v>17</v>
      </c>
      <c r="G34" s="203">
        <f>SUM(G22:G33)</f>
        <v>4043966</v>
      </c>
      <c r="H34" s="78">
        <f>SUM(H22:H33)</f>
        <v>1.2720332942365342E-4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4686563</v>
      </c>
      <c r="D37" s="200">
        <f t="shared" ref="D37:D48" si="4">+IF(C37/$C$123=0,"",C37/$C$123)</f>
        <v>5.5158481751442289E-5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1132741</v>
      </c>
      <c r="D38" s="200">
        <f t="shared" si="4"/>
        <v>1.3331790008501005E-5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28808852</v>
      </c>
      <c r="D44" s="200">
        <f t="shared" si="4"/>
        <v>3.3906565159200929E-4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11561476</v>
      </c>
      <c r="D45" s="200">
        <f t="shared" si="4"/>
        <v>1.3607273879935852E-4</v>
      </c>
      <c r="E45" s="68"/>
      <c r="F45" s="199" t="s">
        <v>13</v>
      </c>
      <c r="G45" s="72">
        <v>27229570</v>
      </c>
      <c r="H45" s="200">
        <f t="shared" si="5"/>
        <v>5.1368282836933808E-3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-108496</v>
      </c>
      <c r="D48" s="200">
        <f t="shared" si="4"/>
        <v>-1.2769431747966437E-6</v>
      </c>
      <c r="E48" s="68"/>
      <c r="F48" s="199" t="s">
        <v>16</v>
      </c>
      <c r="G48" s="72">
        <v>-16032</v>
      </c>
      <c r="H48" s="200">
        <f t="shared" si="5"/>
        <v>-3.0244190798522444E-6</v>
      </c>
    </row>
    <row r="49" spans="2:10" s="80" customFormat="1" x14ac:dyDescent="0.2">
      <c r="B49" s="201" t="s">
        <v>17</v>
      </c>
      <c r="C49" s="77">
        <f>SUM(C37:C48)</f>
        <v>46081136</v>
      </c>
      <c r="D49" s="78">
        <f>SUM(D37:D48)</f>
        <v>5.4235171897651444E-4</v>
      </c>
      <c r="E49" s="79"/>
      <c r="F49" s="201" t="s">
        <v>17</v>
      </c>
      <c r="G49" s="77">
        <f>SUM(G37:G48)</f>
        <v>27213538</v>
      </c>
      <c r="H49" s="78">
        <f>SUM(H37:H48)</f>
        <v>5.1338038646135285E-3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11269.9159</v>
      </c>
      <c r="H53" s="200">
        <f t="shared" ref="H53:H64" si="7">+IF(G53/$C$124=0,"",G53/$C$124)</f>
        <v>1.0405932472688086E-4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1686.06</v>
      </c>
      <c r="H60" s="200">
        <f t="shared" si="7"/>
        <v>1.5568019016806038E-5</v>
      </c>
    </row>
    <row r="61" spans="2:10" x14ac:dyDescent="0.2">
      <c r="B61" s="199" t="s">
        <v>13</v>
      </c>
      <c r="C61" s="72">
        <v>166757476</v>
      </c>
      <c r="D61" s="200">
        <f t="shared" si="6"/>
        <v>5.9995256887978854E-3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/>
      <c r="H63" s="200" t="str">
        <f t="shared" si="7"/>
        <v/>
      </c>
    </row>
    <row r="64" spans="2:10" x14ac:dyDescent="0.2">
      <c r="B64" s="199" t="s">
        <v>16</v>
      </c>
      <c r="C64" s="72">
        <v>-228453</v>
      </c>
      <c r="D64" s="200">
        <f t="shared" si="6"/>
        <v>-8.2191795837863576E-6</v>
      </c>
      <c r="E64" s="68"/>
      <c r="F64" s="199" t="s">
        <v>16</v>
      </c>
      <c r="G64" s="92">
        <v>-109.56</v>
      </c>
      <c r="H64" s="200">
        <f t="shared" si="7"/>
        <v>-1.0116082247851616E-6</v>
      </c>
    </row>
    <row r="65" spans="2:8" s="80" customFormat="1" x14ac:dyDescent="0.2">
      <c r="B65" s="201" t="s">
        <v>17</v>
      </c>
      <c r="C65" s="77">
        <f>SUM(C53:C64)</f>
        <v>166529023</v>
      </c>
      <c r="D65" s="78">
        <f>SUM(D53:D64)</f>
        <v>5.9913065092140989E-3</v>
      </c>
      <c r="E65" s="79"/>
      <c r="F65" s="201" t="s">
        <v>17</v>
      </c>
      <c r="G65" s="203">
        <f>SUM(G53:G64)</f>
        <v>12846.4159</v>
      </c>
      <c r="H65" s="78">
        <f>SUM(H53:H64)</f>
        <v>1.1861573551890173E-4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-9196</v>
      </c>
      <c r="D72" s="200">
        <f t="shared" si="8"/>
        <v>-6.4440091794515543E-7</v>
      </c>
      <c r="E72" s="68"/>
      <c r="F72" s="199" t="s">
        <v>9</v>
      </c>
      <c r="G72" s="66">
        <v>998479</v>
      </c>
      <c r="H72" s="200">
        <f t="shared" si="9"/>
        <v>1.7824693282623828E-4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9077362</v>
      </c>
      <c r="D76" s="200">
        <f t="shared" si="8"/>
        <v>6.3608747339283082E-4</v>
      </c>
      <c r="E76" s="68"/>
      <c r="F76" s="199" t="s">
        <v>13</v>
      </c>
      <c r="G76" s="72">
        <v>1946247</v>
      </c>
      <c r="H76" s="200">
        <f t="shared" si="9"/>
        <v>3.4744101605769151E-4</v>
      </c>
    </row>
    <row r="77" spans="2:8" x14ac:dyDescent="0.2">
      <c r="B77" s="199" t="s">
        <v>14</v>
      </c>
      <c r="C77" s="66">
        <v>-54645463</v>
      </c>
      <c r="D77" s="200">
        <f t="shared" si="8"/>
        <v>-3.829228634051547E-3</v>
      </c>
      <c r="E77" s="68"/>
      <c r="F77" s="199" t="s">
        <v>14</v>
      </c>
      <c r="G77" s="66">
        <v>-20933457</v>
      </c>
      <c r="H77" s="200">
        <f t="shared" si="9"/>
        <v>-3.7370084936187414E-3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-1.481995977992833E-6</v>
      </c>
      <c r="E79" s="68"/>
      <c r="F79" s="199" t="s">
        <v>16</v>
      </c>
      <c r="G79" s="72">
        <v>-16067</v>
      </c>
      <c r="H79" s="200">
        <f t="shared" si="9"/>
        <v>-2.868256087227844E-6</v>
      </c>
    </row>
    <row r="80" spans="2:8" s="80" customFormat="1" x14ac:dyDescent="0.2">
      <c r="B80" s="201" t="s">
        <v>17</v>
      </c>
      <c r="C80" s="77">
        <f>SUM(C68:C79)</f>
        <v>-45598446</v>
      </c>
      <c r="D80" s="78">
        <f>SUM(D68:D79)</f>
        <v>-3.1952675575546543E-3</v>
      </c>
      <c r="E80" s="79"/>
      <c r="F80" s="201" t="s">
        <v>17</v>
      </c>
      <c r="G80" s="77">
        <f>SUM(G68:G79)</f>
        <v>-18004798</v>
      </c>
      <c r="H80" s="78">
        <f>SUM(H68:H79)</f>
        <v>-3.2141888008220395E-3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-1.1399999999999999</v>
      </c>
      <c r="D87" s="200">
        <f t="shared" si="10"/>
        <v>-2.086844901610517E-8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80730.256699999998</v>
      </c>
      <c r="D90" s="200">
        <f t="shared" si="10"/>
        <v>1.4778203912289762E-3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f>-16946.2147-320.74</f>
        <v>-17266.954700000002</v>
      </c>
      <c r="D92" s="200">
        <f t="shared" si="10"/>
        <v>-3.1608295071960317E-4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63462.161999999997</v>
      </c>
      <c r="D95" s="209">
        <f>SUM(D83:D94)</f>
        <v>1.1617165720603569E-3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31791353405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27795109922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14270619026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5300852685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5601661606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47799646493</v>
      </c>
      <c r="D120" s="217">
        <v>1261227590</v>
      </c>
      <c r="F120" s="204">
        <f>+C120+D120</f>
        <v>49060874083</v>
      </c>
      <c r="G120" s="197"/>
      <c r="H120" s="197"/>
    </row>
    <row r="121" spans="1:13" x14ac:dyDescent="0.2">
      <c r="B121" s="189" t="s">
        <v>18</v>
      </c>
      <c r="C121" s="192">
        <v>38946080.549999997</v>
      </c>
      <c r="D121" s="193">
        <v>19381.43</v>
      </c>
      <c r="F121" s="204">
        <f>+C121+D121</f>
        <v>38965461.979999997</v>
      </c>
      <c r="H121" s="75"/>
    </row>
    <row r="122" spans="1:13" x14ac:dyDescent="0.2">
      <c r="B122" s="189" t="s">
        <v>4</v>
      </c>
      <c r="C122" s="190">
        <v>6405583873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84965409692</v>
      </c>
      <c r="D123" s="205"/>
      <c r="F123" s="204"/>
      <c r="H123" s="75"/>
    </row>
    <row r="124" spans="1:13" x14ac:dyDescent="0.2">
      <c r="B124" s="189" t="s">
        <v>25</v>
      </c>
      <c r="C124" s="192">
        <v>108302796.79000001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2">
        <v>54627921.754999995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379" priority="48" stopIfTrue="1" operator="lessThan">
      <formula>0</formula>
    </cfRule>
  </conditionalFormatting>
  <conditionalFormatting sqref="C7:C9">
    <cfRule type="cellIs" dxfId="378" priority="47" stopIfTrue="1" operator="lessThan">
      <formula>0</formula>
    </cfRule>
  </conditionalFormatting>
  <conditionalFormatting sqref="C10:C13">
    <cfRule type="cellIs" dxfId="377" priority="45" stopIfTrue="1" operator="lessThan">
      <formula>0</formula>
    </cfRule>
  </conditionalFormatting>
  <conditionalFormatting sqref="C104">
    <cfRule type="cellIs" dxfId="376" priority="44" stopIfTrue="1" operator="lessThan">
      <formula>0</formula>
    </cfRule>
  </conditionalFormatting>
  <conditionalFormatting sqref="C7">
    <cfRule type="cellIs" dxfId="375" priority="46" stopIfTrue="1" operator="lessThan">
      <formula>0</formula>
    </cfRule>
  </conditionalFormatting>
  <conditionalFormatting sqref="C29:C33">
    <cfRule type="cellIs" dxfId="374" priority="39" stopIfTrue="1" operator="lessThan">
      <formula>0</formula>
    </cfRule>
  </conditionalFormatting>
  <conditionalFormatting sqref="G7:G9">
    <cfRule type="cellIs" dxfId="373" priority="42" stopIfTrue="1" operator="lessThan">
      <formula>0</formula>
    </cfRule>
  </conditionalFormatting>
  <conditionalFormatting sqref="C22">
    <cfRule type="cellIs" dxfId="372" priority="37" stopIfTrue="1" operator="lessThan">
      <formula>0</formula>
    </cfRule>
  </conditionalFormatting>
  <conditionalFormatting sqref="C25:C28">
    <cfRule type="cellIs" dxfId="371" priority="36" stopIfTrue="1" operator="lessThan">
      <formula>0</formula>
    </cfRule>
  </conditionalFormatting>
  <conditionalFormatting sqref="G14:G18">
    <cfRule type="cellIs" dxfId="370" priority="43" stopIfTrue="1" operator="lessThan">
      <formula>0</formula>
    </cfRule>
  </conditionalFormatting>
  <conditionalFormatting sqref="G7">
    <cfRule type="cellIs" dxfId="369" priority="41" stopIfTrue="1" operator="lessThan">
      <formula>0</formula>
    </cfRule>
  </conditionalFormatting>
  <conditionalFormatting sqref="G10:G13">
    <cfRule type="cellIs" dxfId="368" priority="40" stopIfTrue="1" operator="lessThan">
      <formula>0</formula>
    </cfRule>
  </conditionalFormatting>
  <conditionalFormatting sqref="C22:C24">
    <cfRule type="cellIs" dxfId="367" priority="38" stopIfTrue="1" operator="lessThan">
      <formula>0</formula>
    </cfRule>
  </conditionalFormatting>
  <conditionalFormatting sqref="G22">
    <cfRule type="cellIs" dxfId="366" priority="33" stopIfTrue="1" operator="lessThan">
      <formula>0</formula>
    </cfRule>
  </conditionalFormatting>
  <conditionalFormatting sqref="G29:G33">
    <cfRule type="cellIs" dxfId="365" priority="35" stopIfTrue="1" operator="lessThan">
      <formula>0</formula>
    </cfRule>
  </conditionalFormatting>
  <conditionalFormatting sqref="G22:G24">
    <cfRule type="cellIs" dxfId="364" priority="34" stopIfTrue="1" operator="lessThan">
      <formula>0</formula>
    </cfRule>
  </conditionalFormatting>
  <conditionalFormatting sqref="G25:G28">
    <cfRule type="cellIs" dxfId="363" priority="32" stopIfTrue="1" operator="lessThan">
      <formula>0</formula>
    </cfRule>
  </conditionalFormatting>
  <conditionalFormatting sqref="C40:C43">
    <cfRule type="cellIs" dxfId="362" priority="28" stopIfTrue="1" operator="lessThan">
      <formula>0</formula>
    </cfRule>
  </conditionalFormatting>
  <conditionalFormatting sqref="G44:G48">
    <cfRule type="cellIs" dxfId="361" priority="27" stopIfTrue="1" operator="lessThan">
      <formula>0</formula>
    </cfRule>
  </conditionalFormatting>
  <conditionalFormatting sqref="G37">
    <cfRule type="cellIs" dxfId="360" priority="25" stopIfTrue="1" operator="lessThan">
      <formula>0</formula>
    </cfRule>
  </conditionalFormatting>
  <conditionalFormatting sqref="C44:C48">
    <cfRule type="cellIs" dxfId="359" priority="31" stopIfTrue="1" operator="lessThan">
      <formula>0</formula>
    </cfRule>
  </conditionalFormatting>
  <conditionalFormatting sqref="C37:C39">
    <cfRule type="cellIs" dxfId="358" priority="30" stopIfTrue="1" operator="lessThan">
      <formula>0</formula>
    </cfRule>
  </conditionalFormatting>
  <conditionalFormatting sqref="C37">
    <cfRule type="cellIs" dxfId="357" priority="29" stopIfTrue="1" operator="lessThan">
      <formula>0</formula>
    </cfRule>
  </conditionalFormatting>
  <conditionalFormatting sqref="C56:C59">
    <cfRule type="cellIs" dxfId="356" priority="20" stopIfTrue="1" operator="lessThan">
      <formula>0</formula>
    </cfRule>
  </conditionalFormatting>
  <conditionalFormatting sqref="G60:G63">
    <cfRule type="cellIs" dxfId="355" priority="19" stopIfTrue="1" operator="lessThan">
      <formula>0</formula>
    </cfRule>
  </conditionalFormatting>
  <conditionalFormatting sqref="G37:G39">
    <cfRule type="cellIs" dxfId="354" priority="26" stopIfTrue="1" operator="lessThan">
      <formula>0</formula>
    </cfRule>
  </conditionalFormatting>
  <conditionalFormatting sqref="G53">
    <cfRule type="cellIs" dxfId="353" priority="17" stopIfTrue="1" operator="lessThan">
      <formula>0</formula>
    </cfRule>
  </conditionalFormatting>
  <conditionalFormatting sqref="G40:G43">
    <cfRule type="cellIs" dxfId="352" priority="24" stopIfTrue="1" operator="lessThan">
      <formula>0</formula>
    </cfRule>
  </conditionalFormatting>
  <conditionalFormatting sqref="C60:C64">
    <cfRule type="cellIs" dxfId="351" priority="23" stopIfTrue="1" operator="lessThan">
      <formula>0</formula>
    </cfRule>
  </conditionalFormatting>
  <conditionalFormatting sqref="C53:C55">
    <cfRule type="cellIs" dxfId="350" priority="22" stopIfTrue="1" operator="lessThan">
      <formula>0</formula>
    </cfRule>
  </conditionalFormatting>
  <conditionalFormatting sqref="C53">
    <cfRule type="cellIs" dxfId="349" priority="21" stopIfTrue="1" operator="lessThan">
      <formula>0</formula>
    </cfRule>
  </conditionalFormatting>
  <conditionalFormatting sqref="G53:G55">
    <cfRule type="cellIs" dxfId="348" priority="18" stopIfTrue="1" operator="lessThan">
      <formula>0</formula>
    </cfRule>
  </conditionalFormatting>
  <conditionalFormatting sqref="G56:G59">
    <cfRule type="cellIs" dxfId="347" priority="16" stopIfTrue="1" operator="lessThan">
      <formula>0</formula>
    </cfRule>
  </conditionalFormatting>
  <conditionalFormatting sqref="C75:C78">
    <cfRule type="cellIs" dxfId="346" priority="15" stopIfTrue="1" operator="lessThan">
      <formula>0</formula>
    </cfRule>
  </conditionalFormatting>
  <conditionalFormatting sqref="C68:C70">
    <cfRule type="cellIs" dxfId="345" priority="14" stopIfTrue="1" operator="lessThan">
      <formula>0</formula>
    </cfRule>
  </conditionalFormatting>
  <conditionalFormatting sqref="C68">
    <cfRule type="cellIs" dxfId="344" priority="13" stopIfTrue="1" operator="lessThan">
      <formula>0</formula>
    </cfRule>
  </conditionalFormatting>
  <conditionalFormatting sqref="C71:C74">
    <cfRule type="cellIs" dxfId="343" priority="12" stopIfTrue="1" operator="lessThan">
      <formula>0</formula>
    </cfRule>
  </conditionalFormatting>
  <conditionalFormatting sqref="G75:G79">
    <cfRule type="cellIs" dxfId="342" priority="11" stopIfTrue="1" operator="lessThan">
      <formula>0</formula>
    </cfRule>
  </conditionalFormatting>
  <conditionalFormatting sqref="G68:G70">
    <cfRule type="cellIs" dxfId="341" priority="10" stopIfTrue="1" operator="lessThan">
      <formula>0</formula>
    </cfRule>
  </conditionalFormatting>
  <conditionalFormatting sqref="G68">
    <cfRule type="cellIs" dxfId="340" priority="9" stopIfTrue="1" operator="lessThan">
      <formula>0</formula>
    </cfRule>
  </conditionalFormatting>
  <conditionalFormatting sqref="G71:G74">
    <cfRule type="cellIs" dxfId="339" priority="8" stopIfTrue="1" operator="lessThan">
      <formula>0</formula>
    </cfRule>
  </conditionalFormatting>
  <conditionalFormatting sqref="G64">
    <cfRule type="cellIs" dxfId="338" priority="7" stopIfTrue="1" operator="lessThan">
      <formula>0</formula>
    </cfRule>
  </conditionalFormatting>
  <conditionalFormatting sqref="C79">
    <cfRule type="cellIs" dxfId="337" priority="6" stopIfTrue="1" operator="lessThan">
      <formula>0</formula>
    </cfRule>
  </conditionalFormatting>
  <conditionalFormatting sqref="C90:C93">
    <cfRule type="cellIs" dxfId="336" priority="5" stopIfTrue="1" operator="lessThan">
      <formula>0</formula>
    </cfRule>
  </conditionalFormatting>
  <conditionalFormatting sqref="C83:C85">
    <cfRule type="cellIs" dxfId="335" priority="4" stopIfTrue="1" operator="lessThan">
      <formula>0</formula>
    </cfRule>
  </conditionalFormatting>
  <conditionalFormatting sqref="C83">
    <cfRule type="cellIs" dxfId="334" priority="3" stopIfTrue="1" operator="lessThan">
      <formula>0</formula>
    </cfRule>
  </conditionalFormatting>
  <conditionalFormatting sqref="C86:C89">
    <cfRule type="cellIs" dxfId="333" priority="2" stopIfTrue="1" operator="lessThan">
      <formula>0</formula>
    </cfRule>
  </conditionalFormatting>
  <conditionalFormatting sqref="C94">
    <cfRule type="cellIs" dxfId="332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43117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4171302</v>
      </c>
      <c r="D7" s="67">
        <f>+IF(C7/$F$120=0,"",C7/$F$120)</f>
        <v>8.0371169717952901E-5</v>
      </c>
      <c r="E7" s="68"/>
      <c r="F7" s="199" t="s">
        <v>5</v>
      </c>
      <c r="G7" s="66">
        <v>562431</v>
      </c>
      <c r="H7" s="200">
        <f>+IF(G7/$C$122=0,"",G7/$C$122)</f>
        <v>8.7764883326835839E-5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66">
        <v>35404</v>
      </c>
      <c r="H8" s="200">
        <f>+IF(G8/$C$122=0,"",G8/$C$122)</f>
        <v>5.5246384521893277E-6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66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66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66">
        <v>68795.494769439974</v>
      </c>
      <c r="H11" s="200">
        <f t="shared" si="0"/>
        <v>1.0735234316479434E-5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66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66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72">
        <v>4296597</v>
      </c>
      <c r="H14" s="200">
        <f t="shared" si="0"/>
        <v>6.7046506043840555E-4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72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66"/>
      <c r="H16" s="200" t="str">
        <f t="shared" si="0"/>
        <v/>
      </c>
      <c r="I16" s="74"/>
    </row>
    <row r="17" spans="2:9" ht="12.75" x14ac:dyDescent="0.2">
      <c r="B17" s="199" t="s">
        <v>15</v>
      </c>
      <c r="C17" s="218">
        <v>3333</v>
      </c>
      <c r="D17" s="67">
        <f>+IF(C17/$F$120=0,"",C17/$F$120)</f>
        <v>6.4219063656847916E-8</v>
      </c>
      <c r="E17" s="68"/>
      <c r="F17" s="199" t="s">
        <v>15</v>
      </c>
      <c r="G17" s="72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-263403</v>
      </c>
      <c r="D18" s="67">
        <f>+IF(C18/$F$120=0,"",C18/$F$120)</f>
        <v>-5.0751557228937022E-6</v>
      </c>
      <c r="E18" s="75"/>
      <c r="F18" s="199" t="s">
        <v>16</v>
      </c>
      <c r="G18" s="72">
        <v>-32912</v>
      </c>
      <c r="H18" s="200">
        <f t="shared" si="0"/>
        <v>-5.1357728148925303E-6</v>
      </c>
    </row>
    <row r="19" spans="2:9" s="80" customFormat="1" x14ac:dyDescent="0.2">
      <c r="B19" s="201" t="s">
        <v>17</v>
      </c>
      <c r="C19" s="77">
        <f>SUM(C7:C18)</f>
        <v>3911232</v>
      </c>
      <c r="D19" s="78">
        <f>SUM(D7:D18)</f>
        <v>7.5360233058716054E-5</v>
      </c>
      <c r="E19" s="79"/>
      <c r="F19" s="201" t="s">
        <v>17</v>
      </c>
      <c r="G19" s="77">
        <f>SUM(G7:G18)</f>
        <v>4930315.49476944</v>
      </c>
      <c r="H19" s="78">
        <f>SUM(H7:H18)</f>
        <v>7.6935404371901764E-4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1915.0940000000001</v>
      </c>
      <c r="D22" s="200">
        <f>+IF(C22/$F$121=0,"",C22/$F$121)</f>
        <v>5.2222429471312201E-5</v>
      </c>
      <c r="E22" s="75"/>
      <c r="F22" s="199" t="s">
        <v>5</v>
      </c>
      <c r="G22" s="66">
        <v>2451510</v>
      </c>
      <c r="H22" s="200">
        <f t="shared" ref="H22:H33" si="2">+IF(G22/$C$115=0,"",G22/$C$115)</f>
        <v>7.6787281587979966E-5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250478</v>
      </c>
      <c r="H23" s="200">
        <f t="shared" si="2"/>
        <v>7.8455828112445184E-6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-18.740000000000002</v>
      </c>
      <c r="D26" s="200">
        <f>+IF(C26/$F$121=0,"",C26/$F$121)</f>
        <v>-5.1101842953525558E-7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49942.09222798518</v>
      </c>
      <c r="D27" s="200">
        <f t="shared" ref="D27:D33" si="3">+IF(C27/$F$121=0,"",C27/$F$121)</f>
        <v>1.3618639027774748E-3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>
        <v>726.18719999999996</v>
      </c>
      <c r="D28" s="200">
        <f t="shared" si="3"/>
        <v>1.9802296824578681E-5</v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4370277</v>
      </c>
      <c r="H29" s="200">
        <f t="shared" si="2"/>
        <v>1.3688775106627033E-4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-50763.872100000001</v>
      </c>
      <c r="D31" s="200">
        <f t="shared" si="3"/>
        <v>-1.3842729027572346E-3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>
        <v>319.22919999999999</v>
      </c>
      <c r="D32" s="200">
        <f t="shared" si="3"/>
        <v>8.7050162457735326E-6</v>
      </c>
      <c r="E32" s="75"/>
      <c r="F32" s="199" t="s">
        <v>15</v>
      </c>
      <c r="G32" s="72">
        <v>495342</v>
      </c>
      <c r="H32" s="200">
        <f t="shared" si="2"/>
        <v>1.5515321428977723E-5</v>
      </c>
    </row>
    <row r="33" spans="1:13" x14ac:dyDescent="0.2">
      <c r="B33" s="199" t="s">
        <v>16</v>
      </c>
      <c r="C33" s="71">
        <v>-183.53</v>
      </c>
      <c r="D33" s="200">
        <f t="shared" si="3"/>
        <v>-5.0046538085701945E-6</v>
      </c>
      <c r="E33" s="75"/>
      <c r="F33" s="199" t="s">
        <v>16</v>
      </c>
      <c r="G33" s="72">
        <v>-174937</v>
      </c>
      <c r="H33" s="200">
        <f t="shared" si="2"/>
        <v>-5.4794541646399376E-6</v>
      </c>
    </row>
    <row r="34" spans="1:13" s="80" customFormat="1" x14ac:dyDescent="0.2">
      <c r="B34" s="201" t="s">
        <v>17</v>
      </c>
      <c r="C34" s="203">
        <f>SUM(C22:C33)</f>
        <v>1936.4605279851792</v>
      </c>
      <c r="D34" s="78">
        <f>SUM(D22:D33)</f>
        <v>5.2805070323799152E-5</v>
      </c>
      <c r="E34" s="79"/>
      <c r="F34" s="201" t="s">
        <v>17</v>
      </c>
      <c r="G34" s="203">
        <f>SUM(G22:G33)</f>
        <v>7392670</v>
      </c>
      <c r="H34" s="78">
        <f>SUM(H22:H33)</f>
        <v>2.3155648272983259E-4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5337542</v>
      </c>
      <c r="D37" s="200">
        <f t="shared" ref="D37:D48" si="4">+IF(C37/$C$123=0,"",C37/$C$123)</f>
        <v>6.2377673031239304E-5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1133447</v>
      </c>
      <c r="D38" s="200">
        <f t="shared" si="4"/>
        <v>1.3246132089309852E-5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-109500</v>
      </c>
      <c r="H39" s="200">
        <f t="shared" si="5"/>
        <v>-2.0560476173312775E-5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49205797</v>
      </c>
      <c r="D44" s="200">
        <f t="shared" si="4"/>
        <v>5.7504804955305934E-4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29003292</v>
      </c>
      <c r="D45" s="200">
        <f t="shared" si="4"/>
        <v>3.3894962610234419E-4</v>
      </c>
      <c r="E45" s="68"/>
      <c r="F45" s="199" t="s">
        <v>13</v>
      </c>
      <c r="G45" s="72">
        <v>19014316</v>
      </c>
      <c r="H45" s="200">
        <f t="shared" si="5"/>
        <v>3.5702592791766199E-3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-168222</v>
      </c>
      <c r="D48" s="200">
        <f t="shared" si="4"/>
        <v>-1.9659417973031662E-6</v>
      </c>
      <c r="E48" s="68"/>
      <c r="F48" s="199" t="s">
        <v>16</v>
      </c>
      <c r="G48" s="72">
        <v>-35663</v>
      </c>
      <c r="H48" s="200">
        <f t="shared" si="5"/>
        <v>-6.6963311577064246E-6</v>
      </c>
    </row>
    <row r="49" spans="2:10" s="80" customFormat="1" x14ac:dyDescent="0.2">
      <c r="B49" s="201" t="s">
        <v>17</v>
      </c>
      <c r="C49" s="77">
        <f>SUM(C37:C48)</f>
        <v>84511856</v>
      </c>
      <c r="D49" s="78">
        <f>SUM(D37:D48)</f>
        <v>9.8765553897864952E-4</v>
      </c>
      <c r="E49" s="79"/>
      <c r="F49" s="201" t="s">
        <v>17</v>
      </c>
      <c r="G49" s="77">
        <f>SUM(G37:G48)</f>
        <v>18869153</v>
      </c>
      <c r="H49" s="78">
        <f>SUM(H37:H48)</f>
        <v>3.5430024718456007E-3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13659.949699999999</v>
      </c>
      <c r="H53" s="200">
        <f t="shared" ref="H53:H64" si="7">+IF(G53/$C$124=0,"",G53/$C$124)</f>
        <v>1.2610010657327901E-4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-789450</v>
      </c>
      <c r="D55" s="200">
        <f t="shared" si="6"/>
        <v>-2.7908511474185475E-5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36178.735000000001</v>
      </c>
      <c r="H60" s="200">
        <f t="shared" si="7"/>
        <v>3.3397943911802393E-4</v>
      </c>
    </row>
    <row r="61" spans="2:10" x14ac:dyDescent="0.2">
      <c r="B61" s="199" t="s">
        <v>13</v>
      </c>
      <c r="C61" s="72">
        <v>63711766</v>
      </c>
      <c r="D61" s="200">
        <f t="shared" si="6"/>
        <v>2.2523282696201409E-3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3305399</v>
      </c>
      <c r="D63" s="200">
        <f t="shared" si="6"/>
        <v>1.1685194238806916E-4</v>
      </c>
      <c r="E63" s="68"/>
      <c r="F63" s="199" t="s">
        <v>15</v>
      </c>
      <c r="G63" s="92">
        <v>2009.52</v>
      </c>
      <c r="H63" s="200">
        <f t="shared" si="7"/>
        <v>1.855063098520309E-5</v>
      </c>
    </row>
    <row r="64" spans="2:10" x14ac:dyDescent="0.2">
      <c r="B64" s="199" t="s">
        <v>16</v>
      </c>
      <c r="C64" s="72">
        <v>-211540</v>
      </c>
      <c r="D64" s="200">
        <f t="shared" si="6"/>
        <v>-7.4783286050404657E-6</v>
      </c>
      <c r="E64" s="68"/>
      <c r="F64" s="199" t="s">
        <v>16</v>
      </c>
      <c r="G64" s="92">
        <v>-109.56</v>
      </c>
      <c r="H64" s="200">
        <f t="shared" si="7"/>
        <v>-1.0113893520536499E-6</v>
      </c>
    </row>
    <row r="65" spans="2:8" s="80" customFormat="1" x14ac:dyDescent="0.2">
      <c r="B65" s="201" t="s">
        <v>17</v>
      </c>
      <c r="C65" s="77">
        <f>SUM(C53:C64)</f>
        <v>66016175</v>
      </c>
      <c r="D65" s="78">
        <f>SUM(D53:D64)</f>
        <v>2.3337933719289844E-3</v>
      </c>
      <c r="E65" s="79"/>
      <c r="F65" s="201" t="s">
        <v>17</v>
      </c>
      <c r="G65" s="203">
        <f>SUM(G53:G64)</f>
        <v>51738.644699999997</v>
      </c>
      <c r="H65" s="78">
        <f>SUM(H53:H64)</f>
        <v>4.776187873244524E-4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-124206</v>
      </c>
      <c r="D72" s="200">
        <f t="shared" si="8"/>
        <v>-8.732406464821252E-6</v>
      </c>
      <c r="E72" s="68"/>
      <c r="F72" s="199" t="s">
        <v>9</v>
      </c>
      <c r="G72" s="66">
        <v>1032727</v>
      </c>
      <c r="H72" s="200">
        <f t="shared" si="9"/>
        <v>1.8078976697809295E-4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66066072</v>
      </c>
      <c r="D76" s="200">
        <f t="shared" si="8"/>
        <v>4.6448303160728658E-3</v>
      </c>
      <c r="E76" s="68"/>
      <c r="F76" s="199" t="s">
        <v>13</v>
      </c>
      <c r="G76" s="72">
        <v>2407303</v>
      </c>
      <c r="H76" s="200">
        <f t="shared" si="9"/>
        <v>4.2142381134187848E-4</v>
      </c>
    </row>
    <row r="77" spans="2:8" x14ac:dyDescent="0.2">
      <c r="B77" s="199" t="s">
        <v>14</v>
      </c>
      <c r="C77" s="66">
        <v>75499859</v>
      </c>
      <c r="D77" s="200">
        <f t="shared" si="8"/>
        <v>5.308080582457313E-3</v>
      </c>
      <c r="E77" s="68"/>
      <c r="F77" s="199" t="s">
        <v>14</v>
      </c>
      <c r="G77" s="66">
        <v>29621868</v>
      </c>
      <c r="H77" s="200">
        <f t="shared" si="9"/>
        <v>5.1856208012144821E-3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-1.4868980912717958E-6</v>
      </c>
      <c r="E79" s="68"/>
      <c r="F79" s="199" t="s">
        <v>16</v>
      </c>
      <c r="G79" s="72">
        <v>-16067</v>
      </c>
      <c r="H79" s="200">
        <f t="shared" si="9"/>
        <v>-2.8126980180018724E-6</v>
      </c>
    </row>
    <row r="80" spans="2:8" s="80" customFormat="1" x14ac:dyDescent="0.2">
      <c r="B80" s="201" t="s">
        <v>17</v>
      </c>
      <c r="C80" s="77">
        <f>SUM(C68:C79)</f>
        <v>141420576</v>
      </c>
      <c r="D80" s="78">
        <f>SUM(D68:D79)</f>
        <v>9.942691593974087E-3</v>
      </c>
      <c r="E80" s="79"/>
      <c r="F80" s="201" t="s">
        <v>17</v>
      </c>
      <c r="G80" s="77">
        <f>SUM(G68:G79)</f>
        <v>33045831</v>
      </c>
      <c r="H80" s="78">
        <f>SUM(H68:H79)</f>
        <v>5.7850216815164522E-3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-3348.07096661589</v>
      </c>
      <c r="D87" s="200">
        <f t="shared" si="10"/>
        <v>-6.1219502269271826E-5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45540.071599999996</v>
      </c>
      <c r="D90" s="200">
        <f t="shared" si="10"/>
        <v>8.3270054442034455E-4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-497256.1827</v>
      </c>
      <c r="D92" s="200">
        <f t="shared" si="10"/>
        <v>-9.0923329609054106E-3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-455064.1820666159</v>
      </c>
      <c r="D95" s="209">
        <f>SUM(D83:D94)</f>
        <v>-8.3208519187543371E-3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31925990207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28287069367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14223570616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5325752141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5712308928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48071073265</v>
      </c>
      <c r="D120" s="217">
        <v>3829403170</v>
      </c>
      <c r="F120" s="204">
        <f>+C120+D120</f>
        <v>51900476435</v>
      </c>
      <c r="G120" s="197"/>
      <c r="H120" s="197"/>
    </row>
    <row r="121" spans="1:13" x14ac:dyDescent="0.2">
      <c r="B121" s="189" t="s">
        <v>18</v>
      </c>
      <c r="C121" s="192">
        <v>36671867.229999997</v>
      </c>
      <c r="D121" s="193"/>
      <c r="F121" s="204">
        <f>+C121+D121</f>
        <v>36671867.229999997</v>
      </c>
      <c r="H121" s="75"/>
    </row>
    <row r="122" spans="1:13" x14ac:dyDescent="0.2">
      <c r="B122" s="189" t="s">
        <v>4</v>
      </c>
      <c r="C122" s="190">
        <v>6408383156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85568148676</v>
      </c>
      <c r="D123" s="205"/>
      <c r="F123" s="204"/>
      <c r="H123" s="75"/>
    </row>
    <row r="124" spans="1:13" x14ac:dyDescent="0.2">
      <c r="B124" s="189" t="s">
        <v>25</v>
      </c>
      <c r="C124" s="192">
        <v>108326234.38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2">
        <v>54689614.297900006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331" priority="48" stopIfTrue="1" operator="lessThan">
      <formula>0</formula>
    </cfRule>
  </conditionalFormatting>
  <conditionalFormatting sqref="C7:C9">
    <cfRule type="cellIs" dxfId="330" priority="47" stopIfTrue="1" operator="lessThan">
      <formula>0</formula>
    </cfRule>
  </conditionalFormatting>
  <conditionalFormatting sqref="C10:C13">
    <cfRule type="cellIs" dxfId="329" priority="45" stopIfTrue="1" operator="lessThan">
      <formula>0</formula>
    </cfRule>
  </conditionalFormatting>
  <conditionalFormatting sqref="C104">
    <cfRule type="cellIs" dxfId="328" priority="44" stopIfTrue="1" operator="lessThan">
      <formula>0</formula>
    </cfRule>
  </conditionalFormatting>
  <conditionalFormatting sqref="C7">
    <cfRule type="cellIs" dxfId="327" priority="46" stopIfTrue="1" operator="lessThan">
      <formula>0</formula>
    </cfRule>
  </conditionalFormatting>
  <conditionalFormatting sqref="C29:C33">
    <cfRule type="cellIs" dxfId="326" priority="39" stopIfTrue="1" operator="lessThan">
      <formula>0</formula>
    </cfRule>
  </conditionalFormatting>
  <conditionalFormatting sqref="G7:G9">
    <cfRule type="cellIs" dxfId="325" priority="42" stopIfTrue="1" operator="lessThan">
      <formula>0</formula>
    </cfRule>
  </conditionalFormatting>
  <conditionalFormatting sqref="C22">
    <cfRule type="cellIs" dxfId="324" priority="37" stopIfTrue="1" operator="lessThan">
      <formula>0</formula>
    </cfRule>
  </conditionalFormatting>
  <conditionalFormatting sqref="C25:C28">
    <cfRule type="cellIs" dxfId="323" priority="36" stopIfTrue="1" operator="lessThan">
      <formula>0</formula>
    </cfRule>
  </conditionalFormatting>
  <conditionalFormatting sqref="G14:G18">
    <cfRule type="cellIs" dxfId="322" priority="43" stopIfTrue="1" operator="lessThan">
      <formula>0</formula>
    </cfRule>
  </conditionalFormatting>
  <conditionalFormatting sqref="G7">
    <cfRule type="cellIs" dxfId="321" priority="41" stopIfTrue="1" operator="lessThan">
      <formula>0</formula>
    </cfRule>
  </conditionalFormatting>
  <conditionalFormatting sqref="G10:G13">
    <cfRule type="cellIs" dxfId="320" priority="40" stopIfTrue="1" operator="lessThan">
      <formula>0</formula>
    </cfRule>
  </conditionalFormatting>
  <conditionalFormatting sqref="C22:C24">
    <cfRule type="cellIs" dxfId="319" priority="38" stopIfTrue="1" operator="lessThan">
      <formula>0</formula>
    </cfRule>
  </conditionalFormatting>
  <conditionalFormatting sqref="G22">
    <cfRule type="cellIs" dxfId="318" priority="33" stopIfTrue="1" operator="lessThan">
      <formula>0</formula>
    </cfRule>
  </conditionalFormatting>
  <conditionalFormatting sqref="G29:G33">
    <cfRule type="cellIs" dxfId="317" priority="35" stopIfTrue="1" operator="lessThan">
      <formula>0</formula>
    </cfRule>
  </conditionalFormatting>
  <conditionalFormatting sqref="G22:G24">
    <cfRule type="cellIs" dxfId="316" priority="34" stopIfTrue="1" operator="lessThan">
      <formula>0</formula>
    </cfRule>
  </conditionalFormatting>
  <conditionalFormatting sqref="G25:G28">
    <cfRule type="cellIs" dxfId="315" priority="32" stopIfTrue="1" operator="lessThan">
      <formula>0</formula>
    </cfRule>
  </conditionalFormatting>
  <conditionalFormatting sqref="C40:C43">
    <cfRule type="cellIs" dxfId="314" priority="28" stopIfTrue="1" operator="lessThan">
      <formula>0</formula>
    </cfRule>
  </conditionalFormatting>
  <conditionalFormatting sqref="G44:G48">
    <cfRule type="cellIs" dxfId="313" priority="27" stopIfTrue="1" operator="lessThan">
      <formula>0</formula>
    </cfRule>
  </conditionalFormatting>
  <conditionalFormatting sqref="G37">
    <cfRule type="cellIs" dxfId="312" priority="25" stopIfTrue="1" operator="lessThan">
      <formula>0</formula>
    </cfRule>
  </conditionalFormatting>
  <conditionalFormatting sqref="C44:C48">
    <cfRule type="cellIs" dxfId="311" priority="31" stopIfTrue="1" operator="lessThan">
      <formula>0</formula>
    </cfRule>
  </conditionalFormatting>
  <conditionalFormatting sqref="C37:C39">
    <cfRule type="cellIs" dxfId="310" priority="30" stopIfTrue="1" operator="lessThan">
      <formula>0</formula>
    </cfRule>
  </conditionalFormatting>
  <conditionalFormatting sqref="C37">
    <cfRule type="cellIs" dxfId="309" priority="29" stopIfTrue="1" operator="lessThan">
      <formula>0</formula>
    </cfRule>
  </conditionalFormatting>
  <conditionalFormatting sqref="C56:C59">
    <cfRule type="cellIs" dxfId="308" priority="20" stopIfTrue="1" operator="lessThan">
      <formula>0</formula>
    </cfRule>
  </conditionalFormatting>
  <conditionalFormatting sqref="G60:G63">
    <cfRule type="cellIs" dxfId="307" priority="19" stopIfTrue="1" operator="lessThan">
      <formula>0</formula>
    </cfRule>
  </conditionalFormatting>
  <conditionalFormatting sqref="G37:G39">
    <cfRule type="cellIs" dxfId="306" priority="26" stopIfTrue="1" operator="lessThan">
      <formula>0</formula>
    </cfRule>
  </conditionalFormatting>
  <conditionalFormatting sqref="G53">
    <cfRule type="cellIs" dxfId="305" priority="17" stopIfTrue="1" operator="lessThan">
      <formula>0</formula>
    </cfRule>
  </conditionalFormatting>
  <conditionalFormatting sqref="G40:G43">
    <cfRule type="cellIs" dxfId="304" priority="24" stopIfTrue="1" operator="lessThan">
      <formula>0</formula>
    </cfRule>
  </conditionalFormatting>
  <conditionalFormatting sqref="C60:C64">
    <cfRule type="cellIs" dxfId="303" priority="23" stopIfTrue="1" operator="lessThan">
      <formula>0</formula>
    </cfRule>
  </conditionalFormatting>
  <conditionalFormatting sqref="C53:C55">
    <cfRule type="cellIs" dxfId="302" priority="22" stopIfTrue="1" operator="lessThan">
      <formula>0</formula>
    </cfRule>
  </conditionalFormatting>
  <conditionalFormatting sqref="C53">
    <cfRule type="cellIs" dxfId="301" priority="21" stopIfTrue="1" operator="lessThan">
      <formula>0</formula>
    </cfRule>
  </conditionalFormatting>
  <conditionalFormatting sqref="G53:G55">
    <cfRule type="cellIs" dxfId="300" priority="18" stopIfTrue="1" operator="lessThan">
      <formula>0</formula>
    </cfRule>
  </conditionalFormatting>
  <conditionalFormatting sqref="G56:G59">
    <cfRule type="cellIs" dxfId="299" priority="16" stopIfTrue="1" operator="lessThan">
      <formula>0</formula>
    </cfRule>
  </conditionalFormatting>
  <conditionalFormatting sqref="C75:C78">
    <cfRule type="cellIs" dxfId="298" priority="15" stopIfTrue="1" operator="lessThan">
      <formula>0</formula>
    </cfRule>
  </conditionalFormatting>
  <conditionalFormatting sqref="C68:C70">
    <cfRule type="cellIs" dxfId="297" priority="14" stopIfTrue="1" operator="lessThan">
      <formula>0</formula>
    </cfRule>
  </conditionalFormatting>
  <conditionalFormatting sqref="C68">
    <cfRule type="cellIs" dxfId="296" priority="13" stopIfTrue="1" operator="lessThan">
      <formula>0</formula>
    </cfRule>
  </conditionalFormatting>
  <conditionalFormatting sqref="C71:C74">
    <cfRule type="cellIs" dxfId="295" priority="12" stopIfTrue="1" operator="lessThan">
      <formula>0</formula>
    </cfRule>
  </conditionalFormatting>
  <conditionalFormatting sqref="G75:G79">
    <cfRule type="cellIs" dxfId="294" priority="11" stopIfTrue="1" operator="lessThan">
      <formula>0</formula>
    </cfRule>
  </conditionalFormatting>
  <conditionalFormatting sqref="G68:G70">
    <cfRule type="cellIs" dxfId="293" priority="10" stopIfTrue="1" operator="lessThan">
      <formula>0</formula>
    </cfRule>
  </conditionalFormatting>
  <conditionalFormatting sqref="G68">
    <cfRule type="cellIs" dxfId="292" priority="9" stopIfTrue="1" operator="lessThan">
      <formula>0</formula>
    </cfRule>
  </conditionalFormatting>
  <conditionalFormatting sqref="G71:G74">
    <cfRule type="cellIs" dxfId="291" priority="8" stopIfTrue="1" operator="lessThan">
      <formula>0</formula>
    </cfRule>
  </conditionalFormatting>
  <conditionalFormatting sqref="G64">
    <cfRule type="cellIs" dxfId="290" priority="7" stopIfTrue="1" operator="lessThan">
      <formula>0</formula>
    </cfRule>
  </conditionalFormatting>
  <conditionalFormatting sqref="C79">
    <cfRule type="cellIs" dxfId="289" priority="6" stopIfTrue="1" operator="lessThan">
      <formula>0</formula>
    </cfRule>
  </conditionalFormatting>
  <conditionalFormatting sqref="C90:C93">
    <cfRule type="cellIs" dxfId="288" priority="5" stopIfTrue="1" operator="lessThan">
      <formula>0</formula>
    </cfRule>
  </conditionalFormatting>
  <conditionalFormatting sqref="C83:C85">
    <cfRule type="cellIs" dxfId="287" priority="4" stopIfTrue="1" operator="lessThan">
      <formula>0</formula>
    </cfRule>
  </conditionalFormatting>
  <conditionalFormatting sqref="C83">
    <cfRule type="cellIs" dxfId="286" priority="3" stopIfTrue="1" operator="lessThan">
      <formula>0</formula>
    </cfRule>
  </conditionalFormatting>
  <conditionalFormatting sqref="C86:C89">
    <cfRule type="cellIs" dxfId="285" priority="2" stopIfTrue="1" operator="lessThan">
      <formula>0</formula>
    </cfRule>
  </conditionalFormatting>
  <conditionalFormatting sqref="C94">
    <cfRule type="cellIs" dxfId="284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dimension ref="A2:M130"/>
  <sheetViews>
    <sheetView topLeftCell="A67" workbookViewId="0">
      <selection activeCell="F92" sqref="F92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43118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4667430</v>
      </c>
      <c r="D7" s="67">
        <f>+IF(C7/$F$120=0,"",C7/$F$120)</f>
        <v>7.6650463167977597E-5</v>
      </c>
      <c r="E7" s="68"/>
      <c r="F7" s="199" t="s">
        <v>5</v>
      </c>
      <c r="G7" s="218">
        <v>305817</v>
      </c>
      <c r="H7" s="200">
        <f>+IF(G7/$C$122=0,"",G7/$C$122)</f>
        <v>4.7537335313408525E-5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218">
        <v>35040</v>
      </c>
      <c r="H8" s="200">
        <f>+IF(G8/$C$122=0,"",G8/$C$122)</f>
        <v>5.4467483147824835E-6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218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218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218">
        <v>13600</v>
      </c>
      <c r="H11" s="200">
        <f t="shared" si="0"/>
        <v>2.1140347340479959E-6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218"/>
      <c r="H12" s="200" t="str">
        <f t="shared" si="0"/>
        <v/>
      </c>
    </row>
    <row r="13" spans="1:10" ht="12.75" x14ac:dyDescent="0.2">
      <c r="B13" s="199" t="s">
        <v>11</v>
      </c>
      <c r="C13" s="218">
        <v>155376</v>
      </c>
      <c r="D13" s="67">
        <f t="shared" si="1"/>
        <v>2.5516488442649782E-6</v>
      </c>
      <c r="E13" s="68"/>
      <c r="F13" s="199" t="s">
        <v>11</v>
      </c>
      <c r="G13" s="218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219">
        <v>-600242</v>
      </c>
      <c r="H14" s="200">
        <f t="shared" si="0"/>
        <v>-9.330385564959096E-5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218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218"/>
      <c r="H16" s="200" t="str">
        <f t="shared" si="0"/>
        <v/>
      </c>
      <c r="I16" s="74"/>
    </row>
    <row r="17" spans="2:9" ht="12.75" x14ac:dyDescent="0.2">
      <c r="B17" s="199" t="s">
        <v>15</v>
      </c>
      <c r="C17" s="218"/>
      <c r="D17" s="67" t="str">
        <f>+IF(C17/$F$120=0,"",C17/$F$120)</f>
        <v/>
      </c>
      <c r="E17" s="68"/>
      <c r="F17" s="199" t="s">
        <v>15</v>
      </c>
      <c r="G17" s="218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-267796</v>
      </c>
      <c r="D18" s="67">
        <f>+IF(C18/$F$120=0,"",C18/$F$120)</f>
        <v>-4.3978565151553913E-6</v>
      </c>
      <c r="E18" s="75"/>
      <c r="F18" s="199" t="s">
        <v>16</v>
      </c>
      <c r="G18" s="218">
        <v>-25876</v>
      </c>
      <c r="H18" s="200">
        <f t="shared" si="0"/>
        <v>-4.0222619689872013E-6</v>
      </c>
    </row>
    <row r="19" spans="2:9" s="80" customFormat="1" x14ac:dyDescent="0.2">
      <c r="B19" s="201" t="s">
        <v>17</v>
      </c>
      <c r="C19" s="77">
        <f>SUM(C7:C18)</f>
        <v>4555010</v>
      </c>
      <c r="D19" s="78">
        <f>SUM(D7:D18)</f>
        <v>7.4804255497087175E-5</v>
      </c>
      <c r="E19" s="79"/>
      <c r="F19" s="201" t="s">
        <v>17</v>
      </c>
      <c r="G19" s="77">
        <f>SUM(G7:G18)</f>
        <v>-271661</v>
      </c>
      <c r="H19" s="78">
        <f>SUM(H7:H18)</f>
        <v>-4.222799925633916E-5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1655.6718000000001</v>
      </c>
      <c r="D22" s="200">
        <f>+IF(C22/$F$121=0,"",C22/$F$121)</f>
        <v>5.7989373292442269E-5</v>
      </c>
      <c r="E22" s="75"/>
      <c r="F22" s="199" t="s">
        <v>5</v>
      </c>
      <c r="G22" s="66">
        <v>2323920</v>
      </c>
      <c r="H22" s="200">
        <f t="shared" ref="H22:H33" si="2">+IF(G22/$C$115=0,"",G22/$C$115)</f>
        <v>7.3454045857084384E-5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245958</v>
      </c>
      <c r="H23" s="200">
        <f t="shared" si="2"/>
        <v>7.7741962765141495E-6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-3.4720429060348579</v>
      </c>
      <c r="D26" s="200">
        <f>+IF(C26/$F$121=0,"",C26/$F$121)</f>
        <v>-1.2160718819118101E-7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6958.23703074269</v>
      </c>
      <c r="D27" s="200">
        <f t="shared" ref="D27:D33" si="3">+IF(C27/$F$121=0,"",C27/$F$121)</f>
        <v>2.43710018273569E-4</v>
      </c>
      <c r="E27" s="75"/>
      <c r="F27" s="199" t="s">
        <v>10</v>
      </c>
      <c r="G27" s="66">
        <v>80891</v>
      </c>
      <c r="H27" s="200">
        <f t="shared" si="2"/>
        <v>2.5567881955598357E-6</v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>
        <v>41323</v>
      </c>
      <c r="H28" s="200">
        <f t="shared" si="2"/>
        <v>1.3061299601330072E-6</v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1042624</v>
      </c>
      <c r="H29" s="200">
        <f t="shared" si="2"/>
        <v>3.2955072079803415E-5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-7032.7951999999996</v>
      </c>
      <c r="D31" s="200">
        <f t="shared" si="3"/>
        <v>-2.46321394217197E-4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>
        <v>264.81940000000003</v>
      </c>
      <c r="D32" s="200">
        <f t="shared" si="3"/>
        <v>9.2752144728687082E-6</v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-153.99</v>
      </c>
      <c r="D33" s="200">
        <f t="shared" si="3"/>
        <v>-5.3934503162421353E-6</v>
      </c>
      <c r="E33" s="75"/>
      <c r="F33" s="199" t="s">
        <v>16</v>
      </c>
      <c r="G33" s="72">
        <v>-173357</v>
      </c>
      <c r="H33" s="200">
        <f t="shared" si="2"/>
        <v>-5.4794369116176879E-6</v>
      </c>
    </row>
    <row r="34" spans="1:13" s="80" customFormat="1" x14ac:dyDescent="0.2">
      <c r="B34" s="201" t="s">
        <v>17</v>
      </c>
      <c r="C34" s="203">
        <f>SUM(C22:C33)</f>
        <v>1688.4709878366561</v>
      </c>
      <c r="D34" s="78">
        <f>SUM(D22:D33)</f>
        <v>5.9138154317249682E-5</v>
      </c>
      <c r="E34" s="79"/>
      <c r="F34" s="201" t="s">
        <v>17</v>
      </c>
      <c r="G34" s="203">
        <f>SUM(G22:G33)</f>
        <v>3561359</v>
      </c>
      <c r="H34" s="78">
        <f>SUM(H22:H33)</f>
        <v>1.125667954574771E-4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4196133</v>
      </c>
      <c r="D37" s="200">
        <f t="shared" ref="D37:D48" si="4">+IF(C37/$C$123=0,"",C37/$C$123)</f>
        <v>4.872833677744954E-5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1121699</v>
      </c>
      <c r="D38" s="200">
        <f t="shared" si="4"/>
        <v>1.3025928071137967E-5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1617164</v>
      </c>
      <c r="H39" s="200">
        <f t="shared" si="5"/>
        <v>3.0187114116508602E-4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-11104648</v>
      </c>
      <c r="D44" s="200">
        <f t="shared" si="4"/>
        <v>-1.2895468936257061E-4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6918201</v>
      </c>
      <c r="D45" s="200">
        <f t="shared" si="4"/>
        <v>8.0338832973618374E-5</v>
      </c>
      <c r="E45" s="68"/>
      <c r="F45" s="199" t="s">
        <v>13</v>
      </c>
      <c r="G45" s="72">
        <v>34383258</v>
      </c>
      <c r="H45" s="200">
        <f t="shared" si="5"/>
        <v>6.4182193824705311E-3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-279479</v>
      </c>
      <c r="D48" s="200">
        <f t="shared" si="4"/>
        <v>-3.2454993286020293E-6</v>
      </c>
      <c r="E48" s="68"/>
      <c r="F48" s="199" t="s">
        <v>16</v>
      </c>
      <c r="G48" s="72">
        <v>-35663</v>
      </c>
      <c r="H48" s="200">
        <f t="shared" si="5"/>
        <v>-6.6571049735032827E-6</v>
      </c>
    </row>
    <row r="49" spans="2:10" s="80" customFormat="1" x14ac:dyDescent="0.2">
      <c r="B49" s="201" t="s">
        <v>17</v>
      </c>
      <c r="C49" s="77">
        <f>SUM(C37:C48)</f>
        <v>851906</v>
      </c>
      <c r="D49" s="78">
        <f>SUM(D37:D48)</f>
        <v>9.8929091310332485E-6</v>
      </c>
      <c r="E49" s="79"/>
      <c r="F49" s="201" t="s">
        <v>17</v>
      </c>
      <c r="G49" s="77">
        <f>SUM(G37:G48)</f>
        <v>35964759</v>
      </c>
      <c r="H49" s="78">
        <f>SUM(H37:H48)</f>
        <v>6.7134334186621141E-3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13693.05</v>
      </c>
      <c r="H53" s="200">
        <f t="shared" ref="H53:H64" si="7">+IF(G53/$C$124=0,"",G53/$C$124)</f>
        <v>1.3334185535258508E-4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>
        <v>3333.33</v>
      </c>
      <c r="H57" s="200">
        <f t="shared" si="7"/>
        <v>3.2459708151393037E-5</v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-88286.824999999997</v>
      </c>
      <c r="H60" s="200">
        <f t="shared" si="7"/>
        <v>-8.597302316641647E-4</v>
      </c>
    </row>
    <row r="61" spans="2:10" x14ac:dyDescent="0.2">
      <c r="B61" s="199" t="s">
        <v>13</v>
      </c>
      <c r="C61" s="72">
        <v>240858106</v>
      </c>
      <c r="D61" s="200">
        <f t="shared" si="6"/>
        <v>8.4489358400142728E-3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>
        <v>2111.04</v>
      </c>
      <c r="H63" s="200">
        <f t="shared" si="7"/>
        <v>2.055714324591827E-5</v>
      </c>
    </row>
    <row r="64" spans="2:10" x14ac:dyDescent="0.2">
      <c r="B64" s="199" t="s">
        <v>16</v>
      </c>
      <c r="C64" s="72">
        <v>-234308</v>
      </c>
      <c r="D64" s="200">
        <f t="shared" si="6"/>
        <v>-8.2191680889580039E-6</v>
      </c>
      <c r="E64" s="68"/>
      <c r="F64" s="199" t="s">
        <v>16</v>
      </c>
      <c r="G64" s="92">
        <v>-109.56</v>
      </c>
      <c r="H64" s="200">
        <f t="shared" si="7"/>
        <v>-1.0668867544067407E-6</v>
      </c>
    </row>
    <row r="65" spans="2:8" s="80" customFormat="1" x14ac:dyDescent="0.2">
      <c r="B65" s="201" t="s">
        <v>17</v>
      </c>
      <c r="C65" s="77">
        <f>SUM(C53:C64)</f>
        <v>240623798</v>
      </c>
      <c r="D65" s="78">
        <f>SUM(D53:D64)</f>
        <v>8.4407166719253149E-3</v>
      </c>
      <c r="E65" s="79"/>
      <c r="F65" s="201" t="s">
        <v>17</v>
      </c>
      <c r="G65" s="203">
        <f>SUM(G53:G64)</f>
        <v>-69258.965000000011</v>
      </c>
      <c r="H65" s="78">
        <f>SUM(H53:H64)</f>
        <v>-6.7443841166867503E-4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79077</v>
      </c>
      <c r="D72" s="200">
        <f t="shared" si="8"/>
        <v>5.4645531841258324E-6</v>
      </c>
      <c r="E72" s="68"/>
      <c r="F72" s="199" t="s">
        <v>9</v>
      </c>
      <c r="G72" s="66">
        <v>-691070</v>
      </c>
      <c r="H72" s="200">
        <f t="shared" si="9"/>
        <v>-1.2028712548515275E-4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8767038</v>
      </c>
      <c r="D76" s="200">
        <f t="shared" si="8"/>
        <v>6.058391873522284E-4</v>
      </c>
      <c r="E76" s="68"/>
      <c r="F76" s="199" t="s">
        <v>13</v>
      </c>
      <c r="G76" s="72">
        <v>-3585307</v>
      </c>
      <c r="H76" s="200">
        <f t="shared" si="9"/>
        <v>-6.240558453004711E-4</v>
      </c>
    </row>
    <row r="77" spans="2:8" x14ac:dyDescent="0.2">
      <c r="B77" s="199" t="s">
        <v>14</v>
      </c>
      <c r="C77" s="66">
        <v>10526745</v>
      </c>
      <c r="D77" s="200">
        <f t="shared" si="8"/>
        <v>7.2744233984889015E-4</v>
      </c>
      <c r="E77" s="68"/>
      <c r="F77" s="199" t="s">
        <v>14</v>
      </c>
      <c r="G77" s="66">
        <v>4126381</v>
      </c>
      <c r="H77" s="200">
        <f t="shared" si="9"/>
        <v>7.1823477961212344E-4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-1.4614848222754686E-6</v>
      </c>
      <c r="E79" s="68"/>
      <c r="F79" s="199" t="s">
        <v>16</v>
      </c>
      <c r="G79" s="72">
        <v>-16067</v>
      </c>
      <c r="H79" s="200">
        <f t="shared" si="9"/>
        <v>-2.7966099601631518E-6</v>
      </c>
    </row>
    <row r="80" spans="2:8" s="80" customFormat="1" x14ac:dyDescent="0.2">
      <c r="B80" s="201" t="s">
        <v>17</v>
      </c>
      <c r="C80" s="77">
        <f>SUM(C68:C79)</f>
        <v>19351711</v>
      </c>
      <c r="D80" s="78">
        <f>SUM(D68:D79)</f>
        <v>1.3372845955629689E-3</v>
      </c>
      <c r="E80" s="79"/>
      <c r="F80" s="201" t="s">
        <v>17</v>
      </c>
      <c r="G80" s="77">
        <f>SUM(G68:G79)</f>
        <v>-166063</v>
      </c>
      <c r="H80" s="78">
        <f>SUM(H68:H79)</f>
        <v>-2.8904801133663525E-5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1.8579516234939319</v>
      </c>
      <c r="D87" s="200">
        <f t="shared" si="10"/>
        <v>3.4118983482270193E-8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39909.274100000002</v>
      </c>
      <c r="D90" s="200">
        <f t="shared" si="10"/>
        <v>7.3288445543412233E-4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113933.6293</v>
      </c>
      <c r="D92" s="200">
        <f t="shared" si="10"/>
        <v>2.0922501786411508E-3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153844.76135162351</v>
      </c>
      <c r="D95" s="209">
        <f>SUM(D83:D94)</f>
        <v>2.8251687530587554E-3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31637739935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28507507994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14470899511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5357133490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5745170127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48872759805</v>
      </c>
      <c r="D120" s="217">
        <v>12019631540</v>
      </c>
      <c r="F120" s="204">
        <f>+C120+D120</f>
        <v>60892391345</v>
      </c>
      <c r="G120" s="197"/>
      <c r="H120" s="197"/>
    </row>
    <row r="121" spans="1:13" x14ac:dyDescent="0.2">
      <c r="B121" s="189" t="s">
        <v>18</v>
      </c>
      <c r="C121" s="192">
        <v>28103447.780000001</v>
      </c>
      <c r="D121" s="193">
        <v>447848.88</v>
      </c>
      <c r="F121" s="204">
        <f>+C121+D121</f>
        <v>28551296.66</v>
      </c>
      <c r="H121" s="75"/>
    </row>
    <row r="122" spans="1:13" x14ac:dyDescent="0.2">
      <c r="B122" s="189" t="s">
        <v>4</v>
      </c>
      <c r="C122" s="190">
        <v>6433196097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86112789344</v>
      </c>
      <c r="D123" s="205"/>
      <c r="F123" s="204"/>
      <c r="H123" s="75"/>
    </row>
    <row r="124" spans="1:13" x14ac:dyDescent="0.2">
      <c r="B124" s="189" t="s">
        <v>25</v>
      </c>
      <c r="C124" s="192">
        <v>102691311.47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2">
        <v>54455069.6963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283" priority="52" stopIfTrue="1" operator="lessThan">
      <formula>0</formula>
    </cfRule>
  </conditionalFormatting>
  <conditionalFormatting sqref="C7:C9">
    <cfRule type="cellIs" dxfId="282" priority="51" stopIfTrue="1" operator="lessThan">
      <formula>0</formula>
    </cfRule>
  </conditionalFormatting>
  <conditionalFormatting sqref="C10:C13">
    <cfRule type="cellIs" dxfId="281" priority="49" stopIfTrue="1" operator="lessThan">
      <formula>0</formula>
    </cfRule>
  </conditionalFormatting>
  <conditionalFormatting sqref="C104">
    <cfRule type="cellIs" dxfId="280" priority="48" stopIfTrue="1" operator="lessThan">
      <formula>0</formula>
    </cfRule>
  </conditionalFormatting>
  <conditionalFormatting sqref="C7">
    <cfRule type="cellIs" dxfId="279" priority="50" stopIfTrue="1" operator="lessThan">
      <formula>0</formula>
    </cfRule>
  </conditionalFormatting>
  <conditionalFormatting sqref="C29:C33">
    <cfRule type="cellIs" dxfId="278" priority="43" stopIfTrue="1" operator="lessThan">
      <formula>0</formula>
    </cfRule>
  </conditionalFormatting>
  <conditionalFormatting sqref="C22">
    <cfRule type="cellIs" dxfId="277" priority="41" stopIfTrue="1" operator="lessThan">
      <formula>0</formula>
    </cfRule>
  </conditionalFormatting>
  <conditionalFormatting sqref="C25:C28">
    <cfRule type="cellIs" dxfId="276" priority="40" stopIfTrue="1" operator="lessThan">
      <formula>0</formula>
    </cfRule>
  </conditionalFormatting>
  <conditionalFormatting sqref="C22:C24">
    <cfRule type="cellIs" dxfId="275" priority="42" stopIfTrue="1" operator="lessThan">
      <formula>0</formula>
    </cfRule>
  </conditionalFormatting>
  <conditionalFormatting sqref="G22">
    <cfRule type="cellIs" dxfId="274" priority="37" stopIfTrue="1" operator="lessThan">
      <formula>0</formula>
    </cfRule>
  </conditionalFormatting>
  <conditionalFormatting sqref="G29:G33">
    <cfRule type="cellIs" dxfId="273" priority="39" stopIfTrue="1" operator="lessThan">
      <formula>0</formula>
    </cfRule>
  </conditionalFormatting>
  <conditionalFormatting sqref="G22:G24">
    <cfRule type="cellIs" dxfId="272" priority="38" stopIfTrue="1" operator="lessThan">
      <formula>0</formula>
    </cfRule>
  </conditionalFormatting>
  <conditionalFormatting sqref="G25:G28">
    <cfRule type="cellIs" dxfId="271" priority="36" stopIfTrue="1" operator="lessThan">
      <formula>0</formula>
    </cfRule>
  </conditionalFormatting>
  <conditionalFormatting sqref="C40:C43">
    <cfRule type="cellIs" dxfId="270" priority="32" stopIfTrue="1" operator="lessThan">
      <formula>0</formula>
    </cfRule>
  </conditionalFormatting>
  <conditionalFormatting sqref="G44:G48">
    <cfRule type="cellIs" dxfId="269" priority="31" stopIfTrue="1" operator="lessThan">
      <formula>0</formula>
    </cfRule>
  </conditionalFormatting>
  <conditionalFormatting sqref="G37">
    <cfRule type="cellIs" dxfId="268" priority="29" stopIfTrue="1" operator="lessThan">
      <formula>0</formula>
    </cfRule>
  </conditionalFormatting>
  <conditionalFormatting sqref="C44:C48">
    <cfRule type="cellIs" dxfId="267" priority="35" stopIfTrue="1" operator="lessThan">
      <formula>0</formula>
    </cfRule>
  </conditionalFormatting>
  <conditionalFormatting sqref="C37:C39">
    <cfRule type="cellIs" dxfId="266" priority="34" stopIfTrue="1" operator="lessThan">
      <formula>0</formula>
    </cfRule>
  </conditionalFormatting>
  <conditionalFormatting sqref="C37">
    <cfRule type="cellIs" dxfId="265" priority="33" stopIfTrue="1" operator="lessThan">
      <formula>0</formula>
    </cfRule>
  </conditionalFormatting>
  <conditionalFormatting sqref="C56:C59">
    <cfRule type="cellIs" dxfId="264" priority="24" stopIfTrue="1" operator="lessThan">
      <formula>0</formula>
    </cfRule>
  </conditionalFormatting>
  <conditionalFormatting sqref="G60:G63">
    <cfRule type="cellIs" dxfId="263" priority="23" stopIfTrue="1" operator="lessThan">
      <formula>0</formula>
    </cfRule>
  </conditionalFormatting>
  <conditionalFormatting sqref="G37:G39">
    <cfRule type="cellIs" dxfId="262" priority="30" stopIfTrue="1" operator="lessThan">
      <formula>0</formula>
    </cfRule>
  </conditionalFormatting>
  <conditionalFormatting sqref="G53">
    <cfRule type="cellIs" dxfId="261" priority="21" stopIfTrue="1" operator="lessThan">
      <formula>0</formula>
    </cfRule>
  </conditionalFormatting>
  <conditionalFormatting sqref="G40:G43">
    <cfRule type="cellIs" dxfId="260" priority="28" stopIfTrue="1" operator="lessThan">
      <formula>0</formula>
    </cfRule>
  </conditionalFormatting>
  <conditionalFormatting sqref="C60:C64">
    <cfRule type="cellIs" dxfId="259" priority="27" stopIfTrue="1" operator="lessThan">
      <formula>0</formula>
    </cfRule>
  </conditionalFormatting>
  <conditionalFormatting sqref="C53:C55">
    <cfRule type="cellIs" dxfId="258" priority="26" stopIfTrue="1" operator="lessThan">
      <formula>0</formula>
    </cfRule>
  </conditionalFormatting>
  <conditionalFormatting sqref="C53">
    <cfRule type="cellIs" dxfId="257" priority="25" stopIfTrue="1" operator="lessThan">
      <formula>0</formula>
    </cfRule>
  </conditionalFormatting>
  <conditionalFormatting sqref="G53:G55">
    <cfRule type="cellIs" dxfId="256" priority="22" stopIfTrue="1" operator="lessThan">
      <formula>0</formula>
    </cfRule>
  </conditionalFormatting>
  <conditionalFormatting sqref="G56:G59">
    <cfRule type="cellIs" dxfId="255" priority="20" stopIfTrue="1" operator="lessThan">
      <formula>0</formula>
    </cfRule>
  </conditionalFormatting>
  <conditionalFormatting sqref="C75:C78">
    <cfRule type="cellIs" dxfId="254" priority="19" stopIfTrue="1" operator="lessThan">
      <formula>0</formula>
    </cfRule>
  </conditionalFormatting>
  <conditionalFormatting sqref="C68:C70">
    <cfRule type="cellIs" dxfId="253" priority="18" stopIfTrue="1" operator="lessThan">
      <formula>0</formula>
    </cfRule>
  </conditionalFormatting>
  <conditionalFormatting sqref="C68">
    <cfRule type="cellIs" dxfId="252" priority="17" stopIfTrue="1" operator="lessThan">
      <formula>0</formula>
    </cfRule>
  </conditionalFormatting>
  <conditionalFormatting sqref="C71:C74">
    <cfRule type="cellIs" dxfId="251" priority="16" stopIfTrue="1" operator="lessThan">
      <formula>0</formula>
    </cfRule>
  </conditionalFormatting>
  <conditionalFormatting sqref="G75:G79">
    <cfRule type="cellIs" dxfId="250" priority="15" stopIfTrue="1" operator="lessThan">
      <formula>0</formula>
    </cfRule>
  </conditionalFormatting>
  <conditionalFormatting sqref="G68:G70">
    <cfRule type="cellIs" dxfId="249" priority="14" stopIfTrue="1" operator="lessThan">
      <formula>0</formula>
    </cfRule>
  </conditionalFormatting>
  <conditionalFormatting sqref="G68">
    <cfRule type="cellIs" dxfId="248" priority="13" stopIfTrue="1" operator="lessThan">
      <formula>0</formula>
    </cfRule>
  </conditionalFormatting>
  <conditionalFormatting sqref="G71:G74">
    <cfRule type="cellIs" dxfId="247" priority="12" stopIfTrue="1" operator="lessThan">
      <formula>0</formula>
    </cfRule>
  </conditionalFormatting>
  <conditionalFormatting sqref="G64">
    <cfRule type="cellIs" dxfId="246" priority="11" stopIfTrue="1" operator="lessThan">
      <formula>0</formula>
    </cfRule>
  </conditionalFormatting>
  <conditionalFormatting sqref="C79">
    <cfRule type="cellIs" dxfId="245" priority="10" stopIfTrue="1" operator="lessThan">
      <formula>0</formula>
    </cfRule>
  </conditionalFormatting>
  <conditionalFormatting sqref="C90:C93">
    <cfRule type="cellIs" dxfId="244" priority="9" stopIfTrue="1" operator="lessThan">
      <formula>0</formula>
    </cfRule>
  </conditionalFormatting>
  <conditionalFormatting sqref="C83:C85">
    <cfRule type="cellIs" dxfId="243" priority="8" stopIfTrue="1" operator="lessThan">
      <formula>0</formula>
    </cfRule>
  </conditionalFormatting>
  <conditionalFormatting sqref="C83">
    <cfRule type="cellIs" dxfId="242" priority="7" stopIfTrue="1" operator="lessThan">
      <formula>0</formula>
    </cfRule>
  </conditionalFormatting>
  <conditionalFormatting sqref="C86:C89">
    <cfRule type="cellIs" dxfId="241" priority="6" stopIfTrue="1" operator="lessThan">
      <formula>0</formula>
    </cfRule>
  </conditionalFormatting>
  <conditionalFormatting sqref="C94">
    <cfRule type="cellIs" dxfId="240" priority="5" stopIfTrue="1" operator="lessThan">
      <formula>0</formula>
    </cfRule>
  </conditionalFormatting>
  <conditionalFormatting sqref="G14:G18">
    <cfRule type="cellIs" dxfId="239" priority="4" stopIfTrue="1" operator="lessThan">
      <formula>0</formula>
    </cfRule>
  </conditionalFormatting>
  <conditionalFormatting sqref="G7:G9">
    <cfRule type="cellIs" dxfId="238" priority="3" stopIfTrue="1" operator="lessThan">
      <formula>0</formula>
    </cfRule>
  </conditionalFormatting>
  <conditionalFormatting sqref="G10:G13">
    <cfRule type="cellIs" dxfId="237" priority="1" stopIfTrue="1" operator="lessThan">
      <formula>0</formula>
    </cfRule>
  </conditionalFormatting>
  <conditionalFormatting sqref="G7">
    <cfRule type="cellIs" dxfId="236" priority="2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43119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4864294</v>
      </c>
      <c r="D7" s="67">
        <f>+IF(C7/$F$120=0,"",C7/$F$120)</f>
        <v>7.9800777280297975E-5</v>
      </c>
      <c r="E7" s="68"/>
      <c r="F7" s="199" t="s">
        <v>5</v>
      </c>
      <c r="G7" s="218">
        <v>624807</v>
      </c>
      <c r="H7" s="200">
        <f>+IF(G7/$C$122=0,"",G7/$C$122)</f>
        <v>9.7128424306742284E-5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218">
        <v>35023</v>
      </c>
      <c r="H8" s="200">
        <f>+IF(G8/$C$122=0,"",G8/$C$122)</f>
        <v>5.4444473325283403E-6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218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218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218"/>
      <c r="H11" s="200" t="str">
        <f t="shared" si="0"/>
        <v/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218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218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219">
        <v>180674</v>
      </c>
      <c r="H14" s="200">
        <f t="shared" si="0"/>
        <v>2.8086402574229091E-5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218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218"/>
      <c r="H16" s="200" t="str">
        <f t="shared" si="0"/>
        <v/>
      </c>
      <c r="I16" s="74"/>
    </row>
    <row r="17" spans="2:9" ht="12.75" x14ac:dyDescent="0.2">
      <c r="B17" s="199" t="s">
        <v>15</v>
      </c>
      <c r="C17" s="218"/>
      <c r="D17" s="67" t="str">
        <f>+IF(C17/$F$120=0,"",C17/$F$120)</f>
        <v/>
      </c>
      <c r="E17" s="68"/>
      <c r="F17" s="199" t="s">
        <v>15</v>
      </c>
      <c r="G17" s="218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-260879</v>
      </c>
      <c r="D18" s="67">
        <f>+IF(C18/$F$120=0,"",C18/$F$120)</f>
        <v>-4.2798290925891514E-6</v>
      </c>
      <c r="E18" s="75"/>
      <c r="F18" s="199" t="s">
        <v>16</v>
      </c>
      <c r="G18" s="218">
        <v>-25876</v>
      </c>
      <c r="H18" s="200">
        <f t="shared" si="0"/>
        <v>-4.0225143242013345E-6</v>
      </c>
    </row>
    <row r="19" spans="2:9" s="80" customFormat="1" x14ac:dyDescent="0.2">
      <c r="B19" s="201" t="s">
        <v>17</v>
      </c>
      <c r="C19" s="77">
        <f>SUM(C7:C18)</f>
        <v>4603415</v>
      </c>
      <c r="D19" s="78">
        <f>SUM(D7:D18)</f>
        <v>7.5520948187708819E-5</v>
      </c>
      <c r="E19" s="79"/>
      <c r="F19" s="201" t="s">
        <v>17</v>
      </c>
      <c r="G19" s="77">
        <f>SUM(G7:G18)</f>
        <v>814628</v>
      </c>
      <c r="H19" s="78">
        <f>SUM(H7:H18)</f>
        <v>1.2663675988929836E-4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2028.0631000000001</v>
      </c>
      <c r="D22" s="200">
        <f>+IF(C22/$F$121=0,"",C22/$F$121)</f>
        <v>5.6499060588174068E-5</v>
      </c>
      <c r="E22" s="75"/>
      <c r="F22" s="199" t="s">
        <v>5</v>
      </c>
      <c r="G22" s="66">
        <v>2756986</v>
      </c>
      <c r="H22" s="200">
        <f t="shared" ref="H22:H33" si="2">+IF(G22/$C$115=0,"",G22/$C$115)</f>
        <v>7.4250997735060087E-5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257361</v>
      </c>
      <c r="H23" s="200">
        <f t="shared" si="2"/>
        <v>6.9312325227958356E-6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1337.5046477990954</v>
      </c>
      <c r="D26" s="200">
        <f>+IF(C26/$F$121=0,"",C26/$F$121)</f>
        <v>3.7261047811069341E-5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17931.794413257405</v>
      </c>
      <c r="D27" s="200">
        <f t="shared" ref="D27:D33" si="3">+IF(C27/$F$121=0,"",C27/$F$121)</f>
        <v>4.995552352435737E-4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2376769</v>
      </c>
      <c r="H29" s="200">
        <f t="shared" si="2"/>
        <v>6.4011014069625681E-5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-19463.0158999999</v>
      </c>
      <c r="D31" s="200">
        <f t="shared" si="3"/>
        <v>-5.4221296889760953E-4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-156.44999999999999</v>
      </c>
      <c r="D33" s="200">
        <f t="shared" si="3"/>
        <v>-4.358482745936175E-6</v>
      </c>
      <c r="E33" s="75"/>
      <c r="F33" s="199" t="s">
        <v>16</v>
      </c>
      <c r="G33" s="72">
        <v>-114013</v>
      </c>
      <c r="H33" s="200">
        <f t="shared" si="2"/>
        <v>-3.0705919452501413E-6</v>
      </c>
    </row>
    <row r="34" spans="1:13" s="80" customFormat="1" x14ac:dyDescent="0.2">
      <c r="B34" s="201" t="s">
        <v>17</v>
      </c>
      <c r="C34" s="203">
        <f>SUM(C22:C33)</f>
        <v>1677.896261056602</v>
      </c>
      <c r="D34" s="78">
        <f>SUM(D22:D33)</f>
        <v>4.6743891999271372E-5</v>
      </c>
      <c r="E34" s="79"/>
      <c r="F34" s="201" t="s">
        <v>17</v>
      </c>
      <c r="G34" s="203">
        <f>SUM(G22:G33)</f>
        <v>5277103</v>
      </c>
      <c r="H34" s="78">
        <f>SUM(H22:H33)</f>
        <v>1.4212265238223144E-4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4958656</v>
      </c>
      <c r="D37" s="200">
        <f t="shared" ref="D37:D48" si="4">+IF(C37/$C$123=0,"",C37/$C$123)</f>
        <v>5.7863870471636047E-5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1121670</v>
      </c>
      <c r="D38" s="200">
        <f t="shared" si="4"/>
        <v>1.308906437387873E-5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5773823</v>
      </c>
      <c r="H39" s="200">
        <f t="shared" si="5"/>
        <v>1.0667571965686286E-3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-3795110</v>
      </c>
      <c r="D44" s="200">
        <f t="shared" si="4"/>
        <v>-4.4286143960301073E-5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3303497</v>
      </c>
      <c r="D45" s="200">
        <f t="shared" si="4"/>
        <v>3.8549381629102377E-5</v>
      </c>
      <c r="E45" s="68"/>
      <c r="F45" s="199" t="s">
        <v>13</v>
      </c>
      <c r="G45" s="72">
        <v>17110800</v>
      </c>
      <c r="H45" s="200">
        <f t="shared" si="5"/>
        <v>3.1613489085215271E-3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-112377</v>
      </c>
      <c r="D47" s="200">
        <f t="shared" si="4"/>
        <v>-1.3113569830193996E-6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-234154</v>
      </c>
      <c r="D48" s="200">
        <f t="shared" si="4"/>
        <v>-2.7324050562118984E-6</v>
      </c>
      <c r="E48" s="68"/>
      <c r="F48" s="199" t="s">
        <v>16</v>
      </c>
      <c r="G48" s="72">
        <v>-16032</v>
      </c>
      <c r="H48" s="200">
        <f t="shared" si="5"/>
        <v>-2.9620325000243779E-6</v>
      </c>
    </row>
    <row r="49" spans="2:10" s="80" customFormat="1" x14ac:dyDescent="0.2">
      <c r="B49" s="201" t="s">
        <v>17</v>
      </c>
      <c r="C49" s="77">
        <f>SUM(C37:C48)</f>
        <v>5242182</v>
      </c>
      <c r="D49" s="78">
        <f>SUM(D37:D48)</f>
        <v>6.1172410475084793E-5</v>
      </c>
      <c r="E49" s="79"/>
      <c r="F49" s="201" t="s">
        <v>17</v>
      </c>
      <c r="G49" s="77">
        <f>SUM(G37:G48)</f>
        <v>22868591</v>
      </c>
      <c r="H49" s="78">
        <f>SUM(H37:H48)</f>
        <v>4.2251440725901319E-3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116">
        <v>13479.484700000001</v>
      </c>
      <c r="H53" s="200">
        <f t="shared" ref="H53:H64" si="7">+IF(G53/$C$124=0,"",G53/$C$124)</f>
        <v>1.313525606765635E-4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17125094</v>
      </c>
      <c r="D55" s="200">
        <f t="shared" si="6"/>
        <v>5.9443780002469608E-4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92">
        <v>-132662.83499999999</v>
      </c>
      <c r="H60" s="200">
        <f t="shared" si="7"/>
        <v>-1.2927499434650072E-3</v>
      </c>
    </row>
    <row r="61" spans="2:10" x14ac:dyDescent="0.2">
      <c r="B61" s="199" t="s">
        <v>13</v>
      </c>
      <c r="C61" s="72">
        <v>139993423</v>
      </c>
      <c r="D61" s="200">
        <f t="shared" si="6"/>
        <v>4.8593825170271587E-3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92">
        <v>-409</v>
      </c>
      <c r="H63" s="200">
        <f t="shared" si="7"/>
        <v>-3.9855527501518268E-6</v>
      </c>
    </row>
    <row r="64" spans="2:10" x14ac:dyDescent="0.2">
      <c r="B64" s="199" t="s">
        <v>16</v>
      </c>
      <c r="C64" s="72">
        <v>-236785</v>
      </c>
      <c r="D64" s="200">
        <f t="shared" si="6"/>
        <v>-8.2191639052520048E-6</v>
      </c>
      <c r="E64" s="68"/>
      <c r="F64" s="199" t="s">
        <v>16</v>
      </c>
      <c r="G64" s="92">
        <v>-109.56</v>
      </c>
      <c r="H64" s="200">
        <f t="shared" si="7"/>
        <v>-1.0676214163976385E-6</v>
      </c>
    </row>
    <row r="65" spans="2:8" s="80" customFormat="1" x14ac:dyDescent="0.2">
      <c r="B65" s="201" t="s">
        <v>17</v>
      </c>
      <c r="C65" s="77">
        <f>SUM(C53:C64)</f>
        <v>156881732</v>
      </c>
      <c r="D65" s="78">
        <f>SUM(D53:D64)</f>
        <v>5.4456011531466035E-3</v>
      </c>
      <c r="E65" s="79"/>
      <c r="F65" s="201" t="s">
        <v>17</v>
      </c>
      <c r="G65" s="203">
        <f>SUM(G53:G64)</f>
        <v>-119701.91029999999</v>
      </c>
      <c r="H65" s="78">
        <f>SUM(H53:H64)</f>
        <v>-1.1664505569549933E-3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4553663</v>
      </c>
      <c r="D72" s="200">
        <f t="shared" si="8"/>
        <v>3.1151482467331291E-4</v>
      </c>
      <c r="E72" s="68"/>
      <c r="F72" s="199" t="s">
        <v>9</v>
      </c>
      <c r="G72" s="66">
        <v>-1280514</v>
      </c>
      <c r="H72" s="200">
        <f t="shared" si="9"/>
        <v>-2.2289891139403735E-4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68834619</v>
      </c>
      <c r="D76" s="200">
        <f t="shared" si="8"/>
        <v>4.7089572217441852E-3</v>
      </c>
      <c r="E76" s="68"/>
      <c r="F76" s="199" t="s">
        <v>13</v>
      </c>
      <c r="G76" s="72">
        <v>-5897440</v>
      </c>
      <c r="H76" s="200">
        <f t="shared" si="9"/>
        <v>-1.0265666412172391E-3</v>
      </c>
    </row>
    <row r="77" spans="2:8" x14ac:dyDescent="0.2">
      <c r="B77" s="199" t="s">
        <v>14</v>
      </c>
      <c r="C77" s="66">
        <v>26622856</v>
      </c>
      <c r="D77" s="200">
        <f t="shared" si="8"/>
        <v>1.8212622056447427E-3</v>
      </c>
      <c r="E77" s="68"/>
      <c r="F77" s="199" t="s">
        <v>14</v>
      </c>
      <c r="G77" s="66">
        <v>10056922</v>
      </c>
      <c r="H77" s="200">
        <f t="shared" si="9"/>
        <v>1.7506071513273146E-3</v>
      </c>
    </row>
    <row r="78" spans="2:8" x14ac:dyDescent="0.2">
      <c r="B78" s="199" t="s">
        <v>15</v>
      </c>
      <c r="C78" s="72">
        <v>977632</v>
      </c>
      <c r="D78" s="200">
        <f t="shared" si="8"/>
        <v>6.6879534360584042E-5</v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-1.4467972326928659E-6</v>
      </c>
      <c r="E79" s="68"/>
      <c r="F79" s="199" t="s">
        <v>16</v>
      </c>
      <c r="G79" s="72">
        <v>-16067</v>
      </c>
      <c r="H79" s="200">
        <f t="shared" si="9"/>
        <v>-2.7967806750789121E-6</v>
      </c>
    </row>
    <row r="80" spans="2:8" s="80" customFormat="1" x14ac:dyDescent="0.2">
      <c r="B80" s="201" t="s">
        <v>17</v>
      </c>
      <c r="C80" s="77">
        <f>SUM(C68:C79)</f>
        <v>100967621</v>
      </c>
      <c r="D80" s="78">
        <f>SUM(D68:D79)</f>
        <v>6.9071669891901328E-3</v>
      </c>
      <c r="E80" s="79"/>
      <c r="F80" s="201" t="s">
        <v>17</v>
      </c>
      <c r="G80" s="77">
        <f>SUM(G68:G79)</f>
        <v>2862901</v>
      </c>
      <c r="H80" s="78">
        <f>SUM(H68:H79)</f>
        <v>4.9834481804095926E-4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>
        <v>-2.0354144772181826</v>
      </c>
      <c r="D87" s="200">
        <f t="shared" si="10"/>
        <v>-3.7083032300449911E-8</v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138721.1832</v>
      </c>
      <c r="D90" s="200">
        <f t="shared" si="10"/>
        <v>2.5273486923375194E-3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f>-354388.5867+40875.46</f>
        <v>-313513.12669999996</v>
      </c>
      <c r="D92" s="200">
        <f t="shared" si="10"/>
        <v>-5.7118673047469506E-3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-174793.97891447719</v>
      </c>
      <c r="D95" s="209">
        <f>SUM(D83:D94)</f>
        <v>-3.1845556954417315E-3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37130625636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28808891358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14617805123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5412499694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5744819443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58267834235</v>
      </c>
      <c r="D120" s="217">
        <v>2687637200</v>
      </c>
      <c r="F120" s="204">
        <f>+C120+D120</f>
        <v>60955471435</v>
      </c>
      <c r="G120" s="197"/>
      <c r="H120" s="197"/>
    </row>
    <row r="121" spans="1:13" x14ac:dyDescent="0.2">
      <c r="B121" s="189" t="s">
        <v>18</v>
      </c>
      <c r="C121" s="192">
        <v>28552613.149999999</v>
      </c>
      <c r="D121" s="193">
        <v>7342905.7999999998</v>
      </c>
      <c r="F121" s="204">
        <f>+C121+D121</f>
        <v>35895518.949999996</v>
      </c>
      <c r="H121" s="75"/>
    </row>
    <row r="122" spans="1:13" x14ac:dyDescent="0.2">
      <c r="B122" s="189" t="s">
        <v>4</v>
      </c>
      <c r="C122" s="190">
        <v>6432792506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85695200815</v>
      </c>
      <c r="D123" s="205"/>
      <c r="F123" s="204"/>
      <c r="H123" s="75"/>
    </row>
    <row r="124" spans="1:13" x14ac:dyDescent="0.2">
      <c r="B124" s="189" t="s">
        <v>25</v>
      </c>
      <c r="C124" s="192">
        <v>102620646.53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2">
        <v>54888026.9749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235" priority="48" stopIfTrue="1" operator="lessThan">
      <formula>0</formula>
    </cfRule>
  </conditionalFormatting>
  <conditionalFormatting sqref="C7:C9">
    <cfRule type="cellIs" dxfId="234" priority="47" stopIfTrue="1" operator="lessThan">
      <formula>0</formula>
    </cfRule>
  </conditionalFormatting>
  <conditionalFormatting sqref="C10:C13">
    <cfRule type="cellIs" dxfId="233" priority="45" stopIfTrue="1" operator="lessThan">
      <formula>0</formula>
    </cfRule>
  </conditionalFormatting>
  <conditionalFormatting sqref="C104">
    <cfRule type="cellIs" dxfId="232" priority="44" stopIfTrue="1" operator="lessThan">
      <formula>0</formula>
    </cfRule>
  </conditionalFormatting>
  <conditionalFormatting sqref="C7">
    <cfRule type="cellIs" dxfId="231" priority="46" stopIfTrue="1" operator="lessThan">
      <formula>0</formula>
    </cfRule>
  </conditionalFormatting>
  <conditionalFormatting sqref="C29:C33">
    <cfRule type="cellIs" dxfId="230" priority="43" stopIfTrue="1" operator="lessThan">
      <formula>0</formula>
    </cfRule>
  </conditionalFormatting>
  <conditionalFormatting sqref="C22">
    <cfRule type="cellIs" dxfId="229" priority="41" stopIfTrue="1" operator="lessThan">
      <formula>0</formula>
    </cfRule>
  </conditionalFormatting>
  <conditionalFormatting sqref="C25:C28">
    <cfRule type="cellIs" dxfId="228" priority="40" stopIfTrue="1" operator="lessThan">
      <formula>0</formula>
    </cfRule>
  </conditionalFormatting>
  <conditionalFormatting sqref="C22:C24">
    <cfRule type="cellIs" dxfId="227" priority="42" stopIfTrue="1" operator="lessThan">
      <formula>0</formula>
    </cfRule>
  </conditionalFormatting>
  <conditionalFormatting sqref="G22">
    <cfRule type="cellIs" dxfId="226" priority="37" stopIfTrue="1" operator="lessThan">
      <formula>0</formula>
    </cfRule>
  </conditionalFormatting>
  <conditionalFormatting sqref="G29:G33">
    <cfRule type="cellIs" dxfId="225" priority="39" stopIfTrue="1" operator="lessThan">
      <formula>0</formula>
    </cfRule>
  </conditionalFormatting>
  <conditionalFormatting sqref="G22:G24">
    <cfRule type="cellIs" dxfId="224" priority="38" stopIfTrue="1" operator="lessThan">
      <formula>0</formula>
    </cfRule>
  </conditionalFormatting>
  <conditionalFormatting sqref="G25:G28">
    <cfRule type="cellIs" dxfId="223" priority="36" stopIfTrue="1" operator="lessThan">
      <formula>0</formula>
    </cfRule>
  </conditionalFormatting>
  <conditionalFormatting sqref="C40:C43">
    <cfRule type="cellIs" dxfId="222" priority="32" stopIfTrue="1" operator="lessThan">
      <formula>0</formula>
    </cfRule>
  </conditionalFormatting>
  <conditionalFormatting sqref="G44:G48">
    <cfRule type="cellIs" dxfId="221" priority="31" stopIfTrue="1" operator="lessThan">
      <formula>0</formula>
    </cfRule>
  </conditionalFormatting>
  <conditionalFormatting sqref="G37">
    <cfRule type="cellIs" dxfId="220" priority="29" stopIfTrue="1" operator="lessThan">
      <formula>0</formula>
    </cfRule>
  </conditionalFormatting>
  <conditionalFormatting sqref="C44:C48">
    <cfRule type="cellIs" dxfId="219" priority="35" stopIfTrue="1" operator="lessThan">
      <formula>0</formula>
    </cfRule>
  </conditionalFormatting>
  <conditionalFormatting sqref="C37:C39">
    <cfRule type="cellIs" dxfId="218" priority="34" stopIfTrue="1" operator="lessThan">
      <formula>0</formula>
    </cfRule>
  </conditionalFormatting>
  <conditionalFormatting sqref="C37">
    <cfRule type="cellIs" dxfId="217" priority="33" stopIfTrue="1" operator="lessThan">
      <formula>0</formula>
    </cfRule>
  </conditionalFormatting>
  <conditionalFormatting sqref="C56:C59">
    <cfRule type="cellIs" dxfId="216" priority="24" stopIfTrue="1" operator="lessThan">
      <formula>0</formula>
    </cfRule>
  </conditionalFormatting>
  <conditionalFormatting sqref="G60:G63">
    <cfRule type="cellIs" dxfId="215" priority="23" stopIfTrue="1" operator="lessThan">
      <formula>0</formula>
    </cfRule>
  </conditionalFormatting>
  <conditionalFormatting sqref="G37:G39">
    <cfRule type="cellIs" dxfId="214" priority="30" stopIfTrue="1" operator="lessThan">
      <formula>0</formula>
    </cfRule>
  </conditionalFormatting>
  <conditionalFormatting sqref="G53">
    <cfRule type="cellIs" dxfId="213" priority="21" stopIfTrue="1" operator="lessThan">
      <formula>0</formula>
    </cfRule>
  </conditionalFormatting>
  <conditionalFormatting sqref="G40:G43">
    <cfRule type="cellIs" dxfId="212" priority="28" stopIfTrue="1" operator="lessThan">
      <formula>0</formula>
    </cfRule>
  </conditionalFormatting>
  <conditionalFormatting sqref="C60:C64">
    <cfRule type="cellIs" dxfId="211" priority="27" stopIfTrue="1" operator="lessThan">
      <formula>0</formula>
    </cfRule>
  </conditionalFormatting>
  <conditionalFormatting sqref="C53:C55">
    <cfRule type="cellIs" dxfId="210" priority="26" stopIfTrue="1" operator="lessThan">
      <formula>0</formula>
    </cfRule>
  </conditionalFormatting>
  <conditionalFormatting sqref="C53">
    <cfRule type="cellIs" dxfId="209" priority="25" stopIfTrue="1" operator="lessThan">
      <formula>0</formula>
    </cfRule>
  </conditionalFormatting>
  <conditionalFormatting sqref="G53:G55">
    <cfRule type="cellIs" dxfId="208" priority="22" stopIfTrue="1" operator="lessThan">
      <formula>0</formula>
    </cfRule>
  </conditionalFormatting>
  <conditionalFormatting sqref="G56:G59">
    <cfRule type="cellIs" dxfId="207" priority="20" stopIfTrue="1" operator="lessThan">
      <formula>0</formula>
    </cfRule>
  </conditionalFormatting>
  <conditionalFormatting sqref="C75:C78">
    <cfRule type="cellIs" dxfId="206" priority="19" stopIfTrue="1" operator="lessThan">
      <formula>0</formula>
    </cfRule>
  </conditionalFormatting>
  <conditionalFormatting sqref="C68:C70">
    <cfRule type="cellIs" dxfId="205" priority="18" stopIfTrue="1" operator="lessThan">
      <formula>0</formula>
    </cfRule>
  </conditionalFormatting>
  <conditionalFormatting sqref="C68">
    <cfRule type="cellIs" dxfId="204" priority="17" stopIfTrue="1" operator="lessThan">
      <formula>0</formula>
    </cfRule>
  </conditionalFormatting>
  <conditionalFormatting sqref="C71:C74">
    <cfRule type="cellIs" dxfId="203" priority="16" stopIfTrue="1" operator="lessThan">
      <formula>0</formula>
    </cfRule>
  </conditionalFormatting>
  <conditionalFormatting sqref="G75:G79">
    <cfRule type="cellIs" dxfId="202" priority="15" stopIfTrue="1" operator="lessThan">
      <formula>0</formula>
    </cfRule>
  </conditionalFormatting>
  <conditionalFormatting sqref="G68:G70">
    <cfRule type="cellIs" dxfId="201" priority="14" stopIfTrue="1" operator="lessThan">
      <formula>0</formula>
    </cfRule>
  </conditionalFormatting>
  <conditionalFormatting sqref="G68">
    <cfRule type="cellIs" dxfId="200" priority="13" stopIfTrue="1" operator="lessThan">
      <formula>0</formula>
    </cfRule>
  </conditionalFormatting>
  <conditionalFormatting sqref="G71:G74">
    <cfRule type="cellIs" dxfId="199" priority="12" stopIfTrue="1" operator="lessThan">
      <formula>0</formula>
    </cfRule>
  </conditionalFormatting>
  <conditionalFormatting sqref="G64">
    <cfRule type="cellIs" dxfId="198" priority="11" stopIfTrue="1" operator="lessThan">
      <formula>0</formula>
    </cfRule>
  </conditionalFormatting>
  <conditionalFormatting sqref="C79">
    <cfRule type="cellIs" dxfId="197" priority="10" stopIfTrue="1" operator="lessThan">
      <formula>0</formula>
    </cfRule>
  </conditionalFormatting>
  <conditionalFormatting sqref="C90:C93">
    <cfRule type="cellIs" dxfId="196" priority="9" stopIfTrue="1" operator="lessThan">
      <formula>0</formula>
    </cfRule>
  </conditionalFormatting>
  <conditionalFormatting sqref="C83:C85">
    <cfRule type="cellIs" dxfId="195" priority="8" stopIfTrue="1" operator="lessThan">
      <formula>0</formula>
    </cfRule>
  </conditionalFormatting>
  <conditionalFormatting sqref="C83">
    <cfRule type="cellIs" dxfId="194" priority="7" stopIfTrue="1" operator="lessThan">
      <formula>0</formula>
    </cfRule>
  </conditionalFormatting>
  <conditionalFormatting sqref="C86:C89">
    <cfRule type="cellIs" dxfId="193" priority="6" stopIfTrue="1" operator="lessThan">
      <formula>0</formula>
    </cfRule>
  </conditionalFormatting>
  <conditionalFormatting sqref="C94">
    <cfRule type="cellIs" dxfId="192" priority="5" stopIfTrue="1" operator="lessThan">
      <formula>0</formula>
    </cfRule>
  </conditionalFormatting>
  <conditionalFormatting sqref="G14:G18">
    <cfRule type="cellIs" dxfId="191" priority="4" stopIfTrue="1" operator="lessThan">
      <formula>0</formula>
    </cfRule>
  </conditionalFormatting>
  <conditionalFormatting sqref="G7:G9">
    <cfRule type="cellIs" dxfId="190" priority="3" stopIfTrue="1" operator="lessThan">
      <formula>0</formula>
    </cfRule>
  </conditionalFormatting>
  <conditionalFormatting sqref="G10:G13">
    <cfRule type="cellIs" dxfId="189" priority="1" stopIfTrue="1" operator="lessThan">
      <formula>0</formula>
    </cfRule>
  </conditionalFormatting>
  <conditionalFormatting sqref="G7">
    <cfRule type="cellIs" dxfId="188" priority="2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43122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4771542</v>
      </c>
      <c r="D7" s="67">
        <f>+IF(C7/$F$120=0,"",C7/$F$120)</f>
        <v>7.9896654112874524E-5</v>
      </c>
      <c r="E7" s="68"/>
      <c r="F7" s="199" t="s">
        <v>5</v>
      </c>
      <c r="G7" s="218">
        <v>624373</v>
      </c>
      <c r="H7" s="200">
        <f>+IF(G7/$C$122=0,"",G7/$C$122)</f>
        <v>9.7039689881571388E-5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218">
        <v>35433</v>
      </c>
      <c r="H8" s="200">
        <f>+IF(G8/$C$122=0,"",G8/$C$122)</f>
        <v>5.5069763291713751E-6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218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218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218">
        <v>20753.880800005001</v>
      </c>
      <c r="H11" s="200">
        <f t="shared" si="0"/>
        <v>3.2255561285827284E-6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218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218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219">
        <v>2461457</v>
      </c>
      <c r="H14" s="200">
        <f t="shared" si="0"/>
        <v>3.8255822070592908E-4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218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218"/>
      <c r="H16" s="200" t="str">
        <f t="shared" si="0"/>
        <v/>
      </c>
      <c r="I16" s="74"/>
    </row>
    <row r="17" spans="2:9" ht="12.75" x14ac:dyDescent="0.2">
      <c r="B17" s="199" t="s">
        <v>15</v>
      </c>
      <c r="C17" s="218">
        <v>44901</v>
      </c>
      <c r="D17" s="67">
        <f>+IF(C17/$F$120=0,"",C17/$F$120)</f>
        <v>7.5184073960203621E-7</v>
      </c>
      <c r="E17" s="68"/>
      <c r="F17" s="199" t="s">
        <v>15</v>
      </c>
      <c r="G17" s="218"/>
      <c r="H17" s="200" t="str">
        <f t="shared" si="0"/>
        <v/>
      </c>
      <c r="I17" s="74"/>
    </row>
    <row r="18" spans="2:9" ht="12.75" x14ac:dyDescent="0.2">
      <c r="B18" s="199" t="s">
        <v>16</v>
      </c>
      <c r="C18" s="218">
        <v>-71499</v>
      </c>
      <c r="D18" s="67">
        <f>+IF(C18/$F$120=0,"",C18/$F$120)</f>
        <v>-1.1972085486026144E-6</v>
      </c>
      <c r="E18" s="75"/>
      <c r="F18" s="199" t="s">
        <v>16</v>
      </c>
      <c r="G18" s="218">
        <v>-25876</v>
      </c>
      <c r="H18" s="200">
        <f t="shared" si="0"/>
        <v>-4.0216329267529843E-6</v>
      </c>
    </row>
    <row r="19" spans="2:9" s="80" customFormat="1" x14ac:dyDescent="0.2">
      <c r="B19" s="201" t="s">
        <v>17</v>
      </c>
      <c r="C19" s="77">
        <f>SUM(C7:C18)</f>
        <v>4744944</v>
      </c>
      <c r="D19" s="78">
        <f>SUM(D7:D18)</f>
        <v>7.9451286303873942E-5</v>
      </c>
      <c r="E19" s="79"/>
      <c r="F19" s="201" t="s">
        <v>17</v>
      </c>
      <c r="G19" s="77">
        <f>SUM(G7:G18)</f>
        <v>3116140.880800005</v>
      </c>
      <c r="H19" s="78">
        <f>SUM(H7:H18)</f>
        <v>4.843088101185016E-4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2064.8932</v>
      </c>
      <c r="D22" s="200">
        <f>+IF(C22/$F$121=0,"",C22/$F$121)</f>
        <v>5.6181526556243719E-5</v>
      </c>
      <c r="E22" s="75"/>
      <c r="F22" s="199" t="s">
        <v>5</v>
      </c>
      <c r="G22" s="66">
        <v>2828891</v>
      </c>
      <c r="H22" s="200">
        <f t="shared" ref="H22:H33" si="2">+IF(G22/$C$115=0,"",G22/$C$115)</f>
        <v>7.5494347989160944E-5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260467</v>
      </c>
      <c r="H23" s="200">
        <f t="shared" si="2"/>
        <v>6.9510583255745032E-6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11.456884809892141</v>
      </c>
      <c r="D26" s="200">
        <f>+IF(C26/$F$121=0,"",C26/$F$121)</f>
        <v>3.1171843570349334E-7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-4882.9529995224875</v>
      </c>
      <c r="D27" s="200">
        <f t="shared" ref="D27:D33" si="3">+IF(C27/$F$121=0,"",C27/$F$121)</f>
        <v>-1.3285517798962318E-4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8401099</v>
      </c>
      <c r="H29" s="200">
        <f t="shared" si="2"/>
        <v>2.2419933867985438E-4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4771.8865999999998</v>
      </c>
      <c r="D31" s="200">
        <f t="shared" si="3"/>
        <v>1.2983328810481991E-4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-11642</v>
      </c>
      <c r="H32" s="200">
        <f t="shared" si="2"/>
        <v>-3.1068895877918647E-7</v>
      </c>
    </row>
    <row r="33" spans="1:13" x14ac:dyDescent="0.2">
      <c r="B33" s="199" t="s">
        <v>16</v>
      </c>
      <c r="C33" s="71">
        <v>-123.53</v>
      </c>
      <c r="D33" s="200">
        <f t="shared" si="3"/>
        <v>-3.3609989976686382E-6</v>
      </c>
      <c r="E33" s="75"/>
      <c r="F33" s="199" t="s">
        <v>16</v>
      </c>
      <c r="G33" s="72">
        <v>-67018</v>
      </c>
      <c r="H33" s="200">
        <f t="shared" si="2"/>
        <v>-1.7885030612835869E-6</v>
      </c>
    </row>
    <row r="34" spans="1:13" s="80" customFormat="1" x14ac:dyDescent="0.2">
      <c r="B34" s="201" t="s">
        <v>17</v>
      </c>
      <c r="C34" s="203">
        <f>SUM(C22:C33)</f>
        <v>1841.7536852874043</v>
      </c>
      <c r="D34" s="78">
        <f>SUM(D22:D33)</f>
        <v>5.0110356109475302E-5</v>
      </c>
      <c r="E34" s="79"/>
      <c r="F34" s="201" t="s">
        <v>17</v>
      </c>
      <c r="G34" s="203">
        <f>SUM(G22:G33)</f>
        <v>11411797</v>
      </c>
      <c r="H34" s="78">
        <f>SUM(H22:H33)</f>
        <v>3.045455529745271E-4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5135754</v>
      </c>
      <c r="D37" s="200">
        <f t="shared" ref="D37:D48" si="4">+IF(C37/$C$123=0,"",C37/$C$123)</f>
        <v>5.9241988686253416E-5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1199694</v>
      </c>
      <c r="D38" s="200">
        <f t="shared" si="4"/>
        <v>1.3838719373039695E-5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16861319</v>
      </c>
      <c r="D44" s="200">
        <f t="shared" si="4"/>
        <v>1.9449881544819121E-4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10905281</v>
      </c>
      <c r="D45" s="200">
        <f t="shared" si="4"/>
        <v>1.2579468051281551E-4</v>
      </c>
      <c r="E45" s="68"/>
      <c r="F45" s="199" t="s">
        <v>13</v>
      </c>
      <c r="G45" s="72">
        <v>-20173294</v>
      </c>
      <c r="H45" s="200">
        <f t="shared" si="5"/>
        <v>-3.6987160289239894E-3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/>
      <c r="D47" s="200" t="str">
        <f t="shared" si="4"/>
        <v/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-105704</v>
      </c>
      <c r="D48" s="200">
        <f t="shared" si="4"/>
        <v>-1.2193175864910451E-6</v>
      </c>
      <c r="E48" s="68"/>
      <c r="F48" s="199" t="s">
        <v>16</v>
      </c>
      <c r="G48" s="72">
        <v>-16032</v>
      </c>
      <c r="H48" s="200">
        <f t="shared" si="5"/>
        <v>-2.9394215627705322E-6</v>
      </c>
    </row>
    <row r="49" spans="2:10" s="80" customFormat="1" x14ac:dyDescent="0.2">
      <c r="B49" s="201" t="s">
        <v>17</v>
      </c>
      <c r="C49" s="77">
        <f>SUM(C37:C48)</f>
        <v>33996344</v>
      </c>
      <c r="D49" s="78">
        <f>SUM(D37:D48)</f>
        <v>3.9215488643380876E-4</v>
      </c>
      <c r="E49" s="79"/>
      <c r="F49" s="201" t="s">
        <v>17</v>
      </c>
      <c r="G49" s="77">
        <f>SUM(G37:G48)</f>
        <v>-20189326</v>
      </c>
      <c r="H49" s="78">
        <f>SUM(H37:H48)</f>
        <v>-3.7016554504867598E-3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66">
        <v>13242.0597</v>
      </c>
      <c r="H53" s="200">
        <f t="shared" ref="H53:H64" si="7">+IF(G53/$C$124=0,"",G53/$C$124)</f>
        <v>1.2916184872318793E-4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72">
        <v>-7540.54</v>
      </c>
      <c r="H60" s="200">
        <f t="shared" si="7"/>
        <v>-7.3549742927918332E-5</v>
      </c>
    </row>
    <row r="61" spans="2:10" x14ac:dyDescent="0.2">
      <c r="B61" s="199" t="s">
        <v>13</v>
      </c>
      <c r="C61" s="72">
        <v>-101570282</v>
      </c>
      <c r="D61" s="200">
        <f t="shared" si="6"/>
        <v>-3.4732399501944027E-3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72">
        <v>2616.7600000000002</v>
      </c>
      <c r="H63" s="200">
        <f t="shared" si="7"/>
        <v>2.5523639593989238E-5</v>
      </c>
    </row>
    <row r="64" spans="2:10" x14ac:dyDescent="0.2">
      <c r="B64" s="199" t="s">
        <v>16</v>
      </c>
      <c r="C64" s="72">
        <v>-240359</v>
      </c>
      <c r="D64" s="200">
        <f t="shared" si="6"/>
        <v>-8.2191804999495465E-6</v>
      </c>
      <c r="E64" s="68"/>
      <c r="F64" s="199" t="s">
        <v>16</v>
      </c>
      <c r="G64" s="72">
        <v>-109.56</v>
      </c>
      <c r="H64" s="200">
        <f t="shared" si="7"/>
        <v>-1.0686382984750074E-6</v>
      </c>
    </row>
    <row r="65" spans="2:8" s="80" customFormat="1" x14ac:dyDescent="0.2">
      <c r="B65" s="201" t="s">
        <v>17</v>
      </c>
      <c r="C65" s="77">
        <f>SUM(C53:C64)</f>
        <v>-101810641</v>
      </c>
      <c r="D65" s="78">
        <f>SUM(D53:D64)</f>
        <v>-3.4814591306943522E-3</v>
      </c>
      <c r="E65" s="79"/>
      <c r="F65" s="201" t="s">
        <v>17</v>
      </c>
      <c r="G65" s="203">
        <f>SUM(G53:G64)</f>
        <v>8208.7196999999996</v>
      </c>
      <c r="H65" s="78">
        <f>SUM(H53:H64)</f>
        <v>8.0067107090783823E-5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-7683873</v>
      </c>
      <c r="D72" s="200">
        <f t="shared" si="8"/>
        <v>-4.985925477927393E-4</v>
      </c>
      <c r="E72" s="68"/>
      <c r="F72" s="199" t="s">
        <v>9</v>
      </c>
      <c r="G72" s="66">
        <v>253162</v>
      </c>
      <c r="H72" s="200">
        <f t="shared" si="9"/>
        <v>4.405037266550547E-5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94519334</v>
      </c>
      <c r="D76" s="200">
        <f t="shared" si="8"/>
        <v>6.1331877237862844E-3</v>
      </c>
      <c r="E76" s="68"/>
      <c r="F76" s="199" t="s">
        <v>13</v>
      </c>
      <c r="G76" s="72">
        <v>-5004713</v>
      </c>
      <c r="H76" s="200">
        <f t="shared" si="9"/>
        <v>-8.7082371261840196E-4</v>
      </c>
    </row>
    <row r="77" spans="2:8" x14ac:dyDescent="0.2">
      <c r="B77" s="199" t="s">
        <v>14</v>
      </c>
      <c r="C77" s="66">
        <v>-6575200</v>
      </c>
      <c r="D77" s="200">
        <f t="shared" si="8"/>
        <v>-4.2665277266384016E-4</v>
      </c>
      <c r="E77" s="68"/>
      <c r="F77" s="199" t="s">
        <v>14</v>
      </c>
      <c r="G77" s="66">
        <v>-2466288</v>
      </c>
      <c r="H77" s="200">
        <f t="shared" si="9"/>
        <v>-4.2913591099953447E-4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-1.3723201558990684E-6</v>
      </c>
      <c r="E79" s="68"/>
      <c r="F79" s="199" t="s">
        <v>16</v>
      </c>
      <c r="G79" s="72">
        <v>-16067</v>
      </c>
      <c r="H79" s="200">
        <f t="shared" si="9"/>
        <v>-2.7956697198500422E-6</v>
      </c>
    </row>
    <row r="80" spans="2:8" s="80" customFormat="1" x14ac:dyDescent="0.2">
      <c r="B80" s="201" t="s">
        <v>17</v>
      </c>
      <c r="C80" s="77">
        <f>SUM(C68:C79)</f>
        <v>80239112</v>
      </c>
      <c r="D80" s="78">
        <f>SUM(D68:D79)</f>
        <v>5.2065700831738062E-3</v>
      </c>
      <c r="E80" s="79"/>
      <c r="F80" s="201" t="s">
        <v>17</v>
      </c>
      <c r="G80" s="77">
        <f>SUM(G68:G79)</f>
        <v>-7233906</v>
      </c>
      <c r="H80" s="78">
        <f>SUM(H68:H79)</f>
        <v>-1.2587049206722811E-3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/>
      <c r="D87" s="200" t="str">
        <f t="shared" si="10"/>
        <v/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43234.844299999997</v>
      </c>
      <c r="D90" s="200">
        <f t="shared" si="10"/>
        <v>7.1191416141610413E-4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-343512.00040000002</v>
      </c>
      <c r="D92" s="200">
        <f t="shared" si="10"/>
        <v>-5.6563418155095441E-3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-300277.15610000002</v>
      </c>
      <c r="D95" s="209">
        <f>SUM(D83:D94)</f>
        <v>-4.9444276540934404E-3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37471560128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29243669731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15411126849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5454134311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5747102344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58801876893</v>
      </c>
      <c r="D120" s="217">
        <v>919547652</v>
      </c>
      <c r="F120" s="204">
        <f>+C120+D120</f>
        <v>59721424545</v>
      </c>
      <c r="G120" s="197"/>
      <c r="H120" s="197"/>
    </row>
    <row r="121" spans="1:13" x14ac:dyDescent="0.2">
      <c r="B121" s="189" t="s">
        <v>18</v>
      </c>
      <c r="C121" s="192">
        <v>35723696.039999999</v>
      </c>
      <c r="D121" s="193">
        <v>1030257.2</v>
      </c>
      <c r="F121" s="204">
        <f>+C121+D121</f>
        <v>36753953.240000002</v>
      </c>
      <c r="H121" s="75"/>
    </row>
    <row r="122" spans="1:13" x14ac:dyDescent="0.2">
      <c r="B122" s="189" t="s">
        <v>4</v>
      </c>
      <c r="C122" s="190">
        <v>6434202343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86691114088</v>
      </c>
      <c r="D123" s="205"/>
      <c r="F123" s="204"/>
      <c r="H123" s="75"/>
    </row>
    <row r="124" spans="1:13" x14ac:dyDescent="0.2">
      <c r="B124" s="189" t="s">
        <v>25</v>
      </c>
      <c r="C124" s="192">
        <v>102522996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2">
        <v>60730417.574499995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87" priority="52" stopIfTrue="1" operator="lessThan">
      <formula>0</formula>
    </cfRule>
  </conditionalFormatting>
  <conditionalFormatting sqref="C7:C9">
    <cfRule type="cellIs" dxfId="186" priority="51" stopIfTrue="1" operator="lessThan">
      <formula>0</formula>
    </cfRule>
  </conditionalFormatting>
  <conditionalFormatting sqref="C10:C13">
    <cfRule type="cellIs" dxfId="185" priority="49" stopIfTrue="1" operator="lessThan">
      <formula>0</formula>
    </cfRule>
  </conditionalFormatting>
  <conditionalFormatting sqref="C104">
    <cfRule type="cellIs" dxfId="184" priority="48" stopIfTrue="1" operator="lessThan">
      <formula>0</formula>
    </cfRule>
  </conditionalFormatting>
  <conditionalFormatting sqref="C7">
    <cfRule type="cellIs" dxfId="183" priority="50" stopIfTrue="1" operator="lessThan">
      <formula>0</formula>
    </cfRule>
  </conditionalFormatting>
  <conditionalFormatting sqref="C29:C33">
    <cfRule type="cellIs" dxfId="182" priority="47" stopIfTrue="1" operator="lessThan">
      <formula>0</formula>
    </cfRule>
  </conditionalFormatting>
  <conditionalFormatting sqref="C22">
    <cfRule type="cellIs" dxfId="181" priority="45" stopIfTrue="1" operator="lessThan">
      <formula>0</formula>
    </cfRule>
  </conditionalFormatting>
  <conditionalFormatting sqref="C25:C28">
    <cfRule type="cellIs" dxfId="180" priority="44" stopIfTrue="1" operator="lessThan">
      <formula>0</formula>
    </cfRule>
  </conditionalFormatting>
  <conditionalFormatting sqref="C22:C24">
    <cfRule type="cellIs" dxfId="179" priority="46" stopIfTrue="1" operator="lessThan">
      <formula>0</formula>
    </cfRule>
  </conditionalFormatting>
  <conditionalFormatting sqref="G22">
    <cfRule type="cellIs" dxfId="178" priority="41" stopIfTrue="1" operator="lessThan">
      <formula>0</formula>
    </cfRule>
  </conditionalFormatting>
  <conditionalFormatting sqref="G29:G33">
    <cfRule type="cellIs" dxfId="177" priority="43" stopIfTrue="1" operator="lessThan">
      <formula>0</formula>
    </cfRule>
  </conditionalFormatting>
  <conditionalFormatting sqref="G22:G24">
    <cfRule type="cellIs" dxfId="176" priority="42" stopIfTrue="1" operator="lessThan">
      <formula>0</formula>
    </cfRule>
  </conditionalFormatting>
  <conditionalFormatting sqref="G25:G28">
    <cfRule type="cellIs" dxfId="175" priority="40" stopIfTrue="1" operator="lessThan">
      <formula>0</formula>
    </cfRule>
  </conditionalFormatting>
  <conditionalFormatting sqref="C40:C43">
    <cfRule type="cellIs" dxfId="174" priority="36" stopIfTrue="1" operator="lessThan">
      <formula>0</formula>
    </cfRule>
  </conditionalFormatting>
  <conditionalFormatting sqref="G44:G48">
    <cfRule type="cellIs" dxfId="173" priority="35" stopIfTrue="1" operator="lessThan">
      <formula>0</formula>
    </cfRule>
  </conditionalFormatting>
  <conditionalFormatting sqref="G37">
    <cfRule type="cellIs" dxfId="172" priority="33" stopIfTrue="1" operator="lessThan">
      <formula>0</formula>
    </cfRule>
  </conditionalFormatting>
  <conditionalFormatting sqref="C44:C48">
    <cfRule type="cellIs" dxfId="171" priority="39" stopIfTrue="1" operator="lessThan">
      <formula>0</formula>
    </cfRule>
  </conditionalFormatting>
  <conditionalFormatting sqref="C37:C39">
    <cfRule type="cellIs" dxfId="170" priority="38" stopIfTrue="1" operator="lessThan">
      <formula>0</formula>
    </cfRule>
  </conditionalFormatting>
  <conditionalFormatting sqref="C37">
    <cfRule type="cellIs" dxfId="169" priority="37" stopIfTrue="1" operator="lessThan">
      <formula>0</formula>
    </cfRule>
  </conditionalFormatting>
  <conditionalFormatting sqref="C56:C59">
    <cfRule type="cellIs" dxfId="168" priority="28" stopIfTrue="1" operator="lessThan">
      <formula>0</formula>
    </cfRule>
  </conditionalFormatting>
  <conditionalFormatting sqref="G37:G39">
    <cfRule type="cellIs" dxfId="167" priority="34" stopIfTrue="1" operator="lessThan">
      <formula>0</formula>
    </cfRule>
  </conditionalFormatting>
  <conditionalFormatting sqref="G40:G43">
    <cfRule type="cellIs" dxfId="166" priority="32" stopIfTrue="1" operator="lessThan">
      <formula>0</formula>
    </cfRule>
  </conditionalFormatting>
  <conditionalFormatting sqref="C60:C64">
    <cfRule type="cellIs" dxfId="165" priority="31" stopIfTrue="1" operator="lessThan">
      <formula>0</formula>
    </cfRule>
  </conditionalFormatting>
  <conditionalFormatting sqref="C53:C55">
    <cfRule type="cellIs" dxfId="164" priority="30" stopIfTrue="1" operator="lessThan">
      <formula>0</formula>
    </cfRule>
  </conditionalFormatting>
  <conditionalFormatting sqref="C53">
    <cfRule type="cellIs" dxfId="163" priority="29" stopIfTrue="1" operator="lessThan">
      <formula>0</formula>
    </cfRule>
  </conditionalFormatting>
  <conditionalFormatting sqref="C75:C78">
    <cfRule type="cellIs" dxfId="162" priority="23" stopIfTrue="1" operator="lessThan">
      <formula>0</formula>
    </cfRule>
  </conditionalFormatting>
  <conditionalFormatting sqref="C68:C70">
    <cfRule type="cellIs" dxfId="161" priority="22" stopIfTrue="1" operator="lessThan">
      <formula>0</formula>
    </cfRule>
  </conditionalFormatting>
  <conditionalFormatting sqref="C68">
    <cfRule type="cellIs" dxfId="160" priority="21" stopIfTrue="1" operator="lessThan">
      <formula>0</formula>
    </cfRule>
  </conditionalFormatting>
  <conditionalFormatting sqref="C71:C74">
    <cfRule type="cellIs" dxfId="159" priority="20" stopIfTrue="1" operator="lessThan">
      <formula>0</formula>
    </cfRule>
  </conditionalFormatting>
  <conditionalFormatting sqref="G75:G79">
    <cfRule type="cellIs" dxfId="158" priority="19" stopIfTrue="1" operator="lessThan">
      <formula>0</formula>
    </cfRule>
  </conditionalFormatting>
  <conditionalFormatting sqref="G68:G70">
    <cfRule type="cellIs" dxfId="157" priority="18" stopIfTrue="1" operator="lessThan">
      <formula>0</formula>
    </cfRule>
  </conditionalFormatting>
  <conditionalFormatting sqref="G68">
    <cfRule type="cellIs" dxfId="156" priority="17" stopIfTrue="1" operator="lessThan">
      <formula>0</formula>
    </cfRule>
  </conditionalFormatting>
  <conditionalFormatting sqref="G71:G74">
    <cfRule type="cellIs" dxfId="155" priority="16" stopIfTrue="1" operator="lessThan">
      <formula>0</formula>
    </cfRule>
  </conditionalFormatting>
  <conditionalFormatting sqref="C79">
    <cfRule type="cellIs" dxfId="154" priority="14" stopIfTrue="1" operator="lessThan">
      <formula>0</formula>
    </cfRule>
  </conditionalFormatting>
  <conditionalFormatting sqref="C90:C93">
    <cfRule type="cellIs" dxfId="153" priority="13" stopIfTrue="1" operator="lessThan">
      <formula>0</formula>
    </cfRule>
  </conditionalFormatting>
  <conditionalFormatting sqref="C83:C85">
    <cfRule type="cellIs" dxfId="152" priority="12" stopIfTrue="1" operator="lessThan">
      <formula>0</formula>
    </cfRule>
  </conditionalFormatting>
  <conditionalFormatting sqref="C83">
    <cfRule type="cellIs" dxfId="151" priority="11" stopIfTrue="1" operator="lessThan">
      <formula>0</formula>
    </cfRule>
  </conditionalFormatting>
  <conditionalFormatting sqref="C86:C89">
    <cfRule type="cellIs" dxfId="150" priority="10" stopIfTrue="1" operator="lessThan">
      <formula>0</formula>
    </cfRule>
  </conditionalFormatting>
  <conditionalFormatting sqref="C94">
    <cfRule type="cellIs" dxfId="149" priority="9" stopIfTrue="1" operator="lessThan">
      <formula>0</formula>
    </cfRule>
  </conditionalFormatting>
  <conditionalFormatting sqref="G14:G18">
    <cfRule type="cellIs" dxfId="148" priority="8" stopIfTrue="1" operator="lessThan">
      <formula>0</formula>
    </cfRule>
  </conditionalFormatting>
  <conditionalFormatting sqref="G7:G9">
    <cfRule type="cellIs" dxfId="147" priority="7" stopIfTrue="1" operator="lessThan">
      <formula>0</formula>
    </cfRule>
  </conditionalFormatting>
  <conditionalFormatting sqref="G10:G13">
    <cfRule type="cellIs" dxfId="146" priority="5" stopIfTrue="1" operator="lessThan">
      <formula>0</formula>
    </cfRule>
  </conditionalFormatting>
  <conditionalFormatting sqref="G7">
    <cfRule type="cellIs" dxfId="145" priority="6" stopIfTrue="1" operator="lessThan">
      <formula>0</formula>
    </cfRule>
  </conditionalFormatting>
  <conditionalFormatting sqref="G56:G59">
    <cfRule type="cellIs" dxfId="144" priority="1" stopIfTrue="1" operator="lessThan">
      <formula>0</formula>
    </cfRule>
  </conditionalFormatting>
  <conditionalFormatting sqref="G60:G64">
    <cfRule type="cellIs" dxfId="143" priority="4" stopIfTrue="1" operator="lessThan">
      <formula>0</formula>
    </cfRule>
  </conditionalFormatting>
  <conditionalFormatting sqref="G53:G55">
    <cfRule type="cellIs" dxfId="142" priority="3" stopIfTrue="1" operator="lessThan">
      <formula>0</formula>
    </cfRule>
  </conditionalFormatting>
  <conditionalFormatting sqref="G53">
    <cfRule type="cellIs" dxfId="141" priority="2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43123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4772108</v>
      </c>
      <c r="D7" s="67">
        <f>+IF(C7/$F$120=0,"",C7/$F$120)</f>
        <v>7.9380734869570851E-5</v>
      </c>
      <c r="E7" s="68"/>
      <c r="F7" s="199" t="s">
        <v>5</v>
      </c>
      <c r="G7" s="218">
        <v>397938</v>
      </c>
      <c r="H7" s="200">
        <f>+IF(G7/$C$122=0,"",G7/$C$122)</f>
        <v>6.1852252550179598E-5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218">
        <v>35054</v>
      </c>
      <c r="H8" s="200">
        <f>+IF(G8/$C$122=0,"",G8/$C$122)</f>
        <v>5.4485092172499131E-6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218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218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218"/>
      <c r="H11" s="200" t="str">
        <f t="shared" si="0"/>
        <v/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218">
        <v>41417</v>
      </c>
      <c r="H12" s="200">
        <f t="shared" si="0"/>
        <v>6.4375222870668011E-6</v>
      </c>
    </row>
    <row r="13" spans="1:10" ht="12.75" x14ac:dyDescent="0.2">
      <c r="B13" s="199" t="s">
        <v>11</v>
      </c>
      <c r="C13" s="218">
        <v>26858</v>
      </c>
      <c r="D13" s="67">
        <f t="shared" si="1"/>
        <v>4.4676436013747678E-7</v>
      </c>
      <c r="E13" s="68"/>
      <c r="F13" s="199" t="s">
        <v>11</v>
      </c>
      <c r="G13" s="218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219">
        <v>4214126</v>
      </c>
      <c r="H14" s="200">
        <f t="shared" si="0"/>
        <v>6.5500953824535022E-4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218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218"/>
      <c r="H16" s="200" t="str">
        <f t="shared" si="0"/>
        <v/>
      </c>
      <c r="I16" s="74"/>
    </row>
    <row r="17" spans="2:9" ht="12.75" x14ac:dyDescent="0.2">
      <c r="B17" s="199" t="s">
        <v>15</v>
      </c>
      <c r="C17" s="218"/>
      <c r="D17" s="67" t="str">
        <f>+IF(C17/$F$120=0,"",C17/$F$120)</f>
        <v/>
      </c>
      <c r="E17" s="68"/>
      <c r="F17" s="199" t="s">
        <v>15</v>
      </c>
      <c r="G17" s="218">
        <v>580809</v>
      </c>
      <c r="H17" s="200">
        <f t="shared" si="0"/>
        <v>9.0276236377066942E-5</v>
      </c>
      <c r="I17" s="74"/>
    </row>
    <row r="18" spans="2:9" ht="12.75" x14ac:dyDescent="0.2">
      <c r="B18" s="199" t="s">
        <v>16</v>
      </c>
      <c r="C18" s="218">
        <v>-124440</v>
      </c>
      <c r="D18" s="67">
        <f>+IF(C18/$F$120=0,"",C18/$F$120)</f>
        <v>-2.0699738243915262E-6</v>
      </c>
      <c r="E18" s="75"/>
      <c r="F18" s="199" t="s">
        <v>16</v>
      </c>
      <c r="G18" s="218">
        <v>-59361</v>
      </c>
      <c r="H18" s="200">
        <f t="shared" si="0"/>
        <v>-9.2265919907905535E-6</v>
      </c>
    </row>
    <row r="19" spans="2:9" s="80" customFormat="1" x14ac:dyDescent="0.2">
      <c r="B19" s="201" t="s">
        <v>17</v>
      </c>
      <c r="C19" s="77">
        <f>SUM(C7:C18)</f>
        <v>4674526</v>
      </c>
      <c r="D19" s="78">
        <f>SUM(D7:D18)</f>
        <v>7.7757525405316809E-5</v>
      </c>
      <c r="E19" s="79"/>
      <c r="F19" s="201" t="s">
        <v>17</v>
      </c>
      <c r="G19" s="77">
        <f>SUM(G7:G18)</f>
        <v>5209983</v>
      </c>
      <c r="H19" s="78">
        <f>SUM(H7:H18)</f>
        <v>8.0979746668612292E-4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2080.54</v>
      </c>
      <c r="D22" s="200">
        <f>+IF(C22/$F$121=0,"",C22/$F$121)</f>
        <v>5.6146932362260356E-5</v>
      </c>
      <c r="E22" s="75"/>
      <c r="F22" s="199" t="s">
        <v>5</v>
      </c>
      <c r="G22" s="66">
        <v>2834550</v>
      </c>
      <c r="H22" s="200">
        <f t="shared" ref="H22:H33" si="2">+IF(G22/$C$115=0,"",G22/$C$115)</f>
        <v>7.6868607568438943E-5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258668</v>
      </c>
      <c r="H23" s="200">
        <f t="shared" si="2"/>
        <v>7.0146756919133429E-6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-12.52</v>
      </c>
      <c r="D26" s="200">
        <f>+IF(C26/$F$121=0,"",C26/$F$121)</f>
        <v>-3.3787362568155364E-7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32856.94</v>
      </c>
      <c r="D27" s="200">
        <f t="shared" ref="D27:D33" si="3">+IF(C27/$F$121=0,"",C27/$F$121)</f>
        <v>8.8670075452086813E-4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5636666</v>
      </c>
      <c r="H29" s="200">
        <f t="shared" si="2"/>
        <v>1.5285765527098217E-4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-32965.410000000003</v>
      </c>
      <c r="D31" s="200">
        <f t="shared" si="3"/>
        <v>-8.8962800309735999E-4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/>
      <c r="H32" s="200" t="str">
        <f t="shared" si="2"/>
        <v/>
      </c>
    </row>
    <row r="33" spans="1:13" x14ac:dyDescent="0.2">
      <c r="B33" s="199" t="s">
        <v>16</v>
      </c>
      <c r="C33" s="71">
        <v>-94.53</v>
      </c>
      <c r="D33" s="200">
        <f t="shared" si="3"/>
        <v>-2.5510538207409961E-6</v>
      </c>
      <c r="E33" s="75"/>
      <c r="F33" s="199" t="s">
        <v>16</v>
      </c>
      <c r="G33" s="72">
        <v>-131843</v>
      </c>
      <c r="H33" s="200">
        <f t="shared" si="2"/>
        <v>-3.5753780415394668E-6</v>
      </c>
    </row>
    <row r="34" spans="1:13" s="80" customFormat="1" x14ac:dyDescent="0.2">
      <c r="B34" s="201" t="s">
        <v>17</v>
      </c>
      <c r="C34" s="203">
        <f>SUM(C22:C33)</f>
        <v>1865.0199999999957</v>
      </c>
      <c r="D34" s="78">
        <f>SUM(D22:D33)</f>
        <v>5.0330756339345978E-5</v>
      </c>
      <c r="E34" s="79"/>
      <c r="F34" s="201" t="s">
        <v>17</v>
      </c>
      <c r="G34" s="203">
        <f>SUM(G22:G33)</f>
        <v>8598041</v>
      </c>
      <c r="H34" s="78">
        <f>SUM(H22:H33)</f>
        <v>2.3316556048979498E-4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5037764</v>
      </c>
      <c r="D37" s="200">
        <f t="shared" ref="D37:D48" si="4">+IF(C37/$C$123=0,"",C37/$C$123)</f>
        <v>5.8001202928975675E-5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1199630</v>
      </c>
      <c r="D38" s="200">
        <f t="shared" si="4"/>
        <v>1.3811679759053242E-5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/>
      <c r="H39" s="200" t="str">
        <f t="shared" si="5"/>
        <v/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>
        <v>40113</v>
      </c>
      <c r="D43" s="200">
        <f t="shared" si="4"/>
        <v>4.6183232344548127E-7</v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54452979</v>
      </c>
      <c r="D44" s="200">
        <f t="shared" si="4"/>
        <v>6.2693256076827954E-4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22577258</v>
      </c>
      <c r="D45" s="200">
        <f t="shared" si="4"/>
        <v>2.5993836210625181E-4</v>
      </c>
      <c r="E45" s="68"/>
      <c r="F45" s="199" t="s">
        <v>13</v>
      </c>
      <c r="G45" s="72">
        <v>-11527745</v>
      </c>
      <c r="H45" s="200">
        <f t="shared" si="5"/>
        <v>-2.1206326413885368E-3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1740133</v>
      </c>
      <c r="D47" s="200">
        <f t="shared" si="4"/>
        <v>2.0034643793636865E-5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-209738</v>
      </c>
      <c r="D48" s="200">
        <f t="shared" si="4"/>
        <v>-2.4147729627504387E-6</v>
      </c>
      <c r="E48" s="68"/>
      <c r="F48" s="199" t="s">
        <v>16</v>
      </c>
      <c r="G48" s="72">
        <v>-41816</v>
      </c>
      <c r="H48" s="200">
        <f t="shared" si="5"/>
        <v>-7.6924302656159592E-6</v>
      </c>
    </row>
    <row r="49" spans="2:10" s="80" customFormat="1" x14ac:dyDescent="0.2">
      <c r="B49" s="201" t="s">
        <v>17</v>
      </c>
      <c r="C49" s="77">
        <f>SUM(C37:C48)</f>
        <v>84838139</v>
      </c>
      <c r="D49" s="78">
        <f>SUM(D37:D48)</f>
        <v>9.7676550871689206E-4</v>
      </c>
      <c r="E49" s="79"/>
      <c r="F49" s="201" t="s">
        <v>17</v>
      </c>
      <c r="G49" s="77">
        <f>SUM(G37:G48)</f>
        <v>-11569561</v>
      </c>
      <c r="H49" s="78">
        <f>SUM(H37:H48)</f>
        <v>-2.1283250716541526E-3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66">
        <v>13103.8529</v>
      </c>
      <c r="H53" s="200">
        <f t="shared" ref="H53:H64" si="7">+IF(G53/$C$124=0,"",G53/$C$124)</f>
        <v>1.2780531028594715E-4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72">
        <v>97460.599000000002</v>
      </c>
      <c r="H60" s="200">
        <f t="shared" si="7"/>
        <v>9.505587548109054E-4</v>
      </c>
    </row>
    <row r="61" spans="2:10" x14ac:dyDescent="0.2">
      <c r="B61" s="199" t="s">
        <v>13</v>
      </c>
      <c r="C61" s="72">
        <v>-103916607</v>
      </c>
      <c r="D61" s="200">
        <f t="shared" si="6"/>
        <v>-3.4582293808258597E-3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/>
      <c r="D63" s="200" t="str">
        <f t="shared" si="6"/>
        <v/>
      </c>
      <c r="E63" s="68"/>
      <c r="F63" s="199" t="s">
        <v>15</v>
      </c>
      <c r="G63" s="72">
        <v>1644.5800000000002</v>
      </c>
      <c r="H63" s="200">
        <f t="shared" si="7"/>
        <v>1.6040019587678903E-5</v>
      </c>
    </row>
    <row r="64" spans="2:10" x14ac:dyDescent="0.2">
      <c r="B64" s="199" t="s">
        <v>16</v>
      </c>
      <c r="C64" s="72">
        <v>-54455</v>
      </c>
      <c r="D64" s="200">
        <f t="shared" si="6"/>
        <v>-1.8122019797362339E-6</v>
      </c>
      <c r="E64" s="68"/>
      <c r="F64" s="199" t="s">
        <v>16</v>
      </c>
      <c r="G64" s="72">
        <v>-109.56</v>
      </c>
      <c r="H64" s="200">
        <f t="shared" si="7"/>
        <v>-1.0685673825694709E-6</v>
      </c>
    </row>
    <row r="65" spans="2:8" s="80" customFormat="1" x14ac:dyDescent="0.2">
      <c r="B65" s="201" t="s">
        <v>17</v>
      </c>
      <c r="C65" s="77">
        <f>SUM(C53:C64)</f>
        <v>-103971062</v>
      </c>
      <c r="D65" s="78">
        <f>SUM(D53:D64)</f>
        <v>-3.460041582805596E-3</v>
      </c>
      <c r="E65" s="79"/>
      <c r="F65" s="201" t="s">
        <v>17</v>
      </c>
      <c r="G65" s="203">
        <f>SUM(G53:G64)</f>
        <v>112099.4719</v>
      </c>
      <c r="H65" s="78">
        <f>SUM(H53:H64)</f>
        <v>1.0933355173019619E-3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531240</v>
      </c>
      <c r="D72" s="200">
        <f t="shared" si="8"/>
        <v>3.4283810876502239E-5</v>
      </c>
      <c r="E72" s="68"/>
      <c r="F72" s="199" t="s">
        <v>9</v>
      </c>
      <c r="G72" s="66">
        <v>-363442</v>
      </c>
      <c r="H72" s="200">
        <f t="shared" si="9"/>
        <v>-6.3320884847022608E-5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43473572</v>
      </c>
      <c r="D76" s="200">
        <f t="shared" si="8"/>
        <v>2.8055864027068805E-3</v>
      </c>
      <c r="E76" s="68"/>
      <c r="F76" s="199" t="s">
        <v>13</v>
      </c>
      <c r="G76" s="72">
        <v>1074044</v>
      </c>
      <c r="H76" s="200">
        <f t="shared" si="9"/>
        <v>1.8712591402379348E-4</v>
      </c>
    </row>
    <row r="77" spans="2:8" x14ac:dyDescent="0.2">
      <c r="B77" s="199" t="s">
        <v>14</v>
      </c>
      <c r="C77" s="66">
        <v>45666114</v>
      </c>
      <c r="D77" s="200">
        <f t="shared" si="8"/>
        <v>2.9470830807935985E-3</v>
      </c>
      <c r="E77" s="68"/>
      <c r="F77" s="199" t="s">
        <v>14</v>
      </c>
      <c r="G77" s="66">
        <v>17084656</v>
      </c>
      <c r="H77" s="200">
        <f t="shared" si="9"/>
        <v>2.976583705865018E-3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-1.3648601690895751E-6</v>
      </c>
      <c r="E79" s="68"/>
      <c r="F79" s="199" t="s">
        <v>16</v>
      </c>
      <c r="G79" s="72">
        <v>-16067</v>
      </c>
      <c r="H79" s="200">
        <f t="shared" si="9"/>
        <v>-2.799282022543108E-6</v>
      </c>
    </row>
    <row r="80" spans="2:8" s="80" customFormat="1" x14ac:dyDescent="0.2">
      <c r="B80" s="201" t="s">
        <v>17</v>
      </c>
      <c r="C80" s="77">
        <f>SUM(C68:C79)</f>
        <v>89649777</v>
      </c>
      <c r="D80" s="78">
        <f>SUM(D68:D79)</f>
        <v>5.7855884342078914E-3</v>
      </c>
      <c r="E80" s="79"/>
      <c r="F80" s="201" t="s">
        <v>17</v>
      </c>
      <c r="G80" s="77">
        <f>SUM(G68:G79)</f>
        <v>17779191</v>
      </c>
      <c r="H80" s="78">
        <f>SUM(H68:H79)</f>
        <v>3.0975894530192454E-3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202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202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202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202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202"/>
      <c r="D87" s="200" t="str">
        <f t="shared" si="10"/>
        <v/>
      </c>
      <c r="G87" s="90"/>
    </row>
    <row r="88" spans="2:7" ht="12.75" customHeight="1" x14ac:dyDescent="0.2">
      <c r="B88" s="199" t="s">
        <v>10</v>
      </c>
      <c r="C88" s="202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202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207">
        <v>38433.064599999998</v>
      </c>
      <c r="D90" s="200">
        <f t="shared" si="10"/>
        <v>6.3453183243077462E-4</v>
      </c>
      <c r="E90" s="100"/>
      <c r="G90" s="213"/>
    </row>
    <row r="91" spans="2:7" ht="12.75" customHeight="1" x14ac:dyDescent="0.2">
      <c r="B91" s="199" t="s">
        <v>13</v>
      </c>
      <c r="C91" s="207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202">
        <v>-774191.77069999999</v>
      </c>
      <c r="D92" s="200">
        <f t="shared" si="10"/>
        <v>-1.2781945130524332E-2</v>
      </c>
      <c r="G92" s="90"/>
    </row>
    <row r="93" spans="2:7" ht="12.75" customHeight="1" x14ac:dyDescent="0.2">
      <c r="B93" s="199" t="s">
        <v>15</v>
      </c>
      <c r="C93" s="207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207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-735758.70609999995</v>
      </c>
      <c r="D95" s="209">
        <f>SUM(D83:D94)</f>
        <v>-1.2147413298093558E-2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36875261432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30049078750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15495360242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5435993380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5739686059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58947375552</v>
      </c>
      <c r="D120" s="217">
        <v>1169326666</v>
      </c>
      <c r="F120" s="204">
        <f>+C120+D120</f>
        <v>60116702218</v>
      </c>
      <c r="G120" s="197"/>
      <c r="H120" s="197"/>
    </row>
    <row r="121" spans="1:13" x14ac:dyDescent="0.2">
      <c r="B121" s="189" t="s">
        <v>18</v>
      </c>
      <c r="C121" s="192">
        <v>36755354.659999996</v>
      </c>
      <c r="D121" s="193">
        <v>299920</v>
      </c>
      <c r="F121" s="204">
        <f>+C121+D121</f>
        <v>37055274.659999996</v>
      </c>
      <c r="H121" s="75"/>
    </row>
    <row r="122" spans="1:13" x14ac:dyDescent="0.2">
      <c r="B122" s="189" t="s">
        <v>4</v>
      </c>
      <c r="C122" s="190">
        <v>6433686464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86856198589</v>
      </c>
      <c r="D123" s="205"/>
      <c r="F123" s="204"/>
      <c r="H123" s="75"/>
    </row>
    <row r="124" spans="1:13" x14ac:dyDescent="0.2">
      <c r="B124" s="189" t="s">
        <v>25</v>
      </c>
      <c r="C124" s="192">
        <v>102529799.98</v>
      </c>
      <c r="D124" s="205"/>
      <c r="E124" s="206"/>
      <c r="F124" s="204"/>
      <c r="G124" s="197"/>
      <c r="H124" s="197"/>
    </row>
    <row r="125" spans="1:13" x14ac:dyDescent="0.2">
      <c r="B125" s="195" t="s">
        <v>49</v>
      </c>
      <c r="C125" s="192">
        <v>60569167.117699996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140" priority="47" stopIfTrue="1" operator="lessThan">
      <formula>0</formula>
    </cfRule>
  </conditionalFormatting>
  <conditionalFormatting sqref="C7:C9">
    <cfRule type="cellIs" dxfId="139" priority="46" stopIfTrue="1" operator="lessThan">
      <formula>0</formula>
    </cfRule>
  </conditionalFormatting>
  <conditionalFormatting sqref="C10:C13">
    <cfRule type="cellIs" dxfId="138" priority="44" stopIfTrue="1" operator="lessThan">
      <formula>0</formula>
    </cfRule>
  </conditionalFormatting>
  <conditionalFormatting sqref="C104">
    <cfRule type="cellIs" dxfId="137" priority="43" stopIfTrue="1" operator="lessThan">
      <formula>0</formula>
    </cfRule>
  </conditionalFormatting>
  <conditionalFormatting sqref="C7">
    <cfRule type="cellIs" dxfId="136" priority="45" stopIfTrue="1" operator="lessThan">
      <formula>0</formula>
    </cfRule>
  </conditionalFormatting>
  <conditionalFormatting sqref="C29:C33">
    <cfRule type="cellIs" dxfId="135" priority="42" stopIfTrue="1" operator="lessThan">
      <formula>0</formula>
    </cfRule>
  </conditionalFormatting>
  <conditionalFormatting sqref="C22">
    <cfRule type="cellIs" dxfId="134" priority="40" stopIfTrue="1" operator="lessThan">
      <formula>0</formula>
    </cfRule>
  </conditionalFormatting>
  <conditionalFormatting sqref="C25:C28">
    <cfRule type="cellIs" dxfId="133" priority="39" stopIfTrue="1" operator="lessThan">
      <formula>0</formula>
    </cfRule>
  </conditionalFormatting>
  <conditionalFormatting sqref="C22:C24">
    <cfRule type="cellIs" dxfId="132" priority="41" stopIfTrue="1" operator="lessThan">
      <formula>0</formula>
    </cfRule>
  </conditionalFormatting>
  <conditionalFormatting sqref="G22">
    <cfRule type="cellIs" dxfId="131" priority="36" stopIfTrue="1" operator="lessThan">
      <formula>0</formula>
    </cfRule>
  </conditionalFormatting>
  <conditionalFormatting sqref="G29:G33">
    <cfRule type="cellIs" dxfId="130" priority="38" stopIfTrue="1" operator="lessThan">
      <formula>0</formula>
    </cfRule>
  </conditionalFormatting>
  <conditionalFormatting sqref="G22:G24">
    <cfRule type="cellIs" dxfId="129" priority="37" stopIfTrue="1" operator="lessThan">
      <formula>0</formula>
    </cfRule>
  </conditionalFormatting>
  <conditionalFormatting sqref="G25:G28">
    <cfRule type="cellIs" dxfId="128" priority="35" stopIfTrue="1" operator="lessThan">
      <formula>0</formula>
    </cfRule>
  </conditionalFormatting>
  <conditionalFormatting sqref="C40:C43">
    <cfRule type="cellIs" dxfId="127" priority="31" stopIfTrue="1" operator="lessThan">
      <formula>0</formula>
    </cfRule>
  </conditionalFormatting>
  <conditionalFormatting sqref="G44:G48">
    <cfRule type="cellIs" dxfId="126" priority="30" stopIfTrue="1" operator="lessThan">
      <formula>0</formula>
    </cfRule>
  </conditionalFormatting>
  <conditionalFormatting sqref="G37">
    <cfRule type="cellIs" dxfId="125" priority="28" stopIfTrue="1" operator="lessThan">
      <formula>0</formula>
    </cfRule>
  </conditionalFormatting>
  <conditionalFormatting sqref="C44:C48">
    <cfRule type="cellIs" dxfId="124" priority="34" stopIfTrue="1" operator="lessThan">
      <formula>0</formula>
    </cfRule>
  </conditionalFormatting>
  <conditionalFormatting sqref="C37:C39">
    <cfRule type="cellIs" dxfId="123" priority="33" stopIfTrue="1" operator="lessThan">
      <formula>0</formula>
    </cfRule>
  </conditionalFormatting>
  <conditionalFormatting sqref="C37">
    <cfRule type="cellIs" dxfId="122" priority="32" stopIfTrue="1" operator="lessThan">
      <formula>0</formula>
    </cfRule>
  </conditionalFormatting>
  <conditionalFormatting sqref="C56:C59">
    <cfRule type="cellIs" dxfId="121" priority="23" stopIfTrue="1" operator="lessThan">
      <formula>0</formula>
    </cfRule>
  </conditionalFormatting>
  <conditionalFormatting sqref="G37:G39">
    <cfRule type="cellIs" dxfId="120" priority="29" stopIfTrue="1" operator="lessThan">
      <formula>0</formula>
    </cfRule>
  </conditionalFormatting>
  <conditionalFormatting sqref="G40:G43">
    <cfRule type="cellIs" dxfId="119" priority="27" stopIfTrue="1" operator="lessThan">
      <formula>0</formula>
    </cfRule>
  </conditionalFormatting>
  <conditionalFormatting sqref="C60:C64">
    <cfRule type="cellIs" dxfId="118" priority="26" stopIfTrue="1" operator="lessThan">
      <formula>0</formula>
    </cfRule>
  </conditionalFormatting>
  <conditionalFormatting sqref="C53:C55">
    <cfRule type="cellIs" dxfId="117" priority="25" stopIfTrue="1" operator="lessThan">
      <formula>0</formula>
    </cfRule>
  </conditionalFormatting>
  <conditionalFormatting sqref="C53">
    <cfRule type="cellIs" dxfId="116" priority="24" stopIfTrue="1" operator="lessThan">
      <formula>0</formula>
    </cfRule>
  </conditionalFormatting>
  <conditionalFormatting sqref="C75:C78">
    <cfRule type="cellIs" dxfId="115" priority="22" stopIfTrue="1" operator="lessThan">
      <formula>0</formula>
    </cfRule>
  </conditionalFormatting>
  <conditionalFormatting sqref="C68:C70">
    <cfRule type="cellIs" dxfId="114" priority="21" stopIfTrue="1" operator="lessThan">
      <formula>0</formula>
    </cfRule>
  </conditionalFormatting>
  <conditionalFormatting sqref="C68">
    <cfRule type="cellIs" dxfId="113" priority="20" stopIfTrue="1" operator="lessThan">
      <formula>0</formula>
    </cfRule>
  </conditionalFormatting>
  <conditionalFormatting sqref="C71:C74">
    <cfRule type="cellIs" dxfId="112" priority="19" stopIfTrue="1" operator="lessThan">
      <formula>0</formula>
    </cfRule>
  </conditionalFormatting>
  <conditionalFormatting sqref="G75:G79">
    <cfRule type="cellIs" dxfId="111" priority="18" stopIfTrue="1" operator="lessThan">
      <formula>0</formula>
    </cfRule>
  </conditionalFormatting>
  <conditionalFormatting sqref="G68:G70">
    <cfRule type="cellIs" dxfId="110" priority="17" stopIfTrue="1" operator="lessThan">
      <formula>0</formula>
    </cfRule>
  </conditionalFormatting>
  <conditionalFormatting sqref="G68">
    <cfRule type="cellIs" dxfId="109" priority="16" stopIfTrue="1" operator="lessThan">
      <formula>0</formula>
    </cfRule>
  </conditionalFormatting>
  <conditionalFormatting sqref="G71:G74">
    <cfRule type="cellIs" dxfId="108" priority="15" stopIfTrue="1" operator="lessThan">
      <formula>0</formula>
    </cfRule>
  </conditionalFormatting>
  <conditionalFormatting sqref="C79">
    <cfRule type="cellIs" dxfId="107" priority="14" stopIfTrue="1" operator="lessThan">
      <formula>0</formula>
    </cfRule>
  </conditionalFormatting>
  <conditionalFormatting sqref="C90:C93">
    <cfRule type="cellIs" dxfId="106" priority="13" stopIfTrue="1" operator="lessThan">
      <formula>0</formula>
    </cfRule>
  </conditionalFormatting>
  <conditionalFormatting sqref="C83:C85">
    <cfRule type="cellIs" dxfId="105" priority="12" stopIfTrue="1" operator="lessThan">
      <formula>0</formula>
    </cfRule>
  </conditionalFormatting>
  <conditionalFormatting sqref="C83">
    <cfRule type="cellIs" dxfId="104" priority="11" stopIfTrue="1" operator="lessThan">
      <formula>0</formula>
    </cfRule>
  </conditionalFormatting>
  <conditionalFormatting sqref="C86:C89">
    <cfRule type="cellIs" dxfId="103" priority="10" stopIfTrue="1" operator="lessThan">
      <formula>0</formula>
    </cfRule>
  </conditionalFormatting>
  <conditionalFormatting sqref="C94">
    <cfRule type="cellIs" dxfId="102" priority="9" stopIfTrue="1" operator="lessThan">
      <formula>0</formula>
    </cfRule>
  </conditionalFormatting>
  <conditionalFormatting sqref="G14:G18">
    <cfRule type="cellIs" dxfId="101" priority="8" stopIfTrue="1" operator="lessThan">
      <formula>0</formula>
    </cfRule>
  </conditionalFormatting>
  <conditionalFormatting sqref="G7:G9">
    <cfRule type="cellIs" dxfId="100" priority="7" stopIfTrue="1" operator="lessThan">
      <formula>0</formula>
    </cfRule>
  </conditionalFormatting>
  <conditionalFormatting sqref="G10:G13">
    <cfRule type="cellIs" dxfId="99" priority="5" stopIfTrue="1" operator="lessThan">
      <formula>0</formula>
    </cfRule>
  </conditionalFormatting>
  <conditionalFormatting sqref="G7">
    <cfRule type="cellIs" dxfId="98" priority="6" stopIfTrue="1" operator="lessThan">
      <formula>0</formula>
    </cfRule>
  </conditionalFormatting>
  <conditionalFormatting sqref="G56:G59">
    <cfRule type="cellIs" dxfId="97" priority="1" stopIfTrue="1" operator="lessThan">
      <formula>0</formula>
    </cfRule>
  </conditionalFormatting>
  <conditionalFormatting sqref="G60:G64">
    <cfRule type="cellIs" dxfId="96" priority="4" stopIfTrue="1" operator="lessThan">
      <formula>0</formula>
    </cfRule>
  </conditionalFormatting>
  <conditionalFormatting sqref="G53:G55">
    <cfRule type="cellIs" dxfId="95" priority="3" stopIfTrue="1" operator="lessThan">
      <formula>0</formula>
    </cfRule>
  </conditionalFormatting>
  <conditionalFormatting sqref="G53">
    <cfRule type="cellIs" dxfId="94" priority="2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dimension ref="A2:M130"/>
  <sheetViews>
    <sheetView workbookViewId="0">
      <selection sqref="A1:XFD1048576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43124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4636704</v>
      </c>
      <c r="D7" s="67">
        <f>+IF(C7/$F$120=0,"",C7/$F$120)</f>
        <v>8.0047126763226395E-5</v>
      </c>
      <c r="E7" s="68"/>
      <c r="F7" s="199" t="s">
        <v>5</v>
      </c>
      <c r="G7" s="218">
        <v>594895</v>
      </c>
      <c r="H7" s="200">
        <f>+IF(G7/$C$122=0,"",G7/$C$122)</f>
        <v>9.2106625920578282E-5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218">
        <v>35493</v>
      </c>
      <c r="H8" s="200">
        <f>+IF(G8/$C$122=0,"",G8/$C$122)</f>
        <v>5.4953235004481209E-6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218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218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218">
        <v>-35330.506799995201</v>
      </c>
      <c r="H11" s="200">
        <f t="shared" si="0"/>
        <v>-5.4701649424042988E-6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218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218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219">
        <v>1795633</v>
      </c>
      <c r="H14" s="200">
        <f t="shared" si="0"/>
        <v>2.7801493880709325E-4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218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218"/>
      <c r="H16" s="200" t="str">
        <f t="shared" si="0"/>
        <v/>
      </c>
      <c r="I16" s="74"/>
    </row>
    <row r="17" spans="2:9" ht="12.75" x14ac:dyDescent="0.2">
      <c r="B17" s="199" t="s">
        <v>15</v>
      </c>
      <c r="C17" s="218">
        <v>186504</v>
      </c>
      <c r="D17" s="67">
        <f>+IF(C17/$F$120=0,"",C17/$F$120)</f>
        <v>3.2197676042828648E-6</v>
      </c>
      <c r="E17" s="68"/>
      <c r="F17" s="199" t="s">
        <v>15</v>
      </c>
      <c r="G17" s="218">
        <v>494102</v>
      </c>
      <c r="H17" s="200">
        <f t="shared" si="0"/>
        <v>7.6501009557332917E-5</v>
      </c>
      <c r="I17" s="74"/>
    </row>
    <row r="18" spans="2:9" ht="12.75" x14ac:dyDescent="0.2">
      <c r="B18" s="199" t="s">
        <v>16</v>
      </c>
      <c r="C18" s="218">
        <v>-71499</v>
      </c>
      <c r="D18" s="67">
        <f>+IF(C18/$F$120=0,"",C18/$F$120)</f>
        <v>-1.2343443783437383E-6</v>
      </c>
      <c r="E18" s="75"/>
      <c r="F18" s="199" t="s">
        <v>16</v>
      </c>
      <c r="G18" s="218">
        <v>-64366</v>
      </c>
      <c r="H18" s="200">
        <f t="shared" si="0"/>
        <v>-9.9656831609005646E-6</v>
      </c>
    </row>
    <row r="19" spans="2:9" s="80" customFormat="1" x14ac:dyDescent="0.2">
      <c r="B19" s="201" t="s">
        <v>17</v>
      </c>
      <c r="C19" s="77">
        <f>SUM(C7:C18)</f>
        <v>4751709</v>
      </c>
      <c r="D19" s="78">
        <f>SUM(D7:D18)</f>
        <v>8.2032549989165528E-5</v>
      </c>
      <c r="E19" s="79"/>
      <c r="F19" s="201" t="s">
        <v>17</v>
      </c>
      <c r="G19" s="77">
        <f>SUM(G7:G18)</f>
        <v>2820426.493200005</v>
      </c>
      <c r="H19" s="78">
        <f>SUM(H7:H18)</f>
        <v>4.366820496821477E-4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2242.6763000000001</v>
      </c>
      <c r="D22" s="200">
        <f>+IF(C22/$F$121=0,"",C22/$F$121)</f>
        <v>5.3867250034052718E-5</v>
      </c>
      <c r="E22" s="75"/>
      <c r="F22" s="199" t="s">
        <v>5</v>
      </c>
      <c r="G22" s="66">
        <v>2771860</v>
      </c>
      <c r="H22" s="200">
        <f t="shared" ref="H22:H33" si="2">+IF(G22/$C$115=0,"",G22/$C$115)</f>
        <v>7.514215942206319E-5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264185</v>
      </c>
      <c r="H23" s="200">
        <f t="shared" si="2"/>
        <v>7.1617727399355539E-6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-15149.246903061408</v>
      </c>
      <c r="D26" s="200">
        <f>+IF(C26/$F$121=0,"",C26/$F$121)</f>
        <v>-3.638725172932035E-4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-60639.491524269877</v>
      </c>
      <c r="D27" s="200">
        <f t="shared" ref="D27:D33" si="3">+IF(C27/$F$121=0,"",C27/$F$121)</f>
        <v>-1.4565109783679731E-3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>
        <v>546.29622700437903</v>
      </c>
      <c r="D28" s="200">
        <f t="shared" si="3"/>
        <v>1.3121588457819126E-5</v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1027850</v>
      </c>
      <c r="H29" s="200">
        <f t="shared" si="2"/>
        <v>2.7863913964618578E-5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75666.840100000001</v>
      </c>
      <c r="D31" s="200">
        <f t="shared" si="3"/>
        <v>1.8174555975614432E-3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-122139</v>
      </c>
      <c r="H32" s="200">
        <f t="shared" si="2"/>
        <v>-3.3110576326551037E-6</v>
      </c>
    </row>
    <row r="33" spans="1:13" x14ac:dyDescent="0.2">
      <c r="B33" s="199" t="s">
        <v>16</v>
      </c>
      <c r="C33" s="71">
        <v>-200.73</v>
      </c>
      <c r="D33" s="200">
        <f t="shared" si="3"/>
        <v>-4.8213703865044641E-6</v>
      </c>
      <c r="E33" s="75"/>
      <c r="F33" s="199" t="s">
        <v>16</v>
      </c>
      <c r="G33" s="72">
        <v>-99582</v>
      </c>
      <c r="H33" s="200">
        <f t="shared" si="2"/>
        <v>-2.6995614928488079E-6</v>
      </c>
    </row>
    <row r="34" spans="1:13" s="80" customFormat="1" x14ac:dyDescent="0.2">
      <c r="B34" s="201" t="s">
        <v>17</v>
      </c>
      <c r="C34" s="203">
        <f>SUM(C22:C33)</f>
        <v>2466.344199673094</v>
      </c>
      <c r="D34" s="78">
        <f>SUM(D22:D33)</f>
        <v>5.9239570005634157E-5</v>
      </c>
      <c r="E34" s="79"/>
      <c r="F34" s="201" t="s">
        <v>17</v>
      </c>
      <c r="G34" s="203">
        <f>SUM(G22:G33)</f>
        <v>3842174</v>
      </c>
      <c r="H34" s="78">
        <f>SUM(H22:H33)</f>
        <v>1.0415722700111341E-4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4894391</v>
      </c>
      <c r="D37" s="200">
        <f t="shared" ref="D37:D48" si="4">+IF(C37/$C$123=0,"",C37/$C$123)</f>
        <v>5.6735841810842901E-5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1214598</v>
      </c>
      <c r="D38" s="200">
        <f t="shared" si="4"/>
        <v>1.4079635237921564E-5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-1613675</v>
      </c>
      <c r="H39" s="200">
        <f t="shared" si="5"/>
        <v>-2.9748877092323161E-4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66809366</v>
      </c>
      <c r="D44" s="200">
        <f t="shared" si="4"/>
        <v>7.7445500795884632E-4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28038927</v>
      </c>
      <c r="D45" s="200">
        <f t="shared" si="4"/>
        <v>3.2502759318120921E-4</v>
      </c>
      <c r="E45" s="68"/>
      <c r="F45" s="199" t="s">
        <v>13</v>
      </c>
      <c r="G45" s="72">
        <v>-9007165</v>
      </c>
      <c r="H45" s="200">
        <f t="shared" si="5"/>
        <v>-1.6605143200165769E-3</v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/>
      <c r="H46" s="200" t="str">
        <f t="shared" si="5"/>
        <v/>
      </c>
    </row>
    <row r="47" spans="1:13" x14ac:dyDescent="0.2">
      <c r="B47" s="199" t="s">
        <v>15</v>
      </c>
      <c r="C47" s="72">
        <v>2769714</v>
      </c>
      <c r="D47" s="200">
        <f t="shared" si="4"/>
        <v>3.2106559399377149E-5</v>
      </c>
      <c r="E47" s="68"/>
      <c r="F47" s="199" t="s">
        <v>15</v>
      </c>
      <c r="G47" s="72"/>
      <c r="H47" s="200" t="str">
        <f t="shared" si="5"/>
        <v/>
      </c>
    </row>
    <row r="48" spans="1:13" x14ac:dyDescent="0.2">
      <c r="B48" s="199" t="s">
        <v>16</v>
      </c>
      <c r="C48" s="72">
        <v>-290156</v>
      </c>
      <c r="D48" s="200">
        <f t="shared" si="4"/>
        <v>-3.3634919883734117E-6</v>
      </c>
      <c r="E48" s="68"/>
      <c r="F48" s="199" t="s">
        <v>16</v>
      </c>
      <c r="G48" s="72">
        <v>-16032</v>
      </c>
      <c r="H48" s="200">
        <f t="shared" si="5"/>
        <v>-2.9555765413985155E-6</v>
      </c>
    </row>
    <row r="49" spans="2:10" s="80" customFormat="1" x14ac:dyDescent="0.2">
      <c r="B49" s="201" t="s">
        <v>17</v>
      </c>
      <c r="C49" s="77">
        <f>SUM(C37:C48)</f>
        <v>103436840</v>
      </c>
      <c r="D49" s="78">
        <f>SUM(D37:D48)</f>
        <v>1.1990411455998237E-3</v>
      </c>
      <c r="E49" s="79"/>
      <c r="F49" s="201" t="s">
        <v>17</v>
      </c>
      <c r="G49" s="77">
        <f>SUM(G37:G48)</f>
        <v>-10636872</v>
      </c>
      <c r="H49" s="78">
        <f>SUM(H37:H48)</f>
        <v>-1.9609586674812071E-3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66">
        <v>12995.1059</v>
      </c>
      <c r="H53" s="200">
        <f t="shared" ref="H53:H64" si="7">+IF(G53/$C$124=0,"",G53/$C$124)</f>
        <v>1.265531261164613E-4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/>
      <c r="D55" s="200" t="str">
        <f t="shared" si="6"/>
        <v/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72">
        <v>-66743.263000000006</v>
      </c>
      <c r="H60" s="200">
        <f t="shared" si="7"/>
        <v>-6.4998074235494659E-4</v>
      </c>
    </row>
    <row r="61" spans="2:10" x14ac:dyDescent="0.2">
      <c r="B61" s="199" t="s">
        <v>13</v>
      </c>
      <c r="C61" s="72">
        <v>-12721130</v>
      </c>
      <c r="D61" s="200">
        <f t="shared" si="6"/>
        <v>-4.244188700472875E-4</v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-4242196</v>
      </c>
      <c r="D63" s="200">
        <f t="shared" si="6"/>
        <v>-1.4153365564530218E-4</v>
      </c>
      <c r="E63" s="68"/>
      <c r="F63" s="199" t="s">
        <v>15</v>
      </c>
      <c r="G63" s="72"/>
      <c r="H63" s="200" t="str">
        <f t="shared" si="7"/>
        <v/>
      </c>
    </row>
    <row r="64" spans="2:10" x14ac:dyDescent="0.2">
      <c r="B64" s="199" t="s">
        <v>16</v>
      </c>
      <c r="C64" s="72">
        <v>-246354</v>
      </c>
      <c r="D64" s="200">
        <f t="shared" si="6"/>
        <v>-8.2191822826768902E-6</v>
      </c>
      <c r="E64" s="68"/>
      <c r="F64" s="199" t="s">
        <v>16</v>
      </c>
      <c r="G64" s="72">
        <v>-109.56</v>
      </c>
      <c r="H64" s="200">
        <f t="shared" si="7"/>
        <v>-1.0669524822663816E-6</v>
      </c>
    </row>
    <row r="65" spans="2:8" s="80" customFormat="1" x14ac:dyDescent="0.2">
      <c r="B65" s="201" t="s">
        <v>17</v>
      </c>
      <c r="C65" s="77">
        <f>SUM(C53:C64)</f>
        <v>-17209680</v>
      </c>
      <c r="D65" s="78">
        <f>SUM(D53:D64)</f>
        <v>-5.7417170797526658E-4</v>
      </c>
      <c r="E65" s="79"/>
      <c r="F65" s="201" t="s">
        <v>17</v>
      </c>
      <c r="G65" s="203">
        <f>SUM(G53:G64)</f>
        <v>-53857.717100000002</v>
      </c>
      <c r="H65" s="78">
        <f>SUM(H53:H64)</f>
        <v>-5.2449456872075172E-4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-1144865</v>
      </c>
      <c r="D72" s="200">
        <f t="shared" si="8"/>
        <v>-7.3465830320374945E-5</v>
      </c>
      <c r="E72" s="68"/>
      <c r="F72" s="199" t="s">
        <v>9</v>
      </c>
      <c r="G72" s="66">
        <v>-730741</v>
      </c>
      <c r="H72" s="200">
        <f t="shared" si="9"/>
        <v>-1.2692464263510308E-4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66262067</v>
      </c>
      <c r="D76" s="200">
        <f t="shared" si="8"/>
        <v>4.2520277682515546E-3</v>
      </c>
      <c r="E76" s="68"/>
      <c r="F76" s="199" t="s">
        <v>13</v>
      </c>
      <c r="G76" s="72">
        <v>5201365</v>
      </c>
      <c r="H76" s="200">
        <f t="shared" si="9"/>
        <v>9.0344101923900931E-4</v>
      </c>
    </row>
    <row r="77" spans="2:8" x14ac:dyDescent="0.2">
      <c r="B77" s="199" t="s">
        <v>14</v>
      </c>
      <c r="C77" s="66">
        <v>-98875109</v>
      </c>
      <c r="D77" s="200">
        <f t="shared" si="8"/>
        <v>-6.344802208734286E-3</v>
      </c>
      <c r="E77" s="68"/>
      <c r="F77" s="199" t="s">
        <v>14</v>
      </c>
      <c r="G77" s="66">
        <v>-36853265</v>
      </c>
      <c r="H77" s="200">
        <f t="shared" si="9"/>
        <v>-6.4011564837086624E-3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-1.357128434746114E-6</v>
      </c>
      <c r="E79" s="68"/>
      <c r="F79" s="199" t="s">
        <v>16</v>
      </c>
      <c r="G79" s="72">
        <v>-16067</v>
      </c>
      <c r="H79" s="200">
        <f t="shared" si="9"/>
        <v>-2.7907264450991544E-6</v>
      </c>
    </row>
    <row r="80" spans="2:8" s="80" customFormat="1" x14ac:dyDescent="0.2">
      <c r="B80" s="201" t="s">
        <v>17</v>
      </c>
      <c r="C80" s="77">
        <f>SUM(C68:C79)</f>
        <v>-33779056</v>
      </c>
      <c r="D80" s="78">
        <f>SUM(D68:D79)</f>
        <v>-2.1675973992378523E-3</v>
      </c>
      <c r="E80" s="79"/>
      <c r="F80" s="201" t="s">
        <v>17</v>
      </c>
      <c r="G80" s="77">
        <f>SUM(G68:G79)</f>
        <v>-32398708</v>
      </c>
      <c r="H80" s="78">
        <f>SUM(H68:H79)</f>
        <v>-5.6274308335498551E-3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66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66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71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66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66">
        <v>-6.43</v>
      </c>
      <c r="D87" s="200">
        <f t="shared" si="10"/>
        <v>-1.0746675059691754E-7</v>
      </c>
      <c r="G87" s="90"/>
    </row>
    <row r="88" spans="2:7" ht="12.75" customHeight="1" x14ac:dyDescent="0.2">
      <c r="B88" s="199" t="s">
        <v>10</v>
      </c>
      <c r="C88" s="66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66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72">
        <v>51078.335500000001</v>
      </c>
      <c r="D90" s="200">
        <f t="shared" si="10"/>
        <v>8.5368938446099215E-4</v>
      </c>
      <c r="E90" s="100"/>
      <c r="G90" s="213"/>
    </row>
    <row r="91" spans="2:7" ht="12.75" customHeight="1" x14ac:dyDescent="0.2">
      <c r="B91" s="199" t="s">
        <v>13</v>
      </c>
      <c r="C91" s="72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66">
        <v>-641378.62309999997</v>
      </c>
      <c r="D92" s="200">
        <f t="shared" si="10"/>
        <v>-1.0719576442749934E-2</v>
      </c>
      <c r="G92" s="90"/>
    </row>
    <row r="93" spans="2:7" ht="12.75" customHeight="1" x14ac:dyDescent="0.2">
      <c r="B93" s="199" t="s">
        <v>15</v>
      </c>
      <c r="C93" s="72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72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-590306.71759999997</v>
      </c>
      <c r="D95" s="209">
        <f>SUM(D83:D94)</f>
        <v>-9.8659945250395391E-3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36888213239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29973054682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15583639292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5424322387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5757282312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57674536289</v>
      </c>
      <c r="D120" s="217">
        <v>250141179</v>
      </c>
      <c r="F120" s="204">
        <f>+C120+D120</f>
        <v>57924677468</v>
      </c>
      <c r="G120" s="197"/>
      <c r="H120" s="197"/>
    </row>
    <row r="121" spans="1:13" x14ac:dyDescent="0.2">
      <c r="B121" s="189" t="s">
        <v>18</v>
      </c>
      <c r="C121" s="192">
        <v>36633391.32</v>
      </c>
      <c r="D121" s="193">
        <v>5000000</v>
      </c>
      <c r="F121" s="204">
        <f>+C121+D121</f>
        <v>41633391.32</v>
      </c>
      <c r="H121" s="75"/>
    </row>
    <row r="122" spans="1:13" x14ac:dyDescent="0.2">
      <c r="B122" s="189" t="s">
        <v>4</v>
      </c>
      <c r="C122" s="190">
        <v>6458764438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86266297349</v>
      </c>
      <c r="D123" s="205"/>
      <c r="F123" s="204"/>
      <c r="H123" s="75"/>
    </row>
    <row r="124" spans="1:13" x14ac:dyDescent="0.2">
      <c r="B124" s="189" t="s">
        <v>25</v>
      </c>
      <c r="C124" s="192">
        <v>102684985.34</v>
      </c>
      <c r="D124" s="205"/>
      <c r="E124" s="206"/>
      <c r="F124" s="204"/>
      <c r="G124" s="197"/>
      <c r="H124" s="197"/>
    </row>
    <row r="125" spans="1:13" ht="15" x14ac:dyDescent="0.2">
      <c r="B125" s="195" t="s">
        <v>49</v>
      </c>
      <c r="C125" s="220">
        <v>59832459.474999994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93" priority="52" stopIfTrue="1" operator="lessThan">
      <formula>0</formula>
    </cfRule>
  </conditionalFormatting>
  <conditionalFormatting sqref="C7:C9">
    <cfRule type="cellIs" dxfId="92" priority="51" stopIfTrue="1" operator="lessThan">
      <formula>0</formula>
    </cfRule>
  </conditionalFormatting>
  <conditionalFormatting sqref="C10:C13">
    <cfRule type="cellIs" dxfId="91" priority="49" stopIfTrue="1" operator="lessThan">
      <formula>0</formula>
    </cfRule>
  </conditionalFormatting>
  <conditionalFormatting sqref="C104">
    <cfRule type="cellIs" dxfId="90" priority="48" stopIfTrue="1" operator="lessThan">
      <formula>0</formula>
    </cfRule>
  </conditionalFormatting>
  <conditionalFormatting sqref="C7">
    <cfRule type="cellIs" dxfId="89" priority="50" stopIfTrue="1" operator="lessThan">
      <formula>0</formula>
    </cfRule>
  </conditionalFormatting>
  <conditionalFormatting sqref="C29:C33">
    <cfRule type="cellIs" dxfId="88" priority="47" stopIfTrue="1" operator="lessThan">
      <formula>0</formula>
    </cfRule>
  </conditionalFormatting>
  <conditionalFormatting sqref="C22">
    <cfRule type="cellIs" dxfId="87" priority="45" stopIfTrue="1" operator="lessThan">
      <formula>0</formula>
    </cfRule>
  </conditionalFormatting>
  <conditionalFormatting sqref="C25:C28">
    <cfRule type="cellIs" dxfId="86" priority="44" stopIfTrue="1" operator="lessThan">
      <formula>0</formula>
    </cfRule>
  </conditionalFormatting>
  <conditionalFormatting sqref="C22:C24">
    <cfRule type="cellIs" dxfId="85" priority="46" stopIfTrue="1" operator="lessThan">
      <formula>0</formula>
    </cfRule>
  </conditionalFormatting>
  <conditionalFormatting sqref="G22">
    <cfRule type="cellIs" dxfId="84" priority="41" stopIfTrue="1" operator="lessThan">
      <formula>0</formula>
    </cfRule>
  </conditionalFormatting>
  <conditionalFormatting sqref="G29:G33">
    <cfRule type="cellIs" dxfId="83" priority="43" stopIfTrue="1" operator="lessThan">
      <formula>0</formula>
    </cfRule>
  </conditionalFormatting>
  <conditionalFormatting sqref="G22:G24">
    <cfRule type="cellIs" dxfId="82" priority="42" stopIfTrue="1" operator="lessThan">
      <formula>0</formula>
    </cfRule>
  </conditionalFormatting>
  <conditionalFormatting sqref="G25:G28">
    <cfRule type="cellIs" dxfId="81" priority="40" stopIfTrue="1" operator="lessThan">
      <formula>0</formula>
    </cfRule>
  </conditionalFormatting>
  <conditionalFormatting sqref="C40:C43">
    <cfRule type="cellIs" dxfId="80" priority="36" stopIfTrue="1" operator="lessThan">
      <formula>0</formula>
    </cfRule>
  </conditionalFormatting>
  <conditionalFormatting sqref="G44:G48">
    <cfRule type="cellIs" dxfId="79" priority="35" stopIfTrue="1" operator="lessThan">
      <formula>0</formula>
    </cfRule>
  </conditionalFormatting>
  <conditionalFormatting sqref="G37">
    <cfRule type="cellIs" dxfId="78" priority="33" stopIfTrue="1" operator="lessThan">
      <formula>0</formula>
    </cfRule>
  </conditionalFormatting>
  <conditionalFormatting sqref="C44:C48">
    <cfRule type="cellIs" dxfId="77" priority="39" stopIfTrue="1" operator="lessThan">
      <formula>0</formula>
    </cfRule>
  </conditionalFormatting>
  <conditionalFormatting sqref="C37:C39">
    <cfRule type="cellIs" dxfId="76" priority="38" stopIfTrue="1" operator="lessThan">
      <formula>0</formula>
    </cfRule>
  </conditionalFormatting>
  <conditionalFormatting sqref="C37">
    <cfRule type="cellIs" dxfId="75" priority="37" stopIfTrue="1" operator="lessThan">
      <formula>0</formula>
    </cfRule>
  </conditionalFormatting>
  <conditionalFormatting sqref="C56:C59">
    <cfRule type="cellIs" dxfId="74" priority="28" stopIfTrue="1" operator="lessThan">
      <formula>0</formula>
    </cfRule>
  </conditionalFormatting>
  <conditionalFormatting sqref="G37:G39">
    <cfRule type="cellIs" dxfId="73" priority="34" stopIfTrue="1" operator="lessThan">
      <formula>0</formula>
    </cfRule>
  </conditionalFormatting>
  <conditionalFormatting sqref="G40:G43">
    <cfRule type="cellIs" dxfId="72" priority="32" stopIfTrue="1" operator="lessThan">
      <formula>0</formula>
    </cfRule>
  </conditionalFormatting>
  <conditionalFormatting sqref="C60:C64">
    <cfRule type="cellIs" dxfId="71" priority="31" stopIfTrue="1" operator="lessThan">
      <formula>0</formula>
    </cfRule>
  </conditionalFormatting>
  <conditionalFormatting sqref="C53:C55">
    <cfRule type="cellIs" dxfId="70" priority="30" stopIfTrue="1" operator="lessThan">
      <formula>0</formula>
    </cfRule>
  </conditionalFormatting>
  <conditionalFormatting sqref="C53">
    <cfRule type="cellIs" dxfId="69" priority="29" stopIfTrue="1" operator="lessThan">
      <formula>0</formula>
    </cfRule>
  </conditionalFormatting>
  <conditionalFormatting sqref="C75:C78">
    <cfRule type="cellIs" dxfId="68" priority="27" stopIfTrue="1" operator="lessThan">
      <formula>0</formula>
    </cfRule>
  </conditionalFormatting>
  <conditionalFormatting sqref="C68:C70">
    <cfRule type="cellIs" dxfId="67" priority="26" stopIfTrue="1" operator="lessThan">
      <formula>0</formula>
    </cfRule>
  </conditionalFormatting>
  <conditionalFormatting sqref="C68">
    <cfRule type="cellIs" dxfId="66" priority="25" stopIfTrue="1" operator="lessThan">
      <formula>0</formula>
    </cfRule>
  </conditionalFormatting>
  <conditionalFormatting sqref="C71:C74">
    <cfRule type="cellIs" dxfId="65" priority="24" stopIfTrue="1" operator="lessThan">
      <formula>0</formula>
    </cfRule>
  </conditionalFormatting>
  <conditionalFormatting sqref="G75:G79">
    <cfRule type="cellIs" dxfId="64" priority="23" stopIfTrue="1" operator="lessThan">
      <formula>0</formula>
    </cfRule>
  </conditionalFormatting>
  <conditionalFormatting sqref="G68:G70">
    <cfRule type="cellIs" dxfId="63" priority="22" stopIfTrue="1" operator="lessThan">
      <formula>0</formula>
    </cfRule>
  </conditionalFormatting>
  <conditionalFormatting sqref="G68">
    <cfRule type="cellIs" dxfId="62" priority="21" stopIfTrue="1" operator="lessThan">
      <formula>0</formula>
    </cfRule>
  </conditionalFormatting>
  <conditionalFormatting sqref="G71:G74">
    <cfRule type="cellIs" dxfId="61" priority="20" stopIfTrue="1" operator="lessThan">
      <formula>0</formula>
    </cfRule>
  </conditionalFormatting>
  <conditionalFormatting sqref="C79">
    <cfRule type="cellIs" dxfId="60" priority="19" stopIfTrue="1" operator="lessThan">
      <formula>0</formula>
    </cfRule>
  </conditionalFormatting>
  <conditionalFormatting sqref="G14:G18">
    <cfRule type="cellIs" dxfId="59" priority="13" stopIfTrue="1" operator="lessThan">
      <formula>0</formula>
    </cfRule>
  </conditionalFormatting>
  <conditionalFormatting sqref="G7:G9">
    <cfRule type="cellIs" dxfId="58" priority="12" stopIfTrue="1" operator="lessThan">
      <formula>0</formula>
    </cfRule>
  </conditionalFormatting>
  <conditionalFormatting sqref="G10:G13">
    <cfRule type="cellIs" dxfId="57" priority="10" stopIfTrue="1" operator="lessThan">
      <formula>0</formula>
    </cfRule>
  </conditionalFormatting>
  <conditionalFormatting sqref="G7">
    <cfRule type="cellIs" dxfId="56" priority="11" stopIfTrue="1" operator="lessThan">
      <formula>0</formula>
    </cfRule>
  </conditionalFormatting>
  <conditionalFormatting sqref="G56:G59">
    <cfRule type="cellIs" dxfId="55" priority="6" stopIfTrue="1" operator="lessThan">
      <formula>0</formula>
    </cfRule>
  </conditionalFormatting>
  <conditionalFormatting sqref="G60:G64">
    <cfRule type="cellIs" dxfId="54" priority="9" stopIfTrue="1" operator="lessThan">
      <formula>0</formula>
    </cfRule>
  </conditionalFormatting>
  <conditionalFormatting sqref="G53:G55">
    <cfRule type="cellIs" dxfId="53" priority="8" stopIfTrue="1" operator="lessThan">
      <formula>0</formula>
    </cfRule>
  </conditionalFormatting>
  <conditionalFormatting sqref="G53">
    <cfRule type="cellIs" dxfId="52" priority="7" stopIfTrue="1" operator="lessThan">
      <formula>0</formula>
    </cfRule>
  </conditionalFormatting>
  <conditionalFormatting sqref="C90:C93">
    <cfRule type="cellIs" dxfId="51" priority="5" stopIfTrue="1" operator="lessThan">
      <formula>0</formula>
    </cfRule>
  </conditionalFormatting>
  <conditionalFormatting sqref="C83:C85">
    <cfRule type="cellIs" dxfId="50" priority="4" stopIfTrue="1" operator="lessThan">
      <formula>0</formula>
    </cfRule>
  </conditionalFormatting>
  <conditionalFormatting sqref="C83">
    <cfRule type="cellIs" dxfId="49" priority="3" stopIfTrue="1" operator="lessThan">
      <formula>0</formula>
    </cfRule>
  </conditionalFormatting>
  <conditionalFormatting sqref="C86:C89">
    <cfRule type="cellIs" dxfId="48" priority="2" stopIfTrue="1" operator="lessThan">
      <formula>0</formula>
    </cfRule>
  </conditionalFormatting>
  <conditionalFormatting sqref="C94">
    <cfRule type="cellIs" dxfId="47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dimension ref="A2:M130"/>
  <sheetViews>
    <sheetView tabSelected="1" topLeftCell="A19" workbookViewId="0">
      <selection activeCell="M43" sqref="M43"/>
    </sheetView>
  </sheetViews>
  <sheetFormatPr baseColWidth="10" defaultRowHeight="12" x14ac:dyDescent="0.2"/>
  <cols>
    <col min="1" max="1" width="3" style="58" customWidth="1"/>
    <col min="2" max="2" width="35.28515625" style="58" customWidth="1"/>
    <col min="3" max="3" width="20.5703125" style="58" customWidth="1"/>
    <col min="4" max="4" width="16.5703125" style="58" customWidth="1"/>
    <col min="5" max="5" width="4.28515625" style="59" customWidth="1"/>
    <col min="6" max="6" width="35.28515625" style="58" customWidth="1"/>
    <col min="7" max="7" width="15.7109375" style="58" customWidth="1"/>
    <col min="8" max="8" width="16.42578125" style="58" customWidth="1"/>
    <col min="9" max="9" width="13" style="58" customWidth="1"/>
    <col min="10" max="10" width="14.42578125" style="58" customWidth="1"/>
    <col min="11" max="16384" width="11.42578125" style="58"/>
  </cols>
  <sheetData>
    <row r="2" spans="1:10" ht="14.25" customHeight="1" x14ac:dyDescent="0.2">
      <c r="B2" s="221" t="s">
        <v>0</v>
      </c>
      <c r="C2" s="221"/>
      <c r="D2" s="221"/>
      <c r="E2" s="221"/>
      <c r="F2" s="221"/>
      <c r="G2" s="221"/>
      <c r="H2" s="221"/>
    </row>
    <row r="3" spans="1:10" ht="7.5" customHeight="1" x14ac:dyDescent="0.2"/>
    <row r="4" spans="1:10" x14ac:dyDescent="0.2">
      <c r="A4" s="60"/>
      <c r="B4" s="222">
        <v>43125</v>
      </c>
      <c r="C4" s="222"/>
      <c r="D4" s="222"/>
      <c r="E4" s="222"/>
      <c r="F4" s="222"/>
      <c r="G4" s="222"/>
      <c r="H4" s="222"/>
    </row>
    <row r="5" spans="1:10" x14ac:dyDescent="0.2">
      <c r="A5" s="60"/>
      <c r="B5" s="61"/>
      <c r="C5" s="61"/>
      <c r="D5" s="61"/>
      <c r="E5" s="61"/>
      <c r="F5" s="61"/>
      <c r="G5" s="61"/>
      <c r="H5" s="61"/>
    </row>
    <row r="6" spans="1:10" s="197" customFormat="1" ht="24" x14ac:dyDescent="0.2">
      <c r="B6" s="198" t="s">
        <v>1</v>
      </c>
      <c r="C6" s="198" t="s">
        <v>2</v>
      </c>
      <c r="D6" s="198" t="s">
        <v>3</v>
      </c>
      <c r="E6" s="64"/>
      <c r="F6" s="198" t="s">
        <v>4</v>
      </c>
      <c r="G6" s="198" t="s">
        <v>2</v>
      </c>
      <c r="H6" s="198" t="s">
        <v>3</v>
      </c>
    </row>
    <row r="7" spans="1:10" ht="12.75" x14ac:dyDescent="0.2">
      <c r="B7" s="199" t="s">
        <v>5</v>
      </c>
      <c r="C7" s="218">
        <v>4632265</v>
      </c>
      <c r="D7" s="67">
        <f>+IF(C7/$F$120=0,"",C7/$F$120)</f>
        <v>8.0131748883058873E-5</v>
      </c>
      <c r="E7" s="68"/>
      <c r="F7" s="199" t="s">
        <v>5</v>
      </c>
      <c r="G7" s="218">
        <v>565458</v>
      </c>
      <c r="H7" s="200">
        <f>+IF(G7/$C$122=0,"",G7/$C$122)</f>
        <v>8.7512523931711491E-5</v>
      </c>
      <c r="I7" s="70"/>
    </row>
    <row r="8" spans="1:10" ht="12.75" x14ac:dyDescent="0.2">
      <c r="B8" s="199" t="s">
        <v>6</v>
      </c>
      <c r="C8" s="218"/>
      <c r="D8" s="67" t="str">
        <f>+IF(C8/$F$120=0,"",C8/$F$120)</f>
        <v/>
      </c>
      <c r="E8" s="68"/>
      <c r="F8" s="199" t="s">
        <v>6</v>
      </c>
      <c r="G8" s="218">
        <v>35139</v>
      </c>
      <c r="H8" s="200">
        <f>+IF(G8/$C$122=0,"",G8/$C$122)</f>
        <v>5.4382510786590872E-6</v>
      </c>
    </row>
    <row r="9" spans="1:10" ht="12.75" x14ac:dyDescent="0.2">
      <c r="B9" s="199" t="s">
        <v>7</v>
      </c>
      <c r="C9" s="218"/>
      <c r="D9" s="67" t="str">
        <f>+IF(C9/$F$120=0,"",C9/$F$120)</f>
        <v/>
      </c>
      <c r="E9" s="68"/>
      <c r="F9" s="199" t="s">
        <v>7</v>
      </c>
      <c r="G9" s="218"/>
      <c r="H9" s="200" t="str">
        <f t="shared" ref="H9:H18" si="0">+IF(G9/$C$122=0,"",G9/$C$122)</f>
        <v/>
      </c>
    </row>
    <row r="10" spans="1:10" ht="12.75" x14ac:dyDescent="0.2">
      <c r="B10" s="199" t="s">
        <v>8</v>
      </c>
      <c r="C10" s="218"/>
      <c r="D10" s="67" t="str">
        <f>+IF(C10/$F$120=0,"",C10/$F$120)</f>
        <v/>
      </c>
      <c r="E10" s="68"/>
      <c r="F10" s="199" t="s">
        <v>8</v>
      </c>
      <c r="G10" s="218"/>
      <c r="H10" s="200" t="str">
        <f t="shared" si="0"/>
        <v/>
      </c>
    </row>
    <row r="11" spans="1:10" ht="12.75" x14ac:dyDescent="0.2">
      <c r="B11" s="199" t="s">
        <v>9</v>
      </c>
      <c r="C11" s="218"/>
      <c r="D11" s="67" t="str">
        <f t="shared" ref="D11:D14" si="1">+IF(C11/$F$120=0,"",C11/$F$120)</f>
        <v/>
      </c>
      <c r="E11" s="68"/>
      <c r="F11" s="199" t="s">
        <v>9</v>
      </c>
      <c r="G11" s="218">
        <v>-9902</v>
      </c>
      <c r="H11" s="200">
        <f t="shared" si="0"/>
        <v>-1.5324728131387426E-6</v>
      </c>
    </row>
    <row r="12" spans="1:10" ht="12.75" x14ac:dyDescent="0.2">
      <c r="B12" s="199" t="s">
        <v>10</v>
      </c>
      <c r="C12" s="218"/>
      <c r="D12" s="67" t="str">
        <f t="shared" si="1"/>
        <v/>
      </c>
      <c r="E12" s="68"/>
      <c r="F12" s="199" t="s">
        <v>10</v>
      </c>
      <c r="G12" s="218"/>
      <c r="H12" s="200" t="str">
        <f t="shared" si="0"/>
        <v/>
      </c>
    </row>
    <row r="13" spans="1:10" ht="12.75" x14ac:dyDescent="0.2">
      <c r="B13" s="199" t="s">
        <v>11</v>
      </c>
      <c r="C13" s="218"/>
      <c r="D13" s="67" t="str">
        <f t="shared" si="1"/>
        <v/>
      </c>
      <c r="E13" s="68"/>
      <c r="F13" s="199" t="s">
        <v>11</v>
      </c>
      <c r="G13" s="218"/>
      <c r="H13" s="200" t="str">
        <f t="shared" si="0"/>
        <v/>
      </c>
    </row>
    <row r="14" spans="1:10" ht="12.75" x14ac:dyDescent="0.2">
      <c r="B14" s="199" t="s">
        <v>12</v>
      </c>
      <c r="C14" s="219"/>
      <c r="D14" s="67" t="str">
        <f t="shared" si="1"/>
        <v/>
      </c>
      <c r="E14" s="68"/>
      <c r="F14" s="199" t="s">
        <v>12</v>
      </c>
      <c r="G14" s="219">
        <v>3571385</v>
      </c>
      <c r="H14" s="200">
        <f t="shared" si="0"/>
        <v>5.5272171457801541E-4</v>
      </c>
      <c r="J14" s="74"/>
    </row>
    <row r="15" spans="1:10" ht="12.75" x14ac:dyDescent="0.2">
      <c r="B15" s="199" t="s">
        <v>13</v>
      </c>
      <c r="C15" s="218"/>
      <c r="D15" s="67" t="str">
        <f>+IF(C15/$F$120=0,"",C15/$F$120)</f>
        <v/>
      </c>
      <c r="E15" s="68"/>
      <c r="F15" s="199" t="s">
        <v>13</v>
      </c>
      <c r="G15" s="218"/>
      <c r="H15" s="200" t="str">
        <f t="shared" si="0"/>
        <v/>
      </c>
      <c r="I15" s="74"/>
    </row>
    <row r="16" spans="1:10" ht="12.75" x14ac:dyDescent="0.2">
      <c r="B16" s="199" t="s">
        <v>14</v>
      </c>
      <c r="C16" s="218"/>
      <c r="D16" s="67" t="str">
        <f>+IF(C16/$F$120=0,"",C16/$F$120)</f>
        <v/>
      </c>
      <c r="E16" s="68"/>
      <c r="F16" s="199" t="s">
        <v>14</v>
      </c>
      <c r="G16" s="218"/>
      <c r="H16" s="200" t="str">
        <f t="shared" si="0"/>
        <v/>
      </c>
      <c r="I16" s="74"/>
    </row>
    <row r="17" spans="2:9" ht="12.75" x14ac:dyDescent="0.2">
      <c r="B17" s="199" t="s">
        <v>15</v>
      </c>
      <c r="C17" s="218"/>
      <c r="D17" s="67" t="str">
        <f>+IF(C17/$F$120=0,"",C17/$F$120)</f>
        <v/>
      </c>
      <c r="E17" s="68"/>
      <c r="F17" s="199" t="s">
        <v>15</v>
      </c>
      <c r="G17" s="218">
        <v>515610</v>
      </c>
      <c r="H17" s="200">
        <f t="shared" si="0"/>
        <v>7.9797849644765414E-5</v>
      </c>
      <c r="I17" s="74"/>
    </row>
    <row r="18" spans="2:9" ht="12.75" x14ac:dyDescent="0.2">
      <c r="B18" s="199" t="s">
        <v>16</v>
      </c>
      <c r="C18" s="218">
        <v>-87842</v>
      </c>
      <c r="D18" s="67">
        <f>+IF(C18/$F$120=0,"",C18/$F$120)</f>
        <v>-1.5195445608974567E-6</v>
      </c>
      <c r="E18" s="75"/>
      <c r="F18" s="199" t="s">
        <v>16</v>
      </c>
      <c r="G18" s="218">
        <v>-43860</v>
      </c>
      <c r="H18" s="200">
        <f t="shared" si="0"/>
        <v>-6.7879476453509645E-6</v>
      </c>
    </row>
    <row r="19" spans="2:9" s="80" customFormat="1" x14ac:dyDescent="0.2">
      <c r="B19" s="201" t="s">
        <v>17</v>
      </c>
      <c r="C19" s="77">
        <f>SUM(C7:C18)</f>
        <v>4544423</v>
      </c>
      <c r="D19" s="78">
        <f>SUM(D7:D18)</f>
        <v>7.8612204322161416E-5</v>
      </c>
      <c r="E19" s="79"/>
      <c r="F19" s="201" t="s">
        <v>17</v>
      </c>
      <c r="G19" s="77">
        <f>SUM(G7:G18)</f>
        <v>4633830</v>
      </c>
      <c r="H19" s="78">
        <f>SUM(H7:H18)</f>
        <v>7.1714991877466175E-4</v>
      </c>
    </row>
    <row r="20" spans="2:9" ht="6" customHeight="1" x14ac:dyDescent="0.2"/>
    <row r="21" spans="2:9" ht="24" x14ac:dyDescent="0.2">
      <c r="B21" s="198" t="s">
        <v>18</v>
      </c>
      <c r="C21" s="198" t="s">
        <v>2</v>
      </c>
      <c r="D21" s="198" t="s">
        <v>3</v>
      </c>
      <c r="E21" s="81"/>
      <c r="F21" s="198" t="s">
        <v>19</v>
      </c>
      <c r="G21" s="198" t="s">
        <v>2</v>
      </c>
      <c r="H21" s="198" t="s">
        <v>3</v>
      </c>
    </row>
    <row r="22" spans="2:9" x14ac:dyDescent="0.2">
      <c r="B22" s="199" t="s">
        <v>43</v>
      </c>
      <c r="C22" s="71">
        <v>2345.1266000000001</v>
      </c>
      <c r="D22" s="200">
        <f>+IF(C22/$F$121=0,"",C22/$F$121)</f>
        <v>5.6619539898651646E-5</v>
      </c>
      <c r="E22" s="75"/>
      <c r="F22" s="199" t="s">
        <v>5</v>
      </c>
      <c r="G22" s="66">
        <v>2943948</v>
      </c>
      <c r="H22" s="200">
        <f t="shared" ref="H22:H33" si="2">+IF(G22/$C$115=0,"",G22/$C$115)</f>
        <v>7.9328559033102697E-5</v>
      </c>
      <c r="I22" s="114"/>
    </row>
    <row r="23" spans="2:9" x14ac:dyDescent="0.2">
      <c r="B23" s="199" t="s">
        <v>44</v>
      </c>
      <c r="C23" s="71"/>
      <c r="D23" s="200" t="str">
        <f>+IF(C23/$F$121=0,"",C23/$F$121)</f>
        <v/>
      </c>
      <c r="E23" s="75"/>
      <c r="F23" s="199" t="s">
        <v>6</v>
      </c>
      <c r="G23" s="66">
        <v>262921</v>
      </c>
      <c r="H23" s="200">
        <f t="shared" si="2"/>
        <v>7.0847528793111815E-6</v>
      </c>
      <c r="I23" s="114"/>
    </row>
    <row r="24" spans="2:9" x14ac:dyDescent="0.2">
      <c r="B24" s="199" t="s">
        <v>45</v>
      </c>
      <c r="C24" s="71"/>
      <c r="D24" s="200" t="str">
        <f>+IF(C24/$F$121=0,"",C24/$F$121)</f>
        <v/>
      </c>
      <c r="E24" s="75"/>
      <c r="F24" s="199" t="s">
        <v>7</v>
      </c>
      <c r="G24" s="71"/>
      <c r="H24" s="200" t="str">
        <f t="shared" si="2"/>
        <v/>
      </c>
      <c r="I24" s="114"/>
    </row>
    <row r="25" spans="2:9" x14ac:dyDescent="0.2">
      <c r="B25" s="199" t="s">
        <v>8</v>
      </c>
      <c r="C25" s="71"/>
      <c r="D25" s="200" t="str">
        <f>+IF(C25/$F$121=0,"",C25/$F$121)</f>
        <v/>
      </c>
      <c r="E25" s="75"/>
      <c r="F25" s="199" t="s">
        <v>8</v>
      </c>
      <c r="G25" s="66"/>
      <c r="H25" s="200" t="str">
        <f t="shared" si="2"/>
        <v/>
      </c>
      <c r="I25" s="114"/>
    </row>
    <row r="26" spans="2:9" x14ac:dyDescent="0.2">
      <c r="B26" s="199" t="s">
        <v>9</v>
      </c>
      <c r="C26" s="71">
        <v>-12699.846903061411</v>
      </c>
      <c r="D26" s="200">
        <f>+IF(C26/$F$121=0,"",C26/$F$121)</f>
        <v>-3.0661862282175005E-4</v>
      </c>
      <c r="E26" s="75"/>
      <c r="F26" s="199" t="s">
        <v>9</v>
      </c>
      <c r="G26" s="66"/>
      <c r="H26" s="200" t="str">
        <f t="shared" si="2"/>
        <v/>
      </c>
      <c r="I26" s="114"/>
    </row>
    <row r="27" spans="2:9" x14ac:dyDescent="0.2">
      <c r="B27" s="199" t="s">
        <v>10</v>
      </c>
      <c r="C27" s="71">
        <v>-90715.82634602749</v>
      </c>
      <c r="D27" s="200">
        <f t="shared" ref="D27:D33" si="3">+IF(C27/$F$121=0,"",C27/$F$121)</f>
        <v>-2.1901966184845021E-3</v>
      </c>
      <c r="E27" s="75"/>
      <c r="F27" s="199" t="s">
        <v>10</v>
      </c>
      <c r="G27" s="66"/>
      <c r="H27" s="200" t="str">
        <f t="shared" si="2"/>
        <v/>
      </c>
      <c r="I27" s="114"/>
    </row>
    <row r="28" spans="2:9" x14ac:dyDescent="0.2">
      <c r="B28" s="199" t="s">
        <v>11</v>
      </c>
      <c r="C28" s="71"/>
      <c r="D28" s="200" t="str">
        <f t="shared" si="3"/>
        <v/>
      </c>
      <c r="E28" s="75"/>
      <c r="F28" s="199" t="s">
        <v>11</v>
      </c>
      <c r="G28" s="66"/>
      <c r="H28" s="200" t="str">
        <f t="shared" si="2"/>
        <v/>
      </c>
      <c r="I28" s="114"/>
    </row>
    <row r="29" spans="2:9" x14ac:dyDescent="0.2">
      <c r="B29" s="199" t="s">
        <v>12</v>
      </c>
      <c r="C29" s="71"/>
      <c r="D29" s="200" t="str">
        <f t="shared" si="3"/>
        <v/>
      </c>
      <c r="E29" s="75"/>
      <c r="F29" s="199" t="s">
        <v>12</v>
      </c>
      <c r="G29" s="72">
        <v>5581902</v>
      </c>
      <c r="H29" s="200">
        <f t="shared" si="2"/>
        <v>1.5041170643095394E-4</v>
      </c>
      <c r="I29" s="114"/>
    </row>
    <row r="30" spans="2:9" x14ac:dyDescent="0.2">
      <c r="B30" s="199" t="s">
        <v>13</v>
      </c>
      <c r="C30" s="71"/>
      <c r="D30" s="200" t="str">
        <f t="shared" si="3"/>
        <v/>
      </c>
      <c r="E30" s="75"/>
      <c r="F30" s="199" t="s">
        <v>13</v>
      </c>
      <c r="G30" s="72"/>
      <c r="H30" s="200" t="str">
        <f t="shared" si="2"/>
        <v/>
      </c>
      <c r="I30" s="114"/>
    </row>
    <row r="31" spans="2:9" x14ac:dyDescent="0.2">
      <c r="B31" s="199" t="s">
        <v>14</v>
      </c>
      <c r="C31" s="71">
        <v>103141.96309999999</v>
      </c>
      <c r="D31" s="200">
        <f t="shared" si="3"/>
        <v>2.4902069231425312E-3</v>
      </c>
      <c r="E31" s="75"/>
      <c r="F31" s="199" t="s">
        <v>14</v>
      </c>
      <c r="G31" s="66"/>
      <c r="H31" s="200" t="str">
        <f t="shared" si="2"/>
        <v/>
      </c>
    </row>
    <row r="32" spans="2:9" x14ac:dyDescent="0.2">
      <c r="B32" s="199" t="s">
        <v>15</v>
      </c>
      <c r="C32" s="71"/>
      <c r="D32" s="200" t="str">
        <f t="shared" si="3"/>
        <v/>
      </c>
      <c r="E32" s="75"/>
      <c r="F32" s="199" t="s">
        <v>15</v>
      </c>
      <c r="G32" s="72">
        <v>833</v>
      </c>
      <c r="H32" s="200">
        <f t="shared" si="2"/>
        <v>2.2446282908045434E-8</v>
      </c>
    </row>
    <row r="33" spans="1:13" x14ac:dyDescent="0.2">
      <c r="B33" s="199" t="s">
        <v>16</v>
      </c>
      <c r="C33" s="71">
        <v>-152.53</v>
      </c>
      <c r="D33" s="200">
        <f t="shared" si="3"/>
        <v>-3.6826064830535524E-6</v>
      </c>
      <c r="E33" s="75"/>
      <c r="F33" s="199" t="s">
        <v>16</v>
      </c>
      <c r="G33" s="72">
        <v>-49463</v>
      </c>
      <c r="H33" s="200">
        <f t="shared" si="2"/>
        <v>-1.3328457280680087E-6</v>
      </c>
    </row>
    <row r="34" spans="1:13" s="80" customFormat="1" x14ac:dyDescent="0.2">
      <c r="B34" s="201" t="s">
        <v>17</v>
      </c>
      <c r="C34" s="203">
        <f>SUM(C22:C33)</f>
        <v>1918.8864509110851</v>
      </c>
      <c r="D34" s="78">
        <f>SUM(D22:D33)</f>
        <v>4.632861525187719E-5</v>
      </c>
      <c r="E34" s="79"/>
      <c r="F34" s="201" t="s">
        <v>17</v>
      </c>
      <c r="G34" s="203">
        <f>SUM(G22:G33)</f>
        <v>8740141</v>
      </c>
      <c r="H34" s="78">
        <f>SUM(H22:H33)</f>
        <v>2.3551461889820786E-4</v>
      </c>
      <c r="I34" s="115"/>
    </row>
    <row r="35" spans="1:13" ht="6.75" customHeight="1" x14ac:dyDescent="0.2">
      <c r="C35" s="84"/>
      <c r="G35" s="84"/>
    </row>
    <row r="36" spans="1:13" ht="24" x14ac:dyDescent="0.2">
      <c r="A36" s="58" t="s">
        <v>20</v>
      </c>
      <c r="B36" s="198" t="s">
        <v>21</v>
      </c>
      <c r="C36" s="198" t="s">
        <v>2</v>
      </c>
      <c r="D36" s="198" t="s">
        <v>3</v>
      </c>
      <c r="E36" s="85"/>
      <c r="F36" s="198" t="s">
        <v>22</v>
      </c>
      <c r="G36" s="198" t="s">
        <v>2</v>
      </c>
      <c r="H36" s="198" t="s">
        <v>3</v>
      </c>
    </row>
    <row r="37" spans="1:13" x14ac:dyDescent="0.2">
      <c r="B37" s="199" t="s">
        <v>5</v>
      </c>
      <c r="C37" s="66">
        <v>5154170</v>
      </c>
      <c r="D37" s="200">
        <f t="shared" ref="D37:D48" si="4">+IF(C37/$C$123=0,"",C37/$C$123)</f>
        <v>5.9749815412279751E-5</v>
      </c>
      <c r="E37" s="68"/>
      <c r="F37" s="199" t="s">
        <v>5</v>
      </c>
      <c r="G37" s="66"/>
      <c r="H37" s="200" t="str">
        <f t="shared" ref="H37:H48" si="5">+IF(G37/$C$118=0,"",G37/$C$118)</f>
        <v/>
      </c>
      <c r="K37" s="86"/>
      <c r="M37" s="87"/>
    </row>
    <row r="38" spans="1:13" x14ac:dyDescent="0.2">
      <c r="B38" s="199" t="s">
        <v>6</v>
      </c>
      <c r="C38" s="66">
        <v>1202433</v>
      </c>
      <c r="D38" s="200">
        <f t="shared" si="4"/>
        <v>1.3939227808868117E-5</v>
      </c>
      <c r="E38" s="68"/>
      <c r="F38" s="199" t="s">
        <v>6</v>
      </c>
      <c r="G38" s="66"/>
      <c r="H38" s="200" t="str">
        <f t="shared" si="5"/>
        <v/>
      </c>
    </row>
    <row r="39" spans="1:13" x14ac:dyDescent="0.2">
      <c r="B39" s="199" t="s">
        <v>7</v>
      </c>
      <c r="C39" s="71"/>
      <c r="D39" s="200" t="str">
        <f t="shared" si="4"/>
        <v/>
      </c>
      <c r="E39" s="68"/>
      <c r="F39" s="199" t="s">
        <v>7</v>
      </c>
      <c r="G39" s="71">
        <v>-1282121</v>
      </c>
      <c r="H39" s="200">
        <f t="shared" si="5"/>
        <v>-2.4126604605544119E-4</v>
      </c>
    </row>
    <row r="40" spans="1:13" x14ac:dyDescent="0.2">
      <c r="B40" s="199" t="s">
        <v>8</v>
      </c>
      <c r="C40" s="66"/>
      <c r="D40" s="200" t="str">
        <f t="shared" si="4"/>
        <v/>
      </c>
      <c r="E40" s="68"/>
      <c r="F40" s="199" t="s">
        <v>8</v>
      </c>
      <c r="G40" s="66"/>
      <c r="H40" s="200" t="str">
        <f t="shared" si="5"/>
        <v/>
      </c>
    </row>
    <row r="41" spans="1:13" x14ac:dyDescent="0.2">
      <c r="B41" s="199" t="s">
        <v>9</v>
      </c>
      <c r="C41" s="66"/>
      <c r="D41" s="200" t="str">
        <f t="shared" si="4"/>
        <v/>
      </c>
      <c r="E41" s="68"/>
      <c r="F41" s="199" t="s">
        <v>9</v>
      </c>
      <c r="G41" s="66"/>
      <c r="H41" s="200" t="str">
        <f t="shared" si="5"/>
        <v/>
      </c>
    </row>
    <row r="42" spans="1:13" x14ac:dyDescent="0.2">
      <c r="B42" s="199" t="s">
        <v>10</v>
      </c>
      <c r="C42" s="66"/>
      <c r="D42" s="200" t="str">
        <f t="shared" si="4"/>
        <v/>
      </c>
      <c r="E42" s="68"/>
      <c r="F42" s="199" t="s">
        <v>10</v>
      </c>
      <c r="G42" s="66"/>
      <c r="H42" s="200" t="str">
        <f t="shared" si="5"/>
        <v/>
      </c>
    </row>
    <row r="43" spans="1:13" x14ac:dyDescent="0.2">
      <c r="B43" s="199" t="s">
        <v>11</v>
      </c>
      <c r="C43" s="66"/>
      <c r="D43" s="200" t="str">
        <f t="shared" si="4"/>
        <v/>
      </c>
      <c r="E43" s="68"/>
      <c r="F43" s="199" t="s">
        <v>11</v>
      </c>
      <c r="G43" s="66"/>
      <c r="H43" s="200" t="str">
        <f t="shared" si="5"/>
        <v/>
      </c>
    </row>
    <row r="44" spans="1:13" x14ac:dyDescent="0.2">
      <c r="B44" s="199" t="s">
        <v>12</v>
      </c>
      <c r="C44" s="72">
        <v>70311983</v>
      </c>
      <c r="D44" s="200">
        <f t="shared" si="4"/>
        <v>8.1509302283808106E-4</v>
      </c>
      <c r="E44" s="68"/>
      <c r="F44" s="199" t="s">
        <v>12</v>
      </c>
      <c r="G44" s="72"/>
      <c r="H44" s="200" t="str">
        <f t="shared" si="5"/>
        <v/>
      </c>
    </row>
    <row r="45" spans="1:13" x14ac:dyDescent="0.2">
      <c r="B45" s="199" t="s">
        <v>13</v>
      </c>
      <c r="C45" s="72">
        <v>30175831</v>
      </c>
      <c r="D45" s="200">
        <f t="shared" si="4"/>
        <v>3.4981390450104463E-4</v>
      </c>
      <c r="E45" s="68"/>
      <c r="F45" s="199" t="s">
        <v>13</v>
      </c>
      <c r="G45" s="72"/>
      <c r="H45" s="200" t="str">
        <f t="shared" si="5"/>
        <v/>
      </c>
    </row>
    <row r="46" spans="1:13" x14ac:dyDescent="0.2">
      <c r="B46" s="199" t="s">
        <v>14</v>
      </c>
      <c r="C46" s="66"/>
      <c r="D46" s="200" t="str">
        <f t="shared" si="4"/>
        <v/>
      </c>
      <c r="E46" s="68"/>
      <c r="F46" s="199" t="s">
        <v>14</v>
      </c>
      <c r="G46" s="66">
        <v>22387702</v>
      </c>
      <c r="H46" s="200">
        <f t="shared" si="5"/>
        <v>4.2128569314499121E-3</v>
      </c>
    </row>
    <row r="47" spans="1:13" x14ac:dyDescent="0.2">
      <c r="B47" s="199" t="s">
        <v>15</v>
      </c>
      <c r="C47" s="72">
        <v>8523787</v>
      </c>
      <c r="D47" s="200">
        <f t="shared" si="4"/>
        <v>9.8812165656854515E-5</v>
      </c>
      <c r="E47" s="68"/>
      <c r="F47" s="199" t="s">
        <v>15</v>
      </c>
      <c r="G47" s="72">
        <v>648960</v>
      </c>
      <c r="H47" s="200">
        <f t="shared" si="5"/>
        <v>1.2211952947353575E-4</v>
      </c>
    </row>
    <row r="48" spans="1:13" x14ac:dyDescent="0.2">
      <c r="B48" s="199" t="s">
        <v>16</v>
      </c>
      <c r="C48" s="72">
        <v>-346538</v>
      </c>
      <c r="D48" s="200">
        <f t="shared" si="4"/>
        <v>-4.0172484674235817E-6</v>
      </c>
      <c r="E48" s="68"/>
      <c r="F48" s="199" t="s">
        <v>16</v>
      </c>
      <c r="G48" s="72">
        <v>-43678</v>
      </c>
      <c r="H48" s="200">
        <f t="shared" si="5"/>
        <v>-8.2192073599992195E-6</v>
      </c>
    </row>
    <row r="49" spans="2:10" s="80" customFormat="1" x14ac:dyDescent="0.2">
      <c r="B49" s="201" t="s">
        <v>17</v>
      </c>
      <c r="C49" s="77">
        <f>SUM(C37:C48)</f>
        <v>115021666</v>
      </c>
      <c r="D49" s="78">
        <f>SUM(D37:D48)</f>
        <v>1.3333908877497045E-3</v>
      </c>
      <c r="E49" s="79"/>
      <c r="F49" s="201" t="s">
        <v>17</v>
      </c>
      <c r="G49" s="77">
        <f>SUM(G37:G48)</f>
        <v>21710863</v>
      </c>
      <c r="H49" s="78">
        <f>SUM(H37:H48)</f>
        <v>4.0854912075080074E-3</v>
      </c>
      <c r="I49" s="89"/>
    </row>
    <row r="50" spans="2:10" ht="4.5" customHeight="1" x14ac:dyDescent="0.2">
      <c r="C50" s="84"/>
      <c r="G50" s="90"/>
    </row>
    <row r="51" spans="2:10" ht="4.5" customHeight="1" x14ac:dyDescent="0.2">
      <c r="C51" s="84"/>
      <c r="G51" s="90"/>
    </row>
    <row r="52" spans="2:10" ht="24" x14ac:dyDescent="0.2">
      <c r="B52" s="198" t="s">
        <v>24</v>
      </c>
      <c r="C52" s="198" t="s">
        <v>2</v>
      </c>
      <c r="D52" s="198" t="s">
        <v>3</v>
      </c>
      <c r="E52" s="85"/>
      <c r="F52" s="198" t="s">
        <v>25</v>
      </c>
      <c r="G52" s="198" t="s">
        <v>2</v>
      </c>
      <c r="H52" s="198" t="s">
        <v>3</v>
      </c>
    </row>
    <row r="53" spans="2:10" x14ac:dyDescent="0.2">
      <c r="B53" s="199" t="s">
        <v>5</v>
      </c>
      <c r="C53" s="66"/>
      <c r="D53" s="200" t="str">
        <f t="shared" ref="D53:D64" si="6">+IF(C53/$C$116=0,"",C53/$C$116)</f>
        <v/>
      </c>
      <c r="E53" s="68"/>
      <c r="F53" s="199" t="s">
        <v>5</v>
      </c>
      <c r="G53" s="66">
        <v>13179.1397</v>
      </c>
      <c r="H53" s="200">
        <f t="shared" ref="H53:H64" si="7">+IF(G53/$C$124=0,"",G53/$C$124)</f>
        <v>1.2841445533223853E-4</v>
      </c>
    </row>
    <row r="54" spans="2:10" x14ac:dyDescent="0.2">
      <c r="B54" s="199" t="s">
        <v>6</v>
      </c>
      <c r="C54" s="66"/>
      <c r="D54" s="200" t="str">
        <f t="shared" si="6"/>
        <v/>
      </c>
      <c r="E54" s="68"/>
      <c r="F54" s="199" t="s">
        <v>6</v>
      </c>
      <c r="G54" s="66"/>
      <c r="H54" s="200" t="str">
        <f t="shared" si="7"/>
        <v/>
      </c>
    </row>
    <row r="55" spans="2:10" x14ac:dyDescent="0.2">
      <c r="B55" s="199" t="s">
        <v>7</v>
      </c>
      <c r="C55" s="71">
        <v>-3946594</v>
      </c>
      <c r="D55" s="200">
        <f t="shared" si="6"/>
        <v>-1.3197033533789666E-4</v>
      </c>
      <c r="E55" s="68"/>
      <c r="F55" s="199" t="s">
        <v>7</v>
      </c>
      <c r="G55" s="71"/>
      <c r="H55" s="200" t="str">
        <f t="shared" si="7"/>
        <v/>
      </c>
    </row>
    <row r="56" spans="2:10" x14ac:dyDescent="0.2">
      <c r="B56" s="199" t="s">
        <v>8</v>
      </c>
      <c r="C56" s="66"/>
      <c r="D56" s="200" t="str">
        <f t="shared" si="6"/>
        <v/>
      </c>
      <c r="E56" s="68"/>
      <c r="F56" s="199" t="s">
        <v>8</v>
      </c>
      <c r="G56" s="66"/>
      <c r="H56" s="200" t="str">
        <f t="shared" si="7"/>
        <v/>
      </c>
    </row>
    <row r="57" spans="2:10" x14ac:dyDescent="0.2">
      <c r="B57" s="199" t="s">
        <v>47</v>
      </c>
      <c r="C57" s="66"/>
      <c r="D57" s="200" t="str">
        <f t="shared" si="6"/>
        <v/>
      </c>
      <c r="E57" s="68"/>
      <c r="F57" s="199" t="s">
        <v>9</v>
      </c>
      <c r="G57" s="66"/>
      <c r="H57" s="200" t="str">
        <f t="shared" si="7"/>
        <v/>
      </c>
      <c r="J57" s="74"/>
    </row>
    <row r="58" spans="2:10" x14ac:dyDescent="0.2">
      <c r="B58" s="199" t="s">
        <v>48</v>
      </c>
      <c r="C58" s="66"/>
      <c r="D58" s="200" t="str">
        <f t="shared" si="6"/>
        <v/>
      </c>
      <c r="E58" s="68"/>
      <c r="F58" s="199" t="s">
        <v>10</v>
      </c>
      <c r="G58" s="66"/>
      <c r="H58" s="200" t="str">
        <f t="shared" si="7"/>
        <v/>
      </c>
    </row>
    <row r="59" spans="2:10" x14ac:dyDescent="0.2">
      <c r="B59" s="199" t="s">
        <v>11</v>
      </c>
      <c r="C59" s="66"/>
      <c r="D59" s="200" t="str">
        <f t="shared" si="6"/>
        <v/>
      </c>
      <c r="E59" s="68"/>
      <c r="F59" s="199" t="s">
        <v>11</v>
      </c>
      <c r="G59" s="66"/>
      <c r="H59" s="200" t="str">
        <f t="shared" si="7"/>
        <v/>
      </c>
    </row>
    <row r="60" spans="2:10" x14ac:dyDescent="0.2">
      <c r="B60" s="199" t="s">
        <v>12</v>
      </c>
      <c r="C60" s="72"/>
      <c r="D60" s="200" t="str">
        <f t="shared" si="6"/>
        <v/>
      </c>
      <c r="E60" s="68"/>
      <c r="F60" s="199" t="s">
        <v>12</v>
      </c>
      <c r="G60" s="72">
        <v>151024.73300000001</v>
      </c>
      <c r="H60" s="200">
        <f t="shared" si="7"/>
        <v>1.4715496816451344E-3</v>
      </c>
    </row>
    <row r="61" spans="2:10" x14ac:dyDescent="0.2">
      <c r="B61" s="199" t="s">
        <v>13</v>
      </c>
      <c r="C61" s="72"/>
      <c r="D61" s="200" t="str">
        <f t="shared" si="6"/>
        <v/>
      </c>
      <c r="E61" s="68"/>
      <c r="F61" s="199" t="s">
        <v>13</v>
      </c>
      <c r="G61" s="72"/>
      <c r="H61" s="200" t="str">
        <f t="shared" si="7"/>
        <v/>
      </c>
    </row>
    <row r="62" spans="2:10" x14ac:dyDescent="0.2">
      <c r="B62" s="199" t="s">
        <v>14</v>
      </c>
      <c r="C62" s="66"/>
      <c r="D62" s="200" t="str">
        <f t="shared" si="6"/>
        <v/>
      </c>
      <c r="E62" s="68"/>
      <c r="F62" s="199" t="s">
        <v>14</v>
      </c>
      <c r="G62" s="66"/>
      <c r="H62" s="200" t="str">
        <f t="shared" si="7"/>
        <v/>
      </c>
    </row>
    <row r="63" spans="2:10" x14ac:dyDescent="0.2">
      <c r="B63" s="199" t="s">
        <v>15</v>
      </c>
      <c r="C63" s="72">
        <v>134922290</v>
      </c>
      <c r="D63" s="200">
        <f t="shared" si="6"/>
        <v>4.5116725601510926E-3</v>
      </c>
      <c r="E63" s="68"/>
      <c r="F63" s="199" t="s">
        <v>15</v>
      </c>
      <c r="G63" s="72"/>
      <c r="H63" s="200" t="str">
        <f t="shared" si="7"/>
        <v/>
      </c>
    </row>
    <row r="64" spans="2:10" x14ac:dyDescent="0.2">
      <c r="B64" s="199" t="s">
        <v>16</v>
      </c>
      <c r="C64" s="72">
        <v>-185906</v>
      </c>
      <c r="D64" s="200">
        <f t="shared" si="6"/>
        <v>-6.2165191457056428E-6</v>
      </c>
      <c r="E64" s="68"/>
      <c r="F64" s="199" t="s">
        <v>16</v>
      </c>
      <c r="G64" s="72">
        <v>-109.56</v>
      </c>
      <c r="H64" s="200">
        <f t="shared" si="7"/>
        <v>-1.0675270197037258E-6</v>
      </c>
    </row>
    <row r="65" spans="2:8" s="80" customFormat="1" x14ac:dyDescent="0.2">
      <c r="B65" s="201" t="s">
        <v>17</v>
      </c>
      <c r="C65" s="77">
        <f>SUM(C53:C64)</f>
        <v>130789790</v>
      </c>
      <c r="D65" s="78">
        <f>SUM(D53:D64)</f>
        <v>4.3734857056674905E-3</v>
      </c>
      <c r="E65" s="79"/>
      <c r="F65" s="201" t="s">
        <v>17</v>
      </c>
      <c r="G65" s="203">
        <f>SUM(G53:G64)</f>
        <v>164094.31270000001</v>
      </c>
      <c r="H65" s="78">
        <f>SUM(H53:H64)</f>
        <v>1.5988966099576693E-3</v>
      </c>
    </row>
    <row r="66" spans="2:8" ht="13.5" customHeight="1" x14ac:dyDescent="0.2">
      <c r="C66" s="84"/>
      <c r="G66" s="90"/>
    </row>
    <row r="67" spans="2:8" ht="24" x14ac:dyDescent="0.2">
      <c r="B67" s="198" t="s">
        <v>26</v>
      </c>
      <c r="C67" s="198" t="s">
        <v>2</v>
      </c>
      <c r="D67" s="198" t="s">
        <v>3</v>
      </c>
      <c r="E67" s="85"/>
      <c r="F67" s="198" t="s">
        <v>27</v>
      </c>
      <c r="G67" s="198" t="s">
        <v>2</v>
      </c>
      <c r="H67" s="198" t="s">
        <v>3</v>
      </c>
    </row>
    <row r="68" spans="2:8" x14ac:dyDescent="0.2">
      <c r="B68" s="199" t="s">
        <v>5</v>
      </c>
      <c r="C68" s="66"/>
      <c r="D68" s="200" t="str">
        <f>+IF(C68/$C$117=0,"",C68/$C$117)</f>
        <v/>
      </c>
      <c r="E68" s="68"/>
      <c r="F68" s="199" t="s">
        <v>5</v>
      </c>
      <c r="G68" s="66"/>
      <c r="H68" s="200" t="str">
        <f>+IF(G68/$C$119=0,"",G68/$C$119)</f>
        <v/>
      </c>
    </row>
    <row r="69" spans="2:8" x14ac:dyDescent="0.2">
      <c r="B69" s="199" t="s">
        <v>6</v>
      </c>
      <c r="C69" s="66"/>
      <c r="D69" s="200" t="str">
        <f t="shared" ref="D69:D79" si="8">+IF(C69/$C$117=0,"",C69/$C$117)</f>
        <v/>
      </c>
      <c r="E69" s="68"/>
      <c r="F69" s="199" t="s">
        <v>6</v>
      </c>
      <c r="G69" s="66"/>
      <c r="H69" s="200" t="str">
        <f t="shared" ref="H69:H79" si="9">+IF(G69/$C$119=0,"",G69/$C$119)</f>
        <v/>
      </c>
    </row>
    <row r="70" spans="2:8" x14ac:dyDescent="0.2">
      <c r="B70" s="199" t="s">
        <v>7</v>
      </c>
      <c r="C70" s="71"/>
      <c r="D70" s="200" t="str">
        <f t="shared" si="8"/>
        <v/>
      </c>
      <c r="E70" s="68"/>
      <c r="F70" s="199" t="s">
        <v>7</v>
      </c>
      <c r="G70" s="71"/>
      <c r="H70" s="200" t="str">
        <f t="shared" si="9"/>
        <v/>
      </c>
    </row>
    <row r="71" spans="2:8" x14ac:dyDescent="0.2">
      <c r="B71" s="199" t="s">
        <v>8</v>
      </c>
      <c r="C71" s="66"/>
      <c r="D71" s="200" t="str">
        <f t="shared" si="8"/>
        <v/>
      </c>
      <c r="E71" s="68"/>
      <c r="F71" s="199" t="s">
        <v>8</v>
      </c>
      <c r="G71" s="66"/>
      <c r="H71" s="200" t="str">
        <f t="shared" si="9"/>
        <v/>
      </c>
    </row>
    <row r="72" spans="2:8" x14ac:dyDescent="0.2">
      <c r="B72" s="199" t="s">
        <v>9</v>
      </c>
      <c r="C72" s="66">
        <v>-1360771</v>
      </c>
      <c r="D72" s="200">
        <f t="shared" si="8"/>
        <v>-8.7409110693788801E-5</v>
      </c>
      <c r="E72" s="68"/>
      <c r="F72" s="199" t="s">
        <v>9</v>
      </c>
      <c r="G72" s="66">
        <v>-868548</v>
      </c>
      <c r="H72" s="200">
        <f t="shared" si="9"/>
        <v>-1.517188162520743E-4</v>
      </c>
    </row>
    <row r="73" spans="2:8" x14ac:dyDescent="0.2">
      <c r="B73" s="199" t="s">
        <v>10</v>
      </c>
      <c r="C73" s="66"/>
      <c r="D73" s="200" t="str">
        <f t="shared" si="8"/>
        <v/>
      </c>
      <c r="E73" s="68"/>
      <c r="F73" s="199" t="s">
        <v>10</v>
      </c>
      <c r="G73" s="66"/>
      <c r="H73" s="200" t="str">
        <f t="shared" si="9"/>
        <v/>
      </c>
    </row>
    <row r="74" spans="2:8" x14ac:dyDescent="0.2">
      <c r="B74" s="199" t="s">
        <v>11</v>
      </c>
      <c r="C74" s="66"/>
      <c r="D74" s="200" t="str">
        <f t="shared" si="8"/>
        <v/>
      </c>
      <c r="E74" s="68"/>
      <c r="F74" s="199" t="s">
        <v>11</v>
      </c>
      <c r="G74" s="66"/>
      <c r="H74" s="200" t="str">
        <f t="shared" si="9"/>
        <v/>
      </c>
    </row>
    <row r="75" spans="2:8" x14ac:dyDescent="0.2">
      <c r="B75" s="199" t="s">
        <v>12</v>
      </c>
      <c r="C75" s="72"/>
      <c r="D75" s="200" t="str">
        <f t="shared" si="8"/>
        <v/>
      </c>
      <c r="E75" s="68"/>
      <c r="F75" s="199" t="s">
        <v>12</v>
      </c>
      <c r="G75" s="72"/>
      <c r="H75" s="200" t="str">
        <f t="shared" si="9"/>
        <v/>
      </c>
    </row>
    <row r="76" spans="2:8" x14ac:dyDescent="0.2">
      <c r="B76" s="199" t="s">
        <v>13</v>
      </c>
      <c r="C76" s="72">
        <v>-32658971</v>
      </c>
      <c r="D76" s="200">
        <f t="shared" si="8"/>
        <v>-2.0978486543909579E-3</v>
      </c>
      <c r="E76" s="68"/>
      <c r="F76" s="199" t="s">
        <v>13</v>
      </c>
      <c r="G76" s="72">
        <v>938143</v>
      </c>
      <c r="H76" s="200">
        <f t="shared" si="9"/>
        <v>1.638757390900327E-4</v>
      </c>
    </row>
    <row r="77" spans="2:8" x14ac:dyDescent="0.2">
      <c r="B77" s="199" t="s">
        <v>14</v>
      </c>
      <c r="C77" s="66">
        <v>-117290587</v>
      </c>
      <c r="D77" s="200">
        <f t="shared" si="8"/>
        <v>-7.534159606886439E-3</v>
      </c>
      <c r="E77" s="68"/>
      <c r="F77" s="199" t="s">
        <v>14</v>
      </c>
      <c r="G77" s="66">
        <v>-43810698</v>
      </c>
      <c r="H77" s="200">
        <f t="shared" si="9"/>
        <v>-7.6528956830677394E-3</v>
      </c>
    </row>
    <row r="78" spans="2:8" x14ac:dyDescent="0.2">
      <c r="B78" s="199" t="s">
        <v>15</v>
      </c>
      <c r="C78" s="72"/>
      <c r="D78" s="200" t="str">
        <f t="shared" si="8"/>
        <v/>
      </c>
      <c r="E78" s="68"/>
      <c r="F78" s="199" t="s">
        <v>15</v>
      </c>
      <c r="G78" s="72"/>
      <c r="H78" s="200" t="str">
        <f t="shared" si="9"/>
        <v/>
      </c>
    </row>
    <row r="79" spans="2:8" x14ac:dyDescent="0.2">
      <c r="B79" s="199" t="s">
        <v>16</v>
      </c>
      <c r="C79" s="72">
        <v>-21149</v>
      </c>
      <c r="D79" s="200">
        <f t="shared" si="8"/>
        <v>-1.3585057897786913E-6</v>
      </c>
      <c r="E79" s="68"/>
      <c r="F79" s="199" t="s">
        <v>16</v>
      </c>
      <c r="G79" s="72">
        <v>-16067</v>
      </c>
      <c r="H79" s="200">
        <f t="shared" si="9"/>
        <v>-2.8065993137075642E-6</v>
      </c>
    </row>
    <row r="80" spans="2:8" s="80" customFormat="1" x14ac:dyDescent="0.2">
      <c r="B80" s="201" t="s">
        <v>17</v>
      </c>
      <c r="C80" s="77">
        <f>SUM(C68:C79)</f>
        <v>-151331478</v>
      </c>
      <c r="D80" s="78">
        <f>SUM(D68:D79)</f>
        <v>-9.7207758777609638E-3</v>
      </c>
      <c r="E80" s="79"/>
      <c r="F80" s="201" t="s">
        <v>17</v>
      </c>
      <c r="G80" s="77">
        <f>SUM(G68:G79)</f>
        <v>-43757170</v>
      </c>
      <c r="H80" s="78">
        <f>SUM(H68:H79)</f>
        <v>-7.6435453595434886E-3</v>
      </c>
    </row>
    <row r="81" spans="2:7" ht="4.5" customHeight="1" x14ac:dyDescent="0.2">
      <c r="C81" s="84"/>
      <c r="G81" s="90"/>
    </row>
    <row r="82" spans="2:7" ht="25.5" customHeight="1" x14ac:dyDescent="0.2">
      <c r="B82" s="198" t="s">
        <v>50</v>
      </c>
      <c r="C82" s="198" t="s">
        <v>2</v>
      </c>
      <c r="D82" s="198" t="s">
        <v>3</v>
      </c>
      <c r="G82" s="90"/>
    </row>
    <row r="83" spans="2:7" ht="12.75" customHeight="1" x14ac:dyDescent="0.2">
      <c r="B83" s="199" t="s">
        <v>5</v>
      </c>
      <c r="C83" s="66"/>
      <c r="D83" s="200" t="str">
        <f>+IF(C83/$C$125=0,"",C83/$C$125)</f>
        <v/>
      </c>
      <c r="G83" s="90" t="s">
        <v>46</v>
      </c>
    </row>
    <row r="84" spans="2:7" ht="12.75" customHeight="1" x14ac:dyDescent="0.2">
      <c r="B84" s="199" t="s">
        <v>6</v>
      </c>
      <c r="C84" s="66"/>
      <c r="D84" s="200" t="str">
        <f t="shared" ref="D84:D94" si="10">+IF(C84/$C$125=0,"",C84/$C$125)</f>
        <v/>
      </c>
      <c r="G84" s="90" t="s">
        <v>46</v>
      </c>
    </row>
    <row r="85" spans="2:7" ht="12.75" customHeight="1" x14ac:dyDescent="0.2">
      <c r="B85" s="199" t="s">
        <v>7</v>
      </c>
      <c r="C85" s="71"/>
      <c r="D85" s="200" t="str">
        <f t="shared" si="10"/>
        <v/>
      </c>
      <c r="G85" s="90"/>
    </row>
    <row r="86" spans="2:7" ht="12.75" customHeight="1" x14ac:dyDescent="0.2">
      <c r="B86" s="199" t="s">
        <v>8</v>
      </c>
      <c r="C86" s="66"/>
      <c r="D86" s="200" t="str">
        <f t="shared" si="10"/>
        <v/>
      </c>
      <c r="G86" s="90"/>
    </row>
    <row r="87" spans="2:7" ht="12.75" customHeight="1" x14ac:dyDescent="0.2">
      <c r="B87" s="199" t="s">
        <v>9</v>
      </c>
      <c r="C87" s="66">
        <v>-3.72</v>
      </c>
      <c r="D87" s="200">
        <f t="shared" si="10"/>
        <v>-6.2790658716759902E-8</v>
      </c>
      <c r="G87" s="90"/>
    </row>
    <row r="88" spans="2:7" ht="12.75" customHeight="1" x14ac:dyDescent="0.2">
      <c r="B88" s="199" t="s">
        <v>10</v>
      </c>
      <c r="C88" s="66"/>
      <c r="D88" s="200" t="str">
        <f t="shared" si="10"/>
        <v/>
      </c>
      <c r="G88" s="211"/>
    </row>
    <row r="89" spans="2:7" ht="12.75" customHeight="1" x14ac:dyDescent="0.2">
      <c r="B89" s="199" t="s">
        <v>11</v>
      </c>
      <c r="C89" s="66"/>
      <c r="D89" s="200" t="str">
        <f t="shared" si="10"/>
        <v/>
      </c>
      <c r="G89" s="212"/>
    </row>
    <row r="90" spans="2:7" s="80" customFormat="1" ht="12.75" customHeight="1" x14ac:dyDescent="0.2">
      <c r="B90" s="199" t="s">
        <v>12</v>
      </c>
      <c r="C90" s="72">
        <v>43519.854200000002</v>
      </c>
      <c r="D90" s="200">
        <f t="shared" si="10"/>
        <v>7.3458072916004027E-4</v>
      </c>
      <c r="E90" s="100"/>
      <c r="G90" s="213"/>
    </row>
    <row r="91" spans="2:7" ht="12.75" customHeight="1" x14ac:dyDescent="0.2">
      <c r="B91" s="199" t="s">
        <v>13</v>
      </c>
      <c r="C91" s="72"/>
      <c r="D91" s="200" t="str">
        <f t="shared" si="10"/>
        <v/>
      </c>
      <c r="G91" s="90"/>
    </row>
    <row r="92" spans="2:7" ht="12.75" customHeight="1" x14ac:dyDescent="0.2">
      <c r="B92" s="199" t="s">
        <v>14</v>
      </c>
      <c r="C92" s="66">
        <v>98758.259600000005</v>
      </c>
      <c r="D92" s="200">
        <f t="shared" si="10"/>
        <v>1.6669613370980585E-3</v>
      </c>
      <c r="G92" s="90"/>
    </row>
    <row r="93" spans="2:7" ht="12.75" customHeight="1" x14ac:dyDescent="0.2">
      <c r="B93" s="199" t="s">
        <v>15</v>
      </c>
      <c r="C93" s="72"/>
      <c r="D93" s="200" t="str">
        <f t="shared" si="10"/>
        <v/>
      </c>
      <c r="G93" s="90"/>
    </row>
    <row r="94" spans="2:7" ht="12.75" customHeight="1" x14ac:dyDescent="0.2">
      <c r="B94" s="199" t="s">
        <v>16</v>
      </c>
      <c r="C94" s="72"/>
      <c r="D94" s="200" t="str">
        <f t="shared" si="10"/>
        <v/>
      </c>
      <c r="G94" s="90"/>
    </row>
    <row r="95" spans="2:7" ht="12.75" customHeight="1" x14ac:dyDescent="0.2">
      <c r="B95" s="201" t="s">
        <v>17</v>
      </c>
      <c r="C95" s="203">
        <f>SUM(C83:C94)</f>
        <v>142274.39380000002</v>
      </c>
      <c r="D95" s="209">
        <f>SUM(D83:D94)</f>
        <v>2.4014792755993821E-3</v>
      </c>
      <c r="F95" s="216"/>
      <c r="G95" s="70"/>
    </row>
    <row r="96" spans="2:7" ht="15" customHeight="1" x14ac:dyDescent="0.2">
      <c r="C96" s="84"/>
      <c r="G96" s="90"/>
    </row>
    <row r="97" spans="2:7" ht="4.5" hidden="1" customHeight="1" x14ac:dyDescent="0.2">
      <c r="C97" s="84"/>
      <c r="G97" s="90"/>
    </row>
    <row r="98" spans="2:7" ht="25.5" hidden="1" customHeight="1" x14ac:dyDescent="0.2">
      <c r="B98" s="198" t="s">
        <v>25</v>
      </c>
      <c r="C98" s="198"/>
      <c r="D98" s="198" t="s">
        <v>3</v>
      </c>
      <c r="E98" s="81"/>
      <c r="F98" s="59"/>
    </row>
    <row r="99" spans="2:7" ht="12.75" hidden="1" customHeight="1" x14ac:dyDescent="0.2">
      <c r="B99" s="94"/>
      <c r="C99" s="102"/>
      <c r="D99" s="200" t="str">
        <f>+IF(C99/$C$124=0,"",C99/$C$124)</f>
        <v/>
      </c>
      <c r="E99" s="75"/>
      <c r="F99" s="59"/>
    </row>
    <row r="100" spans="2:7" ht="12.75" hidden="1" customHeight="1" x14ac:dyDescent="0.2">
      <c r="B100" s="96" t="s">
        <v>34</v>
      </c>
      <c r="C100" s="117"/>
      <c r="D100" s="200" t="str">
        <f t="shared" ref="D100:D105" si="11">+IF(C100/$C$124=0,"",C100/$C$124)</f>
        <v/>
      </c>
      <c r="E100" s="75"/>
      <c r="F100" s="59"/>
    </row>
    <row r="101" spans="2:7" ht="12.75" hidden="1" customHeight="1" x14ac:dyDescent="0.2">
      <c r="B101" s="96" t="s">
        <v>35</v>
      </c>
      <c r="C101" s="117"/>
      <c r="D101" s="200" t="str">
        <f t="shared" si="11"/>
        <v/>
      </c>
      <c r="E101" s="75"/>
      <c r="F101" s="59"/>
    </row>
    <row r="102" spans="2:7" ht="12.75" hidden="1" customHeight="1" x14ac:dyDescent="0.2">
      <c r="B102" s="96" t="s">
        <v>36</v>
      </c>
      <c r="C102" s="117"/>
      <c r="D102" s="200" t="str">
        <f t="shared" si="11"/>
        <v/>
      </c>
      <c r="E102" s="75"/>
      <c r="F102" s="59"/>
    </row>
    <row r="103" spans="2:7" ht="12.75" hidden="1" customHeight="1" x14ac:dyDescent="0.2">
      <c r="B103" s="96" t="s">
        <v>37</v>
      </c>
      <c r="C103" s="117"/>
      <c r="D103" s="200" t="str">
        <f t="shared" si="11"/>
        <v/>
      </c>
      <c r="E103" s="75"/>
      <c r="F103" s="59"/>
    </row>
    <row r="104" spans="2:7" ht="12.75" hidden="1" customHeight="1" x14ac:dyDescent="0.2">
      <c r="B104" s="96" t="s">
        <v>38</v>
      </c>
      <c r="C104" s="98"/>
      <c r="D104" s="200" t="str">
        <f t="shared" si="11"/>
        <v/>
      </c>
      <c r="E104" s="75"/>
      <c r="F104" s="59"/>
    </row>
    <row r="105" spans="2:7" ht="12.75" hidden="1" customHeight="1" x14ac:dyDescent="0.2">
      <c r="B105" s="96"/>
      <c r="C105" s="102"/>
      <c r="D105" s="200" t="str">
        <f t="shared" si="11"/>
        <v/>
      </c>
      <c r="E105" s="75"/>
      <c r="F105" s="59"/>
    </row>
    <row r="106" spans="2:7" s="80" customFormat="1" ht="12.75" hidden="1" customHeight="1" x14ac:dyDescent="0.2">
      <c r="B106" s="201" t="s">
        <v>17</v>
      </c>
      <c r="C106" s="99"/>
      <c r="D106" s="78">
        <f>SUM(D99:D105)</f>
        <v>0</v>
      </c>
      <c r="E106" s="79"/>
    </row>
    <row r="107" spans="2:7" s="80" customFormat="1" ht="12.75" hidden="1" customHeight="1" x14ac:dyDescent="0.2">
      <c r="B107" s="100"/>
      <c r="C107" s="194"/>
      <c r="D107" s="79"/>
      <c r="E107" s="79"/>
    </row>
    <row r="108" spans="2:7" s="80" customFormat="1" ht="12.75" hidden="1" customHeight="1" x14ac:dyDescent="0.2">
      <c r="B108" s="100"/>
      <c r="C108" s="194"/>
      <c r="D108" s="79"/>
      <c r="E108" s="79"/>
    </row>
    <row r="109" spans="2:7" s="80" customFormat="1" ht="12.75" hidden="1" customHeight="1" x14ac:dyDescent="0.2">
      <c r="B109" s="100"/>
      <c r="C109" s="194"/>
      <c r="D109" s="79"/>
      <c r="E109" s="79"/>
    </row>
    <row r="110" spans="2:7" s="80" customFormat="1" ht="12.75" hidden="1" customHeight="1" x14ac:dyDescent="0.2">
      <c r="B110" s="100"/>
      <c r="C110" s="194"/>
      <c r="D110" s="79"/>
      <c r="E110" s="79"/>
    </row>
    <row r="111" spans="2:7" s="80" customFormat="1" ht="12.75" hidden="1" customHeight="1" x14ac:dyDescent="0.2">
      <c r="B111" s="100"/>
      <c r="C111" s="194"/>
      <c r="D111" s="79"/>
      <c r="E111" s="79"/>
    </row>
    <row r="112" spans="2:7" s="80" customFormat="1" ht="12.75" hidden="1" customHeight="1" x14ac:dyDescent="0.2">
      <c r="B112" s="100"/>
      <c r="C112" s="194"/>
      <c r="D112" s="79"/>
      <c r="E112" s="79"/>
    </row>
    <row r="113" spans="1:13" x14ac:dyDescent="0.2">
      <c r="B113" s="59"/>
      <c r="C113" s="104"/>
      <c r="D113" s="75"/>
      <c r="E113" s="105"/>
      <c r="F113" s="59"/>
      <c r="H113" s="75"/>
    </row>
    <row r="114" spans="1:13" s="197" customFormat="1" ht="41.25" customHeight="1" x14ac:dyDescent="0.2">
      <c r="B114" s="198" t="s">
        <v>52</v>
      </c>
      <c r="C114" s="198"/>
      <c r="D114" s="198" t="s">
        <v>41</v>
      </c>
      <c r="F114" s="198" t="s">
        <v>42</v>
      </c>
    </row>
    <row r="115" spans="1:13" x14ac:dyDescent="0.2">
      <c r="B115" s="189" t="s">
        <v>19</v>
      </c>
      <c r="C115" s="190">
        <v>37110821574</v>
      </c>
      <c r="D115" s="205"/>
      <c r="E115" s="58"/>
      <c r="F115" s="204"/>
      <c r="H115" s="75"/>
    </row>
    <row r="116" spans="1:13" x14ac:dyDescent="0.2">
      <c r="B116" s="189" t="s">
        <v>24</v>
      </c>
      <c r="C116" s="190">
        <v>29905160049</v>
      </c>
      <c r="D116" s="205"/>
      <c r="E116" s="206"/>
      <c r="F116" s="204"/>
      <c r="G116" s="197"/>
      <c r="H116" s="197"/>
    </row>
    <row r="117" spans="1:13" x14ac:dyDescent="0.2">
      <c r="B117" s="189" t="s">
        <v>26</v>
      </c>
      <c r="C117" s="190">
        <v>15567839430</v>
      </c>
      <c r="D117" s="205"/>
      <c r="E117" s="206"/>
      <c r="F117" s="204"/>
      <c r="H117" s="75"/>
    </row>
    <row r="118" spans="1:13" x14ac:dyDescent="0.2">
      <c r="B118" s="189" t="s">
        <v>22</v>
      </c>
      <c r="C118" s="190">
        <v>5314137737</v>
      </c>
      <c r="D118" s="205"/>
      <c r="E118" s="206"/>
      <c r="F118" s="204"/>
      <c r="G118" s="197"/>
      <c r="H118" s="197"/>
    </row>
    <row r="119" spans="1:13" x14ac:dyDescent="0.2">
      <c r="B119" s="189" t="s">
        <v>27</v>
      </c>
      <c r="C119" s="190">
        <v>5724721702</v>
      </c>
      <c r="D119" s="205"/>
      <c r="E119" s="206"/>
      <c r="F119" s="204"/>
      <c r="H119" s="75"/>
    </row>
    <row r="120" spans="1:13" ht="12.75" x14ac:dyDescent="0.2">
      <c r="B120" s="189" t="s">
        <v>1</v>
      </c>
      <c r="C120" s="190">
        <v>56688684291</v>
      </c>
      <c r="D120" s="217">
        <v>1119426284</v>
      </c>
      <c r="F120" s="204">
        <f>+C120+D120</f>
        <v>57808110575</v>
      </c>
      <c r="G120" s="197"/>
      <c r="H120" s="197"/>
    </row>
    <row r="121" spans="1:13" x14ac:dyDescent="0.2">
      <c r="B121" s="189" t="s">
        <v>18</v>
      </c>
      <c r="C121" s="192">
        <v>41209033.149999999</v>
      </c>
      <c r="D121" s="193">
        <v>210000</v>
      </c>
      <c r="F121" s="204">
        <f>+C121+D121</f>
        <v>41419033.149999999</v>
      </c>
      <c r="H121" s="75"/>
    </row>
    <row r="122" spans="1:13" x14ac:dyDescent="0.2">
      <c r="B122" s="189" t="s">
        <v>4</v>
      </c>
      <c r="C122" s="190">
        <v>6461452311</v>
      </c>
      <c r="D122" s="205"/>
      <c r="F122" s="204"/>
      <c r="G122" s="197"/>
      <c r="H122" s="197"/>
    </row>
    <row r="123" spans="1:13" x14ac:dyDescent="0.2">
      <c r="B123" s="189" t="s">
        <v>21</v>
      </c>
      <c r="C123" s="190">
        <v>86262525908</v>
      </c>
      <c r="D123" s="205"/>
      <c r="F123" s="204"/>
      <c r="H123" s="75"/>
    </row>
    <row r="124" spans="1:13" x14ac:dyDescent="0.2">
      <c r="B124" s="189" t="s">
        <v>25</v>
      </c>
      <c r="C124" s="192">
        <v>102629720.81999999</v>
      </c>
      <c r="D124" s="205"/>
      <c r="E124" s="206"/>
      <c r="F124" s="204"/>
      <c r="G124" s="197"/>
      <c r="H124" s="197"/>
    </row>
    <row r="125" spans="1:13" ht="15" x14ac:dyDescent="0.2">
      <c r="B125" s="195" t="s">
        <v>49</v>
      </c>
      <c r="C125" s="220">
        <v>59244481.201899998</v>
      </c>
      <c r="D125" s="205"/>
      <c r="E125" s="206"/>
      <c r="F125" s="204"/>
      <c r="G125" s="197"/>
    </row>
    <row r="126" spans="1:13" x14ac:dyDescent="0.2">
      <c r="C126" s="112"/>
    </row>
    <row r="128" spans="1:13" s="59" customFormat="1" x14ac:dyDescent="0.2">
      <c r="A128" s="58"/>
      <c r="B128" s="58"/>
      <c r="C128" s="58"/>
      <c r="D128" s="113"/>
      <c r="F128" s="58"/>
      <c r="G128" s="58"/>
      <c r="H128" s="58"/>
      <c r="I128" s="58"/>
      <c r="J128" s="58"/>
      <c r="K128" s="58"/>
      <c r="L128" s="58"/>
      <c r="M128" s="58"/>
    </row>
    <row r="129" spans="1:13" s="59" customFormat="1" x14ac:dyDescent="0.2">
      <c r="A129" s="58"/>
      <c r="B129" s="58"/>
      <c r="C129" s="58"/>
      <c r="D129" s="113"/>
      <c r="F129" s="58"/>
      <c r="G129" s="58"/>
      <c r="H129" s="58"/>
      <c r="I129" s="58"/>
      <c r="J129" s="58"/>
      <c r="K129" s="58"/>
      <c r="L129" s="58"/>
      <c r="M129" s="58"/>
    </row>
    <row r="130" spans="1:13" s="59" customFormat="1" x14ac:dyDescent="0.2">
      <c r="A130" s="58"/>
      <c r="B130" s="58"/>
      <c r="C130" s="58"/>
      <c r="D130" s="113"/>
      <c r="F130" s="58"/>
      <c r="G130" s="58"/>
      <c r="H130" s="58"/>
      <c r="I130" s="58"/>
      <c r="J130" s="58"/>
      <c r="K130" s="58"/>
      <c r="L130" s="58"/>
      <c r="M130" s="58"/>
    </row>
  </sheetData>
  <mergeCells count="2">
    <mergeCell ref="B2:H2"/>
    <mergeCell ref="B4:H4"/>
  </mergeCells>
  <conditionalFormatting sqref="C14:C18">
    <cfRule type="cellIs" dxfId="46" priority="47" stopIfTrue="1" operator="lessThan">
      <formula>0</formula>
    </cfRule>
  </conditionalFormatting>
  <conditionalFormatting sqref="C7:C9">
    <cfRule type="cellIs" dxfId="45" priority="46" stopIfTrue="1" operator="lessThan">
      <formula>0</formula>
    </cfRule>
  </conditionalFormatting>
  <conditionalFormatting sqref="C10:C13">
    <cfRule type="cellIs" dxfId="44" priority="44" stopIfTrue="1" operator="lessThan">
      <formula>0</formula>
    </cfRule>
  </conditionalFormatting>
  <conditionalFormatting sqref="C104">
    <cfRule type="cellIs" dxfId="43" priority="43" stopIfTrue="1" operator="lessThan">
      <formula>0</formula>
    </cfRule>
  </conditionalFormatting>
  <conditionalFormatting sqref="C7">
    <cfRule type="cellIs" dxfId="42" priority="45" stopIfTrue="1" operator="lessThan">
      <formula>0</formula>
    </cfRule>
  </conditionalFormatting>
  <conditionalFormatting sqref="C29:C33">
    <cfRule type="cellIs" dxfId="41" priority="42" stopIfTrue="1" operator="lessThan">
      <formula>0</formula>
    </cfRule>
  </conditionalFormatting>
  <conditionalFormatting sqref="C22">
    <cfRule type="cellIs" dxfId="40" priority="40" stopIfTrue="1" operator="lessThan">
      <formula>0</formula>
    </cfRule>
  </conditionalFormatting>
  <conditionalFormatting sqref="C25:C28">
    <cfRule type="cellIs" dxfId="39" priority="39" stopIfTrue="1" operator="lessThan">
      <formula>0</formula>
    </cfRule>
  </conditionalFormatting>
  <conditionalFormatting sqref="C22:C24">
    <cfRule type="cellIs" dxfId="38" priority="41" stopIfTrue="1" operator="lessThan">
      <formula>0</formula>
    </cfRule>
  </conditionalFormatting>
  <conditionalFormatting sqref="G22">
    <cfRule type="cellIs" dxfId="37" priority="36" stopIfTrue="1" operator="lessThan">
      <formula>0</formula>
    </cfRule>
  </conditionalFormatting>
  <conditionalFormatting sqref="G29:G33">
    <cfRule type="cellIs" dxfId="36" priority="38" stopIfTrue="1" operator="lessThan">
      <formula>0</formula>
    </cfRule>
  </conditionalFormatting>
  <conditionalFormatting sqref="G22:G24">
    <cfRule type="cellIs" dxfId="35" priority="37" stopIfTrue="1" operator="lessThan">
      <formula>0</formula>
    </cfRule>
  </conditionalFormatting>
  <conditionalFormatting sqref="G25:G28">
    <cfRule type="cellIs" dxfId="34" priority="35" stopIfTrue="1" operator="lessThan">
      <formula>0</formula>
    </cfRule>
  </conditionalFormatting>
  <conditionalFormatting sqref="C40:C43">
    <cfRule type="cellIs" dxfId="33" priority="31" stopIfTrue="1" operator="lessThan">
      <formula>0</formula>
    </cfRule>
  </conditionalFormatting>
  <conditionalFormatting sqref="G44:G48">
    <cfRule type="cellIs" dxfId="32" priority="30" stopIfTrue="1" operator="lessThan">
      <formula>0</formula>
    </cfRule>
  </conditionalFormatting>
  <conditionalFormatting sqref="G37">
    <cfRule type="cellIs" dxfId="31" priority="28" stopIfTrue="1" operator="lessThan">
      <formula>0</formula>
    </cfRule>
  </conditionalFormatting>
  <conditionalFormatting sqref="C44:C48">
    <cfRule type="cellIs" dxfId="30" priority="34" stopIfTrue="1" operator="lessThan">
      <formula>0</formula>
    </cfRule>
  </conditionalFormatting>
  <conditionalFormatting sqref="C37:C39">
    <cfRule type="cellIs" dxfId="29" priority="33" stopIfTrue="1" operator="lessThan">
      <formula>0</formula>
    </cfRule>
  </conditionalFormatting>
  <conditionalFormatting sqref="C37">
    <cfRule type="cellIs" dxfId="28" priority="32" stopIfTrue="1" operator="lessThan">
      <formula>0</formula>
    </cfRule>
  </conditionalFormatting>
  <conditionalFormatting sqref="C56:C59">
    <cfRule type="cellIs" dxfId="27" priority="23" stopIfTrue="1" operator="lessThan">
      <formula>0</formula>
    </cfRule>
  </conditionalFormatting>
  <conditionalFormatting sqref="G37:G39">
    <cfRule type="cellIs" dxfId="26" priority="29" stopIfTrue="1" operator="lessThan">
      <formula>0</formula>
    </cfRule>
  </conditionalFormatting>
  <conditionalFormatting sqref="G40:G43">
    <cfRule type="cellIs" dxfId="25" priority="27" stopIfTrue="1" operator="lessThan">
      <formula>0</formula>
    </cfRule>
  </conditionalFormatting>
  <conditionalFormatting sqref="C60:C64">
    <cfRule type="cellIs" dxfId="24" priority="26" stopIfTrue="1" operator="lessThan">
      <formula>0</formula>
    </cfRule>
  </conditionalFormatting>
  <conditionalFormatting sqref="C53:C55">
    <cfRule type="cellIs" dxfId="23" priority="25" stopIfTrue="1" operator="lessThan">
      <formula>0</formula>
    </cfRule>
  </conditionalFormatting>
  <conditionalFormatting sqref="C53">
    <cfRule type="cellIs" dxfId="22" priority="24" stopIfTrue="1" operator="lessThan">
      <formula>0</formula>
    </cfRule>
  </conditionalFormatting>
  <conditionalFormatting sqref="C75:C78">
    <cfRule type="cellIs" dxfId="21" priority="22" stopIfTrue="1" operator="lessThan">
      <formula>0</formula>
    </cfRule>
  </conditionalFormatting>
  <conditionalFormatting sqref="C68:C70">
    <cfRule type="cellIs" dxfId="20" priority="21" stopIfTrue="1" operator="lessThan">
      <formula>0</formula>
    </cfRule>
  </conditionalFormatting>
  <conditionalFormatting sqref="C68">
    <cfRule type="cellIs" dxfId="19" priority="20" stopIfTrue="1" operator="lessThan">
      <formula>0</formula>
    </cfRule>
  </conditionalFormatting>
  <conditionalFormatting sqref="C71:C74">
    <cfRule type="cellIs" dxfId="18" priority="19" stopIfTrue="1" operator="lessThan">
      <formula>0</formula>
    </cfRule>
  </conditionalFormatting>
  <conditionalFormatting sqref="G75:G79">
    <cfRule type="cellIs" dxfId="17" priority="18" stopIfTrue="1" operator="lessThan">
      <formula>0</formula>
    </cfRule>
  </conditionalFormatting>
  <conditionalFormatting sqref="G68:G70">
    <cfRule type="cellIs" dxfId="16" priority="17" stopIfTrue="1" operator="lessThan">
      <formula>0</formula>
    </cfRule>
  </conditionalFormatting>
  <conditionalFormatting sqref="G68">
    <cfRule type="cellIs" dxfId="15" priority="16" stopIfTrue="1" operator="lessThan">
      <formula>0</formula>
    </cfRule>
  </conditionalFormatting>
  <conditionalFormatting sqref="G71:G74">
    <cfRule type="cellIs" dxfId="14" priority="15" stopIfTrue="1" operator="lessThan">
      <formula>0</formula>
    </cfRule>
  </conditionalFormatting>
  <conditionalFormatting sqref="C79">
    <cfRule type="cellIs" dxfId="13" priority="14" stopIfTrue="1" operator="lessThan">
      <formula>0</formula>
    </cfRule>
  </conditionalFormatting>
  <conditionalFormatting sqref="G14:G18">
    <cfRule type="cellIs" dxfId="12" priority="13" stopIfTrue="1" operator="lessThan">
      <formula>0</formula>
    </cfRule>
  </conditionalFormatting>
  <conditionalFormatting sqref="G7:G9">
    <cfRule type="cellIs" dxfId="11" priority="12" stopIfTrue="1" operator="lessThan">
      <formula>0</formula>
    </cfRule>
  </conditionalFormatting>
  <conditionalFormatting sqref="G10:G13">
    <cfRule type="cellIs" dxfId="10" priority="10" stopIfTrue="1" operator="lessThan">
      <formula>0</formula>
    </cfRule>
  </conditionalFormatting>
  <conditionalFormatting sqref="G7">
    <cfRule type="cellIs" dxfId="9" priority="11" stopIfTrue="1" operator="lessThan">
      <formula>0</formula>
    </cfRule>
  </conditionalFormatting>
  <conditionalFormatting sqref="G56:G59">
    <cfRule type="cellIs" dxfId="8" priority="6" stopIfTrue="1" operator="lessThan">
      <formula>0</formula>
    </cfRule>
  </conditionalFormatting>
  <conditionalFormatting sqref="G60:G64">
    <cfRule type="cellIs" dxfId="7" priority="9" stopIfTrue="1" operator="lessThan">
      <formula>0</formula>
    </cfRule>
  </conditionalFormatting>
  <conditionalFormatting sqref="G53:G55">
    <cfRule type="cellIs" dxfId="6" priority="8" stopIfTrue="1" operator="lessThan">
      <formula>0</formula>
    </cfRule>
  </conditionalFormatting>
  <conditionalFormatting sqref="G53">
    <cfRule type="cellIs" dxfId="5" priority="7" stopIfTrue="1" operator="lessThan">
      <formula>0</formula>
    </cfRule>
  </conditionalFormatting>
  <conditionalFormatting sqref="C90:C93">
    <cfRule type="cellIs" dxfId="4" priority="5" stopIfTrue="1" operator="lessThan">
      <formula>0</formula>
    </cfRule>
  </conditionalFormatting>
  <conditionalFormatting sqref="C83:C85">
    <cfRule type="cellIs" dxfId="3" priority="4" stopIfTrue="1" operator="lessThan">
      <formula>0</formula>
    </cfRule>
  </conditionalFormatting>
  <conditionalFormatting sqref="C83">
    <cfRule type="cellIs" dxfId="2" priority="3" stopIfTrue="1" operator="lessThan">
      <formula>0</formula>
    </cfRule>
  </conditionalFormatting>
  <conditionalFormatting sqref="C86:C89">
    <cfRule type="cellIs" dxfId="1" priority="2" stopIfTrue="1" operator="lessThan">
      <formula>0</formula>
    </cfRule>
  </conditionalFormatting>
  <conditionalFormatting sqref="C94">
    <cfRule type="cellIs" dxfId="0" priority="1" stopIfTrue="1" operator="less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3" name="Button 1">
              <controlPr defaultSize="0" print="0" autoFill="0" autoPict="0" macro="[0]!BORRA">
                <anchor moveWithCells="1" siz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9</xdr:col>
                    <xdr:colOff>752475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102</vt:i4>
      </vt:variant>
    </vt:vector>
  </HeadingPairs>
  <TitlesOfParts>
    <vt:vector size="102" baseType="lpstr">
      <vt:lpstr>NO BORRAR</vt:lpstr>
      <vt:lpstr>01-09</vt:lpstr>
      <vt:lpstr>02-09</vt:lpstr>
      <vt:lpstr>03-09</vt:lpstr>
      <vt:lpstr>04-09</vt:lpstr>
      <vt:lpstr>05-09</vt:lpstr>
      <vt:lpstr>06-09</vt:lpstr>
      <vt:lpstr>07-09</vt:lpstr>
      <vt:lpstr>08-09</vt:lpstr>
      <vt:lpstr>09-09</vt:lpstr>
      <vt:lpstr>10-09</vt:lpstr>
      <vt:lpstr>11-09</vt:lpstr>
      <vt:lpstr>12-09</vt:lpstr>
      <vt:lpstr>13-09</vt:lpstr>
      <vt:lpstr>14-09</vt:lpstr>
      <vt:lpstr>15-09</vt:lpstr>
      <vt:lpstr>20-09</vt:lpstr>
      <vt:lpstr>21-09</vt:lpstr>
      <vt:lpstr>22-09</vt:lpstr>
      <vt:lpstr>25-09</vt:lpstr>
      <vt:lpstr>26-09</vt:lpstr>
      <vt:lpstr>27-09</vt:lpstr>
      <vt:lpstr>28-09</vt:lpstr>
      <vt:lpstr>29-09</vt:lpstr>
      <vt:lpstr>02-10</vt:lpstr>
      <vt:lpstr>03-10</vt:lpstr>
      <vt:lpstr>04-10</vt:lpstr>
      <vt:lpstr>05-10</vt:lpstr>
      <vt:lpstr>06-10</vt:lpstr>
      <vt:lpstr>09-10</vt:lpstr>
      <vt:lpstr>10-10</vt:lpstr>
      <vt:lpstr>11-10</vt:lpstr>
      <vt:lpstr>12-10</vt:lpstr>
      <vt:lpstr>13-10</vt:lpstr>
      <vt:lpstr>16-10</vt:lpstr>
      <vt:lpstr>17-10</vt:lpstr>
      <vt:lpstr>18-10</vt:lpstr>
      <vt:lpstr>19-10</vt:lpstr>
      <vt:lpstr>20-10</vt:lpstr>
      <vt:lpstr>23-10</vt:lpstr>
      <vt:lpstr>24-10</vt:lpstr>
      <vt:lpstr>25-10</vt:lpstr>
      <vt:lpstr>26-10</vt:lpstr>
      <vt:lpstr>30-10</vt:lpstr>
      <vt:lpstr>31-10</vt:lpstr>
      <vt:lpstr>02-11</vt:lpstr>
      <vt:lpstr>03-11</vt:lpstr>
      <vt:lpstr>06-11</vt:lpstr>
      <vt:lpstr>07-11</vt:lpstr>
      <vt:lpstr>08-11</vt:lpstr>
      <vt:lpstr>09-11</vt:lpstr>
      <vt:lpstr>10-11</vt:lpstr>
      <vt:lpstr>13-11</vt:lpstr>
      <vt:lpstr>14-11</vt:lpstr>
      <vt:lpstr>15-11</vt:lpstr>
      <vt:lpstr>16-11</vt:lpstr>
      <vt:lpstr>17-11</vt:lpstr>
      <vt:lpstr>20-11</vt:lpstr>
      <vt:lpstr>21-11</vt:lpstr>
      <vt:lpstr>22-11</vt:lpstr>
      <vt:lpstr>23-11</vt:lpstr>
      <vt:lpstr>24-11</vt:lpstr>
      <vt:lpstr>27-11</vt:lpstr>
      <vt:lpstr>28-11</vt:lpstr>
      <vt:lpstr>29-11</vt:lpstr>
      <vt:lpstr>30-11</vt:lpstr>
      <vt:lpstr>01-12</vt:lpstr>
      <vt:lpstr>04-12</vt:lpstr>
      <vt:lpstr>05-12</vt:lpstr>
      <vt:lpstr>06-12</vt:lpstr>
      <vt:lpstr>07-12</vt:lpstr>
      <vt:lpstr>11-12</vt:lpstr>
      <vt:lpstr>12-12</vt:lpstr>
      <vt:lpstr>13-12</vt:lpstr>
      <vt:lpstr>14-12</vt:lpstr>
      <vt:lpstr>15-12</vt:lpstr>
      <vt:lpstr>18-12</vt:lpstr>
      <vt:lpstr>19-12</vt:lpstr>
      <vt:lpstr>20-12</vt:lpstr>
      <vt:lpstr>21-12</vt:lpstr>
      <vt:lpstr>22-12</vt:lpstr>
      <vt:lpstr>26-12</vt:lpstr>
      <vt:lpstr>27-12</vt:lpstr>
      <vt:lpstr>28-12</vt:lpstr>
      <vt:lpstr>29-12</vt:lpstr>
      <vt:lpstr>02-01-2018</vt:lpstr>
      <vt:lpstr>03-01-2018</vt:lpstr>
      <vt:lpstr>04-01-2018</vt:lpstr>
      <vt:lpstr>05-01</vt:lpstr>
      <vt:lpstr>08-01</vt:lpstr>
      <vt:lpstr>09-01-2018</vt:lpstr>
      <vt:lpstr>10-01</vt:lpstr>
      <vt:lpstr>11-01</vt:lpstr>
      <vt:lpstr>12-01</vt:lpstr>
      <vt:lpstr>15-01</vt:lpstr>
      <vt:lpstr>17-01</vt:lpstr>
      <vt:lpstr>18-01</vt:lpstr>
      <vt:lpstr>19-01</vt:lpstr>
      <vt:lpstr>22-01</vt:lpstr>
      <vt:lpstr>23-01</vt:lpstr>
      <vt:lpstr>24-01</vt:lpstr>
      <vt:lpstr>25-01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Walker Santana</dc:creator>
  <cp:lastModifiedBy>Diego Posch Ponce</cp:lastModifiedBy>
  <dcterms:created xsi:type="dcterms:W3CDTF">2017-06-28T22:31:04Z</dcterms:created>
  <dcterms:modified xsi:type="dcterms:W3CDTF">2018-03-06T19:11:48Z</dcterms:modified>
</cp:coreProperties>
</file>
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Rates &amp; FX\DPP\Transacciones RFL\"/>
    </mc:Choice>
  </mc:AlternateContent>
  <xr:revisionPtr revIDLastSave="0" documentId="13_ncr:1_{901B2073-3E38-4273-ADD3-B44191144985}" xr6:coauthVersionLast="40" xr6:coauthVersionMax="40" xr10:uidLastSave="{00000000-0000-0000-0000-000000000000}"/>
  <bookViews>
    <workbookView xWindow="-120" yWindow="-120" windowWidth="29040" windowHeight="15840" activeTab="2" xr2:uid="{00000000-000D-0000-FFFF-FFFF00000000}"/>
  </bookViews>
  <sheets>
    <sheet name="TransaccionesIRF" sheetId="1" r:id="rId1"/>
    <sheet name="Subidos" sheetId="7" r:id="rId2"/>
    <sheet name="ResumenFondos" sheetId="6" r:id="rId3"/>
    <sheet name="Feriados" sheetId="5" state="hidden" r:id="rId4"/>
  </sheets>
  <functionGroups builtInGroupCount="19"/>
  <externalReferences>
    <externalReference r:id="rId5"/>
  </externalReferences>
  <definedNames>
    <definedName name="CIQWBGuid" hidden="1">"5a6841a3-688f-4d99-ae8e-4d6c11fc2ddf"</definedName>
    <definedName name="feriadosBCS">Feriados!$A$2:$A$464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"04/29/2016 20:05:17"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PUYEHUE_MesaInversiones_TransaccionesIIF" localSheetId="1" hidden="1">Subidos!$A$2:$S$6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7" i="1" l="1"/>
  <c r="V8" i="1" l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G60" i="6"/>
  <c r="H60" i="6"/>
  <c r="G61" i="6"/>
  <c r="H61" i="6"/>
  <c r="C60" i="6"/>
  <c r="D60" i="6"/>
  <c r="C61" i="6"/>
  <c r="D61" i="6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G55" i="6"/>
  <c r="H55" i="6"/>
  <c r="G56" i="6"/>
  <c r="H56" i="6"/>
  <c r="V44" i="1"/>
  <c r="V45" i="1"/>
  <c r="D22" i="6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H59" i="6"/>
  <c r="G59" i="6"/>
  <c r="H58" i="6"/>
  <c r="G58" i="6"/>
  <c r="H57" i="6"/>
  <c r="G57" i="6"/>
  <c r="H54" i="6"/>
  <c r="G54" i="6"/>
  <c r="H53" i="6"/>
  <c r="G53" i="6"/>
  <c r="H52" i="6"/>
  <c r="G52" i="6"/>
  <c r="H51" i="6"/>
  <c r="G51" i="6"/>
  <c r="H50" i="6"/>
  <c r="G50" i="6"/>
  <c r="H49" i="6"/>
  <c r="G49" i="6"/>
  <c r="H48" i="6"/>
  <c r="G48" i="6"/>
  <c r="H47" i="6"/>
  <c r="G47" i="6"/>
  <c r="H46" i="6"/>
  <c r="G46" i="6"/>
  <c r="H45" i="6"/>
  <c r="G45" i="6"/>
  <c r="H44" i="6"/>
  <c r="G44" i="6"/>
  <c r="H43" i="6"/>
  <c r="G43" i="6"/>
  <c r="H42" i="6"/>
  <c r="G42" i="6"/>
  <c r="H41" i="6"/>
  <c r="G41" i="6"/>
  <c r="H40" i="6"/>
  <c r="G40" i="6"/>
  <c r="H39" i="6"/>
  <c r="G39" i="6"/>
  <c r="H38" i="6"/>
  <c r="G38" i="6"/>
  <c r="H37" i="6"/>
  <c r="G37" i="6"/>
  <c r="H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C62" i="6" l="1"/>
  <c r="G62" i="6"/>
  <c r="D62" i="6"/>
  <c r="H6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PUYEHUE MesaInversiones TransaccionesIIF" type="5" refreshedVersion="6" background="1" saveData="1">
    <dbPr connection="Provider=SQLOLEDB.1;Integrated Security=SSPI;Persist Security Info=True;Initial Catalog=MesaInversiones;Data Source=PUYEHUE;Use Procedure for Prepare=1;Auto Translate=True;Packet Size=4096;Workstation ID=BCS15432;Use Encryption for Data=False;Tag with column collation when possible=False" command="SELECT [TransaccionesIRF].Fecha, [TransaccionesIRF].V, [TransaccionesIRF].OpV, [TransaccionesIRF].C, [TransaccionesIRF].OpC, [TransaccionesIRF].Rte, [TransaccionesIRF].Folio, [TransaccionesIRF].Instrumento, [TransaccionesIRF].Liq, [TransaccionesIRF].D, [TransaccionesIRF].Cantidad, [TransaccionesIRF].Moneda, [TransaccionesIRF].Plazo, [TransaccionesIRF].Duration, [TransaccionesIRF].Precio, [TransaccionesIRF].Tir, [TransaccionesIRF].Monto, [TransaccionesIRF].Vende, [TransaccionesIRF].Compra_x000d__x000a_FROM dbo.[TransaccionesIRF]_x000d__x000a_WHERE ([TransaccionesIRF].Fecha=(Select top 1 Fecha from [TransaccionesIRF] order by fecha desc ))_x000d__x000a_ORDER BY [TransaccionesIRF].Rte, [TransaccionesIRF].Instrumento"/>
  </connection>
</connections>
</file>

<file path=xl/sharedStrings.xml><?xml version="1.0" encoding="utf-8"?>
<sst xmlns="http://schemas.openxmlformats.org/spreadsheetml/2006/main" count="324" uniqueCount="179">
  <si>
    <t>V</t>
  </si>
  <si>
    <t>Op V</t>
  </si>
  <si>
    <t>C</t>
  </si>
  <si>
    <t>Op C</t>
  </si>
  <si>
    <t>Rte</t>
  </si>
  <si>
    <t>Folio</t>
  </si>
  <si>
    <t>Instrumento</t>
  </si>
  <si>
    <t>D</t>
  </si>
  <si>
    <t>Moneda</t>
  </si>
  <si>
    <t>Compra</t>
  </si>
  <si>
    <t>Vende</t>
  </si>
  <si>
    <t>Fondos Mutuos</t>
  </si>
  <si>
    <t>Liq</t>
  </si>
  <si>
    <t>Cantidad</t>
  </si>
  <si>
    <t>Plazo</t>
  </si>
  <si>
    <t>Durat</t>
  </si>
  <si>
    <t>Precio %</t>
  </si>
  <si>
    <t>TIR</t>
  </si>
  <si>
    <t>Monto $</t>
  </si>
  <si>
    <t>Hora</t>
  </si>
  <si>
    <t>Fecha</t>
  </si>
  <si>
    <t>OpV</t>
  </si>
  <si>
    <t>OpC</t>
  </si>
  <si>
    <t>Fondo</t>
  </si>
  <si>
    <t>Compras</t>
  </si>
  <si>
    <t>Ventas</t>
  </si>
  <si>
    <t>Duration</t>
  </si>
  <si>
    <t>Precio</t>
  </si>
  <si>
    <t>Tir</t>
  </si>
  <si>
    <t>Monto</t>
  </si>
  <si>
    <t>Suma operaciones que no son por fuera ni pactos (todo lo hecho por bolsa)</t>
  </si>
  <si>
    <t xml:space="preserve">Pesos y UF </t>
  </si>
  <si>
    <t>US$</t>
  </si>
  <si>
    <t>Date</t>
  </si>
  <si>
    <t>FechaLiq</t>
  </si>
  <si>
    <t>LIQUIDEZ</t>
  </si>
  <si>
    <t>M_MARKET</t>
  </si>
  <si>
    <t>DEUDA 360</t>
  </si>
  <si>
    <t>RENTA</t>
  </si>
  <si>
    <t>MACRO 1.5</t>
  </si>
  <si>
    <t>DEUDA CORP</t>
  </si>
  <si>
    <t>SPREADCORP</t>
  </si>
  <si>
    <t>IMT E-PLUS</t>
  </si>
  <si>
    <t>ASES_AIKE</t>
  </si>
  <si>
    <t>AIKE</t>
  </si>
  <si>
    <t>ALPES_IN09</t>
  </si>
  <si>
    <t>A.OLIVOS.V</t>
  </si>
  <si>
    <t>Andrés Olivos Valenzuela y Cía</t>
  </si>
  <si>
    <t>APOLO_09</t>
  </si>
  <si>
    <t>BALDRICH09</t>
  </si>
  <si>
    <t>Baldrich</t>
  </si>
  <si>
    <t>BENIDORMLT</t>
  </si>
  <si>
    <t>BENIDORM</t>
  </si>
  <si>
    <t>IN_BENS_I</t>
  </si>
  <si>
    <t>BENS I MERCAT</t>
  </si>
  <si>
    <t>FUND_CULTU</t>
  </si>
  <si>
    <t>Cultural Nacional</t>
  </si>
  <si>
    <t>FUN_DGOMAT</t>
  </si>
  <si>
    <t>Domingo Matte</t>
  </si>
  <si>
    <t>EPIFANIA</t>
  </si>
  <si>
    <t>Epifanía</t>
  </si>
  <si>
    <t>ESTONIA_3</t>
  </si>
  <si>
    <t>ESTONIA TRES</t>
  </si>
  <si>
    <t>IMT 3200</t>
  </si>
  <si>
    <t>FIP 3.200</t>
  </si>
  <si>
    <t>FIP_SANCAT</t>
  </si>
  <si>
    <t>FIP Sancata</t>
  </si>
  <si>
    <t>FUND.NUEST</t>
  </si>
  <si>
    <t>Fundación Nuestros Hijos</t>
  </si>
  <si>
    <t>HACHI_SPA</t>
  </si>
  <si>
    <t>HACHI SPA</t>
  </si>
  <si>
    <t>LA.CAMPANA</t>
  </si>
  <si>
    <t>Inversiones Cerro la Campana</t>
  </si>
  <si>
    <t>INV_MALLIN</t>
  </si>
  <si>
    <t>Inversiones El Mallín</t>
  </si>
  <si>
    <t>INMB_GILCO</t>
  </si>
  <si>
    <t>inversiones GILCO</t>
  </si>
  <si>
    <t>INV_IDE_09</t>
  </si>
  <si>
    <t>INVERSIONES IDE</t>
  </si>
  <si>
    <t>UNCASTILLO</t>
  </si>
  <si>
    <t>Inversiones Uncastillo</t>
  </si>
  <si>
    <t>FUN_ANIN10</t>
  </si>
  <si>
    <t>FUN_I.ANIN</t>
  </si>
  <si>
    <t>Isabel Aninat 9</t>
  </si>
  <si>
    <t>BANDURRIAS</t>
  </si>
  <si>
    <t>MAIHUE.LTA</t>
  </si>
  <si>
    <t>MARAÑON_LT</t>
  </si>
  <si>
    <t>INM_MIRAFL</t>
  </si>
  <si>
    <t>Miraflores</t>
  </si>
  <si>
    <t>MUTUALCGE</t>
  </si>
  <si>
    <t>Mutual CGE</t>
  </si>
  <si>
    <t>POLANCO</t>
  </si>
  <si>
    <t>Polanco y Diaz</t>
  </si>
  <si>
    <t>PTA_CHILCO</t>
  </si>
  <si>
    <t>RENTAS_HHB</t>
  </si>
  <si>
    <t>Rentas HHB</t>
  </si>
  <si>
    <t>IN_MANTO09</t>
  </si>
  <si>
    <t>CURACO_09</t>
  </si>
  <si>
    <t>Rio Curaco</t>
  </si>
  <si>
    <t>SAN.ESTEBA</t>
  </si>
  <si>
    <t>San Esteban</t>
  </si>
  <si>
    <t>DN_JOSELUI</t>
  </si>
  <si>
    <t>SAN LUIS</t>
  </si>
  <si>
    <t>STACARMEN</t>
  </si>
  <si>
    <t>SANTA CARMEN LTDA</t>
  </si>
  <si>
    <t>STA.ROSARI</t>
  </si>
  <si>
    <t>SANTA ROSARIO</t>
  </si>
  <si>
    <t>ST_DOMIN09</t>
  </si>
  <si>
    <t>SOFOFA</t>
  </si>
  <si>
    <t>TEMIS_SPA</t>
  </si>
  <si>
    <t>U.ANDES.10</t>
  </si>
  <si>
    <t>UANDES10</t>
  </si>
  <si>
    <t>U.ANDES.09</t>
  </si>
  <si>
    <t>UANDES9</t>
  </si>
  <si>
    <t>AVALCHILE</t>
  </si>
  <si>
    <t>MACRO CLP3</t>
  </si>
  <si>
    <t>FUND_CHILE</t>
  </si>
  <si>
    <t>Fundacion Chile</t>
  </si>
  <si>
    <t>Aval Chile</t>
  </si>
  <si>
    <t>GORDEJUELA</t>
  </si>
  <si>
    <t>LOS_CEDROS</t>
  </si>
  <si>
    <t>76040395-4</t>
  </si>
  <si>
    <t>77262880-3</t>
  </si>
  <si>
    <t>78042600-4</t>
  </si>
  <si>
    <t>78131590-7</t>
  </si>
  <si>
    <t>CRT</t>
  </si>
  <si>
    <t>76215815-9</t>
  </si>
  <si>
    <t>82378800-2</t>
  </si>
  <si>
    <t>82355500-8</t>
  </si>
  <si>
    <t>65049057-6</t>
  </si>
  <si>
    <t>76428500-K</t>
  </si>
  <si>
    <t>76891590-3</t>
  </si>
  <si>
    <t>76105899-1</t>
  </si>
  <si>
    <t>70300000-2</t>
  </si>
  <si>
    <t>72038400-0</t>
  </si>
  <si>
    <t>76299551-4</t>
  </si>
  <si>
    <t>79868170-2</t>
  </si>
  <si>
    <t>76010042-0</t>
  </si>
  <si>
    <t>87505300-0</t>
  </si>
  <si>
    <t>78707600-9</t>
  </si>
  <si>
    <t>76572330-2</t>
  </si>
  <si>
    <t>71334000-6</t>
  </si>
  <si>
    <t>Los Cedros</t>
  </si>
  <si>
    <t>65326020-2</t>
  </si>
  <si>
    <t>92464000-6</t>
  </si>
  <si>
    <t>70049700-3</t>
  </si>
  <si>
    <t>76033207-0</t>
  </si>
  <si>
    <t>76414585-2</t>
  </si>
  <si>
    <t>78718260-7</t>
  </si>
  <si>
    <t>77374290-1</t>
  </si>
  <si>
    <t>76560120-7</t>
  </si>
  <si>
    <t>76360894-8</t>
  </si>
  <si>
    <t>78136230-1</t>
  </si>
  <si>
    <t>70417500-0</t>
  </si>
  <si>
    <t>71614000-8</t>
  </si>
  <si>
    <t>FIP_CRT</t>
  </si>
  <si>
    <t>76363534-1</t>
  </si>
  <si>
    <t>96808580-8</t>
  </si>
  <si>
    <t>VIDA_TRES</t>
  </si>
  <si>
    <t>I_BANMEDIC</t>
  </si>
  <si>
    <t>96572800-7</t>
  </si>
  <si>
    <t>96502530-8</t>
  </si>
  <si>
    <t>BANMEDICA</t>
  </si>
  <si>
    <t>INVERS_K2</t>
  </si>
  <si>
    <t>96904050-6</t>
  </si>
  <si>
    <t>94322000-K</t>
  </si>
  <si>
    <t>NOGADELA</t>
  </si>
  <si>
    <t>ANDRESOLIV</t>
  </si>
  <si>
    <t>6064584-1</t>
  </si>
  <si>
    <t>UF</t>
  </si>
  <si>
    <t>PH</t>
  </si>
  <si>
    <t>PM</t>
  </si>
  <si>
    <t>2019-01-01</t>
  </si>
  <si>
    <t>T1</t>
  </si>
  <si>
    <t>2019-02-15</t>
  </si>
  <si>
    <t>E6</t>
  </si>
  <si>
    <t>BPARC-L</t>
  </si>
  <si>
    <t>BSWTR-E</t>
  </si>
  <si>
    <t>2019-07-15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</si>
</sst>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&quot;$&quot;* #,##0_);_(&quot;$&quot;* \(#,##0\);_(&quot;$&quot;* &quot;-&quot;_);_(@_)"/>
    <numFmt numFmtId="165" formatCode="_(* #,##0_);_(* \(#,##0\);_(* &quot;-&quot;_);_(@_)"/>
    <numFmt numFmtId="166" formatCode="_(* #,##0.00_);_(* \(#,##0.00\);_(* &quot;-&quot;??_);_(@_)"/>
    <numFmt numFmtId="167" formatCode="_(&quot;$&quot;* #,##0.00_);_(&quot;$&quot;* \(#,##0.00\);_(&quot;$&quot;* &quot;-&quot;??_);_(@_)"/>
    <numFmt numFmtId="168" formatCode="[$-F400]h:mm:ss\ AM/PM"/>
    <numFmt numFmtId="169" formatCode="_-&quot;$&quot;\ * #,##0_-;\-&quot;$&quot;\ * #,##0_-;_-&quot;$&quot;\ * &quot;-&quot;??_-;_-@_-"/>
    <numFmt numFmtId="170" formatCode="_([$USD]\ * #,##0.00_);_([$USD]\ * \(#,##0.00\);_([$USD]\ * &quot;-&quot;??_);_(@_)"/>
    <numFmt numFmtId="171" formatCode="0.000"/>
    <numFmt numFmtId="172" formatCode="dd/mm/yyyy;@"/>
    <numFmt numFmtId="173" formatCode="&quot;Verdadero&quot;;&quot;Verdadero&quot;;&quot;Falso&quot;"/>
    <numFmt numFmtId="174" formatCode="_-* #,##0.00\ _€_-;\-* #,##0.00\ _€_-;_-* &quot;-&quot;??\ _€_-;_-@_-"/>
    <numFmt numFmtId="175" formatCode="_(* #,##0.000_);_(* \(#,##0.000\);_(* &quot;-&quot;??_);_(@_)"/>
    <numFmt numFmtId="176" formatCode="_(* #,##0_);_(* \(#,##0\);_(* &quot;-&quot;??_);_(@_)"/>
    <numFmt numFmtId="177" formatCode="#,##0.000"/>
    <numFmt numFmtId="178" formatCode="_-* #,##0.00_-;\-* #,##0.00_-;_-* &quot;-&quot;??_-;_-@_-"/>
    <numFmt numFmtId="179" formatCode="_-&quot;$&quot;\ * #,##0.00_-;\-&quot;$&quot;\ * #,##0.00_-;_-&quot;$&quot;\ * &quot;-&quot;??_-;_-@_-"/>
    <numFmt numFmtId="180" formatCode="_-[$€-2]\ * #,##0.00_-;\-[$€-2]\ * #,##0.00_-;_-[$€-2]\ * &quot;-&quot;??_-"/>
    <numFmt numFmtId="181" formatCode="dd/mm/yy;@"/>
  </numFmts>
  <fonts count="30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Arial"/>
      <family val="2"/>
    </font>
    <font>
      <u/>
      <sz val="11"/>
      <color rgb="FF00019F"/>
      <name val="Calibri"/>
      <family val="2"/>
      <scheme val="minor"/>
    </font>
    <font>
      <u/>
      <sz val="11"/>
      <color rgb="FF400080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indexed="12"/>
      <name val="Helv"/>
    </font>
    <font>
      <sz val="10"/>
      <name val="Courier"/>
      <family val="3"/>
    </font>
    <font>
      <sz val="10"/>
      <name val="Helv"/>
    </font>
    <font>
      <sz val="10"/>
      <color indexed="24"/>
      <name val="Arial"/>
      <family val="2"/>
    </font>
    <font>
      <sz val="10"/>
      <name val="GillSans Light"/>
      <family val="2"/>
    </font>
    <font>
      <b/>
      <sz val="10"/>
      <name val="GillSans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87">
    <xf numFmtId="0" fontId="0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1" fillId="0" borderId="0"/>
    <xf numFmtId="166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74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3" fillId="2" borderId="6" applyNumberFormat="0" applyFont="0" applyAlignment="0" applyProtection="0"/>
    <xf numFmtId="0" fontId="9" fillId="2" borderId="6" applyNumberFormat="0" applyFont="0" applyAlignment="0" applyProtection="0"/>
    <xf numFmtId="0" fontId="3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0" fontId="9" fillId="2" borderId="6" applyNumberFormat="0" applyFont="0" applyAlignment="0" applyProtection="0"/>
    <xf numFmtId="9" fontId="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0" fontId="11" fillId="0" borderId="0"/>
    <xf numFmtId="0" fontId="12" fillId="0" borderId="0"/>
    <xf numFmtId="0" fontId="14" fillId="0" borderId="0">
      <alignment vertical="center"/>
    </xf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9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27" fillId="17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24" borderId="0" applyNumberFormat="0" applyBorder="0" applyAlignment="0" applyProtection="0"/>
    <xf numFmtId="0" fontId="19" fillId="7" borderId="0" applyNumberFormat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25" fillId="16" borderId="9" applyNumberFormat="0" applyAlignment="0" applyProtection="0"/>
    <xf numFmtId="38" fontId="13" fillId="0" borderId="0">
      <alignment horizontal="center"/>
      <protection locked="0"/>
    </xf>
    <xf numFmtId="0" fontId="6" fillId="0" borderId="0"/>
    <xf numFmtId="0" fontId="14" fillId="0" borderId="0">
      <alignment vertical="center"/>
    </xf>
    <xf numFmtId="180" fontId="6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1" fillId="0" borderId="10" applyNumberFormat="0" applyFill="0" applyAlignment="0" applyProtection="0"/>
    <xf numFmtId="0" fontId="22" fillId="0" borderId="11" applyNumberFormat="0" applyFill="0" applyAlignment="0" applyProtection="0"/>
    <xf numFmtId="0" fontId="23" fillId="0" borderId="12" applyNumberFormat="0" applyFill="0" applyAlignment="0" applyProtection="0"/>
    <xf numFmtId="174" fontId="9" fillId="0" borderId="0" applyFont="0" applyFill="0" applyBorder="0" applyAlignment="0" applyProtection="0"/>
    <xf numFmtId="178" fontId="6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9" fillId="0" borderId="0" applyFont="0" applyFill="0" applyBorder="0" applyAlignment="0" applyProtection="0"/>
    <xf numFmtId="178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12" fillId="0" borderId="0"/>
    <xf numFmtId="0" fontId="6" fillId="0" borderId="0" applyNumberFormat="0" applyFill="0" applyBorder="0" applyAlignment="0" applyProtection="0"/>
    <xf numFmtId="0" fontId="24" fillId="16" borderId="13" applyNumberFormat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1" fillId="0" borderId="0" applyFont="0" applyFill="0" applyBorder="0" applyAlignment="0" applyProtection="0"/>
    <xf numFmtId="3" fontId="16" fillId="0" borderId="0" applyFont="0" applyFill="0" applyBorder="0" applyAlignment="0" applyProtection="0"/>
    <xf numFmtId="0" fontId="15" fillId="0" borderId="0"/>
    <xf numFmtId="0" fontId="17" fillId="0" borderId="0" applyNumberFormat="0" applyFill="0" applyBorder="0" applyProtection="0">
      <alignment horizontal="right" vertical="center"/>
    </xf>
    <xf numFmtId="0" fontId="18" fillId="0" borderId="14" applyNumberFormat="0" applyFill="0" applyProtection="0">
      <alignment horizontal="right" vertical="center"/>
    </xf>
    <xf numFmtId="0" fontId="20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28" fillId="0" borderId="0"/>
    <xf numFmtId="0" fontId="28" fillId="0" borderId="0"/>
    <xf numFmtId="0" fontId="28" fillId="0" borderId="0"/>
    <xf numFmtId="164" fontId="3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169" fontId="0" fillId="0" borderId="0" xfId="1" applyNumberFormat="1" applyFont="1"/>
    <xf numFmtId="169" fontId="0" fillId="0" borderId="2" xfId="1" applyNumberFormat="1" applyFont="1" applyBorder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70" fontId="0" fillId="0" borderId="0" xfId="1" applyNumberFormat="1" applyFont="1"/>
    <xf numFmtId="170" fontId="0" fillId="0" borderId="2" xfId="1" applyNumberFormat="1" applyFont="1" applyBorder="1"/>
    <xf numFmtId="0" fontId="0" fillId="0" borderId="3" xfId="0" applyBorder="1"/>
    <xf numFmtId="170" fontId="2" fillId="0" borderId="4" xfId="0" applyNumberFormat="1" applyFont="1" applyBorder="1"/>
    <xf numFmtId="170" fontId="2" fillId="0" borderId="5" xfId="0" applyNumberFormat="1" applyFont="1" applyBorder="1"/>
    <xf numFmtId="0" fontId="1" fillId="0" borderId="0" xfId="0" applyFont="1"/>
    <xf numFmtId="169" fontId="0" fillId="0" borderId="4" xfId="0" applyNumberFormat="1" applyBorder="1"/>
    <xf numFmtId="169" fontId="0" fillId="0" borderId="5" xfId="0" applyNumberFormat="1" applyBorder="1"/>
    <xf numFmtId="0" fontId="0" fillId="0" borderId="4" xfId="0" applyBorder="1"/>
    <xf numFmtId="0" fontId="0" fillId="0" borderId="5" xfId="0" applyBorder="1"/>
    <xf numFmtId="169" fontId="0" fillId="0" borderId="0" xfId="0" applyNumberFormat="1"/>
    <xf numFmtId="169" fontId="0" fillId="0" borderId="2" xfId="0" applyNumberFormat="1" applyBorder="1"/>
    <xf numFmtId="170" fontId="0" fillId="0" borderId="0" xfId="0" applyNumberFormat="1"/>
    <xf numFmtId="170" fontId="0" fillId="0" borderId="2" xfId="0" applyNumberFormat="1" applyBorder="1"/>
    <xf numFmtId="4" fontId="0" fillId="0" borderId="0" xfId="0" applyNumberFormat="1"/>
    <xf numFmtId="3" fontId="0" fillId="0" borderId="0" xfId="0" applyNumberFormat="1"/>
    <xf numFmtId="0" fontId="0" fillId="3" borderId="0" xfId="0" applyFill="1" applyAlignment="1">
      <alignment horizontal="center"/>
    </xf>
    <xf numFmtId="166" fontId="0" fillId="3" borderId="0" xfId="6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6" applyFont="1" applyAlignment="1">
      <alignment horizontal="center"/>
    </xf>
    <xf numFmtId="171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6" fontId="0" fillId="0" borderId="0" xfId="6" applyNumberFormat="1" applyFont="1" applyAlignment="1">
      <alignment horizontal="center"/>
    </xf>
    <xf numFmtId="175" fontId="0" fillId="0" borderId="0" xfId="6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166" fontId="2" fillId="0" borderId="0" xfId="6" applyFont="1" applyAlignment="1">
      <alignment horizontal="center"/>
    </xf>
    <xf numFmtId="0" fontId="0" fillId="5" borderId="0" xfId="0" applyFill="1" applyAlignment="1">
      <alignment horizontal="center"/>
    </xf>
    <xf numFmtId="3" fontId="0" fillId="5" borderId="0" xfId="0" applyNumberFormat="1" applyFill="1" applyAlignment="1">
      <alignment horizontal="center"/>
    </xf>
    <xf numFmtId="16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/>
    </xf>
    <xf numFmtId="168" fontId="0" fillId="5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6" fontId="0" fillId="0" borderId="0" xfId="0" applyNumberFormat="1"/>
    <xf numFmtId="176" fontId="0" fillId="0" borderId="0" xfId="6" applyNumberFormat="1" applyFont="1"/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65" fontId="0" fillId="0" borderId="0" xfId="118" applyFont="1" applyAlignment="1">
      <alignment horizontal="center"/>
    </xf>
    <xf numFmtId="178" fontId="3" fillId="0" borderId="0" xfId="119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1" fontId="0" fillId="5" borderId="0" xfId="0" applyNumberFormat="1" applyFill="1" applyAlignment="1">
      <alignment horizontal="center"/>
    </xf>
    <xf numFmtId="166" fontId="29" fillId="25" borderId="0" xfId="0" applyNumberFormat="1" applyFont="1" applyFill="1" applyAlignment="1">
      <alignment horizontal="center" vertical="center"/>
    </xf>
    <xf numFmtId="176" fontId="29" fillId="25" borderId="0" xfId="6" applyNumberFormat="1" applyFont="1" applyFill="1" applyAlignment="1">
      <alignment horizontal="center" vertical="center"/>
    </xf>
    <xf numFmtId="181" fontId="5" fillId="0" borderId="0" xfId="0" applyNumberFormat="1" applyFont="1"/>
    <xf numFmtId="181" fontId="1" fillId="0" borderId="0" xfId="0" applyNumberFormat="1" applyFont="1"/>
    <xf numFmtId="165" fontId="0" fillId="5" borderId="0" xfId="118" applyFont="1" applyFill="1" applyAlignment="1">
      <alignment horizontal="center"/>
    </xf>
    <xf numFmtId="0" fontId="4" fillId="0" borderId="0" xfId="0" applyFont="1" applyAlignment="1">
      <alignment horizontal="center" vertical="center"/>
    </xf>
  </cellXfs>
  <cellStyles count="187">
    <cellStyle name=" 1" xfId="122" xr:uid="{00000000-0005-0000-0000-000000000000}"/>
    <cellStyle name="_x000a_386grabber=M" xfId="7" xr:uid="{00000000-0005-0000-0000-000000000000}"/>
    <cellStyle name="20% - Accent1" xfId="123" xr:uid="{00000000-0005-0000-0000-000002000000}"/>
    <cellStyle name="20% - Accent2" xfId="124" xr:uid="{00000000-0005-0000-0000-000003000000}"/>
    <cellStyle name="20% - Accent3" xfId="125" xr:uid="{00000000-0005-0000-0000-000004000000}"/>
    <cellStyle name="20% - Accent4" xfId="126" xr:uid="{00000000-0005-0000-0000-000005000000}"/>
    <cellStyle name="20% - Accent5" xfId="127" xr:uid="{00000000-0005-0000-0000-000006000000}"/>
    <cellStyle name="20% - Accent6" xfId="128" xr:uid="{00000000-0005-0000-0000-000007000000}"/>
    <cellStyle name="40% - Accent1" xfId="129" xr:uid="{00000000-0005-0000-0000-000008000000}"/>
    <cellStyle name="40% - Accent2" xfId="130" xr:uid="{00000000-0005-0000-0000-000009000000}"/>
    <cellStyle name="40% - Accent3" xfId="131" xr:uid="{00000000-0005-0000-0000-00000A000000}"/>
    <cellStyle name="40% - Accent4" xfId="132" xr:uid="{00000000-0005-0000-0000-00000B000000}"/>
    <cellStyle name="40% - Accent5" xfId="133" xr:uid="{00000000-0005-0000-0000-00000C000000}"/>
    <cellStyle name="40% - Accent6" xfId="134" xr:uid="{00000000-0005-0000-0000-00000D000000}"/>
    <cellStyle name="60% - Accent1" xfId="135" xr:uid="{00000000-0005-0000-0000-00000E000000}"/>
    <cellStyle name="60% - Accent2" xfId="136" xr:uid="{00000000-0005-0000-0000-00000F000000}"/>
    <cellStyle name="60% - Accent3" xfId="137" xr:uid="{00000000-0005-0000-0000-000010000000}"/>
    <cellStyle name="60% - Accent4" xfId="138" xr:uid="{00000000-0005-0000-0000-000011000000}"/>
    <cellStyle name="60% - Accent5" xfId="139" xr:uid="{00000000-0005-0000-0000-000012000000}"/>
    <cellStyle name="60% - Accent6" xfId="140" xr:uid="{00000000-0005-0000-0000-000013000000}"/>
    <cellStyle name="Accent1" xfId="141" xr:uid="{00000000-0005-0000-0000-000014000000}"/>
    <cellStyle name="Accent2" xfId="142" xr:uid="{00000000-0005-0000-0000-000015000000}"/>
    <cellStyle name="Accent3" xfId="143" xr:uid="{00000000-0005-0000-0000-000016000000}"/>
    <cellStyle name="Accent4" xfId="144" xr:uid="{00000000-0005-0000-0000-000017000000}"/>
    <cellStyle name="Accent5" xfId="145" xr:uid="{00000000-0005-0000-0000-000018000000}"/>
    <cellStyle name="Accent6" xfId="146" xr:uid="{00000000-0005-0000-0000-000019000000}"/>
    <cellStyle name="Bad" xfId="147" xr:uid="{00000000-0005-0000-0000-00001A000000}"/>
    <cellStyle name="bstitutes]_x000a__x000a_; The following mappings take Word for MS-DOS names, PostScript names, and TrueType_x000a__x000a_; names into account" xfId="148" xr:uid="{00000000-0005-0000-0000-00001B000000}"/>
    <cellStyle name="bstitutes]_x000d__x000a_; The following mappings take Word for MS-DOS names, PostScript names, and TrueType_x000d__x000a_; names into account" xfId="149" xr:uid="{00000000-0005-0000-0000-00001C000000}"/>
    <cellStyle name="Calculation" xfId="150" xr:uid="{00000000-0005-0000-0000-00001D000000}"/>
    <cellStyle name="Comma [1]" xfId="151" xr:uid="{00000000-0005-0000-0000-00001E000000}"/>
    <cellStyle name="Diseño" xfId="152" xr:uid="{00000000-0005-0000-0000-00001F000000}"/>
    <cellStyle name="Estilo 1" xfId="153" xr:uid="{00000000-0005-0000-0000-000020000000}"/>
    <cellStyle name="Euro" xfId="154" xr:uid="{00000000-0005-0000-0000-000021000000}"/>
    <cellStyle name="Explanatory Text" xfId="155" xr:uid="{00000000-0005-0000-0000-000022000000}"/>
    <cellStyle name="F8 - Estilo5" xfId="156" xr:uid="{00000000-0005-0000-0000-000023000000}"/>
    <cellStyle name="Heading 1" xfId="157" xr:uid="{00000000-0005-0000-0000-000024000000}"/>
    <cellStyle name="Heading 2" xfId="158" xr:uid="{00000000-0005-0000-0000-000025000000}"/>
    <cellStyle name="Heading 3" xfId="159" xr:uid="{00000000-0005-0000-0000-000026000000}"/>
    <cellStyle name="Hipervínculo 2 2" xfId="8" xr:uid="{00000000-0005-0000-0000-000001000000}"/>
    <cellStyle name="Hipervínculo 3 2" xfId="9" xr:uid="{00000000-0005-0000-0000-000002000000}"/>
    <cellStyle name="Hipervínculo visitado 2 2" xfId="10" xr:uid="{00000000-0005-0000-0000-000003000000}"/>
    <cellStyle name="Hipervínculo visitado 3 2" xfId="11" xr:uid="{00000000-0005-0000-0000-000004000000}"/>
    <cellStyle name="Millares" xfId="6" builtinId="3"/>
    <cellStyle name="Millares [0]" xfId="118" builtinId="6"/>
    <cellStyle name="Millares [0] 2" xfId="182" xr:uid="{00000000-0005-0000-0000-0000C9000000}"/>
    <cellStyle name="Millares 10" xfId="12" xr:uid="{00000000-0005-0000-0000-000006000000}"/>
    <cellStyle name="Millares 11" xfId="13" xr:uid="{00000000-0005-0000-0000-000007000000}"/>
    <cellStyle name="Millares 16" xfId="119" xr:uid="{D6171491-10F5-4F38-A805-636550203D19}"/>
    <cellStyle name="Millares 2" xfId="3" xr:uid="{00000000-0005-0000-0000-000008000000}"/>
    <cellStyle name="Millares 2 2" xfId="14" xr:uid="{00000000-0005-0000-0000-000009000000}"/>
    <cellStyle name="Millares 2 2 2" xfId="161" xr:uid="{00000000-0005-0000-0000-000029000000}"/>
    <cellStyle name="Millares 2 3" xfId="15" xr:uid="{00000000-0005-0000-0000-00000A000000}"/>
    <cellStyle name="Millares 2 3 2" xfId="162" xr:uid="{00000000-0005-0000-0000-00002A000000}"/>
    <cellStyle name="Millares 2 4" xfId="160" xr:uid="{00000000-0005-0000-0000-000028000000}"/>
    <cellStyle name="Millares 3" xfId="16" xr:uid="{00000000-0005-0000-0000-00000B000000}"/>
    <cellStyle name="Millares 3 2" xfId="17" xr:uid="{00000000-0005-0000-0000-00000C000000}"/>
    <cellStyle name="Millares 3 2 2" xfId="164" xr:uid="{00000000-0005-0000-0000-00002C000000}"/>
    <cellStyle name="Millares 3 3" xfId="163" xr:uid="{00000000-0005-0000-0000-00002B000000}"/>
    <cellStyle name="Millares 4" xfId="18" xr:uid="{00000000-0005-0000-0000-00000D000000}"/>
    <cellStyle name="Millares 4 2" xfId="165" xr:uid="{00000000-0005-0000-0000-00002D000000}"/>
    <cellStyle name="Millares 5" xfId="19" xr:uid="{00000000-0005-0000-0000-00000E000000}"/>
    <cellStyle name="Millares 6" xfId="20" xr:uid="{00000000-0005-0000-0000-00000F000000}"/>
    <cellStyle name="Millares 6 2" xfId="21" xr:uid="{00000000-0005-0000-0000-000010000000}"/>
    <cellStyle name="Millares 7" xfId="22" xr:uid="{00000000-0005-0000-0000-000011000000}"/>
    <cellStyle name="Millares 8" xfId="23" xr:uid="{00000000-0005-0000-0000-000012000000}"/>
    <cellStyle name="Millares 9" xfId="24" xr:uid="{00000000-0005-0000-0000-000013000000}"/>
    <cellStyle name="Millares 9 2" xfId="25" xr:uid="{00000000-0005-0000-0000-000014000000}"/>
    <cellStyle name="Moneda" xfId="1" builtinId="4"/>
    <cellStyle name="Moneda [0] 2" xfId="186" xr:uid="{00000000-0005-0000-0000-0000D1000000}"/>
    <cellStyle name="Moneda 2" xfId="4" xr:uid="{00000000-0005-0000-0000-000016000000}"/>
    <cellStyle name="Moneda 3" xfId="2" xr:uid="{00000000-0005-0000-0000-000017000000}"/>
    <cellStyle name="Moneda 4" xfId="181" xr:uid="{00000000-0005-0000-0000-0000D0000000}"/>
    <cellStyle name="Normal" xfId="0" builtinId="0"/>
    <cellStyle name="Normal 11" xfId="166" xr:uid="{00000000-0005-0000-0000-000030000000}"/>
    <cellStyle name="Normal 2" xfId="5" xr:uid="{00000000-0005-0000-0000-000019000000}"/>
    <cellStyle name="Normal 2 2" xfId="26" xr:uid="{00000000-0005-0000-0000-00001A000000}"/>
    <cellStyle name="Normal 2 2 2" xfId="167" xr:uid="{00000000-0005-0000-0000-000032000000}"/>
    <cellStyle name="Normal 2 3" xfId="27" xr:uid="{00000000-0005-0000-0000-00001B000000}"/>
    <cellStyle name="Normal 2 4" xfId="168" xr:uid="{00000000-0005-0000-0000-000034000000}"/>
    <cellStyle name="Normal 2 5" xfId="169" xr:uid="{00000000-0005-0000-0000-000035000000}"/>
    <cellStyle name="Normal 2_2008 11 13 Archivo Maestro" xfId="170" xr:uid="{00000000-0005-0000-0000-000036000000}"/>
    <cellStyle name="Normal 3" xfId="28" xr:uid="{00000000-0005-0000-0000-00001C000000}"/>
    <cellStyle name="Normal 4" xfId="29" xr:uid="{00000000-0005-0000-0000-00001D000000}"/>
    <cellStyle name="Normal 4 2" xfId="30" xr:uid="{00000000-0005-0000-0000-00001E000000}"/>
    <cellStyle name="Normal 4 2 2" xfId="120" xr:uid="{00000000-0005-0000-0000-000039000000}"/>
    <cellStyle name="Normal 4 3" xfId="31" xr:uid="{00000000-0005-0000-0000-00001F000000}"/>
    <cellStyle name="Normal 4 4" xfId="121" xr:uid="{00000000-0005-0000-0000-000038000000}"/>
    <cellStyle name="Normal 5" xfId="32" xr:uid="{00000000-0005-0000-0000-000020000000}"/>
    <cellStyle name="Normal 5 2" xfId="183" xr:uid="{00000000-0005-0000-0000-000077000000}"/>
    <cellStyle name="Normal 6" xfId="33" xr:uid="{00000000-0005-0000-0000-000021000000}"/>
    <cellStyle name="Normal 6 2" xfId="184" xr:uid="{00000000-0005-0000-0000-000078000000}"/>
    <cellStyle name="Normal 7" xfId="34" xr:uid="{00000000-0005-0000-0000-000022000000}"/>
    <cellStyle name="Normal 7 2" xfId="185" xr:uid="{00000000-0005-0000-0000-000079000000}"/>
    <cellStyle name="Normal 8" xfId="35" xr:uid="{00000000-0005-0000-0000-000023000000}"/>
    <cellStyle name="Normal 9" xfId="36" xr:uid="{00000000-0005-0000-0000-000024000000}"/>
    <cellStyle name="Notas 10" xfId="37" xr:uid="{00000000-0005-0000-0000-000025000000}"/>
    <cellStyle name="Notas 10 2" xfId="38" xr:uid="{00000000-0005-0000-0000-000026000000}"/>
    <cellStyle name="Notas 11" xfId="39" xr:uid="{00000000-0005-0000-0000-000027000000}"/>
    <cellStyle name="Notas 11 2" xfId="40" xr:uid="{00000000-0005-0000-0000-000028000000}"/>
    <cellStyle name="Notas 12" xfId="41" xr:uid="{00000000-0005-0000-0000-000029000000}"/>
    <cellStyle name="Notas 12 2" xfId="42" xr:uid="{00000000-0005-0000-0000-00002A000000}"/>
    <cellStyle name="Notas 13" xfId="43" xr:uid="{00000000-0005-0000-0000-00002B000000}"/>
    <cellStyle name="Notas 13 2" xfId="44" xr:uid="{00000000-0005-0000-0000-00002C000000}"/>
    <cellStyle name="Notas 14" xfId="45" xr:uid="{00000000-0005-0000-0000-00002D000000}"/>
    <cellStyle name="Notas 14 2" xfId="46" xr:uid="{00000000-0005-0000-0000-00002E000000}"/>
    <cellStyle name="Notas 15" xfId="47" xr:uid="{00000000-0005-0000-0000-00002F000000}"/>
    <cellStyle name="Notas 15 2" xfId="48" xr:uid="{00000000-0005-0000-0000-000030000000}"/>
    <cellStyle name="Notas 16" xfId="49" xr:uid="{00000000-0005-0000-0000-000031000000}"/>
    <cellStyle name="Notas 16 2" xfId="50" xr:uid="{00000000-0005-0000-0000-000032000000}"/>
    <cellStyle name="Notas 17" xfId="51" xr:uid="{00000000-0005-0000-0000-000033000000}"/>
    <cellStyle name="Notas 17 2" xfId="52" xr:uid="{00000000-0005-0000-0000-000034000000}"/>
    <cellStyle name="Notas 18" xfId="53" xr:uid="{00000000-0005-0000-0000-000035000000}"/>
    <cellStyle name="Notas 18 2" xfId="54" xr:uid="{00000000-0005-0000-0000-000036000000}"/>
    <cellStyle name="Notas 19" xfId="55" xr:uid="{00000000-0005-0000-0000-000037000000}"/>
    <cellStyle name="Notas 19 2" xfId="56" xr:uid="{00000000-0005-0000-0000-000038000000}"/>
    <cellStyle name="Notas 2 2" xfId="57" xr:uid="{00000000-0005-0000-0000-000039000000}"/>
    <cellStyle name="Notas 2 3" xfId="58" xr:uid="{00000000-0005-0000-0000-00003A000000}"/>
    <cellStyle name="Notas 20" xfId="59" xr:uid="{00000000-0005-0000-0000-00003B000000}"/>
    <cellStyle name="Notas 20 2" xfId="60" xr:uid="{00000000-0005-0000-0000-00003C000000}"/>
    <cellStyle name="Notas 21" xfId="61" xr:uid="{00000000-0005-0000-0000-00003D000000}"/>
    <cellStyle name="Notas 21 2" xfId="62" xr:uid="{00000000-0005-0000-0000-00003E000000}"/>
    <cellStyle name="Notas 22" xfId="63" xr:uid="{00000000-0005-0000-0000-00003F000000}"/>
    <cellStyle name="Notas 22 2" xfId="64" xr:uid="{00000000-0005-0000-0000-000040000000}"/>
    <cellStyle name="Notas 23" xfId="65" xr:uid="{00000000-0005-0000-0000-000041000000}"/>
    <cellStyle name="Notas 23 2" xfId="66" xr:uid="{00000000-0005-0000-0000-000042000000}"/>
    <cellStyle name="Notas 24" xfId="67" xr:uid="{00000000-0005-0000-0000-000043000000}"/>
    <cellStyle name="Notas 24 2" xfId="68" xr:uid="{00000000-0005-0000-0000-000044000000}"/>
    <cellStyle name="Notas 25" xfId="69" xr:uid="{00000000-0005-0000-0000-000045000000}"/>
    <cellStyle name="Notas 25 2" xfId="70" xr:uid="{00000000-0005-0000-0000-000046000000}"/>
    <cellStyle name="Notas 26" xfId="71" xr:uid="{00000000-0005-0000-0000-000047000000}"/>
    <cellStyle name="Notas 3 2" xfId="72" xr:uid="{00000000-0005-0000-0000-000048000000}"/>
    <cellStyle name="Notas 3 3" xfId="73" xr:uid="{00000000-0005-0000-0000-000049000000}"/>
    <cellStyle name="Notas 4 2" xfId="74" xr:uid="{00000000-0005-0000-0000-00004A000000}"/>
    <cellStyle name="Notas 4 3" xfId="75" xr:uid="{00000000-0005-0000-0000-00004B000000}"/>
    <cellStyle name="Notas 5 2" xfId="76" xr:uid="{00000000-0005-0000-0000-00004C000000}"/>
    <cellStyle name="Notas 5 3" xfId="77" xr:uid="{00000000-0005-0000-0000-00004D000000}"/>
    <cellStyle name="Notas 5 4" xfId="78" xr:uid="{00000000-0005-0000-0000-00004E000000}"/>
    <cellStyle name="Notas 5 4 2" xfId="79" xr:uid="{00000000-0005-0000-0000-00004F000000}"/>
    <cellStyle name="Notas 6 2" xfId="80" xr:uid="{00000000-0005-0000-0000-000050000000}"/>
    <cellStyle name="Notas 6 3" xfId="81" xr:uid="{00000000-0005-0000-0000-000051000000}"/>
    <cellStyle name="Notas 6 4" xfId="82" xr:uid="{00000000-0005-0000-0000-000052000000}"/>
    <cellStyle name="Notas 6 4 2" xfId="83" xr:uid="{00000000-0005-0000-0000-000053000000}"/>
    <cellStyle name="Notas 7 2" xfId="84" xr:uid="{00000000-0005-0000-0000-000054000000}"/>
    <cellStyle name="Notas 7 3" xfId="85" xr:uid="{00000000-0005-0000-0000-000055000000}"/>
    <cellStyle name="Notas 7 4" xfId="86" xr:uid="{00000000-0005-0000-0000-000056000000}"/>
    <cellStyle name="Notas 7 4 2" xfId="87" xr:uid="{00000000-0005-0000-0000-000057000000}"/>
    <cellStyle name="Notas 8 2" xfId="88" xr:uid="{00000000-0005-0000-0000-000058000000}"/>
    <cellStyle name="Notas 8 3" xfId="89" xr:uid="{00000000-0005-0000-0000-000059000000}"/>
    <cellStyle name="Notas 8 4" xfId="90" xr:uid="{00000000-0005-0000-0000-00005A000000}"/>
    <cellStyle name="Notas 8 4 2" xfId="91" xr:uid="{00000000-0005-0000-0000-00005B000000}"/>
    <cellStyle name="Notas 9" xfId="92" xr:uid="{00000000-0005-0000-0000-00005C000000}"/>
    <cellStyle name="Notas 9 2" xfId="93" xr:uid="{00000000-0005-0000-0000-00005D000000}"/>
    <cellStyle name="Output" xfId="171" xr:uid="{00000000-0005-0000-0000-00003A000000}"/>
    <cellStyle name="Porcentaje 2" xfId="94" xr:uid="{00000000-0005-0000-0000-00005E000000}"/>
    <cellStyle name="Porcentaje 3" xfId="95" xr:uid="{00000000-0005-0000-0000-00005F000000}"/>
    <cellStyle name="Porcentaje 4" xfId="96" xr:uid="{00000000-0005-0000-0000-000060000000}"/>
    <cellStyle name="Porcentaje 4 2" xfId="97" xr:uid="{00000000-0005-0000-0000-000061000000}"/>
    <cellStyle name="Porcentaje 5" xfId="98" xr:uid="{00000000-0005-0000-0000-000062000000}"/>
    <cellStyle name="Porcentaje 5 2" xfId="99" xr:uid="{00000000-0005-0000-0000-000063000000}"/>
    <cellStyle name="Porcentaje 6" xfId="100" xr:uid="{00000000-0005-0000-0000-000064000000}"/>
    <cellStyle name="Porcentaje 7" xfId="101" xr:uid="{00000000-0005-0000-0000-000065000000}"/>
    <cellStyle name="Porcentual 2" xfId="102" xr:uid="{00000000-0005-0000-0000-000066000000}"/>
    <cellStyle name="Porcentual 2 2" xfId="103" xr:uid="{00000000-0005-0000-0000-000067000000}"/>
    <cellStyle name="Porcentual 2 3" xfId="104" xr:uid="{00000000-0005-0000-0000-000068000000}"/>
    <cellStyle name="Porcentual 2 4" xfId="105" xr:uid="{00000000-0005-0000-0000-000069000000}"/>
    <cellStyle name="Porcentual 3" xfId="106" xr:uid="{00000000-0005-0000-0000-00006A000000}"/>
    <cellStyle name="Porcentual 3 2" xfId="107" xr:uid="{00000000-0005-0000-0000-00006B000000}"/>
    <cellStyle name="Porcentual 3 2 2" xfId="108" xr:uid="{00000000-0005-0000-0000-00006C000000}"/>
    <cellStyle name="Porcentual 3 2 3" xfId="109" xr:uid="{00000000-0005-0000-0000-00006D000000}"/>
    <cellStyle name="Porcentual 3 2 4" xfId="172" xr:uid="{00000000-0005-0000-0000-000041000000}"/>
    <cellStyle name="Porcentual 3 3" xfId="110" xr:uid="{00000000-0005-0000-0000-00006E000000}"/>
    <cellStyle name="Porcentual 3 4" xfId="111" xr:uid="{00000000-0005-0000-0000-00006F000000}"/>
    <cellStyle name="Porcentual 4" xfId="112" xr:uid="{00000000-0005-0000-0000-000070000000}"/>
    <cellStyle name="Porcentual 4 2" xfId="113" xr:uid="{00000000-0005-0000-0000-000071000000}"/>
    <cellStyle name="Porcentual 4 3" xfId="173" xr:uid="{00000000-0005-0000-0000-000042000000}"/>
    <cellStyle name="Porcentual 5" xfId="114" xr:uid="{00000000-0005-0000-0000-000072000000}"/>
    <cellStyle name="Porcentual 5 2" xfId="115" xr:uid="{00000000-0005-0000-0000-000073000000}"/>
    <cellStyle name="Porcentual 5 2 2" xfId="174" xr:uid="{00000000-0005-0000-0000-000045000000}"/>
    <cellStyle name="Porcentual 5 3" xfId="116" xr:uid="{00000000-0005-0000-0000-000074000000}"/>
    <cellStyle name="Porcentual 6" xfId="175" xr:uid="{00000000-0005-0000-0000-000046000000}"/>
    <cellStyle name="Porcentual 8" xfId="117" xr:uid="{00000000-0005-0000-0000-000075000000}"/>
    <cellStyle name="Punto0" xfId="176" xr:uid="{00000000-0005-0000-0000-000047000000}"/>
    <cellStyle name="Punto0 - Estilo6" xfId="177" xr:uid="{00000000-0005-0000-0000-000048000000}"/>
    <cellStyle name="Right" xfId="178" xr:uid="{00000000-0005-0000-0000-000049000000}"/>
    <cellStyle name="Subtotal_right" xfId="179" xr:uid="{00000000-0005-0000-0000-00004A000000}"/>
    <cellStyle name="Title" xfId="180" xr:uid="{00000000-0005-0000-0000-00004B000000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([$USD]\ * #,##0.00_);_([$USD]\ * \(#,##0.00\);_([$USD]\ * &quot;-&quot;??_);_(@_)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([$USD]\ * #,##0.00_);_([$USD]\ * \(#,##0.00\);_([$USD]\ * &quot;-&quot;??_);_(@_)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&quot;$&quot;\ * #,##0_-;\-&quot;$&quot;\ * #,##0_-;_-&quot;$&quot;\ * &quot;-&quot;??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_-&quot;$&quot;\ * #,##0_-;\-&quot;$&quot;\ * #,##0_-;_-&quot;$&quot;\ * &quot;-&quot;??_-;_-@_-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&quot;$&quot;\ * #,##0_-;\-&quot;$&quot;\ * #,##0_-;_-&quot;$&quot;\ * &quot;-&quot;??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_-&quot;$&quot;\ * #,##0_-;\-&quot;$&quot;\ * #,##0_-;_-&quot;$&quot;\ * &quot;-&quot;??_-;_-@_-"/>
    </dxf>
    <dxf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top style="medium">
          <color indexed="64"/>
        </top>
        <vertical/>
        <horizontal/>
      </border>
    </dxf>
    <dxf>
      <border outline="0"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76" formatCode="_(* #,##0_);_(* \(#,##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76" formatCode="_(* #,##0_);_(* \(#,##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_(* #,##0.00_);_(* \(#,##0.00\);_(* &quot;-&quot;??_);_(@_)"/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190500</xdr:rowOff>
        </xdr:from>
        <xdr:to>
          <xdr:col>10</xdr:col>
          <xdr:colOff>904875</xdr:colOff>
          <xdr:row>3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Upload del Remate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180975</xdr:rowOff>
        </xdr:from>
        <xdr:to>
          <xdr:col>14</xdr:col>
          <xdr:colOff>523875</xdr:colOff>
          <xdr:row>3</xdr:row>
          <xdr:rowOff>142875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nominales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180975</xdr:rowOff>
        </xdr:from>
        <xdr:to>
          <xdr:col>0</xdr:col>
          <xdr:colOff>1495425</xdr:colOff>
          <xdr:row>6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cooperb\AppData\Local\Microsoft\Windows\Temporary%20Internet%20Files\Content.Outlook\AN0HB0QM\TransaccionesII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accionesIIF"/>
      <sheetName val="Subidos"/>
      <sheetName val="ResumenFondos"/>
      <sheetName val="Feriados"/>
      <sheetName val="Emisores"/>
      <sheetName val="Hoja1"/>
    </sheetNames>
    <definedNames>
      <definedName name="ActualizarYaSubidos"/>
    </definedNames>
    <sheetDataSet>
      <sheetData sheetId="0"/>
      <sheetData sheetId="1"/>
      <sheetData sheetId="2"/>
      <sheetData sheetId="3">
        <row r="2">
          <cell r="A2">
            <v>41275</v>
          </cell>
        </row>
      </sheetData>
      <sheetData sheetId="4"/>
      <sheetData sheetId="5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UYEHUE MesaInversiones TransaccionesIIF" connectionId="1" xr16:uid="{00000000-0016-0000-0100-000000000000}" autoFormatId="16" applyNumberFormats="0" applyBorderFormats="0" applyFontFormats="0" applyPatternFormats="0" applyAlignmentFormats="0" applyWidthHeightFormats="0">
  <queryTableRefresh nextId="27">
    <queryTableFields count="19">
      <queryTableField id="1" name="Fecha" tableColumnId="1"/>
      <queryTableField id="2" name="V" tableColumnId="2"/>
      <queryTableField id="3" name="OpV" tableColumnId="3"/>
      <queryTableField id="4" name="C" tableColumnId="4"/>
      <queryTableField id="5" name="OpC" tableColumnId="5"/>
      <queryTableField id="6" name="Rte" tableColumnId="6"/>
      <queryTableField id="7" name="Folio" tableColumnId="7"/>
      <queryTableField id="8" name="Instrumento" tableColumnId="8"/>
      <queryTableField id="10" name="Liq" tableColumnId="10"/>
      <queryTableField id="11" name="D" tableColumnId="11"/>
      <queryTableField id="13" name="Moneda" tableColumnId="13"/>
      <queryTableField id="17" name="Vende" tableColumnId="17"/>
      <queryTableField id="18" name="Compra" tableColumnId="18"/>
      <queryTableField id="21" name="Cantidad" tableColumnId="9"/>
      <queryTableField id="22" name="Plazo" tableColumnId="12"/>
      <queryTableField id="23" name="Duration" tableColumnId="14"/>
      <queryTableField id="24" name="Precio" tableColumnId="15"/>
      <queryTableField id="25" name="Tir" tableColumnId="16"/>
      <queryTableField id="26" name="Monto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_PUYEHUE_MesaInversiones_TransaccionesIIF" displayName="Tabla_PUYEHUE_MesaInversiones_TransaccionesIIF" ref="A2:S6" tableType="queryTable" totalsRowShown="0" dataDxfId="35">
  <tableColumns count="19">
    <tableColumn id="1" xr3:uid="{00000000-0010-0000-0000-000001000000}" uniqueName="1" name="Fecha" queryTableFieldId="1" dataDxfId="34"/>
    <tableColumn id="2" xr3:uid="{00000000-0010-0000-0000-000002000000}" uniqueName="2" name="V" queryTableFieldId="2" dataDxfId="33"/>
    <tableColumn id="3" xr3:uid="{00000000-0010-0000-0000-000003000000}" uniqueName="3" name="OpV" queryTableFieldId="3" dataDxfId="32"/>
    <tableColumn id="4" xr3:uid="{00000000-0010-0000-0000-000004000000}" uniqueName="4" name="C" queryTableFieldId="4" dataDxfId="31"/>
    <tableColumn id="5" xr3:uid="{00000000-0010-0000-0000-000005000000}" uniqueName="5" name="OpC" queryTableFieldId="5" dataDxfId="30"/>
    <tableColumn id="6" xr3:uid="{00000000-0010-0000-0000-000006000000}" uniqueName="6" name="Rte" queryTableFieldId="6" dataDxfId="29"/>
    <tableColumn id="7" xr3:uid="{00000000-0010-0000-0000-000007000000}" uniqueName="7" name="Folio" queryTableFieldId="7" dataDxfId="28"/>
    <tableColumn id="8" xr3:uid="{00000000-0010-0000-0000-000008000000}" uniqueName="8" name="Instrumento" queryTableFieldId="8" dataDxfId="27"/>
    <tableColumn id="10" xr3:uid="{00000000-0010-0000-0000-00000A000000}" uniqueName="10" name="Liq" queryTableFieldId="10" dataDxfId="26"/>
    <tableColumn id="11" xr3:uid="{00000000-0010-0000-0000-00000B000000}" uniqueName="11" name="D" queryTableFieldId="11" dataDxfId="25"/>
    <tableColumn id="13" xr3:uid="{00000000-0010-0000-0000-00000D000000}" uniqueName="13" name="Moneda" queryTableFieldId="13" dataDxfId="24"/>
    <tableColumn id="17" xr3:uid="{00000000-0010-0000-0000-000011000000}" uniqueName="17" name="Vende" queryTableFieldId="17" dataDxfId="23"/>
    <tableColumn id="18" xr3:uid="{00000000-0010-0000-0000-000012000000}" uniqueName="18" name="Compra" queryTableFieldId="18" dataDxfId="22"/>
    <tableColumn id="9" xr3:uid="{00000000-0010-0000-0000-000009000000}" uniqueName="9" name="Cantidad" queryTableFieldId="21" dataDxfId="21" dataCellStyle="Millares"/>
    <tableColumn id="12" xr3:uid="{00000000-0010-0000-0000-00000C000000}" uniqueName="12" name="Plazo" queryTableFieldId="22" dataDxfId="20"/>
    <tableColumn id="14" xr3:uid="{00000000-0010-0000-0000-00000E000000}" uniqueName="14" name="Duration" queryTableFieldId="23" dataDxfId="19"/>
    <tableColumn id="15" xr3:uid="{00000000-0010-0000-0000-00000F000000}" uniqueName="15" name="Precio" queryTableFieldId="24" dataDxfId="18"/>
    <tableColumn id="16" xr3:uid="{00000000-0010-0000-0000-000010000000}" uniqueName="16" name="Tir" queryTableFieldId="25" dataDxfId="17"/>
    <tableColumn id="19" xr3:uid="{00000000-0010-0000-0000-000013000000}" uniqueName="19" name="Monto" queryTableFieldId="26" dataDxfId="16" dataCellStyle="Millare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2:D62" totalsRowCount="1" headerRowDxfId="15" headerRowBorderDxfId="14" tableBorderDxfId="13" totalsRowBorderDxfId="12">
  <autoFilter ref="B2:D61" xr:uid="{00000000-0009-0000-0100-000002000000}"/>
  <tableColumns count="3">
    <tableColumn id="1" xr3:uid="{00000000-0010-0000-0100-000001000000}" name="Fondo" dataDxfId="11" totalsRowDxfId="10"/>
    <tableColumn id="3" xr3:uid="{00000000-0010-0000-0100-000003000000}" name="Ventas" totalsRowFunction="custom" dataDxfId="9" totalsRowDxfId="8">
      <calculatedColumnFormula>+SUMIFS(Subidos!$S:$S,Subidos!$L:$L,ResumenFondos!$B3,Subidos!$K:$K,"&lt;&gt;UD",Subidos!$F:$F,"&lt;&gt;P",Subidos!$F:$F,"&lt;&gt;F",Subidos!$F:$F,"&lt;&gt;C")</calculatedColumnFormula>
      <totalsRowFormula>+SUM(Tabla2[Ventas])</totalsRowFormula>
    </tableColumn>
    <tableColumn id="4" xr3:uid="{00000000-0010-0000-0100-000004000000}" name="Compras" totalsRowFunction="custom" dataDxfId="7" totalsRowDxfId="6">
      <calculatedColumnFormula>+SUMIFS(Subidos!$S:$S,Subidos!$M:$M,ResumenFondos!$B3,Subidos!$K:$K,"&lt;&gt;UD",Subidos!$F:$F,"&lt;&gt;P",Subidos!$F:$F,"&lt;&gt;F",Subidos!$F:$F,"&lt;&gt;C")</calculatedColumnFormula>
      <totalsRowFormula>+SUM(Tabla2[Compras])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246" displayName="Tabla246" ref="F2:H61" totalsRowShown="0" headerRowDxfId="5" headerRowBorderDxfId="4" tableBorderDxfId="3">
  <autoFilter ref="F2:H61" xr:uid="{00000000-0009-0000-0100-000005000000}"/>
  <tableColumns count="3">
    <tableColumn id="1" xr3:uid="{00000000-0010-0000-0200-000001000000}" name="Fondo" dataDxfId="2"/>
    <tableColumn id="3" xr3:uid="{00000000-0010-0000-0200-000003000000}" name="Ventas" dataDxfId="1">
      <calculatedColumnFormula>+SUMIFS(Subidos!$P:$P,Subidos!$Q:$Q,ResumenFondos!$F3,Subidos!$M:$M,"=UD",Subidos!$F:$F,"&lt;&gt;P",Subidos!$F:$F,"&lt;&gt;F")</calculatedColumnFormula>
    </tableColumn>
    <tableColumn id="4" xr3:uid="{00000000-0010-0000-0200-000004000000}" name="Compras" dataDxfId="0">
      <calculatedColumnFormula>+SUMIFS(Subidos!$P:$P,Subidos!$R:$R,ResumenFondos!$F3,Subidos!$M:$M,"=UD",Subidos!$F:$F,"&lt;&gt;P",Subidos!$F:$F,"&lt;&gt;F")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51"/>
  <sheetViews>
    <sheetView zoomScale="70" zoomScaleNormal="70" workbookViewId="0">
      <selection activeCell="V18" sqref="V18"/>
    </sheetView>
  </sheetViews>
  <sheetFormatPr baseColWidth="10" defaultColWidth="8" defaultRowHeight="15" zeroHeight="1"/>
  <cols>
    <col min="1" max="2" width="8" style="22"/>
    <col min="3" max="3" width="7.28515625" style="22" bestFit="1" customWidth="1"/>
    <col min="4" max="5" width="8" style="22"/>
    <col min="6" max="6" width="8" style="22" customWidth="1"/>
    <col min="7" max="7" width="14.85546875" style="22" customWidth="1"/>
    <col min="8" max="8" width="23.7109375" style="22" customWidth="1"/>
    <col min="9" max="10" width="8" style="22"/>
    <col min="11" max="11" width="20.7109375" style="22" customWidth="1"/>
    <col min="12" max="12" width="11.85546875" style="22" bestFit="1" customWidth="1"/>
    <col min="13" max="13" width="11.7109375" style="22" customWidth="1"/>
    <col min="14" max="14" width="17.42578125" style="22" customWidth="1"/>
    <col min="15" max="15" width="12.140625" style="22" customWidth="1"/>
    <col min="16" max="16" width="8" style="22" customWidth="1"/>
    <col min="17" max="17" width="16.28515625" style="22" customWidth="1"/>
    <col min="18" max="18" width="17.5703125" style="22" customWidth="1"/>
    <col min="19" max="19" width="27.28515625" style="22" bestFit="1" customWidth="1"/>
    <col min="20" max="20" width="22.85546875" style="22" customWidth="1"/>
    <col min="21" max="21" width="21.140625" style="22" customWidth="1"/>
    <col min="22" max="22" width="17.85546875" style="22" customWidth="1"/>
    <col min="23" max="23" width="8" style="22"/>
    <col min="24" max="24" width="14.5703125" style="22" bestFit="1" customWidth="1"/>
    <col min="25" max="25" width="19.42578125" style="23" customWidth="1"/>
    <col min="26" max="26" width="30.7109375" style="23" bestFit="1" customWidth="1"/>
    <col min="27" max="27" width="16.7109375" style="22" customWidth="1"/>
    <col min="28" max="29" width="8" style="22"/>
    <col min="30" max="30" width="30.7109375" style="22" bestFit="1" customWidth="1"/>
    <col min="31" max="31" width="17.5703125" style="22" bestFit="1" customWidth="1"/>
    <col min="32" max="36" width="8" style="22"/>
    <col min="37" max="37" width="15.85546875" style="22" bestFit="1" customWidth="1"/>
    <col min="38" max="16384" width="8" style="22"/>
  </cols>
  <sheetData>
    <row r="1" spans="1:39" s="24" customFormat="1">
      <c r="Y1" s="25"/>
      <c r="Z1" s="25"/>
    </row>
    <row r="2" spans="1:39" s="24" customFormat="1">
      <c r="R2" s="26"/>
      <c r="T2" s="27"/>
      <c r="U2" s="28"/>
      <c r="Y2" s="29"/>
      <c r="Z2" s="25"/>
    </row>
    <row r="3" spans="1:39" s="24" customFormat="1">
      <c r="Y3" s="25"/>
      <c r="Z3" s="25"/>
    </row>
    <row r="4" spans="1:39" s="24" customFormat="1">
      <c r="Y4" s="25"/>
      <c r="Z4" s="25"/>
    </row>
    <row r="5" spans="1:39" s="24" customFormat="1">
      <c r="A5" s="24">
        <v>1</v>
      </c>
      <c r="B5" s="24">
        <f>A5+1</f>
        <v>2</v>
      </c>
      <c r="C5" s="24">
        <f t="shared" ref="C5:V5" si="0">B5+1</f>
        <v>3</v>
      </c>
      <c r="D5" s="24">
        <f t="shared" si="0"/>
        <v>4</v>
      </c>
      <c r="E5" s="24">
        <f t="shared" si="0"/>
        <v>5</v>
      </c>
      <c r="F5" s="24">
        <f t="shared" si="0"/>
        <v>6</v>
      </c>
      <c r="G5" s="24">
        <f t="shared" si="0"/>
        <v>7</v>
      </c>
      <c r="H5" s="24">
        <f t="shared" si="0"/>
        <v>8</v>
      </c>
      <c r="I5" s="24">
        <f t="shared" si="0"/>
        <v>9</v>
      </c>
      <c r="J5" s="24">
        <f t="shared" si="0"/>
        <v>10</v>
      </c>
      <c r="K5" s="24">
        <f t="shared" si="0"/>
        <v>11</v>
      </c>
      <c r="L5" s="24">
        <f t="shared" si="0"/>
        <v>12</v>
      </c>
      <c r="M5" s="24">
        <f t="shared" si="0"/>
        <v>13</v>
      </c>
      <c r="N5" s="24">
        <f t="shared" si="0"/>
        <v>14</v>
      </c>
      <c r="O5" s="24">
        <f t="shared" si="0"/>
        <v>15</v>
      </c>
      <c r="P5" s="24">
        <f t="shared" si="0"/>
        <v>16</v>
      </c>
      <c r="Q5" s="24">
        <f t="shared" si="0"/>
        <v>17</v>
      </c>
      <c r="R5" s="24">
        <f t="shared" si="0"/>
        <v>18</v>
      </c>
      <c r="S5" s="24">
        <f t="shared" si="0"/>
        <v>19</v>
      </c>
      <c r="T5" s="24">
        <f t="shared" si="0"/>
        <v>20</v>
      </c>
      <c r="U5" s="24">
        <f t="shared" si="0"/>
        <v>21</v>
      </c>
      <c r="V5" s="24">
        <f t="shared" si="0"/>
        <v>22</v>
      </c>
      <c r="Y5" s="25"/>
      <c r="Z5" s="25"/>
    </row>
    <row r="6" spans="1:39" s="24" customFormat="1">
      <c r="B6" s="30" t="s">
        <v>0</v>
      </c>
      <c r="C6" s="30" t="s">
        <v>1</v>
      </c>
      <c r="D6" s="30" t="s">
        <v>2</v>
      </c>
      <c r="E6" s="30" t="s">
        <v>3</v>
      </c>
      <c r="F6" s="30" t="s">
        <v>4</v>
      </c>
      <c r="G6" s="30" t="s">
        <v>5</v>
      </c>
      <c r="H6" s="30" t="s">
        <v>6</v>
      </c>
      <c r="I6" s="30" t="s">
        <v>12</v>
      </c>
      <c r="J6" s="30" t="s">
        <v>7</v>
      </c>
      <c r="K6" s="30" t="s">
        <v>13</v>
      </c>
      <c r="L6" s="30" t="s">
        <v>8</v>
      </c>
      <c r="M6" s="30" t="s">
        <v>14</v>
      </c>
      <c r="N6" s="30" t="s">
        <v>15</v>
      </c>
      <c r="O6" s="30" t="s">
        <v>16</v>
      </c>
      <c r="P6" s="30" t="s">
        <v>17</v>
      </c>
      <c r="Q6" s="30" t="s">
        <v>18</v>
      </c>
      <c r="R6" s="30" t="s">
        <v>19</v>
      </c>
      <c r="S6" s="30" t="s">
        <v>20</v>
      </c>
      <c r="T6" s="30" t="s">
        <v>10</v>
      </c>
      <c r="U6" s="30" t="s">
        <v>9</v>
      </c>
      <c r="V6" s="31" t="s">
        <v>34</v>
      </c>
      <c r="Y6" s="32" t="s">
        <v>11</v>
      </c>
      <c r="Z6" s="25"/>
    </row>
    <row r="7" spans="1:39" s="24" customFormat="1">
      <c r="B7" s="33"/>
      <c r="C7" s="50"/>
      <c r="D7" s="33"/>
      <c r="E7" s="33"/>
      <c r="F7" s="33"/>
      <c r="G7" s="33"/>
      <c r="H7" s="34"/>
      <c r="I7" s="34"/>
      <c r="J7" s="35"/>
      <c r="K7" s="34"/>
      <c r="L7" s="34"/>
      <c r="M7" s="35"/>
      <c r="N7" s="36"/>
      <c r="O7" s="36"/>
      <c r="P7" s="36"/>
      <c r="Q7" s="55"/>
      <c r="R7" s="37"/>
      <c r="S7" s="38"/>
      <c r="U7" s="25"/>
      <c r="V7" s="39" t="str">
        <f>IF(B7="","",WORKDAY(S7,IF(OR(I7="PH",I7="PHOD"),0,IF(I7="CN",2,1)),feriadosBCS))</f>
        <v/>
      </c>
      <c r="Y7" s="25"/>
      <c r="Z7" s="25"/>
    </row>
    <row r="8" spans="1:39" s="24" customFormat="1">
      <c r="B8" s="33"/>
      <c r="C8" s="50"/>
      <c r="D8" s="33"/>
      <c r="E8" s="33"/>
      <c r="F8" s="33"/>
      <c r="G8" s="33"/>
      <c r="H8" s="34"/>
      <c r="I8" s="34"/>
      <c r="J8" s="35"/>
      <c r="K8" s="34"/>
      <c r="L8" s="34"/>
      <c r="M8" s="35"/>
      <c r="N8" s="36"/>
      <c r="O8" s="36"/>
      <c r="P8" s="36"/>
      <c r="Q8" s="34"/>
      <c r="R8" s="37"/>
      <c r="S8" s="38"/>
      <c r="T8" s="25"/>
      <c r="U8" s="25"/>
      <c r="V8" s="39" t="str">
        <f ca="1">IF(B8="","",WORKDAY(TODAY(),IF(OR(I8="PH",I8="PHOD"),0,1),feriadosBCS))</f>
        <v/>
      </c>
      <c r="Y8" s="25" t="s">
        <v>35</v>
      </c>
      <c r="Z8" s="25"/>
      <c r="AD8" s="43"/>
    </row>
    <row r="9" spans="1:39" s="24" customFormat="1">
      <c r="B9" s="33"/>
      <c r="C9" s="50"/>
      <c r="D9" s="33"/>
      <c r="E9" s="33"/>
      <c r="F9" s="33"/>
      <c r="G9" s="33"/>
      <c r="H9" s="34"/>
      <c r="I9" s="34"/>
      <c r="J9" s="35"/>
      <c r="K9" s="34"/>
      <c r="L9" s="34"/>
      <c r="M9" s="35"/>
      <c r="N9" s="36"/>
      <c r="O9" s="36"/>
      <c r="P9" s="36"/>
      <c r="Q9" s="34"/>
      <c r="R9" s="37"/>
      <c r="S9" s="38"/>
      <c r="T9" s="25"/>
      <c r="U9" s="25"/>
      <c r="V9" s="39" t="str">
        <f ca="1">IF(B9="","",WORKDAY(TODAY(),IF(OR(I9="PH",I9="PHOD"),0,1),feriadosBCS))</f>
        <v/>
      </c>
      <c r="Y9" s="25" t="s">
        <v>36</v>
      </c>
      <c r="Z9" s="25"/>
      <c r="AD9" s="46"/>
    </row>
    <row r="10" spans="1:39" s="24" customFormat="1">
      <c r="B10" s="33"/>
      <c r="C10" s="50"/>
      <c r="D10" s="33"/>
      <c r="E10" s="33"/>
      <c r="F10" s="33"/>
      <c r="G10" s="33"/>
      <c r="H10" s="34"/>
      <c r="I10" s="34"/>
      <c r="J10" s="35"/>
      <c r="K10" s="34"/>
      <c r="L10" s="34"/>
      <c r="M10" s="35"/>
      <c r="N10" s="36"/>
      <c r="O10" s="36"/>
      <c r="P10" s="36"/>
      <c r="Q10" s="34"/>
      <c r="R10" s="37"/>
      <c r="S10" s="38"/>
      <c r="T10" s="25"/>
      <c r="U10" s="25"/>
      <c r="V10" s="39" t="str">
        <f t="shared" ref="V10:V43" ca="1" si="1">IF(B10="","",WORKDAY(TODAY(),IF(OR(I10="PH",I10="PHOD"),0,1),feriadosBCS))</f>
        <v/>
      </c>
      <c r="Y10" s="25" t="s">
        <v>37</v>
      </c>
      <c r="Z10" s="25"/>
      <c r="AD10" s="25"/>
    </row>
    <row r="11" spans="1:39" s="24" customFormat="1">
      <c r="B11" s="33"/>
      <c r="C11" s="50"/>
      <c r="D11" s="33"/>
      <c r="E11" s="33"/>
      <c r="F11" s="33"/>
      <c r="G11" s="33"/>
      <c r="H11" s="34"/>
      <c r="I11" s="34"/>
      <c r="J11" s="35"/>
      <c r="K11" s="34"/>
      <c r="L11" s="34"/>
      <c r="M11" s="35"/>
      <c r="N11" s="36"/>
      <c r="O11" s="36"/>
      <c r="P11" s="36"/>
      <c r="Q11" s="34"/>
      <c r="R11" s="37"/>
      <c r="S11" s="38"/>
      <c r="T11" s="25"/>
      <c r="U11" s="25"/>
      <c r="V11" s="39" t="str">
        <f t="shared" ca="1" si="1"/>
        <v/>
      </c>
      <c r="Y11" s="25" t="s">
        <v>38</v>
      </c>
      <c r="Z11" s="25"/>
    </row>
    <row r="12" spans="1:39" s="24" customFormat="1">
      <c r="B12" s="33"/>
      <c r="C12" s="50"/>
      <c r="D12" s="33"/>
      <c r="E12" s="33"/>
      <c r="F12" s="33"/>
      <c r="G12" s="33"/>
      <c r="H12" s="34"/>
      <c r="I12" s="34"/>
      <c r="J12" s="35"/>
      <c r="K12" s="34"/>
      <c r="L12" s="34"/>
      <c r="M12" s="35"/>
      <c r="N12" s="36"/>
      <c r="O12" s="36"/>
      <c r="P12" s="36"/>
      <c r="Q12" s="34"/>
      <c r="R12" s="37"/>
      <c r="S12" s="38"/>
      <c r="T12" s="25"/>
      <c r="U12" s="25"/>
      <c r="V12" s="39" t="str">
        <f t="shared" ca="1" si="1"/>
        <v/>
      </c>
      <c r="Y12" s="25" t="s">
        <v>39</v>
      </c>
      <c r="Z12" s="25"/>
    </row>
    <row r="13" spans="1:39" s="24" customFormat="1">
      <c r="B13" s="33"/>
      <c r="C13" s="50"/>
      <c r="D13" s="33"/>
      <c r="E13" s="33"/>
      <c r="F13" s="33"/>
      <c r="G13" s="33"/>
      <c r="H13" s="34"/>
      <c r="I13" s="34"/>
      <c r="J13" s="35"/>
      <c r="K13" s="34"/>
      <c r="L13" s="34"/>
      <c r="M13" s="35"/>
      <c r="N13" s="36"/>
      <c r="O13" s="36"/>
      <c r="P13" s="36"/>
      <c r="Q13" s="34"/>
      <c r="R13" s="37"/>
      <c r="S13" s="38"/>
      <c r="T13" s="25"/>
      <c r="U13" s="25"/>
      <c r="V13" s="39" t="str">
        <f t="shared" ca="1" si="1"/>
        <v/>
      </c>
      <c r="Y13" s="25" t="s">
        <v>115</v>
      </c>
      <c r="Z13" s="25"/>
    </row>
    <row r="14" spans="1:39" s="24" customFormat="1">
      <c r="B14" s="33"/>
      <c r="C14" s="50"/>
      <c r="D14" s="33"/>
      <c r="E14" s="33"/>
      <c r="F14" s="33"/>
      <c r="G14" s="33"/>
      <c r="H14" s="34"/>
      <c r="I14" s="34"/>
      <c r="J14" s="35"/>
      <c r="K14" s="34"/>
      <c r="L14" s="34"/>
      <c r="M14" s="35"/>
      <c r="N14" s="36"/>
      <c r="O14" s="36"/>
      <c r="P14" s="36"/>
      <c r="Q14" s="34"/>
      <c r="R14" s="37"/>
      <c r="S14" s="38"/>
      <c r="T14" s="25"/>
      <c r="U14" s="25"/>
      <c r="V14" s="39" t="str">
        <f t="shared" ca="1" si="1"/>
        <v/>
      </c>
      <c r="Y14" s="25" t="s">
        <v>40</v>
      </c>
      <c r="Z14" s="25"/>
    </row>
    <row r="15" spans="1:39" s="24" customFormat="1">
      <c r="B15" s="33"/>
      <c r="C15" s="50"/>
      <c r="D15" s="33"/>
      <c r="E15" s="33"/>
      <c r="F15" s="33"/>
      <c r="G15" s="33"/>
      <c r="H15" s="34"/>
      <c r="I15" s="34"/>
      <c r="J15" s="35"/>
      <c r="K15" s="34"/>
      <c r="L15" s="34"/>
      <c r="M15" s="35"/>
      <c r="N15" s="36"/>
      <c r="O15" s="36"/>
      <c r="P15" s="36"/>
      <c r="Q15" s="34"/>
      <c r="R15" s="37"/>
      <c r="S15" s="38"/>
      <c r="T15" s="25"/>
      <c r="U15" s="25"/>
      <c r="V15" s="39" t="str">
        <f t="shared" ca="1" si="1"/>
        <v/>
      </c>
      <c r="Y15" s="25" t="s">
        <v>41</v>
      </c>
      <c r="Z15" s="25"/>
    </row>
    <row r="16" spans="1:39" s="24" customFormat="1">
      <c r="B16" s="33"/>
      <c r="C16" s="50"/>
      <c r="D16" s="33"/>
      <c r="E16" s="33"/>
      <c r="F16" s="33"/>
      <c r="G16" s="33"/>
      <c r="H16" s="34"/>
      <c r="I16" s="34"/>
      <c r="J16" s="35"/>
      <c r="K16" s="34"/>
      <c r="L16" s="34"/>
      <c r="M16" s="35"/>
      <c r="N16" s="36"/>
      <c r="O16" s="36"/>
      <c r="P16" s="36"/>
      <c r="Q16" s="34"/>
      <c r="R16" s="37"/>
      <c r="S16" s="38"/>
      <c r="T16" s="25"/>
      <c r="U16" s="25"/>
      <c r="V16" s="39" t="str">
        <f t="shared" ca="1" si="1"/>
        <v/>
      </c>
      <c r="Y16" s="25" t="s">
        <v>42</v>
      </c>
      <c r="Z16" s="25"/>
      <c r="AD16" s="43"/>
      <c r="AK16" s="46"/>
      <c r="AM16" s="44"/>
    </row>
    <row r="17" spans="2:39" s="24" customFormat="1">
      <c r="B17" s="33"/>
      <c r="C17" s="50"/>
      <c r="D17" s="33"/>
      <c r="E17" s="33"/>
      <c r="F17" s="33"/>
      <c r="G17" s="33"/>
      <c r="H17" s="34"/>
      <c r="I17" s="34"/>
      <c r="J17" s="35"/>
      <c r="K17" s="34"/>
      <c r="L17" s="34"/>
      <c r="M17" s="35"/>
      <c r="N17" s="36"/>
      <c r="O17" s="36"/>
      <c r="P17" s="36"/>
      <c r="Q17" s="34"/>
      <c r="R17" s="37"/>
      <c r="S17" s="38"/>
      <c r="T17" s="25"/>
      <c r="U17" s="25"/>
      <c r="V17" s="39" t="str">
        <f t="shared" ca="1" si="1"/>
        <v/>
      </c>
      <c r="Y17" s="25" t="s">
        <v>43</v>
      </c>
      <c r="Z17" s="40" t="s">
        <v>44</v>
      </c>
      <c r="AA17" s="24" t="s">
        <v>121</v>
      </c>
      <c r="AK17" s="46"/>
      <c r="AM17" s="44"/>
    </row>
    <row r="18" spans="2:39" s="24" customFormat="1">
      <c r="B18" s="33"/>
      <c r="C18" s="50"/>
      <c r="D18" s="33"/>
      <c r="E18" s="33"/>
      <c r="F18" s="33"/>
      <c r="G18" s="33"/>
      <c r="H18" s="34"/>
      <c r="I18" s="34"/>
      <c r="J18" s="35"/>
      <c r="K18" s="34"/>
      <c r="L18" s="34"/>
      <c r="M18" s="35"/>
      <c r="N18" s="36"/>
      <c r="O18" s="36"/>
      <c r="P18" s="36"/>
      <c r="Q18" s="34"/>
      <c r="R18" s="37"/>
      <c r="S18" s="38"/>
      <c r="T18" s="25"/>
      <c r="U18" s="25"/>
      <c r="V18" s="39" t="str">
        <f t="shared" ca="1" si="1"/>
        <v/>
      </c>
      <c r="Y18" s="25" t="s">
        <v>46</v>
      </c>
      <c r="Z18" s="40" t="s">
        <v>47</v>
      </c>
      <c r="AA18" s="24" t="s">
        <v>122</v>
      </c>
      <c r="AK18" s="46"/>
    </row>
    <row r="19" spans="2:39" s="24" customFormat="1">
      <c r="B19" s="33"/>
      <c r="C19" s="50"/>
      <c r="D19" s="33"/>
      <c r="E19" s="33"/>
      <c r="F19" s="33"/>
      <c r="G19" s="33"/>
      <c r="H19" s="34"/>
      <c r="I19" s="34"/>
      <c r="J19" s="35"/>
      <c r="K19" s="34"/>
      <c r="L19" s="34"/>
      <c r="M19" s="35"/>
      <c r="N19" s="36"/>
      <c r="O19" s="36"/>
      <c r="P19" s="36"/>
      <c r="Q19" s="34"/>
      <c r="R19" s="37"/>
      <c r="S19" s="38"/>
      <c r="T19" s="25"/>
      <c r="U19" s="25"/>
      <c r="V19" s="39" t="str">
        <f t="shared" ca="1" si="1"/>
        <v/>
      </c>
      <c r="Y19" s="25" t="s">
        <v>49</v>
      </c>
      <c r="Z19" s="40" t="s">
        <v>50</v>
      </c>
      <c r="AA19" s="24" t="s">
        <v>157</v>
      </c>
      <c r="AD19" s="44"/>
      <c r="AK19" s="46"/>
    </row>
    <row r="20" spans="2:39" s="24" customFormat="1">
      <c r="B20" s="33"/>
      <c r="C20" s="50"/>
      <c r="D20" s="33"/>
      <c r="E20" s="33"/>
      <c r="F20" s="33"/>
      <c r="G20" s="33"/>
      <c r="H20" s="34"/>
      <c r="I20" s="34"/>
      <c r="J20" s="35"/>
      <c r="K20" s="34"/>
      <c r="L20" s="34"/>
      <c r="M20" s="35"/>
      <c r="N20" s="36"/>
      <c r="O20" s="36"/>
      <c r="P20" s="36"/>
      <c r="Q20" s="34"/>
      <c r="R20" s="37"/>
      <c r="S20" s="38"/>
      <c r="T20" s="25"/>
      <c r="U20" s="25"/>
      <c r="V20" s="39" t="str">
        <f t="shared" ca="1" si="1"/>
        <v/>
      </c>
      <c r="Y20" s="25" t="s">
        <v>51</v>
      </c>
      <c r="Z20" s="40" t="s">
        <v>52</v>
      </c>
      <c r="AA20" s="24" t="s">
        <v>123</v>
      </c>
      <c r="AD20" s="44"/>
      <c r="AK20" s="46"/>
    </row>
    <row r="21" spans="2:39" s="24" customFormat="1">
      <c r="B21" s="33"/>
      <c r="C21" s="50"/>
      <c r="D21" s="33"/>
      <c r="E21" s="33"/>
      <c r="F21" s="33"/>
      <c r="G21" s="33"/>
      <c r="H21" s="34"/>
      <c r="I21" s="34"/>
      <c r="J21" s="35"/>
      <c r="K21" s="34"/>
      <c r="L21" s="34"/>
      <c r="M21" s="35"/>
      <c r="N21" s="36"/>
      <c r="O21" s="36"/>
      <c r="P21" s="36"/>
      <c r="Q21" s="34"/>
      <c r="R21" s="37"/>
      <c r="S21" s="38"/>
      <c r="T21" s="25"/>
      <c r="U21" s="25"/>
      <c r="V21" s="39" t="str">
        <f t="shared" ca="1" si="1"/>
        <v/>
      </c>
      <c r="Y21" s="25" t="s">
        <v>53</v>
      </c>
      <c r="Z21" s="40" t="s">
        <v>54</v>
      </c>
      <c r="AA21" s="24" t="s">
        <v>124</v>
      </c>
      <c r="AD21" s="44"/>
      <c r="AK21" s="46"/>
    </row>
    <row r="22" spans="2:39" s="24" customFormat="1">
      <c r="B22" s="33"/>
      <c r="C22" s="50"/>
      <c r="D22" s="33"/>
      <c r="E22" s="33"/>
      <c r="F22" s="33"/>
      <c r="G22" s="33"/>
      <c r="H22" s="34"/>
      <c r="I22" s="34"/>
      <c r="J22" s="35"/>
      <c r="K22" s="34"/>
      <c r="L22" s="34"/>
      <c r="M22" s="35"/>
      <c r="N22" s="36"/>
      <c r="O22" s="36"/>
      <c r="P22" s="36"/>
      <c r="Q22" s="34"/>
      <c r="R22" s="37"/>
      <c r="S22" s="38"/>
      <c r="T22" s="25"/>
      <c r="U22" s="25"/>
      <c r="V22" s="39" t="str">
        <f t="shared" ca="1" si="1"/>
        <v/>
      </c>
      <c r="Y22" s="25" t="s">
        <v>155</v>
      </c>
      <c r="Z22" s="40" t="s">
        <v>125</v>
      </c>
      <c r="AA22" s="24" t="s">
        <v>126</v>
      </c>
      <c r="AD22" s="44"/>
      <c r="AK22" s="46"/>
    </row>
    <row r="23" spans="2:39" s="24" customFormat="1">
      <c r="B23" s="33"/>
      <c r="C23" s="50"/>
      <c r="D23" s="33"/>
      <c r="E23" s="33"/>
      <c r="F23" s="33"/>
      <c r="G23" s="33"/>
      <c r="H23" s="34"/>
      <c r="I23" s="34"/>
      <c r="J23" s="35"/>
      <c r="K23" s="34"/>
      <c r="L23" s="34"/>
      <c r="M23" s="35"/>
      <c r="N23" s="36"/>
      <c r="O23" s="36"/>
      <c r="P23" s="36"/>
      <c r="Q23" s="34"/>
      <c r="R23" s="37"/>
      <c r="S23" s="38"/>
      <c r="T23" s="25"/>
      <c r="U23" s="25"/>
      <c r="V23" s="39" t="str">
        <f t="shared" ca="1" si="1"/>
        <v/>
      </c>
      <c r="Y23" s="25" t="s">
        <v>55</v>
      </c>
      <c r="Z23" s="40" t="s">
        <v>56</v>
      </c>
      <c r="AA23" s="24" t="s">
        <v>127</v>
      </c>
      <c r="AD23" s="44"/>
      <c r="AK23" s="46"/>
    </row>
    <row r="24" spans="2:39" s="24" customFormat="1">
      <c r="B24" s="33"/>
      <c r="C24" s="50"/>
      <c r="D24" s="33"/>
      <c r="E24" s="33"/>
      <c r="F24" s="33"/>
      <c r="G24" s="33"/>
      <c r="H24" s="34"/>
      <c r="I24" s="34"/>
      <c r="J24" s="35"/>
      <c r="K24" s="34"/>
      <c r="L24" s="34"/>
      <c r="M24" s="35"/>
      <c r="N24" s="36"/>
      <c r="O24" s="36"/>
      <c r="P24" s="36"/>
      <c r="Q24" s="34"/>
      <c r="R24" s="37"/>
      <c r="S24" s="38"/>
      <c r="T24" s="25"/>
      <c r="U24" s="25"/>
      <c r="V24" s="39" t="str">
        <f t="shared" ca="1" si="1"/>
        <v/>
      </c>
      <c r="Y24" s="25" t="s">
        <v>57</v>
      </c>
      <c r="Z24" s="40" t="s">
        <v>58</v>
      </c>
      <c r="AA24" s="24" t="s">
        <v>128</v>
      </c>
      <c r="AD24" s="44"/>
      <c r="AK24" s="46"/>
    </row>
    <row r="25" spans="2:39" s="24" customFormat="1">
      <c r="B25" s="33"/>
      <c r="C25" s="50"/>
      <c r="D25" s="33"/>
      <c r="E25" s="33"/>
      <c r="F25" s="33"/>
      <c r="G25" s="33"/>
      <c r="H25" s="34"/>
      <c r="I25" s="34"/>
      <c r="J25" s="35"/>
      <c r="K25" s="34"/>
      <c r="L25" s="34"/>
      <c r="M25" s="35"/>
      <c r="N25" s="36"/>
      <c r="O25" s="36"/>
      <c r="P25" s="36"/>
      <c r="Q25" s="34"/>
      <c r="R25" s="37"/>
      <c r="S25" s="38"/>
      <c r="T25" s="25"/>
      <c r="U25" s="25"/>
      <c r="V25" s="39" t="str">
        <f t="shared" ca="1" si="1"/>
        <v/>
      </c>
      <c r="Y25" s="25" t="s">
        <v>59</v>
      </c>
      <c r="Z25" s="40" t="s">
        <v>60</v>
      </c>
      <c r="AA25" s="24" t="s">
        <v>129</v>
      </c>
      <c r="AD25" s="44"/>
      <c r="AE25" s="45"/>
      <c r="AK25" s="46"/>
    </row>
    <row r="26" spans="2:39" s="24" customFormat="1">
      <c r="B26" s="33"/>
      <c r="C26" s="50"/>
      <c r="D26" s="33"/>
      <c r="E26" s="33"/>
      <c r="F26" s="33"/>
      <c r="G26" s="33"/>
      <c r="H26" s="34"/>
      <c r="I26" s="34"/>
      <c r="J26" s="35"/>
      <c r="K26" s="34"/>
      <c r="L26" s="34"/>
      <c r="M26" s="35"/>
      <c r="N26" s="36"/>
      <c r="O26" s="36"/>
      <c r="P26" s="36"/>
      <c r="Q26" s="34"/>
      <c r="R26" s="37"/>
      <c r="S26" s="38"/>
      <c r="T26" s="25"/>
      <c r="U26" s="25"/>
      <c r="V26" s="39" t="str">
        <f t="shared" ca="1" si="1"/>
        <v/>
      </c>
      <c r="Y26" s="25" t="s">
        <v>61</v>
      </c>
      <c r="Z26" s="40" t="s">
        <v>62</v>
      </c>
      <c r="AA26" s="24" t="s">
        <v>130</v>
      </c>
      <c r="AD26" s="44"/>
      <c r="AE26" s="45"/>
    </row>
    <row r="27" spans="2:39" s="24" customFormat="1">
      <c r="B27" s="33"/>
      <c r="C27" s="50"/>
      <c r="D27" s="33"/>
      <c r="E27" s="33"/>
      <c r="F27" s="33"/>
      <c r="G27" s="33"/>
      <c r="H27" s="34"/>
      <c r="I27" s="34"/>
      <c r="J27" s="35"/>
      <c r="K27" s="34"/>
      <c r="L27" s="34"/>
      <c r="M27" s="35"/>
      <c r="N27" s="36"/>
      <c r="O27" s="36"/>
      <c r="P27" s="36"/>
      <c r="Q27" s="34"/>
      <c r="R27" s="37"/>
      <c r="S27" s="38"/>
      <c r="T27" s="25"/>
      <c r="U27" s="25"/>
      <c r="V27" s="39" t="str">
        <f t="shared" ca="1" si="1"/>
        <v/>
      </c>
      <c r="Y27" s="25" t="s">
        <v>63</v>
      </c>
      <c r="Z27" s="40" t="s">
        <v>64</v>
      </c>
      <c r="AA27" s="24" t="s">
        <v>131</v>
      </c>
      <c r="AD27" s="44"/>
      <c r="AE27" s="45"/>
    </row>
    <row r="28" spans="2:39" s="24" customFormat="1">
      <c r="B28" s="33"/>
      <c r="C28" s="50"/>
      <c r="D28" s="33"/>
      <c r="E28" s="33"/>
      <c r="F28" s="33"/>
      <c r="G28" s="33"/>
      <c r="H28" s="34"/>
      <c r="I28" s="34"/>
      <c r="J28" s="35"/>
      <c r="K28" s="34"/>
      <c r="L28" s="34"/>
      <c r="M28" s="35"/>
      <c r="N28" s="36"/>
      <c r="O28" s="36"/>
      <c r="P28" s="36"/>
      <c r="Q28" s="34"/>
      <c r="R28" s="37"/>
      <c r="S28" s="38"/>
      <c r="T28" s="25"/>
      <c r="U28" s="25"/>
      <c r="V28" s="39" t="str">
        <f t="shared" ca="1" si="1"/>
        <v/>
      </c>
      <c r="Y28" s="25" t="s">
        <v>65</v>
      </c>
      <c r="Z28" s="40" t="s">
        <v>66</v>
      </c>
      <c r="AA28" s="24" t="s">
        <v>132</v>
      </c>
      <c r="AD28" s="44"/>
      <c r="AE28" s="45"/>
    </row>
    <row r="29" spans="2:39" s="24" customFormat="1">
      <c r="B29" s="33"/>
      <c r="C29" s="50"/>
      <c r="D29" s="33"/>
      <c r="E29" s="33"/>
      <c r="F29" s="33"/>
      <c r="G29" s="33"/>
      <c r="H29" s="34"/>
      <c r="I29" s="34"/>
      <c r="J29" s="35"/>
      <c r="K29" s="34"/>
      <c r="L29" s="34"/>
      <c r="M29" s="35"/>
      <c r="N29" s="36"/>
      <c r="O29" s="36"/>
      <c r="P29" s="36"/>
      <c r="Q29" s="34"/>
      <c r="R29" s="37"/>
      <c r="S29" s="38"/>
      <c r="T29" s="25"/>
      <c r="U29" s="25"/>
      <c r="V29" s="39" t="str">
        <f t="shared" ca="1" si="1"/>
        <v/>
      </c>
      <c r="Y29" s="25" t="s">
        <v>116</v>
      </c>
      <c r="Z29" s="40" t="s">
        <v>117</v>
      </c>
      <c r="AA29" s="24" t="s">
        <v>133</v>
      </c>
      <c r="AD29" s="44"/>
      <c r="AE29" s="45"/>
    </row>
    <row r="30" spans="2:39" s="24" customFormat="1">
      <c r="B30" s="33"/>
      <c r="C30" s="33"/>
      <c r="D30" s="33"/>
      <c r="E30" s="33"/>
      <c r="F30" s="33"/>
      <c r="G30" s="33"/>
      <c r="H30" s="34"/>
      <c r="I30" s="34"/>
      <c r="J30" s="35"/>
      <c r="K30" s="34"/>
      <c r="L30" s="34"/>
      <c r="M30" s="35"/>
      <c r="N30" s="36"/>
      <c r="O30" s="36"/>
      <c r="P30" s="36"/>
      <c r="Q30" s="34"/>
      <c r="R30" s="37"/>
      <c r="S30" s="38"/>
      <c r="T30" s="25"/>
      <c r="U30" s="25"/>
      <c r="V30" s="39" t="str">
        <f t="shared" ca="1" si="1"/>
        <v/>
      </c>
      <c r="Y30" s="25" t="s">
        <v>67</v>
      </c>
      <c r="Z30" s="40" t="s">
        <v>68</v>
      </c>
      <c r="AA30" s="24" t="s">
        <v>134</v>
      </c>
      <c r="AD30" s="44"/>
      <c r="AE30" s="45"/>
    </row>
    <row r="31" spans="2:39" s="24" customFormat="1">
      <c r="B31" s="33"/>
      <c r="C31" s="33"/>
      <c r="D31" s="33"/>
      <c r="E31" s="33"/>
      <c r="F31" s="33"/>
      <c r="G31" s="33"/>
      <c r="H31" s="34"/>
      <c r="I31" s="34"/>
      <c r="J31" s="35"/>
      <c r="K31" s="34"/>
      <c r="L31" s="34"/>
      <c r="M31" s="35"/>
      <c r="N31" s="36"/>
      <c r="O31" s="36"/>
      <c r="P31" s="36"/>
      <c r="Q31" s="34"/>
      <c r="R31" s="37"/>
      <c r="S31" s="38"/>
      <c r="T31" s="25"/>
      <c r="U31" s="25"/>
      <c r="V31" s="39" t="str">
        <f t="shared" ca="1" si="1"/>
        <v/>
      </c>
      <c r="Y31" s="25" t="s">
        <v>69</v>
      </c>
      <c r="Z31" s="40" t="s">
        <v>70</v>
      </c>
      <c r="AA31" s="24" t="s">
        <v>135</v>
      </c>
      <c r="AD31" s="44"/>
      <c r="AE31" s="45"/>
    </row>
    <row r="32" spans="2:39" s="24" customFormat="1">
      <c r="B32" s="33"/>
      <c r="C32" s="33"/>
      <c r="D32" s="33"/>
      <c r="E32" s="33"/>
      <c r="F32" s="33"/>
      <c r="G32" s="33"/>
      <c r="H32" s="34"/>
      <c r="I32" s="34"/>
      <c r="J32" s="35"/>
      <c r="K32" s="34"/>
      <c r="L32" s="34"/>
      <c r="M32" s="35"/>
      <c r="N32" s="36"/>
      <c r="O32" s="36"/>
      <c r="P32" s="36"/>
      <c r="Q32" s="34"/>
      <c r="R32" s="37"/>
      <c r="S32" s="38"/>
      <c r="V32" s="39" t="str">
        <f t="shared" ca="1" si="1"/>
        <v/>
      </c>
      <c r="Y32" s="25" t="s">
        <v>71</v>
      </c>
      <c r="Z32" s="40" t="s">
        <v>72</v>
      </c>
      <c r="AA32" s="24" t="s">
        <v>136</v>
      </c>
      <c r="AD32" s="44"/>
      <c r="AE32" s="45"/>
    </row>
    <row r="33" spans="2:27" s="24" customFormat="1">
      <c r="B33" s="33"/>
      <c r="C33" s="33"/>
      <c r="D33" s="33"/>
      <c r="E33" s="33"/>
      <c r="F33" s="33"/>
      <c r="G33" s="33"/>
      <c r="H33" s="34"/>
      <c r="I33" s="34"/>
      <c r="J33" s="35"/>
      <c r="K33" s="34"/>
      <c r="L33" s="34"/>
      <c r="M33" s="35"/>
      <c r="N33" s="36"/>
      <c r="O33" s="36"/>
      <c r="P33" s="36"/>
      <c r="Q33" s="34"/>
      <c r="R33" s="37"/>
      <c r="S33" s="38"/>
      <c r="V33" s="39" t="str">
        <f t="shared" ca="1" si="1"/>
        <v/>
      </c>
      <c r="Y33" s="25" t="s">
        <v>73</v>
      </c>
      <c r="Z33" s="40" t="s">
        <v>74</v>
      </c>
      <c r="AA33" s="24" t="s">
        <v>137</v>
      </c>
    </row>
    <row r="34" spans="2:27" s="24" customFormat="1">
      <c r="B34" s="33"/>
      <c r="C34" s="33"/>
      <c r="D34" s="33"/>
      <c r="E34" s="33"/>
      <c r="F34" s="33"/>
      <c r="G34" s="33"/>
      <c r="H34" s="34"/>
      <c r="I34" s="34"/>
      <c r="J34" s="35"/>
      <c r="K34" s="36"/>
      <c r="L34" s="34"/>
      <c r="M34" s="35"/>
      <c r="N34" s="36"/>
      <c r="O34" s="36"/>
      <c r="P34" s="36"/>
      <c r="Q34" s="34"/>
      <c r="R34" s="37"/>
      <c r="S34" s="38"/>
      <c r="V34" s="39" t="str">
        <f t="shared" ca="1" si="1"/>
        <v/>
      </c>
      <c r="Y34" s="25" t="s">
        <v>75</v>
      </c>
      <c r="Z34" s="40" t="s">
        <v>76</v>
      </c>
      <c r="AA34" s="24" t="s">
        <v>138</v>
      </c>
    </row>
    <row r="35" spans="2:27" s="24" customFormat="1">
      <c r="B35" s="33"/>
      <c r="C35" s="33"/>
      <c r="D35" s="33"/>
      <c r="E35" s="33"/>
      <c r="F35" s="33"/>
      <c r="G35" s="33"/>
      <c r="H35" s="34"/>
      <c r="I35" s="34"/>
      <c r="J35" s="35"/>
      <c r="K35" s="36"/>
      <c r="L35" s="34"/>
      <c r="M35" s="35"/>
      <c r="N35" s="36"/>
      <c r="O35" s="36"/>
      <c r="P35" s="36"/>
      <c r="Q35" s="34"/>
      <c r="R35" s="37"/>
      <c r="S35" s="38"/>
      <c r="V35" s="39" t="str">
        <f t="shared" ca="1" si="1"/>
        <v/>
      </c>
      <c r="Y35" s="25" t="s">
        <v>77</v>
      </c>
      <c r="Z35" s="40" t="s">
        <v>78</v>
      </c>
      <c r="AA35" s="24" t="s">
        <v>139</v>
      </c>
    </row>
    <row r="36" spans="2:27" s="24" customFormat="1">
      <c r="B36" s="33"/>
      <c r="C36" s="33"/>
      <c r="D36" s="33"/>
      <c r="E36" s="33"/>
      <c r="F36" s="33"/>
      <c r="G36" s="33"/>
      <c r="H36" s="33"/>
      <c r="I36" s="33"/>
      <c r="J36" s="33"/>
      <c r="K36" s="36"/>
      <c r="L36" s="33"/>
      <c r="M36" s="35"/>
      <c r="N36" s="36"/>
      <c r="O36" s="36"/>
      <c r="P36" s="33"/>
      <c r="Q36" s="34"/>
      <c r="R36" s="37"/>
      <c r="S36" s="38"/>
      <c r="V36" s="39" t="str">
        <f t="shared" ca="1" si="1"/>
        <v/>
      </c>
      <c r="Y36" s="25" t="s">
        <v>79</v>
      </c>
      <c r="Z36" s="40" t="s">
        <v>80</v>
      </c>
      <c r="AA36" s="24" t="s">
        <v>140</v>
      </c>
    </row>
    <row r="37" spans="2:27" s="24" customFormat="1">
      <c r="B37" s="33"/>
      <c r="C37" s="33"/>
      <c r="D37" s="33"/>
      <c r="E37" s="33"/>
      <c r="F37" s="33"/>
      <c r="G37" s="33"/>
      <c r="H37" s="34"/>
      <c r="I37" s="34"/>
      <c r="J37" s="35"/>
      <c r="K37" s="34"/>
      <c r="L37" s="34"/>
      <c r="M37" s="35"/>
      <c r="N37" s="36"/>
      <c r="O37" s="36"/>
      <c r="P37" s="36"/>
      <c r="Q37" s="34"/>
      <c r="R37" s="37"/>
      <c r="S37" s="38"/>
      <c r="V37" s="39" t="str">
        <f t="shared" ca="1" si="1"/>
        <v/>
      </c>
      <c r="Y37" s="25" t="s">
        <v>82</v>
      </c>
      <c r="Z37" s="40" t="s">
        <v>83</v>
      </c>
      <c r="AA37" s="24" t="s">
        <v>141</v>
      </c>
    </row>
    <row r="38" spans="2:27" s="24" customFormat="1">
      <c r="B38" s="33"/>
      <c r="C38" s="33"/>
      <c r="D38" s="33"/>
      <c r="E38" s="33"/>
      <c r="F38" s="33"/>
      <c r="G38" s="33"/>
      <c r="H38" s="34"/>
      <c r="I38" s="34"/>
      <c r="J38" s="35"/>
      <c r="K38" s="34"/>
      <c r="L38" s="34"/>
      <c r="M38" s="35"/>
      <c r="N38" s="36"/>
      <c r="O38" s="36"/>
      <c r="P38" s="36"/>
      <c r="Q38" s="34"/>
      <c r="R38" s="37"/>
      <c r="S38" s="38"/>
      <c r="V38" s="39" t="str">
        <f t="shared" ca="1" si="1"/>
        <v/>
      </c>
      <c r="X38" s="44"/>
      <c r="Y38" s="25" t="s">
        <v>120</v>
      </c>
      <c r="Z38" s="40" t="s">
        <v>142</v>
      </c>
      <c r="AA38" s="24" t="s">
        <v>143</v>
      </c>
    </row>
    <row r="39" spans="2:27" s="24" customFormat="1">
      <c r="B39" s="33"/>
      <c r="C39" s="33"/>
      <c r="D39" s="33"/>
      <c r="E39" s="33"/>
      <c r="F39" s="33"/>
      <c r="G39" s="33"/>
      <c r="H39" s="34"/>
      <c r="I39" s="34"/>
      <c r="J39" s="35"/>
      <c r="K39" s="34"/>
      <c r="L39" s="34"/>
      <c r="M39" s="35"/>
      <c r="N39" s="36"/>
      <c r="O39" s="36"/>
      <c r="P39" s="36"/>
      <c r="Q39" s="34"/>
      <c r="R39" s="37"/>
      <c r="S39" s="38"/>
      <c r="V39" s="39" t="str">
        <f t="shared" ca="1" si="1"/>
        <v/>
      </c>
      <c r="Y39" s="25" t="s">
        <v>87</v>
      </c>
      <c r="Z39" s="40" t="s">
        <v>88</v>
      </c>
      <c r="AA39" s="24" t="s">
        <v>144</v>
      </c>
    </row>
    <row r="40" spans="2:27" s="24" customFormat="1">
      <c r="B40" s="33"/>
      <c r="C40" s="33"/>
      <c r="D40" s="33"/>
      <c r="E40" s="33"/>
      <c r="F40" s="33"/>
      <c r="G40" s="33"/>
      <c r="H40" s="34"/>
      <c r="I40" s="34"/>
      <c r="J40" s="35"/>
      <c r="K40" s="34"/>
      <c r="L40" s="34"/>
      <c r="M40" s="35"/>
      <c r="N40" s="36"/>
      <c r="O40" s="36"/>
      <c r="P40" s="36"/>
      <c r="Q40" s="34"/>
      <c r="R40" s="37"/>
      <c r="S40" s="38"/>
      <c r="V40" s="39" t="str">
        <f t="shared" ca="1" si="1"/>
        <v/>
      </c>
      <c r="Y40" s="25" t="s">
        <v>89</v>
      </c>
      <c r="Z40" s="40" t="s">
        <v>90</v>
      </c>
      <c r="AA40" s="24" t="s">
        <v>145</v>
      </c>
    </row>
    <row r="41" spans="2:27" s="24" customFormat="1">
      <c r="B41" s="33"/>
      <c r="C41" s="33"/>
      <c r="D41" s="33"/>
      <c r="E41" s="33"/>
      <c r="F41" s="33"/>
      <c r="G41" s="33"/>
      <c r="H41" s="34"/>
      <c r="I41" s="34"/>
      <c r="J41" s="35"/>
      <c r="K41" s="34"/>
      <c r="L41" s="34"/>
      <c r="M41" s="35"/>
      <c r="N41" s="36"/>
      <c r="O41" s="36"/>
      <c r="P41" s="36"/>
      <c r="Q41" s="34"/>
      <c r="R41" s="37"/>
      <c r="S41" s="38"/>
      <c r="V41" s="39" t="str">
        <f t="shared" ca="1" si="1"/>
        <v/>
      </c>
      <c r="Y41" s="25" t="s">
        <v>91</v>
      </c>
      <c r="Z41" s="40" t="s">
        <v>92</v>
      </c>
      <c r="AA41" s="24" t="s">
        <v>146</v>
      </c>
    </row>
    <row r="42" spans="2:27" s="24" customFormat="1">
      <c r="B42" s="33"/>
      <c r="C42" s="33"/>
      <c r="D42" s="33"/>
      <c r="E42" s="33"/>
      <c r="F42" s="33"/>
      <c r="G42" s="33"/>
      <c r="H42" s="33"/>
      <c r="I42" s="33"/>
      <c r="J42" s="33"/>
      <c r="K42" s="36"/>
      <c r="L42" s="33"/>
      <c r="M42" s="35"/>
      <c r="N42" s="36"/>
      <c r="O42" s="36"/>
      <c r="P42" s="33"/>
      <c r="Q42" s="34"/>
      <c r="R42" s="37"/>
      <c r="S42" s="38"/>
      <c r="V42" s="39" t="str">
        <f t="shared" ca="1" si="1"/>
        <v/>
      </c>
      <c r="Y42" s="25" t="s">
        <v>94</v>
      </c>
      <c r="Z42" s="40" t="s">
        <v>95</v>
      </c>
      <c r="AA42" s="24" t="s">
        <v>147</v>
      </c>
    </row>
    <row r="43" spans="2:27" s="24" customFormat="1">
      <c r="B43" s="33"/>
      <c r="C43" s="33"/>
      <c r="D43" s="33"/>
      <c r="E43" s="33"/>
      <c r="F43" s="33"/>
      <c r="G43" s="33"/>
      <c r="H43" s="33"/>
      <c r="I43" s="33"/>
      <c r="J43" s="33"/>
      <c r="K43" s="36"/>
      <c r="L43" s="33"/>
      <c r="M43" s="35"/>
      <c r="N43" s="36"/>
      <c r="O43" s="36"/>
      <c r="P43" s="33"/>
      <c r="Q43" s="34"/>
      <c r="R43" s="37"/>
      <c r="S43" s="38"/>
      <c r="V43" s="39" t="str">
        <f t="shared" ca="1" si="1"/>
        <v/>
      </c>
      <c r="Y43" s="25" t="s">
        <v>97</v>
      </c>
      <c r="Z43" s="40" t="s">
        <v>98</v>
      </c>
      <c r="AA43" s="24" t="s">
        <v>148</v>
      </c>
    </row>
    <row r="44" spans="2:27" s="24" customFormat="1">
      <c r="B44" s="33"/>
      <c r="C44" s="33"/>
      <c r="D44" s="33"/>
      <c r="E44" s="33"/>
      <c r="F44" s="33"/>
      <c r="G44" s="33"/>
      <c r="H44" s="33"/>
      <c r="I44" s="33"/>
      <c r="J44" s="33"/>
      <c r="K44" s="36"/>
      <c r="L44" s="33"/>
      <c r="M44" s="35"/>
      <c r="N44" s="36"/>
      <c r="O44" s="36"/>
      <c r="P44" s="33"/>
      <c r="Q44" s="34"/>
      <c r="R44" s="37"/>
      <c r="S44" s="38"/>
      <c r="V44" s="39" t="str">
        <f t="shared" ref="V44:V107" ca="1" si="2">IF(B45="","",WORKDAY(TODAY(),IF(OR(I45="PH",I45="PHOD"),0,1),feriadosBCS))</f>
        <v/>
      </c>
      <c r="Y44" s="25" t="s">
        <v>99</v>
      </c>
      <c r="Z44" s="40" t="s">
        <v>100</v>
      </c>
      <c r="AA44" s="24" t="s">
        <v>149</v>
      </c>
    </row>
    <row r="45" spans="2:27" s="24" customFormat="1">
      <c r="B45" s="33"/>
      <c r="C45" s="33"/>
      <c r="D45" s="33"/>
      <c r="E45" s="33"/>
      <c r="F45" s="33"/>
      <c r="G45" s="33"/>
      <c r="H45" s="33"/>
      <c r="I45" s="33"/>
      <c r="J45" s="33"/>
      <c r="K45" s="36"/>
      <c r="L45" s="33"/>
      <c r="M45" s="35"/>
      <c r="N45" s="36"/>
      <c r="O45" s="36"/>
      <c r="P45" s="33"/>
      <c r="Q45" s="34"/>
      <c r="R45" s="37"/>
      <c r="S45" s="38"/>
      <c r="V45" s="39" t="str">
        <f t="shared" ca="1" si="2"/>
        <v/>
      </c>
      <c r="Y45" s="25" t="s">
        <v>101</v>
      </c>
      <c r="Z45" s="40" t="s">
        <v>102</v>
      </c>
      <c r="AA45" s="24" t="s">
        <v>150</v>
      </c>
    </row>
    <row r="46" spans="2:27" s="24" customFormat="1">
      <c r="B46" s="33"/>
      <c r="C46" s="33"/>
      <c r="D46" s="33"/>
      <c r="E46" s="33"/>
      <c r="F46" s="33"/>
      <c r="G46" s="33"/>
      <c r="H46" s="33"/>
      <c r="I46" s="33"/>
      <c r="J46" s="33"/>
      <c r="K46" s="36"/>
      <c r="L46" s="33"/>
      <c r="M46" s="35"/>
      <c r="N46" s="33"/>
      <c r="O46" s="36"/>
      <c r="P46" s="33"/>
      <c r="Q46" s="34"/>
      <c r="R46" s="37"/>
      <c r="S46" s="38"/>
      <c r="V46" s="39" t="str">
        <f t="shared" ca="1" si="2"/>
        <v/>
      </c>
      <c r="Y46" s="25" t="s">
        <v>103</v>
      </c>
      <c r="Z46" s="40" t="s">
        <v>104</v>
      </c>
      <c r="AA46" s="24" t="s">
        <v>151</v>
      </c>
    </row>
    <row r="47" spans="2:27" s="24" customFormat="1">
      <c r="B47" s="33"/>
      <c r="C47" s="33"/>
      <c r="D47" s="33"/>
      <c r="E47" s="33"/>
      <c r="F47" s="33"/>
      <c r="G47" s="33"/>
      <c r="H47" s="33"/>
      <c r="I47" s="33"/>
      <c r="J47" s="33"/>
      <c r="K47" s="36"/>
      <c r="L47" s="33"/>
      <c r="M47" s="35"/>
      <c r="N47" s="33"/>
      <c r="O47" s="36"/>
      <c r="P47" s="33"/>
      <c r="Q47" s="34"/>
      <c r="R47" s="37"/>
      <c r="S47" s="38"/>
      <c r="V47" s="39" t="str">
        <f t="shared" ca="1" si="2"/>
        <v/>
      </c>
      <c r="Y47" s="25" t="s">
        <v>105</v>
      </c>
      <c r="Z47" s="40" t="s">
        <v>106</v>
      </c>
      <c r="AA47" s="24" t="s">
        <v>152</v>
      </c>
    </row>
    <row r="48" spans="2:27" s="24" customFormat="1">
      <c r="B48" s="33"/>
      <c r="C48" s="33"/>
      <c r="D48" s="33"/>
      <c r="E48" s="33"/>
      <c r="F48" s="33"/>
      <c r="G48" s="33"/>
      <c r="H48" s="33"/>
      <c r="I48" s="33"/>
      <c r="J48" s="33"/>
      <c r="K48" s="36"/>
      <c r="L48" s="33"/>
      <c r="M48" s="35"/>
      <c r="N48" s="33"/>
      <c r="O48" s="36"/>
      <c r="P48" s="33"/>
      <c r="Q48" s="34"/>
      <c r="R48" s="37"/>
      <c r="S48" s="38"/>
      <c r="V48" s="39" t="str">
        <f t="shared" ca="1" si="2"/>
        <v/>
      </c>
      <c r="Y48" s="25" t="s">
        <v>108</v>
      </c>
      <c r="Z48" s="40" t="s">
        <v>108</v>
      </c>
      <c r="AA48" s="24" t="s">
        <v>153</v>
      </c>
    </row>
    <row r="49" spans="2:27" s="24" customFormat="1">
      <c r="B49" s="33"/>
      <c r="C49" s="33"/>
      <c r="D49" s="33"/>
      <c r="E49" s="33"/>
      <c r="F49" s="33"/>
      <c r="G49" s="33"/>
      <c r="H49" s="33"/>
      <c r="I49" s="33"/>
      <c r="J49" s="33"/>
      <c r="K49" s="36"/>
      <c r="L49" s="33"/>
      <c r="M49" s="35"/>
      <c r="N49" s="33"/>
      <c r="O49" s="36"/>
      <c r="P49" s="33"/>
      <c r="Q49" s="34"/>
      <c r="R49" s="37"/>
      <c r="S49" s="38"/>
      <c r="V49" s="39" t="str">
        <f t="shared" ca="1" si="2"/>
        <v/>
      </c>
      <c r="Y49" s="25" t="s">
        <v>110</v>
      </c>
      <c r="Z49" s="40" t="s">
        <v>111</v>
      </c>
      <c r="AA49" s="24" t="s">
        <v>154</v>
      </c>
    </row>
    <row r="50" spans="2:27" s="24" customFormat="1">
      <c r="B50" s="33"/>
      <c r="C50" s="33"/>
      <c r="D50" s="33"/>
      <c r="E50" s="33"/>
      <c r="F50" s="33"/>
      <c r="G50" s="33"/>
      <c r="H50" s="33"/>
      <c r="I50" s="33"/>
      <c r="J50" s="33"/>
      <c r="K50" s="36"/>
      <c r="L50" s="33"/>
      <c r="M50" s="35"/>
      <c r="N50" s="33"/>
      <c r="O50" s="36"/>
      <c r="P50" s="33"/>
      <c r="Q50" s="34"/>
      <c r="R50" s="37"/>
      <c r="S50" s="38"/>
      <c r="V50" s="39" t="str">
        <f t="shared" ca="1" si="2"/>
        <v/>
      </c>
      <c r="Y50" s="25" t="s">
        <v>112</v>
      </c>
      <c r="Z50" s="40" t="s">
        <v>113</v>
      </c>
      <c r="AA50" s="24" t="s">
        <v>154</v>
      </c>
    </row>
    <row r="51" spans="2:27" s="24" customFormat="1">
      <c r="B51" s="33"/>
      <c r="C51" s="33"/>
      <c r="D51" s="33"/>
      <c r="E51" s="33"/>
      <c r="F51" s="33"/>
      <c r="G51" s="33"/>
      <c r="H51" s="33"/>
      <c r="I51" s="33"/>
      <c r="J51" s="33"/>
      <c r="K51" s="36"/>
      <c r="L51" s="33"/>
      <c r="M51" s="35"/>
      <c r="N51" s="33"/>
      <c r="O51" s="36"/>
      <c r="P51" s="33"/>
      <c r="Q51" s="34"/>
      <c r="R51" s="37"/>
      <c r="S51" s="38"/>
      <c r="V51" s="39" t="str">
        <f t="shared" ca="1" si="2"/>
        <v/>
      </c>
      <c r="Y51" s="25" t="s">
        <v>114</v>
      </c>
      <c r="Z51" s="40" t="s">
        <v>118</v>
      </c>
      <c r="AA51" s="24" t="s">
        <v>156</v>
      </c>
    </row>
    <row r="52" spans="2:27" s="24" customFormat="1">
      <c r="B52" s="33"/>
      <c r="C52" s="33"/>
      <c r="D52" s="33"/>
      <c r="E52" s="33"/>
      <c r="F52" s="33"/>
      <c r="G52" s="33"/>
      <c r="H52" s="33"/>
      <c r="I52" s="33"/>
      <c r="J52" s="33"/>
      <c r="K52" s="36"/>
      <c r="L52" s="33"/>
      <c r="M52" s="35"/>
      <c r="N52" s="33"/>
      <c r="O52" s="36"/>
      <c r="P52" s="33"/>
      <c r="Q52" s="34"/>
      <c r="R52" s="37"/>
      <c r="S52" s="38"/>
      <c r="V52" s="39" t="str">
        <f t="shared" ca="1" si="2"/>
        <v/>
      </c>
      <c r="Y52" s="25" t="s">
        <v>158</v>
      </c>
      <c r="AA52" s="48" t="s">
        <v>161</v>
      </c>
    </row>
    <row r="53" spans="2:27" s="24" customFormat="1">
      <c r="B53" s="33"/>
      <c r="C53" s="33"/>
      <c r="D53" s="33"/>
      <c r="E53" s="33"/>
      <c r="F53" s="33"/>
      <c r="G53" s="33"/>
      <c r="H53" s="33"/>
      <c r="I53" s="33"/>
      <c r="J53" s="33"/>
      <c r="K53" s="36"/>
      <c r="L53" s="33"/>
      <c r="M53" s="35"/>
      <c r="N53" s="33"/>
      <c r="O53" s="36"/>
      <c r="P53" s="33"/>
      <c r="Q53" s="34"/>
      <c r="R53" s="37"/>
      <c r="S53" s="38"/>
      <c r="V53" s="39" t="str">
        <f t="shared" ca="1" si="2"/>
        <v/>
      </c>
      <c r="Y53" s="25" t="s">
        <v>159</v>
      </c>
      <c r="AA53" s="49" t="s">
        <v>160</v>
      </c>
    </row>
    <row r="54" spans="2:27" s="24" customFormat="1">
      <c r="B54" s="33"/>
      <c r="C54" s="33"/>
      <c r="D54" s="33"/>
      <c r="E54" s="33"/>
      <c r="F54" s="33"/>
      <c r="G54" s="33"/>
      <c r="H54" s="33"/>
      <c r="I54" s="33"/>
      <c r="J54" s="33"/>
      <c r="K54" s="36"/>
      <c r="L54" s="33"/>
      <c r="M54" s="35"/>
      <c r="N54" s="36"/>
      <c r="O54" s="36"/>
      <c r="P54" s="33"/>
      <c r="Q54" s="34"/>
      <c r="R54" s="37"/>
      <c r="S54" s="38"/>
      <c r="V54" s="39" t="str">
        <f t="shared" ca="1" si="2"/>
        <v/>
      </c>
      <c r="Y54" s="25" t="s">
        <v>163</v>
      </c>
      <c r="AA54" s="24" t="s">
        <v>164</v>
      </c>
    </row>
    <row r="55" spans="2:27" s="24" customFormat="1"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5"/>
      <c r="N55" s="33"/>
      <c r="O55" s="36"/>
      <c r="P55" s="33"/>
      <c r="Q55" s="33"/>
      <c r="R55" s="37"/>
      <c r="S55" s="38"/>
      <c r="V55" s="39" t="str">
        <f t="shared" ca="1" si="2"/>
        <v/>
      </c>
      <c r="Y55" s="47" t="s">
        <v>166</v>
      </c>
      <c r="Z55"/>
      <c r="AA55" s="24" t="s">
        <v>165</v>
      </c>
    </row>
    <row r="56" spans="2:27" s="24" customFormat="1"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5"/>
      <c r="N56" s="33"/>
      <c r="O56" s="36"/>
      <c r="P56" s="33"/>
      <c r="Q56" s="33"/>
      <c r="R56" s="37"/>
      <c r="S56" s="38"/>
      <c r="V56" s="39" t="str">
        <f t="shared" ca="1" si="2"/>
        <v/>
      </c>
      <c r="Y56" s="24" t="s">
        <v>167</v>
      </c>
      <c r="AA56" s="24" t="s">
        <v>168</v>
      </c>
    </row>
    <row r="57" spans="2:27" s="24" customFormat="1"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5"/>
      <c r="N57" s="33"/>
      <c r="O57" s="36"/>
      <c r="P57" s="33"/>
      <c r="Q57" s="33"/>
      <c r="R57" s="37"/>
      <c r="S57" s="38"/>
      <c r="V57" s="39" t="str">
        <f t="shared" ca="1" si="2"/>
        <v/>
      </c>
    </row>
    <row r="58" spans="2:27" s="24" customFormat="1"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5"/>
      <c r="N58" s="33"/>
      <c r="O58" s="36"/>
      <c r="P58" s="33"/>
      <c r="Q58" s="33"/>
      <c r="R58" s="37"/>
      <c r="S58" s="38"/>
      <c r="V58" s="39" t="str">
        <f t="shared" ca="1" si="2"/>
        <v/>
      </c>
    </row>
    <row r="59" spans="2:27" s="24" customFormat="1"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5"/>
      <c r="N59" s="33"/>
      <c r="O59" s="36"/>
      <c r="P59" s="33"/>
      <c r="Q59" s="33"/>
      <c r="R59" s="37"/>
      <c r="S59" s="38"/>
      <c r="V59" s="39" t="str">
        <f t="shared" ca="1" si="2"/>
        <v/>
      </c>
    </row>
    <row r="60" spans="2:27" s="24" customFormat="1"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5"/>
      <c r="N60" s="33"/>
      <c r="O60" s="36"/>
      <c r="P60" s="33"/>
      <c r="Q60" s="33"/>
      <c r="R60" s="37"/>
      <c r="S60" s="38"/>
      <c r="V60" s="39" t="str">
        <f t="shared" ca="1" si="2"/>
        <v/>
      </c>
      <c r="Y60" s="25"/>
      <c r="Z60"/>
    </row>
    <row r="61" spans="2:27" s="24" customFormat="1"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5"/>
      <c r="N61" s="33"/>
      <c r="O61" s="36"/>
      <c r="P61" s="33"/>
      <c r="Q61" s="33"/>
      <c r="R61" s="37"/>
      <c r="S61" s="38"/>
      <c r="V61" s="39" t="str">
        <f t="shared" ca="1" si="2"/>
        <v/>
      </c>
      <c r="Z61" s="25"/>
    </row>
    <row r="62" spans="2:27" s="24" customFormat="1"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5"/>
      <c r="N62" s="33"/>
      <c r="O62" s="36"/>
      <c r="P62" s="33"/>
      <c r="Q62" s="33"/>
      <c r="R62" s="37"/>
      <c r="S62" s="38"/>
      <c r="V62" s="39" t="str">
        <f t="shared" ca="1" si="2"/>
        <v/>
      </c>
      <c r="Y62" s="25"/>
      <c r="Z62" s="25"/>
    </row>
    <row r="63" spans="2:27" s="24" customFormat="1"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5"/>
      <c r="N63" s="33"/>
      <c r="O63" s="36"/>
      <c r="P63" s="33"/>
      <c r="Q63" s="33"/>
      <c r="R63" s="37"/>
      <c r="S63" s="38"/>
      <c r="V63" s="39" t="str">
        <f t="shared" ca="1" si="2"/>
        <v/>
      </c>
      <c r="Y63" s="25"/>
      <c r="Z63" s="25"/>
    </row>
    <row r="64" spans="2:27" s="24" customFormat="1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5"/>
      <c r="N64" s="33"/>
      <c r="O64" s="36"/>
      <c r="P64" s="33"/>
      <c r="Q64" s="33"/>
      <c r="R64" s="37"/>
      <c r="S64" s="38"/>
      <c r="V64" s="39" t="str">
        <f t="shared" ca="1" si="2"/>
        <v/>
      </c>
      <c r="Y64" s="25"/>
      <c r="Z64" s="25"/>
    </row>
    <row r="65" spans="2:26" s="24" customFormat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5"/>
      <c r="N65" s="33"/>
      <c r="O65" s="36"/>
      <c r="P65" s="33"/>
      <c r="Q65" s="33"/>
      <c r="R65" s="37"/>
      <c r="S65" s="38"/>
      <c r="V65" s="39" t="str">
        <f t="shared" ca="1" si="2"/>
        <v/>
      </c>
      <c r="Y65" s="25"/>
      <c r="Z65" s="25"/>
    </row>
    <row r="66" spans="2:26" s="24" customFormat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5"/>
      <c r="N66" s="33"/>
      <c r="O66" s="36"/>
      <c r="P66" s="33"/>
      <c r="Q66" s="33"/>
      <c r="R66" s="37"/>
      <c r="S66" s="38"/>
      <c r="V66" s="39" t="str">
        <f t="shared" ca="1" si="2"/>
        <v/>
      </c>
      <c r="Y66" s="25"/>
      <c r="Z66" s="25"/>
    </row>
    <row r="67" spans="2:26" s="24" customFormat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5"/>
      <c r="N67" s="33"/>
      <c r="O67" s="36"/>
      <c r="P67" s="33"/>
      <c r="Q67" s="33"/>
      <c r="R67" s="37"/>
      <c r="S67" s="38"/>
      <c r="V67" s="39" t="str">
        <f t="shared" ca="1" si="2"/>
        <v/>
      </c>
      <c r="Y67" s="25"/>
      <c r="Z67" s="25"/>
    </row>
    <row r="68" spans="2:26" s="24" customFormat="1"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5"/>
      <c r="N68" s="33"/>
      <c r="O68" s="36"/>
      <c r="P68" s="33"/>
      <c r="Q68" s="33"/>
      <c r="R68" s="37"/>
      <c r="S68" s="38"/>
      <c r="V68" s="39" t="str">
        <f t="shared" ca="1" si="2"/>
        <v/>
      </c>
      <c r="Y68" s="25"/>
      <c r="Z68" s="25"/>
    </row>
    <row r="69" spans="2:26" s="24" customFormat="1"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5"/>
      <c r="N69" s="33"/>
      <c r="O69" s="36"/>
      <c r="P69" s="33"/>
      <c r="Q69" s="33"/>
      <c r="R69" s="37"/>
      <c r="S69" s="38"/>
      <c r="V69" s="39" t="str">
        <f t="shared" ca="1" si="2"/>
        <v/>
      </c>
      <c r="Y69" s="25"/>
      <c r="Z69" s="25"/>
    </row>
    <row r="70" spans="2:26" s="24" customFormat="1"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5"/>
      <c r="N70" s="33"/>
      <c r="O70" s="36"/>
      <c r="P70" s="33"/>
      <c r="Q70" s="33"/>
      <c r="R70" s="37"/>
      <c r="S70" s="38"/>
      <c r="V70" s="39" t="str">
        <f t="shared" ca="1" si="2"/>
        <v/>
      </c>
      <c r="Y70" s="25"/>
      <c r="Z70" s="25"/>
    </row>
    <row r="71" spans="2:26" s="24" customFormat="1"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5"/>
      <c r="N71" s="33"/>
      <c r="O71" s="36"/>
      <c r="P71" s="33"/>
      <c r="Q71" s="33"/>
      <c r="R71" s="37"/>
      <c r="S71" s="38"/>
      <c r="V71" s="39" t="str">
        <f t="shared" ca="1" si="2"/>
        <v/>
      </c>
      <c r="Y71" s="25"/>
      <c r="Z71" s="25"/>
    </row>
    <row r="72" spans="2:26" s="24" customFormat="1"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5"/>
      <c r="N72" s="33"/>
      <c r="O72" s="36"/>
      <c r="P72" s="33"/>
      <c r="Q72" s="33"/>
      <c r="R72" s="37"/>
      <c r="S72" s="38"/>
      <c r="V72" s="39" t="str">
        <f t="shared" ca="1" si="2"/>
        <v/>
      </c>
      <c r="Y72" s="25"/>
      <c r="Z72" s="25"/>
    </row>
    <row r="73" spans="2:26" s="24" customFormat="1"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5"/>
      <c r="N73" s="33"/>
      <c r="O73" s="36"/>
      <c r="P73" s="33"/>
      <c r="Q73" s="33"/>
      <c r="R73" s="37"/>
      <c r="S73" s="38"/>
      <c r="V73" s="39" t="str">
        <f t="shared" ca="1" si="2"/>
        <v/>
      </c>
      <c r="Y73" s="25"/>
      <c r="Z73" s="25"/>
    </row>
    <row r="74" spans="2:26" s="24" customFormat="1"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5"/>
      <c r="N74" s="33"/>
      <c r="O74" s="36"/>
      <c r="P74" s="33"/>
      <c r="Q74" s="33"/>
      <c r="R74" s="37"/>
      <c r="S74" s="38"/>
      <c r="V74" s="39" t="str">
        <f t="shared" ca="1" si="2"/>
        <v/>
      </c>
      <c r="Y74" s="25"/>
      <c r="Z74" s="25"/>
    </row>
    <row r="75" spans="2:26" s="24" customFormat="1"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5"/>
      <c r="N75" s="33"/>
      <c r="O75" s="36"/>
      <c r="P75" s="33"/>
      <c r="Q75" s="33"/>
      <c r="R75" s="37"/>
      <c r="S75" s="38"/>
      <c r="V75" s="39" t="str">
        <f t="shared" ca="1" si="2"/>
        <v/>
      </c>
      <c r="Y75" s="25"/>
      <c r="Z75" s="25"/>
    </row>
    <row r="76" spans="2:26" s="24" customFormat="1"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5"/>
      <c r="N76" s="33"/>
      <c r="O76" s="36"/>
      <c r="P76" s="33"/>
      <c r="Q76" s="33"/>
      <c r="R76" s="37"/>
      <c r="S76" s="38"/>
      <c r="V76" s="39" t="str">
        <f t="shared" ca="1" si="2"/>
        <v/>
      </c>
      <c r="Y76" s="25"/>
      <c r="Z76" s="25"/>
    </row>
    <row r="77" spans="2:26" s="24" customFormat="1"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5"/>
      <c r="N77" s="33"/>
      <c r="O77" s="36"/>
      <c r="P77" s="33"/>
      <c r="Q77" s="33"/>
      <c r="R77" s="37"/>
      <c r="S77" s="38"/>
      <c r="V77" s="39" t="str">
        <f t="shared" ca="1" si="2"/>
        <v/>
      </c>
      <c r="Y77" s="25"/>
      <c r="Z77" s="25"/>
    </row>
    <row r="78" spans="2:26" s="24" customFormat="1"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5"/>
      <c r="N78" s="33"/>
      <c r="O78" s="36"/>
      <c r="P78" s="33"/>
      <c r="Q78" s="33"/>
      <c r="R78" s="37"/>
      <c r="S78" s="38"/>
      <c r="V78" s="39" t="str">
        <f t="shared" ca="1" si="2"/>
        <v/>
      </c>
      <c r="Y78" s="25"/>
      <c r="Z78" s="25"/>
    </row>
    <row r="79" spans="2:26" s="24" customFormat="1"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5"/>
      <c r="N79" s="33"/>
      <c r="O79" s="36"/>
      <c r="P79" s="33"/>
      <c r="Q79" s="33"/>
      <c r="R79" s="37"/>
      <c r="S79" s="38"/>
      <c r="V79" s="39" t="str">
        <f t="shared" ca="1" si="2"/>
        <v/>
      </c>
      <c r="Y79" s="25"/>
      <c r="Z79" s="25"/>
    </row>
    <row r="80" spans="2:26" s="24" customFormat="1"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5"/>
      <c r="N80" s="33"/>
      <c r="O80" s="36"/>
      <c r="P80" s="33"/>
      <c r="Q80" s="33"/>
      <c r="R80" s="37"/>
      <c r="S80" s="38"/>
      <c r="V80" s="39" t="str">
        <f t="shared" ca="1" si="2"/>
        <v/>
      </c>
      <c r="Y80" s="25"/>
      <c r="Z80" s="25"/>
    </row>
    <row r="81" spans="2:26" s="24" customFormat="1"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5"/>
      <c r="N81" s="33"/>
      <c r="O81" s="36"/>
      <c r="P81" s="33"/>
      <c r="Q81" s="33"/>
      <c r="R81" s="37"/>
      <c r="S81" s="38"/>
      <c r="V81" s="39" t="str">
        <f t="shared" ca="1" si="2"/>
        <v/>
      </c>
      <c r="Y81" s="25"/>
      <c r="Z81" s="25"/>
    </row>
    <row r="82" spans="2:26" s="24" customFormat="1"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5"/>
      <c r="N82" s="33"/>
      <c r="O82" s="36"/>
      <c r="P82" s="33"/>
      <c r="Q82" s="33"/>
      <c r="R82" s="37"/>
      <c r="S82" s="38"/>
      <c r="V82" s="39" t="str">
        <f t="shared" ca="1" si="2"/>
        <v/>
      </c>
      <c r="Y82" s="25"/>
      <c r="Z82" s="25"/>
    </row>
    <row r="83" spans="2:26" s="24" customFormat="1"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5"/>
      <c r="N83" s="33"/>
      <c r="O83" s="36"/>
      <c r="P83" s="33"/>
      <c r="Q83" s="33"/>
      <c r="R83" s="37"/>
      <c r="S83" s="38"/>
      <c r="V83" s="39" t="str">
        <f t="shared" ca="1" si="2"/>
        <v/>
      </c>
      <c r="Y83" s="25"/>
      <c r="Z83" s="25"/>
    </row>
    <row r="84" spans="2:26" s="24" customFormat="1"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5"/>
      <c r="N84" s="33"/>
      <c r="O84" s="36"/>
      <c r="P84" s="33"/>
      <c r="Q84" s="33"/>
      <c r="R84" s="37"/>
      <c r="S84" s="38"/>
      <c r="V84" s="39" t="str">
        <f t="shared" ca="1" si="2"/>
        <v/>
      </c>
      <c r="Y84" s="25"/>
      <c r="Z84" s="25"/>
    </row>
    <row r="85" spans="2:26" s="24" customFormat="1"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5"/>
      <c r="N85" s="33"/>
      <c r="O85" s="36"/>
      <c r="P85" s="33"/>
      <c r="Q85" s="33"/>
      <c r="R85" s="37"/>
      <c r="S85" s="38"/>
      <c r="V85" s="39" t="str">
        <f t="shared" ca="1" si="2"/>
        <v/>
      </c>
      <c r="Y85" s="25"/>
      <c r="Z85" s="25"/>
    </row>
    <row r="86" spans="2:26" s="24" customFormat="1"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5"/>
      <c r="N86" s="33"/>
      <c r="O86" s="36"/>
      <c r="P86" s="33"/>
      <c r="Q86" s="33"/>
      <c r="R86" s="37"/>
      <c r="S86" s="38"/>
      <c r="V86" s="39" t="str">
        <f t="shared" ca="1" si="2"/>
        <v/>
      </c>
      <c r="Y86" s="25"/>
      <c r="Z86" s="25"/>
    </row>
    <row r="87" spans="2:26" s="24" customFormat="1"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5"/>
      <c r="N87" s="33"/>
      <c r="O87" s="36"/>
      <c r="P87" s="33"/>
      <c r="Q87" s="33"/>
      <c r="R87" s="37"/>
      <c r="S87" s="38"/>
      <c r="V87" s="39" t="str">
        <f t="shared" ca="1" si="2"/>
        <v/>
      </c>
      <c r="Y87" s="25"/>
      <c r="Z87" s="25"/>
    </row>
    <row r="88" spans="2:26" s="24" customFormat="1"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5"/>
      <c r="N88" s="33"/>
      <c r="O88" s="36"/>
      <c r="P88" s="33"/>
      <c r="Q88" s="33"/>
      <c r="R88" s="37"/>
      <c r="S88" s="38"/>
      <c r="V88" s="39" t="str">
        <f t="shared" ca="1" si="2"/>
        <v/>
      </c>
      <c r="Y88" s="25"/>
      <c r="Z88" s="25"/>
    </row>
    <row r="89" spans="2:26" s="24" customFormat="1"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5"/>
      <c r="N89" s="33"/>
      <c r="O89" s="36"/>
      <c r="P89" s="33"/>
      <c r="Q89" s="33"/>
      <c r="R89" s="37"/>
      <c r="S89" s="38"/>
      <c r="V89" s="39" t="str">
        <f t="shared" ca="1" si="2"/>
        <v/>
      </c>
      <c r="Y89" s="25"/>
      <c r="Z89" s="25"/>
    </row>
    <row r="90" spans="2:26" s="24" customFormat="1"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5"/>
      <c r="N90" s="33"/>
      <c r="O90" s="36"/>
      <c r="P90" s="33"/>
      <c r="Q90" s="33"/>
      <c r="R90" s="37"/>
      <c r="S90" s="38"/>
      <c r="V90" s="39" t="str">
        <f t="shared" ca="1" si="2"/>
        <v/>
      </c>
      <c r="Y90" s="25"/>
      <c r="Z90" s="25"/>
    </row>
    <row r="91" spans="2:26" s="24" customFormat="1"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5"/>
      <c r="N91" s="33"/>
      <c r="O91" s="36"/>
      <c r="P91" s="33"/>
      <c r="Q91" s="33"/>
      <c r="R91" s="37"/>
      <c r="S91" s="38"/>
      <c r="V91" s="39" t="str">
        <f t="shared" ca="1" si="2"/>
        <v/>
      </c>
      <c r="Y91" s="25"/>
      <c r="Z91" s="25"/>
    </row>
    <row r="92" spans="2:26" s="24" customFormat="1"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5"/>
      <c r="N92" s="33"/>
      <c r="O92" s="36"/>
      <c r="P92" s="33"/>
      <c r="Q92" s="33"/>
      <c r="R92" s="37"/>
      <c r="S92" s="38"/>
      <c r="V92" s="39" t="str">
        <f t="shared" ca="1" si="2"/>
        <v/>
      </c>
      <c r="Y92" s="25"/>
      <c r="Z92" s="25"/>
    </row>
    <row r="93" spans="2:26" s="24" customFormat="1"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5"/>
      <c r="N93" s="33"/>
      <c r="O93" s="36"/>
      <c r="P93" s="33"/>
      <c r="Q93" s="33"/>
      <c r="R93" s="37"/>
      <c r="S93" s="38"/>
      <c r="V93" s="39" t="str">
        <f t="shared" ca="1" si="2"/>
        <v/>
      </c>
      <c r="Y93" s="25"/>
      <c r="Z93" s="25"/>
    </row>
    <row r="94" spans="2:26" s="24" customFormat="1"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5"/>
      <c r="N94" s="33"/>
      <c r="O94" s="36"/>
      <c r="P94" s="33"/>
      <c r="Q94" s="33"/>
      <c r="R94" s="37"/>
      <c r="S94" s="38"/>
      <c r="V94" s="39" t="str">
        <f t="shared" ca="1" si="2"/>
        <v/>
      </c>
      <c r="Y94" s="25"/>
      <c r="Z94" s="25"/>
    </row>
    <row r="95" spans="2:26" s="24" customFormat="1"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5"/>
      <c r="N95" s="33"/>
      <c r="O95" s="36"/>
      <c r="P95" s="33"/>
      <c r="Q95" s="33"/>
      <c r="R95" s="37"/>
      <c r="S95" s="38"/>
      <c r="V95" s="39" t="str">
        <f t="shared" ca="1" si="2"/>
        <v/>
      </c>
      <c r="Y95" s="25"/>
      <c r="Z95" s="25"/>
    </row>
    <row r="96" spans="2:26" s="24" customFormat="1"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5"/>
      <c r="N96" s="33"/>
      <c r="O96" s="36"/>
      <c r="P96" s="33"/>
      <c r="Q96" s="33"/>
      <c r="R96" s="37"/>
      <c r="S96" s="38"/>
      <c r="V96" s="39" t="str">
        <f t="shared" ca="1" si="2"/>
        <v/>
      </c>
      <c r="Y96" s="25"/>
      <c r="Z96" s="25"/>
    </row>
    <row r="97" spans="2:26" s="24" customFormat="1"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5"/>
      <c r="N97" s="33"/>
      <c r="O97" s="36"/>
      <c r="P97" s="33"/>
      <c r="Q97" s="33"/>
      <c r="R97" s="37"/>
      <c r="S97" s="38"/>
      <c r="V97" s="39" t="str">
        <f t="shared" ca="1" si="2"/>
        <v/>
      </c>
      <c r="Y97" s="25"/>
      <c r="Z97" s="25"/>
    </row>
    <row r="98" spans="2:26" s="24" customFormat="1"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5"/>
      <c r="N98" s="33"/>
      <c r="O98" s="36"/>
      <c r="P98" s="33"/>
      <c r="Q98" s="33"/>
      <c r="R98" s="37"/>
      <c r="S98" s="38"/>
      <c r="V98" s="39" t="str">
        <f t="shared" ca="1" si="2"/>
        <v/>
      </c>
      <c r="Y98" s="25"/>
      <c r="Z98" s="25"/>
    </row>
    <row r="99" spans="2:26" s="24" customFormat="1"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5"/>
      <c r="N99" s="33"/>
      <c r="O99" s="36"/>
      <c r="P99" s="33"/>
      <c r="Q99" s="33"/>
      <c r="R99" s="37"/>
      <c r="S99" s="38"/>
      <c r="V99" s="39" t="str">
        <f t="shared" ca="1" si="2"/>
        <v/>
      </c>
      <c r="Y99" s="25"/>
      <c r="Z99" s="25"/>
    </row>
    <row r="100" spans="2:26" s="24" customFormat="1"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5"/>
      <c r="N100" s="33"/>
      <c r="O100" s="36"/>
      <c r="P100" s="33"/>
      <c r="Q100" s="33"/>
      <c r="R100" s="37"/>
      <c r="S100" s="38"/>
      <c r="V100" s="39" t="str">
        <f t="shared" ca="1" si="2"/>
        <v/>
      </c>
      <c r="Y100" s="25"/>
      <c r="Z100" s="25"/>
    </row>
    <row r="101" spans="2:26" s="24" customFormat="1"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5"/>
      <c r="N101" s="33"/>
      <c r="O101" s="36"/>
      <c r="P101" s="33"/>
      <c r="Q101" s="33"/>
      <c r="R101" s="37"/>
      <c r="S101" s="38"/>
      <c r="V101" s="39" t="str">
        <f t="shared" ca="1" si="2"/>
        <v/>
      </c>
      <c r="Y101" s="25"/>
      <c r="Z101" s="25"/>
    </row>
    <row r="102" spans="2:26" s="24" customFormat="1"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5"/>
      <c r="N102" s="33"/>
      <c r="O102" s="36"/>
      <c r="P102" s="33"/>
      <c r="Q102" s="33"/>
      <c r="R102" s="37"/>
      <c r="S102" s="38"/>
      <c r="V102" s="39" t="str">
        <f t="shared" ca="1" si="2"/>
        <v/>
      </c>
      <c r="Y102" s="25"/>
      <c r="Z102" s="25"/>
    </row>
    <row r="103" spans="2:26" s="24" customFormat="1"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5"/>
      <c r="N103" s="33"/>
      <c r="O103" s="36"/>
      <c r="P103" s="33"/>
      <c r="Q103" s="33"/>
      <c r="R103" s="37"/>
      <c r="S103" s="38"/>
      <c r="V103" s="39" t="str">
        <f t="shared" ca="1" si="2"/>
        <v/>
      </c>
      <c r="Y103" s="25"/>
      <c r="Z103" s="25"/>
    </row>
    <row r="104" spans="2:26" s="24" customFormat="1"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5"/>
      <c r="N104" s="33"/>
      <c r="O104" s="36"/>
      <c r="P104" s="33"/>
      <c r="Q104" s="33"/>
      <c r="R104" s="37"/>
      <c r="S104" s="38"/>
      <c r="V104" s="39" t="str">
        <f t="shared" ca="1" si="2"/>
        <v/>
      </c>
      <c r="Y104" s="25"/>
      <c r="Z104" s="25"/>
    </row>
    <row r="105" spans="2:26" s="24" customFormat="1"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5"/>
      <c r="N105" s="33"/>
      <c r="O105" s="36"/>
      <c r="P105" s="33"/>
      <c r="Q105" s="33"/>
      <c r="R105" s="37"/>
      <c r="S105" s="38"/>
      <c r="V105" s="39" t="str">
        <f t="shared" ca="1" si="2"/>
        <v/>
      </c>
      <c r="Y105" s="25"/>
      <c r="Z105" s="25"/>
    </row>
    <row r="106" spans="2:26" s="24" customFormat="1"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5"/>
      <c r="N106" s="33"/>
      <c r="O106" s="36"/>
      <c r="P106" s="33"/>
      <c r="Q106" s="33"/>
      <c r="R106" s="37"/>
      <c r="S106" s="38"/>
      <c r="V106" s="39" t="str">
        <f t="shared" ca="1" si="2"/>
        <v/>
      </c>
      <c r="Y106" s="25"/>
      <c r="Z106" s="25"/>
    </row>
    <row r="107" spans="2:26" s="24" customFormat="1"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5"/>
      <c r="N107" s="33"/>
      <c r="O107" s="36"/>
      <c r="P107" s="33"/>
      <c r="Q107" s="33"/>
      <c r="R107" s="37"/>
      <c r="S107" s="38"/>
      <c r="V107" s="39" t="str">
        <f t="shared" ca="1" si="2"/>
        <v/>
      </c>
      <c r="Y107" s="25"/>
      <c r="Z107" s="25"/>
    </row>
    <row r="108" spans="2:26" s="24" customFormat="1"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5"/>
      <c r="N108" s="33"/>
      <c r="O108" s="36"/>
      <c r="P108" s="33"/>
      <c r="Q108" s="33"/>
      <c r="R108" s="37"/>
      <c r="S108" s="38"/>
      <c r="V108" s="39" t="str">
        <f t="shared" ref="V108:V171" ca="1" si="3">IF(B109="","",WORKDAY(TODAY(),IF(OR(I109="PH",I109="PHOD"),0,1),feriadosBCS))</f>
        <v/>
      </c>
      <c r="Y108" s="25"/>
      <c r="Z108" s="25"/>
    </row>
    <row r="109" spans="2:26" s="24" customFormat="1"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5"/>
      <c r="N109" s="33"/>
      <c r="O109" s="36"/>
      <c r="P109" s="33"/>
      <c r="Q109" s="33"/>
      <c r="R109" s="37"/>
      <c r="S109" s="38"/>
      <c r="V109" s="39" t="str">
        <f t="shared" ca="1" si="3"/>
        <v/>
      </c>
      <c r="Y109" s="25"/>
      <c r="Z109" s="25"/>
    </row>
    <row r="110" spans="2:26" s="24" customFormat="1"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5"/>
      <c r="N110" s="33"/>
      <c r="O110" s="36"/>
      <c r="P110" s="33"/>
      <c r="Q110" s="33"/>
      <c r="R110" s="37"/>
      <c r="S110" s="38"/>
      <c r="V110" s="39" t="str">
        <f t="shared" ca="1" si="3"/>
        <v/>
      </c>
      <c r="Y110" s="25"/>
      <c r="Z110" s="25"/>
    </row>
    <row r="111" spans="2:26" s="24" customFormat="1"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5"/>
      <c r="N111" s="33"/>
      <c r="O111" s="36"/>
      <c r="P111" s="33"/>
      <c r="Q111" s="33"/>
      <c r="R111" s="37"/>
      <c r="S111" s="38"/>
      <c r="V111" s="39" t="str">
        <f t="shared" ca="1" si="3"/>
        <v/>
      </c>
      <c r="Y111" s="25"/>
      <c r="Z111" s="25"/>
    </row>
    <row r="112" spans="2:26" s="24" customFormat="1"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5"/>
      <c r="N112" s="33"/>
      <c r="O112" s="36"/>
      <c r="P112" s="33"/>
      <c r="Q112" s="33"/>
      <c r="R112" s="37"/>
      <c r="S112" s="38"/>
      <c r="V112" s="39" t="str">
        <f t="shared" ca="1" si="3"/>
        <v/>
      </c>
      <c r="Y112" s="25"/>
      <c r="Z112" s="25"/>
    </row>
    <row r="113" spans="2:26" s="24" customFormat="1"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5"/>
      <c r="N113" s="33"/>
      <c r="O113" s="36"/>
      <c r="P113" s="33"/>
      <c r="Q113" s="33"/>
      <c r="R113" s="37"/>
      <c r="S113" s="38"/>
      <c r="V113" s="39" t="str">
        <f t="shared" ca="1" si="3"/>
        <v/>
      </c>
      <c r="Y113" s="25"/>
      <c r="Z113" s="25"/>
    </row>
    <row r="114" spans="2:26" s="24" customFormat="1"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5"/>
      <c r="N114" s="33"/>
      <c r="O114" s="36"/>
      <c r="P114" s="33"/>
      <c r="Q114" s="33"/>
      <c r="R114" s="37"/>
      <c r="S114" s="38"/>
      <c r="V114" s="39" t="str">
        <f t="shared" ca="1" si="3"/>
        <v/>
      </c>
      <c r="Y114" s="25"/>
      <c r="Z114" s="25"/>
    </row>
    <row r="115" spans="2:26" s="24" customFormat="1"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5"/>
      <c r="N115" s="33"/>
      <c r="O115" s="36"/>
      <c r="P115" s="33"/>
      <c r="Q115" s="33"/>
      <c r="R115" s="37"/>
      <c r="S115" s="38"/>
      <c r="V115" s="39" t="str">
        <f t="shared" ca="1" si="3"/>
        <v/>
      </c>
      <c r="Y115" s="25"/>
      <c r="Z115" s="25"/>
    </row>
    <row r="116" spans="2:26" s="24" customFormat="1"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5"/>
      <c r="N116" s="33"/>
      <c r="O116" s="36"/>
      <c r="P116" s="33"/>
      <c r="Q116" s="33"/>
      <c r="R116" s="37"/>
      <c r="S116" s="38"/>
      <c r="V116" s="39" t="str">
        <f t="shared" ca="1" si="3"/>
        <v/>
      </c>
      <c r="Y116" s="25"/>
      <c r="Z116" s="25"/>
    </row>
    <row r="117" spans="2:26" s="24" customFormat="1"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5"/>
      <c r="N117" s="33"/>
      <c r="O117" s="36"/>
      <c r="P117" s="33"/>
      <c r="Q117" s="33"/>
      <c r="R117" s="37"/>
      <c r="S117" s="38"/>
      <c r="V117" s="39" t="str">
        <f t="shared" ca="1" si="3"/>
        <v/>
      </c>
      <c r="Y117" s="25"/>
      <c r="Z117" s="25"/>
    </row>
    <row r="118" spans="2:26" s="24" customFormat="1"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5"/>
      <c r="N118" s="33"/>
      <c r="O118" s="36"/>
      <c r="P118" s="33"/>
      <c r="Q118" s="33"/>
      <c r="R118" s="37"/>
      <c r="S118" s="38"/>
      <c r="V118" s="39" t="str">
        <f t="shared" ca="1" si="3"/>
        <v/>
      </c>
      <c r="Y118" s="25"/>
      <c r="Z118" s="25"/>
    </row>
    <row r="119" spans="2:26" s="24" customFormat="1"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5"/>
      <c r="N119" s="33"/>
      <c r="O119" s="36"/>
      <c r="P119" s="33"/>
      <c r="Q119" s="33"/>
      <c r="R119" s="37"/>
      <c r="S119" s="38"/>
      <c r="V119" s="39" t="str">
        <f t="shared" ca="1" si="3"/>
        <v/>
      </c>
      <c r="Y119" s="25"/>
      <c r="Z119" s="25"/>
    </row>
    <row r="120" spans="2:26" s="24" customFormat="1"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5"/>
      <c r="N120" s="33"/>
      <c r="O120" s="36"/>
      <c r="P120" s="33"/>
      <c r="Q120" s="33"/>
      <c r="R120" s="37"/>
      <c r="S120" s="38"/>
      <c r="V120" s="39" t="str">
        <f t="shared" ca="1" si="3"/>
        <v/>
      </c>
      <c r="Y120" s="25"/>
      <c r="Z120" s="25"/>
    </row>
    <row r="121" spans="2:26" s="24" customFormat="1"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5"/>
      <c r="N121" s="33"/>
      <c r="O121" s="36"/>
      <c r="P121" s="33"/>
      <c r="Q121" s="33"/>
      <c r="R121" s="37"/>
      <c r="S121" s="38"/>
      <c r="V121" s="39" t="str">
        <f t="shared" ca="1" si="3"/>
        <v/>
      </c>
      <c r="Y121" s="25"/>
      <c r="Z121" s="25"/>
    </row>
    <row r="122" spans="2:26" s="24" customFormat="1"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5"/>
      <c r="N122" s="33"/>
      <c r="O122" s="36"/>
      <c r="P122" s="33"/>
      <c r="Q122" s="33"/>
      <c r="R122" s="37"/>
      <c r="S122" s="38"/>
      <c r="V122" s="39" t="str">
        <f t="shared" ca="1" si="3"/>
        <v/>
      </c>
      <c r="Y122" s="25"/>
      <c r="Z122" s="25"/>
    </row>
    <row r="123" spans="2:26" s="24" customFormat="1"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5"/>
      <c r="N123" s="33"/>
      <c r="O123" s="36"/>
      <c r="P123" s="33"/>
      <c r="Q123" s="33"/>
      <c r="R123" s="37"/>
      <c r="S123" s="38"/>
      <c r="V123" s="39" t="str">
        <f t="shared" ca="1" si="3"/>
        <v/>
      </c>
      <c r="Y123" s="25"/>
      <c r="Z123" s="25"/>
    </row>
    <row r="124" spans="2:26" s="24" customFormat="1"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5"/>
      <c r="N124" s="33"/>
      <c r="O124" s="36"/>
      <c r="P124" s="33"/>
      <c r="Q124" s="33"/>
      <c r="R124" s="37"/>
      <c r="S124" s="38"/>
      <c r="V124" s="39" t="str">
        <f t="shared" ca="1" si="3"/>
        <v/>
      </c>
      <c r="Y124" s="25"/>
      <c r="Z124" s="25"/>
    </row>
    <row r="125" spans="2:26" s="24" customFormat="1"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5"/>
      <c r="N125" s="33"/>
      <c r="O125" s="36"/>
      <c r="P125" s="33"/>
      <c r="Q125" s="33"/>
      <c r="R125" s="37"/>
      <c r="S125" s="38"/>
      <c r="V125" s="39" t="str">
        <f t="shared" ca="1" si="3"/>
        <v/>
      </c>
      <c r="Y125" s="25"/>
      <c r="Z125" s="25"/>
    </row>
    <row r="126" spans="2:26" s="24" customFormat="1"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5"/>
      <c r="N126" s="33"/>
      <c r="O126" s="36"/>
      <c r="P126" s="33"/>
      <c r="Q126" s="33"/>
      <c r="R126" s="37"/>
      <c r="S126" s="38"/>
      <c r="V126" s="39" t="str">
        <f t="shared" ca="1" si="3"/>
        <v/>
      </c>
      <c r="Y126" s="25"/>
      <c r="Z126" s="25"/>
    </row>
    <row r="127" spans="2:26" s="24" customFormat="1"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5"/>
      <c r="N127" s="33"/>
      <c r="O127" s="36"/>
      <c r="P127" s="33"/>
      <c r="Q127" s="33"/>
      <c r="R127" s="37"/>
      <c r="S127" s="38"/>
      <c r="V127" s="39" t="str">
        <f t="shared" ca="1" si="3"/>
        <v/>
      </c>
      <c r="Y127" s="25"/>
      <c r="Z127" s="25"/>
    </row>
    <row r="128" spans="2:26" s="24" customFormat="1"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5"/>
      <c r="N128" s="33"/>
      <c r="O128" s="36"/>
      <c r="P128" s="33"/>
      <c r="Q128" s="33"/>
      <c r="R128" s="37"/>
      <c r="S128" s="38"/>
      <c r="V128" s="39" t="str">
        <f t="shared" ca="1" si="3"/>
        <v/>
      </c>
      <c r="Y128" s="25"/>
      <c r="Z128" s="25"/>
    </row>
    <row r="129" spans="2:26" s="24" customFormat="1"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5"/>
      <c r="N129" s="33"/>
      <c r="O129" s="36"/>
      <c r="P129" s="33"/>
      <c r="Q129" s="33"/>
      <c r="R129" s="37"/>
      <c r="S129" s="38"/>
      <c r="V129" s="39" t="str">
        <f t="shared" ca="1" si="3"/>
        <v/>
      </c>
      <c r="Y129" s="25"/>
      <c r="Z129" s="25"/>
    </row>
    <row r="130" spans="2:26" s="24" customFormat="1"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5"/>
      <c r="N130" s="33"/>
      <c r="O130" s="36"/>
      <c r="P130" s="33"/>
      <c r="Q130" s="33"/>
      <c r="R130" s="37"/>
      <c r="S130" s="38"/>
      <c r="V130" s="39" t="str">
        <f t="shared" ca="1" si="3"/>
        <v/>
      </c>
      <c r="Y130" s="25"/>
      <c r="Z130" s="25"/>
    </row>
    <row r="131" spans="2:26" s="24" customFormat="1"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5"/>
      <c r="N131" s="33"/>
      <c r="O131" s="36"/>
      <c r="P131" s="33"/>
      <c r="Q131" s="33"/>
      <c r="R131" s="37"/>
      <c r="S131" s="38"/>
      <c r="V131" s="39" t="str">
        <f t="shared" ca="1" si="3"/>
        <v/>
      </c>
      <c r="Y131" s="25"/>
      <c r="Z131" s="25"/>
    </row>
    <row r="132" spans="2:26" s="24" customFormat="1"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5"/>
      <c r="N132" s="33"/>
      <c r="O132" s="36"/>
      <c r="P132" s="33"/>
      <c r="Q132" s="33"/>
      <c r="R132" s="37"/>
      <c r="S132" s="38"/>
      <c r="V132" s="39" t="str">
        <f t="shared" ca="1" si="3"/>
        <v/>
      </c>
      <c r="Y132" s="25"/>
      <c r="Z132" s="25"/>
    </row>
    <row r="133" spans="2:26" s="24" customFormat="1"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5"/>
      <c r="N133" s="33"/>
      <c r="O133" s="36"/>
      <c r="P133" s="33"/>
      <c r="Q133" s="33"/>
      <c r="R133" s="37"/>
      <c r="S133" s="38"/>
      <c r="V133" s="39" t="str">
        <f t="shared" ca="1" si="3"/>
        <v/>
      </c>
      <c r="Y133" s="25"/>
      <c r="Z133" s="25"/>
    </row>
    <row r="134" spans="2:26" s="24" customFormat="1"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5"/>
      <c r="N134" s="33"/>
      <c r="O134" s="36"/>
      <c r="P134" s="33"/>
      <c r="Q134" s="33"/>
      <c r="R134" s="37"/>
      <c r="S134" s="38"/>
      <c r="V134" s="39" t="str">
        <f t="shared" ca="1" si="3"/>
        <v/>
      </c>
      <c r="Y134" s="25"/>
      <c r="Z134" s="25"/>
    </row>
    <row r="135" spans="2:26" s="24" customFormat="1"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5"/>
      <c r="N135" s="33"/>
      <c r="O135" s="36"/>
      <c r="P135" s="33"/>
      <c r="Q135" s="33"/>
      <c r="R135" s="37"/>
      <c r="S135" s="38"/>
      <c r="V135" s="39" t="str">
        <f t="shared" ca="1" si="3"/>
        <v/>
      </c>
      <c r="Y135" s="25"/>
      <c r="Z135" s="25"/>
    </row>
    <row r="136" spans="2:26" s="24" customFormat="1"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5"/>
      <c r="N136" s="33"/>
      <c r="O136" s="36"/>
      <c r="P136" s="33"/>
      <c r="Q136" s="33"/>
      <c r="R136" s="37"/>
      <c r="S136" s="38"/>
      <c r="V136" s="39" t="str">
        <f t="shared" ca="1" si="3"/>
        <v/>
      </c>
      <c r="Y136" s="25"/>
      <c r="Z136" s="25"/>
    </row>
    <row r="137" spans="2:26" s="24" customFormat="1"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5"/>
      <c r="N137" s="33"/>
      <c r="O137" s="36"/>
      <c r="P137" s="33"/>
      <c r="Q137" s="33"/>
      <c r="R137" s="37"/>
      <c r="S137" s="38"/>
      <c r="V137" s="39" t="str">
        <f t="shared" ca="1" si="3"/>
        <v/>
      </c>
      <c r="Y137" s="25"/>
      <c r="Z137" s="25"/>
    </row>
    <row r="138" spans="2:26" s="24" customFormat="1"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5"/>
      <c r="N138" s="33"/>
      <c r="O138" s="36"/>
      <c r="P138" s="33"/>
      <c r="Q138" s="33"/>
      <c r="R138" s="37"/>
      <c r="S138" s="38"/>
      <c r="V138" s="39" t="str">
        <f t="shared" ca="1" si="3"/>
        <v/>
      </c>
      <c r="Y138" s="25"/>
      <c r="Z138" s="25"/>
    </row>
    <row r="139" spans="2:26" s="24" customFormat="1"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5"/>
      <c r="N139" s="33"/>
      <c r="O139" s="36"/>
      <c r="P139" s="33"/>
      <c r="Q139" s="33"/>
      <c r="R139" s="37"/>
      <c r="S139" s="38"/>
      <c r="V139" s="39" t="str">
        <f t="shared" ca="1" si="3"/>
        <v/>
      </c>
      <c r="Y139" s="25"/>
      <c r="Z139" s="25"/>
    </row>
    <row r="140" spans="2:26" s="24" customFormat="1"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5"/>
      <c r="N140" s="33"/>
      <c r="O140" s="36"/>
      <c r="P140" s="33"/>
      <c r="Q140" s="33"/>
      <c r="R140" s="37"/>
      <c r="S140" s="38"/>
      <c r="V140" s="39" t="str">
        <f t="shared" ca="1" si="3"/>
        <v/>
      </c>
      <c r="Y140" s="25"/>
      <c r="Z140" s="25"/>
    </row>
    <row r="141" spans="2:26" s="24" customFormat="1"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5"/>
      <c r="N141" s="33"/>
      <c r="O141" s="36"/>
      <c r="P141" s="33"/>
      <c r="Q141" s="33"/>
      <c r="R141" s="37"/>
      <c r="S141" s="38"/>
      <c r="V141" s="39" t="str">
        <f t="shared" ca="1" si="3"/>
        <v/>
      </c>
      <c r="Y141" s="25"/>
      <c r="Z141" s="25"/>
    </row>
    <row r="142" spans="2:26" s="24" customFormat="1"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5"/>
      <c r="N142" s="33"/>
      <c r="O142" s="36"/>
      <c r="P142" s="33"/>
      <c r="Q142" s="33"/>
      <c r="R142" s="37"/>
      <c r="S142" s="38"/>
      <c r="V142" s="39" t="str">
        <f t="shared" ca="1" si="3"/>
        <v/>
      </c>
      <c r="Y142" s="25"/>
      <c r="Z142" s="25"/>
    </row>
    <row r="143" spans="2:26" s="24" customFormat="1"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5"/>
      <c r="N143" s="33"/>
      <c r="O143" s="36"/>
      <c r="P143" s="33"/>
      <c r="Q143" s="33"/>
      <c r="R143" s="37"/>
      <c r="S143" s="38"/>
      <c r="V143" s="39" t="str">
        <f t="shared" ca="1" si="3"/>
        <v/>
      </c>
      <c r="Y143" s="25"/>
      <c r="Z143" s="25"/>
    </row>
    <row r="144" spans="2:26" s="24" customFormat="1"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5"/>
      <c r="N144" s="33"/>
      <c r="O144" s="36"/>
      <c r="P144" s="33"/>
      <c r="Q144" s="33"/>
      <c r="R144" s="37"/>
      <c r="S144" s="38"/>
      <c r="V144" s="39" t="str">
        <f t="shared" ca="1" si="3"/>
        <v/>
      </c>
      <c r="Y144" s="25"/>
      <c r="Z144" s="25"/>
    </row>
    <row r="145" spans="2:26" s="24" customFormat="1"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5"/>
      <c r="N145" s="33"/>
      <c r="O145" s="36"/>
      <c r="P145" s="33"/>
      <c r="Q145" s="33"/>
      <c r="R145" s="37"/>
      <c r="S145" s="38"/>
      <c r="V145" s="39" t="str">
        <f t="shared" ca="1" si="3"/>
        <v/>
      </c>
      <c r="Y145" s="25"/>
      <c r="Z145" s="25"/>
    </row>
    <row r="146" spans="2:26" s="24" customFormat="1"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5"/>
      <c r="N146" s="33"/>
      <c r="O146" s="36"/>
      <c r="P146" s="33"/>
      <c r="Q146" s="33"/>
      <c r="R146" s="37"/>
      <c r="S146" s="38"/>
      <c r="V146" s="39" t="str">
        <f t="shared" ca="1" si="3"/>
        <v/>
      </c>
      <c r="Y146" s="25"/>
      <c r="Z146" s="25"/>
    </row>
    <row r="147" spans="2:26" s="24" customFormat="1"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5"/>
      <c r="N147" s="33"/>
      <c r="O147" s="36"/>
      <c r="P147" s="33"/>
      <c r="Q147" s="33"/>
      <c r="R147" s="37"/>
      <c r="S147" s="38"/>
      <c r="V147" s="39" t="str">
        <f t="shared" ca="1" si="3"/>
        <v/>
      </c>
      <c r="Y147" s="25"/>
      <c r="Z147" s="25"/>
    </row>
    <row r="148" spans="2:26" s="24" customFormat="1"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5"/>
      <c r="N148" s="33"/>
      <c r="O148" s="36"/>
      <c r="P148" s="33"/>
      <c r="Q148" s="33"/>
      <c r="R148" s="37"/>
      <c r="S148" s="38"/>
      <c r="V148" s="39" t="str">
        <f t="shared" ca="1" si="3"/>
        <v/>
      </c>
      <c r="Y148" s="25"/>
      <c r="Z148" s="25"/>
    </row>
    <row r="149" spans="2:26" s="24" customFormat="1"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5"/>
      <c r="N149" s="33"/>
      <c r="O149" s="36"/>
      <c r="P149" s="33"/>
      <c r="Q149" s="33"/>
      <c r="R149" s="37"/>
      <c r="S149" s="38"/>
      <c r="V149" s="39" t="str">
        <f t="shared" ca="1" si="3"/>
        <v/>
      </c>
      <c r="Y149" s="25"/>
      <c r="Z149" s="25"/>
    </row>
    <row r="150" spans="2:26" s="24" customFormat="1"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5"/>
      <c r="N150" s="33"/>
      <c r="O150" s="36"/>
      <c r="P150" s="33"/>
      <c r="Q150" s="33"/>
      <c r="R150" s="37"/>
      <c r="S150" s="38"/>
      <c r="V150" s="39" t="str">
        <f t="shared" ca="1" si="3"/>
        <v/>
      </c>
      <c r="Y150" s="25"/>
      <c r="Z150" s="25"/>
    </row>
    <row r="151" spans="2:26" s="24" customFormat="1"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5"/>
      <c r="N151" s="33"/>
      <c r="O151" s="36"/>
      <c r="P151" s="33"/>
      <c r="Q151" s="33"/>
      <c r="R151" s="37"/>
      <c r="S151" s="38"/>
      <c r="V151" s="39" t="str">
        <f t="shared" ca="1" si="3"/>
        <v/>
      </c>
      <c r="Y151" s="25"/>
      <c r="Z151" s="25"/>
    </row>
    <row r="152" spans="2:26" s="24" customFormat="1"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5"/>
      <c r="N152" s="33"/>
      <c r="O152" s="36"/>
      <c r="P152" s="33"/>
      <c r="Q152" s="33"/>
      <c r="R152" s="37"/>
      <c r="S152" s="38"/>
      <c r="V152" s="39" t="str">
        <f t="shared" ca="1" si="3"/>
        <v/>
      </c>
      <c r="Y152" s="25"/>
      <c r="Z152" s="25"/>
    </row>
    <row r="153" spans="2:26" s="24" customFormat="1"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5"/>
      <c r="N153" s="33"/>
      <c r="O153" s="36"/>
      <c r="P153" s="33"/>
      <c r="Q153" s="33"/>
      <c r="R153" s="37"/>
      <c r="S153" s="38"/>
      <c r="V153" s="39" t="str">
        <f t="shared" ca="1" si="3"/>
        <v/>
      </c>
      <c r="Y153" s="25"/>
      <c r="Z153" s="25"/>
    </row>
    <row r="154" spans="2:26" s="24" customFormat="1"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5"/>
      <c r="N154" s="33"/>
      <c r="O154" s="36"/>
      <c r="P154" s="33"/>
      <c r="Q154" s="33"/>
      <c r="R154" s="37"/>
      <c r="S154" s="38"/>
      <c r="V154" s="39" t="str">
        <f t="shared" ca="1" si="3"/>
        <v/>
      </c>
      <c r="Y154" s="25"/>
      <c r="Z154" s="25"/>
    </row>
    <row r="155" spans="2:26" s="24" customFormat="1"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5"/>
      <c r="N155" s="33"/>
      <c r="O155" s="36"/>
      <c r="P155" s="33"/>
      <c r="Q155" s="33"/>
      <c r="R155" s="37"/>
      <c r="S155" s="38"/>
      <c r="V155" s="39" t="str">
        <f t="shared" ca="1" si="3"/>
        <v/>
      </c>
      <c r="Y155" s="25"/>
      <c r="Z155" s="25"/>
    </row>
    <row r="156" spans="2:26" s="24" customFormat="1"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5"/>
      <c r="N156" s="33"/>
      <c r="O156" s="36"/>
      <c r="P156" s="33"/>
      <c r="Q156" s="33"/>
      <c r="R156" s="37"/>
      <c r="S156" s="38"/>
      <c r="V156" s="39" t="str">
        <f t="shared" ca="1" si="3"/>
        <v/>
      </c>
      <c r="Y156" s="25"/>
      <c r="Z156" s="25"/>
    </row>
    <row r="157" spans="2:26" s="24" customFormat="1"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5"/>
      <c r="N157" s="33"/>
      <c r="O157" s="36"/>
      <c r="P157" s="33"/>
      <c r="Q157" s="33"/>
      <c r="R157" s="37"/>
      <c r="S157" s="38"/>
      <c r="V157" s="39" t="str">
        <f t="shared" ca="1" si="3"/>
        <v/>
      </c>
      <c r="Y157" s="25"/>
      <c r="Z157" s="25"/>
    </row>
    <row r="158" spans="2:26" s="24" customFormat="1"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5"/>
      <c r="N158" s="33"/>
      <c r="O158" s="36"/>
      <c r="P158" s="33"/>
      <c r="Q158" s="33"/>
      <c r="R158" s="37"/>
      <c r="S158" s="38"/>
      <c r="V158" s="39" t="str">
        <f t="shared" ca="1" si="3"/>
        <v/>
      </c>
      <c r="Y158" s="25"/>
      <c r="Z158" s="25"/>
    </row>
    <row r="159" spans="2:26" s="24" customFormat="1"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5"/>
      <c r="N159" s="33"/>
      <c r="O159" s="36"/>
      <c r="P159" s="33"/>
      <c r="Q159" s="33"/>
      <c r="R159" s="37"/>
      <c r="S159" s="38"/>
      <c r="V159" s="39" t="str">
        <f t="shared" ca="1" si="3"/>
        <v/>
      </c>
      <c r="Y159" s="25"/>
      <c r="Z159" s="25"/>
    </row>
    <row r="160" spans="2:26" s="24" customFormat="1"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5"/>
      <c r="N160" s="33"/>
      <c r="O160" s="36"/>
      <c r="P160" s="33"/>
      <c r="Q160" s="33"/>
      <c r="R160" s="37"/>
      <c r="S160" s="38"/>
      <c r="V160" s="39" t="str">
        <f t="shared" ca="1" si="3"/>
        <v/>
      </c>
      <c r="Y160" s="25"/>
      <c r="Z160" s="25"/>
    </row>
    <row r="161" spans="2:26" s="24" customFormat="1"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5"/>
      <c r="N161" s="33"/>
      <c r="O161" s="36"/>
      <c r="P161" s="33"/>
      <c r="Q161" s="33"/>
      <c r="R161" s="37"/>
      <c r="S161" s="38"/>
      <c r="V161" s="39" t="str">
        <f t="shared" ca="1" si="3"/>
        <v/>
      </c>
      <c r="Y161" s="25"/>
      <c r="Z161" s="25"/>
    </row>
    <row r="162" spans="2:26" s="24" customFormat="1"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5"/>
      <c r="N162" s="33"/>
      <c r="O162" s="36"/>
      <c r="P162" s="33"/>
      <c r="Q162" s="33"/>
      <c r="R162" s="37"/>
      <c r="S162" s="38"/>
      <c r="V162" s="39" t="str">
        <f t="shared" ca="1" si="3"/>
        <v/>
      </c>
      <c r="Y162" s="25"/>
      <c r="Z162" s="25"/>
    </row>
    <row r="163" spans="2:26" s="24" customFormat="1"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5"/>
      <c r="N163" s="33"/>
      <c r="O163" s="36"/>
      <c r="P163" s="33"/>
      <c r="Q163" s="33"/>
      <c r="R163" s="37"/>
      <c r="S163" s="38"/>
      <c r="V163" s="39" t="str">
        <f t="shared" ca="1" si="3"/>
        <v/>
      </c>
      <c r="Y163" s="25"/>
      <c r="Z163" s="25"/>
    </row>
    <row r="164" spans="2:26" s="24" customFormat="1"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5"/>
      <c r="N164" s="33"/>
      <c r="O164" s="36"/>
      <c r="P164" s="33"/>
      <c r="Q164" s="33"/>
      <c r="R164" s="37"/>
      <c r="S164" s="38"/>
      <c r="V164" s="39" t="str">
        <f t="shared" ca="1" si="3"/>
        <v/>
      </c>
      <c r="Y164" s="25"/>
      <c r="Z164" s="25"/>
    </row>
    <row r="165" spans="2:26" s="24" customFormat="1"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5"/>
      <c r="N165" s="33"/>
      <c r="O165" s="36"/>
      <c r="P165" s="33"/>
      <c r="Q165" s="33"/>
      <c r="R165" s="37"/>
      <c r="S165" s="38"/>
      <c r="V165" s="39" t="str">
        <f t="shared" ca="1" si="3"/>
        <v/>
      </c>
      <c r="Y165" s="25"/>
      <c r="Z165" s="25"/>
    </row>
    <row r="166" spans="2:26" s="24" customFormat="1"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5"/>
      <c r="N166" s="33"/>
      <c r="O166" s="36"/>
      <c r="P166" s="33"/>
      <c r="Q166" s="33"/>
      <c r="R166" s="37"/>
      <c r="S166" s="38"/>
      <c r="V166" s="39" t="str">
        <f t="shared" ca="1" si="3"/>
        <v/>
      </c>
      <c r="Y166" s="25"/>
      <c r="Z166" s="25"/>
    </row>
    <row r="167" spans="2:26" s="24" customFormat="1"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5"/>
      <c r="N167" s="33"/>
      <c r="O167" s="36"/>
      <c r="P167" s="33"/>
      <c r="Q167" s="33"/>
      <c r="R167" s="37"/>
      <c r="S167" s="38"/>
      <c r="V167" s="39" t="str">
        <f t="shared" ca="1" si="3"/>
        <v/>
      </c>
      <c r="Y167" s="25"/>
      <c r="Z167" s="25"/>
    </row>
    <row r="168" spans="2:26" s="24" customFormat="1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5"/>
      <c r="N168" s="33"/>
      <c r="O168" s="36"/>
      <c r="P168" s="33"/>
      <c r="Q168" s="33"/>
      <c r="R168" s="37"/>
      <c r="S168" s="38"/>
      <c r="V168" s="39" t="str">
        <f t="shared" ca="1" si="3"/>
        <v/>
      </c>
      <c r="Y168" s="25"/>
      <c r="Z168" s="25"/>
    </row>
    <row r="169" spans="2:26" s="24" customFormat="1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5"/>
      <c r="N169" s="33"/>
      <c r="O169" s="36"/>
      <c r="P169" s="33"/>
      <c r="Q169" s="33"/>
      <c r="R169" s="37"/>
      <c r="S169" s="38"/>
      <c r="V169" s="39" t="str">
        <f t="shared" ca="1" si="3"/>
        <v/>
      </c>
      <c r="Y169" s="25"/>
      <c r="Z169" s="25"/>
    </row>
    <row r="170" spans="2:26" s="24" customFormat="1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5"/>
      <c r="N170" s="33"/>
      <c r="O170" s="36"/>
      <c r="P170" s="33"/>
      <c r="Q170" s="33"/>
      <c r="R170" s="37"/>
      <c r="S170" s="38"/>
      <c r="V170" s="39" t="str">
        <f t="shared" ca="1" si="3"/>
        <v/>
      </c>
      <c r="Y170" s="25"/>
      <c r="Z170" s="25"/>
    </row>
    <row r="171" spans="2:26" s="24" customFormat="1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5"/>
      <c r="N171" s="33"/>
      <c r="O171" s="36"/>
      <c r="P171" s="33"/>
      <c r="Q171" s="33"/>
      <c r="R171" s="37"/>
      <c r="S171" s="38"/>
      <c r="V171" s="39" t="str">
        <f t="shared" ca="1" si="3"/>
        <v/>
      </c>
      <c r="Y171" s="25"/>
      <c r="Z171" s="25"/>
    </row>
    <row r="172" spans="2:26" s="24" customFormat="1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5"/>
      <c r="N172" s="33"/>
      <c r="O172" s="36"/>
      <c r="P172" s="33"/>
      <c r="Q172" s="33"/>
      <c r="R172" s="37"/>
      <c r="S172" s="38"/>
      <c r="V172" s="39" t="str">
        <f t="shared" ref="V172:V235" ca="1" si="4">IF(B173="","",WORKDAY(TODAY(),IF(OR(I173="PH",I173="PHOD"),0,1),feriadosBCS))</f>
        <v/>
      </c>
      <c r="Y172" s="25"/>
      <c r="Z172" s="25"/>
    </row>
    <row r="173" spans="2:26" s="24" customFormat="1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5"/>
      <c r="N173" s="33"/>
      <c r="O173" s="36"/>
      <c r="P173" s="33"/>
      <c r="Q173" s="33"/>
      <c r="R173" s="37"/>
      <c r="S173" s="38"/>
      <c r="V173" s="39" t="str">
        <f t="shared" ca="1" si="4"/>
        <v/>
      </c>
      <c r="Y173" s="25"/>
      <c r="Z173" s="25"/>
    </row>
    <row r="174" spans="2:26" s="24" customFormat="1"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5"/>
      <c r="N174" s="33"/>
      <c r="O174" s="36"/>
      <c r="P174" s="33"/>
      <c r="Q174" s="33"/>
      <c r="R174" s="37"/>
      <c r="S174" s="38"/>
      <c r="V174" s="39" t="str">
        <f t="shared" ca="1" si="4"/>
        <v/>
      </c>
      <c r="Y174" s="25"/>
      <c r="Z174" s="25"/>
    </row>
    <row r="175" spans="2:26" s="24" customFormat="1"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5"/>
      <c r="N175" s="33"/>
      <c r="O175" s="36"/>
      <c r="P175" s="33"/>
      <c r="Q175" s="33"/>
      <c r="R175" s="37"/>
      <c r="S175" s="38"/>
      <c r="V175" s="39" t="str">
        <f t="shared" ca="1" si="4"/>
        <v/>
      </c>
      <c r="Y175" s="25"/>
      <c r="Z175" s="25"/>
    </row>
    <row r="176" spans="2:26" s="24" customFormat="1"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5"/>
      <c r="N176" s="33"/>
      <c r="O176" s="36"/>
      <c r="P176" s="33"/>
      <c r="Q176" s="33"/>
      <c r="R176" s="37"/>
      <c r="S176" s="38"/>
      <c r="V176" s="39" t="str">
        <f t="shared" ca="1" si="4"/>
        <v/>
      </c>
      <c r="Y176" s="25"/>
      <c r="Z176" s="25"/>
    </row>
    <row r="177" spans="2:26" s="24" customFormat="1"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5"/>
      <c r="N177" s="33"/>
      <c r="O177" s="36"/>
      <c r="P177" s="33"/>
      <c r="Q177" s="33"/>
      <c r="R177" s="37"/>
      <c r="S177" s="38"/>
      <c r="V177" s="39" t="str">
        <f t="shared" ca="1" si="4"/>
        <v/>
      </c>
      <c r="Y177" s="25"/>
      <c r="Z177" s="25"/>
    </row>
    <row r="178" spans="2:26" s="24" customFormat="1"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5"/>
      <c r="N178" s="33"/>
      <c r="O178" s="36"/>
      <c r="P178" s="33"/>
      <c r="Q178" s="33"/>
      <c r="R178" s="37"/>
      <c r="S178" s="38"/>
      <c r="V178" s="39" t="str">
        <f t="shared" ca="1" si="4"/>
        <v/>
      </c>
      <c r="Y178" s="25"/>
      <c r="Z178" s="25"/>
    </row>
    <row r="179" spans="2:26" s="24" customFormat="1"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5"/>
      <c r="N179" s="33"/>
      <c r="O179" s="36"/>
      <c r="P179" s="33"/>
      <c r="Q179" s="33"/>
      <c r="R179" s="37"/>
      <c r="S179" s="38"/>
      <c r="V179" s="39" t="str">
        <f t="shared" ca="1" si="4"/>
        <v/>
      </c>
      <c r="Y179" s="25"/>
      <c r="Z179" s="25"/>
    </row>
    <row r="180" spans="2:26" s="24" customFormat="1"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5"/>
      <c r="N180" s="33"/>
      <c r="O180" s="36"/>
      <c r="P180" s="33"/>
      <c r="Q180" s="33"/>
      <c r="R180" s="37"/>
      <c r="S180" s="38"/>
      <c r="V180" s="39" t="str">
        <f t="shared" ca="1" si="4"/>
        <v/>
      </c>
      <c r="Y180" s="25"/>
      <c r="Z180" s="25"/>
    </row>
    <row r="181" spans="2:26" s="24" customFormat="1"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5"/>
      <c r="N181" s="33"/>
      <c r="O181" s="36"/>
      <c r="P181" s="33"/>
      <c r="Q181" s="33"/>
      <c r="R181" s="37"/>
      <c r="S181" s="38"/>
      <c r="V181" s="39" t="str">
        <f t="shared" ca="1" si="4"/>
        <v/>
      </c>
      <c r="Y181" s="25"/>
      <c r="Z181" s="25"/>
    </row>
    <row r="182" spans="2:26" s="24" customFormat="1"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5"/>
      <c r="N182" s="33"/>
      <c r="O182" s="36"/>
      <c r="P182" s="33"/>
      <c r="Q182" s="33"/>
      <c r="R182" s="37"/>
      <c r="S182" s="38"/>
      <c r="V182" s="39" t="str">
        <f t="shared" ca="1" si="4"/>
        <v/>
      </c>
      <c r="Y182" s="25"/>
      <c r="Z182" s="25"/>
    </row>
    <row r="183" spans="2:26" s="24" customFormat="1"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5"/>
      <c r="N183" s="33"/>
      <c r="O183" s="36"/>
      <c r="P183" s="33"/>
      <c r="Q183" s="33"/>
      <c r="R183" s="37"/>
      <c r="S183" s="38"/>
      <c r="V183" s="39" t="str">
        <f t="shared" ca="1" si="4"/>
        <v/>
      </c>
      <c r="Y183" s="25"/>
      <c r="Z183" s="25"/>
    </row>
    <row r="184" spans="2:26" s="24" customFormat="1"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5"/>
      <c r="N184" s="33"/>
      <c r="O184" s="36"/>
      <c r="P184" s="33"/>
      <c r="Q184" s="33"/>
      <c r="R184" s="37"/>
      <c r="S184" s="38"/>
      <c r="V184" s="39" t="str">
        <f t="shared" ca="1" si="4"/>
        <v/>
      </c>
      <c r="Y184" s="25"/>
      <c r="Z184" s="25"/>
    </row>
    <row r="185" spans="2:26" s="24" customFormat="1"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5"/>
      <c r="N185" s="33"/>
      <c r="O185" s="36"/>
      <c r="P185" s="33"/>
      <c r="Q185" s="33"/>
      <c r="R185" s="37"/>
      <c r="S185" s="38"/>
      <c r="V185" s="39" t="str">
        <f t="shared" ca="1" si="4"/>
        <v/>
      </c>
      <c r="Y185" s="25"/>
      <c r="Z185" s="25"/>
    </row>
    <row r="186" spans="2:26" s="24" customFormat="1"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5"/>
      <c r="N186" s="33"/>
      <c r="O186" s="36"/>
      <c r="P186" s="33"/>
      <c r="Q186" s="33"/>
      <c r="R186" s="37"/>
      <c r="S186" s="38"/>
      <c r="V186" s="39" t="str">
        <f t="shared" ca="1" si="4"/>
        <v/>
      </c>
      <c r="Y186" s="25"/>
      <c r="Z186" s="25"/>
    </row>
    <row r="187" spans="2:26" s="24" customFormat="1"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5"/>
      <c r="N187" s="33"/>
      <c r="O187" s="36"/>
      <c r="P187" s="33"/>
      <c r="Q187" s="33"/>
      <c r="R187" s="37"/>
      <c r="S187" s="38"/>
      <c r="V187" s="39" t="str">
        <f t="shared" ca="1" si="4"/>
        <v/>
      </c>
      <c r="Y187" s="25"/>
      <c r="Z187" s="25"/>
    </row>
    <row r="188" spans="2:26" s="24" customFormat="1"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5"/>
      <c r="N188" s="33"/>
      <c r="O188" s="36"/>
      <c r="P188" s="33"/>
      <c r="Q188" s="33"/>
      <c r="R188" s="37"/>
      <c r="S188" s="38"/>
      <c r="V188" s="39" t="str">
        <f t="shared" ca="1" si="4"/>
        <v/>
      </c>
      <c r="Y188" s="25"/>
      <c r="Z188" s="25"/>
    </row>
    <row r="189" spans="2:26" s="24" customFormat="1"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5"/>
      <c r="N189" s="33"/>
      <c r="O189" s="36"/>
      <c r="P189" s="33"/>
      <c r="Q189" s="33"/>
      <c r="R189" s="37"/>
      <c r="S189" s="38"/>
      <c r="V189" s="39" t="str">
        <f t="shared" ca="1" si="4"/>
        <v/>
      </c>
      <c r="Y189" s="25"/>
      <c r="Z189" s="25"/>
    </row>
    <row r="190" spans="2:26" s="24" customFormat="1"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5"/>
      <c r="N190" s="33"/>
      <c r="O190" s="36"/>
      <c r="P190" s="33"/>
      <c r="Q190" s="33"/>
      <c r="R190" s="37"/>
      <c r="S190" s="38"/>
      <c r="V190" s="39" t="str">
        <f t="shared" ca="1" si="4"/>
        <v/>
      </c>
      <c r="Y190" s="25"/>
      <c r="Z190" s="25"/>
    </row>
    <row r="191" spans="2:26" s="24" customFormat="1"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5"/>
      <c r="N191" s="33"/>
      <c r="O191" s="36"/>
      <c r="P191" s="33"/>
      <c r="Q191" s="33"/>
      <c r="R191" s="37"/>
      <c r="S191" s="38"/>
      <c r="V191" s="39" t="str">
        <f t="shared" ca="1" si="4"/>
        <v/>
      </c>
      <c r="Y191" s="25"/>
      <c r="Z191" s="25"/>
    </row>
    <row r="192" spans="2:26" s="24" customFormat="1"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5"/>
      <c r="N192" s="33"/>
      <c r="O192" s="36"/>
      <c r="P192" s="33"/>
      <c r="Q192" s="33"/>
      <c r="R192" s="37"/>
      <c r="S192" s="38"/>
      <c r="V192" s="39" t="str">
        <f t="shared" ca="1" si="4"/>
        <v/>
      </c>
      <c r="Y192" s="25"/>
      <c r="Z192" s="25"/>
    </row>
    <row r="193" spans="2:26" s="24" customFormat="1"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5"/>
      <c r="N193" s="33"/>
      <c r="O193" s="36"/>
      <c r="P193" s="33"/>
      <c r="Q193" s="33"/>
      <c r="R193" s="37"/>
      <c r="S193" s="38"/>
      <c r="V193" s="39" t="str">
        <f t="shared" ca="1" si="4"/>
        <v/>
      </c>
      <c r="Y193" s="25"/>
      <c r="Z193" s="25"/>
    </row>
    <row r="194" spans="2:26" s="24" customFormat="1"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5"/>
      <c r="N194" s="33"/>
      <c r="O194" s="36"/>
      <c r="P194" s="33"/>
      <c r="Q194" s="33"/>
      <c r="R194" s="37"/>
      <c r="S194" s="38"/>
      <c r="V194" s="39" t="str">
        <f t="shared" ca="1" si="4"/>
        <v/>
      </c>
      <c r="Y194" s="25"/>
      <c r="Z194" s="25"/>
    </row>
    <row r="195" spans="2:26" s="24" customFormat="1"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5"/>
      <c r="N195" s="33"/>
      <c r="O195" s="36"/>
      <c r="P195" s="33"/>
      <c r="Q195" s="33"/>
      <c r="R195" s="37"/>
      <c r="S195" s="38"/>
      <c r="V195" s="39" t="str">
        <f t="shared" ca="1" si="4"/>
        <v/>
      </c>
      <c r="Y195" s="25"/>
      <c r="Z195" s="25"/>
    </row>
    <row r="196" spans="2:26" s="24" customFormat="1"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5"/>
      <c r="N196" s="33"/>
      <c r="O196" s="36"/>
      <c r="P196" s="33"/>
      <c r="Q196" s="33"/>
      <c r="R196" s="37"/>
      <c r="S196" s="38"/>
      <c r="V196" s="39" t="str">
        <f t="shared" ca="1" si="4"/>
        <v/>
      </c>
      <c r="Y196" s="25"/>
      <c r="Z196" s="25"/>
    </row>
    <row r="197" spans="2:26" s="24" customFormat="1"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5"/>
      <c r="N197" s="33"/>
      <c r="O197" s="36"/>
      <c r="P197" s="33"/>
      <c r="Q197" s="33"/>
      <c r="R197" s="37"/>
      <c r="S197" s="38"/>
      <c r="V197" s="39" t="str">
        <f t="shared" ca="1" si="4"/>
        <v/>
      </c>
      <c r="Y197" s="25"/>
      <c r="Z197" s="25"/>
    </row>
    <row r="198" spans="2:26" s="24" customFormat="1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5"/>
      <c r="N198" s="33"/>
      <c r="O198" s="36"/>
      <c r="P198" s="33"/>
      <c r="Q198" s="33"/>
      <c r="R198" s="37"/>
      <c r="S198" s="38"/>
      <c r="V198" s="39" t="str">
        <f t="shared" ca="1" si="4"/>
        <v/>
      </c>
      <c r="Y198" s="25"/>
      <c r="Z198" s="25"/>
    </row>
    <row r="199" spans="2:26" s="24" customFormat="1"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5"/>
      <c r="N199" s="33"/>
      <c r="O199" s="36"/>
      <c r="P199" s="33"/>
      <c r="Q199" s="33"/>
      <c r="R199" s="37"/>
      <c r="S199" s="38"/>
      <c r="V199" s="39" t="str">
        <f t="shared" ca="1" si="4"/>
        <v/>
      </c>
      <c r="Y199" s="25"/>
      <c r="Z199" s="25"/>
    </row>
    <row r="200" spans="2:26" s="24" customFormat="1"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5"/>
      <c r="N200" s="33"/>
      <c r="O200" s="36"/>
      <c r="P200" s="33"/>
      <c r="Q200" s="33"/>
      <c r="R200" s="37"/>
      <c r="S200" s="38"/>
      <c r="V200" s="39" t="str">
        <f t="shared" ca="1" si="4"/>
        <v/>
      </c>
      <c r="Y200" s="25"/>
      <c r="Z200" s="25"/>
    </row>
    <row r="201" spans="2:26" s="24" customFormat="1"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5"/>
      <c r="N201" s="33"/>
      <c r="O201" s="36"/>
      <c r="P201" s="33"/>
      <c r="Q201" s="33"/>
      <c r="R201" s="37"/>
      <c r="S201" s="38"/>
      <c r="V201" s="39" t="str">
        <f t="shared" ca="1" si="4"/>
        <v/>
      </c>
      <c r="Y201" s="25"/>
      <c r="Z201" s="25"/>
    </row>
    <row r="202" spans="2:26" s="24" customFormat="1"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5"/>
      <c r="N202" s="33"/>
      <c r="O202" s="36"/>
      <c r="P202" s="33"/>
      <c r="Q202" s="33"/>
      <c r="R202" s="37"/>
      <c r="S202" s="38"/>
      <c r="V202" s="39" t="str">
        <f t="shared" ca="1" si="4"/>
        <v/>
      </c>
      <c r="Y202" s="25"/>
      <c r="Z202" s="25"/>
    </row>
    <row r="203" spans="2:26" s="24" customFormat="1"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5"/>
      <c r="N203" s="33"/>
      <c r="O203" s="36"/>
      <c r="P203" s="33"/>
      <c r="Q203" s="33"/>
      <c r="R203" s="37"/>
      <c r="S203" s="38"/>
      <c r="V203" s="39" t="str">
        <f t="shared" ca="1" si="4"/>
        <v/>
      </c>
      <c r="Y203" s="25"/>
      <c r="Z203" s="25"/>
    </row>
    <row r="204" spans="2:26" s="24" customFormat="1"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5"/>
      <c r="N204" s="33"/>
      <c r="O204" s="36"/>
      <c r="P204" s="33"/>
      <c r="Q204" s="33"/>
      <c r="R204" s="37"/>
      <c r="S204" s="38"/>
      <c r="V204" s="39" t="str">
        <f t="shared" ca="1" si="4"/>
        <v/>
      </c>
      <c r="Y204" s="25"/>
      <c r="Z204" s="25"/>
    </row>
    <row r="205" spans="2:26" s="24" customFormat="1"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5"/>
      <c r="N205" s="33"/>
      <c r="O205" s="36"/>
      <c r="P205" s="33"/>
      <c r="Q205" s="33"/>
      <c r="R205" s="37"/>
      <c r="S205" s="38"/>
      <c r="V205" s="39" t="str">
        <f t="shared" ca="1" si="4"/>
        <v/>
      </c>
      <c r="Y205" s="25"/>
      <c r="Z205" s="25"/>
    </row>
    <row r="206" spans="2:26" s="24" customFormat="1"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5"/>
      <c r="N206" s="33"/>
      <c r="O206" s="36"/>
      <c r="P206" s="33"/>
      <c r="Q206" s="33"/>
      <c r="R206" s="37"/>
      <c r="S206" s="38"/>
      <c r="V206" s="39" t="str">
        <f t="shared" ca="1" si="4"/>
        <v/>
      </c>
      <c r="Y206" s="25"/>
      <c r="Z206" s="25"/>
    </row>
    <row r="207" spans="2:26" s="24" customFormat="1"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5"/>
      <c r="N207" s="33"/>
      <c r="O207" s="36"/>
      <c r="P207" s="33"/>
      <c r="Q207" s="33"/>
      <c r="R207" s="37"/>
      <c r="S207" s="38"/>
      <c r="V207" s="39" t="str">
        <f t="shared" ca="1" si="4"/>
        <v/>
      </c>
      <c r="Y207" s="25"/>
      <c r="Z207" s="25"/>
    </row>
    <row r="208" spans="2:26" s="24" customFormat="1"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5"/>
      <c r="N208" s="33"/>
      <c r="O208" s="36"/>
      <c r="P208" s="33"/>
      <c r="Q208" s="33"/>
      <c r="R208" s="37"/>
      <c r="S208" s="38"/>
      <c r="V208" s="39" t="str">
        <f t="shared" ca="1" si="4"/>
        <v/>
      </c>
      <c r="Y208" s="25"/>
      <c r="Z208" s="25"/>
    </row>
    <row r="209" spans="2:26" s="24" customFormat="1"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5"/>
      <c r="N209" s="33"/>
      <c r="O209" s="36"/>
      <c r="P209" s="33"/>
      <c r="Q209" s="33"/>
      <c r="R209" s="37"/>
      <c r="S209" s="38"/>
      <c r="V209" s="39" t="str">
        <f t="shared" ca="1" si="4"/>
        <v/>
      </c>
      <c r="Y209" s="25"/>
      <c r="Z209" s="25"/>
    </row>
    <row r="210" spans="2:26" s="24" customFormat="1"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5"/>
      <c r="N210" s="33"/>
      <c r="O210" s="36"/>
      <c r="P210" s="33"/>
      <c r="Q210" s="33"/>
      <c r="R210" s="37"/>
      <c r="S210" s="38"/>
      <c r="V210" s="39" t="str">
        <f t="shared" ca="1" si="4"/>
        <v/>
      </c>
      <c r="Y210" s="25"/>
      <c r="Z210" s="25"/>
    </row>
    <row r="211" spans="2:26" s="24" customFormat="1"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5"/>
      <c r="N211" s="33"/>
      <c r="O211" s="36"/>
      <c r="P211" s="33"/>
      <c r="Q211" s="33"/>
      <c r="R211" s="37"/>
      <c r="S211" s="38"/>
      <c r="V211" s="39" t="str">
        <f t="shared" ca="1" si="4"/>
        <v/>
      </c>
      <c r="Y211" s="25"/>
      <c r="Z211" s="25"/>
    </row>
    <row r="212" spans="2:26" s="24" customFormat="1"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5"/>
      <c r="N212" s="33"/>
      <c r="O212" s="36"/>
      <c r="P212" s="33"/>
      <c r="Q212" s="33"/>
      <c r="R212" s="37"/>
      <c r="S212" s="38"/>
      <c r="V212" s="39" t="str">
        <f t="shared" ca="1" si="4"/>
        <v/>
      </c>
      <c r="Y212" s="25"/>
      <c r="Z212" s="25"/>
    </row>
    <row r="213" spans="2:26" s="24" customFormat="1"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5"/>
      <c r="N213" s="33"/>
      <c r="O213" s="36"/>
      <c r="P213" s="33"/>
      <c r="Q213" s="33"/>
      <c r="R213" s="37"/>
      <c r="S213" s="38"/>
      <c r="V213" s="39" t="str">
        <f t="shared" ca="1" si="4"/>
        <v/>
      </c>
      <c r="Y213" s="25"/>
      <c r="Z213" s="25"/>
    </row>
    <row r="214" spans="2:26" s="24" customFormat="1"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5"/>
      <c r="N214" s="33"/>
      <c r="O214" s="36"/>
      <c r="P214" s="33"/>
      <c r="Q214" s="33"/>
      <c r="R214" s="37"/>
      <c r="S214" s="38"/>
      <c r="V214" s="39" t="str">
        <f t="shared" ca="1" si="4"/>
        <v/>
      </c>
      <c r="Y214" s="25"/>
      <c r="Z214" s="25"/>
    </row>
    <row r="215" spans="2:26" s="24" customFormat="1"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5"/>
      <c r="N215" s="33"/>
      <c r="O215" s="36"/>
      <c r="P215" s="33"/>
      <c r="Q215" s="33"/>
      <c r="R215" s="37"/>
      <c r="S215" s="38"/>
      <c r="V215" s="39" t="str">
        <f t="shared" ca="1" si="4"/>
        <v/>
      </c>
      <c r="Y215" s="25"/>
      <c r="Z215" s="25"/>
    </row>
    <row r="216" spans="2:26" s="24" customFormat="1"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5"/>
      <c r="N216" s="33"/>
      <c r="O216" s="36"/>
      <c r="P216" s="33"/>
      <c r="Q216" s="33"/>
      <c r="R216" s="37"/>
      <c r="S216" s="38"/>
      <c r="V216" s="39" t="str">
        <f t="shared" ca="1" si="4"/>
        <v/>
      </c>
      <c r="Y216" s="25"/>
      <c r="Z216" s="25"/>
    </row>
    <row r="217" spans="2:26" s="24" customFormat="1"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5"/>
      <c r="N217" s="33"/>
      <c r="O217" s="36"/>
      <c r="P217" s="33"/>
      <c r="Q217" s="33"/>
      <c r="R217" s="37"/>
      <c r="S217" s="38"/>
      <c r="V217" s="39" t="str">
        <f t="shared" ca="1" si="4"/>
        <v/>
      </c>
      <c r="Y217" s="25"/>
      <c r="Z217" s="25"/>
    </row>
    <row r="218" spans="2:26" s="24" customFormat="1"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5"/>
      <c r="N218" s="33"/>
      <c r="O218" s="36"/>
      <c r="P218" s="33"/>
      <c r="Q218" s="33"/>
      <c r="R218" s="37"/>
      <c r="S218" s="38"/>
      <c r="V218" s="39" t="str">
        <f t="shared" ca="1" si="4"/>
        <v/>
      </c>
      <c r="Y218" s="25"/>
      <c r="Z218" s="25"/>
    </row>
    <row r="219" spans="2:26" s="24" customFormat="1">
      <c r="V219" s="39" t="str">
        <f t="shared" ca="1" si="4"/>
        <v/>
      </c>
      <c r="Y219" s="25"/>
      <c r="Z219" s="25"/>
    </row>
    <row r="220" spans="2:26" s="24" customFormat="1">
      <c r="V220" s="39" t="str">
        <f t="shared" ca="1" si="4"/>
        <v/>
      </c>
      <c r="Y220" s="25"/>
      <c r="Z220" s="25"/>
    </row>
    <row r="221" spans="2:26" s="24" customFormat="1">
      <c r="V221" s="39" t="str">
        <f t="shared" ca="1" si="4"/>
        <v/>
      </c>
      <c r="Y221" s="25"/>
      <c r="Z221" s="25"/>
    </row>
    <row r="222" spans="2:26" s="24" customFormat="1">
      <c r="V222" s="39" t="str">
        <f t="shared" ca="1" si="4"/>
        <v/>
      </c>
      <c r="Y222" s="25"/>
      <c r="Z222" s="25"/>
    </row>
    <row r="223" spans="2:26" s="24" customFormat="1">
      <c r="V223" s="39" t="str">
        <f t="shared" ca="1" si="4"/>
        <v/>
      </c>
      <c r="Y223" s="25"/>
      <c r="Z223" s="25"/>
    </row>
    <row r="224" spans="2:26" s="24" customFormat="1">
      <c r="V224" s="39" t="str">
        <f t="shared" ca="1" si="4"/>
        <v/>
      </c>
      <c r="Y224" s="25"/>
      <c r="Z224" s="25"/>
    </row>
    <row r="225" spans="22:26" s="24" customFormat="1">
      <c r="V225" s="39" t="str">
        <f t="shared" ca="1" si="4"/>
        <v/>
      </c>
      <c r="Y225" s="25"/>
      <c r="Z225" s="25"/>
    </row>
    <row r="226" spans="22:26" s="24" customFormat="1">
      <c r="V226" s="39" t="str">
        <f t="shared" ca="1" si="4"/>
        <v/>
      </c>
      <c r="Y226" s="25"/>
      <c r="Z226" s="25"/>
    </row>
    <row r="227" spans="22:26" s="24" customFormat="1">
      <c r="V227" s="39" t="str">
        <f t="shared" ca="1" si="4"/>
        <v/>
      </c>
      <c r="Y227" s="25"/>
      <c r="Z227" s="25"/>
    </row>
    <row r="228" spans="22:26" s="24" customFormat="1">
      <c r="V228" s="39" t="str">
        <f t="shared" ca="1" si="4"/>
        <v/>
      </c>
      <c r="Y228" s="25"/>
      <c r="Z228" s="25"/>
    </row>
    <row r="229" spans="22:26" s="24" customFormat="1">
      <c r="V229" s="39" t="str">
        <f t="shared" ca="1" si="4"/>
        <v/>
      </c>
      <c r="Y229" s="25"/>
      <c r="Z229" s="25"/>
    </row>
    <row r="230" spans="22:26" s="24" customFormat="1">
      <c r="V230" s="39" t="str">
        <f t="shared" ca="1" si="4"/>
        <v/>
      </c>
      <c r="Y230" s="25"/>
      <c r="Z230" s="25"/>
    </row>
    <row r="231" spans="22:26" s="24" customFormat="1">
      <c r="V231" s="39" t="str">
        <f t="shared" ca="1" si="4"/>
        <v/>
      </c>
      <c r="Y231" s="25"/>
      <c r="Z231" s="25"/>
    </row>
    <row r="232" spans="22:26" s="24" customFormat="1">
      <c r="V232" s="39" t="str">
        <f t="shared" ca="1" si="4"/>
        <v/>
      </c>
      <c r="Y232" s="25"/>
      <c r="Z232" s="25"/>
    </row>
    <row r="233" spans="22:26" s="24" customFormat="1">
      <c r="V233" s="39" t="str">
        <f t="shared" ca="1" si="4"/>
        <v/>
      </c>
      <c r="Y233" s="25"/>
      <c r="Z233" s="25"/>
    </row>
    <row r="234" spans="22:26" s="24" customFormat="1">
      <c r="V234" s="39" t="str">
        <f t="shared" ca="1" si="4"/>
        <v/>
      </c>
      <c r="Y234" s="25"/>
      <c r="Z234" s="25"/>
    </row>
    <row r="235" spans="22:26" s="24" customFormat="1">
      <c r="V235" s="39" t="str">
        <f t="shared" ca="1" si="4"/>
        <v/>
      </c>
      <c r="Y235" s="25"/>
      <c r="Z235" s="25"/>
    </row>
    <row r="236" spans="22:26" s="24" customFormat="1">
      <c r="V236" s="39" t="str">
        <f t="shared" ref="V236:V299" ca="1" si="5">IF(B237="","",WORKDAY(TODAY(),IF(OR(I237="PH",I237="PHOD"),0,1),feriadosBCS))</f>
        <v/>
      </c>
      <c r="Y236" s="25"/>
      <c r="Z236" s="25"/>
    </row>
    <row r="237" spans="22:26" s="24" customFormat="1">
      <c r="V237" s="39" t="str">
        <f t="shared" ca="1" si="5"/>
        <v/>
      </c>
      <c r="Y237" s="25"/>
      <c r="Z237" s="25"/>
    </row>
    <row r="238" spans="22:26" s="24" customFormat="1">
      <c r="V238" s="39" t="str">
        <f t="shared" ca="1" si="5"/>
        <v/>
      </c>
      <c r="Y238" s="25"/>
      <c r="Z238" s="25"/>
    </row>
    <row r="239" spans="22:26" s="24" customFormat="1">
      <c r="V239" s="39" t="str">
        <f t="shared" ca="1" si="5"/>
        <v/>
      </c>
      <c r="Y239" s="25"/>
      <c r="Z239" s="25"/>
    </row>
    <row r="240" spans="22:26" s="24" customFormat="1">
      <c r="V240" s="39" t="str">
        <f t="shared" ca="1" si="5"/>
        <v/>
      </c>
      <c r="Y240" s="25"/>
      <c r="Z240" s="25"/>
    </row>
    <row r="241" spans="22:26" s="24" customFormat="1">
      <c r="V241" s="39" t="str">
        <f t="shared" ca="1" si="5"/>
        <v/>
      </c>
      <c r="Y241" s="25"/>
      <c r="Z241" s="25"/>
    </row>
    <row r="242" spans="22:26" s="24" customFormat="1">
      <c r="V242" s="39" t="str">
        <f t="shared" ca="1" si="5"/>
        <v/>
      </c>
      <c r="Y242" s="25"/>
      <c r="Z242" s="25"/>
    </row>
    <row r="243" spans="22:26" s="24" customFormat="1">
      <c r="V243" s="39" t="str">
        <f t="shared" ca="1" si="5"/>
        <v/>
      </c>
      <c r="Y243" s="25"/>
      <c r="Z243" s="25"/>
    </row>
    <row r="244" spans="22:26" s="24" customFormat="1">
      <c r="V244" s="39" t="str">
        <f t="shared" ca="1" si="5"/>
        <v/>
      </c>
      <c r="Y244" s="25"/>
      <c r="Z244" s="25"/>
    </row>
    <row r="245" spans="22:26" s="24" customFormat="1">
      <c r="V245" s="39" t="str">
        <f t="shared" ca="1" si="5"/>
        <v/>
      </c>
      <c r="Y245" s="25"/>
      <c r="Z245" s="25"/>
    </row>
    <row r="246" spans="22:26" s="24" customFormat="1">
      <c r="V246" s="39" t="str">
        <f t="shared" ca="1" si="5"/>
        <v/>
      </c>
      <c r="Y246" s="25"/>
      <c r="Z246" s="25"/>
    </row>
    <row r="247" spans="22:26" s="24" customFormat="1">
      <c r="V247" s="39" t="str">
        <f t="shared" ca="1" si="5"/>
        <v/>
      </c>
      <c r="Y247" s="25"/>
      <c r="Z247" s="25"/>
    </row>
    <row r="248" spans="22:26" s="24" customFormat="1">
      <c r="V248" s="39" t="str">
        <f t="shared" ca="1" si="5"/>
        <v/>
      </c>
      <c r="Y248" s="25"/>
      <c r="Z248" s="25"/>
    </row>
    <row r="249" spans="22:26" s="24" customFormat="1">
      <c r="V249" s="39" t="str">
        <f t="shared" ca="1" si="5"/>
        <v/>
      </c>
      <c r="Y249" s="25"/>
      <c r="Z249" s="25"/>
    </row>
    <row r="250" spans="22:26" s="24" customFormat="1">
      <c r="V250" s="39" t="str">
        <f t="shared" ca="1" si="5"/>
        <v/>
      </c>
      <c r="Y250" s="25"/>
      <c r="Z250" s="25"/>
    </row>
    <row r="251" spans="22:26" s="24" customFormat="1">
      <c r="V251" s="39" t="str">
        <f t="shared" ca="1" si="5"/>
        <v/>
      </c>
      <c r="Y251" s="25"/>
      <c r="Z251" s="25"/>
    </row>
    <row r="252" spans="22:26" s="24" customFormat="1">
      <c r="V252" s="39" t="str">
        <f t="shared" ca="1" si="5"/>
        <v/>
      </c>
      <c r="Y252" s="25"/>
      <c r="Z252" s="25"/>
    </row>
    <row r="253" spans="22:26" s="24" customFormat="1">
      <c r="V253" s="39" t="str">
        <f t="shared" ca="1" si="5"/>
        <v/>
      </c>
      <c r="Y253" s="25"/>
      <c r="Z253" s="25"/>
    </row>
    <row r="254" spans="22:26" s="24" customFormat="1">
      <c r="V254" s="39" t="str">
        <f t="shared" ca="1" si="5"/>
        <v/>
      </c>
      <c r="Y254" s="25"/>
      <c r="Z254" s="25"/>
    </row>
    <row r="255" spans="22:26" s="24" customFormat="1">
      <c r="V255" s="39" t="str">
        <f t="shared" ca="1" si="5"/>
        <v/>
      </c>
      <c r="Y255" s="25"/>
      <c r="Z255" s="25"/>
    </row>
    <row r="256" spans="22:26" s="24" customFormat="1">
      <c r="V256" s="39" t="str">
        <f t="shared" ca="1" si="5"/>
        <v/>
      </c>
      <c r="Y256" s="25"/>
      <c r="Z256" s="25"/>
    </row>
    <row r="257" spans="22:26" s="24" customFormat="1">
      <c r="V257" s="39" t="str">
        <f t="shared" ca="1" si="5"/>
        <v/>
      </c>
      <c r="Y257" s="25"/>
      <c r="Z257" s="25"/>
    </row>
    <row r="258" spans="22:26" s="24" customFormat="1">
      <c r="V258" s="39" t="str">
        <f t="shared" ca="1" si="5"/>
        <v/>
      </c>
      <c r="Y258" s="25"/>
      <c r="Z258" s="25"/>
    </row>
    <row r="259" spans="22:26" s="24" customFormat="1">
      <c r="V259" s="39" t="str">
        <f t="shared" ca="1" si="5"/>
        <v/>
      </c>
      <c r="Y259" s="25"/>
      <c r="Z259" s="25"/>
    </row>
    <row r="260" spans="22:26" s="24" customFormat="1">
      <c r="V260" s="39" t="str">
        <f t="shared" ca="1" si="5"/>
        <v/>
      </c>
      <c r="Y260" s="25"/>
      <c r="Z260" s="25"/>
    </row>
    <row r="261" spans="22:26" s="24" customFormat="1">
      <c r="V261" s="39" t="str">
        <f t="shared" ca="1" si="5"/>
        <v/>
      </c>
      <c r="Y261" s="25"/>
      <c r="Z261" s="25"/>
    </row>
    <row r="262" spans="22:26" s="24" customFormat="1">
      <c r="V262" s="39" t="str">
        <f t="shared" ca="1" si="5"/>
        <v/>
      </c>
      <c r="Y262" s="25"/>
      <c r="Z262" s="25"/>
    </row>
    <row r="263" spans="22:26" s="24" customFormat="1">
      <c r="V263" s="39" t="str">
        <f t="shared" ca="1" si="5"/>
        <v/>
      </c>
      <c r="Y263" s="25"/>
      <c r="Z263" s="25"/>
    </row>
    <row r="264" spans="22:26" s="24" customFormat="1">
      <c r="V264" s="39" t="str">
        <f t="shared" ca="1" si="5"/>
        <v/>
      </c>
      <c r="Y264" s="25"/>
      <c r="Z264" s="25"/>
    </row>
    <row r="265" spans="22:26" s="24" customFormat="1">
      <c r="V265" s="39" t="str">
        <f t="shared" ca="1" si="5"/>
        <v/>
      </c>
      <c r="Y265" s="25"/>
      <c r="Z265" s="25"/>
    </row>
    <row r="266" spans="22:26" s="24" customFormat="1">
      <c r="V266" s="39" t="str">
        <f t="shared" ca="1" si="5"/>
        <v/>
      </c>
      <c r="Y266" s="25"/>
      <c r="Z266" s="25"/>
    </row>
    <row r="267" spans="22:26" s="24" customFormat="1">
      <c r="V267" s="39" t="str">
        <f t="shared" ca="1" si="5"/>
        <v/>
      </c>
      <c r="Y267" s="25"/>
      <c r="Z267" s="25"/>
    </row>
    <row r="268" spans="22:26" s="24" customFormat="1">
      <c r="V268" s="39" t="str">
        <f t="shared" ca="1" si="5"/>
        <v/>
      </c>
      <c r="Y268" s="25"/>
      <c r="Z268" s="25"/>
    </row>
    <row r="269" spans="22:26" s="24" customFormat="1">
      <c r="V269" s="39" t="str">
        <f t="shared" ca="1" si="5"/>
        <v/>
      </c>
      <c r="Y269" s="25"/>
      <c r="Z269" s="25"/>
    </row>
    <row r="270" spans="22:26" s="24" customFormat="1">
      <c r="V270" s="39" t="str">
        <f t="shared" ca="1" si="5"/>
        <v/>
      </c>
      <c r="Y270" s="25"/>
      <c r="Z270" s="25"/>
    </row>
    <row r="271" spans="22:26" s="24" customFormat="1">
      <c r="V271" s="39" t="str">
        <f t="shared" ca="1" si="5"/>
        <v/>
      </c>
      <c r="Y271" s="25"/>
      <c r="Z271" s="25"/>
    </row>
    <row r="272" spans="22:26" s="24" customFormat="1">
      <c r="V272" s="39" t="str">
        <f t="shared" ca="1" si="5"/>
        <v/>
      </c>
      <c r="Y272" s="25"/>
      <c r="Z272" s="25"/>
    </row>
    <row r="273" spans="22:26" s="24" customFormat="1">
      <c r="V273" s="39" t="str">
        <f t="shared" ca="1" si="5"/>
        <v/>
      </c>
      <c r="Y273" s="25"/>
      <c r="Z273" s="25"/>
    </row>
    <row r="274" spans="22:26" s="24" customFormat="1">
      <c r="V274" s="39" t="str">
        <f t="shared" ca="1" si="5"/>
        <v/>
      </c>
      <c r="Y274" s="25"/>
      <c r="Z274" s="25"/>
    </row>
    <row r="275" spans="22:26" s="24" customFormat="1">
      <c r="V275" s="39" t="str">
        <f t="shared" ca="1" si="5"/>
        <v/>
      </c>
      <c r="Y275" s="25"/>
      <c r="Z275" s="25"/>
    </row>
    <row r="276" spans="22:26" s="24" customFormat="1">
      <c r="V276" s="39" t="str">
        <f t="shared" ca="1" si="5"/>
        <v/>
      </c>
      <c r="Y276" s="25"/>
      <c r="Z276" s="25"/>
    </row>
    <row r="277" spans="22:26" s="24" customFormat="1">
      <c r="V277" s="39" t="str">
        <f t="shared" ca="1" si="5"/>
        <v/>
      </c>
      <c r="Y277" s="25"/>
      <c r="Z277" s="25"/>
    </row>
    <row r="278" spans="22:26" s="24" customFormat="1">
      <c r="V278" s="39" t="str">
        <f t="shared" ca="1" si="5"/>
        <v/>
      </c>
      <c r="Y278" s="25"/>
      <c r="Z278" s="25"/>
    </row>
    <row r="279" spans="22:26" s="24" customFormat="1">
      <c r="V279" s="39" t="str">
        <f t="shared" ca="1" si="5"/>
        <v/>
      </c>
      <c r="Y279" s="25"/>
      <c r="Z279" s="25"/>
    </row>
    <row r="280" spans="22:26" s="24" customFormat="1">
      <c r="V280" s="39" t="str">
        <f t="shared" ca="1" si="5"/>
        <v/>
      </c>
      <c r="Y280" s="25"/>
      <c r="Z280" s="25"/>
    </row>
    <row r="281" spans="22:26" s="24" customFormat="1">
      <c r="V281" s="39" t="str">
        <f t="shared" ca="1" si="5"/>
        <v/>
      </c>
      <c r="Y281" s="25"/>
      <c r="Z281" s="25"/>
    </row>
    <row r="282" spans="22:26" s="24" customFormat="1">
      <c r="V282" s="39" t="str">
        <f t="shared" ca="1" si="5"/>
        <v/>
      </c>
      <c r="Y282" s="25"/>
      <c r="Z282" s="25"/>
    </row>
    <row r="283" spans="22:26" s="24" customFormat="1">
      <c r="V283" s="39" t="str">
        <f t="shared" ca="1" si="5"/>
        <v/>
      </c>
      <c r="Y283" s="25"/>
      <c r="Z283" s="25"/>
    </row>
    <row r="284" spans="22:26" s="24" customFormat="1">
      <c r="V284" s="39" t="str">
        <f t="shared" ca="1" si="5"/>
        <v/>
      </c>
      <c r="Y284" s="25"/>
      <c r="Z284" s="25"/>
    </row>
    <row r="285" spans="22:26" s="24" customFormat="1">
      <c r="V285" s="39" t="str">
        <f t="shared" ca="1" si="5"/>
        <v/>
      </c>
      <c r="Y285" s="25"/>
      <c r="Z285" s="25"/>
    </row>
    <row r="286" spans="22:26" s="24" customFormat="1">
      <c r="V286" s="39" t="str">
        <f t="shared" ca="1" si="5"/>
        <v/>
      </c>
      <c r="Y286" s="25"/>
      <c r="Z286" s="25"/>
    </row>
    <row r="287" spans="22:26" s="24" customFormat="1">
      <c r="V287" s="39" t="str">
        <f t="shared" ca="1" si="5"/>
        <v/>
      </c>
      <c r="Y287" s="25"/>
      <c r="Z287" s="25"/>
    </row>
    <row r="288" spans="22:26" s="24" customFormat="1">
      <c r="V288" s="39" t="str">
        <f t="shared" ca="1" si="5"/>
        <v/>
      </c>
      <c r="Y288" s="25"/>
      <c r="Z288" s="25"/>
    </row>
    <row r="289" spans="22:26" s="24" customFormat="1">
      <c r="V289" s="39" t="str">
        <f t="shared" ca="1" si="5"/>
        <v/>
      </c>
      <c r="Y289" s="25"/>
      <c r="Z289" s="25"/>
    </row>
    <row r="290" spans="22:26" s="24" customFormat="1">
      <c r="V290" s="39" t="str">
        <f t="shared" ca="1" si="5"/>
        <v/>
      </c>
      <c r="Y290" s="25"/>
      <c r="Z290" s="25"/>
    </row>
    <row r="291" spans="22:26" s="24" customFormat="1">
      <c r="V291" s="39" t="str">
        <f t="shared" ca="1" si="5"/>
        <v/>
      </c>
      <c r="Y291" s="25"/>
      <c r="Z291" s="25"/>
    </row>
    <row r="292" spans="22:26" s="24" customFormat="1">
      <c r="V292" s="39" t="str">
        <f t="shared" ca="1" si="5"/>
        <v/>
      </c>
      <c r="Y292" s="25"/>
      <c r="Z292" s="25"/>
    </row>
    <row r="293" spans="22:26" s="24" customFormat="1">
      <c r="V293" s="39" t="str">
        <f t="shared" ca="1" si="5"/>
        <v/>
      </c>
      <c r="Y293" s="25"/>
      <c r="Z293" s="25"/>
    </row>
    <row r="294" spans="22:26" s="24" customFormat="1">
      <c r="V294" s="39" t="str">
        <f t="shared" ca="1" si="5"/>
        <v/>
      </c>
      <c r="Y294" s="25"/>
      <c r="Z294" s="25"/>
    </row>
    <row r="295" spans="22:26" s="24" customFormat="1">
      <c r="V295" s="39" t="str">
        <f t="shared" ca="1" si="5"/>
        <v/>
      </c>
      <c r="Y295" s="25"/>
      <c r="Z295" s="25"/>
    </row>
    <row r="296" spans="22:26" s="24" customFormat="1">
      <c r="V296" s="39" t="str">
        <f t="shared" ca="1" si="5"/>
        <v/>
      </c>
      <c r="Y296" s="25"/>
      <c r="Z296" s="25"/>
    </row>
    <row r="297" spans="22:26" s="24" customFormat="1">
      <c r="V297" s="39" t="str">
        <f t="shared" ca="1" si="5"/>
        <v/>
      </c>
      <c r="Y297" s="25"/>
      <c r="Z297" s="25"/>
    </row>
    <row r="298" spans="22:26" s="24" customFormat="1">
      <c r="V298" s="39" t="str">
        <f t="shared" ca="1" si="5"/>
        <v/>
      </c>
      <c r="Y298" s="25"/>
      <c r="Z298" s="25"/>
    </row>
    <row r="299" spans="22:26" s="24" customFormat="1">
      <c r="V299" s="39" t="str">
        <f t="shared" ca="1" si="5"/>
        <v/>
      </c>
      <c r="Y299" s="25"/>
      <c r="Z299" s="25"/>
    </row>
    <row r="300" spans="22:26" s="24" customFormat="1">
      <c r="V300" s="39" t="str">
        <f t="shared" ref="V300:V363" ca="1" si="6">IF(B301="","",WORKDAY(TODAY(),IF(OR(I301="PH",I301="PHOD"),0,1),feriadosBCS))</f>
        <v/>
      </c>
      <c r="Y300" s="25"/>
      <c r="Z300" s="25"/>
    </row>
    <row r="301" spans="22:26" s="24" customFormat="1">
      <c r="V301" s="39" t="str">
        <f t="shared" ca="1" si="6"/>
        <v/>
      </c>
      <c r="Y301" s="25"/>
      <c r="Z301" s="25"/>
    </row>
    <row r="302" spans="22:26" s="24" customFormat="1">
      <c r="V302" s="39" t="str">
        <f t="shared" ca="1" si="6"/>
        <v/>
      </c>
      <c r="Y302" s="25"/>
      <c r="Z302" s="25"/>
    </row>
    <row r="303" spans="22:26" s="24" customFormat="1">
      <c r="V303" s="39" t="str">
        <f t="shared" ca="1" si="6"/>
        <v/>
      </c>
      <c r="Y303" s="25"/>
      <c r="Z303" s="25"/>
    </row>
    <row r="304" spans="22:26" s="24" customFormat="1">
      <c r="V304" s="39" t="str">
        <f t="shared" ca="1" si="6"/>
        <v/>
      </c>
      <c r="Y304" s="25"/>
      <c r="Z304" s="25"/>
    </row>
    <row r="305" spans="22:26" s="24" customFormat="1">
      <c r="V305" s="39" t="str">
        <f t="shared" ca="1" si="6"/>
        <v/>
      </c>
      <c r="Y305" s="25"/>
      <c r="Z305" s="25"/>
    </row>
    <row r="306" spans="22:26" s="24" customFormat="1">
      <c r="V306" s="39" t="str">
        <f t="shared" ca="1" si="6"/>
        <v/>
      </c>
      <c r="Y306" s="25"/>
      <c r="Z306" s="25"/>
    </row>
    <row r="307" spans="22:26" s="24" customFormat="1">
      <c r="V307" s="39" t="str">
        <f t="shared" ca="1" si="6"/>
        <v/>
      </c>
      <c r="Y307" s="25"/>
      <c r="Z307" s="25"/>
    </row>
    <row r="308" spans="22:26" s="24" customFormat="1">
      <c r="V308" s="39" t="str">
        <f t="shared" ca="1" si="6"/>
        <v/>
      </c>
      <c r="Y308" s="25"/>
      <c r="Z308" s="25"/>
    </row>
    <row r="309" spans="22:26" s="24" customFormat="1">
      <c r="V309" s="39" t="str">
        <f t="shared" ca="1" si="6"/>
        <v/>
      </c>
      <c r="Y309" s="25"/>
      <c r="Z309" s="25"/>
    </row>
    <row r="310" spans="22:26" s="24" customFormat="1">
      <c r="V310" s="39" t="str">
        <f t="shared" ca="1" si="6"/>
        <v/>
      </c>
      <c r="Y310" s="25"/>
      <c r="Z310" s="25"/>
    </row>
    <row r="311" spans="22:26" s="24" customFormat="1">
      <c r="V311" s="39" t="str">
        <f t="shared" ca="1" si="6"/>
        <v/>
      </c>
      <c r="Y311" s="25"/>
      <c r="Z311" s="25"/>
    </row>
    <row r="312" spans="22:26" s="24" customFormat="1">
      <c r="V312" s="39" t="str">
        <f t="shared" ca="1" si="6"/>
        <v/>
      </c>
      <c r="Y312" s="25"/>
      <c r="Z312" s="25"/>
    </row>
    <row r="313" spans="22:26" s="24" customFormat="1">
      <c r="V313" s="39" t="str">
        <f t="shared" ca="1" si="6"/>
        <v/>
      </c>
      <c r="Y313" s="25"/>
      <c r="Z313" s="25"/>
    </row>
    <row r="314" spans="22:26" s="24" customFormat="1">
      <c r="V314" s="39" t="str">
        <f t="shared" ca="1" si="6"/>
        <v/>
      </c>
      <c r="Y314" s="25"/>
      <c r="Z314" s="25"/>
    </row>
    <row r="315" spans="22:26" s="24" customFormat="1">
      <c r="V315" s="39" t="str">
        <f t="shared" ca="1" si="6"/>
        <v/>
      </c>
      <c r="Y315" s="25"/>
      <c r="Z315" s="25"/>
    </row>
    <row r="316" spans="22:26" s="24" customFormat="1">
      <c r="V316" s="39" t="str">
        <f t="shared" ca="1" si="6"/>
        <v/>
      </c>
      <c r="Y316" s="25"/>
      <c r="Z316" s="25"/>
    </row>
    <row r="317" spans="22:26" s="24" customFormat="1">
      <c r="V317" s="39" t="str">
        <f t="shared" ca="1" si="6"/>
        <v/>
      </c>
      <c r="Y317" s="25"/>
      <c r="Z317" s="25"/>
    </row>
    <row r="318" spans="22:26" s="24" customFormat="1">
      <c r="V318" s="39" t="str">
        <f t="shared" ca="1" si="6"/>
        <v/>
      </c>
      <c r="Y318" s="25"/>
      <c r="Z318" s="25"/>
    </row>
    <row r="319" spans="22:26" s="24" customFormat="1">
      <c r="V319" s="39" t="str">
        <f t="shared" ca="1" si="6"/>
        <v/>
      </c>
      <c r="Y319" s="25"/>
      <c r="Z319" s="25"/>
    </row>
    <row r="320" spans="22:26" s="24" customFormat="1">
      <c r="V320" s="39" t="str">
        <f t="shared" ca="1" si="6"/>
        <v/>
      </c>
      <c r="Y320" s="25"/>
      <c r="Z320" s="25"/>
    </row>
    <row r="321" spans="22:26" s="24" customFormat="1">
      <c r="V321" s="39" t="str">
        <f t="shared" ca="1" si="6"/>
        <v/>
      </c>
      <c r="Y321" s="25"/>
      <c r="Z321" s="25"/>
    </row>
    <row r="322" spans="22:26" s="24" customFormat="1">
      <c r="V322" s="39" t="str">
        <f t="shared" ca="1" si="6"/>
        <v/>
      </c>
      <c r="Y322" s="25"/>
      <c r="Z322" s="25"/>
    </row>
    <row r="323" spans="22:26" s="24" customFormat="1">
      <c r="V323" s="39" t="str">
        <f t="shared" ca="1" si="6"/>
        <v/>
      </c>
      <c r="Y323" s="25"/>
      <c r="Z323" s="25"/>
    </row>
    <row r="324" spans="22:26" s="24" customFormat="1">
      <c r="V324" s="39" t="str">
        <f t="shared" ca="1" si="6"/>
        <v/>
      </c>
      <c r="Y324" s="25"/>
      <c r="Z324" s="25"/>
    </row>
    <row r="325" spans="22:26" s="24" customFormat="1">
      <c r="V325" s="39" t="str">
        <f t="shared" ca="1" si="6"/>
        <v/>
      </c>
      <c r="Y325" s="25"/>
      <c r="Z325" s="25"/>
    </row>
    <row r="326" spans="22:26" s="24" customFormat="1">
      <c r="V326" s="39" t="str">
        <f t="shared" ca="1" si="6"/>
        <v/>
      </c>
      <c r="Y326" s="25"/>
      <c r="Z326" s="25"/>
    </row>
    <row r="327" spans="22:26" s="24" customFormat="1">
      <c r="V327" s="39" t="str">
        <f t="shared" ca="1" si="6"/>
        <v/>
      </c>
      <c r="Y327" s="25"/>
      <c r="Z327" s="25"/>
    </row>
    <row r="328" spans="22:26" s="24" customFormat="1">
      <c r="V328" s="39" t="str">
        <f t="shared" ca="1" si="6"/>
        <v/>
      </c>
      <c r="Y328" s="25"/>
      <c r="Z328" s="25"/>
    </row>
    <row r="329" spans="22:26" s="24" customFormat="1">
      <c r="V329" s="39" t="str">
        <f t="shared" ca="1" si="6"/>
        <v/>
      </c>
      <c r="Y329" s="25"/>
      <c r="Z329" s="25"/>
    </row>
    <row r="330" spans="22:26" s="24" customFormat="1">
      <c r="V330" s="39" t="str">
        <f t="shared" ca="1" si="6"/>
        <v/>
      </c>
      <c r="Y330" s="25"/>
      <c r="Z330" s="25"/>
    </row>
    <row r="331" spans="22:26" s="24" customFormat="1">
      <c r="V331" s="39" t="str">
        <f t="shared" ca="1" si="6"/>
        <v/>
      </c>
      <c r="Y331" s="25"/>
      <c r="Z331" s="25"/>
    </row>
    <row r="332" spans="22:26" s="24" customFormat="1">
      <c r="V332" s="39" t="str">
        <f t="shared" ca="1" si="6"/>
        <v/>
      </c>
      <c r="Y332" s="25"/>
      <c r="Z332" s="25"/>
    </row>
    <row r="333" spans="22:26" s="24" customFormat="1">
      <c r="V333" s="39" t="str">
        <f t="shared" ca="1" si="6"/>
        <v/>
      </c>
      <c r="Y333" s="25"/>
      <c r="Z333" s="25"/>
    </row>
    <row r="334" spans="22:26" s="24" customFormat="1">
      <c r="V334" s="39" t="str">
        <f t="shared" ca="1" si="6"/>
        <v/>
      </c>
      <c r="Y334" s="25"/>
      <c r="Z334" s="25"/>
    </row>
    <row r="335" spans="22:26" s="24" customFormat="1">
      <c r="V335" s="39" t="str">
        <f t="shared" ca="1" si="6"/>
        <v/>
      </c>
      <c r="Y335" s="25"/>
      <c r="Z335" s="25"/>
    </row>
    <row r="336" spans="22:26" s="24" customFormat="1">
      <c r="V336" s="39" t="str">
        <f t="shared" ca="1" si="6"/>
        <v/>
      </c>
      <c r="Y336" s="25"/>
      <c r="Z336" s="25"/>
    </row>
    <row r="337" spans="22:26" s="24" customFormat="1">
      <c r="V337" s="39" t="str">
        <f t="shared" ca="1" si="6"/>
        <v/>
      </c>
      <c r="Y337" s="25"/>
      <c r="Z337" s="25"/>
    </row>
    <row r="338" spans="22:26" s="24" customFormat="1">
      <c r="V338" s="39" t="str">
        <f t="shared" ca="1" si="6"/>
        <v/>
      </c>
      <c r="Y338" s="25"/>
      <c r="Z338" s="25"/>
    </row>
    <row r="339" spans="22:26" s="24" customFormat="1">
      <c r="V339" s="39" t="str">
        <f t="shared" ca="1" si="6"/>
        <v/>
      </c>
      <c r="Y339" s="25"/>
      <c r="Z339" s="25"/>
    </row>
    <row r="340" spans="22:26" s="24" customFormat="1">
      <c r="V340" s="39" t="str">
        <f t="shared" ca="1" si="6"/>
        <v/>
      </c>
      <c r="Y340" s="25"/>
      <c r="Z340" s="25"/>
    </row>
    <row r="341" spans="22:26" s="24" customFormat="1">
      <c r="V341" s="39" t="str">
        <f t="shared" ca="1" si="6"/>
        <v/>
      </c>
      <c r="Y341" s="25"/>
      <c r="Z341" s="25"/>
    </row>
    <row r="342" spans="22:26" s="24" customFormat="1">
      <c r="V342" s="39" t="str">
        <f t="shared" ca="1" si="6"/>
        <v/>
      </c>
      <c r="Y342" s="25"/>
      <c r="Z342" s="25"/>
    </row>
    <row r="343" spans="22:26" s="24" customFormat="1">
      <c r="V343" s="39" t="str">
        <f t="shared" ca="1" si="6"/>
        <v/>
      </c>
      <c r="Y343" s="25"/>
      <c r="Z343" s="25"/>
    </row>
    <row r="344" spans="22:26" s="24" customFormat="1">
      <c r="V344" s="39" t="str">
        <f t="shared" ca="1" si="6"/>
        <v/>
      </c>
      <c r="Y344" s="25"/>
      <c r="Z344" s="25"/>
    </row>
    <row r="345" spans="22:26" s="24" customFormat="1">
      <c r="V345" s="39" t="str">
        <f t="shared" ca="1" si="6"/>
        <v/>
      </c>
      <c r="Y345" s="25"/>
      <c r="Z345" s="25"/>
    </row>
    <row r="346" spans="22:26" s="24" customFormat="1">
      <c r="V346" s="39" t="str">
        <f t="shared" ca="1" si="6"/>
        <v/>
      </c>
      <c r="Y346" s="25"/>
      <c r="Z346" s="25"/>
    </row>
    <row r="347" spans="22:26" s="24" customFormat="1">
      <c r="V347" s="39" t="str">
        <f t="shared" ca="1" si="6"/>
        <v/>
      </c>
      <c r="Y347" s="25"/>
      <c r="Z347" s="25"/>
    </row>
    <row r="348" spans="22:26" s="24" customFormat="1">
      <c r="V348" s="39" t="str">
        <f t="shared" ca="1" si="6"/>
        <v/>
      </c>
      <c r="Y348" s="25"/>
      <c r="Z348" s="25"/>
    </row>
    <row r="349" spans="22:26" s="24" customFormat="1">
      <c r="V349" s="39" t="str">
        <f t="shared" ca="1" si="6"/>
        <v/>
      </c>
      <c r="Y349" s="25"/>
      <c r="Z349" s="25"/>
    </row>
    <row r="350" spans="22:26" s="24" customFormat="1">
      <c r="V350" s="39" t="str">
        <f t="shared" ca="1" si="6"/>
        <v/>
      </c>
      <c r="Y350" s="25"/>
      <c r="Z350" s="25"/>
    </row>
    <row r="351" spans="22:26" s="24" customFormat="1">
      <c r="V351" s="39" t="str">
        <f t="shared" ca="1" si="6"/>
        <v/>
      </c>
      <c r="Y351" s="25"/>
      <c r="Z351" s="25"/>
    </row>
    <row r="352" spans="22:26" s="24" customFormat="1">
      <c r="V352" s="39" t="str">
        <f t="shared" ca="1" si="6"/>
        <v/>
      </c>
      <c r="Y352" s="25"/>
      <c r="Z352" s="25"/>
    </row>
    <row r="353" spans="22:26" s="24" customFormat="1">
      <c r="V353" s="39" t="str">
        <f t="shared" ca="1" si="6"/>
        <v/>
      </c>
      <c r="Y353" s="25"/>
      <c r="Z353" s="25"/>
    </row>
    <row r="354" spans="22:26" s="24" customFormat="1">
      <c r="V354" s="39" t="str">
        <f t="shared" ca="1" si="6"/>
        <v/>
      </c>
      <c r="Y354" s="25"/>
      <c r="Z354" s="25"/>
    </row>
    <row r="355" spans="22:26" s="24" customFormat="1">
      <c r="V355" s="39" t="str">
        <f t="shared" ca="1" si="6"/>
        <v/>
      </c>
      <c r="Y355" s="25"/>
      <c r="Z355" s="25"/>
    </row>
    <row r="356" spans="22:26" s="24" customFormat="1">
      <c r="V356" s="39" t="str">
        <f t="shared" ca="1" si="6"/>
        <v/>
      </c>
      <c r="Y356" s="25"/>
      <c r="Z356" s="25"/>
    </row>
    <row r="357" spans="22:26" s="24" customFormat="1">
      <c r="V357" s="39" t="str">
        <f t="shared" ca="1" si="6"/>
        <v/>
      </c>
      <c r="Y357" s="25"/>
      <c r="Z357" s="25"/>
    </row>
    <row r="358" spans="22:26" s="24" customFormat="1">
      <c r="V358" s="39" t="str">
        <f t="shared" ca="1" si="6"/>
        <v/>
      </c>
      <c r="Y358" s="25"/>
      <c r="Z358" s="25"/>
    </row>
    <row r="359" spans="22:26" s="24" customFormat="1">
      <c r="V359" s="39" t="str">
        <f t="shared" ca="1" si="6"/>
        <v/>
      </c>
      <c r="Y359" s="25"/>
      <c r="Z359" s="25"/>
    </row>
    <row r="360" spans="22:26" s="24" customFormat="1">
      <c r="V360" s="39" t="str">
        <f t="shared" ca="1" si="6"/>
        <v/>
      </c>
      <c r="Y360" s="25"/>
      <c r="Z360" s="25"/>
    </row>
    <row r="361" spans="22:26" s="24" customFormat="1">
      <c r="V361" s="39" t="str">
        <f t="shared" ca="1" si="6"/>
        <v/>
      </c>
      <c r="Y361" s="25"/>
      <c r="Z361" s="25"/>
    </row>
    <row r="362" spans="22:26" s="24" customFormat="1">
      <c r="V362" s="39" t="str">
        <f t="shared" ca="1" si="6"/>
        <v/>
      </c>
      <c r="Y362" s="25"/>
      <c r="Z362" s="25"/>
    </row>
    <row r="363" spans="22:26" s="24" customFormat="1">
      <c r="V363" s="39" t="str">
        <f t="shared" ca="1" si="6"/>
        <v/>
      </c>
      <c r="Y363" s="25"/>
      <c r="Z363" s="25"/>
    </row>
    <row r="364" spans="22:26" s="24" customFormat="1">
      <c r="V364" s="39" t="str">
        <f t="shared" ref="V364:V427" ca="1" si="7">IF(B365="","",WORKDAY(TODAY(),IF(OR(I365="PH",I365="PHOD"),0,1),feriadosBCS))</f>
        <v/>
      </c>
      <c r="Y364" s="25"/>
      <c r="Z364" s="25"/>
    </row>
    <row r="365" spans="22:26" s="24" customFormat="1">
      <c r="V365" s="39" t="str">
        <f t="shared" ca="1" si="7"/>
        <v/>
      </c>
      <c r="Y365" s="25"/>
      <c r="Z365" s="25"/>
    </row>
    <row r="366" spans="22:26" s="24" customFormat="1">
      <c r="V366" s="39" t="str">
        <f t="shared" ca="1" si="7"/>
        <v/>
      </c>
      <c r="Y366" s="25"/>
      <c r="Z366" s="25"/>
    </row>
    <row r="367" spans="22:26" s="24" customFormat="1">
      <c r="V367" s="39" t="str">
        <f t="shared" ca="1" si="7"/>
        <v/>
      </c>
      <c r="Y367" s="25"/>
      <c r="Z367" s="25"/>
    </row>
    <row r="368" spans="22:26" s="24" customFormat="1">
      <c r="V368" s="39" t="str">
        <f t="shared" ca="1" si="7"/>
        <v/>
      </c>
      <c r="Y368" s="25"/>
      <c r="Z368" s="25"/>
    </row>
    <row r="369" spans="22:26" s="24" customFormat="1">
      <c r="V369" s="39" t="str">
        <f t="shared" ca="1" si="7"/>
        <v/>
      </c>
      <c r="Y369" s="25"/>
      <c r="Z369" s="25"/>
    </row>
    <row r="370" spans="22:26" s="24" customFormat="1">
      <c r="V370" s="39" t="str">
        <f t="shared" ca="1" si="7"/>
        <v/>
      </c>
      <c r="Y370" s="25"/>
      <c r="Z370" s="25"/>
    </row>
    <row r="371" spans="22:26" s="24" customFormat="1">
      <c r="V371" s="39" t="str">
        <f t="shared" ca="1" si="7"/>
        <v/>
      </c>
      <c r="Y371" s="25"/>
      <c r="Z371" s="25"/>
    </row>
    <row r="372" spans="22:26" s="24" customFormat="1">
      <c r="V372" s="39" t="str">
        <f t="shared" ca="1" si="7"/>
        <v/>
      </c>
      <c r="Y372" s="25"/>
      <c r="Z372" s="25"/>
    </row>
    <row r="373" spans="22:26" s="24" customFormat="1">
      <c r="V373" s="39" t="str">
        <f t="shared" ca="1" si="7"/>
        <v/>
      </c>
      <c r="Y373" s="25"/>
      <c r="Z373" s="25"/>
    </row>
    <row r="374" spans="22:26" s="24" customFormat="1">
      <c r="V374" s="39" t="str">
        <f t="shared" ca="1" si="7"/>
        <v/>
      </c>
      <c r="Y374" s="25"/>
      <c r="Z374" s="25"/>
    </row>
    <row r="375" spans="22:26" s="24" customFormat="1">
      <c r="V375" s="39" t="str">
        <f t="shared" ca="1" si="7"/>
        <v/>
      </c>
      <c r="Y375" s="25"/>
      <c r="Z375" s="25"/>
    </row>
    <row r="376" spans="22:26" s="24" customFormat="1">
      <c r="V376" s="39" t="str">
        <f t="shared" ca="1" si="7"/>
        <v/>
      </c>
      <c r="Y376" s="25"/>
      <c r="Z376" s="25"/>
    </row>
    <row r="377" spans="22:26" s="24" customFormat="1">
      <c r="V377" s="39" t="str">
        <f t="shared" ca="1" si="7"/>
        <v/>
      </c>
      <c r="Y377" s="25"/>
      <c r="Z377" s="25"/>
    </row>
    <row r="378" spans="22:26" s="24" customFormat="1">
      <c r="V378" s="39" t="str">
        <f t="shared" ca="1" si="7"/>
        <v/>
      </c>
      <c r="Y378" s="25"/>
      <c r="Z378" s="25"/>
    </row>
    <row r="379" spans="22:26" s="24" customFormat="1">
      <c r="V379" s="39" t="str">
        <f t="shared" ca="1" si="7"/>
        <v/>
      </c>
      <c r="Y379" s="25"/>
      <c r="Z379" s="25"/>
    </row>
    <row r="380" spans="22:26" s="24" customFormat="1">
      <c r="V380" s="39" t="str">
        <f t="shared" ca="1" si="7"/>
        <v/>
      </c>
      <c r="Y380" s="25"/>
      <c r="Z380" s="25"/>
    </row>
    <row r="381" spans="22:26" s="24" customFormat="1">
      <c r="V381" s="39" t="str">
        <f t="shared" ca="1" si="7"/>
        <v/>
      </c>
      <c r="Y381" s="25"/>
      <c r="Z381" s="25"/>
    </row>
    <row r="382" spans="22:26" s="24" customFormat="1">
      <c r="V382" s="39" t="str">
        <f t="shared" ca="1" si="7"/>
        <v/>
      </c>
      <c r="Y382" s="25"/>
      <c r="Z382" s="25"/>
    </row>
    <row r="383" spans="22:26" s="24" customFormat="1">
      <c r="V383" s="39" t="str">
        <f t="shared" ca="1" si="7"/>
        <v/>
      </c>
      <c r="Y383" s="25"/>
      <c r="Z383" s="25"/>
    </row>
    <row r="384" spans="22:26" s="24" customFormat="1">
      <c r="V384" s="39" t="str">
        <f t="shared" ca="1" si="7"/>
        <v/>
      </c>
      <c r="Y384" s="25"/>
      <c r="Z384" s="25"/>
    </row>
    <row r="385" spans="22:26" s="24" customFormat="1">
      <c r="V385" s="39" t="str">
        <f t="shared" ca="1" si="7"/>
        <v/>
      </c>
      <c r="Y385" s="25"/>
      <c r="Z385" s="25"/>
    </row>
    <row r="386" spans="22:26" s="24" customFormat="1">
      <c r="V386" s="39" t="str">
        <f t="shared" ca="1" si="7"/>
        <v/>
      </c>
      <c r="Y386" s="25"/>
      <c r="Z386" s="25"/>
    </row>
    <row r="387" spans="22:26" s="24" customFormat="1">
      <c r="V387" s="39" t="str">
        <f t="shared" ca="1" si="7"/>
        <v/>
      </c>
      <c r="Y387" s="25"/>
      <c r="Z387" s="25"/>
    </row>
    <row r="388" spans="22:26" s="24" customFormat="1">
      <c r="V388" s="39" t="str">
        <f t="shared" ca="1" si="7"/>
        <v/>
      </c>
      <c r="Y388" s="25"/>
      <c r="Z388" s="25"/>
    </row>
    <row r="389" spans="22:26" s="24" customFormat="1">
      <c r="V389" s="39" t="str">
        <f t="shared" ca="1" si="7"/>
        <v/>
      </c>
      <c r="Y389" s="25"/>
      <c r="Z389" s="25"/>
    </row>
    <row r="390" spans="22:26" s="24" customFormat="1">
      <c r="V390" s="39" t="str">
        <f t="shared" ca="1" si="7"/>
        <v/>
      </c>
      <c r="Y390" s="25"/>
      <c r="Z390" s="25"/>
    </row>
    <row r="391" spans="22:26" s="24" customFormat="1">
      <c r="V391" s="39" t="str">
        <f t="shared" ca="1" si="7"/>
        <v/>
      </c>
      <c r="Y391" s="25"/>
      <c r="Z391" s="25"/>
    </row>
    <row r="392" spans="22:26" s="24" customFormat="1">
      <c r="V392" s="39" t="str">
        <f t="shared" ca="1" si="7"/>
        <v/>
      </c>
      <c r="Y392" s="25"/>
      <c r="Z392" s="25"/>
    </row>
    <row r="393" spans="22:26" s="24" customFormat="1">
      <c r="V393" s="39" t="str">
        <f t="shared" ca="1" si="7"/>
        <v/>
      </c>
      <c r="Y393" s="25"/>
      <c r="Z393" s="25"/>
    </row>
    <row r="394" spans="22:26" s="24" customFormat="1">
      <c r="V394" s="39" t="str">
        <f t="shared" ca="1" si="7"/>
        <v/>
      </c>
      <c r="Y394" s="25"/>
      <c r="Z394" s="25"/>
    </row>
    <row r="395" spans="22:26" s="24" customFormat="1">
      <c r="V395" s="39" t="str">
        <f t="shared" ca="1" si="7"/>
        <v/>
      </c>
      <c r="Y395" s="25"/>
      <c r="Z395" s="25"/>
    </row>
    <row r="396" spans="22:26" s="24" customFormat="1">
      <c r="V396" s="39" t="str">
        <f t="shared" ca="1" si="7"/>
        <v/>
      </c>
      <c r="Y396" s="25"/>
      <c r="Z396" s="25"/>
    </row>
    <row r="397" spans="22:26" s="24" customFormat="1">
      <c r="V397" s="39" t="str">
        <f t="shared" ca="1" si="7"/>
        <v/>
      </c>
      <c r="Y397" s="25"/>
      <c r="Z397" s="25"/>
    </row>
    <row r="398" spans="22:26" s="24" customFormat="1">
      <c r="V398" s="39" t="str">
        <f t="shared" ca="1" si="7"/>
        <v/>
      </c>
      <c r="Y398" s="25"/>
      <c r="Z398" s="25"/>
    </row>
    <row r="399" spans="22:26" s="24" customFormat="1">
      <c r="V399" s="39" t="str">
        <f t="shared" ca="1" si="7"/>
        <v/>
      </c>
      <c r="Y399" s="25"/>
      <c r="Z399" s="25"/>
    </row>
    <row r="400" spans="22:26" s="24" customFormat="1">
      <c r="V400" s="39" t="str">
        <f t="shared" ca="1" si="7"/>
        <v/>
      </c>
      <c r="Y400" s="25"/>
      <c r="Z400" s="25"/>
    </row>
    <row r="401" spans="22:26" s="24" customFormat="1">
      <c r="V401" s="39" t="str">
        <f t="shared" ca="1" si="7"/>
        <v/>
      </c>
      <c r="Y401" s="25"/>
      <c r="Z401" s="25"/>
    </row>
    <row r="402" spans="22:26" s="24" customFormat="1">
      <c r="V402" s="39" t="str">
        <f t="shared" ca="1" si="7"/>
        <v/>
      </c>
      <c r="Y402" s="25"/>
      <c r="Z402" s="25"/>
    </row>
    <row r="403" spans="22:26" s="24" customFormat="1">
      <c r="V403" s="39" t="str">
        <f t="shared" ca="1" si="7"/>
        <v/>
      </c>
      <c r="Y403" s="25"/>
      <c r="Z403" s="25"/>
    </row>
    <row r="404" spans="22:26" s="24" customFormat="1">
      <c r="V404" s="39" t="str">
        <f t="shared" ca="1" si="7"/>
        <v/>
      </c>
      <c r="Y404" s="25"/>
      <c r="Z404" s="25"/>
    </row>
    <row r="405" spans="22:26" s="24" customFormat="1">
      <c r="V405" s="39" t="str">
        <f t="shared" ca="1" si="7"/>
        <v/>
      </c>
      <c r="Y405" s="25"/>
      <c r="Z405" s="25"/>
    </row>
    <row r="406" spans="22:26" s="24" customFormat="1">
      <c r="V406" s="39" t="str">
        <f t="shared" ca="1" si="7"/>
        <v/>
      </c>
      <c r="Y406" s="25"/>
      <c r="Z406" s="25"/>
    </row>
    <row r="407" spans="22:26" s="24" customFormat="1">
      <c r="V407" s="39" t="str">
        <f t="shared" ca="1" si="7"/>
        <v/>
      </c>
      <c r="Y407" s="25"/>
      <c r="Z407" s="25"/>
    </row>
    <row r="408" spans="22:26" s="24" customFormat="1">
      <c r="V408" s="39" t="str">
        <f t="shared" ca="1" si="7"/>
        <v/>
      </c>
      <c r="Y408" s="25"/>
      <c r="Z408" s="25"/>
    </row>
    <row r="409" spans="22:26" s="24" customFormat="1">
      <c r="V409" s="39" t="str">
        <f t="shared" ca="1" si="7"/>
        <v/>
      </c>
      <c r="Y409" s="25"/>
      <c r="Z409" s="25"/>
    </row>
    <row r="410" spans="22:26" s="24" customFormat="1">
      <c r="V410" s="39" t="str">
        <f t="shared" ca="1" si="7"/>
        <v/>
      </c>
      <c r="Y410" s="25"/>
      <c r="Z410" s="25"/>
    </row>
    <row r="411" spans="22:26" s="24" customFormat="1">
      <c r="V411" s="39" t="str">
        <f t="shared" ca="1" si="7"/>
        <v/>
      </c>
      <c r="Y411" s="25"/>
      <c r="Z411" s="25"/>
    </row>
    <row r="412" spans="22:26" s="24" customFormat="1">
      <c r="V412" s="39" t="str">
        <f t="shared" ca="1" si="7"/>
        <v/>
      </c>
      <c r="Y412" s="25"/>
      <c r="Z412" s="25"/>
    </row>
    <row r="413" spans="22:26" s="24" customFormat="1">
      <c r="V413" s="39" t="str">
        <f t="shared" ca="1" si="7"/>
        <v/>
      </c>
      <c r="Y413" s="25"/>
      <c r="Z413" s="25"/>
    </row>
    <row r="414" spans="22:26" s="24" customFormat="1">
      <c r="V414" s="39" t="str">
        <f t="shared" ca="1" si="7"/>
        <v/>
      </c>
      <c r="Y414" s="25"/>
      <c r="Z414" s="25"/>
    </row>
    <row r="415" spans="22:26" s="24" customFormat="1">
      <c r="V415" s="39" t="str">
        <f t="shared" ca="1" si="7"/>
        <v/>
      </c>
      <c r="Y415" s="25"/>
      <c r="Z415" s="25"/>
    </row>
    <row r="416" spans="22:26" s="24" customFormat="1">
      <c r="V416" s="39" t="str">
        <f t="shared" ca="1" si="7"/>
        <v/>
      </c>
      <c r="Y416" s="25"/>
      <c r="Z416" s="25"/>
    </row>
    <row r="417" spans="22:26" s="24" customFormat="1">
      <c r="V417" s="39" t="str">
        <f t="shared" ca="1" si="7"/>
        <v/>
      </c>
      <c r="Y417" s="25"/>
      <c r="Z417" s="25"/>
    </row>
    <row r="418" spans="22:26" s="24" customFormat="1">
      <c r="V418" s="39" t="str">
        <f t="shared" ca="1" si="7"/>
        <v/>
      </c>
      <c r="Y418" s="25"/>
      <c r="Z418" s="25"/>
    </row>
    <row r="419" spans="22:26" s="24" customFormat="1">
      <c r="V419" s="39" t="str">
        <f t="shared" ca="1" si="7"/>
        <v/>
      </c>
      <c r="Y419" s="25"/>
      <c r="Z419" s="25"/>
    </row>
    <row r="420" spans="22:26" s="24" customFormat="1">
      <c r="V420" s="39" t="str">
        <f t="shared" ca="1" si="7"/>
        <v/>
      </c>
      <c r="Y420" s="25"/>
      <c r="Z420" s="25"/>
    </row>
    <row r="421" spans="22:26" s="24" customFormat="1">
      <c r="V421" s="39" t="str">
        <f t="shared" ca="1" si="7"/>
        <v/>
      </c>
      <c r="Y421" s="25"/>
      <c r="Z421" s="25"/>
    </row>
    <row r="422" spans="22:26" s="24" customFormat="1">
      <c r="V422" s="39" t="str">
        <f t="shared" ca="1" si="7"/>
        <v/>
      </c>
      <c r="Y422" s="25"/>
      <c r="Z422" s="25"/>
    </row>
    <row r="423" spans="22:26" s="24" customFormat="1">
      <c r="V423" s="39" t="str">
        <f t="shared" ca="1" si="7"/>
        <v/>
      </c>
      <c r="Y423" s="25"/>
      <c r="Z423" s="25"/>
    </row>
    <row r="424" spans="22:26" s="24" customFormat="1">
      <c r="V424" s="39" t="str">
        <f t="shared" ca="1" si="7"/>
        <v/>
      </c>
      <c r="Y424" s="25"/>
      <c r="Z424" s="25"/>
    </row>
    <row r="425" spans="22:26" s="24" customFormat="1">
      <c r="V425" s="39" t="str">
        <f t="shared" ca="1" si="7"/>
        <v/>
      </c>
      <c r="Y425" s="25"/>
      <c r="Z425" s="25"/>
    </row>
    <row r="426" spans="22:26" s="24" customFormat="1">
      <c r="V426" s="39" t="str">
        <f t="shared" ca="1" si="7"/>
        <v/>
      </c>
      <c r="Y426" s="25"/>
      <c r="Z426" s="25"/>
    </row>
    <row r="427" spans="22:26" s="24" customFormat="1">
      <c r="V427" s="39" t="str">
        <f t="shared" ca="1" si="7"/>
        <v/>
      </c>
      <c r="Y427" s="25"/>
      <c r="Z427" s="25"/>
    </row>
    <row r="428" spans="22:26" s="24" customFormat="1">
      <c r="V428" s="39" t="str">
        <f t="shared" ref="V428:V491" ca="1" si="8">IF(B429="","",WORKDAY(TODAY(),IF(OR(I429="PH",I429="PHOD"),0,1),feriadosBCS))</f>
        <v/>
      </c>
      <c r="Y428" s="25"/>
      <c r="Z428" s="25"/>
    </row>
    <row r="429" spans="22:26" s="24" customFormat="1">
      <c r="V429" s="39" t="str">
        <f t="shared" ca="1" si="8"/>
        <v/>
      </c>
      <c r="Y429" s="25"/>
      <c r="Z429" s="25"/>
    </row>
    <row r="430" spans="22:26" s="24" customFormat="1">
      <c r="V430" s="39" t="str">
        <f t="shared" ca="1" si="8"/>
        <v/>
      </c>
      <c r="Y430" s="25"/>
      <c r="Z430" s="25"/>
    </row>
    <row r="431" spans="22:26" s="24" customFormat="1">
      <c r="V431" s="39" t="str">
        <f t="shared" ca="1" si="8"/>
        <v/>
      </c>
      <c r="Y431" s="25"/>
      <c r="Z431" s="25"/>
    </row>
    <row r="432" spans="22:26" s="24" customFormat="1">
      <c r="V432" s="39" t="str">
        <f t="shared" ca="1" si="8"/>
        <v/>
      </c>
      <c r="Y432" s="25"/>
      <c r="Z432" s="25"/>
    </row>
    <row r="433" spans="22:26" s="24" customFormat="1">
      <c r="V433" s="39" t="str">
        <f t="shared" ca="1" si="8"/>
        <v/>
      </c>
      <c r="Y433" s="25"/>
      <c r="Z433" s="25"/>
    </row>
    <row r="434" spans="22:26" s="24" customFormat="1">
      <c r="V434" s="39" t="str">
        <f t="shared" ca="1" si="8"/>
        <v/>
      </c>
      <c r="Y434" s="25"/>
      <c r="Z434" s="25"/>
    </row>
    <row r="435" spans="22:26" s="24" customFormat="1">
      <c r="V435" s="39" t="str">
        <f t="shared" ca="1" si="8"/>
        <v/>
      </c>
      <c r="Y435" s="25"/>
      <c r="Z435" s="25"/>
    </row>
    <row r="436" spans="22:26" s="24" customFormat="1">
      <c r="V436" s="39" t="str">
        <f t="shared" ca="1" si="8"/>
        <v/>
      </c>
      <c r="Y436" s="25"/>
      <c r="Z436" s="25"/>
    </row>
    <row r="437" spans="22:26" s="24" customFormat="1">
      <c r="V437" s="39" t="str">
        <f t="shared" ca="1" si="8"/>
        <v/>
      </c>
      <c r="Y437" s="25"/>
      <c r="Z437" s="25"/>
    </row>
    <row r="438" spans="22:26" s="24" customFormat="1">
      <c r="V438" s="39" t="str">
        <f t="shared" ca="1" si="8"/>
        <v/>
      </c>
      <c r="Y438" s="25"/>
      <c r="Z438" s="25"/>
    </row>
    <row r="439" spans="22:26" s="24" customFormat="1">
      <c r="V439" s="39" t="str">
        <f t="shared" ca="1" si="8"/>
        <v/>
      </c>
      <c r="Y439" s="25"/>
      <c r="Z439" s="25"/>
    </row>
    <row r="440" spans="22:26" s="24" customFormat="1">
      <c r="V440" s="39" t="str">
        <f t="shared" ca="1" si="8"/>
        <v/>
      </c>
      <c r="Y440" s="25"/>
      <c r="Z440" s="25"/>
    </row>
    <row r="441" spans="22:26" s="24" customFormat="1">
      <c r="V441" s="39" t="str">
        <f t="shared" ca="1" si="8"/>
        <v/>
      </c>
      <c r="Y441" s="25"/>
      <c r="Z441" s="25"/>
    </row>
    <row r="442" spans="22:26" s="24" customFormat="1">
      <c r="V442" s="39" t="str">
        <f t="shared" ca="1" si="8"/>
        <v/>
      </c>
      <c r="Y442" s="25"/>
      <c r="Z442" s="25"/>
    </row>
    <row r="443" spans="22:26" s="24" customFormat="1">
      <c r="V443" s="39" t="str">
        <f t="shared" ca="1" si="8"/>
        <v/>
      </c>
      <c r="Y443" s="25"/>
      <c r="Z443" s="25"/>
    </row>
    <row r="444" spans="22:26" s="24" customFormat="1">
      <c r="V444" s="39" t="str">
        <f t="shared" ca="1" si="8"/>
        <v/>
      </c>
      <c r="Y444" s="25"/>
      <c r="Z444" s="25"/>
    </row>
    <row r="445" spans="22:26" s="24" customFormat="1">
      <c r="V445" s="39" t="str">
        <f t="shared" ca="1" si="8"/>
        <v/>
      </c>
      <c r="Y445" s="25"/>
      <c r="Z445" s="25"/>
    </row>
    <row r="446" spans="22:26" s="24" customFormat="1">
      <c r="V446" s="39" t="str">
        <f t="shared" ca="1" si="8"/>
        <v/>
      </c>
      <c r="Y446" s="25"/>
      <c r="Z446" s="25"/>
    </row>
    <row r="447" spans="22:26" s="24" customFormat="1">
      <c r="V447" s="39" t="str">
        <f t="shared" ca="1" si="8"/>
        <v/>
      </c>
      <c r="Y447" s="25"/>
      <c r="Z447" s="25"/>
    </row>
    <row r="448" spans="22:26" s="24" customFormat="1">
      <c r="V448" s="39" t="str">
        <f t="shared" ca="1" si="8"/>
        <v/>
      </c>
      <c r="Y448" s="25"/>
      <c r="Z448" s="25"/>
    </row>
    <row r="449" spans="22:26" s="24" customFormat="1">
      <c r="V449" s="39" t="str">
        <f t="shared" ca="1" si="8"/>
        <v/>
      </c>
      <c r="Y449" s="25"/>
      <c r="Z449" s="25"/>
    </row>
    <row r="450" spans="22:26" s="24" customFormat="1">
      <c r="V450" s="39" t="str">
        <f t="shared" ca="1" si="8"/>
        <v/>
      </c>
      <c r="Y450" s="25"/>
      <c r="Z450" s="25"/>
    </row>
    <row r="451" spans="22:26" s="24" customFormat="1">
      <c r="V451" s="39" t="str">
        <f t="shared" ca="1" si="8"/>
        <v/>
      </c>
      <c r="Y451" s="25"/>
      <c r="Z451" s="25"/>
    </row>
    <row r="452" spans="22:26" s="24" customFormat="1">
      <c r="V452" s="39" t="str">
        <f t="shared" ca="1" si="8"/>
        <v/>
      </c>
      <c r="Y452" s="25"/>
      <c r="Z452" s="25"/>
    </row>
    <row r="453" spans="22:26" s="24" customFormat="1">
      <c r="V453" s="39" t="str">
        <f t="shared" ca="1" si="8"/>
        <v/>
      </c>
      <c r="Y453" s="25"/>
      <c r="Z453" s="25"/>
    </row>
    <row r="454" spans="22:26" s="24" customFormat="1">
      <c r="V454" s="39" t="str">
        <f t="shared" ca="1" si="8"/>
        <v/>
      </c>
      <c r="Y454" s="25"/>
      <c r="Z454" s="25"/>
    </row>
    <row r="455" spans="22:26" s="24" customFormat="1">
      <c r="V455" s="39" t="str">
        <f t="shared" ca="1" si="8"/>
        <v/>
      </c>
      <c r="Y455" s="25"/>
      <c r="Z455" s="25"/>
    </row>
    <row r="456" spans="22:26" s="24" customFormat="1">
      <c r="V456" s="39" t="str">
        <f t="shared" ca="1" si="8"/>
        <v/>
      </c>
      <c r="Y456" s="25"/>
      <c r="Z456" s="25"/>
    </row>
    <row r="457" spans="22:26" s="24" customFormat="1">
      <c r="V457" s="39" t="str">
        <f t="shared" ca="1" si="8"/>
        <v/>
      </c>
      <c r="Y457" s="25"/>
      <c r="Z457" s="25"/>
    </row>
    <row r="458" spans="22:26" s="24" customFormat="1">
      <c r="V458" s="39" t="str">
        <f t="shared" ca="1" si="8"/>
        <v/>
      </c>
      <c r="Y458" s="25"/>
      <c r="Z458" s="25"/>
    </row>
    <row r="459" spans="22:26" s="24" customFormat="1">
      <c r="V459" s="39" t="str">
        <f t="shared" ca="1" si="8"/>
        <v/>
      </c>
      <c r="Y459" s="25"/>
      <c r="Z459" s="25"/>
    </row>
    <row r="460" spans="22:26" s="24" customFormat="1">
      <c r="V460" s="39" t="str">
        <f t="shared" ca="1" si="8"/>
        <v/>
      </c>
      <c r="Y460" s="25"/>
      <c r="Z460" s="25"/>
    </row>
    <row r="461" spans="22:26" s="24" customFormat="1">
      <c r="V461" s="39" t="str">
        <f t="shared" ca="1" si="8"/>
        <v/>
      </c>
      <c r="Y461" s="25"/>
      <c r="Z461" s="25"/>
    </row>
    <row r="462" spans="22:26" s="24" customFormat="1">
      <c r="V462" s="39" t="str">
        <f t="shared" ca="1" si="8"/>
        <v/>
      </c>
      <c r="Y462" s="25"/>
      <c r="Z462" s="25"/>
    </row>
    <row r="463" spans="22:26" s="24" customFormat="1">
      <c r="V463" s="39" t="str">
        <f t="shared" ca="1" si="8"/>
        <v/>
      </c>
      <c r="Y463" s="25"/>
      <c r="Z463" s="25"/>
    </row>
    <row r="464" spans="22:26" s="24" customFormat="1">
      <c r="V464" s="39" t="str">
        <f t="shared" ca="1" si="8"/>
        <v/>
      </c>
      <c r="Y464" s="25"/>
      <c r="Z464" s="25"/>
    </row>
    <row r="465" spans="22:26" s="24" customFormat="1">
      <c r="V465" s="39" t="str">
        <f t="shared" ca="1" si="8"/>
        <v/>
      </c>
      <c r="Y465" s="25"/>
      <c r="Z465" s="25"/>
    </row>
    <row r="466" spans="22:26" s="24" customFormat="1">
      <c r="V466" s="39" t="str">
        <f t="shared" ca="1" si="8"/>
        <v/>
      </c>
      <c r="Y466" s="25"/>
      <c r="Z466" s="25"/>
    </row>
    <row r="467" spans="22:26" s="24" customFormat="1">
      <c r="V467" s="39" t="str">
        <f t="shared" ca="1" si="8"/>
        <v/>
      </c>
      <c r="Y467" s="25"/>
      <c r="Z467" s="25"/>
    </row>
    <row r="468" spans="22:26" s="24" customFormat="1">
      <c r="V468" s="39" t="str">
        <f t="shared" ca="1" si="8"/>
        <v/>
      </c>
      <c r="Y468" s="25"/>
      <c r="Z468" s="25"/>
    </row>
    <row r="469" spans="22:26" s="24" customFormat="1">
      <c r="V469" s="39" t="str">
        <f t="shared" ca="1" si="8"/>
        <v/>
      </c>
      <c r="Y469" s="25"/>
      <c r="Z469" s="25"/>
    </row>
    <row r="470" spans="22:26" s="24" customFormat="1">
      <c r="V470" s="39" t="str">
        <f t="shared" ca="1" si="8"/>
        <v/>
      </c>
      <c r="Y470" s="25"/>
      <c r="Z470" s="25"/>
    </row>
    <row r="471" spans="22:26" s="24" customFormat="1">
      <c r="V471" s="39" t="str">
        <f t="shared" ca="1" si="8"/>
        <v/>
      </c>
      <c r="Y471" s="25"/>
      <c r="Z471" s="25"/>
    </row>
    <row r="472" spans="22:26" s="24" customFormat="1">
      <c r="V472" s="39" t="str">
        <f t="shared" ca="1" si="8"/>
        <v/>
      </c>
      <c r="Y472" s="25"/>
      <c r="Z472" s="25"/>
    </row>
    <row r="473" spans="22:26" s="24" customFormat="1">
      <c r="V473" s="39" t="str">
        <f t="shared" ca="1" si="8"/>
        <v/>
      </c>
      <c r="Y473" s="25"/>
      <c r="Z473" s="25"/>
    </row>
    <row r="474" spans="22:26" s="24" customFormat="1">
      <c r="V474" s="39" t="str">
        <f t="shared" ca="1" si="8"/>
        <v/>
      </c>
      <c r="Y474" s="25"/>
      <c r="Z474" s="25"/>
    </row>
    <row r="475" spans="22:26" s="24" customFormat="1">
      <c r="V475" s="39" t="str">
        <f t="shared" ca="1" si="8"/>
        <v/>
      </c>
      <c r="Y475" s="25"/>
      <c r="Z475" s="25"/>
    </row>
    <row r="476" spans="22:26" s="24" customFormat="1">
      <c r="V476" s="39" t="str">
        <f t="shared" ca="1" si="8"/>
        <v/>
      </c>
      <c r="Y476" s="25"/>
      <c r="Z476" s="25"/>
    </row>
    <row r="477" spans="22:26" s="24" customFormat="1">
      <c r="V477" s="39" t="str">
        <f t="shared" ca="1" si="8"/>
        <v/>
      </c>
      <c r="Y477" s="25"/>
      <c r="Z477" s="25"/>
    </row>
    <row r="478" spans="22:26" s="24" customFormat="1">
      <c r="V478" s="39" t="str">
        <f t="shared" ca="1" si="8"/>
        <v/>
      </c>
      <c r="Y478" s="25"/>
      <c r="Z478" s="25"/>
    </row>
    <row r="479" spans="22:26" s="24" customFormat="1">
      <c r="V479" s="39" t="str">
        <f t="shared" ca="1" si="8"/>
        <v/>
      </c>
      <c r="Y479" s="25"/>
      <c r="Z479" s="25"/>
    </row>
    <row r="480" spans="22:26" s="24" customFormat="1">
      <c r="V480" s="39" t="str">
        <f t="shared" ca="1" si="8"/>
        <v/>
      </c>
      <c r="Y480" s="25"/>
      <c r="Z480" s="25"/>
    </row>
    <row r="481" spans="22:26" s="24" customFormat="1">
      <c r="V481" s="39" t="str">
        <f t="shared" ca="1" si="8"/>
        <v/>
      </c>
      <c r="Y481" s="25"/>
      <c r="Z481" s="25"/>
    </row>
    <row r="482" spans="22:26" s="24" customFormat="1">
      <c r="V482" s="39" t="str">
        <f t="shared" ca="1" si="8"/>
        <v/>
      </c>
      <c r="Y482" s="25"/>
      <c r="Z482" s="25"/>
    </row>
    <row r="483" spans="22:26" s="24" customFormat="1">
      <c r="V483" s="39" t="str">
        <f t="shared" ca="1" si="8"/>
        <v/>
      </c>
      <c r="Y483" s="25"/>
      <c r="Z483" s="25"/>
    </row>
    <row r="484" spans="22:26" s="24" customFormat="1">
      <c r="V484" s="39" t="str">
        <f t="shared" ca="1" si="8"/>
        <v/>
      </c>
      <c r="Y484" s="25"/>
      <c r="Z484" s="25"/>
    </row>
    <row r="485" spans="22:26" s="24" customFormat="1">
      <c r="V485" s="39" t="str">
        <f t="shared" ca="1" si="8"/>
        <v/>
      </c>
      <c r="Y485" s="25"/>
      <c r="Z485" s="25"/>
    </row>
    <row r="486" spans="22:26" s="24" customFormat="1">
      <c r="V486" s="39" t="str">
        <f t="shared" ca="1" si="8"/>
        <v/>
      </c>
      <c r="Y486" s="25"/>
      <c r="Z486" s="25"/>
    </row>
    <row r="487" spans="22:26" s="24" customFormat="1">
      <c r="V487" s="39" t="str">
        <f t="shared" ca="1" si="8"/>
        <v/>
      </c>
      <c r="Y487" s="25"/>
      <c r="Z487" s="25"/>
    </row>
    <row r="488" spans="22:26" s="24" customFormat="1">
      <c r="V488" s="39" t="str">
        <f t="shared" ca="1" si="8"/>
        <v/>
      </c>
      <c r="Y488" s="25"/>
      <c r="Z488" s="25"/>
    </row>
    <row r="489" spans="22:26" s="24" customFormat="1">
      <c r="V489" s="39" t="str">
        <f t="shared" ca="1" si="8"/>
        <v/>
      </c>
      <c r="Y489" s="25"/>
      <c r="Z489" s="25"/>
    </row>
    <row r="490" spans="22:26" s="24" customFormat="1">
      <c r="V490" s="39" t="str">
        <f t="shared" ca="1" si="8"/>
        <v/>
      </c>
      <c r="Y490" s="25"/>
      <c r="Z490" s="25"/>
    </row>
    <row r="491" spans="22:26" s="24" customFormat="1">
      <c r="V491" s="39" t="str">
        <f t="shared" ca="1" si="8"/>
        <v/>
      </c>
      <c r="Y491" s="25"/>
      <c r="Z491" s="25"/>
    </row>
    <row r="492" spans="22:26" s="24" customFormat="1">
      <c r="V492" s="39" t="str">
        <f t="shared" ref="V492:V555" ca="1" si="9">IF(B493="","",WORKDAY(TODAY(),IF(OR(I493="PH",I493="PHOD"),0,1),feriadosBCS))</f>
        <v/>
      </c>
      <c r="Y492" s="25"/>
      <c r="Z492" s="25"/>
    </row>
    <row r="493" spans="22:26" s="24" customFormat="1">
      <c r="V493" s="39" t="str">
        <f t="shared" ca="1" si="9"/>
        <v/>
      </c>
      <c r="Y493" s="25"/>
      <c r="Z493" s="25"/>
    </row>
    <row r="494" spans="22:26" s="24" customFormat="1">
      <c r="V494" s="39" t="str">
        <f t="shared" ca="1" si="9"/>
        <v/>
      </c>
      <c r="Y494" s="25"/>
      <c r="Z494" s="25"/>
    </row>
    <row r="495" spans="22:26" s="24" customFormat="1">
      <c r="V495" s="39" t="str">
        <f t="shared" ca="1" si="9"/>
        <v/>
      </c>
      <c r="Y495" s="25"/>
      <c r="Z495" s="25"/>
    </row>
    <row r="496" spans="22:26" s="24" customFormat="1">
      <c r="V496" s="39" t="str">
        <f t="shared" ca="1" si="9"/>
        <v/>
      </c>
      <c r="Y496" s="25"/>
      <c r="Z496" s="25"/>
    </row>
    <row r="497" spans="22:26" s="24" customFormat="1">
      <c r="V497" s="39" t="str">
        <f t="shared" ca="1" si="9"/>
        <v/>
      </c>
      <c r="Y497" s="25"/>
      <c r="Z497" s="25"/>
    </row>
    <row r="498" spans="22:26" s="24" customFormat="1">
      <c r="V498" s="39" t="str">
        <f t="shared" ca="1" si="9"/>
        <v/>
      </c>
      <c r="Y498" s="25"/>
      <c r="Z498" s="25"/>
    </row>
    <row r="499" spans="22:26" s="24" customFormat="1">
      <c r="V499" s="39" t="str">
        <f t="shared" ca="1" si="9"/>
        <v/>
      </c>
      <c r="Y499" s="25"/>
      <c r="Z499" s="25"/>
    </row>
    <row r="500" spans="22:26" s="24" customFormat="1">
      <c r="V500" s="39" t="str">
        <f t="shared" ca="1" si="9"/>
        <v/>
      </c>
      <c r="Y500" s="25"/>
      <c r="Z500" s="25"/>
    </row>
    <row r="501" spans="22:26" s="24" customFormat="1">
      <c r="V501" s="39" t="str">
        <f t="shared" ca="1" si="9"/>
        <v/>
      </c>
      <c r="Y501" s="25"/>
      <c r="Z501" s="25"/>
    </row>
    <row r="502" spans="22:26" s="24" customFormat="1">
      <c r="V502" s="39" t="str">
        <f t="shared" ca="1" si="9"/>
        <v/>
      </c>
      <c r="Y502" s="25"/>
      <c r="Z502" s="25"/>
    </row>
    <row r="503" spans="22:26" s="24" customFormat="1">
      <c r="V503" s="39" t="str">
        <f t="shared" ca="1" si="9"/>
        <v/>
      </c>
      <c r="Y503" s="25"/>
      <c r="Z503" s="25"/>
    </row>
    <row r="504" spans="22:26" s="24" customFormat="1">
      <c r="V504" s="39" t="str">
        <f t="shared" ca="1" si="9"/>
        <v/>
      </c>
      <c r="Y504" s="25"/>
      <c r="Z504" s="25"/>
    </row>
    <row r="505" spans="22:26" s="24" customFormat="1">
      <c r="V505" s="39" t="str">
        <f t="shared" ca="1" si="9"/>
        <v/>
      </c>
      <c r="Y505" s="25"/>
      <c r="Z505" s="25"/>
    </row>
    <row r="506" spans="22:26" s="24" customFormat="1">
      <c r="V506" s="39" t="str">
        <f t="shared" ca="1" si="9"/>
        <v/>
      </c>
      <c r="Y506" s="25"/>
      <c r="Z506" s="25"/>
    </row>
    <row r="507" spans="22:26" s="24" customFormat="1">
      <c r="V507" s="39" t="str">
        <f t="shared" ca="1" si="9"/>
        <v/>
      </c>
      <c r="Y507" s="25"/>
      <c r="Z507" s="25"/>
    </row>
    <row r="508" spans="22:26" s="24" customFormat="1">
      <c r="V508" s="39" t="str">
        <f t="shared" ca="1" si="9"/>
        <v/>
      </c>
      <c r="Y508" s="25"/>
      <c r="Z508" s="25"/>
    </row>
    <row r="509" spans="22:26" s="24" customFormat="1">
      <c r="V509" s="39" t="str">
        <f t="shared" ca="1" si="9"/>
        <v/>
      </c>
      <c r="Y509" s="25"/>
      <c r="Z509" s="25"/>
    </row>
    <row r="510" spans="22:26" s="24" customFormat="1">
      <c r="V510" s="39" t="str">
        <f t="shared" ca="1" si="9"/>
        <v/>
      </c>
      <c r="Y510" s="25"/>
      <c r="Z510" s="25"/>
    </row>
    <row r="511" spans="22:26" s="24" customFormat="1">
      <c r="V511" s="39" t="str">
        <f t="shared" ca="1" si="9"/>
        <v/>
      </c>
      <c r="Y511" s="25"/>
      <c r="Z511" s="25"/>
    </row>
    <row r="512" spans="22:26" s="24" customFormat="1">
      <c r="V512" s="39" t="str">
        <f t="shared" ca="1" si="9"/>
        <v/>
      </c>
      <c r="Y512" s="25"/>
      <c r="Z512" s="25"/>
    </row>
    <row r="513" spans="22:26" s="24" customFormat="1">
      <c r="V513" s="39" t="str">
        <f t="shared" ca="1" si="9"/>
        <v/>
      </c>
      <c r="Y513" s="25"/>
      <c r="Z513" s="25"/>
    </row>
    <row r="514" spans="22:26" s="24" customFormat="1">
      <c r="V514" s="39" t="str">
        <f t="shared" ca="1" si="9"/>
        <v/>
      </c>
      <c r="Y514" s="25"/>
      <c r="Z514" s="25"/>
    </row>
    <row r="515" spans="22:26" s="24" customFormat="1">
      <c r="V515" s="39" t="str">
        <f t="shared" ca="1" si="9"/>
        <v/>
      </c>
      <c r="Y515" s="25"/>
      <c r="Z515" s="25"/>
    </row>
    <row r="516" spans="22:26" s="24" customFormat="1">
      <c r="V516" s="39" t="str">
        <f t="shared" ca="1" si="9"/>
        <v/>
      </c>
      <c r="Y516" s="25"/>
      <c r="Z516" s="25"/>
    </row>
    <row r="517" spans="22:26" s="24" customFormat="1">
      <c r="V517" s="39" t="str">
        <f t="shared" ca="1" si="9"/>
        <v/>
      </c>
      <c r="Y517" s="25"/>
      <c r="Z517" s="25"/>
    </row>
    <row r="518" spans="22:26" s="24" customFormat="1">
      <c r="V518" s="39" t="str">
        <f t="shared" ca="1" si="9"/>
        <v/>
      </c>
      <c r="Y518" s="25"/>
      <c r="Z518" s="25"/>
    </row>
    <row r="519" spans="22:26" s="24" customFormat="1">
      <c r="V519" s="39" t="str">
        <f t="shared" ca="1" si="9"/>
        <v/>
      </c>
      <c r="Y519" s="25"/>
      <c r="Z519" s="25"/>
    </row>
    <row r="520" spans="22:26" s="24" customFormat="1">
      <c r="V520" s="39" t="str">
        <f t="shared" ca="1" si="9"/>
        <v/>
      </c>
      <c r="Y520" s="25"/>
      <c r="Z520" s="25"/>
    </row>
    <row r="521" spans="22:26" s="24" customFormat="1">
      <c r="V521" s="39" t="str">
        <f t="shared" ca="1" si="9"/>
        <v/>
      </c>
      <c r="Y521" s="25"/>
      <c r="Z521" s="25"/>
    </row>
    <row r="522" spans="22:26" s="24" customFormat="1">
      <c r="V522" s="39" t="str">
        <f t="shared" ca="1" si="9"/>
        <v/>
      </c>
      <c r="Y522" s="25"/>
      <c r="Z522" s="25"/>
    </row>
    <row r="523" spans="22:26" s="24" customFormat="1">
      <c r="V523" s="39" t="str">
        <f t="shared" ca="1" si="9"/>
        <v/>
      </c>
      <c r="Y523" s="25"/>
      <c r="Z523" s="25"/>
    </row>
    <row r="524" spans="22:26" s="24" customFormat="1">
      <c r="V524" s="39" t="str">
        <f t="shared" ca="1" si="9"/>
        <v/>
      </c>
      <c r="Y524" s="25"/>
      <c r="Z524" s="25"/>
    </row>
    <row r="525" spans="22:26" s="24" customFormat="1">
      <c r="V525" s="39" t="str">
        <f t="shared" ca="1" si="9"/>
        <v/>
      </c>
      <c r="Y525" s="25"/>
      <c r="Z525" s="25"/>
    </row>
    <row r="526" spans="22:26" s="24" customFormat="1">
      <c r="V526" s="39" t="str">
        <f t="shared" ca="1" si="9"/>
        <v/>
      </c>
      <c r="Y526" s="25"/>
      <c r="Z526" s="25"/>
    </row>
    <row r="527" spans="22:26" s="24" customFormat="1">
      <c r="V527" s="39" t="str">
        <f t="shared" ca="1" si="9"/>
        <v/>
      </c>
      <c r="Y527" s="25"/>
      <c r="Z527" s="25"/>
    </row>
    <row r="528" spans="22:26" s="24" customFormat="1">
      <c r="V528" s="39" t="str">
        <f t="shared" ca="1" si="9"/>
        <v/>
      </c>
      <c r="Y528" s="25"/>
      <c r="Z528" s="25"/>
    </row>
    <row r="529" spans="22:26" s="24" customFormat="1">
      <c r="V529" s="39" t="str">
        <f t="shared" ca="1" si="9"/>
        <v/>
      </c>
      <c r="Y529" s="25"/>
      <c r="Z529" s="25"/>
    </row>
    <row r="530" spans="22:26" s="24" customFormat="1">
      <c r="V530" s="39" t="str">
        <f t="shared" ca="1" si="9"/>
        <v/>
      </c>
      <c r="Y530" s="25"/>
      <c r="Z530" s="25"/>
    </row>
    <row r="531" spans="22:26" s="24" customFormat="1">
      <c r="V531" s="39" t="str">
        <f t="shared" ca="1" si="9"/>
        <v/>
      </c>
      <c r="Y531" s="25"/>
      <c r="Z531" s="25"/>
    </row>
    <row r="532" spans="22:26" s="24" customFormat="1">
      <c r="V532" s="39" t="str">
        <f t="shared" ca="1" si="9"/>
        <v/>
      </c>
      <c r="Y532" s="25"/>
      <c r="Z532" s="25"/>
    </row>
    <row r="533" spans="22:26" s="24" customFormat="1">
      <c r="V533" s="39" t="str">
        <f t="shared" ca="1" si="9"/>
        <v/>
      </c>
      <c r="Y533" s="25"/>
      <c r="Z533" s="25"/>
    </row>
    <row r="534" spans="22:26" s="24" customFormat="1">
      <c r="V534" s="39" t="str">
        <f t="shared" ca="1" si="9"/>
        <v/>
      </c>
      <c r="Y534" s="25"/>
      <c r="Z534" s="25"/>
    </row>
    <row r="535" spans="22:26" s="24" customFormat="1">
      <c r="V535" s="39" t="str">
        <f t="shared" ca="1" si="9"/>
        <v/>
      </c>
      <c r="Y535" s="25"/>
      <c r="Z535" s="25"/>
    </row>
    <row r="536" spans="22:26" s="24" customFormat="1">
      <c r="V536" s="39" t="str">
        <f t="shared" ca="1" si="9"/>
        <v/>
      </c>
      <c r="Y536" s="25"/>
      <c r="Z536" s="25"/>
    </row>
    <row r="537" spans="22:26" s="24" customFormat="1">
      <c r="V537" s="39" t="str">
        <f t="shared" ca="1" si="9"/>
        <v/>
      </c>
      <c r="Y537" s="25"/>
      <c r="Z537" s="25"/>
    </row>
    <row r="538" spans="22:26" s="24" customFormat="1">
      <c r="V538" s="39" t="str">
        <f t="shared" ca="1" si="9"/>
        <v/>
      </c>
      <c r="Y538" s="25"/>
      <c r="Z538" s="25"/>
    </row>
    <row r="539" spans="22:26" s="24" customFormat="1">
      <c r="V539" s="39" t="str">
        <f t="shared" ca="1" si="9"/>
        <v/>
      </c>
      <c r="Y539" s="25"/>
      <c r="Z539" s="25"/>
    </row>
    <row r="540" spans="22:26" s="24" customFormat="1">
      <c r="V540" s="39" t="str">
        <f t="shared" ca="1" si="9"/>
        <v/>
      </c>
      <c r="Y540" s="25"/>
      <c r="Z540" s="25"/>
    </row>
    <row r="541" spans="22:26" s="24" customFormat="1">
      <c r="V541" s="39" t="str">
        <f t="shared" ca="1" si="9"/>
        <v/>
      </c>
      <c r="Y541" s="25"/>
      <c r="Z541" s="25"/>
    </row>
    <row r="542" spans="22:26" s="24" customFormat="1">
      <c r="V542" s="39" t="str">
        <f t="shared" ca="1" si="9"/>
        <v/>
      </c>
      <c r="Y542" s="25"/>
      <c r="Z542" s="25"/>
    </row>
    <row r="543" spans="22:26" s="24" customFormat="1">
      <c r="V543" s="39" t="str">
        <f t="shared" ca="1" si="9"/>
        <v/>
      </c>
      <c r="Y543" s="25"/>
      <c r="Z543" s="25"/>
    </row>
    <row r="544" spans="22:26" s="24" customFormat="1">
      <c r="V544" s="39" t="str">
        <f t="shared" ca="1" si="9"/>
        <v/>
      </c>
      <c r="Y544" s="25"/>
      <c r="Z544" s="25"/>
    </row>
    <row r="545" spans="22:26" s="24" customFormat="1">
      <c r="V545" s="39" t="str">
        <f t="shared" ca="1" si="9"/>
        <v/>
      </c>
      <c r="Y545" s="25"/>
      <c r="Z545" s="25"/>
    </row>
    <row r="546" spans="22:26" s="24" customFormat="1">
      <c r="V546" s="39" t="str">
        <f t="shared" ca="1" si="9"/>
        <v/>
      </c>
      <c r="Y546" s="25"/>
      <c r="Z546" s="25"/>
    </row>
    <row r="547" spans="22:26" s="24" customFormat="1">
      <c r="V547" s="39" t="str">
        <f t="shared" ca="1" si="9"/>
        <v/>
      </c>
      <c r="Y547" s="25"/>
      <c r="Z547" s="25"/>
    </row>
    <row r="548" spans="22:26" s="24" customFormat="1">
      <c r="V548" s="39" t="str">
        <f t="shared" ca="1" si="9"/>
        <v/>
      </c>
      <c r="Y548" s="25"/>
      <c r="Z548" s="25"/>
    </row>
    <row r="549" spans="22:26" s="24" customFormat="1">
      <c r="V549" s="39" t="str">
        <f t="shared" ca="1" si="9"/>
        <v/>
      </c>
      <c r="Y549" s="25"/>
      <c r="Z549" s="25"/>
    </row>
    <row r="550" spans="22:26" s="24" customFormat="1">
      <c r="V550" s="39" t="str">
        <f t="shared" ca="1" si="9"/>
        <v/>
      </c>
      <c r="Y550" s="25"/>
      <c r="Z550" s="25"/>
    </row>
    <row r="551" spans="22:26" s="24" customFormat="1">
      <c r="V551" s="39" t="str">
        <f t="shared" ca="1" si="9"/>
        <v/>
      </c>
      <c r="Y551" s="25"/>
      <c r="Z551" s="25"/>
    </row>
    <row r="552" spans="22:26" s="24" customFormat="1">
      <c r="V552" s="39" t="str">
        <f t="shared" ca="1" si="9"/>
        <v/>
      </c>
      <c r="Y552" s="25"/>
      <c r="Z552" s="25"/>
    </row>
    <row r="553" spans="22:26" s="24" customFormat="1">
      <c r="V553" s="39" t="str">
        <f t="shared" ca="1" si="9"/>
        <v/>
      </c>
      <c r="Y553" s="25"/>
      <c r="Z553" s="25"/>
    </row>
    <row r="554" spans="22:26" s="24" customFormat="1">
      <c r="V554" s="39" t="str">
        <f t="shared" ca="1" si="9"/>
        <v/>
      </c>
      <c r="Y554" s="25"/>
      <c r="Z554" s="25"/>
    </row>
    <row r="555" spans="22:26" s="24" customFormat="1">
      <c r="V555" s="39" t="str">
        <f t="shared" ca="1" si="9"/>
        <v/>
      </c>
      <c r="Y555" s="25"/>
      <c r="Z555" s="25"/>
    </row>
    <row r="556" spans="22:26" s="24" customFormat="1">
      <c r="V556" s="39" t="str">
        <f t="shared" ref="V556:V619" ca="1" si="10">IF(B557="","",WORKDAY(TODAY(),IF(OR(I557="PH",I557="PHOD"),0,1),feriadosBCS))</f>
        <v/>
      </c>
      <c r="Y556" s="25"/>
      <c r="Z556" s="25"/>
    </row>
    <row r="557" spans="22:26" s="24" customFormat="1">
      <c r="V557" s="39" t="str">
        <f t="shared" ca="1" si="10"/>
        <v/>
      </c>
      <c r="Y557" s="25"/>
      <c r="Z557" s="25"/>
    </row>
    <row r="558" spans="22:26" s="24" customFormat="1">
      <c r="V558" s="39" t="str">
        <f t="shared" ca="1" si="10"/>
        <v/>
      </c>
      <c r="Y558" s="25"/>
      <c r="Z558" s="25"/>
    </row>
    <row r="559" spans="22:26" s="24" customFormat="1">
      <c r="V559" s="39" t="str">
        <f t="shared" ca="1" si="10"/>
        <v/>
      </c>
      <c r="Y559" s="25"/>
      <c r="Z559" s="25"/>
    </row>
    <row r="560" spans="22:26" s="24" customFormat="1">
      <c r="V560" s="39" t="str">
        <f t="shared" ca="1" si="10"/>
        <v/>
      </c>
      <c r="Y560" s="25"/>
      <c r="Z560" s="25"/>
    </row>
    <row r="561" spans="22:26" s="24" customFormat="1">
      <c r="V561" s="39" t="str">
        <f t="shared" ca="1" si="10"/>
        <v/>
      </c>
      <c r="Y561" s="25"/>
      <c r="Z561" s="25"/>
    </row>
    <row r="562" spans="22:26" s="24" customFormat="1">
      <c r="V562" s="39" t="str">
        <f t="shared" ca="1" si="10"/>
        <v/>
      </c>
      <c r="Y562" s="25"/>
      <c r="Z562" s="25"/>
    </row>
    <row r="563" spans="22:26" s="24" customFormat="1">
      <c r="V563" s="39" t="str">
        <f t="shared" ca="1" si="10"/>
        <v/>
      </c>
      <c r="Y563" s="25"/>
      <c r="Z563" s="25"/>
    </row>
    <row r="564" spans="22:26" s="24" customFormat="1">
      <c r="V564" s="39" t="str">
        <f t="shared" ca="1" si="10"/>
        <v/>
      </c>
      <c r="Y564" s="25"/>
      <c r="Z564" s="25"/>
    </row>
    <row r="565" spans="22:26" s="24" customFormat="1">
      <c r="V565" s="39" t="str">
        <f t="shared" ca="1" si="10"/>
        <v/>
      </c>
      <c r="Y565" s="25"/>
      <c r="Z565" s="25"/>
    </row>
    <row r="566" spans="22:26" s="24" customFormat="1">
      <c r="V566" s="39" t="str">
        <f t="shared" ca="1" si="10"/>
        <v/>
      </c>
      <c r="Y566" s="25"/>
      <c r="Z566" s="25"/>
    </row>
    <row r="567" spans="22:26" s="24" customFormat="1">
      <c r="V567" s="39" t="str">
        <f t="shared" ca="1" si="10"/>
        <v/>
      </c>
      <c r="Y567" s="25"/>
      <c r="Z567" s="25"/>
    </row>
    <row r="568" spans="22:26" s="24" customFormat="1">
      <c r="V568" s="39" t="str">
        <f t="shared" ca="1" si="10"/>
        <v/>
      </c>
      <c r="Y568" s="25"/>
      <c r="Z568" s="25"/>
    </row>
    <row r="569" spans="22:26" s="24" customFormat="1">
      <c r="V569" s="39" t="str">
        <f t="shared" ca="1" si="10"/>
        <v/>
      </c>
      <c r="Y569" s="25"/>
      <c r="Z569" s="25"/>
    </row>
    <row r="570" spans="22:26" s="24" customFormat="1">
      <c r="V570" s="39" t="str">
        <f t="shared" ca="1" si="10"/>
        <v/>
      </c>
      <c r="Y570" s="25"/>
      <c r="Z570" s="25"/>
    </row>
    <row r="571" spans="22:26" s="24" customFormat="1">
      <c r="V571" s="39" t="str">
        <f t="shared" ca="1" si="10"/>
        <v/>
      </c>
      <c r="Y571" s="25"/>
      <c r="Z571" s="25"/>
    </row>
    <row r="572" spans="22:26" s="24" customFormat="1">
      <c r="V572" s="39" t="str">
        <f t="shared" ca="1" si="10"/>
        <v/>
      </c>
      <c r="Y572" s="25"/>
      <c r="Z572" s="25"/>
    </row>
    <row r="573" spans="22:26" s="24" customFormat="1">
      <c r="V573" s="39" t="str">
        <f t="shared" ca="1" si="10"/>
        <v/>
      </c>
      <c r="Y573" s="25"/>
      <c r="Z573" s="25"/>
    </row>
    <row r="574" spans="22:26" s="24" customFormat="1">
      <c r="V574" s="39" t="str">
        <f t="shared" ca="1" si="10"/>
        <v/>
      </c>
      <c r="Y574" s="25"/>
      <c r="Z574" s="25"/>
    </row>
    <row r="575" spans="22:26" s="24" customFormat="1">
      <c r="V575" s="39" t="str">
        <f t="shared" ca="1" si="10"/>
        <v/>
      </c>
      <c r="Y575" s="25"/>
      <c r="Z575" s="25"/>
    </row>
    <row r="576" spans="22:26" s="24" customFormat="1">
      <c r="V576" s="39" t="str">
        <f t="shared" ca="1" si="10"/>
        <v/>
      </c>
      <c r="Y576" s="25"/>
      <c r="Z576" s="25"/>
    </row>
    <row r="577" spans="22:26" s="24" customFormat="1">
      <c r="V577" s="39" t="str">
        <f t="shared" ca="1" si="10"/>
        <v/>
      </c>
      <c r="Y577" s="25"/>
      <c r="Z577" s="25"/>
    </row>
    <row r="578" spans="22:26" s="24" customFormat="1">
      <c r="V578" s="39" t="str">
        <f t="shared" ca="1" si="10"/>
        <v/>
      </c>
      <c r="Y578" s="25"/>
      <c r="Z578" s="25"/>
    </row>
    <row r="579" spans="22:26" s="24" customFormat="1">
      <c r="V579" s="39" t="str">
        <f t="shared" ca="1" si="10"/>
        <v/>
      </c>
      <c r="Y579" s="25"/>
      <c r="Z579" s="25"/>
    </row>
    <row r="580" spans="22:26" s="24" customFormat="1">
      <c r="V580" s="39" t="str">
        <f t="shared" ca="1" si="10"/>
        <v/>
      </c>
      <c r="Y580" s="25"/>
      <c r="Z580" s="25"/>
    </row>
    <row r="581" spans="22:26" s="24" customFormat="1">
      <c r="V581" s="39" t="str">
        <f t="shared" ca="1" si="10"/>
        <v/>
      </c>
      <c r="Y581" s="25"/>
      <c r="Z581" s="25"/>
    </row>
    <row r="582" spans="22:26" s="24" customFormat="1">
      <c r="V582" s="39" t="str">
        <f t="shared" ca="1" si="10"/>
        <v/>
      </c>
      <c r="Y582" s="25"/>
      <c r="Z582" s="25"/>
    </row>
    <row r="583" spans="22:26" s="24" customFormat="1">
      <c r="V583" s="39" t="str">
        <f t="shared" ca="1" si="10"/>
        <v/>
      </c>
      <c r="Y583" s="25"/>
      <c r="Z583" s="25"/>
    </row>
    <row r="584" spans="22:26" s="24" customFormat="1">
      <c r="V584" s="39" t="str">
        <f t="shared" ca="1" si="10"/>
        <v/>
      </c>
      <c r="Y584" s="25"/>
      <c r="Z584" s="25"/>
    </row>
    <row r="585" spans="22:26" s="24" customFormat="1">
      <c r="V585" s="39" t="str">
        <f t="shared" ca="1" si="10"/>
        <v/>
      </c>
      <c r="Y585" s="25"/>
      <c r="Z585" s="25"/>
    </row>
    <row r="586" spans="22:26" s="24" customFormat="1">
      <c r="V586" s="39" t="str">
        <f t="shared" ca="1" si="10"/>
        <v/>
      </c>
      <c r="Y586" s="25"/>
      <c r="Z586" s="25"/>
    </row>
    <row r="587" spans="22:26" s="24" customFormat="1">
      <c r="V587" s="39" t="str">
        <f t="shared" ca="1" si="10"/>
        <v/>
      </c>
      <c r="Y587" s="25"/>
      <c r="Z587" s="25"/>
    </row>
    <row r="588" spans="22:26" s="24" customFormat="1">
      <c r="V588" s="39" t="str">
        <f t="shared" ca="1" si="10"/>
        <v/>
      </c>
      <c r="Y588" s="25"/>
      <c r="Z588" s="25"/>
    </row>
    <row r="589" spans="22:26" s="24" customFormat="1">
      <c r="V589" s="39" t="str">
        <f t="shared" ca="1" si="10"/>
        <v/>
      </c>
      <c r="Y589" s="25"/>
      <c r="Z589" s="25"/>
    </row>
    <row r="590" spans="22:26" s="24" customFormat="1">
      <c r="V590" s="39" t="str">
        <f t="shared" ca="1" si="10"/>
        <v/>
      </c>
      <c r="Y590" s="25"/>
      <c r="Z590" s="25"/>
    </row>
    <row r="591" spans="22:26" s="24" customFormat="1">
      <c r="V591" s="39" t="str">
        <f t="shared" ca="1" si="10"/>
        <v/>
      </c>
      <c r="Y591" s="25"/>
      <c r="Z591" s="25"/>
    </row>
    <row r="592" spans="22:26" s="24" customFormat="1">
      <c r="V592" s="39" t="str">
        <f t="shared" ca="1" si="10"/>
        <v/>
      </c>
      <c r="Y592" s="25"/>
      <c r="Z592" s="25"/>
    </row>
    <row r="593" spans="22:26" s="24" customFormat="1">
      <c r="V593" s="39" t="str">
        <f t="shared" ca="1" si="10"/>
        <v/>
      </c>
      <c r="Y593" s="25"/>
      <c r="Z593" s="25"/>
    </row>
    <row r="594" spans="22:26" s="24" customFormat="1">
      <c r="V594" s="39" t="str">
        <f t="shared" ca="1" si="10"/>
        <v/>
      </c>
      <c r="Y594" s="25"/>
      <c r="Z594" s="25"/>
    </row>
    <row r="595" spans="22:26" s="24" customFormat="1">
      <c r="V595" s="39" t="str">
        <f t="shared" ca="1" si="10"/>
        <v/>
      </c>
      <c r="Y595" s="25"/>
      <c r="Z595" s="25"/>
    </row>
    <row r="596" spans="22:26" s="24" customFormat="1">
      <c r="V596" s="39" t="str">
        <f t="shared" ca="1" si="10"/>
        <v/>
      </c>
      <c r="Y596" s="25"/>
      <c r="Z596" s="25"/>
    </row>
    <row r="597" spans="22:26" s="24" customFormat="1">
      <c r="V597" s="39" t="str">
        <f t="shared" ca="1" si="10"/>
        <v/>
      </c>
      <c r="Y597" s="25"/>
      <c r="Z597" s="25"/>
    </row>
    <row r="598" spans="22:26" s="24" customFormat="1">
      <c r="V598" s="39" t="str">
        <f t="shared" ca="1" si="10"/>
        <v/>
      </c>
      <c r="Y598" s="25"/>
      <c r="Z598" s="25"/>
    </row>
    <row r="599" spans="22:26" s="24" customFormat="1">
      <c r="V599" s="39" t="str">
        <f t="shared" ca="1" si="10"/>
        <v/>
      </c>
      <c r="Y599" s="25"/>
      <c r="Z599" s="25"/>
    </row>
    <row r="600" spans="22:26" s="24" customFormat="1">
      <c r="V600" s="39" t="str">
        <f t="shared" ca="1" si="10"/>
        <v/>
      </c>
      <c r="Y600" s="25"/>
      <c r="Z600" s="25"/>
    </row>
    <row r="601" spans="22:26" s="24" customFormat="1">
      <c r="V601" s="39" t="str">
        <f t="shared" ca="1" si="10"/>
        <v/>
      </c>
      <c r="Y601" s="25"/>
      <c r="Z601" s="25"/>
    </row>
    <row r="602" spans="22:26" s="24" customFormat="1">
      <c r="V602" s="39" t="str">
        <f t="shared" ca="1" si="10"/>
        <v/>
      </c>
      <c r="Y602" s="25"/>
      <c r="Z602" s="25"/>
    </row>
    <row r="603" spans="22:26" s="24" customFormat="1">
      <c r="V603" s="39" t="str">
        <f t="shared" ca="1" si="10"/>
        <v/>
      </c>
      <c r="Y603" s="25"/>
      <c r="Z603" s="25"/>
    </row>
    <row r="604" spans="22:26" s="24" customFormat="1">
      <c r="V604" s="39" t="str">
        <f t="shared" ca="1" si="10"/>
        <v/>
      </c>
      <c r="Y604" s="25"/>
      <c r="Z604" s="25"/>
    </row>
    <row r="605" spans="22:26" s="24" customFormat="1">
      <c r="V605" s="39" t="str">
        <f t="shared" ca="1" si="10"/>
        <v/>
      </c>
      <c r="Y605" s="25"/>
      <c r="Z605" s="25"/>
    </row>
    <row r="606" spans="22:26" s="24" customFormat="1">
      <c r="V606" s="39" t="str">
        <f t="shared" ca="1" si="10"/>
        <v/>
      </c>
      <c r="Y606" s="25"/>
      <c r="Z606" s="25"/>
    </row>
    <row r="607" spans="22:26" s="24" customFormat="1">
      <c r="V607" s="39" t="str">
        <f t="shared" ca="1" si="10"/>
        <v/>
      </c>
      <c r="Y607" s="25"/>
      <c r="Z607" s="25"/>
    </row>
    <row r="608" spans="22:26" s="24" customFormat="1">
      <c r="V608" s="39" t="str">
        <f t="shared" ca="1" si="10"/>
        <v/>
      </c>
      <c r="Y608" s="25"/>
      <c r="Z608" s="25"/>
    </row>
    <row r="609" spans="22:26" s="24" customFormat="1">
      <c r="V609" s="39" t="str">
        <f t="shared" ca="1" si="10"/>
        <v/>
      </c>
      <c r="Y609" s="25"/>
      <c r="Z609" s="25"/>
    </row>
    <row r="610" spans="22:26" s="24" customFormat="1">
      <c r="V610" s="39" t="str">
        <f t="shared" ca="1" si="10"/>
        <v/>
      </c>
      <c r="Y610" s="25"/>
      <c r="Z610" s="25"/>
    </row>
    <row r="611" spans="22:26" s="24" customFormat="1">
      <c r="V611" s="39" t="str">
        <f t="shared" ca="1" si="10"/>
        <v/>
      </c>
      <c r="Y611" s="25"/>
      <c r="Z611" s="25"/>
    </row>
    <row r="612" spans="22:26" s="24" customFormat="1">
      <c r="V612" s="39" t="str">
        <f t="shared" ca="1" si="10"/>
        <v/>
      </c>
      <c r="Y612" s="25"/>
      <c r="Z612" s="25"/>
    </row>
    <row r="613" spans="22:26" s="24" customFormat="1">
      <c r="V613" s="39" t="str">
        <f t="shared" ca="1" si="10"/>
        <v/>
      </c>
      <c r="Y613" s="25"/>
      <c r="Z613" s="25"/>
    </row>
    <row r="614" spans="22:26" s="24" customFormat="1">
      <c r="V614" s="39" t="str">
        <f t="shared" ca="1" si="10"/>
        <v/>
      </c>
      <c r="Y614" s="25"/>
      <c r="Z614" s="25"/>
    </row>
    <row r="615" spans="22:26" s="24" customFormat="1">
      <c r="V615" s="39" t="str">
        <f t="shared" ca="1" si="10"/>
        <v/>
      </c>
      <c r="Y615" s="25"/>
      <c r="Z615" s="25"/>
    </row>
    <row r="616" spans="22:26" s="24" customFormat="1">
      <c r="V616" s="39" t="str">
        <f t="shared" ca="1" si="10"/>
        <v/>
      </c>
      <c r="Y616" s="25"/>
      <c r="Z616" s="25"/>
    </row>
    <row r="617" spans="22:26" s="24" customFormat="1">
      <c r="V617" s="39" t="str">
        <f t="shared" ca="1" si="10"/>
        <v/>
      </c>
      <c r="Y617" s="25"/>
      <c r="Z617" s="25"/>
    </row>
    <row r="618" spans="22:26" s="24" customFormat="1">
      <c r="V618" s="39" t="str">
        <f t="shared" ca="1" si="10"/>
        <v/>
      </c>
      <c r="Y618" s="25"/>
      <c r="Z618" s="25"/>
    </row>
    <row r="619" spans="22:26" s="24" customFormat="1">
      <c r="V619" s="39" t="str">
        <f t="shared" ca="1" si="10"/>
        <v/>
      </c>
      <c r="Y619" s="25"/>
      <c r="Z619" s="25"/>
    </row>
    <row r="620" spans="22:26" s="24" customFormat="1">
      <c r="V620" s="39" t="str">
        <f t="shared" ref="V620:V683" ca="1" si="11">IF(B621="","",WORKDAY(TODAY(),IF(OR(I621="PH",I621="PHOD"),0,1),feriadosBCS))</f>
        <v/>
      </c>
      <c r="Y620" s="25"/>
      <c r="Z620" s="25"/>
    </row>
    <row r="621" spans="22:26" s="24" customFormat="1">
      <c r="V621" s="39" t="str">
        <f t="shared" ca="1" si="11"/>
        <v/>
      </c>
      <c r="Y621" s="25"/>
      <c r="Z621" s="25"/>
    </row>
    <row r="622" spans="22:26" s="24" customFormat="1">
      <c r="V622" s="39" t="str">
        <f t="shared" ca="1" si="11"/>
        <v/>
      </c>
      <c r="Y622" s="25"/>
      <c r="Z622" s="25"/>
    </row>
    <row r="623" spans="22:26" s="24" customFormat="1">
      <c r="V623" s="39" t="str">
        <f t="shared" ca="1" si="11"/>
        <v/>
      </c>
      <c r="Y623" s="25"/>
      <c r="Z623" s="25"/>
    </row>
    <row r="624" spans="22:26" s="24" customFormat="1">
      <c r="V624" s="39" t="str">
        <f t="shared" ca="1" si="11"/>
        <v/>
      </c>
      <c r="Y624" s="25"/>
      <c r="Z624" s="25"/>
    </row>
    <row r="625" spans="22:26" s="24" customFormat="1">
      <c r="V625" s="39" t="str">
        <f t="shared" ca="1" si="11"/>
        <v/>
      </c>
      <c r="Y625" s="25"/>
      <c r="Z625" s="25"/>
    </row>
    <row r="626" spans="22:26" s="24" customFormat="1">
      <c r="V626" s="39" t="str">
        <f t="shared" ca="1" si="11"/>
        <v/>
      </c>
      <c r="Y626" s="25"/>
      <c r="Z626" s="25"/>
    </row>
    <row r="627" spans="22:26" s="24" customFormat="1">
      <c r="V627" s="39" t="str">
        <f t="shared" ca="1" si="11"/>
        <v/>
      </c>
      <c r="Y627" s="25"/>
      <c r="Z627" s="25"/>
    </row>
    <row r="628" spans="22:26" s="24" customFormat="1">
      <c r="V628" s="39" t="str">
        <f t="shared" ca="1" si="11"/>
        <v/>
      </c>
      <c r="Y628" s="25"/>
      <c r="Z628" s="25"/>
    </row>
    <row r="629" spans="22:26" s="24" customFormat="1">
      <c r="V629" s="39" t="str">
        <f t="shared" ca="1" si="11"/>
        <v/>
      </c>
      <c r="Y629" s="25"/>
      <c r="Z629" s="25"/>
    </row>
    <row r="630" spans="22:26" s="24" customFormat="1">
      <c r="V630" s="39" t="str">
        <f t="shared" ca="1" si="11"/>
        <v/>
      </c>
      <c r="Y630" s="25"/>
      <c r="Z630" s="25"/>
    </row>
    <row r="631" spans="22:26" s="24" customFormat="1">
      <c r="V631" s="39" t="str">
        <f t="shared" ca="1" si="11"/>
        <v/>
      </c>
      <c r="Y631" s="25"/>
      <c r="Z631" s="25"/>
    </row>
    <row r="632" spans="22:26" s="24" customFormat="1">
      <c r="V632" s="39" t="str">
        <f t="shared" ca="1" si="11"/>
        <v/>
      </c>
      <c r="Y632" s="25"/>
      <c r="Z632" s="25"/>
    </row>
    <row r="633" spans="22:26" s="24" customFormat="1">
      <c r="V633" s="39" t="str">
        <f t="shared" ca="1" si="11"/>
        <v/>
      </c>
      <c r="Y633" s="25"/>
      <c r="Z633" s="25"/>
    </row>
    <row r="634" spans="22:26" s="24" customFormat="1">
      <c r="V634" s="39" t="str">
        <f t="shared" ca="1" si="11"/>
        <v/>
      </c>
      <c r="Y634" s="25"/>
      <c r="Z634" s="25"/>
    </row>
    <row r="635" spans="22:26" s="24" customFormat="1">
      <c r="V635" s="39" t="str">
        <f t="shared" ca="1" si="11"/>
        <v/>
      </c>
      <c r="Y635" s="25"/>
      <c r="Z635" s="25"/>
    </row>
    <row r="636" spans="22:26" s="24" customFormat="1">
      <c r="V636" s="39" t="str">
        <f t="shared" ca="1" si="11"/>
        <v/>
      </c>
      <c r="Y636" s="25"/>
      <c r="Z636" s="25"/>
    </row>
    <row r="637" spans="22:26" s="24" customFormat="1">
      <c r="V637" s="39" t="str">
        <f t="shared" ca="1" si="11"/>
        <v/>
      </c>
      <c r="Y637" s="25"/>
      <c r="Z637" s="25"/>
    </row>
    <row r="638" spans="22:26" s="24" customFormat="1">
      <c r="V638" s="39" t="str">
        <f t="shared" ca="1" si="11"/>
        <v/>
      </c>
      <c r="Y638" s="25"/>
      <c r="Z638" s="25"/>
    </row>
    <row r="639" spans="22:26" s="24" customFormat="1">
      <c r="V639" s="39" t="str">
        <f t="shared" ca="1" si="11"/>
        <v/>
      </c>
      <c r="Y639" s="25"/>
      <c r="Z639" s="25"/>
    </row>
    <row r="640" spans="22:26" s="24" customFormat="1">
      <c r="V640" s="39" t="str">
        <f t="shared" ca="1" si="11"/>
        <v/>
      </c>
      <c r="Y640" s="25"/>
      <c r="Z640" s="25"/>
    </row>
    <row r="641" spans="22:26" s="24" customFormat="1">
      <c r="V641" s="39" t="str">
        <f t="shared" ca="1" si="11"/>
        <v/>
      </c>
      <c r="Y641" s="25"/>
      <c r="Z641" s="25"/>
    </row>
    <row r="642" spans="22:26" s="24" customFormat="1">
      <c r="V642" s="39" t="str">
        <f t="shared" ca="1" si="11"/>
        <v/>
      </c>
      <c r="Y642" s="25"/>
      <c r="Z642" s="25"/>
    </row>
    <row r="643" spans="22:26" s="24" customFormat="1">
      <c r="V643" s="39" t="str">
        <f t="shared" ca="1" si="11"/>
        <v/>
      </c>
      <c r="Y643" s="25"/>
      <c r="Z643" s="25"/>
    </row>
    <row r="644" spans="22:26" s="24" customFormat="1">
      <c r="V644" s="39" t="str">
        <f t="shared" ca="1" si="11"/>
        <v/>
      </c>
      <c r="Y644" s="25"/>
      <c r="Z644" s="25"/>
    </row>
    <row r="645" spans="22:26" s="24" customFormat="1">
      <c r="V645" s="39" t="str">
        <f t="shared" ca="1" si="11"/>
        <v/>
      </c>
      <c r="Y645" s="25"/>
      <c r="Z645" s="25"/>
    </row>
    <row r="646" spans="22:26" s="24" customFormat="1">
      <c r="V646" s="39" t="str">
        <f t="shared" ca="1" si="11"/>
        <v/>
      </c>
      <c r="Y646" s="25"/>
      <c r="Z646" s="25"/>
    </row>
    <row r="647" spans="22:26" s="24" customFormat="1">
      <c r="V647" s="39" t="str">
        <f t="shared" ca="1" si="11"/>
        <v/>
      </c>
      <c r="Y647" s="25"/>
      <c r="Z647" s="25"/>
    </row>
    <row r="648" spans="22:26" s="24" customFormat="1">
      <c r="V648" s="39" t="str">
        <f t="shared" ca="1" si="11"/>
        <v/>
      </c>
      <c r="Y648" s="25"/>
      <c r="Z648" s="25"/>
    </row>
    <row r="649" spans="22:26" s="24" customFormat="1">
      <c r="V649" s="39" t="str">
        <f t="shared" ca="1" si="11"/>
        <v/>
      </c>
      <c r="Y649" s="25"/>
      <c r="Z649" s="25"/>
    </row>
    <row r="650" spans="22:26" s="24" customFormat="1">
      <c r="V650" s="39" t="str">
        <f t="shared" ca="1" si="11"/>
        <v/>
      </c>
      <c r="Y650" s="25"/>
      <c r="Z650" s="25"/>
    </row>
    <row r="651" spans="22:26" s="24" customFormat="1">
      <c r="V651" s="39" t="str">
        <f t="shared" ca="1" si="11"/>
        <v/>
      </c>
      <c r="Y651" s="25"/>
      <c r="Z651" s="25"/>
    </row>
    <row r="652" spans="22:26" s="24" customFormat="1">
      <c r="V652" s="39" t="str">
        <f t="shared" ca="1" si="11"/>
        <v/>
      </c>
      <c r="Y652" s="25"/>
      <c r="Z652" s="25"/>
    </row>
    <row r="653" spans="22:26" s="24" customFormat="1">
      <c r="V653" s="39" t="str">
        <f t="shared" ca="1" si="11"/>
        <v/>
      </c>
      <c r="Y653" s="25"/>
      <c r="Z653" s="25"/>
    </row>
    <row r="654" spans="22:26" s="24" customFormat="1">
      <c r="V654" s="39" t="str">
        <f t="shared" ca="1" si="11"/>
        <v/>
      </c>
      <c r="Y654" s="25"/>
      <c r="Z654" s="25"/>
    </row>
    <row r="655" spans="22:26" s="24" customFormat="1">
      <c r="V655" s="39" t="str">
        <f t="shared" ca="1" si="11"/>
        <v/>
      </c>
      <c r="Y655" s="25"/>
      <c r="Z655" s="25"/>
    </row>
    <row r="656" spans="22:26" s="24" customFormat="1">
      <c r="V656" s="39" t="str">
        <f t="shared" ca="1" si="11"/>
        <v/>
      </c>
      <c r="Y656" s="25"/>
      <c r="Z656" s="25"/>
    </row>
    <row r="657" spans="22:26" s="24" customFormat="1">
      <c r="V657" s="39" t="str">
        <f t="shared" ca="1" si="11"/>
        <v/>
      </c>
      <c r="Y657" s="25"/>
      <c r="Z657" s="25"/>
    </row>
    <row r="658" spans="22:26" s="24" customFormat="1">
      <c r="V658" s="39" t="str">
        <f t="shared" ca="1" si="11"/>
        <v/>
      </c>
      <c r="Y658" s="25"/>
      <c r="Z658" s="25"/>
    </row>
    <row r="659" spans="22:26" s="24" customFormat="1">
      <c r="V659" s="39" t="str">
        <f t="shared" ca="1" si="11"/>
        <v/>
      </c>
      <c r="Y659" s="25"/>
      <c r="Z659" s="25"/>
    </row>
    <row r="660" spans="22:26" s="24" customFormat="1">
      <c r="V660" s="39" t="str">
        <f t="shared" ca="1" si="11"/>
        <v/>
      </c>
      <c r="Y660" s="25"/>
      <c r="Z660" s="25"/>
    </row>
    <row r="661" spans="22:26" s="24" customFormat="1">
      <c r="V661" s="39" t="str">
        <f t="shared" ca="1" si="11"/>
        <v/>
      </c>
      <c r="Y661" s="25"/>
      <c r="Z661" s="25"/>
    </row>
    <row r="662" spans="22:26" s="24" customFormat="1">
      <c r="V662" s="39" t="str">
        <f t="shared" ca="1" si="11"/>
        <v/>
      </c>
      <c r="Y662" s="25"/>
      <c r="Z662" s="25"/>
    </row>
    <row r="663" spans="22:26" s="24" customFormat="1">
      <c r="V663" s="39" t="str">
        <f t="shared" ca="1" si="11"/>
        <v/>
      </c>
      <c r="Y663" s="25"/>
      <c r="Z663" s="25"/>
    </row>
    <row r="664" spans="22:26" s="24" customFormat="1">
      <c r="V664" s="39" t="str">
        <f t="shared" ca="1" si="11"/>
        <v/>
      </c>
      <c r="Y664" s="25"/>
      <c r="Z664" s="25"/>
    </row>
    <row r="665" spans="22:26" s="24" customFormat="1">
      <c r="V665" s="39" t="str">
        <f t="shared" ca="1" si="11"/>
        <v/>
      </c>
      <c r="Y665" s="25"/>
      <c r="Z665" s="25"/>
    </row>
    <row r="666" spans="22:26" s="24" customFormat="1">
      <c r="V666" s="39" t="str">
        <f t="shared" ca="1" si="11"/>
        <v/>
      </c>
      <c r="Y666" s="25"/>
      <c r="Z666" s="25"/>
    </row>
    <row r="667" spans="22:26" s="24" customFormat="1">
      <c r="V667" s="39" t="str">
        <f t="shared" ca="1" si="11"/>
        <v/>
      </c>
      <c r="Y667" s="25"/>
      <c r="Z667" s="25"/>
    </row>
    <row r="668" spans="22:26" s="24" customFormat="1">
      <c r="V668" s="39" t="str">
        <f t="shared" ca="1" si="11"/>
        <v/>
      </c>
      <c r="Y668" s="25"/>
      <c r="Z668" s="25"/>
    </row>
    <row r="669" spans="22:26" s="24" customFormat="1">
      <c r="V669" s="39" t="str">
        <f t="shared" ca="1" si="11"/>
        <v/>
      </c>
      <c r="Y669" s="25"/>
      <c r="Z669" s="25"/>
    </row>
    <row r="670" spans="22:26" s="24" customFormat="1">
      <c r="V670" s="39" t="str">
        <f t="shared" ca="1" si="11"/>
        <v/>
      </c>
      <c r="Y670" s="25"/>
      <c r="Z670" s="25"/>
    </row>
    <row r="671" spans="22:26" s="24" customFormat="1">
      <c r="V671" s="39" t="str">
        <f t="shared" ca="1" si="11"/>
        <v/>
      </c>
      <c r="Y671" s="25"/>
      <c r="Z671" s="25"/>
    </row>
    <row r="672" spans="22:26" s="24" customFormat="1">
      <c r="V672" s="39" t="str">
        <f t="shared" ca="1" si="11"/>
        <v/>
      </c>
      <c r="Y672" s="25"/>
      <c r="Z672" s="25"/>
    </row>
    <row r="673" spans="22:26" s="24" customFormat="1">
      <c r="V673" s="39" t="str">
        <f t="shared" ca="1" si="11"/>
        <v/>
      </c>
      <c r="Y673" s="25"/>
      <c r="Z673" s="25"/>
    </row>
    <row r="674" spans="22:26" s="24" customFormat="1">
      <c r="V674" s="39" t="str">
        <f t="shared" ca="1" si="11"/>
        <v/>
      </c>
      <c r="Y674" s="25"/>
      <c r="Z674" s="25"/>
    </row>
    <row r="675" spans="22:26" s="24" customFormat="1">
      <c r="V675" s="39" t="str">
        <f t="shared" ca="1" si="11"/>
        <v/>
      </c>
      <c r="Y675" s="25"/>
      <c r="Z675" s="25"/>
    </row>
    <row r="676" spans="22:26" s="24" customFormat="1">
      <c r="V676" s="39" t="str">
        <f t="shared" ca="1" si="11"/>
        <v/>
      </c>
      <c r="Y676" s="25"/>
      <c r="Z676" s="25"/>
    </row>
    <row r="677" spans="22:26" s="24" customFormat="1">
      <c r="V677" s="39" t="str">
        <f t="shared" ca="1" si="11"/>
        <v/>
      </c>
      <c r="Y677" s="25"/>
      <c r="Z677" s="25"/>
    </row>
    <row r="678" spans="22:26" s="24" customFormat="1">
      <c r="V678" s="39" t="str">
        <f t="shared" ca="1" si="11"/>
        <v/>
      </c>
      <c r="Y678" s="25"/>
      <c r="Z678" s="25"/>
    </row>
    <row r="679" spans="22:26" s="24" customFormat="1">
      <c r="V679" s="39" t="str">
        <f t="shared" ca="1" si="11"/>
        <v/>
      </c>
      <c r="Y679" s="25"/>
      <c r="Z679" s="25"/>
    </row>
    <row r="680" spans="22:26" s="24" customFormat="1">
      <c r="V680" s="39" t="str">
        <f t="shared" ca="1" si="11"/>
        <v/>
      </c>
      <c r="Y680" s="25"/>
      <c r="Z680" s="25"/>
    </row>
    <row r="681" spans="22:26" s="24" customFormat="1">
      <c r="V681" s="39" t="str">
        <f t="shared" ca="1" si="11"/>
        <v/>
      </c>
      <c r="Y681" s="25"/>
      <c r="Z681" s="25"/>
    </row>
    <row r="682" spans="22:26" s="24" customFormat="1">
      <c r="V682" s="39" t="str">
        <f t="shared" ca="1" si="11"/>
        <v/>
      </c>
      <c r="Y682" s="25"/>
      <c r="Z682" s="25"/>
    </row>
    <row r="683" spans="22:26" s="24" customFormat="1">
      <c r="V683" s="39" t="str">
        <f t="shared" ca="1" si="11"/>
        <v/>
      </c>
      <c r="Y683" s="25"/>
      <c r="Z683" s="25"/>
    </row>
    <row r="684" spans="22:26" s="24" customFormat="1">
      <c r="V684" s="39" t="str">
        <f t="shared" ref="V684:V747" ca="1" si="12">IF(B685="","",WORKDAY(TODAY(),IF(OR(I685="PH",I685="PHOD"),0,1),feriadosBCS))</f>
        <v/>
      </c>
      <c r="Y684" s="25"/>
      <c r="Z684" s="25"/>
    </row>
    <row r="685" spans="22:26" s="24" customFormat="1">
      <c r="V685" s="39" t="str">
        <f t="shared" ca="1" si="12"/>
        <v/>
      </c>
      <c r="Y685" s="25"/>
      <c r="Z685" s="25"/>
    </row>
    <row r="686" spans="22:26" s="24" customFormat="1">
      <c r="V686" s="39" t="str">
        <f t="shared" ca="1" si="12"/>
        <v/>
      </c>
      <c r="Y686" s="25"/>
      <c r="Z686" s="25"/>
    </row>
    <row r="687" spans="22:26" s="24" customFormat="1">
      <c r="V687" s="39" t="str">
        <f t="shared" ca="1" si="12"/>
        <v/>
      </c>
      <c r="Y687" s="25"/>
      <c r="Z687" s="25"/>
    </row>
    <row r="688" spans="22:26" s="24" customFormat="1">
      <c r="V688" s="39" t="str">
        <f t="shared" ca="1" si="12"/>
        <v/>
      </c>
      <c r="Y688" s="25"/>
      <c r="Z688" s="25"/>
    </row>
    <row r="689" spans="22:26" s="24" customFormat="1">
      <c r="V689" s="39" t="str">
        <f t="shared" ca="1" si="12"/>
        <v/>
      </c>
      <c r="Y689" s="25"/>
      <c r="Z689" s="25"/>
    </row>
    <row r="690" spans="22:26" s="24" customFormat="1">
      <c r="V690" s="39" t="str">
        <f t="shared" ca="1" si="12"/>
        <v/>
      </c>
      <c r="Y690" s="25"/>
      <c r="Z690" s="25"/>
    </row>
    <row r="691" spans="22:26" s="24" customFormat="1">
      <c r="V691" s="39" t="str">
        <f t="shared" ca="1" si="12"/>
        <v/>
      </c>
      <c r="Y691" s="25"/>
      <c r="Z691" s="25"/>
    </row>
    <row r="692" spans="22:26" s="24" customFormat="1">
      <c r="V692" s="39" t="str">
        <f t="shared" ca="1" si="12"/>
        <v/>
      </c>
      <c r="Y692" s="25"/>
      <c r="Z692" s="25"/>
    </row>
    <row r="693" spans="22:26" s="24" customFormat="1">
      <c r="V693" s="39" t="str">
        <f t="shared" ca="1" si="12"/>
        <v/>
      </c>
      <c r="Y693" s="25"/>
      <c r="Z693" s="25"/>
    </row>
    <row r="694" spans="22:26" s="24" customFormat="1">
      <c r="V694" s="39" t="str">
        <f t="shared" ca="1" si="12"/>
        <v/>
      </c>
      <c r="Y694" s="25"/>
      <c r="Z694" s="25"/>
    </row>
    <row r="695" spans="22:26" s="24" customFormat="1">
      <c r="V695" s="39" t="str">
        <f t="shared" ca="1" si="12"/>
        <v/>
      </c>
      <c r="Y695" s="25"/>
      <c r="Z695" s="25"/>
    </row>
    <row r="696" spans="22:26" s="24" customFormat="1">
      <c r="V696" s="39" t="str">
        <f t="shared" ca="1" si="12"/>
        <v/>
      </c>
      <c r="Y696" s="25"/>
      <c r="Z696" s="25"/>
    </row>
    <row r="697" spans="22:26" s="24" customFormat="1">
      <c r="V697" s="39" t="str">
        <f t="shared" ca="1" si="12"/>
        <v/>
      </c>
      <c r="Y697" s="25"/>
      <c r="Z697" s="25"/>
    </row>
    <row r="698" spans="22:26" s="24" customFormat="1">
      <c r="V698" s="39" t="str">
        <f t="shared" ca="1" si="12"/>
        <v/>
      </c>
      <c r="Y698" s="25"/>
      <c r="Z698" s="25"/>
    </row>
    <row r="699" spans="22:26" s="24" customFormat="1">
      <c r="V699" s="39" t="str">
        <f t="shared" ca="1" si="12"/>
        <v/>
      </c>
      <c r="Y699" s="25"/>
      <c r="Z699" s="25"/>
    </row>
    <row r="700" spans="22:26" s="24" customFormat="1">
      <c r="V700" s="39" t="str">
        <f t="shared" ca="1" si="12"/>
        <v/>
      </c>
      <c r="Y700" s="25"/>
      <c r="Z700" s="25"/>
    </row>
    <row r="701" spans="22:26" s="24" customFormat="1">
      <c r="V701" s="39" t="str">
        <f t="shared" ca="1" si="12"/>
        <v/>
      </c>
      <c r="Y701" s="25"/>
      <c r="Z701" s="25"/>
    </row>
    <row r="702" spans="22:26" s="24" customFormat="1">
      <c r="V702" s="39" t="str">
        <f t="shared" ca="1" si="12"/>
        <v/>
      </c>
      <c r="Y702" s="25"/>
      <c r="Z702" s="25"/>
    </row>
    <row r="703" spans="22:26" s="24" customFormat="1">
      <c r="V703" s="39" t="str">
        <f t="shared" ca="1" si="12"/>
        <v/>
      </c>
      <c r="Y703" s="25"/>
      <c r="Z703" s="25"/>
    </row>
    <row r="704" spans="22:26" s="24" customFormat="1">
      <c r="V704" s="39" t="str">
        <f t="shared" ca="1" si="12"/>
        <v/>
      </c>
      <c r="Y704" s="25"/>
      <c r="Z704" s="25"/>
    </row>
    <row r="705" spans="22:26" s="24" customFormat="1">
      <c r="V705" s="39" t="str">
        <f t="shared" ca="1" si="12"/>
        <v/>
      </c>
      <c r="Y705" s="25"/>
      <c r="Z705" s="25"/>
    </row>
    <row r="706" spans="22:26" s="24" customFormat="1">
      <c r="V706" s="39" t="str">
        <f t="shared" ca="1" si="12"/>
        <v/>
      </c>
      <c r="Y706" s="25"/>
      <c r="Z706" s="25"/>
    </row>
    <row r="707" spans="22:26" s="24" customFormat="1">
      <c r="V707" s="39" t="str">
        <f t="shared" ca="1" si="12"/>
        <v/>
      </c>
      <c r="Y707" s="25"/>
      <c r="Z707" s="25"/>
    </row>
    <row r="708" spans="22:26" s="24" customFormat="1">
      <c r="V708" s="39" t="str">
        <f t="shared" ca="1" si="12"/>
        <v/>
      </c>
      <c r="Y708" s="25"/>
      <c r="Z708" s="25"/>
    </row>
    <row r="709" spans="22:26" s="24" customFormat="1">
      <c r="V709" s="39" t="str">
        <f t="shared" ca="1" si="12"/>
        <v/>
      </c>
      <c r="Y709" s="25"/>
      <c r="Z709" s="25"/>
    </row>
    <row r="710" spans="22:26" s="24" customFormat="1">
      <c r="V710" s="39" t="str">
        <f t="shared" ca="1" si="12"/>
        <v/>
      </c>
      <c r="Y710" s="25"/>
      <c r="Z710" s="25"/>
    </row>
    <row r="711" spans="22:26" s="24" customFormat="1">
      <c r="V711" s="39" t="str">
        <f t="shared" ca="1" si="12"/>
        <v/>
      </c>
      <c r="Y711" s="25"/>
      <c r="Z711" s="25"/>
    </row>
    <row r="712" spans="22:26" s="24" customFormat="1">
      <c r="V712" s="39" t="str">
        <f t="shared" ca="1" si="12"/>
        <v/>
      </c>
      <c r="Y712" s="25"/>
      <c r="Z712" s="25"/>
    </row>
    <row r="713" spans="22:26" s="24" customFormat="1">
      <c r="V713" s="39" t="str">
        <f t="shared" ca="1" si="12"/>
        <v/>
      </c>
      <c r="Y713" s="25"/>
      <c r="Z713" s="25"/>
    </row>
    <row r="714" spans="22:26" s="24" customFormat="1">
      <c r="V714" s="39" t="str">
        <f t="shared" ca="1" si="12"/>
        <v/>
      </c>
      <c r="Y714" s="25"/>
      <c r="Z714" s="25"/>
    </row>
    <row r="715" spans="22:26" s="24" customFormat="1">
      <c r="V715" s="39" t="str">
        <f t="shared" ca="1" si="12"/>
        <v/>
      </c>
      <c r="Y715" s="25"/>
      <c r="Z715" s="25"/>
    </row>
    <row r="716" spans="22:26" s="24" customFormat="1">
      <c r="V716" s="39" t="str">
        <f t="shared" ca="1" si="12"/>
        <v/>
      </c>
      <c r="Y716" s="25"/>
      <c r="Z716" s="25"/>
    </row>
    <row r="717" spans="22:26" s="24" customFormat="1">
      <c r="V717" s="39" t="str">
        <f t="shared" ca="1" si="12"/>
        <v/>
      </c>
      <c r="Y717" s="25"/>
      <c r="Z717" s="25"/>
    </row>
    <row r="718" spans="22:26" s="24" customFormat="1">
      <c r="V718" s="39" t="str">
        <f t="shared" ca="1" si="12"/>
        <v/>
      </c>
      <c r="Y718" s="25"/>
      <c r="Z718" s="25"/>
    </row>
    <row r="719" spans="22:26" s="24" customFormat="1">
      <c r="V719" s="39" t="str">
        <f t="shared" ca="1" si="12"/>
        <v/>
      </c>
      <c r="Y719" s="25"/>
      <c r="Z719" s="25"/>
    </row>
    <row r="720" spans="22:26" s="24" customFormat="1">
      <c r="V720" s="39" t="str">
        <f t="shared" ca="1" si="12"/>
        <v/>
      </c>
      <c r="Y720" s="25"/>
      <c r="Z720" s="25"/>
    </row>
    <row r="721" spans="22:26" s="24" customFormat="1">
      <c r="V721" s="39" t="str">
        <f t="shared" ca="1" si="12"/>
        <v/>
      </c>
      <c r="Y721" s="25"/>
      <c r="Z721" s="25"/>
    </row>
    <row r="722" spans="22:26" s="24" customFormat="1">
      <c r="V722" s="39" t="str">
        <f t="shared" ca="1" si="12"/>
        <v/>
      </c>
      <c r="Y722" s="25"/>
      <c r="Z722" s="25"/>
    </row>
    <row r="723" spans="22:26" s="24" customFormat="1">
      <c r="V723" s="39" t="str">
        <f t="shared" ca="1" si="12"/>
        <v/>
      </c>
      <c r="Y723" s="25"/>
      <c r="Z723" s="25"/>
    </row>
    <row r="724" spans="22:26" s="24" customFormat="1">
      <c r="V724" s="39" t="str">
        <f t="shared" ca="1" si="12"/>
        <v/>
      </c>
      <c r="Y724" s="25"/>
      <c r="Z724" s="25"/>
    </row>
    <row r="725" spans="22:26" s="24" customFormat="1">
      <c r="V725" s="39" t="str">
        <f t="shared" ca="1" si="12"/>
        <v/>
      </c>
      <c r="Y725" s="25"/>
      <c r="Z725" s="25"/>
    </row>
    <row r="726" spans="22:26" s="24" customFormat="1">
      <c r="V726" s="39" t="str">
        <f t="shared" ca="1" si="12"/>
        <v/>
      </c>
      <c r="Y726" s="25"/>
      <c r="Z726" s="25"/>
    </row>
    <row r="727" spans="22:26" s="24" customFormat="1">
      <c r="V727" s="39" t="str">
        <f t="shared" ca="1" si="12"/>
        <v/>
      </c>
      <c r="Y727" s="25"/>
      <c r="Z727" s="25"/>
    </row>
    <row r="728" spans="22:26" s="24" customFormat="1">
      <c r="V728" s="39" t="str">
        <f t="shared" ca="1" si="12"/>
        <v/>
      </c>
      <c r="Y728" s="25"/>
      <c r="Z728" s="25"/>
    </row>
    <row r="729" spans="22:26" s="24" customFormat="1">
      <c r="V729" s="39" t="str">
        <f t="shared" ca="1" si="12"/>
        <v/>
      </c>
      <c r="Y729" s="25"/>
      <c r="Z729" s="25"/>
    </row>
    <row r="730" spans="22:26" s="24" customFormat="1">
      <c r="V730" s="39" t="str">
        <f t="shared" ca="1" si="12"/>
        <v/>
      </c>
      <c r="Y730" s="25"/>
      <c r="Z730" s="25"/>
    </row>
    <row r="731" spans="22:26" s="24" customFormat="1">
      <c r="V731" s="39" t="str">
        <f t="shared" ca="1" si="12"/>
        <v/>
      </c>
      <c r="Y731" s="25"/>
      <c r="Z731" s="25"/>
    </row>
    <row r="732" spans="22:26" s="24" customFormat="1">
      <c r="V732" s="39" t="str">
        <f t="shared" ca="1" si="12"/>
        <v/>
      </c>
      <c r="Y732" s="25"/>
      <c r="Z732" s="25"/>
    </row>
    <row r="733" spans="22:26" s="24" customFormat="1">
      <c r="V733" s="39" t="str">
        <f t="shared" ca="1" si="12"/>
        <v/>
      </c>
      <c r="Y733" s="25"/>
      <c r="Z733" s="25"/>
    </row>
    <row r="734" spans="22:26" s="24" customFormat="1">
      <c r="V734" s="39" t="str">
        <f t="shared" ca="1" si="12"/>
        <v/>
      </c>
      <c r="Y734" s="25"/>
      <c r="Z734" s="25"/>
    </row>
    <row r="735" spans="22:26" s="24" customFormat="1">
      <c r="V735" s="39" t="str">
        <f t="shared" ca="1" si="12"/>
        <v/>
      </c>
      <c r="Y735" s="25"/>
      <c r="Z735" s="25"/>
    </row>
    <row r="736" spans="22:26" s="24" customFormat="1">
      <c r="V736" s="39" t="str">
        <f t="shared" ca="1" si="12"/>
        <v/>
      </c>
      <c r="Y736" s="25"/>
      <c r="Z736" s="25"/>
    </row>
    <row r="737" spans="22:26" s="24" customFormat="1">
      <c r="V737" s="39" t="str">
        <f t="shared" ca="1" si="12"/>
        <v/>
      </c>
      <c r="Y737" s="25"/>
      <c r="Z737" s="25"/>
    </row>
    <row r="738" spans="22:26" s="24" customFormat="1">
      <c r="V738" s="39" t="str">
        <f t="shared" ca="1" si="12"/>
        <v/>
      </c>
      <c r="Y738" s="25"/>
      <c r="Z738" s="25"/>
    </row>
    <row r="739" spans="22:26" s="24" customFormat="1">
      <c r="V739" s="39" t="str">
        <f t="shared" ca="1" si="12"/>
        <v/>
      </c>
      <c r="Y739" s="25"/>
      <c r="Z739" s="25"/>
    </row>
    <row r="740" spans="22:26" s="24" customFormat="1">
      <c r="V740" s="39" t="str">
        <f t="shared" ca="1" si="12"/>
        <v/>
      </c>
      <c r="Y740" s="25"/>
      <c r="Z740" s="25"/>
    </row>
    <row r="741" spans="22:26" s="24" customFormat="1">
      <c r="V741" s="39" t="str">
        <f t="shared" ca="1" si="12"/>
        <v/>
      </c>
      <c r="Y741" s="25"/>
      <c r="Z741" s="25"/>
    </row>
    <row r="742" spans="22:26" s="24" customFormat="1">
      <c r="V742" s="39" t="str">
        <f t="shared" ca="1" si="12"/>
        <v/>
      </c>
      <c r="Y742" s="25"/>
      <c r="Z742" s="25"/>
    </row>
    <row r="743" spans="22:26" s="24" customFormat="1">
      <c r="V743" s="39" t="str">
        <f t="shared" ca="1" si="12"/>
        <v/>
      </c>
      <c r="Y743" s="25"/>
      <c r="Z743" s="25"/>
    </row>
    <row r="744" spans="22:26" s="24" customFormat="1">
      <c r="V744" s="39" t="str">
        <f t="shared" ca="1" si="12"/>
        <v/>
      </c>
      <c r="Y744" s="25"/>
      <c r="Z744" s="25"/>
    </row>
    <row r="745" spans="22:26" s="24" customFormat="1">
      <c r="V745" s="39" t="str">
        <f t="shared" ca="1" si="12"/>
        <v/>
      </c>
      <c r="Y745" s="25"/>
      <c r="Z745" s="25"/>
    </row>
    <row r="746" spans="22:26" s="24" customFormat="1">
      <c r="V746" s="39" t="str">
        <f t="shared" ca="1" si="12"/>
        <v/>
      </c>
      <c r="Y746" s="25"/>
      <c r="Z746" s="25"/>
    </row>
    <row r="747" spans="22:26" s="24" customFormat="1">
      <c r="V747" s="39" t="str">
        <f t="shared" ca="1" si="12"/>
        <v/>
      </c>
      <c r="Y747" s="25"/>
      <c r="Z747" s="25"/>
    </row>
    <row r="748" spans="22:26" s="24" customFormat="1">
      <c r="V748" s="39" t="str">
        <f t="shared" ref="V748:V811" ca="1" si="13">IF(B749="","",WORKDAY(TODAY(),IF(OR(I749="PH",I749="PHOD"),0,1),feriadosBCS))</f>
        <v/>
      </c>
      <c r="Y748" s="25"/>
      <c r="Z748" s="25"/>
    </row>
    <row r="749" spans="22:26" s="24" customFormat="1">
      <c r="V749" s="39" t="str">
        <f t="shared" ca="1" si="13"/>
        <v/>
      </c>
      <c r="Y749" s="25"/>
      <c r="Z749" s="25"/>
    </row>
    <row r="750" spans="22:26" s="24" customFormat="1">
      <c r="V750" s="39" t="str">
        <f t="shared" ca="1" si="13"/>
        <v/>
      </c>
      <c r="Y750" s="25"/>
      <c r="Z750" s="25"/>
    </row>
    <row r="751" spans="22:26" s="24" customFormat="1">
      <c r="V751" s="39" t="str">
        <f t="shared" ca="1" si="13"/>
        <v/>
      </c>
      <c r="Y751" s="25"/>
      <c r="Z751" s="25"/>
    </row>
    <row r="752" spans="22:26" s="24" customFormat="1">
      <c r="V752" s="39" t="str">
        <f t="shared" ca="1" si="13"/>
        <v/>
      </c>
      <c r="Y752" s="25"/>
      <c r="Z752" s="25"/>
    </row>
    <row r="753" spans="22:26" s="24" customFormat="1">
      <c r="V753" s="39" t="str">
        <f t="shared" ca="1" si="13"/>
        <v/>
      </c>
      <c r="Y753" s="25"/>
      <c r="Z753" s="25"/>
    </row>
    <row r="754" spans="22:26" s="24" customFormat="1">
      <c r="V754" s="39" t="str">
        <f t="shared" ca="1" si="13"/>
        <v/>
      </c>
      <c r="Y754" s="25"/>
      <c r="Z754" s="25"/>
    </row>
    <row r="755" spans="22:26" s="24" customFormat="1">
      <c r="V755" s="39" t="str">
        <f t="shared" ca="1" si="13"/>
        <v/>
      </c>
      <c r="Y755" s="25"/>
      <c r="Z755" s="25"/>
    </row>
    <row r="756" spans="22:26" s="24" customFormat="1">
      <c r="V756" s="39" t="str">
        <f t="shared" ca="1" si="13"/>
        <v/>
      </c>
      <c r="Y756" s="25"/>
      <c r="Z756" s="25"/>
    </row>
    <row r="757" spans="22:26" s="24" customFormat="1">
      <c r="V757" s="39" t="str">
        <f t="shared" ca="1" si="13"/>
        <v/>
      </c>
      <c r="Y757" s="25"/>
      <c r="Z757" s="25"/>
    </row>
    <row r="758" spans="22:26" s="24" customFormat="1">
      <c r="V758" s="39" t="str">
        <f t="shared" ca="1" si="13"/>
        <v/>
      </c>
      <c r="Y758" s="25"/>
      <c r="Z758" s="25"/>
    </row>
    <row r="759" spans="22:26" s="24" customFormat="1">
      <c r="V759" s="39" t="str">
        <f t="shared" ca="1" si="13"/>
        <v/>
      </c>
      <c r="Y759" s="25"/>
      <c r="Z759" s="25"/>
    </row>
    <row r="760" spans="22:26" s="24" customFormat="1">
      <c r="V760" s="39" t="str">
        <f t="shared" ca="1" si="13"/>
        <v/>
      </c>
      <c r="Y760" s="25"/>
      <c r="Z760" s="25"/>
    </row>
    <row r="761" spans="22:26" s="24" customFormat="1">
      <c r="V761" s="39" t="str">
        <f t="shared" ca="1" si="13"/>
        <v/>
      </c>
      <c r="Y761" s="25"/>
      <c r="Z761" s="25"/>
    </row>
    <row r="762" spans="22:26" s="24" customFormat="1">
      <c r="V762" s="39" t="str">
        <f t="shared" ca="1" si="13"/>
        <v/>
      </c>
      <c r="Y762" s="25"/>
      <c r="Z762" s="25"/>
    </row>
    <row r="763" spans="22:26" s="24" customFormat="1">
      <c r="V763" s="39" t="str">
        <f t="shared" ca="1" si="13"/>
        <v/>
      </c>
      <c r="Y763" s="25"/>
      <c r="Z763" s="25"/>
    </row>
    <row r="764" spans="22:26" s="24" customFormat="1">
      <c r="V764" s="39" t="str">
        <f t="shared" ca="1" si="13"/>
        <v/>
      </c>
      <c r="Y764" s="25"/>
      <c r="Z764" s="25"/>
    </row>
    <row r="765" spans="22:26" s="24" customFormat="1">
      <c r="V765" s="39" t="str">
        <f t="shared" ca="1" si="13"/>
        <v/>
      </c>
      <c r="Y765" s="25"/>
      <c r="Z765" s="25"/>
    </row>
    <row r="766" spans="22:26" s="24" customFormat="1">
      <c r="V766" s="39" t="str">
        <f t="shared" ca="1" si="13"/>
        <v/>
      </c>
      <c r="Y766" s="25"/>
      <c r="Z766" s="25"/>
    </row>
    <row r="767" spans="22:26" s="24" customFormat="1">
      <c r="V767" s="39" t="str">
        <f t="shared" ca="1" si="13"/>
        <v/>
      </c>
      <c r="Y767" s="25"/>
      <c r="Z767" s="25"/>
    </row>
    <row r="768" spans="22:26" s="24" customFormat="1">
      <c r="V768" s="39" t="str">
        <f t="shared" ca="1" si="13"/>
        <v/>
      </c>
      <c r="Y768" s="25"/>
      <c r="Z768" s="25"/>
    </row>
    <row r="769" spans="22:26" s="24" customFormat="1">
      <c r="V769" s="39" t="str">
        <f t="shared" ca="1" si="13"/>
        <v/>
      </c>
      <c r="Y769" s="25"/>
      <c r="Z769" s="25"/>
    </row>
    <row r="770" spans="22:26" s="24" customFormat="1">
      <c r="V770" s="39" t="str">
        <f t="shared" ca="1" si="13"/>
        <v/>
      </c>
      <c r="Y770" s="25"/>
      <c r="Z770" s="25"/>
    </row>
    <row r="771" spans="22:26" s="24" customFormat="1">
      <c r="V771" s="39" t="str">
        <f t="shared" ca="1" si="13"/>
        <v/>
      </c>
      <c r="Y771" s="25"/>
      <c r="Z771" s="25"/>
    </row>
    <row r="772" spans="22:26" s="24" customFormat="1">
      <c r="V772" s="39" t="str">
        <f t="shared" ca="1" si="13"/>
        <v/>
      </c>
      <c r="Y772" s="25"/>
      <c r="Z772" s="25"/>
    </row>
    <row r="773" spans="22:26" s="24" customFormat="1">
      <c r="V773" s="39" t="str">
        <f t="shared" ca="1" si="13"/>
        <v/>
      </c>
      <c r="Y773" s="25"/>
      <c r="Z773" s="25"/>
    </row>
    <row r="774" spans="22:26" s="24" customFormat="1">
      <c r="V774" s="39" t="str">
        <f t="shared" ca="1" si="13"/>
        <v/>
      </c>
      <c r="Y774" s="25"/>
      <c r="Z774" s="25"/>
    </row>
    <row r="775" spans="22:26" s="24" customFormat="1">
      <c r="V775" s="39" t="str">
        <f t="shared" ca="1" si="13"/>
        <v/>
      </c>
      <c r="Y775" s="25"/>
      <c r="Z775" s="25"/>
    </row>
    <row r="776" spans="22:26" s="24" customFormat="1">
      <c r="V776" s="39" t="str">
        <f t="shared" ca="1" si="13"/>
        <v/>
      </c>
      <c r="Y776" s="25"/>
      <c r="Z776" s="25"/>
    </row>
    <row r="777" spans="22:26" s="24" customFormat="1">
      <c r="V777" s="39" t="str">
        <f t="shared" ca="1" si="13"/>
        <v/>
      </c>
      <c r="Y777" s="25"/>
      <c r="Z777" s="25"/>
    </row>
    <row r="778" spans="22:26" s="24" customFormat="1">
      <c r="V778" s="39" t="str">
        <f t="shared" ca="1" si="13"/>
        <v/>
      </c>
      <c r="Y778" s="25"/>
      <c r="Z778" s="25"/>
    </row>
    <row r="779" spans="22:26" s="24" customFormat="1">
      <c r="V779" s="39" t="str">
        <f t="shared" ca="1" si="13"/>
        <v/>
      </c>
      <c r="Y779" s="25"/>
      <c r="Z779" s="25"/>
    </row>
    <row r="780" spans="22:26" s="24" customFormat="1">
      <c r="V780" s="39" t="str">
        <f t="shared" ca="1" si="13"/>
        <v/>
      </c>
      <c r="Y780" s="25"/>
      <c r="Z780" s="25"/>
    </row>
    <row r="781" spans="22:26" s="24" customFormat="1">
      <c r="V781" s="39" t="str">
        <f t="shared" ca="1" si="13"/>
        <v/>
      </c>
      <c r="Y781" s="25"/>
      <c r="Z781" s="25"/>
    </row>
    <row r="782" spans="22:26" s="24" customFormat="1">
      <c r="V782" s="39" t="str">
        <f t="shared" ca="1" si="13"/>
        <v/>
      </c>
      <c r="Y782" s="25"/>
      <c r="Z782" s="25"/>
    </row>
    <row r="783" spans="22:26" s="24" customFormat="1">
      <c r="V783" s="39" t="str">
        <f t="shared" ca="1" si="13"/>
        <v/>
      </c>
      <c r="Y783" s="25"/>
      <c r="Z783" s="25"/>
    </row>
    <row r="784" spans="22:26" s="24" customFormat="1">
      <c r="V784" s="39" t="str">
        <f t="shared" ca="1" si="13"/>
        <v/>
      </c>
      <c r="Y784" s="25"/>
      <c r="Z784" s="25"/>
    </row>
    <row r="785" spans="22:26" s="24" customFormat="1">
      <c r="V785" s="39" t="str">
        <f t="shared" ca="1" si="13"/>
        <v/>
      </c>
      <c r="Y785" s="25"/>
      <c r="Z785" s="25"/>
    </row>
    <row r="786" spans="22:26" s="24" customFormat="1">
      <c r="V786" s="39" t="str">
        <f t="shared" ca="1" si="13"/>
        <v/>
      </c>
      <c r="Y786" s="25"/>
      <c r="Z786" s="25"/>
    </row>
    <row r="787" spans="22:26" s="24" customFormat="1">
      <c r="V787" s="39" t="str">
        <f t="shared" ca="1" si="13"/>
        <v/>
      </c>
      <c r="Y787" s="25"/>
      <c r="Z787" s="25"/>
    </row>
    <row r="788" spans="22:26" s="24" customFormat="1">
      <c r="V788" s="39" t="str">
        <f t="shared" ca="1" si="13"/>
        <v/>
      </c>
      <c r="Y788" s="25"/>
      <c r="Z788" s="25"/>
    </row>
    <row r="789" spans="22:26" s="24" customFormat="1">
      <c r="V789" s="39" t="str">
        <f t="shared" ca="1" si="13"/>
        <v/>
      </c>
      <c r="Y789" s="25"/>
      <c r="Z789" s="25"/>
    </row>
    <row r="790" spans="22:26" s="24" customFormat="1">
      <c r="V790" s="39" t="str">
        <f t="shared" ca="1" si="13"/>
        <v/>
      </c>
      <c r="Y790" s="25"/>
      <c r="Z790" s="25"/>
    </row>
    <row r="791" spans="22:26" s="24" customFormat="1">
      <c r="V791" s="39" t="str">
        <f t="shared" ca="1" si="13"/>
        <v/>
      </c>
      <c r="Y791" s="25"/>
      <c r="Z791" s="25"/>
    </row>
    <row r="792" spans="22:26" s="24" customFormat="1">
      <c r="V792" s="39" t="str">
        <f t="shared" ca="1" si="13"/>
        <v/>
      </c>
      <c r="Y792" s="25"/>
      <c r="Z792" s="25"/>
    </row>
    <row r="793" spans="22:26" s="24" customFormat="1">
      <c r="V793" s="39" t="str">
        <f t="shared" ca="1" si="13"/>
        <v/>
      </c>
      <c r="Y793" s="25"/>
      <c r="Z793" s="25"/>
    </row>
    <row r="794" spans="22:26" s="24" customFormat="1">
      <c r="V794" s="39" t="str">
        <f t="shared" ca="1" si="13"/>
        <v/>
      </c>
      <c r="Y794" s="25"/>
      <c r="Z794" s="25"/>
    </row>
    <row r="795" spans="22:26" s="24" customFormat="1">
      <c r="V795" s="39" t="str">
        <f t="shared" ca="1" si="13"/>
        <v/>
      </c>
      <c r="Y795" s="25"/>
      <c r="Z795" s="25"/>
    </row>
    <row r="796" spans="22:26" s="24" customFormat="1">
      <c r="V796" s="39" t="str">
        <f t="shared" ca="1" si="13"/>
        <v/>
      </c>
      <c r="Y796" s="25"/>
      <c r="Z796" s="25"/>
    </row>
    <row r="797" spans="22:26" s="24" customFormat="1">
      <c r="V797" s="39" t="str">
        <f t="shared" ca="1" si="13"/>
        <v/>
      </c>
      <c r="Y797" s="25"/>
      <c r="Z797" s="25"/>
    </row>
    <row r="798" spans="22:26" s="24" customFormat="1">
      <c r="V798" s="39" t="str">
        <f t="shared" ca="1" si="13"/>
        <v/>
      </c>
      <c r="Y798" s="25"/>
      <c r="Z798" s="25"/>
    </row>
    <row r="799" spans="22:26" s="24" customFormat="1">
      <c r="V799" s="39" t="str">
        <f t="shared" ca="1" si="13"/>
        <v/>
      </c>
      <c r="Y799" s="25"/>
      <c r="Z799" s="25"/>
    </row>
    <row r="800" spans="22:26" s="24" customFormat="1">
      <c r="V800" s="39" t="str">
        <f t="shared" ca="1" si="13"/>
        <v/>
      </c>
      <c r="Y800" s="25"/>
      <c r="Z800" s="25"/>
    </row>
    <row r="801" spans="22:26" s="24" customFormat="1">
      <c r="V801" s="39" t="str">
        <f t="shared" ca="1" si="13"/>
        <v/>
      </c>
      <c r="Y801" s="25"/>
      <c r="Z801" s="25"/>
    </row>
    <row r="802" spans="22:26" s="24" customFormat="1">
      <c r="V802" s="39" t="str">
        <f t="shared" ca="1" si="13"/>
        <v/>
      </c>
      <c r="Y802" s="25"/>
      <c r="Z802" s="25"/>
    </row>
    <row r="803" spans="22:26" s="24" customFormat="1">
      <c r="V803" s="39" t="str">
        <f t="shared" ca="1" si="13"/>
        <v/>
      </c>
      <c r="Y803" s="25"/>
      <c r="Z803" s="25"/>
    </row>
    <row r="804" spans="22:26" s="24" customFormat="1">
      <c r="V804" s="39" t="str">
        <f t="shared" ca="1" si="13"/>
        <v/>
      </c>
      <c r="Y804" s="25"/>
      <c r="Z804" s="25"/>
    </row>
    <row r="805" spans="22:26" s="24" customFormat="1">
      <c r="V805" s="39" t="str">
        <f t="shared" ca="1" si="13"/>
        <v/>
      </c>
      <c r="Y805" s="25"/>
      <c r="Z805" s="25"/>
    </row>
    <row r="806" spans="22:26" s="24" customFormat="1">
      <c r="V806" s="39" t="str">
        <f t="shared" ca="1" si="13"/>
        <v/>
      </c>
      <c r="Y806" s="25"/>
      <c r="Z806" s="25"/>
    </row>
    <row r="807" spans="22:26" s="24" customFormat="1">
      <c r="V807" s="39" t="str">
        <f t="shared" ca="1" si="13"/>
        <v/>
      </c>
      <c r="Y807" s="25"/>
      <c r="Z807" s="25"/>
    </row>
    <row r="808" spans="22:26" s="24" customFormat="1">
      <c r="V808" s="39" t="str">
        <f t="shared" ca="1" si="13"/>
        <v/>
      </c>
      <c r="Y808" s="25"/>
      <c r="Z808" s="25"/>
    </row>
    <row r="809" spans="22:26" s="24" customFormat="1">
      <c r="V809" s="39" t="str">
        <f t="shared" ca="1" si="13"/>
        <v/>
      </c>
      <c r="Y809" s="25"/>
      <c r="Z809" s="25"/>
    </row>
    <row r="810" spans="22:26" s="24" customFormat="1">
      <c r="V810" s="39" t="str">
        <f t="shared" ca="1" si="13"/>
        <v/>
      </c>
      <c r="Y810" s="25"/>
      <c r="Z810" s="25"/>
    </row>
    <row r="811" spans="22:26" s="24" customFormat="1">
      <c r="V811" s="39" t="str">
        <f t="shared" ca="1" si="13"/>
        <v/>
      </c>
      <c r="Y811" s="25"/>
      <c r="Z811" s="25"/>
    </row>
    <row r="812" spans="22:26" s="24" customFormat="1">
      <c r="V812" s="39" t="str">
        <f t="shared" ref="V812:V875" ca="1" si="14">IF(B813="","",WORKDAY(TODAY(),IF(OR(I813="PH",I813="PHOD"),0,1),feriadosBCS))</f>
        <v/>
      </c>
      <c r="Y812" s="25"/>
      <c r="Z812" s="25"/>
    </row>
    <row r="813" spans="22:26" s="24" customFormat="1">
      <c r="V813" s="39" t="str">
        <f t="shared" ca="1" si="14"/>
        <v/>
      </c>
      <c r="Y813" s="25"/>
      <c r="Z813" s="25"/>
    </row>
    <row r="814" spans="22:26" s="24" customFormat="1">
      <c r="V814" s="39" t="str">
        <f t="shared" ca="1" si="14"/>
        <v/>
      </c>
      <c r="Y814" s="25"/>
      <c r="Z814" s="25"/>
    </row>
    <row r="815" spans="22:26" s="24" customFormat="1">
      <c r="V815" s="39" t="str">
        <f t="shared" ca="1" si="14"/>
        <v/>
      </c>
      <c r="Y815" s="25"/>
      <c r="Z815" s="25"/>
    </row>
    <row r="816" spans="22:26" s="24" customFormat="1">
      <c r="V816" s="39" t="str">
        <f t="shared" ca="1" si="14"/>
        <v/>
      </c>
      <c r="Y816" s="25"/>
      <c r="Z816" s="25"/>
    </row>
    <row r="817" spans="22:26" s="24" customFormat="1">
      <c r="V817" s="39" t="str">
        <f t="shared" ca="1" si="14"/>
        <v/>
      </c>
      <c r="Y817" s="25"/>
      <c r="Z817" s="25"/>
    </row>
    <row r="818" spans="22:26" s="24" customFormat="1">
      <c r="V818" s="39" t="str">
        <f t="shared" ca="1" si="14"/>
        <v/>
      </c>
      <c r="Y818" s="25"/>
      <c r="Z818" s="25"/>
    </row>
    <row r="819" spans="22:26" s="24" customFormat="1">
      <c r="V819" s="39" t="str">
        <f t="shared" ca="1" si="14"/>
        <v/>
      </c>
      <c r="Y819" s="25"/>
      <c r="Z819" s="25"/>
    </row>
    <row r="820" spans="22:26" s="24" customFormat="1">
      <c r="V820" s="39" t="str">
        <f t="shared" ca="1" si="14"/>
        <v/>
      </c>
      <c r="Y820" s="25"/>
      <c r="Z820" s="25"/>
    </row>
    <row r="821" spans="22:26" s="24" customFormat="1">
      <c r="V821" s="39" t="str">
        <f t="shared" ca="1" si="14"/>
        <v/>
      </c>
      <c r="Y821" s="25"/>
      <c r="Z821" s="25"/>
    </row>
    <row r="822" spans="22:26" s="24" customFormat="1">
      <c r="V822" s="39" t="str">
        <f t="shared" ca="1" si="14"/>
        <v/>
      </c>
      <c r="Y822" s="25"/>
      <c r="Z822" s="25"/>
    </row>
    <row r="823" spans="22:26" s="24" customFormat="1">
      <c r="V823" s="39" t="str">
        <f t="shared" ca="1" si="14"/>
        <v/>
      </c>
      <c r="Y823" s="25"/>
      <c r="Z823" s="25"/>
    </row>
    <row r="824" spans="22:26" s="24" customFormat="1">
      <c r="V824" s="39" t="str">
        <f t="shared" ca="1" si="14"/>
        <v/>
      </c>
      <c r="Y824" s="25"/>
      <c r="Z824" s="25"/>
    </row>
    <row r="825" spans="22:26" s="24" customFormat="1">
      <c r="V825" s="39" t="str">
        <f t="shared" ca="1" si="14"/>
        <v/>
      </c>
      <c r="Y825" s="25"/>
      <c r="Z825" s="25"/>
    </row>
    <row r="826" spans="22:26" s="24" customFormat="1">
      <c r="V826" s="39" t="str">
        <f t="shared" ca="1" si="14"/>
        <v/>
      </c>
      <c r="Y826" s="25"/>
      <c r="Z826" s="25"/>
    </row>
    <row r="827" spans="22:26" s="24" customFormat="1">
      <c r="V827" s="39" t="str">
        <f t="shared" ca="1" si="14"/>
        <v/>
      </c>
      <c r="Y827" s="25"/>
      <c r="Z827" s="25"/>
    </row>
    <row r="828" spans="22:26" s="24" customFormat="1">
      <c r="V828" s="39" t="str">
        <f t="shared" ca="1" si="14"/>
        <v/>
      </c>
      <c r="Y828" s="25"/>
      <c r="Z828" s="25"/>
    </row>
    <row r="829" spans="22:26" s="24" customFormat="1">
      <c r="V829" s="39" t="str">
        <f t="shared" ca="1" si="14"/>
        <v/>
      </c>
      <c r="Y829" s="25"/>
      <c r="Z829" s="25"/>
    </row>
    <row r="830" spans="22:26" s="24" customFormat="1">
      <c r="V830" s="39" t="str">
        <f t="shared" ca="1" si="14"/>
        <v/>
      </c>
      <c r="Y830" s="25"/>
      <c r="Z830" s="25"/>
    </row>
    <row r="831" spans="22:26" s="24" customFormat="1">
      <c r="V831" s="39" t="str">
        <f t="shared" ca="1" si="14"/>
        <v/>
      </c>
      <c r="Y831" s="25"/>
      <c r="Z831" s="25"/>
    </row>
    <row r="832" spans="22:26" s="24" customFormat="1">
      <c r="V832" s="39" t="str">
        <f t="shared" ca="1" si="14"/>
        <v/>
      </c>
      <c r="Y832" s="25"/>
      <c r="Z832" s="25"/>
    </row>
    <row r="833" spans="22:26" s="24" customFormat="1">
      <c r="V833" s="39" t="str">
        <f t="shared" ca="1" si="14"/>
        <v/>
      </c>
      <c r="Y833" s="25"/>
      <c r="Z833" s="25"/>
    </row>
    <row r="834" spans="22:26" s="24" customFormat="1">
      <c r="V834" s="39" t="str">
        <f t="shared" ca="1" si="14"/>
        <v/>
      </c>
      <c r="Y834" s="25"/>
      <c r="Z834" s="25"/>
    </row>
    <row r="835" spans="22:26" s="24" customFormat="1">
      <c r="V835" s="39" t="str">
        <f t="shared" ca="1" si="14"/>
        <v/>
      </c>
      <c r="Y835" s="25"/>
      <c r="Z835" s="25"/>
    </row>
    <row r="836" spans="22:26" s="24" customFormat="1">
      <c r="V836" s="39" t="str">
        <f t="shared" ca="1" si="14"/>
        <v/>
      </c>
      <c r="Y836" s="25"/>
      <c r="Z836" s="25"/>
    </row>
    <row r="837" spans="22:26" s="24" customFormat="1">
      <c r="V837" s="39" t="str">
        <f t="shared" ca="1" si="14"/>
        <v/>
      </c>
      <c r="Y837" s="25"/>
      <c r="Z837" s="25"/>
    </row>
    <row r="838" spans="22:26" s="24" customFormat="1">
      <c r="V838" s="39" t="str">
        <f t="shared" ca="1" si="14"/>
        <v/>
      </c>
      <c r="Y838" s="25"/>
      <c r="Z838" s="25"/>
    </row>
    <row r="839" spans="22:26" s="24" customFormat="1">
      <c r="V839" s="39" t="str">
        <f t="shared" ca="1" si="14"/>
        <v/>
      </c>
      <c r="Y839" s="25"/>
      <c r="Z839" s="25"/>
    </row>
    <row r="840" spans="22:26" s="24" customFormat="1">
      <c r="V840" s="39" t="str">
        <f t="shared" ca="1" si="14"/>
        <v/>
      </c>
      <c r="Y840" s="25"/>
      <c r="Z840" s="25"/>
    </row>
    <row r="841" spans="22:26" s="24" customFormat="1">
      <c r="V841" s="39" t="str">
        <f t="shared" ca="1" si="14"/>
        <v/>
      </c>
      <c r="Y841" s="25"/>
      <c r="Z841" s="25"/>
    </row>
    <row r="842" spans="22:26" s="24" customFormat="1">
      <c r="V842" s="39" t="str">
        <f t="shared" ca="1" si="14"/>
        <v/>
      </c>
      <c r="Y842" s="25"/>
      <c r="Z842" s="25"/>
    </row>
    <row r="843" spans="22:26" s="24" customFormat="1">
      <c r="V843" s="39" t="str">
        <f t="shared" ca="1" si="14"/>
        <v/>
      </c>
      <c r="Y843" s="25"/>
      <c r="Z843" s="25"/>
    </row>
    <row r="844" spans="22:26" s="24" customFormat="1">
      <c r="V844" s="39" t="str">
        <f t="shared" ca="1" si="14"/>
        <v/>
      </c>
      <c r="Y844" s="25"/>
      <c r="Z844" s="25"/>
    </row>
    <row r="845" spans="22:26" s="24" customFormat="1">
      <c r="V845" s="39" t="str">
        <f t="shared" ca="1" si="14"/>
        <v/>
      </c>
      <c r="Y845" s="25"/>
      <c r="Z845" s="25"/>
    </row>
    <row r="846" spans="22:26" s="24" customFormat="1">
      <c r="V846" s="39" t="str">
        <f t="shared" ca="1" si="14"/>
        <v/>
      </c>
      <c r="Y846" s="25"/>
      <c r="Z846" s="25"/>
    </row>
    <row r="847" spans="22:26" s="24" customFormat="1">
      <c r="V847" s="39" t="str">
        <f t="shared" ca="1" si="14"/>
        <v/>
      </c>
      <c r="Y847" s="25"/>
      <c r="Z847" s="25"/>
    </row>
    <row r="848" spans="22:26" s="24" customFormat="1">
      <c r="V848" s="39" t="str">
        <f t="shared" ca="1" si="14"/>
        <v/>
      </c>
      <c r="Y848" s="25"/>
      <c r="Z848" s="25"/>
    </row>
    <row r="849" spans="22:26" s="24" customFormat="1">
      <c r="V849" s="39" t="str">
        <f t="shared" ca="1" si="14"/>
        <v/>
      </c>
      <c r="Y849" s="25"/>
      <c r="Z849" s="25"/>
    </row>
    <row r="850" spans="22:26" s="24" customFormat="1">
      <c r="V850" s="39" t="str">
        <f t="shared" ca="1" si="14"/>
        <v/>
      </c>
      <c r="Y850" s="25"/>
      <c r="Z850" s="25"/>
    </row>
    <row r="851" spans="22:26" s="24" customFormat="1">
      <c r="V851" s="39" t="str">
        <f t="shared" ca="1" si="14"/>
        <v/>
      </c>
      <c r="Y851" s="25"/>
      <c r="Z851" s="25"/>
    </row>
    <row r="852" spans="22:26" s="24" customFormat="1">
      <c r="V852" s="39" t="str">
        <f t="shared" ca="1" si="14"/>
        <v/>
      </c>
      <c r="Y852" s="25"/>
      <c r="Z852" s="25"/>
    </row>
    <row r="853" spans="22:26" s="24" customFormat="1">
      <c r="V853" s="39" t="str">
        <f t="shared" ca="1" si="14"/>
        <v/>
      </c>
      <c r="Y853" s="25"/>
      <c r="Z853" s="25"/>
    </row>
    <row r="854" spans="22:26" s="24" customFormat="1">
      <c r="V854" s="39" t="str">
        <f t="shared" ca="1" si="14"/>
        <v/>
      </c>
      <c r="Y854" s="25"/>
      <c r="Z854" s="25"/>
    </row>
    <row r="855" spans="22:26" s="24" customFormat="1">
      <c r="V855" s="39" t="str">
        <f t="shared" ca="1" si="14"/>
        <v/>
      </c>
      <c r="Y855" s="25"/>
      <c r="Z855" s="25"/>
    </row>
    <row r="856" spans="22:26" s="24" customFormat="1">
      <c r="V856" s="39" t="str">
        <f t="shared" ca="1" si="14"/>
        <v/>
      </c>
      <c r="Y856" s="25"/>
      <c r="Z856" s="25"/>
    </row>
    <row r="857" spans="22:26" s="24" customFormat="1">
      <c r="V857" s="39" t="str">
        <f t="shared" ca="1" si="14"/>
        <v/>
      </c>
      <c r="Y857" s="25"/>
      <c r="Z857" s="25"/>
    </row>
    <row r="858" spans="22:26" s="24" customFormat="1">
      <c r="V858" s="39" t="str">
        <f t="shared" ca="1" si="14"/>
        <v/>
      </c>
      <c r="Y858" s="25"/>
      <c r="Z858" s="25"/>
    </row>
    <row r="859" spans="22:26" s="24" customFormat="1">
      <c r="V859" s="39" t="str">
        <f t="shared" ca="1" si="14"/>
        <v/>
      </c>
      <c r="Y859" s="25"/>
      <c r="Z859" s="25"/>
    </row>
    <row r="860" spans="22:26" s="24" customFormat="1">
      <c r="V860" s="39" t="str">
        <f t="shared" ca="1" si="14"/>
        <v/>
      </c>
      <c r="Y860" s="25"/>
      <c r="Z860" s="25"/>
    </row>
    <row r="861" spans="22:26" s="24" customFormat="1">
      <c r="V861" s="39" t="str">
        <f t="shared" ca="1" si="14"/>
        <v/>
      </c>
      <c r="Y861" s="25"/>
      <c r="Z861" s="25"/>
    </row>
    <row r="862" spans="22:26" s="24" customFormat="1">
      <c r="V862" s="39" t="str">
        <f t="shared" ca="1" si="14"/>
        <v/>
      </c>
      <c r="Y862" s="25"/>
      <c r="Z862" s="25"/>
    </row>
    <row r="863" spans="22:26" s="24" customFormat="1">
      <c r="V863" s="39" t="str">
        <f t="shared" ca="1" si="14"/>
        <v/>
      </c>
      <c r="Y863" s="25"/>
      <c r="Z863" s="25"/>
    </row>
    <row r="864" spans="22:26" s="24" customFormat="1">
      <c r="V864" s="39" t="str">
        <f t="shared" ca="1" si="14"/>
        <v/>
      </c>
      <c r="Y864" s="25"/>
      <c r="Z864" s="25"/>
    </row>
    <row r="865" spans="22:26" s="24" customFormat="1">
      <c r="V865" s="39" t="str">
        <f t="shared" ca="1" si="14"/>
        <v/>
      </c>
      <c r="Y865" s="25"/>
      <c r="Z865" s="25"/>
    </row>
    <row r="866" spans="22:26" s="24" customFormat="1">
      <c r="V866" s="39" t="str">
        <f t="shared" ca="1" si="14"/>
        <v/>
      </c>
      <c r="Y866" s="25"/>
      <c r="Z866" s="25"/>
    </row>
    <row r="867" spans="22:26" s="24" customFormat="1">
      <c r="V867" s="39" t="str">
        <f t="shared" ca="1" si="14"/>
        <v/>
      </c>
      <c r="Y867" s="25"/>
      <c r="Z867" s="25"/>
    </row>
    <row r="868" spans="22:26" s="24" customFormat="1">
      <c r="V868" s="39" t="str">
        <f t="shared" ca="1" si="14"/>
        <v/>
      </c>
      <c r="Y868" s="25"/>
      <c r="Z868" s="25"/>
    </row>
    <row r="869" spans="22:26" s="24" customFormat="1">
      <c r="V869" s="39" t="str">
        <f t="shared" ca="1" si="14"/>
        <v/>
      </c>
      <c r="Y869" s="25"/>
      <c r="Z869" s="25"/>
    </row>
    <row r="870" spans="22:26" s="24" customFormat="1">
      <c r="V870" s="39" t="str">
        <f t="shared" ca="1" si="14"/>
        <v/>
      </c>
      <c r="Y870" s="25"/>
      <c r="Z870" s="25"/>
    </row>
    <row r="871" spans="22:26" s="24" customFormat="1">
      <c r="V871" s="39" t="str">
        <f t="shared" ca="1" si="14"/>
        <v/>
      </c>
      <c r="Y871" s="25"/>
      <c r="Z871" s="25"/>
    </row>
    <row r="872" spans="22:26" s="24" customFormat="1">
      <c r="V872" s="39" t="str">
        <f t="shared" ca="1" si="14"/>
        <v/>
      </c>
      <c r="Y872" s="25"/>
      <c r="Z872" s="25"/>
    </row>
    <row r="873" spans="22:26" s="24" customFormat="1">
      <c r="V873" s="39" t="str">
        <f t="shared" ca="1" si="14"/>
        <v/>
      </c>
      <c r="Y873" s="25"/>
      <c r="Z873" s="25"/>
    </row>
    <row r="874" spans="22:26" s="24" customFormat="1">
      <c r="V874" s="39" t="str">
        <f t="shared" ca="1" si="14"/>
        <v/>
      </c>
      <c r="Y874" s="25"/>
      <c r="Z874" s="25"/>
    </row>
    <row r="875" spans="22:26" s="24" customFormat="1">
      <c r="V875" s="39" t="str">
        <f t="shared" ca="1" si="14"/>
        <v/>
      </c>
      <c r="Y875" s="25"/>
      <c r="Z875" s="25"/>
    </row>
    <row r="876" spans="22:26" s="24" customFormat="1">
      <c r="V876" s="39" t="str">
        <f t="shared" ref="V876:V939" ca="1" si="15">IF(B877="","",WORKDAY(TODAY(),IF(OR(I877="PH",I877="PHOD"),0,1),feriadosBCS))</f>
        <v/>
      </c>
      <c r="Y876" s="25"/>
      <c r="Z876" s="25"/>
    </row>
    <row r="877" spans="22:26" s="24" customFormat="1">
      <c r="V877" s="39" t="str">
        <f t="shared" ca="1" si="15"/>
        <v/>
      </c>
      <c r="Y877" s="25"/>
      <c r="Z877" s="25"/>
    </row>
    <row r="878" spans="22:26" s="24" customFormat="1">
      <c r="V878" s="39" t="str">
        <f t="shared" ca="1" si="15"/>
        <v/>
      </c>
      <c r="Y878" s="25"/>
      <c r="Z878" s="25"/>
    </row>
    <row r="879" spans="22:26" s="24" customFormat="1">
      <c r="V879" s="39" t="str">
        <f t="shared" ca="1" si="15"/>
        <v/>
      </c>
      <c r="Y879" s="25"/>
      <c r="Z879" s="25"/>
    </row>
    <row r="880" spans="22:26" s="24" customFormat="1">
      <c r="V880" s="39" t="str">
        <f t="shared" ca="1" si="15"/>
        <v/>
      </c>
      <c r="Y880" s="25"/>
      <c r="Z880" s="25"/>
    </row>
    <row r="881" spans="22:26" s="24" customFormat="1">
      <c r="V881" s="39" t="str">
        <f t="shared" ca="1" si="15"/>
        <v/>
      </c>
      <c r="Y881" s="25"/>
      <c r="Z881" s="25"/>
    </row>
    <row r="882" spans="22:26" s="24" customFormat="1">
      <c r="V882" s="39" t="str">
        <f t="shared" ca="1" si="15"/>
        <v/>
      </c>
      <c r="Y882" s="25"/>
      <c r="Z882" s="25"/>
    </row>
    <row r="883" spans="22:26" s="24" customFormat="1">
      <c r="V883" s="39" t="str">
        <f t="shared" ca="1" si="15"/>
        <v/>
      </c>
      <c r="Y883" s="25"/>
      <c r="Z883" s="25"/>
    </row>
    <row r="884" spans="22:26" s="24" customFormat="1">
      <c r="V884" s="39" t="str">
        <f t="shared" ca="1" si="15"/>
        <v/>
      </c>
      <c r="Y884" s="25"/>
      <c r="Z884" s="25"/>
    </row>
    <row r="885" spans="22:26" s="24" customFormat="1">
      <c r="V885" s="39" t="str">
        <f t="shared" ca="1" si="15"/>
        <v/>
      </c>
      <c r="Y885" s="25"/>
      <c r="Z885" s="25"/>
    </row>
    <row r="886" spans="22:26" s="24" customFormat="1">
      <c r="V886" s="39" t="str">
        <f t="shared" ca="1" si="15"/>
        <v/>
      </c>
      <c r="Y886" s="25"/>
      <c r="Z886" s="25"/>
    </row>
    <row r="887" spans="22:26" s="24" customFormat="1">
      <c r="V887" s="39" t="str">
        <f t="shared" ca="1" si="15"/>
        <v/>
      </c>
      <c r="Y887" s="25"/>
      <c r="Z887" s="25"/>
    </row>
    <row r="888" spans="22:26" s="24" customFormat="1">
      <c r="V888" s="39" t="str">
        <f t="shared" ca="1" si="15"/>
        <v/>
      </c>
      <c r="Y888" s="25"/>
      <c r="Z888" s="25"/>
    </row>
    <row r="889" spans="22:26" s="24" customFormat="1">
      <c r="V889" s="39" t="str">
        <f t="shared" ca="1" si="15"/>
        <v/>
      </c>
      <c r="Y889" s="25"/>
      <c r="Z889" s="25"/>
    </row>
    <row r="890" spans="22:26" s="24" customFormat="1">
      <c r="V890" s="39" t="str">
        <f t="shared" ca="1" si="15"/>
        <v/>
      </c>
      <c r="Y890" s="25"/>
      <c r="Z890" s="25"/>
    </row>
    <row r="891" spans="22:26" s="24" customFormat="1">
      <c r="V891" s="39" t="str">
        <f t="shared" ca="1" si="15"/>
        <v/>
      </c>
      <c r="Y891" s="25"/>
      <c r="Z891" s="25"/>
    </row>
    <row r="892" spans="22:26" s="24" customFormat="1">
      <c r="V892" s="39" t="str">
        <f t="shared" ca="1" si="15"/>
        <v/>
      </c>
      <c r="Y892" s="25"/>
      <c r="Z892" s="25"/>
    </row>
    <row r="893" spans="22:26" s="24" customFormat="1">
      <c r="V893" s="39" t="str">
        <f t="shared" ca="1" si="15"/>
        <v/>
      </c>
      <c r="Y893" s="25"/>
      <c r="Z893" s="25"/>
    </row>
    <row r="894" spans="22:26" s="24" customFormat="1">
      <c r="V894" s="39" t="str">
        <f t="shared" ca="1" si="15"/>
        <v/>
      </c>
      <c r="Y894" s="25"/>
      <c r="Z894" s="25"/>
    </row>
    <row r="895" spans="22:26" s="24" customFormat="1">
      <c r="V895" s="39" t="str">
        <f t="shared" ca="1" si="15"/>
        <v/>
      </c>
      <c r="Y895" s="25"/>
      <c r="Z895" s="25"/>
    </row>
    <row r="896" spans="22:26" s="24" customFormat="1">
      <c r="V896" s="39" t="str">
        <f t="shared" ca="1" si="15"/>
        <v/>
      </c>
      <c r="Y896" s="25"/>
      <c r="Z896" s="25"/>
    </row>
    <row r="897" spans="22:26" s="24" customFormat="1">
      <c r="V897" s="39" t="str">
        <f t="shared" ca="1" si="15"/>
        <v/>
      </c>
      <c r="Y897" s="25"/>
      <c r="Z897" s="25"/>
    </row>
    <row r="898" spans="22:26" s="24" customFormat="1">
      <c r="V898" s="39" t="str">
        <f t="shared" ca="1" si="15"/>
        <v/>
      </c>
      <c r="Y898" s="25"/>
      <c r="Z898" s="25"/>
    </row>
    <row r="899" spans="22:26" s="24" customFormat="1">
      <c r="V899" s="39" t="str">
        <f t="shared" ca="1" si="15"/>
        <v/>
      </c>
      <c r="Y899" s="25"/>
      <c r="Z899" s="25"/>
    </row>
    <row r="900" spans="22:26" s="24" customFormat="1">
      <c r="V900" s="39" t="str">
        <f t="shared" ca="1" si="15"/>
        <v/>
      </c>
      <c r="Y900" s="25"/>
      <c r="Z900" s="25"/>
    </row>
    <row r="901" spans="22:26" s="24" customFormat="1">
      <c r="V901" s="39" t="str">
        <f t="shared" ca="1" si="15"/>
        <v/>
      </c>
      <c r="Y901" s="25"/>
      <c r="Z901" s="25"/>
    </row>
    <row r="902" spans="22:26" s="24" customFormat="1">
      <c r="V902" s="39" t="str">
        <f t="shared" ca="1" si="15"/>
        <v/>
      </c>
      <c r="Y902" s="25"/>
      <c r="Z902" s="25"/>
    </row>
    <row r="903" spans="22:26" s="24" customFormat="1">
      <c r="V903" s="39" t="str">
        <f t="shared" ca="1" si="15"/>
        <v/>
      </c>
      <c r="Y903" s="25"/>
      <c r="Z903" s="25"/>
    </row>
    <row r="904" spans="22:26" s="24" customFormat="1">
      <c r="V904" s="39" t="str">
        <f t="shared" ca="1" si="15"/>
        <v/>
      </c>
      <c r="Y904" s="25"/>
      <c r="Z904" s="25"/>
    </row>
    <row r="905" spans="22:26" s="24" customFormat="1">
      <c r="V905" s="39" t="str">
        <f t="shared" ca="1" si="15"/>
        <v/>
      </c>
      <c r="Y905" s="25"/>
      <c r="Z905" s="25"/>
    </row>
    <row r="906" spans="22:26" s="24" customFormat="1">
      <c r="V906" s="39" t="str">
        <f t="shared" ca="1" si="15"/>
        <v/>
      </c>
      <c r="Y906" s="25"/>
      <c r="Z906" s="25"/>
    </row>
    <row r="907" spans="22:26" s="24" customFormat="1">
      <c r="V907" s="39" t="str">
        <f t="shared" ca="1" si="15"/>
        <v/>
      </c>
      <c r="Y907" s="25"/>
      <c r="Z907" s="25"/>
    </row>
    <row r="908" spans="22:26" s="24" customFormat="1">
      <c r="V908" s="39" t="str">
        <f t="shared" ca="1" si="15"/>
        <v/>
      </c>
      <c r="Y908" s="25"/>
      <c r="Z908" s="25"/>
    </row>
    <row r="909" spans="22:26" s="24" customFormat="1">
      <c r="V909" s="39" t="str">
        <f t="shared" ca="1" si="15"/>
        <v/>
      </c>
      <c r="Y909" s="25"/>
      <c r="Z909" s="25"/>
    </row>
    <row r="910" spans="22:26" s="24" customFormat="1">
      <c r="V910" s="39" t="str">
        <f t="shared" ca="1" si="15"/>
        <v/>
      </c>
      <c r="Y910" s="25"/>
      <c r="Z910" s="25"/>
    </row>
    <row r="911" spans="22:26" s="24" customFormat="1">
      <c r="V911" s="39" t="str">
        <f t="shared" ca="1" si="15"/>
        <v/>
      </c>
      <c r="Y911" s="25"/>
      <c r="Z911" s="25"/>
    </row>
    <row r="912" spans="22:26" s="24" customFormat="1">
      <c r="V912" s="39" t="str">
        <f t="shared" ca="1" si="15"/>
        <v/>
      </c>
      <c r="Y912" s="25"/>
      <c r="Z912" s="25"/>
    </row>
    <row r="913" spans="22:26" s="24" customFormat="1">
      <c r="V913" s="39" t="str">
        <f t="shared" ca="1" si="15"/>
        <v/>
      </c>
      <c r="Y913" s="25"/>
      <c r="Z913" s="25"/>
    </row>
    <row r="914" spans="22:26" s="24" customFormat="1">
      <c r="V914" s="39" t="str">
        <f t="shared" ca="1" si="15"/>
        <v/>
      </c>
      <c r="Y914" s="25"/>
      <c r="Z914" s="25"/>
    </row>
    <row r="915" spans="22:26" s="24" customFormat="1">
      <c r="V915" s="39" t="str">
        <f t="shared" ca="1" si="15"/>
        <v/>
      </c>
      <c r="Y915" s="25"/>
      <c r="Z915" s="25"/>
    </row>
    <row r="916" spans="22:26" s="24" customFormat="1">
      <c r="V916" s="39" t="str">
        <f t="shared" ca="1" si="15"/>
        <v/>
      </c>
      <c r="Y916" s="25"/>
      <c r="Z916" s="25"/>
    </row>
    <row r="917" spans="22:26" s="24" customFormat="1">
      <c r="V917" s="39" t="str">
        <f t="shared" ca="1" si="15"/>
        <v/>
      </c>
      <c r="Y917" s="25"/>
      <c r="Z917" s="25"/>
    </row>
    <row r="918" spans="22:26" s="24" customFormat="1">
      <c r="V918" s="39" t="str">
        <f t="shared" ca="1" si="15"/>
        <v/>
      </c>
      <c r="Y918" s="25"/>
      <c r="Z918" s="25"/>
    </row>
    <row r="919" spans="22:26" s="24" customFormat="1">
      <c r="V919" s="39" t="str">
        <f t="shared" ca="1" si="15"/>
        <v/>
      </c>
      <c r="Y919" s="25"/>
      <c r="Z919" s="25"/>
    </row>
    <row r="920" spans="22:26" s="24" customFormat="1">
      <c r="V920" s="39" t="str">
        <f t="shared" ca="1" si="15"/>
        <v/>
      </c>
      <c r="Y920" s="25"/>
      <c r="Z920" s="25"/>
    </row>
    <row r="921" spans="22:26" s="24" customFormat="1">
      <c r="V921" s="39" t="str">
        <f t="shared" ca="1" si="15"/>
        <v/>
      </c>
      <c r="Y921" s="25"/>
      <c r="Z921" s="25"/>
    </row>
    <row r="922" spans="22:26" s="24" customFormat="1">
      <c r="V922" s="39" t="str">
        <f t="shared" ca="1" si="15"/>
        <v/>
      </c>
      <c r="Y922" s="25"/>
      <c r="Z922" s="25"/>
    </row>
    <row r="923" spans="22:26" s="24" customFormat="1">
      <c r="V923" s="39" t="str">
        <f t="shared" ca="1" si="15"/>
        <v/>
      </c>
      <c r="Y923" s="25"/>
      <c r="Z923" s="25"/>
    </row>
    <row r="924" spans="22:26" s="24" customFormat="1">
      <c r="V924" s="39" t="str">
        <f t="shared" ca="1" si="15"/>
        <v/>
      </c>
      <c r="Y924" s="25"/>
      <c r="Z924" s="25"/>
    </row>
    <row r="925" spans="22:26" s="24" customFormat="1">
      <c r="V925" s="39" t="str">
        <f t="shared" ca="1" si="15"/>
        <v/>
      </c>
      <c r="Y925" s="25"/>
      <c r="Z925" s="25"/>
    </row>
    <row r="926" spans="22:26" s="24" customFormat="1">
      <c r="V926" s="39" t="str">
        <f t="shared" ca="1" si="15"/>
        <v/>
      </c>
      <c r="Y926" s="25"/>
      <c r="Z926" s="25"/>
    </row>
    <row r="927" spans="22:26" s="24" customFormat="1">
      <c r="V927" s="39" t="str">
        <f t="shared" ca="1" si="15"/>
        <v/>
      </c>
      <c r="Y927" s="25"/>
      <c r="Z927" s="25"/>
    </row>
    <row r="928" spans="22:26" s="24" customFormat="1">
      <c r="V928" s="39" t="str">
        <f t="shared" ca="1" si="15"/>
        <v/>
      </c>
      <c r="Y928" s="25"/>
      <c r="Z928" s="25"/>
    </row>
    <row r="929" spans="22:26" s="24" customFormat="1">
      <c r="V929" s="39" t="str">
        <f t="shared" ca="1" si="15"/>
        <v/>
      </c>
      <c r="Y929" s="25"/>
      <c r="Z929" s="25"/>
    </row>
    <row r="930" spans="22:26" s="24" customFormat="1">
      <c r="V930" s="39" t="str">
        <f t="shared" ca="1" si="15"/>
        <v/>
      </c>
      <c r="Y930" s="25"/>
      <c r="Z930" s="25"/>
    </row>
    <row r="931" spans="22:26" s="24" customFormat="1">
      <c r="V931" s="39" t="str">
        <f t="shared" ca="1" si="15"/>
        <v/>
      </c>
      <c r="Y931" s="25"/>
      <c r="Z931" s="25"/>
    </row>
    <row r="932" spans="22:26" s="24" customFormat="1">
      <c r="V932" s="39" t="str">
        <f t="shared" ca="1" si="15"/>
        <v/>
      </c>
      <c r="Y932" s="25"/>
      <c r="Z932" s="25"/>
    </row>
    <row r="933" spans="22:26" s="24" customFormat="1">
      <c r="V933" s="39" t="str">
        <f t="shared" ca="1" si="15"/>
        <v/>
      </c>
      <c r="Y933" s="25"/>
      <c r="Z933" s="25"/>
    </row>
    <row r="934" spans="22:26" s="24" customFormat="1">
      <c r="V934" s="39" t="str">
        <f t="shared" ca="1" si="15"/>
        <v/>
      </c>
      <c r="Y934" s="25"/>
      <c r="Z934" s="25"/>
    </row>
    <row r="935" spans="22:26" s="24" customFormat="1">
      <c r="V935" s="39" t="str">
        <f t="shared" ca="1" si="15"/>
        <v/>
      </c>
      <c r="Y935" s="25"/>
      <c r="Z935" s="25"/>
    </row>
    <row r="936" spans="22:26" s="24" customFormat="1">
      <c r="V936" s="39" t="str">
        <f t="shared" ca="1" si="15"/>
        <v/>
      </c>
      <c r="Y936" s="25"/>
      <c r="Z936" s="25"/>
    </row>
    <row r="937" spans="22:26" s="24" customFormat="1">
      <c r="V937" s="39" t="str">
        <f t="shared" ca="1" si="15"/>
        <v/>
      </c>
      <c r="Y937" s="25"/>
      <c r="Z937" s="25"/>
    </row>
    <row r="938" spans="22:26" s="24" customFormat="1">
      <c r="V938" s="39" t="str">
        <f t="shared" ca="1" si="15"/>
        <v/>
      </c>
      <c r="Y938" s="25"/>
      <c r="Z938" s="25"/>
    </row>
    <row r="939" spans="22:26" s="24" customFormat="1">
      <c r="V939" s="39" t="str">
        <f t="shared" ca="1" si="15"/>
        <v/>
      </c>
      <c r="Y939" s="25"/>
      <c r="Z939" s="25"/>
    </row>
    <row r="940" spans="22:26" s="24" customFormat="1">
      <c r="V940" s="39" t="str">
        <f t="shared" ref="V940:V1000" ca="1" si="16">IF(B941="","",WORKDAY(TODAY(),IF(OR(I941="PH",I941="PHOD"),0,1),feriadosBCS))</f>
        <v/>
      </c>
      <c r="Y940" s="25"/>
      <c r="Z940" s="25"/>
    </row>
    <row r="941" spans="22:26" s="24" customFormat="1">
      <c r="V941" s="39" t="str">
        <f t="shared" ca="1" si="16"/>
        <v/>
      </c>
      <c r="Y941" s="25"/>
      <c r="Z941" s="25"/>
    </row>
    <row r="942" spans="22:26" s="24" customFormat="1">
      <c r="V942" s="39" t="str">
        <f t="shared" ca="1" si="16"/>
        <v/>
      </c>
      <c r="Y942" s="25"/>
      <c r="Z942" s="25"/>
    </row>
    <row r="943" spans="22:26" s="24" customFormat="1">
      <c r="V943" s="39" t="str">
        <f t="shared" ca="1" si="16"/>
        <v/>
      </c>
      <c r="Y943" s="25"/>
      <c r="Z943" s="25"/>
    </row>
    <row r="944" spans="22:26" s="24" customFormat="1">
      <c r="V944" s="39" t="str">
        <f t="shared" ca="1" si="16"/>
        <v/>
      </c>
      <c r="Y944" s="25"/>
      <c r="Z944" s="25"/>
    </row>
    <row r="945" spans="22:26" s="24" customFormat="1">
      <c r="V945" s="39" t="str">
        <f t="shared" ca="1" si="16"/>
        <v/>
      </c>
      <c r="Y945" s="25"/>
      <c r="Z945" s="25"/>
    </row>
    <row r="946" spans="22:26" s="24" customFormat="1">
      <c r="V946" s="39" t="str">
        <f t="shared" ca="1" si="16"/>
        <v/>
      </c>
      <c r="Y946" s="25"/>
      <c r="Z946" s="25"/>
    </row>
    <row r="947" spans="22:26" s="24" customFormat="1">
      <c r="V947" s="39" t="str">
        <f t="shared" ca="1" si="16"/>
        <v/>
      </c>
      <c r="Y947" s="25"/>
      <c r="Z947" s="25"/>
    </row>
    <row r="948" spans="22:26" s="24" customFormat="1">
      <c r="V948" s="39" t="str">
        <f t="shared" ca="1" si="16"/>
        <v/>
      </c>
      <c r="Y948" s="25"/>
      <c r="Z948" s="25"/>
    </row>
    <row r="949" spans="22:26" s="24" customFormat="1">
      <c r="V949" s="39" t="str">
        <f t="shared" ca="1" si="16"/>
        <v/>
      </c>
      <c r="Y949" s="25"/>
      <c r="Z949" s="25"/>
    </row>
    <row r="950" spans="22:26" s="24" customFormat="1">
      <c r="V950" s="39" t="str">
        <f t="shared" ca="1" si="16"/>
        <v/>
      </c>
      <c r="Y950" s="25"/>
      <c r="Z950" s="25"/>
    </row>
    <row r="951" spans="22:26" s="24" customFormat="1">
      <c r="V951" s="39" t="str">
        <f t="shared" ca="1" si="16"/>
        <v/>
      </c>
      <c r="Y951" s="25"/>
      <c r="Z951" s="25"/>
    </row>
    <row r="952" spans="22:26" s="24" customFormat="1">
      <c r="V952" s="39" t="str">
        <f t="shared" ca="1" si="16"/>
        <v/>
      </c>
      <c r="Y952" s="25"/>
      <c r="Z952" s="25"/>
    </row>
    <row r="953" spans="22:26" s="24" customFormat="1">
      <c r="V953" s="39" t="str">
        <f t="shared" ca="1" si="16"/>
        <v/>
      </c>
      <c r="Y953" s="25"/>
      <c r="Z953" s="25"/>
    </row>
    <row r="954" spans="22:26" s="24" customFormat="1">
      <c r="V954" s="39" t="str">
        <f t="shared" ca="1" si="16"/>
        <v/>
      </c>
      <c r="Y954" s="25"/>
      <c r="Z954" s="25"/>
    </row>
    <row r="955" spans="22:26" s="24" customFormat="1">
      <c r="V955" s="39" t="str">
        <f t="shared" ca="1" si="16"/>
        <v/>
      </c>
      <c r="Y955" s="25"/>
      <c r="Z955" s="25"/>
    </row>
    <row r="956" spans="22:26" s="24" customFormat="1">
      <c r="V956" s="39" t="str">
        <f t="shared" ca="1" si="16"/>
        <v/>
      </c>
      <c r="Y956" s="25"/>
      <c r="Z956" s="25"/>
    </row>
    <row r="957" spans="22:26" s="24" customFormat="1">
      <c r="V957" s="39" t="str">
        <f t="shared" ca="1" si="16"/>
        <v/>
      </c>
      <c r="Y957" s="25"/>
      <c r="Z957" s="25"/>
    </row>
    <row r="958" spans="22:26" s="24" customFormat="1">
      <c r="V958" s="39" t="str">
        <f t="shared" ca="1" si="16"/>
        <v/>
      </c>
      <c r="Y958" s="25"/>
      <c r="Z958" s="25"/>
    </row>
    <row r="959" spans="22:26" s="24" customFormat="1">
      <c r="V959" s="39" t="str">
        <f t="shared" ca="1" si="16"/>
        <v/>
      </c>
      <c r="Y959" s="25"/>
      <c r="Z959" s="25"/>
    </row>
    <row r="960" spans="22:26" s="24" customFormat="1">
      <c r="V960" s="39" t="str">
        <f t="shared" ca="1" si="16"/>
        <v/>
      </c>
      <c r="Y960" s="25"/>
      <c r="Z960" s="25"/>
    </row>
    <row r="961" spans="22:26" s="24" customFormat="1">
      <c r="V961" s="39" t="str">
        <f t="shared" ca="1" si="16"/>
        <v/>
      </c>
      <c r="Y961" s="25"/>
      <c r="Z961" s="25"/>
    </row>
    <row r="962" spans="22:26" s="24" customFormat="1">
      <c r="V962" s="39" t="str">
        <f t="shared" ca="1" si="16"/>
        <v/>
      </c>
      <c r="Y962" s="25"/>
      <c r="Z962" s="25"/>
    </row>
    <row r="963" spans="22:26" s="24" customFormat="1">
      <c r="V963" s="39" t="str">
        <f t="shared" ca="1" si="16"/>
        <v/>
      </c>
      <c r="Y963" s="25"/>
      <c r="Z963" s="25"/>
    </row>
    <row r="964" spans="22:26" s="24" customFormat="1">
      <c r="V964" s="39" t="str">
        <f t="shared" ca="1" si="16"/>
        <v/>
      </c>
      <c r="Y964" s="25"/>
      <c r="Z964" s="25"/>
    </row>
    <row r="965" spans="22:26" s="24" customFormat="1">
      <c r="V965" s="39" t="str">
        <f t="shared" ca="1" si="16"/>
        <v/>
      </c>
      <c r="Y965" s="25"/>
      <c r="Z965" s="25"/>
    </row>
    <row r="966" spans="22:26" s="24" customFormat="1">
      <c r="V966" s="39" t="str">
        <f t="shared" ca="1" si="16"/>
        <v/>
      </c>
      <c r="Y966" s="25"/>
      <c r="Z966" s="25"/>
    </row>
    <row r="967" spans="22:26" s="24" customFormat="1">
      <c r="V967" s="39" t="str">
        <f t="shared" ca="1" si="16"/>
        <v/>
      </c>
      <c r="Y967" s="25"/>
      <c r="Z967" s="25"/>
    </row>
    <row r="968" spans="22:26" s="24" customFormat="1">
      <c r="V968" s="39" t="str">
        <f t="shared" ca="1" si="16"/>
        <v/>
      </c>
      <c r="Y968" s="25"/>
      <c r="Z968" s="25"/>
    </row>
    <row r="969" spans="22:26" s="24" customFormat="1">
      <c r="V969" s="39" t="str">
        <f t="shared" ca="1" si="16"/>
        <v/>
      </c>
      <c r="Y969" s="25"/>
      <c r="Z969" s="25"/>
    </row>
    <row r="970" spans="22:26" s="24" customFormat="1">
      <c r="V970" s="39" t="str">
        <f t="shared" ca="1" si="16"/>
        <v/>
      </c>
      <c r="Y970" s="25"/>
      <c r="Z970" s="25"/>
    </row>
    <row r="971" spans="22:26" s="24" customFormat="1">
      <c r="V971" s="39" t="str">
        <f t="shared" ca="1" si="16"/>
        <v/>
      </c>
      <c r="Y971" s="25"/>
      <c r="Z971" s="25"/>
    </row>
    <row r="972" spans="22:26" s="24" customFormat="1">
      <c r="V972" s="39" t="str">
        <f t="shared" ca="1" si="16"/>
        <v/>
      </c>
      <c r="Y972" s="25"/>
      <c r="Z972" s="25"/>
    </row>
    <row r="973" spans="22:26" s="24" customFormat="1">
      <c r="V973" s="39" t="str">
        <f t="shared" ca="1" si="16"/>
        <v/>
      </c>
      <c r="Y973" s="25"/>
      <c r="Z973" s="25"/>
    </row>
    <row r="974" spans="22:26" s="24" customFormat="1">
      <c r="V974" s="39" t="str">
        <f t="shared" ca="1" si="16"/>
        <v/>
      </c>
      <c r="Y974" s="25"/>
      <c r="Z974" s="25"/>
    </row>
    <row r="975" spans="22:26" s="24" customFormat="1">
      <c r="V975" s="39" t="str">
        <f t="shared" ca="1" si="16"/>
        <v/>
      </c>
      <c r="Y975" s="25"/>
      <c r="Z975" s="25"/>
    </row>
    <row r="976" spans="22:26" s="24" customFormat="1">
      <c r="V976" s="39" t="str">
        <f t="shared" ca="1" si="16"/>
        <v/>
      </c>
      <c r="Y976" s="25"/>
      <c r="Z976" s="25"/>
    </row>
    <row r="977" spans="22:26" s="24" customFormat="1">
      <c r="V977" s="39" t="str">
        <f t="shared" ca="1" si="16"/>
        <v/>
      </c>
      <c r="Y977" s="25"/>
      <c r="Z977" s="25"/>
    </row>
    <row r="978" spans="22:26" s="24" customFormat="1">
      <c r="V978" s="39" t="str">
        <f t="shared" ca="1" si="16"/>
        <v/>
      </c>
      <c r="Y978" s="25"/>
      <c r="Z978" s="25"/>
    </row>
    <row r="979" spans="22:26" s="24" customFormat="1">
      <c r="V979" s="39" t="str">
        <f t="shared" ca="1" si="16"/>
        <v/>
      </c>
      <c r="Y979" s="25"/>
      <c r="Z979" s="25"/>
    </row>
    <row r="980" spans="22:26" s="24" customFormat="1">
      <c r="V980" s="39" t="str">
        <f t="shared" ca="1" si="16"/>
        <v/>
      </c>
      <c r="Y980" s="25"/>
      <c r="Z980" s="25"/>
    </row>
    <row r="981" spans="22:26" s="24" customFormat="1">
      <c r="V981" s="39" t="str">
        <f t="shared" ca="1" si="16"/>
        <v/>
      </c>
      <c r="Y981" s="25"/>
      <c r="Z981" s="25"/>
    </row>
    <row r="982" spans="22:26" s="24" customFormat="1">
      <c r="V982" s="39" t="str">
        <f t="shared" ca="1" si="16"/>
        <v/>
      </c>
      <c r="Y982" s="25"/>
      <c r="Z982" s="25"/>
    </row>
    <row r="983" spans="22:26" s="24" customFormat="1">
      <c r="V983" s="39" t="str">
        <f t="shared" ca="1" si="16"/>
        <v/>
      </c>
      <c r="Y983" s="25"/>
      <c r="Z983" s="25"/>
    </row>
    <row r="984" spans="22:26" s="24" customFormat="1">
      <c r="V984" s="39" t="str">
        <f t="shared" ca="1" si="16"/>
        <v/>
      </c>
      <c r="Y984" s="25"/>
      <c r="Z984" s="25"/>
    </row>
    <row r="985" spans="22:26" s="24" customFormat="1">
      <c r="V985" s="39" t="str">
        <f t="shared" ca="1" si="16"/>
        <v/>
      </c>
      <c r="Y985" s="25"/>
      <c r="Z985" s="25"/>
    </row>
    <row r="986" spans="22:26" s="24" customFormat="1">
      <c r="V986" s="39" t="str">
        <f t="shared" ca="1" si="16"/>
        <v/>
      </c>
      <c r="Y986" s="25"/>
      <c r="Z986" s="25"/>
    </row>
    <row r="987" spans="22:26" s="24" customFormat="1">
      <c r="V987" s="39" t="str">
        <f t="shared" ca="1" si="16"/>
        <v/>
      </c>
      <c r="Y987" s="25"/>
      <c r="Z987" s="25"/>
    </row>
    <row r="988" spans="22:26" s="24" customFormat="1">
      <c r="V988" s="39" t="str">
        <f t="shared" ca="1" si="16"/>
        <v/>
      </c>
      <c r="Y988" s="25"/>
      <c r="Z988" s="25"/>
    </row>
    <row r="989" spans="22:26" s="24" customFormat="1">
      <c r="V989" s="39" t="str">
        <f t="shared" ca="1" si="16"/>
        <v/>
      </c>
      <c r="Y989" s="25"/>
      <c r="Z989" s="25"/>
    </row>
    <row r="990" spans="22:26" s="24" customFormat="1">
      <c r="V990" s="39" t="str">
        <f t="shared" ca="1" si="16"/>
        <v/>
      </c>
      <c r="Y990" s="25"/>
      <c r="Z990" s="25"/>
    </row>
    <row r="991" spans="22:26" s="24" customFormat="1">
      <c r="V991" s="39" t="str">
        <f t="shared" ca="1" si="16"/>
        <v/>
      </c>
      <c r="Y991" s="25"/>
      <c r="Z991" s="25"/>
    </row>
    <row r="992" spans="22:26" s="24" customFormat="1">
      <c r="V992" s="39" t="str">
        <f t="shared" ca="1" si="16"/>
        <v/>
      </c>
      <c r="Y992" s="25"/>
      <c r="Z992" s="25"/>
    </row>
    <row r="993" spans="22:31" s="24" customFormat="1">
      <c r="V993" s="39" t="str">
        <f t="shared" ca="1" si="16"/>
        <v/>
      </c>
      <c r="Y993" s="25"/>
      <c r="Z993" s="25"/>
    </row>
    <row r="994" spans="22:31" s="24" customFormat="1">
      <c r="V994" s="39" t="str">
        <f t="shared" ca="1" si="16"/>
        <v/>
      </c>
      <c r="Y994" s="25"/>
      <c r="Z994" s="25"/>
    </row>
    <row r="995" spans="22:31" s="24" customFormat="1">
      <c r="V995" s="39" t="str">
        <f t="shared" ca="1" si="16"/>
        <v/>
      </c>
      <c r="Y995" s="25"/>
      <c r="Z995" s="25"/>
    </row>
    <row r="996" spans="22:31" s="24" customFormat="1">
      <c r="V996" s="39" t="str">
        <f t="shared" ca="1" si="16"/>
        <v/>
      </c>
      <c r="Y996" s="25"/>
      <c r="Z996" s="25"/>
    </row>
    <row r="997" spans="22:31" s="24" customFormat="1">
      <c r="V997" s="39" t="str">
        <f t="shared" ca="1" si="16"/>
        <v/>
      </c>
      <c r="Y997" s="25"/>
      <c r="Z997" s="25"/>
    </row>
    <row r="998" spans="22:31" s="24" customFormat="1">
      <c r="V998" s="39" t="str">
        <f t="shared" ca="1" si="16"/>
        <v/>
      </c>
      <c r="Y998" s="25"/>
      <c r="Z998" s="25"/>
    </row>
    <row r="999" spans="22:31" s="24" customFormat="1">
      <c r="V999" s="39" t="str">
        <f t="shared" ca="1" si="16"/>
        <v/>
      </c>
      <c r="Y999" s="23"/>
      <c r="Z999" s="23"/>
      <c r="AD999" s="22"/>
      <c r="AE999" s="22"/>
    </row>
    <row r="1000" spans="22:31" s="24" customFormat="1">
      <c r="V1000" s="39" t="str">
        <f t="shared" ca="1" si="16"/>
        <v/>
      </c>
      <c r="Y1000" s="23"/>
      <c r="Z1000" s="23"/>
      <c r="AD1000" s="22"/>
      <c r="AE1000" s="22"/>
    </row>
    <row r="1001" spans="22:31" hidden="1"/>
    <row r="1002" spans="22:31" hidden="1"/>
    <row r="1003" spans="22:31" hidden="1"/>
    <row r="1004" spans="22:31" hidden="1"/>
    <row r="1005" spans="22:31" hidden="1"/>
    <row r="1006" spans="22:31" hidden="1"/>
    <row r="1007" spans="22:31" hidden="1"/>
    <row r="1008" spans="22:31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</sheetData>
  <sortState xmlns:xlrd2="http://schemas.microsoft.com/office/spreadsheetml/2017/richdata2" ref="Y8:Z34">
    <sortCondition ref="Z8"/>
  </sortState>
  <dataValidations disablePrompts="1" count="2">
    <dataValidation type="list" allowBlank="1" showInputMessage="1" showErrorMessage="1" sqref="U434:U1250 T1001:T1250" xr:uid="{00000000-0002-0000-0000-000000000000}">
      <formula1>$Y$8:$Y$36</formula1>
    </dataValidation>
    <dataValidation type="list" allowBlank="1" showInputMessage="1" showErrorMessage="1" sqref="T32:T1000 U32:U433" xr:uid="{00000000-0002-0000-0000-000001000000}">
      <formula1>$Y$8:$Y$55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nviar_RF">
                <anchor moveWithCells="1" sizeWithCells="1">
                  <from>
                    <xdr:col>8</xdr:col>
                    <xdr:colOff>123825</xdr:colOff>
                    <xdr:row>0</xdr:row>
                    <xdr:rowOff>190500</xdr:rowOff>
                  </from>
                  <to>
                    <xdr:col>10</xdr:col>
                    <xdr:colOff>904875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5" name="Button 44">
              <controlPr defaultSize="0" print="0" autoFill="0" autoPict="0" macro="[0]!compute_allocation">
                <anchor moveWithCells="1" sizeWithCells="1">
                  <from>
                    <xdr:col>12</xdr:col>
                    <xdr:colOff>9525</xdr:colOff>
                    <xdr:row>0</xdr:row>
                    <xdr:rowOff>180975</xdr:rowOff>
                  </from>
                  <to>
                    <xdr:col>14</xdr:col>
                    <xdr:colOff>523875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2:X60"/>
  <sheetViews>
    <sheetView workbookViewId="0">
      <selection activeCell="C3" sqref="C3"/>
    </sheetView>
  </sheetViews>
  <sheetFormatPr baseColWidth="10" defaultRowHeight="15"/>
  <cols>
    <col min="1" max="1" width="11.85546875" bestFit="1" customWidth="1"/>
    <col min="2" max="2" width="7" bestFit="1" customWidth="1"/>
    <col min="3" max="3" width="4.85546875" bestFit="1" customWidth="1"/>
    <col min="4" max="4" width="7" bestFit="1" customWidth="1"/>
    <col min="5" max="5" width="6" bestFit="1" customWidth="1"/>
    <col min="6" max="6" width="4.42578125" bestFit="1" customWidth="1"/>
    <col min="7" max="7" width="11.5703125" bestFit="1" customWidth="1"/>
    <col min="8" max="8" width="12" bestFit="1" customWidth="1"/>
    <col min="9" max="9" width="5.28515625" bestFit="1" customWidth="1"/>
    <col min="10" max="10" width="3.7109375" bestFit="1" customWidth="1"/>
    <col min="11" max="11" width="8.42578125" bestFit="1" customWidth="1"/>
    <col min="12" max="12" width="6.85546875" bestFit="1" customWidth="1"/>
    <col min="13" max="13" width="14.140625" bestFit="1" customWidth="1"/>
    <col min="14" max="14" width="8.85546875" bestFit="1" customWidth="1"/>
    <col min="15" max="15" width="11.85546875" bestFit="1" customWidth="1"/>
    <col min="16" max="16" width="8.7109375" bestFit="1" customWidth="1"/>
    <col min="17" max="17" width="8" bestFit="1" customWidth="1"/>
    <col min="18" max="18" width="6" bestFit="1" customWidth="1"/>
    <col min="19" max="19" width="12.5703125" style="42" bestFit="1" customWidth="1"/>
    <col min="20" max="20" width="15.140625" bestFit="1" customWidth="1"/>
    <col min="21" max="21" width="14.140625" bestFit="1" customWidth="1"/>
    <col min="22" max="22" width="12" customWidth="1"/>
    <col min="23" max="23" width="13" customWidth="1"/>
    <col min="24" max="24" width="12.42578125" customWidth="1"/>
    <col min="25" max="25" width="23.140625" customWidth="1"/>
    <col min="26" max="26" width="15.140625" customWidth="1"/>
  </cols>
  <sheetData>
    <row r="2" spans="1:19">
      <c r="A2" t="s">
        <v>20</v>
      </c>
      <c r="B2" t="s">
        <v>0</v>
      </c>
      <c r="C2" t="s">
        <v>21</v>
      </c>
      <c r="D2" t="s">
        <v>2</v>
      </c>
      <c r="E2" t="s">
        <v>22</v>
      </c>
      <c r="F2" t="s">
        <v>4</v>
      </c>
      <c r="G2" t="s">
        <v>5</v>
      </c>
      <c r="H2" t="s">
        <v>6</v>
      </c>
      <c r="I2" t="s">
        <v>12</v>
      </c>
      <c r="J2" t="s">
        <v>7</v>
      </c>
      <c r="K2" t="s">
        <v>8</v>
      </c>
      <c r="L2" t="s">
        <v>10</v>
      </c>
      <c r="M2" t="s">
        <v>9</v>
      </c>
      <c r="N2" t="s">
        <v>13</v>
      </c>
      <c r="O2" t="s">
        <v>14</v>
      </c>
      <c r="P2" t="s">
        <v>26</v>
      </c>
      <c r="Q2" t="s">
        <v>27</v>
      </c>
      <c r="R2" t="s">
        <v>28</v>
      </c>
      <c r="S2" s="42" t="s">
        <v>29</v>
      </c>
    </row>
    <row r="3" spans="1:19">
      <c r="A3" t="s">
        <v>174</v>
      </c>
      <c r="B3">
        <v>20</v>
      </c>
      <c r="D3">
        <v>66</v>
      </c>
      <c r="E3">
        <v>1</v>
      </c>
      <c r="F3" t="s">
        <v>175</v>
      </c>
      <c r="G3">
        <v>20130</v>
      </c>
      <c r="H3" t="s">
        <v>176</v>
      </c>
      <c r="I3" t="s">
        <v>170</v>
      </c>
      <c r="J3" t="s">
        <v>7</v>
      </c>
      <c r="K3" t="s">
        <v>169</v>
      </c>
      <c r="M3" t="s">
        <v>38</v>
      </c>
      <c r="N3">
        <v>500</v>
      </c>
      <c r="O3" t="s">
        <v>172</v>
      </c>
      <c r="P3">
        <v>1.02</v>
      </c>
      <c r="Q3">
        <v>100.86</v>
      </c>
      <c r="R3">
        <v>1.45</v>
      </c>
      <c r="S3" s="42">
        <v>14035609</v>
      </c>
    </row>
    <row r="4" spans="1:19">
      <c r="A4" s="51" t="s">
        <v>174</v>
      </c>
      <c r="B4" s="51">
        <v>20</v>
      </c>
      <c r="C4" s="51"/>
      <c r="D4" s="51">
        <v>66</v>
      </c>
      <c r="E4" s="51">
        <v>1</v>
      </c>
      <c r="F4" s="51" t="s">
        <v>175</v>
      </c>
      <c r="G4" s="51">
        <v>20131</v>
      </c>
      <c r="H4" s="51" t="s">
        <v>176</v>
      </c>
      <c r="I4" s="51" t="s">
        <v>170</v>
      </c>
      <c r="J4" s="51" t="s">
        <v>7</v>
      </c>
      <c r="K4" s="51" t="s">
        <v>169</v>
      </c>
      <c r="L4" s="51"/>
      <c r="M4" s="51" t="s">
        <v>38</v>
      </c>
      <c r="N4" s="52">
        <v>500</v>
      </c>
      <c r="O4" s="51" t="s">
        <v>172</v>
      </c>
      <c r="P4" s="51">
        <v>1.02</v>
      </c>
      <c r="Q4" s="51">
        <v>100.86</v>
      </c>
      <c r="R4" s="51">
        <v>1.45</v>
      </c>
      <c r="S4" s="52">
        <v>14035609</v>
      </c>
    </row>
    <row r="5" spans="1:19">
      <c r="A5" s="51" t="s">
        <v>174</v>
      </c>
      <c r="B5" s="51">
        <v>20</v>
      </c>
      <c r="C5" s="51"/>
      <c r="D5" s="51">
        <v>66</v>
      </c>
      <c r="E5" s="51">
        <v>1</v>
      </c>
      <c r="F5" s="51" t="s">
        <v>175</v>
      </c>
      <c r="G5" s="51">
        <v>20132</v>
      </c>
      <c r="H5" s="51" t="s">
        <v>176</v>
      </c>
      <c r="I5" s="51" t="s">
        <v>170</v>
      </c>
      <c r="J5" s="51" t="s">
        <v>7</v>
      </c>
      <c r="K5" s="51" t="s">
        <v>169</v>
      </c>
      <c r="L5" s="51"/>
      <c r="M5" s="51" t="s">
        <v>38</v>
      </c>
      <c r="N5" s="52">
        <v>500</v>
      </c>
      <c r="O5" s="51" t="s">
        <v>172</v>
      </c>
      <c r="P5" s="51">
        <v>1.02</v>
      </c>
      <c r="Q5" s="51">
        <v>100.86</v>
      </c>
      <c r="R5" s="51">
        <v>1.45</v>
      </c>
      <c r="S5" s="52">
        <v>14035609</v>
      </c>
    </row>
    <row r="6" spans="1:19">
      <c r="A6" s="51" t="s">
        <v>174</v>
      </c>
      <c r="B6" s="51">
        <v>51</v>
      </c>
      <c r="C6" s="51"/>
      <c r="D6" s="51">
        <v>66</v>
      </c>
      <c r="E6" s="51">
        <v>4</v>
      </c>
      <c r="F6" s="51" t="s">
        <v>173</v>
      </c>
      <c r="G6" s="51">
        <v>161066</v>
      </c>
      <c r="H6" s="51" t="s">
        <v>177</v>
      </c>
      <c r="I6" s="51" t="s">
        <v>171</v>
      </c>
      <c r="J6" s="51" t="s">
        <v>7</v>
      </c>
      <c r="K6" s="51" t="s">
        <v>169</v>
      </c>
      <c r="L6" s="51"/>
      <c r="M6" s="51" t="s">
        <v>41</v>
      </c>
      <c r="N6" s="52">
        <v>8000</v>
      </c>
      <c r="O6" s="51" t="s">
        <v>178</v>
      </c>
      <c r="P6" s="51">
        <v>11.05</v>
      </c>
      <c r="Q6" s="51">
        <v>126.38</v>
      </c>
      <c r="R6" s="51">
        <v>2.4500000000000002</v>
      </c>
      <c r="S6" s="52">
        <v>284279969</v>
      </c>
    </row>
    <row r="20" spans="21:21">
      <c r="U20" s="21"/>
    </row>
    <row r="21" spans="21:21">
      <c r="U21" s="21"/>
    </row>
    <row r="22" spans="21:21">
      <c r="U22" s="21"/>
    </row>
    <row r="23" spans="21:21">
      <c r="U23" s="21"/>
    </row>
    <row r="24" spans="21:21">
      <c r="U24" s="21"/>
    </row>
    <row r="25" spans="21:21">
      <c r="U25" s="21"/>
    </row>
    <row r="47" spans="24:24">
      <c r="X47" s="20"/>
    </row>
    <row r="48" spans="24:24">
      <c r="X48" s="20"/>
    </row>
    <row r="49" spans="20:24">
      <c r="X49" s="20"/>
    </row>
    <row r="50" spans="20:24">
      <c r="X50" s="20"/>
    </row>
    <row r="51" spans="20:24">
      <c r="X51" s="20"/>
    </row>
    <row r="52" spans="20:24">
      <c r="X52" s="20"/>
    </row>
    <row r="53" spans="20:24">
      <c r="X53" s="20"/>
    </row>
    <row r="54" spans="20:24">
      <c r="X54" s="20"/>
    </row>
    <row r="55" spans="20:24">
      <c r="X55" s="20"/>
    </row>
    <row r="57" spans="20:24">
      <c r="T57" s="41"/>
    </row>
    <row r="60" spans="20:24">
      <c r="T60" s="41"/>
      <c r="U60" s="4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N80"/>
  <sheetViews>
    <sheetView showGridLines="0" tabSelected="1" zoomScale="95" zoomScaleNormal="95" workbookViewId="0">
      <selection activeCell="J50" sqref="J50"/>
    </sheetView>
  </sheetViews>
  <sheetFormatPr baseColWidth="10" defaultColWidth="11.42578125" defaultRowHeight="15"/>
  <cols>
    <col min="1" max="1" width="24.5703125" customWidth="1"/>
    <col min="2" max="2" width="34.5703125" bestFit="1" customWidth="1"/>
    <col min="3" max="3" width="17.28515625" bestFit="1" customWidth="1"/>
    <col min="4" max="4" width="18.28515625" bestFit="1" customWidth="1"/>
    <col min="5" max="5" width="2" customWidth="1"/>
    <col min="6" max="6" width="34.5703125" bestFit="1" customWidth="1"/>
    <col min="7" max="7" width="18.7109375" customWidth="1"/>
    <col min="8" max="8" width="19.42578125" bestFit="1" customWidth="1"/>
  </cols>
  <sheetData>
    <row r="1" spans="1:14" ht="45" customHeight="1" thickBot="1">
      <c r="A1" s="4" t="s">
        <v>30</v>
      </c>
      <c r="B1" s="56" t="s">
        <v>31</v>
      </c>
      <c r="C1" s="56"/>
      <c r="D1" s="56"/>
      <c r="F1" s="56" t="s">
        <v>32</v>
      </c>
      <c r="G1" s="56"/>
      <c r="H1" s="56"/>
    </row>
    <row r="2" spans="1:14" ht="15.75" thickBot="1">
      <c r="A2" s="5"/>
      <c r="B2" s="8" t="s">
        <v>23</v>
      </c>
      <c r="C2" s="14" t="s">
        <v>25</v>
      </c>
      <c r="D2" s="14" t="s">
        <v>24</v>
      </c>
      <c r="E2" s="14"/>
      <c r="F2" s="14" t="s">
        <v>23</v>
      </c>
      <c r="G2" s="14" t="s">
        <v>25</v>
      </c>
      <c r="H2" s="15" t="s">
        <v>24</v>
      </c>
      <c r="L2" s="20">
        <v>1000</v>
      </c>
      <c r="M2" s="21">
        <v>21479592</v>
      </c>
      <c r="N2" s="21">
        <v>21479592</v>
      </c>
    </row>
    <row r="3" spans="1:14">
      <c r="B3" s="1" t="s">
        <v>35</v>
      </c>
      <c r="C3" s="2">
        <f>+SUMIFS(Subidos!$S:$S,Subidos!$L:$L,ResumenFondos!$B3,Subidos!$K:$K,"&lt;&gt;UD",Subidos!$F:$F,"&lt;&gt;P",Subidos!$F:$F,"&lt;&gt;F",Subidos!$F:$F,"&lt;&gt;C")</f>
        <v>0</v>
      </c>
      <c r="D3" s="2">
        <f>+SUMIFS(Subidos!$S:$S,Subidos!$M:$M,ResumenFondos!$B3,Subidos!$K:$K,"&lt;&gt;UD",Subidos!$F:$F,"&lt;&gt;P",Subidos!$F:$F,"&lt;&gt;F",Subidos!$F:$F,"&lt;&gt;C")</f>
        <v>0</v>
      </c>
      <c r="F3" s="1" t="s">
        <v>35</v>
      </c>
      <c r="G3" s="6">
        <f>+SUMIFS(Subidos!$P:$P,Subidos!$Q:$Q,ResumenFondos!$F3,Subidos!$M:$M,"=UD",Subidos!$F:$F,"&lt;&gt;P",Subidos!$F:$F,"&lt;&gt;F")</f>
        <v>0</v>
      </c>
      <c r="H3" s="7">
        <f>+SUMIFS(Subidos!$P:$P,Subidos!$R:$R,ResumenFondos!$F3,Subidos!$M:$M,"=UD",Subidos!$F:$F,"&lt;&gt;P",Subidos!$F:$F,"&lt;&gt;F")</f>
        <v>0</v>
      </c>
      <c r="L3" s="20">
        <v>1000</v>
      </c>
      <c r="M3" s="21">
        <v>21479592</v>
      </c>
      <c r="N3" s="21">
        <v>21479592</v>
      </c>
    </row>
    <row r="4" spans="1:14">
      <c r="B4" s="1" t="s">
        <v>36</v>
      </c>
      <c r="C4" s="2">
        <f>+SUMIFS(Subidos!$S:$S,Subidos!$L:$L,ResumenFondos!$B4,Subidos!$K:$K,"&lt;&gt;UD",Subidos!$F:$F,"&lt;&gt;P",Subidos!$F:$F,"&lt;&gt;F",Subidos!$F:$F,"&lt;&gt;C")</f>
        <v>0</v>
      </c>
      <c r="D4" s="3">
        <f>+SUMIFS(Subidos!$S:$S,Subidos!$M:$M,ResumenFondos!$B4,Subidos!$K:$K,"&lt;&gt;UD",Subidos!$F:$F,"&lt;&gt;P",Subidos!$F:$F,"&lt;&gt;F",Subidos!$F:$F,"&lt;&gt;C")</f>
        <v>0</v>
      </c>
      <c r="F4" s="1" t="s">
        <v>36</v>
      </c>
      <c r="G4" s="6">
        <f>+SUMIFS(Subidos!$P:$P,Subidos!$Q:$Q,ResumenFondos!$F4,Subidos!$M:$M,"=UD",Subidos!$F:$F,"&lt;&gt;P",Subidos!$F:$F,"&lt;&gt;F")</f>
        <v>0</v>
      </c>
      <c r="H4" s="7">
        <f>+SUMIFS(Subidos!$P:$P,Subidos!$R:$R,ResumenFondos!$F4,Subidos!$M:$M,"=UD",Subidos!$F:$F,"&lt;&gt;P",Subidos!$F:$F,"&lt;&gt;F")</f>
        <v>0</v>
      </c>
      <c r="L4" s="20">
        <v>1000</v>
      </c>
      <c r="M4" s="21">
        <v>21479592</v>
      </c>
      <c r="N4" s="21">
        <v>21479592</v>
      </c>
    </row>
    <row r="5" spans="1:14">
      <c r="B5" s="1" t="s">
        <v>37</v>
      </c>
      <c r="C5" s="2">
        <f>+SUMIFS(Subidos!$S:$S,Subidos!$L:$L,ResumenFondos!$B5,Subidos!$K:$K,"&lt;&gt;UD",Subidos!$F:$F,"&lt;&gt;P",Subidos!$F:$F,"&lt;&gt;F",Subidos!$F:$F,"&lt;&gt;C")</f>
        <v>0</v>
      </c>
      <c r="D5" s="3">
        <f>+SUMIFS(Subidos!$S:$S,Subidos!$M:$M,ResumenFondos!$B5,Subidos!$K:$K,"&lt;&gt;UD",Subidos!$F:$F,"&lt;&gt;P",Subidos!$F:$F,"&lt;&gt;F",Subidos!$F:$F,"&lt;&gt;C")</f>
        <v>0</v>
      </c>
      <c r="F5" s="1" t="s">
        <v>37</v>
      </c>
      <c r="G5" s="6">
        <f>+SUMIFS(Subidos!$P:$P,Subidos!$Q:$Q,ResumenFondos!$F5,Subidos!$M:$M,"=UD",Subidos!$F:$F,"&lt;&gt;P",Subidos!$F:$F,"&lt;&gt;F")</f>
        <v>0</v>
      </c>
      <c r="H5" s="7">
        <f>+SUMIFS(Subidos!$P:$P,Subidos!$R:$R,ResumenFondos!$F5,Subidos!$M:$M,"=UD",Subidos!$F:$F,"&lt;&gt;P",Subidos!$F:$F,"&lt;&gt;F")</f>
        <v>0</v>
      </c>
      <c r="L5" s="20">
        <v>1000</v>
      </c>
      <c r="M5" s="21">
        <v>21479592</v>
      </c>
      <c r="N5" s="21">
        <v>21479592</v>
      </c>
    </row>
    <row r="6" spans="1:14">
      <c r="B6" s="1" t="s">
        <v>38</v>
      </c>
      <c r="C6" s="2">
        <f>+SUMIFS(Subidos!$S:$S,Subidos!$L:$L,ResumenFondos!$B6,Subidos!$K:$K,"&lt;&gt;UD",Subidos!$F:$F,"&lt;&gt;P",Subidos!$F:$F,"&lt;&gt;F",Subidos!$F:$F,"&lt;&gt;C")</f>
        <v>0</v>
      </c>
      <c r="D6" s="3">
        <f>+SUMIFS(Subidos!$S:$S,Subidos!$M:$M,ResumenFondos!$B6,Subidos!$K:$K,"&lt;&gt;UD",Subidos!$F:$F,"&lt;&gt;P",Subidos!$F:$F,"&lt;&gt;F",Subidos!$F:$F,"&lt;&gt;C")</f>
        <v>42106827</v>
      </c>
      <c r="F6" s="1" t="s">
        <v>38</v>
      </c>
      <c r="G6" s="6">
        <f>+SUMIFS(Subidos!$P:$P,Subidos!$Q:$Q,ResumenFondos!$F6,Subidos!$M:$M,"=UD",Subidos!$F:$F,"&lt;&gt;P",Subidos!$F:$F,"&lt;&gt;F")</f>
        <v>0</v>
      </c>
      <c r="H6" s="7">
        <f>+SUMIFS(Subidos!$P:$P,Subidos!$R:$R,ResumenFondos!$F6,Subidos!$M:$M,"=UD",Subidos!$F:$F,"&lt;&gt;P",Subidos!$F:$F,"&lt;&gt;F")</f>
        <v>0</v>
      </c>
      <c r="L6" s="20">
        <v>1000</v>
      </c>
      <c r="M6" s="21">
        <v>21479592</v>
      </c>
      <c r="N6" s="21">
        <v>21479592</v>
      </c>
    </row>
    <row r="7" spans="1:14">
      <c r="B7" s="1" t="s">
        <v>39</v>
      </c>
      <c r="C7" s="2">
        <f>+SUMIFS(Subidos!$S:$S,Subidos!$L:$L,ResumenFondos!$B7,Subidos!$K:$K,"&lt;&gt;UD",Subidos!$F:$F,"&lt;&gt;P",Subidos!$F:$F,"&lt;&gt;F",Subidos!$F:$F,"&lt;&gt;C")</f>
        <v>0</v>
      </c>
      <c r="D7" s="3">
        <f>+SUMIFS(Subidos!$S:$S,Subidos!$M:$M,ResumenFondos!$B7,Subidos!$K:$K,"&lt;&gt;UD",Subidos!$F:$F,"&lt;&gt;P",Subidos!$F:$F,"&lt;&gt;F",Subidos!$F:$F,"&lt;&gt;C")</f>
        <v>0</v>
      </c>
      <c r="F7" s="1" t="s">
        <v>39</v>
      </c>
      <c r="G7" s="6">
        <f>+SUMIFS(Subidos!$P:$P,Subidos!$Q:$Q,ResumenFondos!$F7,Subidos!$M:$M,"=UD",Subidos!$F:$F,"&lt;&gt;P",Subidos!$F:$F,"&lt;&gt;F")</f>
        <v>0</v>
      </c>
      <c r="H7" s="7">
        <f>+SUMIFS(Subidos!$P:$P,Subidos!$R:$R,ResumenFondos!$F7,Subidos!$M:$M,"=UD",Subidos!$F:$F,"&lt;&gt;P",Subidos!$F:$F,"&lt;&gt;F")</f>
        <v>0</v>
      </c>
      <c r="L7" s="20">
        <v>1000</v>
      </c>
      <c r="M7" s="21">
        <v>21479592</v>
      </c>
      <c r="N7" s="21">
        <v>21479592</v>
      </c>
    </row>
    <row r="8" spans="1:14">
      <c r="B8" s="1" t="s">
        <v>115</v>
      </c>
      <c r="C8" s="2">
        <f>+SUMIFS(Subidos!$S:$S,Subidos!$L:$L,ResumenFondos!$B8,Subidos!$K:$K,"&lt;&gt;UD",Subidos!$F:$F,"&lt;&gt;P",Subidos!$F:$F,"&lt;&gt;F",Subidos!$F:$F,"&lt;&gt;C")</f>
        <v>0</v>
      </c>
      <c r="D8" s="3">
        <f>+SUMIFS(Subidos!$S:$S,Subidos!$M:$M,ResumenFondos!$B8,Subidos!$K:$K,"&lt;&gt;UD",Subidos!$F:$F,"&lt;&gt;P",Subidos!$F:$F,"&lt;&gt;F",Subidos!$F:$F,"&lt;&gt;C")</f>
        <v>0</v>
      </c>
      <c r="F8" s="1" t="s">
        <v>115</v>
      </c>
      <c r="G8" s="6">
        <f>+SUMIFS(Subidos!$P:$P,Subidos!$Q:$Q,ResumenFondos!$F8,Subidos!$M:$M,"=UD",Subidos!$F:$F,"&lt;&gt;P",Subidos!$F:$F,"&lt;&gt;F")</f>
        <v>0</v>
      </c>
      <c r="H8" s="7">
        <f>+SUMIFS(Subidos!$P:$P,Subidos!$R:$R,ResumenFondos!$F8,Subidos!$M:$M,"=UD",Subidos!$F:$F,"&lt;&gt;P",Subidos!$F:$F,"&lt;&gt;F")</f>
        <v>0</v>
      </c>
      <c r="L8" s="20">
        <v>1000</v>
      </c>
      <c r="M8" s="21">
        <v>21479592</v>
      </c>
      <c r="N8" s="21">
        <v>21479592</v>
      </c>
    </row>
    <row r="9" spans="1:14">
      <c r="B9" s="1" t="s">
        <v>40</v>
      </c>
      <c r="C9" s="2">
        <f>+SUMIFS(Subidos!$S:$S,Subidos!$L:$L,ResumenFondos!$B9,Subidos!$K:$K,"&lt;&gt;UD",Subidos!$F:$F,"&lt;&gt;P",Subidos!$F:$F,"&lt;&gt;F",Subidos!$F:$F,"&lt;&gt;C")</f>
        <v>0</v>
      </c>
      <c r="D9" s="3">
        <f>+SUMIFS(Subidos!$S:$S,Subidos!$M:$M,ResumenFondos!$B9,Subidos!$K:$K,"&lt;&gt;UD",Subidos!$F:$F,"&lt;&gt;P",Subidos!$F:$F,"&lt;&gt;F",Subidos!$F:$F,"&lt;&gt;C")</f>
        <v>0</v>
      </c>
      <c r="F9" s="1" t="s">
        <v>40</v>
      </c>
      <c r="G9" s="6">
        <f>+SUMIFS(Subidos!$P:$P,Subidos!$Q:$Q,ResumenFondos!$F9,Subidos!$M:$M,"=UD",Subidos!$F:$F,"&lt;&gt;P",Subidos!$F:$F,"&lt;&gt;F")</f>
        <v>0</v>
      </c>
      <c r="H9" s="7">
        <f>+SUMIFS(Subidos!$P:$P,Subidos!$R:$R,ResumenFondos!$F9,Subidos!$M:$M,"=UD",Subidos!$F:$F,"&lt;&gt;P",Subidos!$F:$F,"&lt;&gt;F")</f>
        <v>0</v>
      </c>
      <c r="L9" s="20">
        <v>1000</v>
      </c>
      <c r="M9" s="21">
        <v>21479592</v>
      </c>
      <c r="N9" s="21">
        <v>21479592</v>
      </c>
    </row>
    <row r="10" spans="1:14">
      <c r="B10" s="1" t="s">
        <v>41</v>
      </c>
      <c r="C10" s="2">
        <f>+SUMIFS(Subidos!$S:$S,Subidos!$L:$L,ResumenFondos!$B10,Subidos!$K:$K,"&lt;&gt;UD",Subidos!$F:$F,"&lt;&gt;P",Subidos!$F:$F,"&lt;&gt;F",Subidos!$F:$F,"&lt;&gt;C")</f>
        <v>0</v>
      </c>
      <c r="D10" s="3">
        <f>+SUMIFS(Subidos!$S:$S,Subidos!$M:$M,ResumenFondos!$B10,Subidos!$K:$K,"&lt;&gt;UD",Subidos!$F:$F,"&lt;&gt;P",Subidos!$F:$F,"&lt;&gt;F",Subidos!$F:$F,"&lt;&gt;C")</f>
        <v>284279969</v>
      </c>
      <c r="F10" s="1" t="s">
        <v>41</v>
      </c>
      <c r="G10" s="6">
        <f>+SUMIFS(Subidos!$P:$P,Subidos!$Q:$Q,ResumenFondos!$F10,Subidos!$M:$M,"=UD",Subidos!$F:$F,"&lt;&gt;P",Subidos!$F:$F,"&lt;&gt;F")</f>
        <v>0</v>
      </c>
      <c r="H10" s="7">
        <f>+SUMIFS(Subidos!$P:$P,Subidos!$R:$R,ResumenFondos!$F10,Subidos!$M:$M,"=UD",Subidos!$F:$F,"&lt;&gt;P",Subidos!$F:$F,"&lt;&gt;F")</f>
        <v>0</v>
      </c>
      <c r="L10" s="20">
        <v>1000</v>
      </c>
      <c r="M10" s="21">
        <v>21479592</v>
      </c>
      <c r="N10" s="21">
        <v>21479592</v>
      </c>
    </row>
    <row r="11" spans="1:14">
      <c r="B11" s="1" t="s">
        <v>42</v>
      </c>
      <c r="C11" s="2">
        <f>+SUMIFS(Subidos!$S:$S,Subidos!$L:$L,ResumenFondos!$B11,Subidos!$K:$K,"&lt;&gt;UD",Subidos!$F:$F,"&lt;&gt;P",Subidos!$F:$F,"&lt;&gt;F",Subidos!$F:$F,"&lt;&gt;C")</f>
        <v>0</v>
      </c>
      <c r="D11" s="3">
        <f>+SUMIFS(Subidos!$S:$S,Subidos!$M:$M,ResumenFondos!$B11,Subidos!$K:$K,"&lt;&gt;UD",Subidos!$F:$F,"&lt;&gt;P",Subidos!$F:$F,"&lt;&gt;F",Subidos!$F:$F,"&lt;&gt;C")</f>
        <v>0</v>
      </c>
      <c r="F11" s="1" t="s">
        <v>42</v>
      </c>
      <c r="G11" s="6">
        <f>+SUMIFS(Subidos!$P:$P,Subidos!$Q:$Q,ResumenFondos!$F11,Subidos!$M:$M,"=UD",Subidos!$F:$F,"&lt;&gt;P",Subidos!$F:$F,"&lt;&gt;F")</f>
        <v>0</v>
      </c>
      <c r="H11" s="7">
        <f>+SUMIFS(Subidos!$P:$P,Subidos!$R:$R,ResumenFondos!$F11,Subidos!$M:$M,"=UD",Subidos!$F:$F,"&lt;&gt;P",Subidos!$F:$F,"&lt;&gt;F")</f>
        <v>0</v>
      </c>
      <c r="L11" s="20">
        <v>1000</v>
      </c>
      <c r="M11" s="21">
        <v>21479592</v>
      </c>
      <c r="N11" s="21">
        <v>21479592</v>
      </c>
    </row>
    <row r="12" spans="1:14">
      <c r="B12" s="1" t="s">
        <v>43</v>
      </c>
      <c r="C12" s="2">
        <f>+SUMIFS(Subidos!$S:$S,Subidos!$L:$L,ResumenFondos!$B12,Subidos!$K:$K,"&lt;&gt;UD",Subidos!$F:$F,"&lt;&gt;P",Subidos!$F:$F,"&lt;&gt;F",Subidos!$F:$F,"&lt;&gt;C")</f>
        <v>0</v>
      </c>
      <c r="D12" s="3">
        <f>+SUMIFS(Subidos!$S:$S,Subidos!$M:$M,ResumenFondos!$B12,Subidos!$K:$K,"&lt;&gt;UD",Subidos!$F:$F,"&lt;&gt;P",Subidos!$F:$F,"&lt;&gt;F",Subidos!$F:$F,"&lt;&gt;C")</f>
        <v>0</v>
      </c>
      <c r="F12" s="1" t="s">
        <v>43</v>
      </c>
      <c r="G12" s="6">
        <f>+SUMIFS(Subidos!$P:$P,Subidos!$Q:$Q,ResumenFondos!$F12,Subidos!$M:$M,"=UD",Subidos!$F:$F,"&lt;&gt;P",Subidos!$F:$F,"&lt;&gt;F")</f>
        <v>0</v>
      </c>
      <c r="H12" s="7">
        <f>+SUMIFS(Subidos!$P:$P,Subidos!$R:$R,ResumenFondos!$F12,Subidos!$M:$M,"=UD",Subidos!$F:$F,"&lt;&gt;P",Subidos!$F:$F,"&lt;&gt;F")</f>
        <v>0</v>
      </c>
      <c r="L12" s="20">
        <v>1000</v>
      </c>
      <c r="M12" s="21">
        <v>21479592</v>
      </c>
      <c r="N12" s="21">
        <v>21479592</v>
      </c>
    </row>
    <row r="13" spans="1:14">
      <c r="B13" s="1" t="s">
        <v>45</v>
      </c>
      <c r="C13" s="2">
        <f>+SUMIFS(Subidos!$S:$S,Subidos!$L:$L,ResumenFondos!$B13,Subidos!$K:$K,"&lt;&gt;UD",Subidos!$F:$F,"&lt;&gt;P",Subidos!$F:$F,"&lt;&gt;F",Subidos!$F:$F,"&lt;&gt;C")</f>
        <v>0</v>
      </c>
      <c r="D13" s="3">
        <f>+SUMIFS(Subidos!$S:$S,Subidos!$M:$M,ResumenFondos!$B13,Subidos!$K:$K,"&lt;&gt;UD",Subidos!$F:$F,"&lt;&gt;P",Subidos!$F:$F,"&lt;&gt;F",Subidos!$F:$F,"&lt;&gt;C")</f>
        <v>0</v>
      </c>
      <c r="F13" s="1" t="s">
        <v>45</v>
      </c>
      <c r="G13" s="6">
        <f>+SUMIFS(Subidos!$P:$P,Subidos!$Q:$Q,ResumenFondos!$F13,Subidos!$M:$M,"=UD",Subidos!$F:$F,"&lt;&gt;P",Subidos!$F:$F,"&lt;&gt;F")</f>
        <v>0</v>
      </c>
      <c r="H13" s="7">
        <f>+SUMIFS(Subidos!$P:$P,Subidos!$R:$R,ResumenFondos!$F13,Subidos!$M:$M,"=UD",Subidos!$F:$F,"&lt;&gt;P",Subidos!$F:$F,"&lt;&gt;F")</f>
        <v>0</v>
      </c>
      <c r="L13" s="20">
        <v>1000</v>
      </c>
      <c r="M13" s="21">
        <v>21479592</v>
      </c>
      <c r="N13" s="21">
        <v>21479592</v>
      </c>
    </row>
    <row r="14" spans="1:14">
      <c r="B14" s="1" t="s">
        <v>46</v>
      </c>
      <c r="C14" s="2">
        <f>+SUMIFS(Subidos!$S:$S,Subidos!$L:$L,ResumenFondos!$B14,Subidos!$K:$K,"&lt;&gt;UD",Subidos!$F:$F,"&lt;&gt;P",Subidos!$F:$F,"&lt;&gt;F",Subidos!$F:$F,"&lt;&gt;C")</f>
        <v>0</v>
      </c>
      <c r="D14" s="3">
        <f>+SUMIFS(Subidos!$S:$S,Subidos!$M:$M,ResumenFondos!$B14,Subidos!$K:$K,"&lt;&gt;UD",Subidos!$F:$F,"&lt;&gt;P",Subidos!$F:$F,"&lt;&gt;F",Subidos!$F:$F,"&lt;&gt;C")</f>
        <v>0</v>
      </c>
      <c r="F14" s="1" t="s">
        <v>46</v>
      </c>
      <c r="G14" s="6">
        <f>+SUMIFS(Subidos!$P:$P,Subidos!$Q:$Q,ResumenFondos!$F14,Subidos!$M:$M,"=UD",Subidos!$F:$F,"&lt;&gt;P",Subidos!$F:$F,"&lt;&gt;F")</f>
        <v>0</v>
      </c>
      <c r="H14" s="7">
        <f>+SUMIFS(Subidos!$P:$P,Subidos!$R:$R,ResumenFondos!$F14,Subidos!$M:$M,"=UD",Subidos!$F:$F,"&lt;&gt;P",Subidos!$F:$F,"&lt;&gt;F")</f>
        <v>0</v>
      </c>
      <c r="L14" s="20">
        <v>1000</v>
      </c>
      <c r="M14" s="21">
        <v>21479592</v>
      </c>
      <c r="N14" s="21">
        <v>21479592</v>
      </c>
    </row>
    <row r="15" spans="1:14">
      <c r="B15" s="1" t="s">
        <v>48</v>
      </c>
      <c r="C15" s="2">
        <f>+SUMIFS(Subidos!$S:$S,Subidos!$L:$L,ResumenFondos!$B15,Subidos!$K:$K,"&lt;&gt;UD",Subidos!$F:$F,"&lt;&gt;P",Subidos!$F:$F,"&lt;&gt;F",Subidos!$F:$F,"&lt;&gt;C")</f>
        <v>0</v>
      </c>
      <c r="D15" s="3">
        <f>+SUMIFS(Subidos!$S:$S,Subidos!$M:$M,ResumenFondos!$B15,Subidos!$K:$K,"&lt;&gt;UD",Subidos!$F:$F,"&lt;&gt;P",Subidos!$F:$F,"&lt;&gt;F",Subidos!$F:$F,"&lt;&gt;C")</f>
        <v>0</v>
      </c>
      <c r="F15" s="1" t="s">
        <v>48</v>
      </c>
      <c r="G15" s="6">
        <f>+SUMIFS(Subidos!$P:$P,Subidos!$Q:$Q,ResumenFondos!$F15,Subidos!$M:$M,"=UD",Subidos!$F:$F,"&lt;&gt;P",Subidos!$F:$F,"&lt;&gt;F")</f>
        <v>0</v>
      </c>
      <c r="H15" s="7">
        <f>+SUMIFS(Subidos!$P:$P,Subidos!$R:$R,ResumenFondos!$F15,Subidos!$M:$M,"=UD",Subidos!$F:$F,"&lt;&gt;P",Subidos!$F:$F,"&lt;&gt;F")</f>
        <v>0</v>
      </c>
      <c r="L15" s="20">
        <v>1000</v>
      </c>
      <c r="M15" s="21">
        <v>21479592</v>
      </c>
      <c r="N15" s="21">
        <v>21479592</v>
      </c>
    </row>
    <row r="16" spans="1:14">
      <c r="B16" s="1" t="s">
        <v>49</v>
      </c>
      <c r="C16" s="2">
        <f>+SUMIFS(Subidos!$S:$S,Subidos!$L:$L,ResumenFondos!$B16,Subidos!$K:$K,"&lt;&gt;UD",Subidos!$F:$F,"&lt;&gt;P",Subidos!$F:$F,"&lt;&gt;F",Subidos!$F:$F,"&lt;&gt;C")</f>
        <v>0</v>
      </c>
      <c r="D16" s="3">
        <f>+SUMIFS(Subidos!$S:$S,Subidos!$M:$M,ResumenFondos!$B16,Subidos!$K:$K,"&lt;&gt;UD",Subidos!$F:$F,"&lt;&gt;P",Subidos!$F:$F,"&lt;&gt;F",Subidos!$F:$F,"&lt;&gt;C")</f>
        <v>0</v>
      </c>
      <c r="F16" s="1" t="s">
        <v>49</v>
      </c>
      <c r="G16" s="6">
        <f>+SUMIFS(Subidos!$P:$P,Subidos!$Q:$Q,ResumenFondos!$F16,Subidos!$M:$M,"=UD",Subidos!$F:$F,"&lt;&gt;P",Subidos!$F:$F,"&lt;&gt;F")</f>
        <v>0</v>
      </c>
      <c r="H16" s="7">
        <f>+SUMIFS(Subidos!$P:$P,Subidos!$R:$R,ResumenFondos!$F16,Subidos!$M:$M,"=UD",Subidos!$F:$F,"&lt;&gt;P",Subidos!$F:$F,"&lt;&gt;F")</f>
        <v>0</v>
      </c>
      <c r="L16" s="20">
        <v>1000</v>
      </c>
      <c r="M16" s="21">
        <v>21479592</v>
      </c>
      <c r="N16" s="21">
        <v>21479592</v>
      </c>
    </row>
    <row r="17" spans="2:14">
      <c r="B17" s="1" t="s">
        <v>51</v>
      </c>
      <c r="C17" s="2">
        <f>+SUMIFS(Subidos!$S:$S,Subidos!$L:$L,ResumenFondos!$B17,Subidos!$K:$K,"&lt;&gt;UD",Subidos!$F:$F,"&lt;&gt;P",Subidos!$F:$F,"&lt;&gt;F",Subidos!$F:$F,"&lt;&gt;C")</f>
        <v>0</v>
      </c>
      <c r="D17" s="3">
        <f>+SUMIFS(Subidos!$S:$S,Subidos!$M:$M,ResumenFondos!$B17,Subidos!$K:$K,"&lt;&gt;UD",Subidos!$F:$F,"&lt;&gt;P",Subidos!$F:$F,"&lt;&gt;F",Subidos!$F:$F,"&lt;&gt;C")</f>
        <v>0</v>
      </c>
      <c r="F17" s="1" t="s">
        <v>51</v>
      </c>
      <c r="G17" s="6">
        <f>+SUMIFS(Subidos!$P:$P,Subidos!$Q:$Q,ResumenFondos!$F17,Subidos!$M:$M,"=UD",Subidos!$F:$F,"&lt;&gt;P",Subidos!$F:$F,"&lt;&gt;F")</f>
        <v>0</v>
      </c>
      <c r="H17" s="7">
        <f>+SUMIFS(Subidos!$P:$P,Subidos!$R:$R,ResumenFondos!$F17,Subidos!$M:$M,"=UD",Subidos!$F:$F,"&lt;&gt;P",Subidos!$F:$F,"&lt;&gt;F")</f>
        <v>0</v>
      </c>
      <c r="L17" s="20">
        <v>1000</v>
      </c>
      <c r="M17" s="21">
        <v>21479592</v>
      </c>
      <c r="N17" s="21">
        <v>21479592</v>
      </c>
    </row>
    <row r="18" spans="2:14">
      <c r="B18" s="1" t="s">
        <v>53</v>
      </c>
      <c r="C18" s="2">
        <f>+SUMIFS(Subidos!$S:$S,Subidos!$L:$L,ResumenFondos!$B18,Subidos!$K:$K,"&lt;&gt;UD",Subidos!$F:$F,"&lt;&gt;P",Subidos!$F:$F,"&lt;&gt;F",Subidos!$F:$F,"&lt;&gt;C")</f>
        <v>0</v>
      </c>
      <c r="D18" s="3">
        <f>+SUMIFS(Subidos!$S:$S,Subidos!$M:$M,ResumenFondos!$B18,Subidos!$K:$K,"&lt;&gt;UD",Subidos!$F:$F,"&lt;&gt;P",Subidos!$F:$F,"&lt;&gt;F",Subidos!$F:$F,"&lt;&gt;C")</f>
        <v>0</v>
      </c>
      <c r="F18" s="1" t="s">
        <v>53</v>
      </c>
      <c r="G18" s="6">
        <f>+SUMIFS(Subidos!$P:$P,Subidos!$Q:$Q,ResumenFondos!$F18,Subidos!$M:$M,"=UD",Subidos!$F:$F,"&lt;&gt;P",Subidos!$F:$F,"&lt;&gt;F")</f>
        <v>0</v>
      </c>
      <c r="H18" s="7">
        <f>+SUMIFS(Subidos!$P:$P,Subidos!$R:$R,ResumenFondos!$F18,Subidos!$M:$M,"=UD",Subidos!$F:$F,"&lt;&gt;P",Subidos!$F:$F,"&lt;&gt;F")</f>
        <v>0</v>
      </c>
      <c r="L18" s="20">
        <v>1000</v>
      </c>
      <c r="M18" s="21">
        <v>21479592</v>
      </c>
      <c r="N18" s="21">
        <v>21479592</v>
      </c>
    </row>
    <row r="19" spans="2:14">
      <c r="B19" s="1" t="s">
        <v>55</v>
      </c>
      <c r="C19" s="2">
        <f>+SUMIFS(Subidos!$S:$S,Subidos!$L:$L,ResumenFondos!$B19,Subidos!$K:$K,"&lt;&gt;UD",Subidos!$F:$F,"&lt;&gt;P",Subidos!$F:$F,"&lt;&gt;F",Subidos!$F:$F,"&lt;&gt;C")</f>
        <v>0</v>
      </c>
      <c r="D19" s="3">
        <f>+SUMIFS(Subidos!$S:$S,Subidos!$M:$M,ResumenFondos!$B19,Subidos!$K:$K,"&lt;&gt;UD",Subidos!$F:$F,"&lt;&gt;P",Subidos!$F:$F,"&lt;&gt;F",Subidos!$F:$F,"&lt;&gt;C")</f>
        <v>0</v>
      </c>
      <c r="F19" s="1" t="s">
        <v>55</v>
      </c>
      <c r="G19" s="6">
        <f>+SUMIFS(Subidos!$P:$P,Subidos!$Q:$Q,ResumenFondos!$F19,Subidos!$M:$M,"=UD",Subidos!$F:$F,"&lt;&gt;P",Subidos!$F:$F,"&lt;&gt;F")</f>
        <v>0</v>
      </c>
      <c r="H19" s="7">
        <f>+SUMIFS(Subidos!$P:$P,Subidos!$R:$R,ResumenFondos!$F19,Subidos!$M:$M,"=UD",Subidos!$F:$F,"&lt;&gt;P",Subidos!$F:$F,"&lt;&gt;F")</f>
        <v>0</v>
      </c>
      <c r="L19" s="20">
        <v>1000</v>
      </c>
      <c r="M19" s="21">
        <v>21479592</v>
      </c>
      <c r="N19" s="21">
        <v>21479592</v>
      </c>
    </row>
    <row r="20" spans="2:14">
      <c r="B20" s="1" t="s">
        <v>57</v>
      </c>
      <c r="C20" s="2">
        <f>+SUMIFS(Subidos!$S:$S,Subidos!$L:$L,ResumenFondos!$B20,Subidos!$K:$K,"&lt;&gt;UD",Subidos!$F:$F,"&lt;&gt;P",Subidos!$F:$F,"&lt;&gt;F",Subidos!$F:$F,"&lt;&gt;C")</f>
        <v>0</v>
      </c>
      <c r="D20" s="3">
        <f>+SUMIFS(Subidos!$S:$S,Subidos!$M:$M,ResumenFondos!$B20,Subidos!$K:$K,"&lt;&gt;UD",Subidos!$F:$F,"&lt;&gt;P",Subidos!$F:$F,"&lt;&gt;F",Subidos!$F:$F,"&lt;&gt;C")</f>
        <v>0</v>
      </c>
      <c r="F20" s="1" t="s">
        <v>57</v>
      </c>
      <c r="G20" s="6">
        <f>+SUMIFS(Subidos!$P:$P,Subidos!$Q:$Q,ResumenFondos!$F20,Subidos!$M:$M,"=UD",Subidos!$F:$F,"&lt;&gt;P",Subidos!$F:$F,"&lt;&gt;F")</f>
        <v>0</v>
      </c>
      <c r="H20" s="7">
        <f>+SUMIFS(Subidos!$P:$P,Subidos!$R:$R,ResumenFondos!$F20,Subidos!$M:$M,"=UD",Subidos!$F:$F,"&lt;&gt;P",Subidos!$F:$F,"&lt;&gt;F")</f>
        <v>0</v>
      </c>
      <c r="L20" s="20">
        <v>1000</v>
      </c>
      <c r="M20" s="21">
        <v>21479592</v>
      </c>
      <c r="N20" s="21">
        <v>21479592</v>
      </c>
    </row>
    <row r="21" spans="2:14">
      <c r="B21" s="1" t="s">
        <v>59</v>
      </c>
      <c r="C21" s="2">
        <f>+SUMIFS(Subidos!$S:$S,Subidos!$L:$L,ResumenFondos!$B21,Subidos!$K:$K,"&lt;&gt;UD",Subidos!$F:$F,"&lt;&gt;P",Subidos!$F:$F,"&lt;&gt;F",Subidos!$F:$F,"&lt;&gt;C")</f>
        <v>0</v>
      </c>
      <c r="D21" s="3">
        <f>+SUMIFS(Subidos!$S:$S,Subidos!$M:$M,ResumenFondos!$B21,Subidos!$K:$K,"&lt;&gt;UD",Subidos!$F:$F,"&lt;&gt;P",Subidos!$F:$F,"&lt;&gt;F",Subidos!$F:$F,"&lt;&gt;C")</f>
        <v>0</v>
      </c>
      <c r="F21" s="1" t="s">
        <v>59</v>
      </c>
      <c r="G21" s="6">
        <f>+SUMIFS(Subidos!$P:$P,Subidos!$Q:$Q,ResumenFondos!$F21,Subidos!$M:$M,"=UD",Subidos!$F:$F,"&lt;&gt;P",Subidos!$F:$F,"&lt;&gt;F")</f>
        <v>0</v>
      </c>
      <c r="H21" s="7">
        <f>+SUMIFS(Subidos!$P:$P,Subidos!$R:$R,ResumenFondos!$F21,Subidos!$M:$M,"=UD",Subidos!$F:$F,"&lt;&gt;P",Subidos!$F:$F,"&lt;&gt;F")</f>
        <v>0</v>
      </c>
      <c r="L21" s="20">
        <v>1000</v>
      </c>
      <c r="M21" s="21">
        <v>21479592</v>
      </c>
      <c r="N21" s="21">
        <v>21479592</v>
      </c>
    </row>
    <row r="22" spans="2:14">
      <c r="B22" s="1" t="s">
        <v>61</v>
      </c>
      <c r="C22" s="2">
        <f>+SUMIFS(Subidos!$S:$S,Subidos!$L:$L,ResumenFondos!$B22,Subidos!$K:$K,"&lt;&gt;UD",Subidos!$F:$F,"&lt;&gt;P",Subidos!$F:$F,"&lt;&gt;F",Subidos!$F:$F,"&lt;&gt;C")</f>
        <v>0</v>
      </c>
      <c r="D22" s="3">
        <f>+SUMIFS(Subidos!$S:$S,Subidos!$M:$M,ResumenFondos!$B22,Subidos!$K:$K,"&lt;&gt;UD",Subidos!$F:$F,"&lt;&gt;P",Subidos!$F:$F,"&lt;&gt;F",Subidos!$F:$F,"&lt;&gt;C")</f>
        <v>0</v>
      </c>
      <c r="F22" s="1" t="s">
        <v>61</v>
      </c>
      <c r="G22" s="6">
        <f>+SUMIFS(Subidos!$P:$P,Subidos!$Q:$Q,ResumenFondos!$F22,Subidos!$M:$M,"=UD",Subidos!$F:$F,"&lt;&gt;P",Subidos!$F:$F,"&lt;&gt;F")</f>
        <v>0</v>
      </c>
      <c r="H22" s="7">
        <f>+SUMIFS(Subidos!$P:$P,Subidos!$R:$R,ResumenFondos!$F22,Subidos!$M:$M,"=UD",Subidos!$F:$F,"&lt;&gt;P",Subidos!$F:$F,"&lt;&gt;F")</f>
        <v>0</v>
      </c>
      <c r="L22" s="20">
        <v>1000</v>
      </c>
      <c r="M22" s="21">
        <v>21479592</v>
      </c>
      <c r="N22" s="21">
        <v>21479592</v>
      </c>
    </row>
    <row r="23" spans="2:14">
      <c r="B23" s="1" t="s">
        <v>63</v>
      </c>
      <c r="C23" s="2">
        <f>+SUMIFS(Subidos!$S:$S,Subidos!$L:$L,ResumenFondos!$B23,Subidos!$K:$K,"&lt;&gt;UD",Subidos!$F:$F,"&lt;&gt;P",Subidos!$F:$F,"&lt;&gt;F",Subidos!$F:$F,"&lt;&gt;C")</f>
        <v>0</v>
      </c>
      <c r="D23" s="3">
        <f>+SUMIFS(Subidos!$S:$S,Subidos!$M:$M,ResumenFondos!$B23,Subidos!$K:$K,"&lt;&gt;UD",Subidos!$F:$F,"&lt;&gt;P",Subidos!$F:$F,"&lt;&gt;F",Subidos!$F:$F,"&lt;&gt;C")</f>
        <v>0</v>
      </c>
      <c r="F23" s="1" t="s">
        <v>63</v>
      </c>
      <c r="G23" s="6">
        <f>+SUMIFS(Subidos!$P:$P,Subidos!$Q:$Q,ResumenFondos!$F23,Subidos!$M:$M,"=UD",Subidos!$F:$F,"&lt;&gt;P",Subidos!$F:$F,"&lt;&gt;F")</f>
        <v>0</v>
      </c>
      <c r="H23" s="7">
        <f>+SUMIFS(Subidos!$P:$P,Subidos!$R:$R,ResumenFondos!$F23,Subidos!$M:$M,"=UD",Subidos!$F:$F,"&lt;&gt;P",Subidos!$F:$F,"&lt;&gt;F")</f>
        <v>0</v>
      </c>
      <c r="L23" s="20">
        <v>1000</v>
      </c>
      <c r="M23" s="21">
        <v>21479592</v>
      </c>
      <c r="N23" s="21">
        <v>21479592</v>
      </c>
    </row>
    <row r="24" spans="2:14">
      <c r="B24" s="1" t="s">
        <v>65</v>
      </c>
      <c r="C24" s="2">
        <f>+SUMIFS(Subidos!$S:$S,Subidos!$L:$L,ResumenFondos!$B24,Subidos!$K:$K,"&lt;&gt;UD",Subidos!$F:$F,"&lt;&gt;P",Subidos!$F:$F,"&lt;&gt;F",Subidos!$F:$F,"&lt;&gt;C")</f>
        <v>0</v>
      </c>
      <c r="D24" s="3">
        <f>+SUMIFS(Subidos!$S:$S,Subidos!$M:$M,ResumenFondos!$B24,Subidos!$K:$K,"&lt;&gt;UD",Subidos!$F:$F,"&lt;&gt;P",Subidos!$F:$F,"&lt;&gt;F",Subidos!$F:$F,"&lt;&gt;C")</f>
        <v>0</v>
      </c>
      <c r="F24" s="1" t="s">
        <v>65</v>
      </c>
      <c r="G24" s="6">
        <f>+SUMIFS(Subidos!$P:$P,Subidos!$Q:$Q,ResumenFondos!$F24,Subidos!$M:$M,"=UD",Subidos!$F:$F,"&lt;&gt;P",Subidos!$F:$F,"&lt;&gt;F")</f>
        <v>0</v>
      </c>
      <c r="H24" s="7">
        <f>+SUMIFS(Subidos!$P:$P,Subidos!$R:$R,ResumenFondos!$F24,Subidos!$M:$M,"=UD",Subidos!$F:$F,"&lt;&gt;P",Subidos!$F:$F,"&lt;&gt;F")</f>
        <v>0</v>
      </c>
      <c r="L24" s="20">
        <v>1000</v>
      </c>
      <c r="M24" s="21">
        <v>21479592</v>
      </c>
      <c r="N24" s="21">
        <v>21479592</v>
      </c>
    </row>
    <row r="25" spans="2:14">
      <c r="B25" s="1" t="s">
        <v>67</v>
      </c>
      <c r="C25" s="2">
        <f>+SUMIFS(Subidos!$S:$S,Subidos!$L:$L,ResumenFondos!$B25,Subidos!$K:$K,"&lt;&gt;UD",Subidos!$F:$F,"&lt;&gt;P",Subidos!$F:$F,"&lt;&gt;F",Subidos!$F:$F,"&lt;&gt;C")</f>
        <v>0</v>
      </c>
      <c r="D25" s="3">
        <f>+SUMIFS(Subidos!$S:$S,Subidos!$M:$M,ResumenFondos!$B25,Subidos!$K:$K,"&lt;&gt;UD",Subidos!$F:$F,"&lt;&gt;P",Subidos!$F:$F,"&lt;&gt;F",Subidos!$F:$F,"&lt;&gt;C")</f>
        <v>0</v>
      </c>
      <c r="F25" s="1" t="s">
        <v>67</v>
      </c>
      <c r="G25" s="6">
        <f>+SUMIFS(Subidos!$P:$P,Subidos!$Q:$Q,ResumenFondos!$F25,Subidos!$M:$M,"=UD",Subidos!$F:$F,"&lt;&gt;P",Subidos!$F:$F,"&lt;&gt;F")</f>
        <v>0</v>
      </c>
      <c r="H25" s="7">
        <f>+SUMIFS(Subidos!$P:$P,Subidos!$R:$R,ResumenFondos!$F25,Subidos!$M:$M,"=UD",Subidos!$F:$F,"&lt;&gt;P",Subidos!$F:$F,"&lt;&gt;F")</f>
        <v>0</v>
      </c>
      <c r="L25" s="20">
        <v>1000</v>
      </c>
      <c r="M25" s="21">
        <v>21479592</v>
      </c>
      <c r="N25" s="21">
        <v>21479592</v>
      </c>
    </row>
    <row r="26" spans="2:14">
      <c r="B26" s="1" t="s">
        <v>69</v>
      </c>
      <c r="C26" s="2">
        <f>+SUMIFS(Subidos!$S:$S,Subidos!$L:$L,ResumenFondos!$B26,Subidos!$K:$K,"&lt;&gt;UD",Subidos!$F:$F,"&lt;&gt;P",Subidos!$F:$F,"&lt;&gt;F",Subidos!$F:$F,"&lt;&gt;C")</f>
        <v>0</v>
      </c>
      <c r="D26" s="3">
        <f>+SUMIFS(Subidos!$S:$S,Subidos!$M:$M,ResumenFondos!$B26,Subidos!$K:$K,"&lt;&gt;UD",Subidos!$F:$F,"&lt;&gt;P",Subidos!$F:$F,"&lt;&gt;F",Subidos!$F:$F,"&lt;&gt;C")</f>
        <v>0</v>
      </c>
      <c r="F26" s="1" t="s">
        <v>69</v>
      </c>
      <c r="G26" s="6">
        <f>+SUMIFS(Subidos!$P:$P,Subidos!$Q:$Q,ResumenFondos!$F26,Subidos!$M:$M,"=UD",Subidos!$F:$F,"&lt;&gt;P",Subidos!$F:$F,"&lt;&gt;F")</f>
        <v>0</v>
      </c>
      <c r="H26" s="7">
        <f>+SUMIFS(Subidos!$P:$P,Subidos!$R:$R,ResumenFondos!$F26,Subidos!$M:$M,"=UD",Subidos!$F:$F,"&lt;&gt;P",Subidos!$F:$F,"&lt;&gt;F")</f>
        <v>0</v>
      </c>
      <c r="L26" s="20">
        <v>1000</v>
      </c>
      <c r="M26" s="21">
        <v>21479592</v>
      </c>
      <c r="N26" s="21">
        <v>21479592</v>
      </c>
    </row>
    <row r="27" spans="2:14">
      <c r="B27" s="1" t="s">
        <v>71</v>
      </c>
      <c r="C27" s="2">
        <f>+SUMIFS(Subidos!$S:$S,Subidos!$L:$L,ResumenFondos!$B27,Subidos!$K:$K,"&lt;&gt;UD",Subidos!$F:$F,"&lt;&gt;P",Subidos!$F:$F,"&lt;&gt;F",Subidos!$F:$F,"&lt;&gt;C")</f>
        <v>0</v>
      </c>
      <c r="D27" s="3">
        <f>+SUMIFS(Subidos!$S:$S,Subidos!$M:$M,ResumenFondos!$B27,Subidos!$K:$K,"&lt;&gt;UD",Subidos!$F:$F,"&lt;&gt;P",Subidos!$F:$F,"&lt;&gt;F",Subidos!$F:$F,"&lt;&gt;C")</f>
        <v>0</v>
      </c>
      <c r="F27" s="1" t="s">
        <v>71</v>
      </c>
      <c r="G27" s="6">
        <f>+SUMIFS(Subidos!$P:$P,Subidos!$Q:$Q,ResumenFondos!$F27,Subidos!$M:$M,"=UD",Subidos!$F:$F,"&lt;&gt;P",Subidos!$F:$F,"&lt;&gt;F")</f>
        <v>0</v>
      </c>
      <c r="H27" s="7">
        <f>+SUMIFS(Subidos!$P:$P,Subidos!$R:$R,ResumenFondos!$F27,Subidos!$M:$M,"=UD",Subidos!$F:$F,"&lt;&gt;P",Subidos!$F:$F,"&lt;&gt;F")</f>
        <v>0</v>
      </c>
      <c r="L27" s="20">
        <v>1000</v>
      </c>
      <c r="M27" s="21">
        <v>21479592</v>
      </c>
      <c r="N27" s="21">
        <v>21479592</v>
      </c>
    </row>
    <row r="28" spans="2:14" ht="15" customHeight="1">
      <c r="B28" s="1" t="s">
        <v>73</v>
      </c>
      <c r="C28" s="2">
        <f>+SUMIFS(Subidos!$S:$S,Subidos!$L:$L,ResumenFondos!$B28,Subidos!$K:$K,"&lt;&gt;UD",Subidos!$F:$F,"&lt;&gt;P",Subidos!$F:$F,"&lt;&gt;F",Subidos!$F:$F,"&lt;&gt;C")</f>
        <v>0</v>
      </c>
      <c r="D28" s="3">
        <f>+SUMIFS(Subidos!$S:$S,Subidos!$M:$M,ResumenFondos!$B28,Subidos!$K:$K,"&lt;&gt;UD",Subidos!$F:$F,"&lt;&gt;P",Subidos!$F:$F,"&lt;&gt;F",Subidos!$F:$F,"&lt;&gt;C")</f>
        <v>0</v>
      </c>
      <c r="F28" s="1" t="s">
        <v>73</v>
      </c>
      <c r="G28" s="6">
        <f>+SUMIFS(Subidos!$P:$P,Subidos!$Q:$Q,ResumenFondos!$F28,Subidos!$M:$M,"=UD",Subidos!$F:$F,"&lt;&gt;P",Subidos!$F:$F,"&lt;&gt;F")</f>
        <v>0</v>
      </c>
      <c r="H28" s="7">
        <f>+SUMIFS(Subidos!$P:$P,Subidos!$R:$R,ResumenFondos!$F28,Subidos!$M:$M,"=UD",Subidos!$F:$F,"&lt;&gt;P",Subidos!$F:$F,"&lt;&gt;F")</f>
        <v>0</v>
      </c>
      <c r="L28" s="20">
        <v>1000</v>
      </c>
      <c r="M28" s="21">
        <v>21479592</v>
      </c>
      <c r="N28" s="21">
        <v>21479592</v>
      </c>
    </row>
    <row r="29" spans="2:14" ht="15" customHeight="1">
      <c r="B29" s="1" t="s">
        <v>75</v>
      </c>
      <c r="C29" s="2">
        <f>+SUMIFS(Subidos!$S:$S,Subidos!$L:$L,ResumenFondos!$B29,Subidos!$K:$K,"&lt;&gt;UD",Subidos!$F:$F,"&lt;&gt;P",Subidos!$F:$F,"&lt;&gt;F",Subidos!$F:$F,"&lt;&gt;C")</f>
        <v>0</v>
      </c>
      <c r="D29" s="3">
        <f>+SUMIFS(Subidos!$S:$S,Subidos!$M:$M,ResumenFondos!$B29,Subidos!$K:$K,"&lt;&gt;UD",Subidos!$F:$F,"&lt;&gt;P",Subidos!$F:$F,"&lt;&gt;F",Subidos!$F:$F,"&lt;&gt;C")</f>
        <v>0</v>
      </c>
      <c r="F29" s="1" t="s">
        <v>75</v>
      </c>
      <c r="G29" s="6">
        <f>+SUMIFS(Subidos!$P:$P,Subidos!$Q:$Q,ResumenFondos!$F29,Subidos!$M:$M,"=UD",Subidos!$F:$F,"&lt;&gt;P",Subidos!$F:$F,"&lt;&gt;F")</f>
        <v>0</v>
      </c>
      <c r="H29" s="7">
        <f>+SUMIFS(Subidos!$P:$P,Subidos!$R:$R,ResumenFondos!$F29,Subidos!$M:$M,"=UD",Subidos!$F:$F,"&lt;&gt;P",Subidos!$F:$F,"&lt;&gt;F")</f>
        <v>0</v>
      </c>
      <c r="L29" s="20">
        <v>1000</v>
      </c>
      <c r="M29" s="21">
        <v>21479592</v>
      </c>
      <c r="N29" s="21">
        <v>21479592</v>
      </c>
    </row>
    <row r="30" spans="2:14">
      <c r="B30" s="1" t="s">
        <v>77</v>
      </c>
      <c r="C30" s="2">
        <f>+SUMIFS(Subidos!$S:$S,Subidos!$L:$L,ResumenFondos!$B30,Subidos!$K:$K,"&lt;&gt;UD",Subidos!$F:$F,"&lt;&gt;P",Subidos!$F:$F,"&lt;&gt;F",Subidos!$F:$F,"&lt;&gt;C")</f>
        <v>0</v>
      </c>
      <c r="D30" s="3">
        <f>+SUMIFS(Subidos!$S:$S,Subidos!$M:$M,ResumenFondos!$B30,Subidos!$K:$K,"&lt;&gt;UD",Subidos!$F:$F,"&lt;&gt;P",Subidos!$F:$F,"&lt;&gt;F",Subidos!$F:$F,"&lt;&gt;C")</f>
        <v>0</v>
      </c>
      <c r="F30" s="1" t="s">
        <v>77</v>
      </c>
      <c r="G30" s="6">
        <f>+SUMIFS(Subidos!$P:$P,Subidos!$Q:$Q,ResumenFondos!$F30,Subidos!$M:$M,"=UD",Subidos!$F:$F,"&lt;&gt;P",Subidos!$F:$F,"&lt;&gt;F")</f>
        <v>0</v>
      </c>
      <c r="H30" s="7">
        <f>+SUMIFS(Subidos!$P:$P,Subidos!$R:$R,ResumenFondos!$F30,Subidos!$M:$M,"=UD",Subidos!$F:$F,"&lt;&gt;P",Subidos!$F:$F,"&lt;&gt;F")</f>
        <v>0</v>
      </c>
      <c r="L30" s="20">
        <v>1000</v>
      </c>
      <c r="M30" s="21">
        <v>21479592</v>
      </c>
      <c r="N30" s="21">
        <v>21479592</v>
      </c>
    </row>
    <row r="31" spans="2:14">
      <c r="B31" s="1" t="s">
        <v>79</v>
      </c>
      <c r="C31" s="2">
        <f>+SUMIFS(Subidos!$S:$S,Subidos!$L:$L,ResumenFondos!$B31,Subidos!$K:$K,"&lt;&gt;UD",Subidos!$F:$F,"&lt;&gt;P",Subidos!$F:$F,"&lt;&gt;F",Subidos!$F:$F,"&lt;&gt;C")</f>
        <v>0</v>
      </c>
      <c r="D31" s="3">
        <f>+SUMIFS(Subidos!$S:$S,Subidos!$M:$M,ResumenFondos!$B31,Subidos!$K:$K,"&lt;&gt;UD",Subidos!$F:$F,"&lt;&gt;P",Subidos!$F:$F,"&lt;&gt;F",Subidos!$F:$F,"&lt;&gt;C")</f>
        <v>0</v>
      </c>
      <c r="F31" s="1" t="s">
        <v>79</v>
      </c>
      <c r="G31" s="6">
        <f>+SUMIFS(Subidos!$P:$P,Subidos!$Q:$Q,ResumenFondos!$F31,Subidos!$M:$M,"=UD",Subidos!$F:$F,"&lt;&gt;P",Subidos!$F:$F,"&lt;&gt;F")</f>
        <v>0</v>
      </c>
      <c r="H31" s="7">
        <f>+SUMIFS(Subidos!$P:$P,Subidos!$R:$R,ResumenFondos!$F31,Subidos!$M:$M,"=UD",Subidos!$F:$F,"&lt;&gt;P",Subidos!$F:$F,"&lt;&gt;F")</f>
        <v>0</v>
      </c>
      <c r="L31" s="20">
        <v>1000</v>
      </c>
      <c r="M31" s="21">
        <v>21479592</v>
      </c>
      <c r="N31" s="21">
        <v>21479592</v>
      </c>
    </row>
    <row r="32" spans="2:14">
      <c r="B32" s="1" t="s">
        <v>81</v>
      </c>
      <c r="C32" s="2">
        <f>+SUMIFS(Subidos!$S:$S,Subidos!$L:$L,ResumenFondos!$B32,Subidos!$K:$K,"&lt;&gt;UD",Subidos!$F:$F,"&lt;&gt;P",Subidos!$F:$F,"&lt;&gt;F",Subidos!$F:$F,"&lt;&gt;C")</f>
        <v>0</v>
      </c>
      <c r="D32" s="3">
        <f>+SUMIFS(Subidos!$S:$S,Subidos!$M:$M,ResumenFondos!$B32,Subidos!$K:$K,"&lt;&gt;UD",Subidos!$F:$F,"&lt;&gt;P",Subidos!$F:$F,"&lt;&gt;F",Subidos!$F:$F,"&lt;&gt;C")</f>
        <v>0</v>
      </c>
      <c r="F32" s="1" t="s">
        <v>81</v>
      </c>
      <c r="G32" s="6">
        <f>+SUMIFS(Subidos!$P:$P,Subidos!$Q:$Q,ResumenFondos!$F32,Subidos!$M:$M,"=UD",Subidos!$F:$F,"&lt;&gt;P",Subidos!$F:$F,"&lt;&gt;F")</f>
        <v>0</v>
      </c>
      <c r="H32" s="7">
        <f>+SUMIFS(Subidos!$P:$P,Subidos!$R:$R,ResumenFondos!$F32,Subidos!$M:$M,"=UD",Subidos!$F:$F,"&lt;&gt;P",Subidos!$F:$F,"&lt;&gt;F")</f>
        <v>0</v>
      </c>
      <c r="L32" s="20">
        <v>1000</v>
      </c>
      <c r="M32" s="21">
        <v>21479592</v>
      </c>
      <c r="N32" s="21">
        <v>21479592</v>
      </c>
    </row>
    <row r="33" spans="2:14">
      <c r="B33" s="1" t="s">
        <v>82</v>
      </c>
      <c r="C33" s="2">
        <f>+SUMIFS(Subidos!$S:$S,Subidos!$L:$L,ResumenFondos!$B33,Subidos!$K:$K,"&lt;&gt;UD",Subidos!$F:$F,"&lt;&gt;P",Subidos!$F:$F,"&lt;&gt;F",Subidos!$F:$F,"&lt;&gt;C")</f>
        <v>0</v>
      </c>
      <c r="D33" s="3">
        <f>+SUMIFS(Subidos!$S:$S,Subidos!$M:$M,ResumenFondos!$B33,Subidos!$K:$K,"&lt;&gt;UD",Subidos!$F:$F,"&lt;&gt;P",Subidos!$F:$F,"&lt;&gt;F",Subidos!$F:$F,"&lt;&gt;C")</f>
        <v>0</v>
      </c>
      <c r="F33" s="1" t="s">
        <v>82</v>
      </c>
      <c r="G33" s="6">
        <f>+SUMIFS(Subidos!$P:$P,Subidos!$Q:$Q,ResumenFondos!$F33,Subidos!$M:$M,"=UD",Subidos!$F:$F,"&lt;&gt;P",Subidos!$F:$F,"&lt;&gt;F")</f>
        <v>0</v>
      </c>
      <c r="H33" s="7">
        <f>+SUMIFS(Subidos!$P:$P,Subidos!$R:$R,ResumenFondos!$F33,Subidos!$M:$M,"=UD",Subidos!$F:$F,"&lt;&gt;P",Subidos!$F:$F,"&lt;&gt;F")</f>
        <v>0</v>
      </c>
      <c r="L33" s="20">
        <v>1000</v>
      </c>
      <c r="M33" s="21">
        <v>21479592</v>
      </c>
      <c r="N33" s="21">
        <v>85918367</v>
      </c>
    </row>
    <row r="34" spans="2:14">
      <c r="B34" s="1" t="s">
        <v>84</v>
      </c>
      <c r="C34" s="16">
        <f>+SUMIFS(Subidos!$S:$S,Subidos!$L:$L,ResumenFondos!$B34,Subidos!$K:$K,"&lt;&gt;UD",Subidos!$F:$F,"&lt;&gt;P",Subidos!$F:$F,"&lt;&gt;F",Subidos!$F:$F,"&lt;&gt;C")</f>
        <v>0</v>
      </c>
      <c r="D34" s="17">
        <f>+SUMIFS(Subidos!$S:$S,Subidos!$M:$M,ResumenFondos!$B34,Subidos!$K:$K,"&lt;&gt;UD",Subidos!$F:$F,"&lt;&gt;P",Subidos!$F:$F,"&lt;&gt;F",Subidos!$F:$F,"&lt;&gt;C")</f>
        <v>0</v>
      </c>
      <c r="F34" s="1" t="s">
        <v>84</v>
      </c>
      <c r="G34" s="18">
        <f>+SUMIFS(Subidos!$P:$P,Subidos!$Q:$Q,ResumenFondos!$F34,Subidos!$M:$M,"=UD",Subidos!$F:$F,"&lt;&gt;P",Subidos!$F:$F,"&lt;&gt;F")</f>
        <v>0</v>
      </c>
      <c r="H34" s="19">
        <f>+SUMIFS(Subidos!$P:$P,Subidos!$R:$R,ResumenFondos!$F34,Subidos!$M:$M,"=UD",Subidos!$F:$F,"&lt;&gt;P",Subidos!$F:$F,"&lt;&gt;F")</f>
        <v>0</v>
      </c>
      <c r="L34" s="20">
        <v>1000</v>
      </c>
      <c r="M34" s="21">
        <v>21479592</v>
      </c>
      <c r="N34" s="21">
        <v>107397958</v>
      </c>
    </row>
    <row r="35" spans="2:14">
      <c r="B35" s="1" t="s">
        <v>85</v>
      </c>
      <c r="C35" s="16">
        <f>+SUMIFS(Subidos!$S:$S,Subidos!$L:$L,ResumenFondos!$B35,Subidos!$K:$K,"&lt;&gt;UD",Subidos!$F:$F,"&lt;&gt;P",Subidos!$F:$F,"&lt;&gt;F",Subidos!$F:$F,"&lt;&gt;C")</f>
        <v>0</v>
      </c>
      <c r="D35" s="17">
        <f>+SUMIFS(Subidos!$S:$S,Subidos!$M:$M,ResumenFondos!$B35,Subidos!$K:$K,"&lt;&gt;UD",Subidos!$F:$F,"&lt;&gt;P",Subidos!$F:$F,"&lt;&gt;F",Subidos!$F:$F,"&lt;&gt;C")</f>
        <v>0</v>
      </c>
      <c r="F35" s="1" t="s">
        <v>85</v>
      </c>
      <c r="G35" s="18">
        <f>+SUMIFS(Subidos!$P:$P,Subidos!$Q:$Q,ResumenFondos!$F35,Subidos!$M:$M,"=UD",Subidos!$F:$F,"&lt;&gt;P",Subidos!$F:$F,"&lt;&gt;F")</f>
        <v>0</v>
      </c>
      <c r="H35" s="19">
        <f>+SUMIFS(Subidos!$P:$P,Subidos!$R:$R,ResumenFondos!$F35,Subidos!$M:$M,"=UD",Subidos!$F:$F,"&lt;&gt;P",Subidos!$F:$F,"&lt;&gt;F")</f>
        <v>0</v>
      </c>
      <c r="L35" s="20">
        <v>1000</v>
      </c>
      <c r="M35" s="21">
        <v>21479592</v>
      </c>
      <c r="N35" s="21">
        <v>21479592</v>
      </c>
    </row>
    <row r="36" spans="2:14">
      <c r="B36" s="1" t="s">
        <v>86</v>
      </c>
      <c r="C36" s="16">
        <f>+SUMIFS(Subidos!$S:$S,Subidos!$L:$L,ResumenFondos!$B36,Subidos!$K:$K,"&lt;&gt;UD",Subidos!$F:$F,"&lt;&gt;P",Subidos!$F:$F,"&lt;&gt;F",Subidos!$F:$F,"&lt;&gt;C")</f>
        <v>0</v>
      </c>
      <c r="D36" s="17">
        <f>+SUMIFS(Subidos!$S:$S,Subidos!$M:$M,ResumenFondos!$B36,Subidos!$K:$K,"&lt;&gt;UD",Subidos!$F:$F,"&lt;&gt;P",Subidos!$F:$F,"&lt;&gt;F",Subidos!$F:$F,"&lt;&gt;C")</f>
        <v>0</v>
      </c>
      <c r="F36" s="1" t="s">
        <v>86</v>
      </c>
      <c r="G36" s="18">
        <f>+SUMIFS(Subidos!$P:$P,Subidos!$Q:$Q,ResumenFondos!$F36,Subidos!$M:$M,"=UD",Subidos!$F:$F,"&lt;&gt;P",Subidos!$F:$F,"&lt;&gt;F")</f>
        <v>0</v>
      </c>
      <c r="H36" s="19">
        <f>+SUMIFS(Subidos!$P:$P,Subidos!$R:$R,ResumenFondos!$F36,Subidos!$M:$M,"=UD",Subidos!$F:$F,"&lt;&gt;P",Subidos!$F:$F,"&lt;&gt;F")</f>
        <v>0</v>
      </c>
      <c r="L36" s="20">
        <v>1000</v>
      </c>
      <c r="M36" s="21">
        <v>21479592</v>
      </c>
      <c r="N36" s="21">
        <v>42959183</v>
      </c>
    </row>
    <row r="37" spans="2:14">
      <c r="B37" s="1" t="s">
        <v>87</v>
      </c>
      <c r="C37" s="16">
        <f>+SUMIFS(Subidos!$S:$S,Subidos!$L:$L,ResumenFondos!$B37,Subidos!$K:$K,"&lt;&gt;UD",Subidos!$F:$F,"&lt;&gt;P",Subidos!$F:$F,"&lt;&gt;F",Subidos!$F:$F,"&lt;&gt;C")</f>
        <v>0</v>
      </c>
      <c r="D37" s="17">
        <f>+SUMIFS(Subidos!$S:$S,Subidos!$M:$M,ResumenFondos!$B37,Subidos!$K:$K,"&lt;&gt;UD",Subidos!$F:$F,"&lt;&gt;P",Subidos!$F:$F,"&lt;&gt;F",Subidos!$F:$F,"&lt;&gt;C")</f>
        <v>0</v>
      </c>
      <c r="F37" s="1" t="s">
        <v>87</v>
      </c>
      <c r="G37" s="18">
        <f>+SUMIFS(Subidos!$P:$P,Subidos!$Q:$Q,ResumenFondos!$F37,Subidos!$M:$M,"=UD",Subidos!$F:$F,"&lt;&gt;P",Subidos!$F:$F,"&lt;&gt;F")</f>
        <v>0</v>
      </c>
      <c r="H37" s="19">
        <f>+SUMIFS(Subidos!$P:$P,Subidos!$R:$R,ResumenFondos!$F37,Subidos!$M:$M,"=UD",Subidos!$F:$F,"&lt;&gt;P",Subidos!$F:$F,"&lt;&gt;F")</f>
        <v>0</v>
      </c>
      <c r="L37" s="20">
        <v>1000</v>
      </c>
      <c r="M37" s="21">
        <v>21479592</v>
      </c>
      <c r="N37" s="21">
        <v>64438775</v>
      </c>
    </row>
    <row r="38" spans="2:14">
      <c r="B38" s="1" t="s">
        <v>89</v>
      </c>
      <c r="C38" s="16">
        <f>+SUMIFS(Subidos!$S:$S,Subidos!$L:$L,ResumenFondos!$B38,Subidos!$K:$K,"&lt;&gt;UD",Subidos!$F:$F,"&lt;&gt;P",Subidos!$F:$F,"&lt;&gt;F",Subidos!$F:$F,"&lt;&gt;C")</f>
        <v>0</v>
      </c>
      <c r="D38" s="17">
        <f>+SUMIFS(Subidos!$S:$S,Subidos!$M:$M,ResumenFondos!$B38,Subidos!$K:$K,"&lt;&gt;UD",Subidos!$F:$F,"&lt;&gt;P",Subidos!$F:$F,"&lt;&gt;F",Subidos!$F:$F,"&lt;&gt;C")</f>
        <v>0</v>
      </c>
      <c r="F38" s="1" t="s">
        <v>89</v>
      </c>
      <c r="G38" s="18">
        <f>+SUMIFS(Subidos!$P:$P,Subidos!$Q:$Q,ResumenFondos!$F38,Subidos!$M:$M,"=UD",Subidos!$F:$F,"&lt;&gt;P",Subidos!$F:$F,"&lt;&gt;F")</f>
        <v>0</v>
      </c>
      <c r="H38" s="19">
        <f>+SUMIFS(Subidos!$P:$P,Subidos!$R:$R,ResumenFondos!$F38,Subidos!$M:$M,"=UD",Subidos!$F:$F,"&lt;&gt;P",Subidos!$F:$F,"&lt;&gt;F")</f>
        <v>0</v>
      </c>
      <c r="L38" s="20">
        <v>1000</v>
      </c>
      <c r="M38" s="21">
        <v>21479592</v>
      </c>
      <c r="N38" s="21">
        <v>64457661</v>
      </c>
    </row>
    <row r="39" spans="2:14">
      <c r="B39" s="1" t="s">
        <v>91</v>
      </c>
      <c r="C39" s="16">
        <f>+SUMIFS(Subidos!$S:$S,Subidos!$L:$L,ResumenFondos!$B39,Subidos!$K:$K,"&lt;&gt;UD",Subidos!$F:$F,"&lt;&gt;P",Subidos!$F:$F,"&lt;&gt;F",Subidos!$F:$F,"&lt;&gt;C")</f>
        <v>0</v>
      </c>
      <c r="D39" s="17">
        <f>+SUMIFS(Subidos!$S:$S,Subidos!$M:$M,ResumenFondos!$B39,Subidos!$K:$K,"&lt;&gt;UD",Subidos!$F:$F,"&lt;&gt;P",Subidos!$F:$F,"&lt;&gt;F",Subidos!$F:$F,"&lt;&gt;C")</f>
        <v>0</v>
      </c>
      <c r="F39" s="1" t="s">
        <v>91</v>
      </c>
      <c r="G39" s="18">
        <f>+SUMIFS(Subidos!$P:$P,Subidos!$Q:$Q,ResumenFondos!$F39,Subidos!$M:$M,"=UD",Subidos!$F:$F,"&lt;&gt;P",Subidos!$F:$F,"&lt;&gt;F")</f>
        <v>0</v>
      </c>
      <c r="H39" s="19">
        <f>+SUMIFS(Subidos!$P:$P,Subidos!$R:$R,ResumenFondos!$F39,Subidos!$M:$M,"=UD",Subidos!$F:$F,"&lt;&gt;P",Subidos!$F:$F,"&lt;&gt;F")</f>
        <v>0</v>
      </c>
      <c r="L39" s="20">
        <v>1000</v>
      </c>
      <c r="M39" s="21">
        <v>21479592</v>
      </c>
      <c r="N39" s="21">
        <v>107429435</v>
      </c>
    </row>
    <row r="40" spans="2:14">
      <c r="B40" s="1" t="s">
        <v>93</v>
      </c>
      <c r="C40" s="16">
        <f>+SUMIFS(Subidos!$S:$S,Subidos!$L:$L,ResumenFondos!$B40,Subidos!$K:$K,"&lt;&gt;UD",Subidos!$F:$F,"&lt;&gt;P",Subidos!$F:$F,"&lt;&gt;F",Subidos!$F:$F,"&lt;&gt;C")</f>
        <v>0</v>
      </c>
      <c r="D40" s="17">
        <f>+SUMIFS(Subidos!$S:$S,Subidos!$M:$M,ResumenFondos!$B40,Subidos!$K:$K,"&lt;&gt;UD",Subidos!$F:$F,"&lt;&gt;P",Subidos!$F:$F,"&lt;&gt;F",Subidos!$F:$F,"&lt;&gt;C")</f>
        <v>0</v>
      </c>
      <c r="F40" s="1" t="s">
        <v>93</v>
      </c>
      <c r="G40" s="18">
        <f>+SUMIFS(Subidos!$P:$P,Subidos!$Q:$Q,ResumenFondos!$F40,Subidos!$M:$M,"=UD",Subidos!$F:$F,"&lt;&gt;P",Subidos!$F:$F,"&lt;&gt;F")</f>
        <v>0</v>
      </c>
      <c r="H40" s="19">
        <f>+SUMIFS(Subidos!$P:$P,Subidos!$R:$R,ResumenFondos!$F40,Subidos!$M:$M,"=UD",Subidos!$F:$F,"&lt;&gt;P",Subidos!$F:$F,"&lt;&gt;F")</f>
        <v>0</v>
      </c>
      <c r="L40" s="20">
        <v>1000</v>
      </c>
      <c r="M40" s="21">
        <v>21479592</v>
      </c>
      <c r="N40" s="21">
        <v>107429435</v>
      </c>
    </row>
    <row r="41" spans="2:14">
      <c r="B41" s="1" t="s">
        <v>94</v>
      </c>
      <c r="C41" s="16">
        <f>+SUMIFS(Subidos!$S:$S,Subidos!$L:$L,ResumenFondos!$B41,Subidos!$K:$K,"&lt;&gt;UD",Subidos!$F:$F,"&lt;&gt;P",Subidos!$F:$F,"&lt;&gt;F",Subidos!$F:$F,"&lt;&gt;C")</f>
        <v>0</v>
      </c>
      <c r="D41" s="17">
        <f>+SUMIFS(Subidos!$S:$S,Subidos!$M:$M,ResumenFondos!$B41,Subidos!$K:$K,"&lt;&gt;UD",Subidos!$F:$F,"&lt;&gt;P",Subidos!$F:$F,"&lt;&gt;F",Subidos!$F:$F,"&lt;&gt;C")</f>
        <v>0</v>
      </c>
      <c r="F41" s="1" t="s">
        <v>94</v>
      </c>
      <c r="G41" s="18">
        <f>+SUMIFS(Subidos!$P:$P,Subidos!$Q:$Q,ResumenFondos!$F41,Subidos!$M:$M,"=UD",Subidos!$F:$F,"&lt;&gt;P",Subidos!$F:$F,"&lt;&gt;F")</f>
        <v>0</v>
      </c>
      <c r="H41" s="19">
        <f>+SUMIFS(Subidos!$P:$P,Subidos!$R:$R,ResumenFondos!$F41,Subidos!$M:$M,"=UD",Subidos!$F:$F,"&lt;&gt;P",Subidos!$F:$F,"&lt;&gt;F")</f>
        <v>0</v>
      </c>
      <c r="L41" s="20">
        <v>1000</v>
      </c>
      <c r="M41" s="21">
        <v>21479592</v>
      </c>
    </row>
    <row r="42" spans="2:14">
      <c r="B42" s="1" t="s">
        <v>96</v>
      </c>
      <c r="C42" s="16">
        <f>+SUMIFS(Subidos!$S:$S,Subidos!$L:$L,ResumenFondos!$B42,Subidos!$K:$K,"&lt;&gt;UD",Subidos!$F:$F,"&lt;&gt;P",Subidos!$F:$F,"&lt;&gt;F",Subidos!$F:$F,"&lt;&gt;C")</f>
        <v>0</v>
      </c>
      <c r="D42" s="17">
        <f>+SUMIFS(Subidos!$S:$S,Subidos!$M:$M,ResumenFondos!$B42,Subidos!$K:$K,"&lt;&gt;UD",Subidos!$F:$F,"&lt;&gt;P",Subidos!$F:$F,"&lt;&gt;F",Subidos!$F:$F,"&lt;&gt;C")</f>
        <v>0</v>
      </c>
      <c r="F42" s="1" t="s">
        <v>96</v>
      </c>
      <c r="G42" s="18">
        <f>+SUMIFS(Subidos!$P:$P,Subidos!$Q:$Q,ResumenFondos!$F42,Subidos!$M:$M,"=UD",Subidos!$F:$F,"&lt;&gt;P",Subidos!$F:$F,"&lt;&gt;F")</f>
        <v>0</v>
      </c>
      <c r="H42" s="19">
        <f>+SUMIFS(Subidos!$P:$P,Subidos!$R:$R,ResumenFondos!$F42,Subidos!$M:$M,"=UD",Subidos!$F:$F,"&lt;&gt;P",Subidos!$F:$F,"&lt;&gt;F")</f>
        <v>0</v>
      </c>
      <c r="L42" s="20">
        <v>4000</v>
      </c>
      <c r="M42" s="21">
        <v>85918367</v>
      </c>
    </row>
    <row r="43" spans="2:14">
      <c r="B43" s="1" t="s">
        <v>97</v>
      </c>
      <c r="C43" s="16">
        <f>+SUMIFS(Subidos!$S:$S,Subidos!$L:$L,ResumenFondos!$B43,Subidos!$K:$K,"&lt;&gt;UD",Subidos!$F:$F,"&lt;&gt;P",Subidos!$F:$F,"&lt;&gt;F",Subidos!$F:$F,"&lt;&gt;C")</f>
        <v>0</v>
      </c>
      <c r="D43" s="17">
        <f>+SUMIFS(Subidos!$S:$S,Subidos!$M:$M,ResumenFondos!$B43,Subidos!$K:$K,"&lt;&gt;UD",Subidos!$F:$F,"&lt;&gt;P",Subidos!$F:$F,"&lt;&gt;F",Subidos!$F:$F,"&lt;&gt;C")</f>
        <v>0</v>
      </c>
      <c r="F43" s="1" t="s">
        <v>97</v>
      </c>
      <c r="G43" s="18">
        <f>+SUMIFS(Subidos!$P:$P,Subidos!$Q:$Q,ResumenFondos!$F43,Subidos!$M:$M,"=UD",Subidos!$F:$F,"&lt;&gt;P",Subidos!$F:$F,"&lt;&gt;F")</f>
        <v>0</v>
      </c>
      <c r="H43" s="19">
        <f>+SUMIFS(Subidos!$P:$P,Subidos!$R:$R,ResumenFondos!$F43,Subidos!$M:$M,"=UD",Subidos!$F:$F,"&lt;&gt;P",Subidos!$F:$F,"&lt;&gt;F")</f>
        <v>0</v>
      </c>
      <c r="L43" s="20">
        <v>5000</v>
      </c>
      <c r="M43" s="21">
        <v>107397958</v>
      </c>
    </row>
    <row r="44" spans="2:14">
      <c r="B44" s="1" t="s">
        <v>99</v>
      </c>
      <c r="C44" s="16">
        <f>+SUMIFS(Subidos!$S:$S,Subidos!$L:$L,ResumenFondos!$B44,Subidos!$K:$K,"&lt;&gt;UD",Subidos!$F:$F,"&lt;&gt;P",Subidos!$F:$F,"&lt;&gt;F",Subidos!$F:$F,"&lt;&gt;C")</f>
        <v>0</v>
      </c>
      <c r="D44" s="17">
        <f>+SUMIFS(Subidos!$S:$S,Subidos!$M:$M,ResumenFondos!$B44,Subidos!$K:$K,"&lt;&gt;UD",Subidos!$F:$F,"&lt;&gt;P",Subidos!$F:$F,"&lt;&gt;F",Subidos!$F:$F,"&lt;&gt;C")</f>
        <v>0</v>
      </c>
      <c r="F44" s="1" t="s">
        <v>99</v>
      </c>
      <c r="G44" s="18">
        <f>+SUMIFS(Subidos!$P:$P,Subidos!$Q:$Q,ResumenFondos!$F44,Subidos!$M:$M,"=UD",Subidos!$F:$F,"&lt;&gt;P",Subidos!$F:$F,"&lt;&gt;F")</f>
        <v>0</v>
      </c>
      <c r="H44" s="19">
        <f>+SUMIFS(Subidos!$P:$P,Subidos!$R:$R,ResumenFondos!$F44,Subidos!$M:$M,"=UD",Subidos!$F:$F,"&lt;&gt;P",Subidos!$F:$F,"&lt;&gt;F")</f>
        <v>0</v>
      </c>
      <c r="L44" s="20">
        <v>1000</v>
      </c>
      <c r="M44" s="21">
        <v>21479592</v>
      </c>
    </row>
    <row r="45" spans="2:14">
      <c r="B45" s="1" t="s">
        <v>101</v>
      </c>
      <c r="C45" s="16">
        <f>+SUMIFS(Subidos!$S:$S,Subidos!$L:$L,ResumenFondos!$B45,Subidos!$K:$K,"&lt;&gt;UD",Subidos!$F:$F,"&lt;&gt;P",Subidos!$F:$F,"&lt;&gt;F",Subidos!$F:$F,"&lt;&gt;C")</f>
        <v>0</v>
      </c>
      <c r="D45" s="17">
        <f>+SUMIFS(Subidos!$S:$S,Subidos!$M:$M,ResumenFondos!$B45,Subidos!$K:$K,"&lt;&gt;UD",Subidos!$F:$F,"&lt;&gt;P",Subidos!$F:$F,"&lt;&gt;F",Subidos!$F:$F,"&lt;&gt;C")</f>
        <v>0</v>
      </c>
      <c r="F45" s="1" t="s">
        <v>101</v>
      </c>
      <c r="G45" s="18">
        <f>+SUMIFS(Subidos!$P:$P,Subidos!$Q:$Q,ResumenFondos!$F45,Subidos!$M:$M,"=UD",Subidos!$F:$F,"&lt;&gt;P",Subidos!$F:$F,"&lt;&gt;F")</f>
        <v>0</v>
      </c>
      <c r="H45" s="19">
        <f>+SUMIFS(Subidos!$P:$P,Subidos!$R:$R,ResumenFondos!$F45,Subidos!$M:$M,"=UD",Subidos!$F:$F,"&lt;&gt;P",Subidos!$F:$F,"&lt;&gt;F")</f>
        <v>0</v>
      </c>
      <c r="L45" s="20">
        <v>2000</v>
      </c>
      <c r="M45" s="21">
        <v>42959183</v>
      </c>
    </row>
    <row r="46" spans="2:14">
      <c r="B46" s="1" t="s">
        <v>103</v>
      </c>
      <c r="C46" s="16">
        <f>+SUMIFS(Subidos!$S:$S,Subidos!$L:$L,ResumenFondos!$B46,Subidos!$K:$K,"&lt;&gt;UD",Subidos!$F:$F,"&lt;&gt;P",Subidos!$F:$F,"&lt;&gt;F",Subidos!$F:$F,"&lt;&gt;C")</f>
        <v>0</v>
      </c>
      <c r="D46" s="17">
        <f>+SUMIFS(Subidos!$S:$S,Subidos!$M:$M,ResumenFondos!$B46,Subidos!$K:$K,"&lt;&gt;UD",Subidos!$F:$F,"&lt;&gt;P",Subidos!$F:$F,"&lt;&gt;F",Subidos!$F:$F,"&lt;&gt;C")</f>
        <v>0</v>
      </c>
      <c r="F46" s="1" t="s">
        <v>103</v>
      </c>
      <c r="G46" s="18">
        <f>+SUMIFS(Subidos!$P:$P,Subidos!$Q:$Q,ResumenFondos!$F46,Subidos!$M:$M,"=UD",Subidos!$F:$F,"&lt;&gt;P",Subidos!$F:$F,"&lt;&gt;F")</f>
        <v>0</v>
      </c>
      <c r="H46" s="19">
        <f>+SUMIFS(Subidos!$P:$P,Subidos!$R:$R,ResumenFondos!$F46,Subidos!$M:$M,"=UD",Subidos!$F:$F,"&lt;&gt;P",Subidos!$F:$F,"&lt;&gt;F")</f>
        <v>0</v>
      </c>
      <c r="L46" s="20">
        <v>3000</v>
      </c>
      <c r="M46" s="21">
        <v>64438775</v>
      </c>
    </row>
    <row r="47" spans="2:14">
      <c r="B47" s="1" t="s">
        <v>105</v>
      </c>
      <c r="C47" s="16">
        <f>+SUMIFS(Subidos!$S:$S,Subidos!$L:$L,ResumenFondos!$B47,Subidos!$K:$K,"&lt;&gt;UD",Subidos!$F:$F,"&lt;&gt;P",Subidos!$F:$F,"&lt;&gt;F",Subidos!$F:$F,"&lt;&gt;C")</f>
        <v>0</v>
      </c>
      <c r="D47" s="17">
        <f>+SUMIFS(Subidos!$S:$S,Subidos!$M:$M,ResumenFondos!$B47,Subidos!$K:$K,"&lt;&gt;UD",Subidos!$F:$F,"&lt;&gt;P",Subidos!$F:$F,"&lt;&gt;F",Subidos!$F:$F,"&lt;&gt;C")</f>
        <v>0</v>
      </c>
      <c r="F47" s="1" t="s">
        <v>105</v>
      </c>
      <c r="G47" s="18">
        <f>+SUMIFS(Subidos!$P:$P,Subidos!$Q:$Q,ResumenFondos!$F47,Subidos!$M:$M,"=UD",Subidos!$F:$F,"&lt;&gt;P",Subidos!$F:$F,"&lt;&gt;F")</f>
        <v>0</v>
      </c>
      <c r="H47" s="19">
        <f>+SUMIFS(Subidos!$P:$P,Subidos!$R:$R,ResumenFondos!$F47,Subidos!$M:$M,"=UD",Subidos!$F:$F,"&lt;&gt;P",Subidos!$F:$F,"&lt;&gt;F")</f>
        <v>0</v>
      </c>
      <c r="L47" s="20">
        <v>3000</v>
      </c>
      <c r="M47" s="21">
        <v>64457661</v>
      </c>
    </row>
    <row r="48" spans="2:14">
      <c r="B48" s="1" t="s">
        <v>107</v>
      </c>
      <c r="C48" s="16">
        <f>+SUMIFS(Subidos!$S:$S,Subidos!$L:$L,ResumenFondos!$B48,Subidos!$K:$K,"&lt;&gt;UD",Subidos!$F:$F,"&lt;&gt;P",Subidos!$F:$F,"&lt;&gt;F",Subidos!$F:$F,"&lt;&gt;C")</f>
        <v>0</v>
      </c>
      <c r="D48" s="17">
        <f>+SUMIFS(Subidos!$S:$S,Subidos!$M:$M,ResumenFondos!$B48,Subidos!$K:$K,"&lt;&gt;UD",Subidos!$F:$F,"&lt;&gt;P",Subidos!$F:$F,"&lt;&gt;F",Subidos!$F:$F,"&lt;&gt;C")</f>
        <v>0</v>
      </c>
      <c r="F48" s="1" t="s">
        <v>107</v>
      </c>
      <c r="G48" s="18">
        <f>+SUMIFS(Subidos!$P:$P,Subidos!$Q:$Q,ResumenFondos!$F48,Subidos!$M:$M,"=UD",Subidos!$F:$F,"&lt;&gt;P",Subidos!$F:$F,"&lt;&gt;F")</f>
        <v>0</v>
      </c>
      <c r="H48" s="19">
        <f>+SUMIFS(Subidos!$P:$P,Subidos!$R:$R,ResumenFondos!$F48,Subidos!$M:$M,"=UD",Subidos!$F:$F,"&lt;&gt;P",Subidos!$F:$F,"&lt;&gt;F")</f>
        <v>0</v>
      </c>
      <c r="L48" s="20">
        <v>5000</v>
      </c>
      <c r="M48" s="21">
        <v>107429435</v>
      </c>
    </row>
    <row r="49" spans="2:13">
      <c r="B49" s="1" t="s">
        <v>108</v>
      </c>
      <c r="C49" s="16">
        <f>+SUMIFS(Subidos!$S:$S,Subidos!$L:$L,ResumenFondos!$B49,Subidos!$K:$K,"&lt;&gt;UD",Subidos!$F:$F,"&lt;&gt;P",Subidos!$F:$F,"&lt;&gt;F",Subidos!$F:$F,"&lt;&gt;C")</f>
        <v>0</v>
      </c>
      <c r="D49" s="17">
        <f>+SUMIFS(Subidos!$S:$S,Subidos!$M:$M,ResumenFondos!$B49,Subidos!$K:$K,"&lt;&gt;UD",Subidos!$F:$F,"&lt;&gt;P",Subidos!$F:$F,"&lt;&gt;F",Subidos!$F:$F,"&lt;&gt;C")</f>
        <v>0</v>
      </c>
      <c r="F49" s="1" t="s">
        <v>108</v>
      </c>
      <c r="G49" s="18">
        <f>+SUMIFS(Subidos!$P:$P,Subidos!$Q:$Q,ResumenFondos!$F49,Subidos!$M:$M,"=UD",Subidos!$F:$F,"&lt;&gt;P",Subidos!$F:$F,"&lt;&gt;F")</f>
        <v>0</v>
      </c>
      <c r="H49" s="19">
        <f>+SUMIFS(Subidos!$P:$P,Subidos!$R:$R,ResumenFondos!$F49,Subidos!$M:$M,"=UD",Subidos!$F:$F,"&lt;&gt;P",Subidos!$F:$F,"&lt;&gt;F")</f>
        <v>0</v>
      </c>
      <c r="L49" s="20">
        <v>5000</v>
      </c>
      <c r="M49" s="21">
        <v>107429435</v>
      </c>
    </row>
    <row r="50" spans="2:13">
      <c r="B50" s="1" t="s">
        <v>109</v>
      </c>
      <c r="C50" s="16">
        <f>+SUMIFS(Subidos!$S:$S,Subidos!$L:$L,ResumenFondos!$B50,Subidos!$K:$K,"&lt;&gt;UD",Subidos!$F:$F,"&lt;&gt;P",Subidos!$F:$F,"&lt;&gt;F",Subidos!$F:$F,"&lt;&gt;C")</f>
        <v>0</v>
      </c>
      <c r="D50" s="17">
        <f>+SUMIFS(Subidos!$S:$S,Subidos!$M:$M,ResumenFondos!$B50,Subidos!$K:$K,"&lt;&gt;UD",Subidos!$F:$F,"&lt;&gt;P",Subidos!$F:$F,"&lt;&gt;F",Subidos!$F:$F,"&lt;&gt;C")</f>
        <v>0</v>
      </c>
      <c r="F50" s="1" t="s">
        <v>109</v>
      </c>
      <c r="G50" s="18">
        <f>+SUMIFS(Subidos!$P:$P,Subidos!$Q:$Q,ResumenFondos!$F50,Subidos!$M:$M,"=UD",Subidos!$F:$F,"&lt;&gt;P",Subidos!$F:$F,"&lt;&gt;F")</f>
        <v>0</v>
      </c>
      <c r="H50" s="19">
        <f>+SUMIFS(Subidos!$P:$P,Subidos!$R:$R,ResumenFondos!$F50,Subidos!$M:$M,"=UD",Subidos!$F:$F,"&lt;&gt;P",Subidos!$F:$F,"&lt;&gt;F")</f>
        <v>0</v>
      </c>
    </row>
    <row r="51" spans="2:13">
      <c r="B51" s="1" t="s">
        <v>110</v>
      </c>
      <c r="C51" s="16">
        <f>+SUMIFS(Subidos!$S:$S,Subidos!$L:$L,ResumenFondos!$B51,Subidos!$K:$K,"&lt;&gt;UD",Subidos!$F:$F,"&lt;&gt;P",Subidos!$F:$F,"&lt;&gt;F",Subidos!$F:$F,"&lt;&gt;C")</f>
        <v>0</v>
      </c>
      <c r="D51" s="17">
        <f>+SUMIFS(Subidos!$S:$S,Subidos!$M:$M,ResumenFondos!$B51,Subidos!$K:$K,"&lt;&gt;UD",Subidos!$F:$F,"&lt;&gt;P",Subidos!$F:$F,"&lt;&gt;F",Subidos!$F:$F,"&lt;&gt;C")</f>
        <v>0</v>
      </c>
      <c r="F51" s="1" t="s">
        <v>110</v>
      </c>
      <c r="G51" s="18">
        <f>+SUMIFS(Subidos!$P:$P,Subidos!$Q:$Q,ResumenFondos!$F51,Subidos!$M:$M,"=UD",Subidos!$F:$F,"&lt;&gt;P",Subidos!$F:$F,"&lt;&gt;F")</f>
        <v>0</v>
      </c>
      <c r="H51" s="19">
        <f>+SUMIFS(Subidos!$P:$P,Subidos!$R:$R,ResumenFondos!$F51,Subidos!$M:$M,"=UD",Subidos!$F:$F,"&lt;&gt;P",Subidos!$F:$F,"&lt;&gt;F")</f>
        <v>0</v>
      </c>
    </row>
    <row r="52" spans="2:13">
      <c r="B52" s="1" t="s">
        <v>112</v>
      </c>
      <c r="C52" s="16">
        <f>+SUMIFS(Subidos!$S:$S,Subidos!$L:$L,ResumenFondos!$B52,Subidos!$K:$K,"&lt;&gt;UD",Subidos!$F:$F,"&lt;&gt;P",Subidos!$F:$F,"&lt;&gt;F",Subidos!$F:$F,"&lt;&gt;C")</f>
        <v>0</v>
      </c>
      <c r="D52" s="17">
        <f>+SUMIFS(Subidos!$S:$S,Subidos!$M:$M,ResumenFondos!$B52,Subidos!$K:$K,"&lt;&gt;UD",Subidos!$F:$F,"&lt;&gt;P",Subidos!$F:$F,"&lt;&gt;F",Subidos!$F:$F,"&lt;&gt;C")</f>
        <v>0</v>
      </c>
      <c r="F52" s="1" t="s">
        <v>112</v>
      </c>
      <c r="G52" s="18">
        <f>+SUMIFS(Subidos!$P:$P,Subidos!$Q:$Q,ResumenFondos!$F52,Subidos!$M:$M,"=UD",Subidos!$F:$F,"&lt;&gt;P",Subidos!$F:$F,"&lt;&gt;F")</f>
        <v>0</v>
      </c>
      <c r="H52" s="19">
        <f>+SUMIFS(Subidos!$P:$P,Subidos!$R:$R,ResumenFondos!$F52,Subidos!$M:$M,"=UD",Subidos!$F:$F,"&lt;&gt;P",Subidos!$F:$F,"&lt;&gt;F")</f>
        <v>0</v>
      </c>
    </row>
    <row r="53" spans="2:13">
      <c r="B53" s="1" t="s">
        <v>114</v>
      </c>
      <c r="C53" s="16">
        <f>+SUMIFS(Subidos!$S:$S,Subidos!$L:$L,ResumenFondos!$B53,Subidos!$K:$K,"&lt;&gt;UD",Subidos!$F:$F,"&lt;&gt;P",Subidos!$F:$F,"&lt;&gt;F",Subidos!$F:$F,"&lt;&gt;C")</f>
        <v>0</v>
      </c>
      <c r="D53" s="17">
        <f>+SUMIFS(Subidos!$S:$S,Subidos!$M:$M,ResumenFondos!$B53,Subidos!$K:$K,"&lt;&gt;UD",Subidos!$F:$F,"&lt;&gt;P",Subidos!$F:$F,"&lt;&gt;F",Subidos!$F:$F,"&lt;&gt;C")</f>
        <v>0</v>
      </c>
      <c r="F53" s="1" t="s">
        <v>114</v>
      </c>
      <c r="G53" s="18">
        <f>+SUMIFS(Subidos!$P:$P,Subidos!$Q:$Q,ResumenFondos!$F53,Subidos!$M:$M,"=UD",Subidos!$F:$F,"&lt;&gt;P",Subidos!$F:$F,"&lt;&gt;F")</f>
        <v>0</v>
      </c>
      <c r="H53" s="19">
        <f>+SUMIFS(Subidos!$P:$P,Subidos!$R:$R,ResumenFondos!$F53,Subidos!$M:$M,"=UD",Subidos!$F:$F,"&lt;&gt;P",Subidos!$F:$F,"&lt;&gt;F")</f>
        <v>0</v>
      </c>
    </row>
    <row r="54" spans="2:13">
      <c r="B54" s="1" t="s">
        <v>116</v>
      </c>
      <c r="C54" s="16">
        <f>+SUMIFS(Subidos!$S:$S,Subidos!$L:$L,ResumenFondos!$B54,Subidos!$K:$K,"&lt;&gt;UD",Subidos!$F:$F,"&lt;&gt;P",Subidos!$F:$F,"&lt;&gt;F",Subidos!$F:$F,"&lt;&gt;C")</f>
        <v>0</v>
      </c>
      <c r="D54" s="17">
        <f>+SUMIFS(Subidos!$S:$S,Subidos!$M:$M,ResumenFondos!$B54,Subidos!$K:$K,"&lt;&gt;UD",Subidos!$F:$F,"&lt;&gt;P",Subidos!$F:$F,"&lt;&gt;F",Subidos!$F:$F,"&lt;&gt;C")</f>
        <v>0</v>
      </c>
      <c r="F54" s="1" t="s">
        <v>116</v>
      </c>
      <c r="G54" s="18">
        <f>+SUMIFS(Subidos!$P:$P,Subidos!$Q:$Q,ResumenFondos!$F54,Subidos!$M:$M,"=UD",Subidos!$F:$F,"&lt;&gt;P",Subidos!$F:$F,"&lt;&gt;F")</f>
        <v>0</v>
      </c>
      <c r="H54" s="19">
        <f>+SUMIFS(Subidos!$P:$P,Subidos!$R:$R,ResumenFondos!$F54,Subidos!$M:$M,"=UD",Subidos!$F:$F,"&lt;&gt;P",Subidos!$F:$F,"&lt;&gt;F")</f>
        <v>0</v>
      </c>
    </row>
    <row r="55" spans="2:13">
      <c r="B55" s="1" t="s">
        <v>119</v>
      </c>
      <c r="C55" s="16">
        <f>+SUMIFS(Subidos!$S:$S,Subidos!$L:$L,ResumenFondos!$B55,Subidos!$K:$K,"&lt;&gt;UD",Subidos!$F:$F,"&lt;&gt;P",Subidos!$F:$F,"&lt;&gt;F",Subidos!$F:$F,"&lt;&gt;C")</f>
        <v>0</v>
      </c>
      <c r="D55" s="17">
        <f>+SUMIFS(Subidos!$S:$S,Subidos!$M:$M,ResumenFondos!$B55,Subidos!$K:$K,"&lt;&gt;UD",Subidos!$F:$F,"&lt;&gt;P",Subidos!$F:$F,"&lt;&gt;F",Subidos!$F:$F,"&lt;&gt;C")</f>
        <v>0</v>
      </c>
      <c r="F55" s="1" t="s">
        <v>119</v>
      </c>
      <c r="G55" s="18">
        <f>+SUMIFS(Subidos!$P:$P,Subidos!$Q:$Q,ResumenFondos!$F55,Subidos!$M:$M,"=UD",Subidos!$F:$F,"&lt;&gt;P",Subidos!$F:$F,"&lt;&gt;F")</f>
        <v>0</v>
      </c>
      <c r="H55" s="19">
        <f>+SUMIFS(Subidos!$P:$P,Subidos!$R:$R,ResumenFondos!$F55,Subidos!$M:$M,"=UD",Subidos!$F:$F,"&lt;&gt;P",Subidos!$F:$F,"&lt;&gt;F")</f>
        <v>0</v>
      </c>
    </row>
    <row r="56" spans="2:13">
      <c r="B56" s="1" t="s">
        <v>120</v>
      </c>
      <c r="C56" s="16">
        <f>+SUMIFS(Subidos!$S:$S,Subidos!$L:$L,ResumenFondos!$B56,Subidos!$K:$K,"&lt;&gt;UD",Subidos!$F:$F,"&lt;&gt;P",Subidos!$F:$F,"&lt;&gt;F",Subidos!$F:$F,"&lt;&gt;C")</f>
        <v>0</v>
      </c>
      <c r="D56" s="17">
        <f>+SUMIFS(Subidos!$S:$S,Subidos!$M:$M,ResumenFondos!$B56,Subidos!$K:$K,"&lt;&gt;UD",Subidos!$F:$F,"&lt;&gt;P",Subidos!$F:$F,"&lt;&gt;F",Subidos!$F:$F,"&lt;&gt;C")</f>
        <v>0</v>
      </c>
      <c r="F56" s="1" t="s">
        <v>120</v>
      </c>
      <c r="G56" s="18">
        <f>+SUMIFS(Subidos!$P:$P,Subidos!$Q:$Q,ResumenFondos!$F56,Subidos!$M:$M,"=UD",Subidos!$F:$F,"&lt;&gt;P",Subidos!$F:$F,"&lt;&gt;F")</f>
        <v>0</v>
      </c>
      <c r="H56" s="19">
        <f>+SUMIFS(Subidos!$P:$P,Subidos!$R:$R,ResumenFondos!$F56,Subidos!$M:$M,"=UD",Subidos!$F:$F,"&lt;&gt;P",Subidos!$F:$F,"&lt;&gt;F")</f>
        <v>0</v>
      </c>
    </row>
    <row r="57" spans="2:13">
      <c r="B57" s="1" t="s">
        <v>155</v>
      </c>
      <c r="C57" s="16">
        <f>+SUMIFS(Subidos!$S:$S,Subidos!$L:$L,ResumenFondos!$B57,Subidos!$K:$K,"&lt;&gt;UD",Subidos!$F:$F,"&lt;&gt;P",Subidos!$F:$F,"&lt;&gt;F",Subidos!$F:$F,"&lt;&gt;C")</f>
        <v>0</v>
      </c>
      <c r="D57" s="17">
        <f>+SUMIFS(Subidos!$S:$S,Subidos!$M:$M,ResumenFondos!$B57,Subidos!$K:$K,"&lt;&gt;UD",Subidos!$F:$F,"&lt;&gt;P",Subidos!$F:$F,"&lt;&gt;F",Subidos!$F:$F,"&lt;&gt;C")</f>
        <v>0</v>
      </c>
      <c r="F57" s="1" t="s">
        <v>155</v>
      </c>
      <c r="G57" s="18">
        <f>+SUMIFS(Subidos!$P:$P,Subidos!$Q:$Q,ResumenFondos!$F57,Subidos!$M:$M,"=UD",Subidos!$F:$F,"&lt;&gt;P",Subidos!$F:$F,"&lt;&gt;F")</f>
        <v>0</v>
      </c>
      <c r="H57" s="19">
        <f>+SUMIFS(Subidos!$P:$P,Subidos!$R:$R,ResumenFondos!$F57,Subidos!$M:$M,"=UD",Subidos!$F:$F,"&lt;&gt;P",Subidos!$F:$F,"&lt;&gt;F")</f>
        <v>0</v>
      </c>
    </row>
    <row r="58" spans="2:13">
      <c r="B58" s="1" t="s">
        <v>158</v>
      </c>
      <c r="C58" s="16">
        <f>+SUMIFS(Subidos!$S:$S,Subidos!$L:$L,ResumenFondos!$B58,Subidos!$K:$K,"&lt;&gt;UD",Subidos!$F:$F,"&lt;&gt;P",Subidos!$F:$F,"&lt;&gt;F",Subidos!$F:$F,"&lt;&gt;C")</f>
        <v>0</v>
      </c>
      <c r="D58" s="17">
        <f>+SUMIFS(Subidos!$S:$S,Subidos!$M:$M,ResumenFondos!$B58,Subidos!$K:$K,"&lt;&gt;UD",Subidos!$F:$F,"&lt;&gt;P",Subidos!$F:$F,"&lt;&gt;F",Subidos!$F:$F,"&lt;&gt;C")</f>
        <v>0</v>
      </c>
      <c r="F58" s="1" t="s">
        <v>158</v>
      </c>
      <c r="G58" s="18">
        <f>+SUMIFS(Subidos!$P:$P,Subidos!$Q:$Q,ResumenFondos!$F58,Subidos!$M:$M,"=UD",Subidos!$F:$F,"&lt;&gt;P",Subidos!$F:$F,"&lt;&gt;F")</f>
        <v>0</v>
      </c>
      <c r="H58" s="19">
        <f>+SUMIFS(Subidos!$P:$P,Subidos!$R:$R,ResumenFondos!$F58,Subidos!$M:$M,"=UD",Subidos!$F:$F,"&lt;&gt;P",Subidos!$F:$F,"&lt;&gt;F")</f>
        <v>0</v>
      </c>
    </row>
    <row r="59" spans="2:13">
      <c r="B59" s="1" t="s">
        <v>159</v>
      </c>
      <c r="C59" s="16">
        <f>+SUMIFS(Subidos!$S:$S,Subidos!$L:$L,ResumenFondos!$B59,Subidos!$K:$K,"&lt;&gt;UD",Subidos!$F:$F,"&lt;&gt;P",Subidos!$F:$F,"&lt;&gt;F",Subidos!$F:$F,"&lt;&gt;C")</f>
        <v>0</v>
      </c>
      <c r="D59" s="17">
        <f>+SUMIFS(Subidos!$S:$S,Subidos!$M:$M,ResumenFondos!$B59,Subidos!$K:$K,"&lt;&gt;UD",Subidos!$F:$F,"&lt;&gt;P",Subidos!$F:$F,"&lt;&gt;F",Subidos!$F:$F,"&lt;&gt;C")</f>
        <v>0</v>
      </c>
      <c r="F59" s="1" t="s">
        <v>159</v>
      </c>
      <c r="G59" s="18">
        <f>+SUMIFS(Subidos!$P:$P,Subidos!$Q:$Q,ResumenFondos!$F59,Subidos!$M:$M,"=UD",Subidos!$F:$F,"&lt;&gt;P",Subidos!$F:$F,"&lt;&gt;F")</f>
        <v>0</v>
      </c>
      <c r="H59" s="19">
        <f>+SUMIFS(Subidos!$P:$P,Subidos!$R:$R,ResumenFondos!$F59,Subidos!$M:$M,"=UD",Subidos!$F:$F,"&lt;&gt;P",Subidos!$F:$F,"&lt;&gt;F")</f>
        <v>0</v>
      </c>
    </row>
    <row r="60" spans="2:13">
      <c r="B60" s="1" t="s">
        <v>162</v>
      </c>
      <c r="C60" s="16">
        <f>+SUMIFS(Subidos!$S:$S,Subidos!$L:$L,ResumenFondos!$B60,Subidos!$K:$K,"&lt;&gt;UD",Subidos!$F:$F,"&lt;&gt;P",Subidos!$F:$F,"&lt;&gt;F",Subidos!$F:$F,"&lt;&gt;C")</f>
        <v>0</v>
      </c>
      <c r="D60" s="17">
        <f>+SUMIFS(Subidos!$S:$S,Subidos!$M:$M,ResumenFondos!$B60,Subidos!$K:$K,"&lt;&gt;UD",Subidos!$F:$F,"&lt;&gt;P",Subidos!$F:$F,"&lt;&gt;F",Subidos!$F:$F,"&lt;&gt;C")</f>
        <v>0</v>
      </c>
      <c r="F60" s="1" t="s">
        <v>162</v>
      </c>
      <c r="G60" s="18">
        <f>+SUMIFS(Subidos!$P:$P,Subidos!$Q:$Q,ResumenFondos!$F60,Subidos!$M:$M,"=UD",Subidos!$F:$F,"&lt;&gt;P",Subidos!$F:$F,"&lt;&gt;F")</f>
        <v>0</v>
      </c>
      <c r="H60" s="19">
        <f>+SUMIFS(Subidos!$P:$P,Subidos!$R:$R,ResumenFondos!$F60,Subidos!$M:$M,"=UD",Subidos!$F:$F,"&lt;&gt;P",Subidos!$F:$F,"&lt;&gt;F")</f>
        <v>0</v>
      </c>
    </row>
    <row r="61" spans="2:13" ht="15.75" thickBot="1">
      <c r="B61" s="1" t="s">
        <v>167</v>
      </c>
      <c r="C61" s="16">
        <f>+SUMIFS(Subidos!$S:$S,Subidos!$L:$L,ResumenFondos!$B61,Subidos!$K:$K,"&lt;&gt;UD",Subidos!$F:$F,"&lt;&gt;P",Subidos!$F:$F,"&lt;&gt;F",Subidos!$F:$F,"&lt;&gt;C")</f>
        <v>0</v>
      </c>
      <c r="D61" s="17">
        <f>+SUMIFS(Subidos!$S:$S,Subidos!$M:$M,ResumenFondos!$B61,Subidos!$K:$K,"&lt;&gt;UD",Subidos!$F:$F,"&lt;&gt;P",Subidos!$F:$F,"&lt;&gt;F",Subidos!$F:$F,"&lt;&gt;C")</f>
        <v>0</v>
      </c>
      <c r="F61" s="1"/>
      <c r="G61" s="18">
        <f>+SUMIFS(Subidos!$P:$P,Subidos!$Q:$Q,ResumenFondos!$F61,Subidos!$M:$M,"=UD",Subidos!$F:$F,"&lt;&gt;P",Subidos!$F:$F,"&lt;&gt;F")</f>
        <v>0</v>
      </c>
      <c r="H61" s="19">
        <f>+SUMIFS(Subidos!$P:$P,Subidos!$R:$R,ResumenFondos!$F61,Subidos!$M:$M,"=UD",Subidos!$F:$F,"&lt;&gt;P",Subidos!$F:$F,"&lt;&gt;F")</f>
        <v>0</v>
      </c>
    </row>
    <row r="62" spans="2:13" ht="15.75" thickBot="1">
      <c r="B62" s="8"/>
      <c r="C62" s="12">
        <f>+SUM(Tabla2[Ventas])</f>
        <v>0</v>
      </c>
      <c r="D62" s="13">
        <f>+SUM(Tabla2[Compras])</f>
        <v>326386796</v>
      </c>
      <c r="F62" s="8"/>
      <c r="G62" s="9">
        <f>+SUM(Tabla246[Ventas])</f>
        <v>0</v>
      </c>
      <c r="H62" s="10">
        <f>+SUM(Tabla246[Compras])</f>
        <v>0</v>
      </c>
    </row>
    <row r="64" spans="2:13">
      <c r="C64" s="21"/>
      <c r="D64" s="21"/>
    </row>
    <row r="65" spans="3:6">
      <c r="C65" s="21"/>
      <c r="D65" s="21"/>
    </row>
    <row r="66" spans="3:6">
      <c r="C66" s="21"/>
      <c r="D66" s="21"/>
      <c r="F66" s="21"/>
    </row>
    <row r="67" spans="3:6">
      <c r="C67" s="16"/>
      <c r="D67" s="21"/>
    </row>
    <row r="68" spans="3:6">
      <c r="D68" s="21"/>
      <c r="F68" s="21"/>
    </row>
    <row r="69" spans="3:6">
      <c r="D69" s="21"/>
      <c r="F69" s="21"/>
    </row>
    <row r="70" spans="3:6">
      <c r="D70" s="21"/>
      <c r="F70" s="21"/>
    </row>
    <row r="71" spans="3:6">
      <c r="F71" s="21"/>
    </row>
    <row r="72" spans="3:6">
      <c r="F72" s="21"/>
    </row>
    <row r="73" spans="3:6">
      <c r="F73" s="21"/>
    </row>
    <row r="74" spans="3:6">
      <c r="F74" s="21"/>
    </row>
    <row r="75" spans="3:6">
      <c r="F75" s="21"/>
    </row>
    <row r="76" spans="3:6">
      <c r="F76" s="21"/>
    </row>
    <row r="77" spans="3:6">
      <c r="F77" s="21"/>
    </row>
    <row r="78" spans="3:6">
      <c r="F78" s="21"/>
    </row>
    <row r="79" spans="3:6">
      <c r="F79" s="21"/>
    </row>
    <row r="80" spans="3:6">
      <c r="F80" s="21"/>
    </row>
  </sheetData>
  <mergeCells count="2">
    <mergeCell ref="B1:D1"/>
    <mergeCell ref="F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1]!ActualizarYaSubidos">
                <anchor moveWithCells="1" sizeWithCells="1">
                  <from>
                    <xdr:col>0</xdr:col>
                    <xdr:colOff>85725</xdr:colOff>
                    <xdr:row>2</xdr:row>
                    <xdr:rowOff>180975</xdr:rowOff>
                  </from>
                  <to>
                    <xdr:col>0</xdr:col>
                    <xdr:colOff>1495425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A34"/>
  <sheetViews>
    <sheetView workbookViewId="0">
      <selection activeCell="F21" sqref="F21"/>
    </sheetView>
  </sheetViews>
  <sheetFormatPr baseColWidth="10" defaultRowHeight="12"/>
  <cols>
    <col min="1" max="1" width="9" style="54" bestFit="1" customWidth="1"/>
    <col min="2" max="16384" width="11.42578125" style="11"/>
  </cols>
  <sheetData>
    <row r="1" spans="1:1">
      <c r="A1" s="53" t="s">
        <v>33</v>
      </c>
    </row>
    <row r="2" spans="1:1">
      <c r="A2" s="53">
        <v>43466</v>
      </c>
    </row>
    <row r="3" spans="1:1">
      <c r="A3" s="53">
        <v>43574</v>
      </c>
    </row>
    <row r="4" spans="1:1">
      <c r="A4" s="53">
        <v>43575</v>
      </c>
    </row>
    <row r="5" spans="1:1">
      <c r="A5" s="53">
        <v>43576</v>
      </c>
    </row>
    <row r="6" spans="1:1">
      <c r="A6" s="53">
        <v>43586</v>
      </c>
    </row>
    <row r="7" spans="1:1">
      <c r="A7" s="53">
        <v>43606</v>
      </c>
    </row>
    <row r="8" spans="1:1">
      <c r="A8" s="53">
        <v>43645</v>
      </c>
    </row>
    <row r="9" spans="1:1">
      <c r="A9" s="53">
        <v>43662</v>
      </c>
    </row>
    <row r="10" spans="1:1">
      <c r="A10" s="53">
        <v>43692</v>
      </c>
    </row>
    <row r="11" spans="1:1">
      <c r="A11" s="53">
        <v>43726</v>
      </c>
    </row>
    <row r="12" spans="1:1">
      <c r="A12" s="53">
        <v>43727</v>
      </c>
    </row>
    <row r="13" spans="1:1">
      <c r="A13" s="53">
        <v>43728</v>
      </c>
    </row>
    <row r="14" spans="1:1">
      <c r="A14" s="53">
        <v>43750</v>
      </c>
    </row>
    <row r="15" spans="1:1">
      <c r="A15" s="53">
        <v>43769</v>
      </c>
    </row>
    <row r="16" spans="1:1">
      <c r="A16" s="53">
        <v>43770</v>
      </c>
    </row>
    <row r="17" spans="1:1">
      <c r="A17" s="53">
        <v>43807</v>
      </c>
    </row>
    <row r="18" spans="1:1">
      <c r="A18" s="53">
        <v>43824</v>
      </c>
    </row>
    <row r="19" spans="1:1">
      <c r="A19" s="53">
        <v>43830</v>
      </c>
    </row>
    <row r="20" spans="1:1">
      <c r="A20" s="53"/>
    </row>
    <row r="21" spans="1:1">
      <c r="A21" s="53"/>
    </row>
    <row r="22" spans="1:1">
      <c r="A22" s="53"/>
    </row>
    <row r="23" spans="1:1">
      <c r="A23" s="53"/>
    </row>
    <row r="24" spans="1:1">
      <c r="A24" s="53"/>
    </row>
    <row r="25" spans="1:1">
      <c r="A25" s="53"/>
    </row>
    <row r="26" spans="1:1">
      <c r="A26" s="53"/>
    </row>
    <row r="27" spans="1:1">
      <c r="A27" s="53"/>
    </row>
    <row r="28" spans="1:1">
      <c r="A28" s="53"/>
    </row>
    <row r="29" spans="1:1">
      <c r="A29" s="53"/>
    </row>
    <row r="30" spans="1:1">
      <c r="A30" s="53"/>
    </row>
    <row r="31" spans="1:1">
      <c r="A31" s="53"/>
    </row>
    <row r="32" spans="1:1">
      <c r="A32" s="53"/>
    </row>
    <row r="33" spans="1:1">
      <c r="A33" s="53"/>
    </row>
    <row r="34" spans="1:1">
      <c r="A34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TransaccionesIRF</vt:lpstr>
      <vt:lpstr>Subidos</vt:lpstr>
      <vt:lpstr>ResumenFondos</vt:lpstr>
      <vt:lpstr>Feriados</vt:lpstr>
      <vt:lpstr>feriadosBCS</vt:lpstr>
    </vt:vector>
  </TitlesOfParts>
  <Company>Banco Itaú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CJAG7136</dc:creator>
  <cp:lastModifiedBy>Diego Posch Ponce</cp:lastModifiedBy>
  <dcterms:created xsi:type="dcterms:W3CDTF">2012-03-27T21:22:26Z</dcterms:created>
  <dcterms:modified xsi:type="dcterms:W3CDTF">2019-02-18T16:46:36Z</dcterms:modified>
</cp:coreProperties>
</file>
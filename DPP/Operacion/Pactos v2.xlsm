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\\vallenevado.imtrust.loc\fmutuo4\Rates &amp; FX\fsb\operacion\"/>
    </mc:Choice>
  </mc:AlternateContent>
  <bookViews>
    <workbookView xWindow="0" yWindow="0" windowWidth="19200" windowHeight="10770" xr2:uid="{00000000-000D-0000-FFFF-FFFF00000000}"/>
  </bookViews>
  <sheets>
    <sheet name="Hoja1" sheetId="1" r:id="rId1"/>
    <sheet name="Hoja2" sheetId="3" r:id="rId2"/>
    <sheet name="Help" sheetId="2" r:id="rId3"/>
    <sheet name="Hoja1 (2)" sheetId="4" r:id="rId4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B33" i="1" l="1"/>
  <c r="A33" i="1"/>
  <c r="B23" i="1"/>
  <c r="A23" i="1"/>
  <c r="B13" i="1"/>
  <c r="A13" i="1"/>
  <c r="B34" i="4" l="1"/>
  <c r="A34" i="4"/>
  <c r="B24" i="4"/>
  <c r="A24" i="4"/>
  <c r="B14" i="4"/>
  <c r="A14" i="4"/>
  <c r="A5" i="4"/>
</calcChain>
</file>

<file path=xl/sharedStrings.xml><?xml version="1.0" encoding="utf-8"?>
<sst xmlns="http://schemas.openxmlformats.org/spreadsheetml/2006/main" count="100" uniqueCount="21">
  <si>
    <t>PACTO CON RETROCOMPRA</t>
  </si>
  <si>
    <t>Nemo</t>
  </si>
  <si>
    <t>Tasa Pacto (en base 30)</t>
  </si>
  <si>
    <t>Tasa Valorización (en base 365)</t>
  </si>
  <si>
    <t>Días de Pacto</t>
  </si>
  <si>
    <t>Monto Pacto hoy (Bono Valorizado PH)</t>
  </si>
  <si>
    <t>Nominal Instrumento</t>
  </si>
  <si>
    <t>Fondo</t>
  </si>
  <si>
    <t>Estimados,</t>
  </si>
  <si>
    <t>Seleccionar rango para adjuntar en el mail y tocar el boton: Mail</t>
  </si>
  <si>
    <t>HELP</t>
  </si>
  <si>
    <t>Gracias,</t>
  </si>
  <si>
    <t>Quedamos atentos a su confirmación.</t>
  </si>
  <si>
    <t>BTP0450321</t>
  </si>
  <si>
    <t>Credicorp Capital Macro 3</t>
  </si>
  <si>
    <t>Credicorp Capital E Plus</t>
  </si>
  <si>
    <t>BTU0150326</t>
  </si>
  <si>
    <t>BTP0450326</t>
  </si>
  <si>
    <t>4.45%</t>
  </si>
  <si>
    <t>Adjunto los detalles para el pacto que acordamos hoy 03-11-2017:</t>
  </si>
  <si>
    <t>Monto Pacto T+7 (a tasa de pacto)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</si>
</sst>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\ #,##0;[Red]\-&quot;$&quot;\ #,##0"/>
    <numFmt numFmtId="44" formatCode="_-&quot;$&quot;\ * #,##0.00_-;\-&quot;$&quot;\ * #,##0.00_-;_-&quot;$&quot;\ * &quot;-&quot;??_-;_-@_-"/>
    <numFmt numFmtId="164" formatCode="_ * #,##0_ ;_ * \-#,##0_ ;_ * &quot;-&quot;_ ;_ @_ "/>
    <numFmt numFmtId="165" formatCode="_-&quot;$&quot;\ * #,##0_-;\-&quot;$&quot;\ * #,##0_-;_-&quot;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9"/>
      <color rgb="FF474747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">
    <xf numFmtId="0" fontId="0" fillId="0" borderId="0" xfId="0"/>
    <xf numFmtId="3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10" fontId="2" fillId="0" borderId="0" xfId="0" applyNumberFormat="1" applyFont="1" applyAlignment="1">
      <alignment horizontal="center"/>
    </xf>
    <xf numFmtId="165" fontId="2" fillId="0" borderId="0" xfId="1" applyNumberFormat="1" applyFont="1" applyAlignment="1">
      <alignment horizontal="center"/>
    </xf>
    <xf numFmtId="0" fontId="3" fillId="0" borderId="0" xfId="0" applyFont="1"/>
    <xf numFmtId="0" fontId="0" fillId="0" borderId="0" xfId="0" applyFont="1"/>
    <xf numFmtId="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3" fontId="6" fillId="0" borderId="0" xfId="0" applyNumberFormat="1" applyFont="1" applyAlignment="1">
      <alignment horizontal="center" wrapText="1"/>
    </xf>
    <xf numFmtId="10" fontId="6" fillId="0" borderId="0" xfId="0" applyNumberFormat="1" applyFont="1" applyAlignment="1">
      <alignment horizontal="center" wrapText="1"/>
    </xf>
    <xf numFmtId="6" fontId="6" fillId="0" borderId="0" xfId="0" applyNumberFormat="1" applyFont="1" applyAlignment="1">
      <alignment horizontal="center" wrapText="1"/>
    </xf>
    <xf numFmtId="0" fontId="7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164" fontId="2" fillId="0" borderId="0" xfId="2" applyFont="1" applyAlignment="1">
      <alignment horizontal="center" vertical="center"/>
    </xf>
    <xf numFmtId="165" fontId="0" fillId="0" borderId="0" xfId="0" applyNumberFormat="1"/>
    <xf numFmtId="165" fontId="0" fillId="0" borderId="0" xfId="1" applyNumberFormat="1" applyFont="1"/>
    <xf numFmtId="6" fontId="0" fillId="0" borderId="0" xfId="0" applyNumberFormat="1"/>
    <xf numFmtId="14" fontId="0" fillId="0" borderId="0" xfId="0" applyNumberFormat="1"/>
    <xf numFmtId="0" fontId="8" fillId="2" borderId="0" xfId="0" applyFont="1" applyFill="1" applyAlignment="1">
      <alignment horizontal="right" vertical="center"/>
    </xf>
    <xf numFmtId="165" fontId="8" fillId="2" borderId="0" xfId="0" applyNumberFormat="1" applyFont="1" applyFill="1" applyAlignment="1">
      <alignment vertical="center"/>
    </xf>
    <xf numFmtId="0" fontId="8" fillId="0" borderId="0" xfId="0" applyFont="1"/>
    <xf numFmtId="0" fontId="0" fillId="0" borderId="0" xfId="0" applyNumberFormat="1"/>
    <xf numFmtId="165" fontId="8" fillId="0" borderId="0" xfId="0" applyNumberFormat="1" applyFont="1"/>
  </cellXfs>
  <cellStyles count="3">
    <cellStyle name="Millares [0]" xfId="2" builtinId="6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47625</xdr:rowOff>
        </xdr:from>
        <xdr:to>
          <xdr:col>5</xdr:col>
          <xdr:colOff>781050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47625</xdr:rowOff>
        </xdr:from>
        <xdr:to>
          <xdr:col>5</xdr:col>
          <xdr:colOff>781050</xdr:colOff>
          <xdr:row>3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8"/>
  <sheetViews>
    <sheetView showGridLines="0" tabSelected="1" workbookViewId="0">
      <selection activeCell="E13" sqref="E13"/>
    </sheetView>
  </sheetViews>
  <sheetFormatPr baseColWidth="10" defaultRowHeight="15" x14ac:dyDescent="0.25"/>
  <cols>
    <col min="1" max="1" width="37.7109375" bestFit="1" customWidth="1"/>
    <col min="2" max="2" width="22.5703125" customWidth="1"/>
    <col min="3" max="4" width="15.5703125" bestFit="1" customWidth="1"/>
    <col min="5" max="6" width="18.28515625" bestFit="1" customWidth="1"/>
    <col min="7" max="7" width="30.7109375" customWidth="1"/>
    <col min="8" max="8" width="37.7109375" bestFit="1" customWidth="1"/>
    <col min="9" max="9" width="27" bestFit="1" customWidth="1"/>
    <col min="14" max="14" width="54.28515625" customWidth="1"/>
  </cols>
  <sheetData>
    <row r="1" spans="1:14" x14ac:dyDescent="0.25">
      <c r="A1" s="6" t="s">
        <v>0</v>
      </c>
    </row>
    <row r="2" spans="1:14" x14ac:dyDescent="0.25">
      <c r="A2" s="6"/>
    </row>
    <row r="3" spans="1:14" x14ac:dyDescent="0.25">
      <c r="A3" s="2" t="s">
        <v>8</v>
      </c>
      <c r="B3" s="7"/>
    </row>
    <row r="5" spans="1:14" x14ac:dyDescent="0.25">
      <c r="A5" s="2" t="str">
        <f ca="1">+"Adjunto los detalles para el pacto que acordamos hoy "&amp;TEXT(TODAY(),"dd-mm-aaaa")&amp;":"</f>
        <v>Adjunto los detalles para el pacto que acordamos hoy 12-02-lunes:</v>
      </c>
      <c r="B5" s="7"/>
      <c r="H5" s="22"/>
    </row>
    <row r="7" spans="1:14" x14ac:dyDescent="0.25">
      <c r="A7" s="2" t="s">
        <v>1</v>
      </c>
      <c r="B7" s="3" t="s">
        <v>13</v>
      </c>
      <c r="N7" s="1"/>
    </row>
    <row r="8" spans="1:14" x14ac:dyDescent="0.25">
      <c r="A8" s="2" t="s">
        <v>6</v>
      </c>
      <c r="B8" s="18">
        <v>1800000000</v>
      </c>
      <c r="N8" s="1"/>
    </row>
    <row r="9" spans="1:14" x14ac:dyDescent="0.25">
      <c r="A9" s="2" t="s">
        <v>2</v>
      </c>
      <c r="B9" s="4">
        <v>2.5000000000000001E-3</v>
      </c>
      <c r="F9" s="20"/>
      <c r="N9" s="1"/>
    </row>
    <row r="10" spans="1:14" x14ac:dyDescent="0.25">
      <c r="A10" s="2" t="s">
        <v>4</v>
      </c>
      <c r="B10" s="3">
        <v>1</v>
      </c>
      <c r="E10" s="21"/>
      <c r="F10" s="19"/>
      <c r="N10" s="1"/>
    </row>
    <row r="11" spans="1:14" x14ac:dyDescent="0.25">
      <c r="A11" s="2" t="s">
        <v>3</v>
      </c>
      <c r="B11" s="4">
        <v>3.61E-2</v>
      </c>
      <c r="E11" s="19"/>
      <c r="F11" s="19"/>
      <c r="G11" s="20"/>
      <c r="N11" s="1"/>
    </row>
    <row r="12" spans="1:14" x14ac:dyDescent="0.25">
      <c r="A12" s="2" t="s">
        <v>5</v>
      </c>
      <c r="B12" s="5">
        <v>1884075668</v>
      </c>
      <c r="C12" s="19"/>
      <c r="D12" s="23"/>
      <c r="E12" s="24"/>
      <c r="F12" s="19"/>
      <c r="N12" s="1"/>
    </row>
    <row r="13" spans="1:14" x14ac:dyDescent="0.25">
      <c r="A13" s="2" t="str">
        <f>+"Monto Pacto T+"&amp;B10&amp;" (a tasa de pacto)"</f>
        <v>Monto Pacto T+1 (a tasa de pacto)</v>
      </c>
      <c r="B13" s="5">
        <f>+B12*(1+B9*B10/30)</f>
        <v>1884232674.3056669</v>
      </c>
      <c r="D13" s="1"/>
      <c r="E13" s="19"/>
      <c r="N13" s="1"/>
    </row>
    <row r="14" spans="1:14" x14ac:dyDescent="0.25">
      <c r="A14" s="2" t="s">
        <v>7</v>
      </c>
      <c r="B14" t="s">
        <v>14</v>
      </c>
      <c r="N14" s="1"/>
    </row>
    <row r="15" spans="1:14" x14ac:dyDescent="0.25">
      <c r="A15" s="2"/>
      <c r="B15" s="9"/>
      <c r="N15" s="1"/>
    </row>
    <row r="16" spans="1:14" x14ac:dyDescent="0.25">
      <c r="A16" s="2"/>
      <c r="B16" s="9"/>
      <c r="G16" s="19"/>
      <c r="N16" s="1"/>
    </row>
    <row r="17" spans="1:14" x14ac:dyDescent="0.25">
      <c r="A17" s="2" t="s">
        <v>1</v>
      </c>
      <c r="B17" s="3" t="s">
        <v>16</v>
      </c>
      <c r="N17" s="1"/>
    </row>
    <row r="18" spans="1:14" x14ac:dyDescent="0.25">
      <c r="A18" s="2" t="s">
        <v>6</v>
      </c>
      <c r="B18" s="18">
        <v>115000</v>
      </c>
      <c r="F18" s="20"/>
      <c r="N18" s="1"/>
    </row>
    <row r="19" spans="1:14" x14ac:dyDescent="0.25">
      <c r="A19" s="2" t="s">
        <v>2</v>
      </c>
      <c r="B19" s="4">
        <v>2.5000000000000001E-3</v>
      </c>
      <c r="D19" s="19"/>
      <c r="F19" s="19"/>
      <c r="N19" s="1"/>
    </row>
    <row r="20" spans="1:14" x14ac:dyDescent="0.25">
      <c r="A20" s="2" t="s">
        <v>4</v>
      </c>
      <c r="B20" s="3">
        <v>1</v>
      </c>
      <c r="F20" s="19"/>
      <c r="N20" s="1"/>
    </row>
    <row r="21" spans="1:14" x14ac:dyDescent="0.25">
      <c r="A21" s="2" t="s">
        <v>3</v>
      </c>
      <c r="B21" s="4">
        <v>1.7899999999999999E-2</v>
      </c>
      <c r="F21" s="19"/>
      <c r="G21" s="19"/>
      <c r="N21" s="1"/>
    </row>
    <row r="22" spans="1:14" x14ac:dyDescent="0.25">
      <c r="A22" s="2" t="s">
        <v>5</v>
      </c>
      <c r="B22" s="5">
        <v>3043235316</v>
      </c>
      <c r="D22" s="19"/>
      <c r="E22" s="25"/>
      <c r="F22" s="20"/>
      <c r="N22" s="1"/>
    </row>
    <row r="23" spans="1:14" x14ac:dyDescent="0.25">
      <c r="A23" s="2" t="str">
        <f>+"Monto Pacto T+"&amp;B20&amp;" (a tasa de pacto)"</f>
        <v>Monto Pacto T+1 (a tasa de pacto)</v>
      </c>
      <c r="B23" s="5">
        <f>+B22*(1+B19*B20/30)</f>
        <v>3043488918.9430003</v>
      </c>
      <c r="E23" s="19"/>
      <c r="F23" s="19"/>
      <c r="G23" s="26"/>
      <c r="N23" s="1"/>
    </row>
    <row r="24" spans="1:14" x14ac:dyDescent="0.25">
      <c r="A24" s="2" t="s">
        <v>7</v>
      </c>
      <c r="B24" s="9" t="s">
        <v>15</v>
      </c>
      <c r="E24" s="19"/>
      <c r="F24" s="20"/>
      <c r="N24" s="1"/>
    </row>
    <row r="25" spans="1:14" x14ac:dyDescent="0.25">
      <c r="A25" s="2"/>
      <c r="B25" s="9"/>
      <c r="F25" s="19"/>
      <c r="N25" s="1"/>
    </row>
    <row r="26" spans="1:14" x14ac:dyDescent="0.25">
      <c r="A26" s="2"/>
      <c r="B26" s="9"/>
      <c r="D26" s="19"/>
      <c r="E26" s="19"/>
      <c r="G26" s="19"/>
      <c r="N26" s="1"/>
    </row>
    <row r="27" spans="1:14" x14ac:dyDescent="0.25">
      <c r="A27" s="2" t="s">
        <v>1</v>
      </c>
      <c r="B27" s="3" t="s">
        <v>17</v>
      </c>
      <c r="D27" s="1"/>
      <c r="E27" s="19"/>
      <c r="F27" s="19"/>
      <c r="N27" s="1"/>
    </row>
    <row r="28" spans="1:14" x14ac:dyDescent="0.25">
      <c r="A28" s="2" t="s">
        <v>6</v>
      </c>
      <c r="B28" s="18">
        <v>300000000</v>
      </c>
      <c r="D28" s="19"/>
      <c r="E28" s="19"/>
      <c r="N28" s="1"/>
    </row>
    <row r="29" spans="1:14" x14ac:dyDescent="0.25">
      <c r="A29" s="2" t="s">
        <v>2</v>
      </c>
      <c r="B29" s="4">
        <v>2.5000000000000001E-3</v>
      </c>
      <c r="N29" s="1"/>
    </row>
    <row r="30" spans="1:14" x14ac:dyDescent="0.25">
      <c r="A30" s="2" t="s">
        <v>4</v>
      </c>
      <c r="B30" s="3">
        <v>1</v>
      </c>
      <c r="N30" s="1"/>
    </row>
    <row r="31" spans="1:14" x14ac:dyDescent="0.25">
      <c r="A31" s="2" t="s">
        <v>3</v>
      </c>
      <c r="B31" s="4">
        <v>4.5199999999999997E-2</v>
      </c>
      <c r="E31" s="20"/>
      <c r="N31" s="1"/>
    </row>
    <row r="32" spans="1:14" x14ac:dyDescent="0.25">
      <c r="A32" s="2" t="s">
        <v>5</v>
      </c>
      <c r="B32" s="5">
        <v>306635100</v>
      </c>
      <c r="D32" s="27"/>
      <c r="E32" s="19"/>
      <c r="N32" s="1"/>
    </row>
    <row r="33" spans="1:22" x14ac:dyDescent="0.25">
      <c r="A33" s="2" t="str">
        <f>+"Monto Pacto T+"&amp;B30&amp;" (a tasa de pacto)"</f>
        <v>Monto Pacto T+1 (a tasa de pacto)</v>
      </c>
      <c r="B33" s="5">
        <f>+B32*(1+B29*B30/30)</f>
        <v>306660652.92500001</v>
      </c>
      <c r="E33" s="19"/>
      <c r="N33" s="1"/>
    </row>
    <row r="34" spans="1:22" x14ac:dyDescent="0.25">
      <c r="A34" s="2" t="s">
        <v>7</v>
      </c>
      <c r="B34" s="9" t="s">
        <v>15</v>
      </c>
      <c r="N34" s="1"/>
    </row>
    <row r="35" spans="1:22" x14ac:dyDescent="0.25">
      <c r="A35" s="2"/>
      <c r="B35" s="9"/>
      <c r="N35" s="1"/>
    </row>
    <row r="36" spans="1:22" x14ac:dyDescent="0.25">
      <c r="A36" s="2" t="s">
        <v>12</v>
      </c>
      <c r="H36" s="10"/>
      <c r="I36" s="13"/>
      <c r="O36" s="1"/>
    </row>
    <row r="37" spans="1:22" x14ac:dyDescent="0.25">
      <c r="H37" s="10"/>
      <c r="I37" s="14"/>
      <c r="O37" s="1"/>
      <c r="R37" s="8"/>
      <c r="S37" s="1"/>
      <c r="T37" s="1"/>
      <c r="U37" s="1"/>
      <c r="V37" s="1"/>
    </row>
    <row r="38" spans="1:22" x14ac:dyDescent="0.25">
      <c r="A38" s="2" t="s">
        <v>11</v>
      </c>
      <c r="H38" s="10"/>
      <c r="I38" s="12"/>
      <c r="N38" s="1"/>
      <c r="O38" s="1"/>
      <c r="R38" s="8"/>
      <c r="S38" s="1"/>
    </row>
    <row r="39" spans="1:22" x14ac:dyDescent="0.25">
      <c r="H39" s="10"/>
      <c r="I39" s="14"/>
      <c r="N39" s="1"/>
      <c r="P39" s="1"/>
      <c r="R39" s="8"/>
      <c r="S39" s="1"/>
    </row>
    <row r="40" spans="1:22" x14ac:dyDescent="0.25">
      <c r="H40" s="10"/>
      <c r="I40" s="15"/>
      <c r="N40" s="1"/>
      <c r="P40" s="1"/>
      <c r="R40" s="8"/>
      <c r="S40" s="1"/>
    </row>
    <row r="41" spans="1:22" x14ac:dyDescent="0.25">
      <c r="A41" s="2"/>
      <c r="B41" s="3"/>
      <c r="F41" s="10"/>
      <c r="G41" s="12"/>
      <c r="H41" s="10"/>
      <c r="I41" s="15"/>
      <c r="P41" s="1"/>
      <c r="Q41" s="1"/>
      <c r="R41" s="8"/>
      <c r="S41" s="1"/>
    </row>
    <row r="42" spans="1:22" x14ac:dyDescent="0.25">
      <c r="A42" s="2"/>
      <c r="B42" s="3"/>
      <c r="F42" s="10"/>
      <c r="G42" s="13"/>
      <c r="H42" s="10"/>
      <c r="I42" s="16"/>
      <c r="R42" s="8"/>
      <c r="S42" s="1"/>
    </row>
    <row r="43" spans="1:22" x14ac:dyDescent="0.25">
      <c r="A43" s="2"/>
      <c r="B43" s="4"/>
      <c r="F43" s="10"/>
      <c r="G43" s="14"/>
      <c r="H43" s="11"/>
      <c r="I43" s="17"/>
      <c r="R43" s="8"/>
      <c r="S43" s="1"/>
    </row>
    <row r="44" spans="1:22" x14ac:dyDescent="0.25">
      <c r="A44" s="2"/>
      <c r="B44" s="3"/>
      <c r="F44" s="10"/>
      <c r="G44" s="12"/>
      <c r="H44" s="11"/>
      <c r="I44" s="17"/>
      <c r="S44" s="1"/>
    </row>
    <row r="45" spans="1:22" x14ac:dyDescent="0.25">
      <c r="A45" s="2"/>
      <c r="B45" s="4"/>
      <c r="F45" s="10"/>
      <c r="G45" s="14"/>
      <c r="H45" s="10"/>
      <c r="I45" s="12"/>
      <c r="R45" s="8"/>
      <c r="S45" s="1"/>
    </row>
    <row r="46" spans="1:22" x14ac:dyDescent="0.25">
      <c r="A46" s="2"/>
      <c r="B46" s="5"/>
      <c r="F46" s="10"/>
      <c r="G46" s="15"/>
      <c r="H46" s="10"/>
      <c r="I46" s="13"/>
      <c r="R46" s="8"/>
      <c r="S46" s="1"/>
    </row>
    <row r="47" spans="1:22" x14ac:dyDescent="0.25">
      <c r="A47" s="2"/>
      <c r="B47" s="5"/>
      <c r="F47" s="10"/>
      <c r="G47" s="15"/>
      <c r="H47" s="10"/>
      <c r="I47" s="14"/>
      <c r="R47" s="8"/>
      <c r="S47" s="1"/>
    </row>
    <row r="48" spans="1:22" x14ac:dyDescent="0.25">
      <c r="A48" s="2"/>
      <c r="B48" s="3"/>
      <c r="F48" s="10"/>
      <c r="G48" s="16"/>
      <c r="H48" s="10"/>
      <c r="I48" s="12"/>
      <c r="R48" s="8"/>
      <c r="S48" s="1"/>
    </row>
    <row r="49" spans="1:21" x14ac:dyDescent="0.25">
      <c r="F49" s="11"/>
      <c r="G49" s="17"/>
      <c r="H49" s="10"/>
      <c r="I49" s="14"/>
    </row>
    <row r="50" spans="1:21" x14ac:dyDescent="0.25">
      <c r="A50" s="2"/>
      <c r="F50" s="11"/>
      <c r="G50" s="17"/>
      <c r="H50" s="10"/>
      <c r="I50" s="15"/>
      <c r="U50" s="1"/>
    </row>
    <row r="51" spans="1:21" x14ac:dyDescent="0.25">
      <c r="F51" s="10"/>
      <c r="G51" s="12"/>
      <c r="H51" s="10"/>
      <c r="I51" s="15"/>
      <c r="U51" s="1"/>
    </row>
    <row r="52" spans="1:21" x14ac:dyDescent="0.25">
      <c r="F52" s="10"/>
      <c r="G52" s="13"/>
      <c r="H52" s="10"/>
      <c r="I52" s="16"/>
    </row>
    <row r="53" spans="1:21" x14ac:dyDescent="0.25">
      <c r="F53" s="10"/>
      <c r="G53" s="14"/>
    </row>
    <row r="54" spans="1:21" x14ac:dyDescent="0.25">
      <c r="F54" s="10"/>
      <c r="G54" s="12"/>
    </row>
    <row r="55" spans="1:21" x14ac:dyDescent="0.25">
      <c r="F55" s="10"/>
      <c r="G55" s="14"/>
    </row>
    <row r="56" spans="1:21" x14ac:dyDescent="0.25">
      <c r="F56" s="10"/>
      <c r="G56" s="15"/>
    </row>
    <row r="57" spans="1:21" x14ac:dyDescent="0.25">
      <c r="F57" s="10"/>
      <c r="G57" s="15"/>
    </row>
    <row r="58" spans="1:21" x14ac:dyDescent="0.25">
      <c r="F58" s="10"/>
      <c r="G58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l_Selection_Range_Outlook_Body">
                <anchor moveWithCells="1">
                  <from>
                    <xdr:col>5</xdr:col>
                    <xdr:colOff>9525</xdr:colOff>
                    <xdr:row>2</xdr:row>
                    <xdr:rowOff>47625</xdr:rowOff>
                  </from>
                  <to>
                    <xdr:col>5</xdr:col>
                    <xdr:colOff>781050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AE393-B4EF-4DCB-A2F6-F1FB3180DBCF}">
  <sheetPr codeName="Hoja4"/>
  <dimension ref="A1:B38"/>
  <sheetViews>
    <sheetView workbookViewId="0">
      <selection activeCell="B11" sqref="B11"/>
    </sheetView>
  </sheetViews>
  <sheetFormatPr baseColWidth="10" defaultRowHeight="15" x14ac:dyDescent="0.25"/>
  <cols>
    <col min="1" max="1" width="31.5703125" customWidth="1"/>
    <col min="2" max="2" width="23" customWidth="1"/>
  </cols>
  <sheetData>
    <row r="1" spans="1:2" x14ac:dyDescent="0.25">
      <c r="A1" t="s">
        <v>0</v>
      </c>
    </row>
    <row r="3" spans="1:2" x14ac:dyDescent="0.25">
      <c r="A3" t="s">
        <v>8</v>
      </c>
    </row>
    <row r="5" spans="1:2" x14ac:dyDescent="0.25">
      <c r="A5" t="s">
        <v>19</v>
      </c>
    </row>
    <row r="8" spans="1:2" x14ac:dyDescent="0.25">
      <c r="A8" t="s">
        <v>1</v>
      </c>
      <c r="B8" t="s">
        <v>13</v>
      </c>
    </row>
    <row r="9" spans="1:2" x14ac:dyDescent="0.25">
      <c r="A9" t="s">
        <v>6</v>
      </c>
      <c r="B9">
        <v>6200000000</v>
      </c>
    </row>
    <row r="10" spans="1:2" x14ac:dyDescent="0.25">
      <c r="A10" t="s">
        <v>2</v>
      </c>
      <c r="B10">
        <v>2.7000000000000001E-3</v>
      </c>
    </row>
    <row r="11" spans="1:2" x14ac:dyDescent="0.25">
      <c r="A11" t="s">
        <v>4</v>
      </c>
      <c r="B11">
        <v>7</v>
      </c>
    </row>
    <row r="12" spans="1:2" x14ac:dyDescent="0.25">
      <c r="A12" t="s">
        <v>3</v>
      </c>
      <c r="B12">
        <v>3.6900000000000002E-2</v>
      </c>
    </row>
    <row r="13" spans="1:2" x14ac:dyDescent="0.25">
      <c r="A13" t="s">
        <v>5</v>
      </c>
      <c r="B13">
        <v>6410062499</v>
      </c>
    </row>
    <row r="14" spans="1:2" x14ac:dyDescent="0.25">
      <c r="A14" t="s">
        <v>20</v>
      </c>
      <c r="B14">
        <v>6414100838.3743696</v>
      </c>
    </row>
    <row r="15" spans="1:2" x14ac:dyDescent="0.25">
      <c r="A15" t="s">
        <v>7</v>
      </c>
      <c r="B15" t="s">
        <v>14</v>
      </c>
    </row>
    <row r="17" spans="1:2" x14ac:dyDescent="0.25">
      <c r="A17" t="s">
        <v>1</v>
      </c>
      <c r="B17" t="s">
        <v>16</v>
      </c>
    </row>
    <row r="18" spans="1:2" x14ac:dyDescent="0.25">
      <c r="A18" t="s">
        <v>6</v>
      </c>
      <c r="B18">
        <v>233000</v>
      </c>
    </row>
    <row r="19" spans="1:2" x14ac:dyDescent="0.25">
      <c r="A19" t="s">
        <v>2</v>
      </c>
      <c r="B19">
        <v>2.7000000000000001E-3</v>
      </c>
    </row>
    <row r="20" spans="1:2" x14ac:dyDescent="0.25">
      <c r="A20" t="s">
        <v>4</v>
      </c>
      <c r="B20">
        <v>7</v>
      </c>
    </row>
    <row r="21" spans="1:2" x14ac:dyDescent="0.25">
      <c r="A21" t="s">
        <v>3</v>
      </c>
      <c r="B21">
        <v>1.6799999999999999E-2</v>
      </c>
    </row>
    <row r="22" spans="1:2" x14ac:dyDescent="0.25">
      <c r="A22" t="s">
        <v>5</v>
      </c>
      <c r="B22">
        <v>6137528864</v>
      </c>
    </row>
    <row r="23" spans="1:2" x14ac:dyDescent="0.25">
      <c r="A23" t="s">
        <v>20</v>
      </c>
      <c r="B23">
        <v>6141395507.1843195</v>
      </c>
    </row>
    <row r="24" spans="1:2" x14ac:dyDescent="0.25">
      <c r="A24" t="s">
        <v>7</v>
      </c>
      <c r="B24" t="s">
        <v>15</v>
      </c>
    </row>
    <row r="26" spans="1:2" x14ac:dyDescent="0.25">
      <c r="A26" t="s">
        <v>1</v>
      </c>
      <c r="B26" t="s">
        <v>17</v>
      </c>
    </row>
    <row r="27" spans="1:2" x14ac:dyDescent="0.25">
      <c r="A27" t="s">
        <v>6</v>
      </c>
      <c r="B27">
        <v>600000000</v>
      </c>
    </row>
    <row r="28" spans="1:2" x14ac:dyDescent="0.25">
      <c r="A28" t="s">
        <v>2</v>
      </c>
      <c r="B28">
        <v>2.7000000000000001E-3</v>
      </c>
    </row>
    <row r="29" spans="1:2" x14ac:dyDescent="0.25">
      <c r="A29" t="s">
        <v>4</v>
      </c>
      <c r="B29">
        <v>7</v>
      </c>
    </row>
    <row r="30" spans="1:2" x14ac:dyDescent="0.25">
      <c r="A30" t="s">
        <v>3</v>
      </c>
      <c r="B30" t="s">
        <v>18</v>
      </c>
    </row>
    <row r="31" spans="1:2" x14ac:dyDescent="0.25">
      <c r="A31" t="s">
        <v>5</v>
      </c>
      <c r="B31">
        <v>608599175</v>
      </c>
    </row>
    <row r="32" spans="1:2" x14ac:dyDescent="0.25">
      <c r="A32" t="s">
        <v>20</v>
      </c>
      <c r="B32">
        <v>608982592.48025</v>
      </c>
    </row>
    <row r="33" spans="1:2" x14ac:dyDescent="0.25">
      <c r="A33" t="s">
        <v>7</v>
      </c>
      <c r="B33" t="s">
        <v>15</v>
      </c>
    </row>
    <row r="36" spans="1:2" x14ac:dyDescent="0.25">
      <c r="A36" t="s">
        <v>12</v>
      </c>
    </row>
    <row r="38" spans="1:2" x14ac:dyDescent="0.25">
      <c r="A3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2"/>
  <sheetViews>
    <sheetView showGridLines="0" workbookViewId="0">
      <selection activeCell="D21" sqref="D21"/>
    </sheetView>
  </sheetViews>
  <sheetFormatPr baseColWidth="10" defaultRowHeight="15" x14ac:dyDescent="0.25"/>
  <sheetData>
    <row r="1" spans="1:1" x14ac:dyDescent="0.25">
      <c r="A1" s="2" t="s">
        <v>10</v>
      </c>
    </row>
    <row r="2" spans="1:1" x14ac:dyDescent="0.25">
      <c r="A2" s="2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BA06A-4028-4C52-85C9-EE8AB3D4DE37}">
  <sheetPr codeName="Hoja3"/>
  <dimension ref="A1:V61"/>
  <sheetViews>
    <sheetView showGridLines="0" workbookViewId="0">
      <selection activeCell="A8" sqref="A8:B35"/>
    </sheetView>
  </sheetViews>
  <sheetFormatPr baseColWidth="10" defaultRowHeight="15" x14ac:dyDescent="0.25"/>
  <cols>
    <col min="1" max="1" width="37.7109375" bestFit="1" customWidth="1"/>
    <col min="2" max="2" width="22.5703125" customWidth="1"/>
    <col min="4" max="4" width="15.5703125" bestFit="1" customWidth="1"/>
    <col min="5" max="5" width="16.85546875" bestFit="1" customWidth="1"/>
    <col min="6" max="6" width="37.7109375" bestFit="1" customWidth="1"/>
    <col min="7" max="7" width="30.7109375" customWidth="1"/>
    <col min="8" max="8" width="37.7109375" bestFit="1" customWidth="1"/>
    <col min="9" max="9" width="27" bestFit="1" customWidth="1"/>
    <col min="14" max="14" width="54.28515625" customWidth="1"/>
  </cols>
  <sheetData>
    <row r="1" spans="1:14" x14ac:dyDescent="0.25">
      <c r="A1" s="6" t="s">
        <v>0</v>
      </c>
    </row>
    <row r="2" spans="1:14" x14ac:dyDescent="0.25">
      <c r="A2" s="6"/>
    </row>
    <row r="3" spans="1:14" x14ac:dyDescent="0.25">
      <c r="A3" s="2" t="s">
        <v>8</v>
      </c>
      <c r="B3" s="7"/>
    </row>
    <row r="5" spans="1:14" x14ac:dyDescent="0.25">
      <c r="A5" s="2" t="str">
        <f ca="1">+"Adjunto los detalles para el pacto que acordamos hoy "&amp;TEXT(TODAY(),"dd-mm-yyyy")&amp;":"</f>
        <v>Adjunto los detalles para el pacto que acordamos hoy 12-02-2018:</v>
      </c>
      <c r="B5" s="7"/>
    </row>
    <row r="7" spans="1:14" x14ac:dyDescent="0.25">
      <c r="A7" s="2"/>
      <c r="B7" s="9"/>
      <c r="N7" s="1"/>
    </row>
    <row r="8" spans="1:14" x14ac:dyDescent="0.25">
      <c r="A8" s="2" t="s">
        <v>1</v>
      </c>
      <c r="B8" s="3" t="s">
        <v>13</v>
      </c>
      <c r="N8" s="1"/>
    </row>
    <row r="9" spans="1:14" x14ac:dyDescent="0.25">
      <c r="A9" s="2" t="s">
        <v>6</v>
      </c>
      <c r="B9" s="18">
        <v>6200000000</v>
      </c>
      <c r="N9" s="1"/>
    </row>
    <row r="10" spans="1:14" x14ac:dyDescent="0.25">
      <c r="A10" s="2" t="s">
        <v>2</v>
      </c>
      <c r="B10" s="4">
        <v>2.7000000000000001E-3</v>
      </c>
      <c r="N10" s="1"/>
    </row>
    <row r="11" spans="1:14" x14ac:dyDescent="0.25">
      <c r="A11" s="2" t="s">
        <v>4</v>
      </c>
      <c r="B11" s="3">
        <v>7</v>
      </c>
      <c r="N11" s="1"/>
    </row>
    <row r="12" spans="1:14" x14ac:dyDescent="0.25">
      <c r="A12" s="2" t="s">
        <v>3</v>
      </c>
      <c r="B12" s="4">
        <v>3.6799999999999999E-2</v>
      </c>
      <c r="N12" s="1"/>
    </row>
    <row r="13" spans="1:14" x14ac:dyDescent="0.25">
      <c r="A13" s="2" t="s">
        <v>5</v>
      </c>
      <c r="B13" s="5">
        <v>6414281695</v>
      </c>
      <c r="N13" s="1"/>
    </row>
    <row r="14" spans="1:14" x14ac:dyDescent="0.25">
      <c r="A14" s="2" t="str">
        <f>+"Monto Pacto T+"&amp;B11&amp;" (a tasa de pacto)"</f>
        <v>Monto Pacto T+7 (a tasa de pacto)</v>
      </c>
      <c r="B14" s="5">
        <f>+B13*(1+B10*B11/30)</f>
        <v>6418322692.4678497</v>
      </c>
      <c r="N14" s="1"/>
    </row>
    <row r="15" spans="1:14" x14ac:dyDescent="0.25">
      <c r="A15" s="2" t="s">
        <v>7</v>
      </c>
      <c r="B15" t="s">
        <v>14</v>
      </c>
      <c r="N15" s="1"/>
    </row>
    <row r="16" spans="1:14" x14ac:dyDescent="0.25">
      <c r="A16" s="2"/>
      <c r="B16" s="9"/>
      <c r="N16" s="1"/>
    </row>
    <row r="17" spans="1:14" x14ac:dyDescent="0.25">
      <c r="A17" s="2"/>
      <c r="B17" s="9"/>
      <c r="N17" s="1"/>
    </row>
    <row r="18" spans="1:14" x14ac:dyDescent="0.25">
      <c r="A18" s="2" t="s">
        <v>1</v>
      </c>
      <c r="B18" s="3" t="s">
        <v>16</v>
      </c>
      <c r="N18" s="1"/>
    </row>
    <row r="19" spans="1:14" x14ac:dyDescent="0.25">
      <c r="A19" s="2" t="s">
        <v>6</v>
      </c>
      <c r="B19" s="18">
        <v>233000</v>
      </c>
      <c r="N19" s="1"/>
    </row>
    <row r="20" spans="1:14" x14ac:dyDescent="0.25">
      <c r="A20" s="2" t="s">
        <v>2</v>
      </c>
      <c r="B20" s="4">
        <v>2.7000000000000001E-3</v>
      </c>
      <c r="N20" s="1"/>
    </row>
    <row r="21" spans="1:14" x14ac:dyDescent="0.25">
      <c r="A21" s="2" t="s">
        <v>4</v>
      </c>
      <c r="B21" s="3">
        <v>7</v>
      </c>
      <c r="N21" s="1"/>
    </row>
    <row r="22" spans="1:14" x14ac:dyDescent="0.25">
      <c r="A22" s="2" t="s">
        <v>3</v>
      </c>
      <c r="B22" s="4">
        <v>1.6400000000000001E-2</v>
      </c>
      <c r="N22" s="1"/>
    </row>
    <row r="23" spans="1:14" x14ac:dyDescent="0.25">
      <c r="A23" s="2" t="s">
        <v>5</v>
      </c>
      <c r="B23" s="5">
        <v>6155792703</v>
      </c>
      <c r="N23" s="1"/>
    </row>
    <row r="24" spans="1:14" x14ac:dyDescent="0.25">
      <c r="A24" s="2" t="str">
        <f>+"Monto Pacto T+"&amp;B21&amp;" (a tasa de pacto)"</f>
        <v>Monto Pacto T+7 (a tasa de pacto)</v>
      </c>
      <c r="B24" s="5">
        <f>+B23*(1+B20*B21/30)</f>
        <v>6159670852.4028893</v>
      </c>
      <c r="N24" s="1"/>
    </row>
    <row r="25" spans="1:14" x14ac:dyDescent="0.25">
      <c r="A25" s="2" t="s">
        <v>7</v>
      </c>
      <c r="B25" s="9" t="s">
        <v>15</v>
      </c>
      <c r="N25" s="1"/>
    </row>
    <row r="26" spans="1:14" x14ac:dyDescent="0.25">
      <c r="A26" s="2"/>
      <c r="B26" s="9"/>
      <c r="N26" s="1"/>
    </row>
    <row r="27" spans="1:14" x14ac:dyDescent="0.25">
      <c r="A27" s="2"/>
      <c r="B27" s="9"/>
      <c r="N27" s="1"/>
    </row>
    <row r="28" spans="1:14" x14ac:dyDescent="0.25">
      <c r="A28" s="2" t="s">
        <v>1</v>
      </c>
      <c r="B28" s="3" t="s">
        <v>17</v>
      </c>
      <c r="N28" s="1"/>
    </row>
    <row r="29" spans="1:14" x14ac:dyDescent="0.25">
      <c r="A29" s="2" t="s">
        <v>6</v>
      </c>
      <c r="B29" s="18">
        <v>700000000</v>
      </c>
      <c r="N29" s="1"/>
    </row>
    <row r="30" spans="1:14" x14ac:dyDescent="0.25">
      <c r="A30" s="2" t="s">
        <v>2</v>
      </c>
      <c r="B30" s="4">
        <v>2.7000000000000001E-3</v>
      </c>
      <c r="N30" s="1"/>
    </row>
    <row r="31" spans="1:14" x14ac:dyDescent="0.25">
      <c r="A31" s="2" t="s">
        <v>4</v>
      </c>
      <c r="B31" s="3">
        <v>7</v>
      </c>
      <c r="N31" s="1"/>
    </row>
    <row r="32" spans="1:14" x14ac:dyDescent="0.25">
      <c r="A32" s="2" t="s">
        <v>3</v>
      </c>
      <c r="B32" s="4">
        <v>4.4400000000000002E-2</v>
      </c>
      <c r="N32" s="1"/>
    </row>
    <row r="33" spans="1:22" x14ac:dyDescent="0.25">
      <c r="A33" s="2" t="s">
        <v>5</v>
      </c>
      <c r="B33" s="5">
        <v>711132216</v>
      </c>
      <c r="N33" s="1"/>
    </row>
    <row r="34" spans="1:22" x14ac:dyDescent="0.25">
      <c r="A34" s="2" t="str">
        <f>+"Monto Pacto T+"&amp;B31&amp;" (a tasa de pacto)"</f>
        <v>Monto Pacto T+7 (a tasa de pacto)</v>
      </c>
      <c r="B34" s="5">
        <f>+B33*(1+B30*B31/30)</f>
        <v>711580229.29607999</v>
      </c>
      <c r="N34" s="1"/>
    </row>
    <row r="35" spans="1:22" x14ac:dyDescent="0.25">
      <c r="A35" s="2" t="s">
        <v>7</v>
      </c>
      <c r="B35" s="9" t="s">
        <v>15</v>
      </c>
      <c r="N35" s="1"/>
    </row>
    <row r="36" spans="1:22" x14ac:dyDescent="0.25">
      <c r="A36" s="2"/>
      <c r="B36" s="9"/>
      <c r="N36" s="1"/>
    </row>
    <row r="37" spans="1:22" x14ac:dyDescent="0.25">
      <c r="A37" s="2"/>
      <c r="B37" s="9"/>
      <c r="N37" s="1"/>
    </row>
    <row r="38" spans="1:22" x14ac:dyDescent="0.25">
      <c r="A38" s="2"/>
      <c r="B38" s="9"/>
      <c r="N38" s="1"/>
    </row>
    <row r="39" spans="1:22" x14ac:dyDescent="0.25">
      <c r="A39" s="2" t="s">
        <v>12</v>
      </c>
      <c r="H39" s="10"/>
      <c r="I39" s="13"/>
      <c r="O39" s="1"/>
    </row>
    <row r="40" spans="1:22" x14ac:dyDescent="0.25">
      <c r="H40" s="10"/>
      <c r="I40" s="14"/>
      <c r="O40" s="1"/>
      <c r="R40" s="8"/>
      <c r="S40" s="1"/>
      <c r="T40" s="1"/>
      <c r="U40" s="1"/>
      <c r="V40" s="1"/>
    </row>
    <row r="41" spans="1:22" x14ac:dyDescent="0.25">
      <c r="A41" s="2" t="s">
        <v>11</v>
      </c>
      <c r="H41" s="10"/>
      <c r="I41" s="12"/>
      <c r="N41" s="1"/>
      <c r="O41" s="1"/>
      <c r="R41" s="8"/>
      <c r="S41" s="1"/>
    </row>
    <row r="42" spans="1:22" x14ac:dyDescent="0.25">
      <c r="H42" s="10"/>
      <c r="I42" s="14"/>
      <c r="N42" s="1"/>
      <c r="P42" s="1"/>
      <c r="R42" s="8"/>
      <c r="S42" s="1"/>
    </row>
    <row r="43" spans="1:22" x14ac:dyDescent="0.25">
      <c r="H43" s="10"/>
      <c r="I43" s="15"/>
      <c r="N43" s="1"/>
      <c r="P43" s="1"/>
      <c r="R43" s="8"/>
      <c r="S43" s="1"/>
    </row>
    <row r="44" spans="1:22" x14ac:dyDescent="0.25">
      <c r="A44" s="2"/>
      <c r="B44" s="3"/>
      <c r="F44" s="10"/>
      <c r="G44" s="12"/>
      <c r="H44" s="10"/>
      <c r="I44" s="15"/>
      <c r="P44" s="1"/>
      <c r="Q44" s="1"/>
      <c r="R44" s="8"/>
      <c r="S44" s="1"/>
    </row>
    <row r="45" spans="1:22" x14ac:dyDescent="0.25">
      <c r="A45" s="2"/>
      <c r="B45" s="3"/>
      <c r="F45" s="10"/>
      <c r="G45" s="13"/>
      <c r="H45" s="10"/>
      <c r="I45" s="16"/>
      <c r="R45" s="8"/>
      <c r="S45" s="1"/>
    </row>
    <row r="46" spans="1:22" x14ac:dyDescent="0.25">
      <c r="A46" s="2"/>
      <c r="B46" s="4"/>
      <c r="F46" s="10"/>
      <c r="G46" s="14"/>
      <c r="H46" s="11"/>
      <c r="I46" s="17"/>
      <c r="R46" s="8"/>
      <c r="S46" s="1"/>
    </row>
    <row r="47" spans="1:22" x14ac:dyDescent="0.25">
      <c r="A47" s="2"/>
      <c r="B47" s="3"/>
      <c r="F47" s="10"/>
      <c r="G47" s="12"/>
      <c r="H47" s="11"/>
      <c r="I47" s="17"/>
      <c r="S47" s="1"/>
    </row>
    <row r="48" spans="1:22" x14ac:dyDescent="0.25">
      <c r="A48" s="2"/>
      <c r="B48" s="4"/>
      <c r="F48" s="10"/>
      <c r="G48" s="14"/>
      <c r="H48" s="10"/>
      <c r="I48" s="12"/>
      <c r="R48" s="8"/>
      <c r="S48" s="1"/>
    </row>
    <row r="49" spans="1:21" x14ac:dyDescent="0.25">
      <c r="A49" s="2"/>
      <c r="B49" s="5"/>
      <c r="F49" s="10"/>
      <c r="G49" s="15"/>
      <c r="H49" s="10"/>
      <c r="I49" s="13"/>
      <c r="R49" s="8"/>
      <c r="S49" s="1"/>
    </row>
    <row r="50" spans="1:21" x14ac:dyDescent="0.25">
      <c r="A50" s="2"/>
      <c r="B50" s="5"/>
      <c r="F50" s="10"/>
      <c r="G50" s="15"/>
      <c r="H50" s="10"/>
      <c r="I50" s="14"/>
      <c r="R50" s="8"/>
      <c r="S50" s="1"/>
    </row>
    <row r="51" spans="1:21" x14ac:dyDescent="0.25">
      <c r="A51" s="2"/>
      <c r="B51" s="3"/>
      <c r="F51" s="10"/>
      <c r="G51" s="16"/>
      <c r="H51" s="10"/>
      <c r="I51" s="12"/>
      <c r="R51" s="8"/>
      <c r="S51" s="1"/>
    </row>
    <row r="52" spans="1:21" x14ac:dyDescent="0.25">
      <c r="F52" s="11"/>
      <c r="G52" s="17"/>
      <c r="H52" s="10"/>
      <c r="I52" s="14"/>
    </row>
    <row r="53" spans="1:21" x14ac:dyDescent="0.25">
      <c r="A53" s="2"/>
      <c r="F53" s="11"/>
      <c r="G53" s="17"/>
      <c r="H53" s="10"/>
      <c r="I53" s="15"/>
      <c r="U53" s="1"/>
    </row>
    <row r="54" spans="1:21" x14ac:dyDescent="0.25">
      <c r="F54" s="10"/>
      <c r="G54" s="12"/>
      <c r="H54" s="10"/>
      <c r="I54" s="15"/>
      <c r="U54" s="1"/>
    </row>
    <row r="55" spans="1:21" x14ac:dyDescent="0.25">
      <c r="F55" s="10"/>
      <c r="G55" s="13"/>
      <c r="H55" s="10"/>
      <c r="I55" s="16"/>
    </row>
    <row r="56" spans="1:21" x14ac:dyDescent="0.25">
      <c r="F56" s="10"/>
      <c r="G56" s="14"/>
    </row>
    <row r="57" spans="1:21" x14ac:dyDescent="0.25">
      <c r="F57" s="10"/>
      <c r="G57" s="12"/>
    </row>
    <row r="58" spans="1:21" x14ac:dyDescent="0.25">
      <c r="F58" s="10"/>
      <c r="G58" s="14"/>
    </row>
    <row r="59" spans="1:21" x14ac:dyDescent="0.25">
      <c r="F59" s="10"/>
      <c r="G59" s="15"/>
    </row>
    <row r="60" spans="1:21" x14ac:dyDescent="0.25">
      <c r="F60" s="10"/>
      <c r="G60" s="15"/>
    </row>
    <row r="61" spans="1:21" x14ac:dyDescent="0.25">
      <c r="F61" s="10"/>
      <c r="G61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l_Selection_Range_Outlook_Body">
                <anchor moveWithCells="1">
                  <from>
                    <xdr:col>5</xdr:col>
                    <xdr:colOff>9525</xdr:colOff>
                    <xdr:row>2</xdr:row>
                    <xdr:rowOff>47625</xdr:rowOff>
                  </from>
                  <to>
                    <xdr:col>5</xdr:col>
                    <xdr:colOff>781050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Help</vt:lpstr>
      <vt:lpstr>Hoja1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Araujo Guerra</dc:creator>
  <cp:lastModifiedBy>Fernando Suarez B.</cp:lastModifiedBy>
  <dcterms:created xsi:type="dcterms:W3CDTF">2016-11-24T14:59:29Z</dcterms:created>
  <dcterms:modified xsi:type="dcterms:W3CDTF">2018-02-12T16:12:37Z</dcterms:modified>
</cp:coreProperties>
</file>
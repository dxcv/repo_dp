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L:\Rates &amp; FX\DPP\Operacion\"/>
    </mc:Choice>
  </mc:AlternateContent>
  <xr:revisionPtr revIDLastSave="0" documentId="13_ncr:1_{B038AA8F-64FA-4B4A-87BB-3364A8A66E54}" xr6:coauthVersionLast="28" xr6:coauthVersionMax="28" xr10:uidLastSave="{00000000-0000-0000-0000-000000000000}"/>
  <bookViews>
    <workbookView xWindow="0" yWindow="0" windowWidth="28800" windowHeight="12210" xr2:uid="{00000000-000D-0000-FFFF-FFFF00000000}"/>
  </bookViews>
  <sheets>
    <sheet name="ResumenFondos" sheetId="6" r:id="rId1"/>
    <sheet name="SubidosIRF" sheetId="7" r:id="rId2"/>
    <sheet name="SubidosIIF" sheetId="8" r:id="rId3"/>
    <sheet name="Feriados" sheetId="5" state="hidden" r:id="rId4"/>
  </sheets>
  <functionGroups builtInGroupCount="19"/>
  <definedNames>
    <definedName name="CIQWBGuid" hidden="1">"Cajas.xlsm"</definedName>
    <definedName name="DatosExternos_1" localSheetId="0" hidden="1">ResumenFondos!$G$26:$H$30</definedName>
    <definedName name="FeriadosBCS" localSheetId="0">#REF!</definedName>
    <definedName name="FeriadosBCS" localSheetId="2">#REF!</definedName>
    <definedName name="FeriadosBCS" localSheetId="1">#REF!</definedName>
    <definedName name="FeriadosBCS">Feriados!$A$2:$A$34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"04/29/2016 20:05:17"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PUYEHUE_MesaInversiones_TransaccionesIIF" localSheetId="2" hidden="1">SubidosIIF!$A$2:$T$3</definedName>
    <definedName name="PUYEHUE_MesaInversiones_TransaccionesIIF" localSheetId="1" hidden="1">SubidosIRF!$A$2:$S$3</definedName>
    <definedName name="solver_adj" localSheetId="0" hidden="1">ResumenFondos!#REF!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ResumenFondos!#REF!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3157826556</definedName>
    <definedName name="solver_ver" localSheetId="0" hidden="1">3</definedName>
  </definedNames>
  <calcPr calcId="171027"/>
</workbook>
</file>

<file path=xl/calcChain.xml><?xml version="1.0" encoding="utf-8"?>
<calcChain xmlns="http://schemas.openxmlformats.org/spreadsheetml/2006/main">
  <c r="L34" i="6" l="1"/>
  <c r="D18" i="6" l="1"/>
  <c r="G9" i="6"/>
  <c r="G10" i="6"/>
  <c r="G11" i="6"/>
  <c r="G12" i="6"/>
  <c r="G21" i="6"/>
  <c r="L21" i="6" s="1"/>
  <c r="G20" i="6"/>
  <c r="G19" i="6"/>
  <c r="G18" i="6"/>
  <c r="G17" i="6"/>
  <c r="L20" i="6"/>
  <c r="H18" i="6"/>
  <c r="G8" i="6"/>
  <c r="M18" i="6"/>
  <c r="K19" i="6"/>
  <c r="J19" i="6"/>
  <c r="H19" i="6"/>
  <c r="K18" i="6"/>
  <c r="J18" i="6"/>
  <c r="K17" i="6"/>
  <c r="J17" i="6"/>
  <c r="H17" i="6"/>
  <c r="G5" i="6"/>
  <c r="G6" i="6"/>
  <c r="G7" i="6"/>
  <c r="H9" i="6"/>
  <c r="K9" i="6" s="1"/>
  <c r="H10" i="6"/>
  <c r="K10" i="6" s="1"/>
  <c r="H11" i="6"/>
  <c r="K11" i="6" s="1"/>
  <c r="H12" i="6"/>
  <c r="K12" i="6" s="1"/>
  <c r="J5" i="6"/>
  <c r="J6" i="6"/>
  <c r="J7" i="6"/>
  <c r="J8" i="6"/>
  <c r="J9" i="6"/>
  <c r="J10" i="6"/>
  <c r="J11" i="6"/>
  <c r="J12" i="6"/>
  <c r="I5" i="6"/>
  <c r="I6" i="6"/>
  <c r="I7" i="6"/>
  <c r="I8" i="6"/>
  <c r="I9" i="6"/>
  <c r="I10" i="6"/>
  <c r="I11" i="6"/>
  <c r="I12" i="6"/>
  <c r="H5" i="6"/>
  <c r="H6" i="6"/>
  <c r="H7" i="6"/>
  <c r="K7" i="6" s="1"/>
  <c r="H8" i="6"/>
  <c r="L18" i="6"/>
  <c r="O18" i="6" s="1"/>
  <c r="L17" i="6" l="1"/>
  <c r="G13" i="6"/>
  <c r="L19" i="6"/>
  <c r="K5" i="6"/>
  <c r="I13" i="6"/>
  <c r="K8" i="6"/>
  <c r="H13" i="6"/>
  <c r="J13" i="6"/>
  <c r="K6" i="6"/>
  <c r="K13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Aportes" description="Conexión a la consulta 'Aportes' en el libro." type="5" refreshedVersion="6" background="1" saveData="1">
    <dbPr connection="Provider=Microsoft.Mashup.OleDb.1;Data Source=$Workbook$;Location=Aportes;Extended Properties=&quot;&quot;" command="SELECT * FROM [Aportes]"/>
  </connection>
  <connection id="2" xr16:uid="{00000000-0015-0000-FFFF-FFFF01000000}" keepAlive="1" name="PUYEHUE MesaInversiones TransaccionesIIF" type="5" refreshedVersion="6" background="1" saveData="1">
    <dbPr connection="Provider=SQLOLEDB.1;Integrated Security=SSPI;Persist Security Info=True;User ID=usuario1;Initial Catalog=MesaInversiones;Data Source=PUYEHUE;Use Procedure for Prepare=1;Auto Translate=True;Packet Size=4096;Workstation ID=BCS15432;Use Encryption for Data=False;Tag with column collation when possible=False" command="SELECT [TransaccionesIIF].Fecha, [TransaccionesIIF].V, [TransaccionesIIF].OpV, [TransaccionesIIF].C, [TransaccionesIIF].OpC, [TransaccionesIIF].Rte, [TransaccionesIIF].Folio, [TransaccionesIIF].Instrumento, [TransaccionesIIF].Emisor, [TransaccionesIIF].Liq, [TransaccionesIIF].D, [TransaccionesIIF].Rescate, [TransaccionesIIF].Moneda, [TransaccionesIIF].Dias, [TransaccionesIIF].tasa, [TransaccionesIIF].Captacion, [TransaccionesIIF].Vende, [TransaccionesIIF].Compra, [TransaccionesIIF].NemotecnicoSinFecha, [TransaccionesIIF].Nemotecnico_x000d__x000a_FROM dbo.[TransaccionesIIF]_x000d__x000a_WHERE ([TransaccionesIIF].Fecha=CAST(GETDATE() AS date))_x000d__x000a_ORDER BY [TransaccionesIIF].Rte, [TransaccionesIIF].Instrumento"/>
  </connection>
  <connection id="3" xr16:uid="{00000000-0015-0000-FFFF-FFFF02000000}" keepAlive="1" name="PUYEHUE MesaInversiones TransaccionesIRF" type="5" refreshedVersion="6" background="1" saveData="1">
    <dbPr connection="Provider=SQLOLEDB.1;Integrated Security=SSPI;Persist Security Info=True;User ID=usuario1;Initial Catalog=MesaInversiones;Data Source=PUYEHUE;Use Procedure for Prepare=1;Auto Translate=True;Packet Size=4096;Workstation ID=BCS15432;Use Encryption for Data=False;Tag with column collation when possible=False" command="SELECT [TransaccionesIRF].Fecha, [TransaccionesIRF].V, [TransaccionesIRF].OpV, [TransaccionesIRF].C, [TransaccionesIRF].OpC, [TransaccionesIRF].Rte, [TransaccionesIRF].Folio, [TransaccionesIRF].Instrumento, [TransaccionesIRF].Liq, [TransaccionesIRF].D, [TransaccionesIRF].Cantidad, [TransaccionesIRF].Moneda, [TransaccionesIRF].Plazo, [TransaccionesIRF].Duration, [TransaccionesIRF].Precio, [TransaccionesIRF].Tir, [TransaccionesIRF].Monto, [TransaccionesIRF].Vende, [TransaccionesIRF].Compra_x000d__x000a_FROM dbo.[TransaccionesIRF]_x000d__x000a_WHERE ([TransaccionesIRF].Fecha=CAST(GETDATE() AS date))_x000d__x000a_ORDER BY [TransaccionesIRF].Rte, [TransaccionesIRF].Instrumento"/>
  </connection>
</connections>
</file>

<file path=xl/sharedStrings.xml><?xml version="1.0" encoding="utf-8"?>
<sst xmlns="http://schemas.openxmlformats.org/spreadsheetml/2006/main" count="81" uniqueCount="57">
  <si>
    <t>V</t>
  </si>
  <si>
    <t>C</t>
  </si>
  <si>
    <t>Rte</t>
  </si>
  <si>
    <t>Folio</t>
  </si>
  <si>
    <t>Instrumento</t>
  </si>
  <si>
    <t>D</t>
  </si>
  <si>
    <t>Moneda</t>
  </si>
  <si>
    <t>Compra</t>
  </si>
  <si>
    <t>Vende</t>
  </si>
  <si>
    <t>Liq</t>
  </si>
  <si>
    <t>Cantidad</t>
  </si>
  <si>
    <t>Plazo</t>
  </si>
  <si>
    <t>Fecha</t>
  </si>
  <si>
    <t>OpV</t>
  </si>
  <si>
    <t>OpC</t>
  </si>
  <si>
    <t>Fondo</t>
  </si>
  <si>
    <t>Duration</t>
  </si>
  <si>
    <t>Precio</t>
  </si>
  <si>
    <t>Tir</t>
  </si>
  <si>
    <t>Monto</t>
  </si>
  <si>
    <t xml:space="preserve">Pesos y UF </t>
  </si>
  <si>
    <t>Date</t>
  </si>
  <si>
    <t>LIQUIDEZ</t>
  </si>
  <si>
    <t>M_MARKET</t>
  </si>
  <si>
    <t>DEUDA 360</t>
  </si>
  <si>
    <t>RENTA</t>
  </si>
  <si>
    <t>MACRO 1.5</t>
  </si>
  <si>
    <t>DEUDA CORP</t>
  </si>
  <si>
    <t>SPREADCORP</t>
  </si>
  <si>
    <t>IMT E-PLUS</t>
  </si>
  <si>
    <t>Emisor</t>
  </si>
  <si>
    <t>Rescate</t>
  </si>
  <si>
    <t>Dias</t>
  </si>
  <si>
    <t>tasa</t>
  </si>
  <si>
    <t>Captacion</t>
  </si>
  <si>
    <t>NemotecnicoSinFecha</t>
  </si>
  <si>
    <t>Nemotecnico</t>
  </si>
  <si>
    <t>Saldo Inicial</t>
  </si>
  <si>
    <t>Ingresos</t>
  </si>
  <si>
    <t>Egresos</t>
  </si>
  <si>
    <t>Compras PH</t>
  </si>
  <si>
    <t>Aportes</t>
  </si>
  <si>
    <t>Caja Final PH</t>
  </si>
  <si>
    <t>Ventas PH</t>
  </si>
  <si>
    <t>Dólares</t>
  </si>
  <si>
    <t>Compras PM</t>
  </si>
  <si>
    <t>Ventas PM</t>
  </si>
  <si>
    <t>MACRO CLP3</t>
  </si>
  <si>
    <t>Total</t>
  </si>
  <si>
    <t>Sintético CLP</t>
  </si>
  <si>
    <t>Sintético USD</t>
  </si>
  <si>
    <t>Codigo_Fdo</t>
  </si>
  <si>
    <t>ARGENTIN</t>
  </si>
  <si>
    <t xml:space="preserve">LIQUIDEZ  </t>
  </si>
  <si>
    <t xml:space="preserve">RENTA     </t>
  </si>
  <si>
    <t xml:space="preserve">DEUDA 360 </t>
  </si>
  <si>
    <t xml:space="preserve">INDICE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</si>
</sst>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 &quot;$&quot;* #,##0_ ;_ &quot;$&quot;* \-#,##0_ ;_ &quot;$&quot;* &quot;-&quot;_ ;_ @_ "/>
    <numFmt numFmtId="165" formatCode="_ * #,##0_ ;_ * \-#,##0_ ;_ * &quot;-&quot;_ ;_ @_ "/>
    <numFmt numFmtId="166" formatCode="_ * #,##0.00_ ;_ * \-#,##0.00_ ;_ * &quot;-&quot;??_ ;_ @_ "/>
    <numFmt numFmtId="167" formatCode="_(&quot;$&quot;* #,##0.00_);_(&quot;$&quot;* \(#,##0.00\);_(&quot;$&quot;* &quot;-&quot;??_);_(@_)"/>
    <numFmt numFmtId="168" formatCode="_(* #,##0.00_);_(* \(#,##0.00\);_(* &quot;-&quot;??_);_(@_)"/>
    <numFmt numFmtId="169" formatCode="_(* #,##0_);_(* \(#,##0\);_(* &quot;-&quot;_);_(@_)"/>
    <numFmt numFmtId="170" formatCode="&quot;$&quot;#,##0_);[Red]\(&quot;$&quot;#,##0\)"/>
    <numFmt numFmtId="171" formatCode="mm/dd/yyyy;@"/>
    <numFmt numFmtId="172" formatCode="&quot;Verdadero&quot;;&quot;Verdadero&quot;;&quot;Falso&quot;"/>
    <numFmt numFmtId="173" formatCode="_-* #,##0.00\ _€_-;\-* #,##0.00\ _€_-;_-* &quot;-&quot;??\ _€_-;_-@_-"/>
    <numFmt numFmtId="174" formatCode="_(* #,##0_);_(* \(#,##0\);_(* &quot;-&quot;??_);_(@_)"/>
    <numFmt numFmtId="175" formatCode="[$-340A]d&quot; de &quot;mmmm&quot; de &quot;yyyy;@"/>
    <numFmt numFmtId="176" formatCode="_-&quot;$&quot;\ * #,##0_-;\-&quot;$&quot;\ * #,##0_-;_-&quot;$&quot;\ * &quot;-&quot;??_-;_-@_-"/>
    <numFmt numFmtId="177" formatCode="_(* #,##0.0_);_(* \(#,##0.0\);_(* &quot;-&quot;??_);_(@_)"/>
    <numFmt numFmtId="178" formatCode="_-[$€-2]\ * #,##0.00_-;\-[$€-2]\ * #,##0.00_-;_-[$€-2]\ * &quot;-&quot;??_-"/>
    <numFmt numFmtId="179" formatCode="&quot;$&quot;\ #,##0"/>
    <numFmt numFmtId="180" formatCode="#,##0.000"/>
    <numFmt numFmtId="181" formatCode="0.000"/>
    <numFmt numFmtId="182" formatCode="_(&quot;$&quot;* #,##0_);_(&quot;$&quot;* \(#,##0\);_(&quot;$&quot;* &quot;-&quot;??_);_(@_)"/>
    <numFmt numFmtId="183" formatCode="_(* #,##0.00_);_(* \(#,##0.00\);_(* &quot;-&quot;_);_(@_)"/>
  </numFmts>
  <fonts count="47">
    <font>
      <sz val="11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9"/>
      <name val="Arial"/>
      <family val="2"/>
      <scheme val="minor"/>
    </font>
    <font>
      <sz val="10"/>
      <name val="Arial"/>
      <family val="2"/>
    </font>
    <font>
      <u/>
      <sz val="11"/>
      <color rgb="FF00019F"/>
      <name val="Arial"/>
      <family val="2"/>
      <scheme val="minor"/>
    </font>
    <font>
      <u/>
      <sz val="11"/>
      <color rgb="FF400080"/>
      <name val="Arial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sz val="11"/>
      <color theme="0"/>
      <name val="Arial Narrow"/>
      <family val="2"/>
    </font>
    <font>
      <b/>
      <sz val="11"/>
      <color theme="0"/>
      <name val="Arial Narrow"/>
      <family val="2"/>
    </font>
    <font>
      <b/>
      <sz val="16"/>
      <color theme="0"/>
      <name val="Arial Narrow"/>
      <family val="2"/>
    </font>
    <font>
      <b/>
      <sz val="10"/>
      <color theme="0"/>
      <name val="Arial Narrow"/>
      <family val="2"/>
    </font>
    <font>
      <sz val="11"/>
      <color theme="1"/>
      <name val="Arial"/>
      <family val="2"/>
    </font>
    <font>
      <u/>
      <sz val="10"/>
      <color indexed="12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8"/>
      <color indexed="12"/>
      <name val="Helv"/>
    </font>
    <font>
      <i/>
      <sz val="11"/>
      <color indexed="23"/>
      <name val="Calibri"/>
      <family val="2"/>
    </font>
    <font>
      <sz val="10"/>
      <name val="Helv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8"/>
      <name val="Arial"/>
      <family val="2"/>
    </font>
    <font>
      <b/>
      <sz val="11"/>
      <color indexed="63"/>
      <name val="Calibri"/>
      <family val="2"/>
    </font>
    <font>
      <sz val="10"/>
      <color indexed="8"/>
      <name val="Arial"/>
      <family val="2"/>
    </font>
    <font>
      <sz val="10"/>
      <color indexed="24"/>
      <name val="Arial"/>
      <family val="2"/>
    </font>
    <font>
      <sz val="10"/>
      <name val="GillSans Light"/>
      <family val="2"/>
    </font>
    <font>
      <b/>
      <sz val="10"/>
      <name val="GillSans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name val="Formata Regular"/>
    </font>
    <font>
      <sz val="10"/>
      <name val="Formata Regular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1" tint="-0.249977111117893"/>
        <bgColor indexed="64"/>
      </patternFill>
    </fill>
    <fill>
      <patternFill patternType="solid">
        <fgColor theme="1" tint="-0.249977111117893"/>
        <bgColor theme="4" tint="0.79998168889431442"/>
      </patternFill>
    </fill>
    <fill>
      <patternFill patternType="solid">
        <fgColor theme="1" tint="-0.249977111117893"/>
        <bgColor theme="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</fills>
  <borders count="2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9" tint="0.39997558519241921"/>
      </right>
      <top style="medium">
        <color indexed="64"/>
      </top>
      <bottom style="thin">
        <color theme="9" tint="0.39997558519241921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</borders>
  <cellStyleXfs count="8527">
    <xf numFmtId="0" fontId="0" fillId="0" borderId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" fillId="0" borderId="0"/>
    <xf numFmtId="168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73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1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2" fillId="2" borderId="1" applyNumberFormat="0" applyFont="0" applyAlignment="0" applyProtection="0"/>
    <xf numFmtId="0" fontId="7" fillId="2" borderId="1" applyNumberFormat="0" applyFont="0" applyAlignment="0" applyProtection="0"/>
    <xf numFmtId="0" fontId="2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175" fontId="2" fillId="0" borderId="0"/>
    <xf numFmtId="175" fontId="4" fillId="0" borderId="0"/>
    <xf numFmtId="175" fontId="4" fillId="0" borderId="0"/>
    <xf numFmtId="175" fontId="2" fillId="0" borderId="0"/>
    <xf numFmtId="17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5" fontId="2" fillId="0" borderId="0"/>
    <xf numFmtId="175" fontId="2" fillId="0" borderId="0"/>
    <xf numFmtId="175" fontId="2" fillId="0" borderId="0"/>
    <xf numFmtId="175" fontId="2" fillId="0" borderId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75" fontId="2" fillId="0" borderId="0"/>
    <xf numFmtId="175" fontId="2" fillId="0" borderId="0"/>
    <xf numFmtId="0" fontId="2" fillId="0" borderId="0"/>
    <xf numFmtId="169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75" fontId="2" fillId="0" borderId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8" fontId="7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9" borderId="0" applyNumberFormat="0" applyBorder="0" applyAlignment="0" applyProtection="0"/>
    <xf numFmtId="0" fontId="7" fillId="12" borderId="0" applyNumberFormat="0" applyBorder="0" applyAlignment="0" applyProtection="0"/>
    <xf numFmtId="0" fontId="7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23" borderId="0" applyNumberFormat="0" applyBorder="0" applyAlignment="0" applyProtection="0"/>
    <xf numFmtId="0" fontId="16" fillId="7" borderId="0" applyNumberFormat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0" fontId="18" fillId="24" borderId="10" applyNumberFormat="0" applyAlignment="0" applyProtection="0"/>
    <xf numFmtId="0" fontId="19" fillId="25" borderId="11" applyNumberFormat="0" applyAlignment="0" applyProtection="0"/>
    <xf numFmtId="38" fontId="20" fillId="0" borderId="0">
      <alignment horizontal="center"/>
      <protection locked="0"/>
    </xf>
    <xf numFmtId="0" fontId="4" fillId="0" borderId="0"/>
    <xf numFmtId="0" fontId="17" fillId="0" borderId="0">
      <alignment vertical="center"/>
    </xf>
    <xf numFmtId="178" fontId="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4" fillId="8" borderId="0" applyNumberFormat="0" applyBorder="0" applyAlignment="0" applyProtection="0"/>
    <xf numFmtId="0" fontId="25" fillId="0" borderId="13" applyNumberFormat="0" applyFill="0" applyAlignment="0" applyProtection="0"/>
    <xf numFmtId="0" fontId="26" fillId="0" borderId="14" applyNumberFormat="0" applyFill="0" applyAlignment="0" applyProtection="0"/>
    <xf numFmtId="0" fontId="27" fillId="0" borderId="15" applyNumberFormat="0" applyFill="0" applyAlignment="0" applyProtection="0"/>
    <xf numFmtId="0" fontId="27" fillId="0" borderId="0" applyNumberFormat="0" applyFill="0" applyBorder="0" applyAlignment="0" applyProtection="0"/>
    <xf numFmtId="0" fontId="38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top"/>
      <protection locked="0"/>
    </xf>
    <xf numFmtId="0" fontId="28" fillId="11" borderId="10" applyNumberFormat="0" applyAlignment="0" applyProtection="0"/>
    <xf numFmtId="0" fontId="29" fillId="0" borderId="12" applyNumberFormat="0" applyFill="0" applyAlignment="0" applyProtection="0"/>
    <xf numFmtId="173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30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30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30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30" fillId="0" borderId="0" applyFont="0" applyFill="0" applyBorder="0" applyAlignment="0" applyProtection="0"/>
    <xf numFmtId="173" fontId="30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0" fontId="4" fillId="0" borderId="0"/>
    <xf numFmtId="175" fontId="2" fillId="0" borderId="0"/>
    <xf numFmtId="0" fontId="39" fillId="0" borderId="0"/>
    <xf numFmtId="0" fontId="39" fillId="0" borderId="0"/>
    <xf numFmtId="0" fontId="39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13" fillId="0" borderId="0"/>
    <xf numFmtId="0" fontId="4" fillId="0" borderId="0"/>
    <xf numFmtId="0" fontId="4" fillId="0" borderId="0"/>
    <xf numFmtId="0" fontId="4" fillId="0" borderId="0"/>
    <xf numFmtId="0" fontId="13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39" fillId="0" borderId="0"/>
    <xf numFmtId="0" fontId="4" fillId="0" borderId="0"/>
    <xf numFmtId="0" fontId="4" fillId="0" borderId="0" applyNumberFormat="0" applyFill="0" applyBorder="0" applyAlignment="0" applyProtection="0"/>
    <xf numFmtId="0" fontId="13" fillId="0" borderId="0"/>
    <xf numFmtId="0" fontId="4" fillId="0" borderId="0"/>
    <xf numFmtId="0" fontId="39" fillId="0" borderId="0"/>
    <xf numFmtId="0" fontId="2" fillId="0" borderId="0"/>
    <xf numFmtId="0" fontId="13" fillId="0" borderId="0"/>
    <xf numFmtId="0" fontId="13" fillId="0" borderId="0"/>
    <xf numFmtId="0" fontId="2" fillId="0" borderId="0"/>
    <xf numFmtId="0" fontId="39" fillId="0" borderId="0"/>
    <xf numFmtId="0" fontId="2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7" fillId="26" borderId="16" applyNumberFormat="0" applyFont="0" applyAlignment="0" applyProtection="0"/>
    <xf numFmtId="0" fontId="31" fillId="24" borderId="17" applyNumberFormat="0" applyAlignment="0" applyProtection="0"/>
    <xf numFmtId="9" fontId="4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3" fontId="33" fillId="0" borderId="0" applyFont="0" applyFill="0" applyBorder="0" applyAlignment="0" applyProtection="0"/>
    <xf numFmtId="0" fontId="22" fillId="0" borderId="0"/>
    <xf numFmtId="0" fontId="34" fillId="0" borderId="0" applyNumberFormat="0" applyFill="0" applyBorder="0" applyProtection="0">
      <alignment horizontal="right" vertical="center"/>
    </xf>
    <xf numFmtId="0" fontId="35" fillId="0" borderId="18" applyNumberFormat="0" applyFill="0" applyProtection="0">
      <alignment horizontal="right" vertical="center"/>
    </xf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8" fontId="4" fillId="0" borderId="0" applyFont="0" applyFill="0" applyBorder="0" applyAlignment="0" applyProtection="0"/>
    <xf numFmtId="173" fontId="2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3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>
      <alignment vertical="top"/>
    </xf>
    <xf numFmtId="0" fontId="32" fillId="0" borderId="0">
      <alignment vertical="top"/>
    </xf>
    <xf numFmtId="0" fontId="32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>
      <alignment vertical="top"/>
    </xf>
    <xf numFmtId="0" fontId="32" fillId="0" borderId="0">
      <alignment vertical="top"/>
    </xf>
    <xf numFmtId="0" fontId="32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>
      <alignment vertical="top"/>
    </xf>
    <xf numFmtId="0" fontId="2" fillId="0" borderId="0"/>
    <xf numFmtId="165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40" fillId="0" borderId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40" fillId="0" borderId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6" fontId="2" fillId="0" borderId="0" applyFont="0" applyFill="0" applyBorder="0" applyAlignment="0" applyProtection="0"/>
    <xf numFmtId="168" fontId="7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73" fontId="7" fillId="0" borderId="0" applyFont="0" applyFill="0" applyBorder="0" applyAlignment="0" applyProtection="0"/>
    <xf numFmtId="0" fontId="43" fillId="0" borderId="0"/>
    <xf numFmtId="0" fontId="2" fillId="0" borderId="0"/>
    <xf numFmtId="168" fontId="4" fillId="0" borderId="0" applyFont="0" applyFill="0" applyBorder="0" applyAlignment="0" applyProtection="0"/>
    <xf numFmtId="173" fontId="7" fillId="0" borderId="0" applyFont="0" applyFill="0" applyBorder="0" applyAlignment="0" applyProtection="0"/>
    <xf numFmtId="0" fontId="41" fillId="0" borderId="0"/>
    <xf numFmtId="168" fontId="41" fillId="0" borderId="0" applyFont="0" applyFill="0" applyBorder="0" applyAlignment="0" applyProtection="0"/>
    <xf numFmtId="0" fontId="42" fillId="0" borderId="0"/>
    <xf numFmtId="9" fontId="41" fillId="0" borderId="0" applyFont="0" applyFill="0" applyBorder="0" applyAlignment="0" applyProtection="0"/>
    <xf numFmtId="0" fontId="41" fillId="0" borderId="0"/>
    <xf numFmtId="168" fontId="41" fillId="0" borderId="0" applyFont="0" applyFill="0" applyBorder="0" applyAlignment="0" applyProtection="0"/>
    <xf numFmtId="0" fontId="42" fillId="0" borderId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7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7" fontId="2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2" fillId="0" borderId="0" applyFont="0" applyFill="0" applyBorder="0" applyAlignment="0" applyProtection="0"/>
    <xf numFmtId="168" fontId="4" fillId="0" borderId="0" applyFont="0" applyFill="0" applyBorder="0" applyAlignment="0" applyProtection="0"/>
    <xf numFmtId="173" fontId="7" fillId="0" borderId="0" applyFont="0" applyFill="0" applyBorder="0" applyAlignment="0" applyProtection="0"/>
    <xf numFmtId="175" fontId="2" fillId="0" borderId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2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75" fontId="2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17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66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166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3" fontId="2" fillId="0" borderId="0" applyFont="0" applyFill="0" applyBorder="0" applyAlignment="0" applyProtection="0"/>
    <xf numFmtId="175" fontId="2" fillId="0" borderId="0"/>
    <xf numFmtId="43" fontId="4" fillId="0" borderId="0" applyFont="0" applyFill="0" applyBorder="0" applyAlignment="0" applyProtection="0"/>
    <xf numFmtId="173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5" fontId="2" fillId="0" borderId="0"/>
    <xf numFmtId="173" fontId="2" fillId="0" borderId="0" applyFont="0" applyFill="0" applyBorder="0" applyAlignment="0" applyProtection="0"/>
    <xf numFmtId="175" fontId="2" fillId="0" borderId="0"/>
    <xf numFmtId="173" fontId="7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6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44" fillId="0" borderId="0"/>
    <xf numFmtId="43" fontId="4" fillId="0" borderId="0" applyFont="0" applyFill="0" applyBorder="0" applyAlignment="0" applyProtection="0"/>
    <xf numFmtId="0" fontId="44" fillId="0" borderId="0"/>
    <xf numFmtId="0" fontId="4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5" fontId="2" fillId="0" borderId="0"/>
    <xf numFmtId="175" fontId="2" fillId="0" borderId="0"/>
    <xf numFmtId="43" fontId="4" fillId="0" borderId="0" applyFont="0" applyFill="0" applyBorder="0" applyAlignment="0" applyProtection="0"/>
    <xf numFmtId="173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4" fillId="0" borderId="0"/>
    <xf numFmtId="0" fontId="44" fillId="0" borderId="0"/>
    <xf numFmtId="0" fontId="44" fillId="0" borderId="0"/>
    <xf numFmtId="173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5" fontId="2" fillId="0" borderId="0"/>
    <xf numFmtId="173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5" fontId="2" fillId="0" borderId="0"/>
    <xf numFmtId="175" fontId="2" fillId="0" borderId="0"/>
    <xf numFmtId="173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75" fontId="2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6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166" fontId="2" fillId="0" borderId="0" applyFont="0" applyFill="0" applyBorder="0" applyAlignment="0" applyProtection="0"/>
    <xf numFmtId="17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6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43" fontId="7" fillId="0" borderId="0" applyFont="0" applyFill="0" applyBorder="0" applyAlignment="0" applyProtection="0"/>
    <xf numFmtId="166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17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4" fillId="0" borderId="0" applyFont="0" applyFill="0" applyBorder="0" applyAlignment="0" applyProtection="0"/>
    <xf numFmtId="43" fontId="7" fillId="0" borderId="0" applyFont="0" applyFill="0" applyBorder="0" applyAlignment="0" applyProtection="0"/>
    <xf numFmtId="166" fontId="2" fillId="0" borderId="0" applyFont="0" applyFill="0" applyBorder="0" applyAlignment="0" applyProtection="0"/>
    <xf numFmtId="17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4" fillId="0" borderId="0" applyFont="0" applyFill="0" applyBorder="0" applyAlignment="0" applyProtection="0"/>
    <xf numFmtId="43" fontId="7" fillId="0" borderId="0" applyFont="0" applyFill="0" applyBorder="0" applyAlignment="0" applyProtection="0"/>
    <xf numFmtId="166" fontId="2" fillId="0" borderId="0" applyFont="0" applyFill="0" applyBorder="0" applyAlignment="0" applyProtection="0"/>
    <xf numFmtId="173" fontId="7" fillId="0" borderId="0" applyFont="0" applyFill="0" applyBorder="0" applyAlignment="0" applyProtection="0"/>
    <xf numFmtId="0" fontId="45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5" fillId="0" borderId="0"/>
    <xf numFmtId="166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6" fillId="0" borderId="0"/>
    <xf numFmtId="0" fontId="46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6" fillId="0" borderId="0"/>
    <xf numFmtId="17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6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6" fontId="4" fillId="0" borderId="0" applyFont="0" applyFill="0" applyBorder="0" applyAlignment="0" applyProtection="0"/>
    <xf numFmtId="0" fontId="2" fillId="0" borderId="0"/>
    <xf numFmtId="166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6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5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73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6">
    <xf numFmtId="0" fontId="0" fillId="0" borderId="0" xfId="0"/>
    <xf numFmtId="0" fontId="3" fillId="0" borderId="0" xfId="0" applyFont="1"/>
    <xf numFmtId="171" fontId="3" fillId="0" borderId="0" xfId="0" applyNumberFormat="1" applyFont="1"/>
    <xf numFmtId="0" fontId="1" fillId="0" borderId="0" xfId="0" applyFont="1"/>
    <xf numFmtId="174" fontId="0" fillId="0" borderId="0" xfId="5" applyNumberFormat="1" applyFont="1"/>
    <xf numFmtId="0" fontId="0" fillId="0" borderId="0" xfId="0" applyFill="1"/>
    <xf numFmtId="168" fontId="0" fillId="0" borderId="0" xfId="5" applyFont="1"/>
    <xf numFmtId="168" fontId="0" fillId="0" borderId="0" xfId="0" applyNumberFormat="1"/>
    <xf numFmtId="177" fontId="0" fillId="0" borderId="0" xfId="5" applyNumberFormat="1" applyFont="1"/>
    <xf numFmtId="168" fontId="0" fillId="0" borderId="0" xfId="5" applyNumberFormat="1" applyFont="1"/>
    <xf numFmtId="0" fontId="9" fillId="3" borderId="0" xfId="0" applyFont="1" applyFill="1"/>
    <xf numFmtId="0" fontId="10" fillId="3" borderId="0" xfId="0" applyFont="1" applyFill="1"/>
    <xf numFmtId="0" fontId="10" fillId="3" borderId="0" xfId="0" applyFont="1" applyFill="1" applyAlignment="1">
      <alignment horizontal="center"/>
    </xf>
    <xf numFmtId="0" fontId="10" fillId="3" borderId="0" xfId="0" applyFont="1" applyFill="1" applyAlignment="1">
      <alignment wrapText="1"/>
    </xf>
    <xf numFmtId="0" fontId="11" fillId="3" borderId="0" xfId="0" applyFont="1" applyFill="1" applyBorder="1" applyAlignment="1">
      <alignment vertical="center"/>
    </xf>
    <xf numFmtId="0" fontId="9" fillId="3" borderId="0" xfId="0" applyFont="1" applyFill="1" applyAlignment="1">
      <alignment wrapText="1"/>
    </xf>
    <xf numFmtId="0" fontId="10" fillId="3" borderId="3" xfId="0" applyFont="1" applyFill="1" applyBorder="1"/>
    <xf numFmtId="0" fontId="9" fillId="3" borderId="4" xfId="0" applyFont="1" applyFill="1" applyBorder="1"/>
    <xf numFmtId="0" fontId="9" fillId="3" borderId="5" xfId="0" applyFont="1" applyFill="1" applyBorder="1"/>
    <xf numFmtId="174" fontId="9" fillId="3" borderId="0" xfId="5" applyNumberFormat="1" applyFont="1" applyFill="1"/>
    <xf numFmtId="0" fontId="10" fillId="3" borderId="6" xfId="0" applyFont="1" applyFill="1" applyBorder="1"/>
    <xf numFmtId="174" fontId="9" fillId="4" borderId="2" xfId="12" applyNumberFormat="1" applyFont="1" applyFill="1" applyBorder="1"/>
    <xf numFmtId="174" fontId="9" fillId="3" borderId="2" xfId="12" applyNumberFormat="1" applyFont="1" applyFill="1" applyBorder="1"/>
    <xf numFmtId="174" fontId="9" fillId="3" borderId="2" xfId="5" applyNumberFormat="1" applyFont="1" applyFill="1" applyBorder="1"/>
    <xf numFmtId="174" fontId="9" fillId="3" borderId="7" xfId="5" applyNumberFormat="1" applyFont="1" applyFill="1" applyBorder="1"/>
    <xf numFmtId="3" fontId="9" fillId="3" borderId="0" xfId="0" applyNumberFormat="1" applyFont="1" applyFill="1"/>
    <xf numFmtId="174" fontId="9" fillId="3" borderId="0" xfId="0" applyNumberFormat="1" applyFont="1" applyFill="1"/>
    <xf numFmtId="0" fontId="9" fillId="3" borderId="8" xfId="0" applyFont="1" applyFill="1" applyBorder="1"/>
    <xf numFmtId="0" fontId="9" fillId="3" borderId="9" xfId="0" applyFont="1" applyFill="1" applyBorder="1"/>
    <xf numFmtId="176" fontId="9" fillId="3" borderId="9" xfId="0" applyNumberFormat="1" applyFont="1" applyFill="1" applyBorder="1"/>
    <xf numFmtId="0" fontId="10" fillId="3" borderId="2" xfId="0" applyFont="1" applyFill="1" applyBorder="1"/>
    <xf numFmtId="0" fontId="10" fillId="5" borderId="0" xfId="0" applyFont="1" applyFill="1" applyBorder="1"/>
    <xf numFmtId="3" fontId="12" fillId="3" borderId="0" xfId="0" applyNumberFormat="1" applyFont="1" applyFill="1"/>
    <xf numFmtId="168" fontId="9" fillId="3" borderId="2" xfId="5" applyNumberFormat="1" applyFont="1" applyFill="1" applyBorder="1"/>
    <xf numFmtId="174" fontId="10" fillId="3" borderId="0" xfId="5" applyNumberFormat="1" applyFont="1" applyFill="1"/>
    <xf numFmtId="14" fontId="9" fillId="3" borderId="0" xfId="0" applyNumberFormat="1" applyFont="1" applyFill="1"/>
    <xf numFmtId="4" fontId="9" fillId="3" borderId="0" xfId="0" applyNumberFormat="1" applyFont="1" applyFill="1"/>
    <xf numFmtId="170" fontId="9" fillId="3" borderId="0" xfId="0" applyNumberFormat="1" applyFont="1" applyFill="1"/>
    <xf numFmtId="0" fontId="9" fillId="3" borderId="0" xfId="0" applyNumberFormat="1" applyFont="1" applyFill="1"/>
    <xf numFmtId="168" fontId="9" fillId="3" borderId="0" xfId="5" applyFont="1" applyFill="1"/>
    <xf numFmtId="177" fontId="9" fillId="3" borderId="7" xfId="5" applyNumberFormat="1" applyFont="1" applyFill="1" applyBorder="1"/>
    <xf numFmtId="179" fontId="9" fillId="3" borderId="0" xfId="0" applyNumberFormat="1" applyFont="1" applyFill="1"/>
    <xf numFmtId="176" fontId="9" fillId="3" borderId="2" xfId="2346" applyNumberFormat="1" applyFont="1" applyFill="1" applyBorder="1"/>
    <xf numFmtId="180" fontId="9" fillId="3" borderId="0" xfId="0" applyNumberFormat="1" applyFont="1" applyFill="1"/>
    <xf numFmtId="176" fontId="9" fillId="3" borderId="0" xfId="0" applyNumberFormat="1" applyFont="1" applyFill="1"/>
    <xf numFmtId="180" fontId="9" fillId="3" borderId="0" xfId="5" applyNumberFormat="1" applyFont="1" applyFill="1"/>
    <xf numFmtId="10" fontId="9" fillId="3" borderId="0" xfId="2364" applyNumberFormat="1" applyFont="1" applyFill="1"/>
    <xf numFmtId="174" fontId="9" fillId="4" borderId="9" xfId="12" applyNumberFormat="1" applyFont="1" applyFill="1" applyBorder="1"/>
    <xf numFmtId="174" fontId="9" fillId="3" borderId="20" xfId="12" applyNumberFormat="1" applyFont="1" applyFill="1" applyBorder="1"/>
    <xf numFmtId="176" fontId="9" fillId="3" borderId="21" xfId="2346" applyNumberFormat="1" applyFont="1" applyFill="1" applyBorder="1"/>
    <xf numFmtId="174" fontId="9" fillId="3" borderId="25" xfId="5" applyNumberFormat="1" applyFont="1" applyFill="1" applyBorder="1"/>
    <xf numFmtId="0" fontId="10" fillId="3" borderId="19" xfId="0" applyFont="1" applyFill="1" applyBorder="1"/>
    <xf numFmtId="174" fontId="9" fillId="3" borderId="24" xfId="5" applyNumberFormat="1" applyFont="1" applyFill="1" applyBorder="1"/>
    <xf numFmtId="174" fontId="9" fillId="3" borderId="22" xfId="5" applyNumberFormat="1" applyFont="1" applyFill="1" applyBorder="1"/>
    <xf numFmtId="0" fontId="10" fillId="3" borderId="23" xfId="0" applyFont="1" applyFill="1" applyBorder="1"/>
    <xf numFmtId="174" fontId="9" fillId="3" borderId="9" xfId="5" applyNumberFormat="1" applyFont="1" applyFill="1" applyBorder="1"/>
    <xf numFmtId="174" fontId="9" fillId="3" borderId="20" xfId="5" applyNumberFormat="1" applyFont="1" applyFill="1" applyBorder="1"/>
    <xf numFmtId="0" fontId="0" fillId="0" borderId="0" xfId="0" applyFill="1"/>
    <xf numFmtId="181" fontId="9" fillId="3" borderId="0" xfId="0" applyNumberFormat="1" applyFont="1" applyFill="1"/>
    <xf numFmtId="182" fontId="9" fillId="3" borderId="0" xfId="2346" applyNumberFormat="1" applyFont="1" applyFill="1"/>
    <xf numFmtId="10" fontId="12" fillId="3" borderId="0" xfId="2364" applyNumberFormat="1" applyFont="1" applyFill="1"/>
    <xf numFmtId="3" fontId="9" fillId="3" borderId="0" xfId="2364" applyNumberFormat="1" applyFont="1" applyFill="1"/>
    <xf numFmtId="164" fontId="9" fillId="3" borderId="0" xfId="8521" applyFont="1" applyFill="1"/>
    <xf numFmtId="0" fontId="0" fillId="0" borderId="0" xfId="0"/>
    <xf numFmtId="169" fontId="0" fillId="0" borderId="0" xfId="148" applyFont="1"/>
    <xf numFmtId="183" fontId="0" fillId="0" borderId="0" xfId="148" applyNumberFormat="1" applyFont="1"/>
  </cellXfs>
  <cellStyles count="8527">
    <cellStyle name="_x000a_386grabber=M" xfId="6" xr:uid="{00000000-0005-0000-0000-000000000000}"/>
    <cellStyle name="20% - Accent1" xfId="164" xr:uid="{00000000-0005-0000-0000-000001000000}"/>
    <cellStyle name="20% - Accent2" xfId="165" xr:uid="{00000000-0005-0000-0000-000002000000}"/>
    <cellStyle name="20% - Accent3" xfId="166" xr:uid="{00000000-0005-0000-0000-000003000000}"/>
    <cellStyle name="20% - Accent4" xfId="167" xr:uid="{00000000-0005-0000-0000-000004000000}"/>
    <cellStyle name="20% - Accent5" xfId="168" xr:uid="{00000000-0005-0000-0000-000005000000}"/>
    <cellStyle name="20% - Accent6" xfId="169" xr:uid="{00000000-0005-0000-0000-000006000000}"/>
    <cellStyle name="40% - Accent1" xfId="170" xr:uid="{00000000-0005-0000-0000-000007000000}"/>
    <cellStyle name="40% - Accent2" xfId="171" xr:uid="{00000000-0005-0000-0000-000008000000}"/>
    <cellStyle name="40% - Accent3" xfId="172" xr:uid="{00000000-0005-0000-0000-000009000000}"/>
    <cellStyle name="40% - Accent4" xfId="173" xr:uid="{00000000-0005-0000-0000-00000A000000}"/>
    <cellStyle name="40% - Accent5" xfId="174" xr:uid="{00000000-0005-0000-0000-00000B000000}"/>
    <cellStyle name="40% - Accent6" xfId="175" xr:uid="{00000000-0005-0000-0000-00000C000000}"/>
    <cellStyle name="60% - Accent1" xfId="176" xr:uid="{00000000-0005-0000-0000-00000D000000}"/>
    <cellStyle name="60% - Accent2" xfId="177" xr:uid="{00000000-0005-0000-0000-00000E000000}"/>
    <cellStyle name="60% - Accent3" xfId="178" xr:uid="{00000000-0005-0000-0000-00000F000000}"/>
    <cellStyle name="60% - Accent4" xfId="179" xr:uid="{00000000-0005-0000-0000-000010000000}"/>
    <cellStyle name="60% - Accent5" xfId="180" xr:uid="{00000000-0005-0000-0000-000011000000}"/>
    <cellStyle name="60% - Accent6" xfId="181" xr:uid="{00000000-0005-0000-0000-000012000000}"/>
    <cellStyle name="Accent1" xfId="182" xr:uid="{00000000-0005-0000-0000-000013000000}"/>
    <cellStyle name="Accent2" xfId="183" xr:uid="{00000000-0005-0000-0000-000014000000}"/>
    <cellStyle name="Accent3" xfId="184" xr:uid="{00000000-0005-0000-0000-000015000000}"/>
    <cellStyle name="Accent4" xfId="185" xr:uid="{00000000-0005-0000-0000-000016000000}"/>
    <cellStyle name="Accent5" xfId="186" xr:uid="{00000000-0005-0000-0000-000017000000}"/>
    <cellStyle name="Accent6" xfId="187" xr:uid="{00000000-0005-0000-0000-000018000000}"/>
    <cellStyle name="Bad" xfId="188" xr:uid="{00000000-0005-0000-0000-000019000000}"/>
    <cellStyle name="bstitutes]_x000a__x000a_; The following mappings take Word for MS-DOS names, PostScript names, and TrueType_x000a__x000a_; names into account" xfId="189" xr:uid="{00000000-0005-0000-0000-00001A000000}"/>
    <cellStyle name="bstitutes]_x000d__x000a_; The following mappings take Word for MS-DOS names, PostScript names, and TrueType_x000d__x000a_; names into account" xfId="190" xr:uid="{00000000-0005-0000-0000-00001B000000}"/>
    <cellStyle name="Calculation" xfId="191" xr:uid="{00000000-0005-0000-0000-00001C000000}"/>
    <cellStyle name="Check Cell" xfId="192" xr:uid="{00000000-0005-0000-0000-00001D000000}"/>
    <cellStyle name="Comma [1]" xfId="193" xr:uid="{00000000-0005-0000-0000-00001E000000}"/>
    <cellStyle name="Diseño" xfId="194" xr:uid="{00000000-0005-0000-0000-00001F000000}"/>
    <cellStyle name="Estilo 1" xfId="195" xr:uid="{00000000-0005-0000-0000-000020000000}"/>
    <cellStyle name="Euro" xfId="196" xr:uid="{00000000-0005-0000-0000-000021000000}"/>
    <cellStyle name="Explanatory Text" xfId="197" xr:uid="{00000000-0005-0000-0000-000022000000}"/>
    <cellStyle name="F8 - Estilo5" xfId="198" xr:uid="{00000000-0005-0000-0000-000023000000}"/>
    <cellStyle name="Followed Hyperlink" xfId="199" xr:uid="{00000000-0005-0000-0000-000024000000}"/>
    <cellStyle name="Good" xfId="200" xr:uid="{00000000-0005-0000-0000-000025000000}"/>
    <cellStyle name="Heading 1" xfId="201" xr:uid="{00000000-0005-0000-0000-000026000000}"/>
    <cellStyle name="Heading 2" xfId="202" xr:uid="{00000000-0005-0000-0000-000027000000}"/>
    <cellStyle name="Heading 3" xfId="203" xr:uid="{00000000-0005-0000-0000-000028000000}"/>
    <cellStyle name="Heading 4" xfId="204" xr:uid="{00000000-0005-0000-0000-000029000000}"/>
    <cellStyle name="Hipervínculo 2" xfId="205" xr:uid="{00000000-0005-0000-0000-00002B000000}"/>
    <cellStyle name="Hipervínculo 2 2" xfId="7" xr:uid="{00000000-0005-0000-0000-000001000000}"/>
    <cellStyle name="Hipervínculo 3 2" xfId="8" xr:uid="{00000000-0005-0000-0000-000002000000}"/>
    <cellStyle name="Hipervínculo visitado 2 2" xfId="9" xr:uid="{00000000-0005-0000-0000-000003000000}"/>
    <cellStyle name="Hipervínculo visitado 3 2" xfId="10" xr:uid="{00000000-0005-0000-0000-000004000000}"/>
    <cellStyle name="Hyperlink" xfId="206" xr:uid="{00000000-0005-0000-0000-00002C000000}"/>
    <cellStyle name="Input" xfId="207" xr:uid="{00000000-0005-0000-0000-00002D000000}"/>
    <cellStyle name="Linked Cell" xfId="208" xr:uid="{00000000-0005-0000-0000-00002E000000}"/>
    <cellStyle name="Millares" xfId="5" builtinId="3"/>
    <cellStyle name="Millares [0]" xfId="148" builtinId="6"/>
    <cellStyle name="Millares [0] 2" xfId="157" xr:uid="{00000000-0005-0000-0000-0000C6000000}"/>
    <cellStyle name="Millares [0] 2 2" xfId="8520" xr:uid="{00000000-0005-0000-0000-00000A080000}"/>
    <cellStyle name="Millares [0] 2 3" xfId="4520" xr:uid="{00000000-0005-0000-0000-00000A080000}"/>
    <cellStyle name="Millares [0] 3" xfId="2299" xr:uid="{00000000-0005-0000-0000-000065010000}"/>
    <cellStyle name="Millares 10" xfId="11" xr:uid="{00000000-0005-0000-0000-000006000000}"/>
    <cellStyle name="Millares 10 2" xfId="210" xr:uid="{00000000-0005-0000-0000-000030000000}"/>
    <cellStyle name="Millares 10 3" xfId="2368" xr:uid="{00000000-0005-0000-0000-000030000000}"/>
    <cellStyle name="Millares 10 4" xfId="8524" xr:uid="{00000000-0005-0000-0000-000030000000}"/>
    <cellStyle name="Millares 100" xfId="2452" xr:uid="{00000000-0005-0000-0000-0000C3090000}"/>
    <cellStyle name="Millares 101" xfId="2459" xr:uid="{00000000-0005-0000-0000-0000C5090000}"/>
    <cellStyle name="Millares 102" xfId="2461" xr:uid="{00000000-0005-0000-0000-0000C7090000}"/>
    <cellStyle name="Millares 103" xfId="2463" xr:uid="{00000000-0005-0000-0000-0000C8090000}"/>
    <cellStyle name="Millares 104" xfId="2464" xr:uid="{00000000-0005-0000-0000-0000C9090000}"/>
    <cellStyle name="Millares 105" xfId="2462" xr:uid="{00000000-0005-0000-0000-0000CA090000}"/>
    <cellStyle name="Millares 106" xfId="2465" xr:uid="{00000000-0005-0000-0000-0000CB090000}"/>
    <cellStyle name="Millares 107" xfId="2467" xr:uid="{00000000-0005-0000-0000-0000CD090000}"/>
    <cellStyle name="Millares 108" xfId="2468" xr:uid="{00000000-0005-0000-0000-0000CE090000}"/>
    <cellStyle name="Millares 109" xfId="2469" xr:uid="{00000000-0005-0000-0000-0000CF090000}"/>
    <cellStyle name="Millares 11" xfId="12" xr:uid="{00000000-0005-0000-0000-000007000000}"/>
    <cellStyle name="Millares 11 10" xfId="2416" xr:uid="{00000000-0005-0000-0000-000001000000}"/>
    <cellStyle name="Millares 11 11" xfId="2427" xr:uid="{00000000-0005-0000-0000-000001000000}"/>
    <cellStyle name="Millares 11 12" xfId="2466" xr:uid="{00000000-0005-0000-0000-000001000000}"/>
    <cellStyle name="Millares 11 13" xfId="2484" xr:uid="{00000000-0005-0000-0000-000001000000}"/>
    <cellStyle name="Millares 11 14" xfId="2489" xr:uid="{00000000-0005-0000-0000-000001000000}"/>
    <cellStyle name="Millares 11 15" xfId="2499" xr:uid="{00000000-0005-0000-0000-000001000000}"/>
    <cellStyle name="Millares 11 16" xfId="2506" xr:uid="{00000000-0005-0000-0000-000001000000}"/>
    <cellStyle name="Millares 11 17" xfId="2514" xr:uid="{00000000-0005-0000-0000-000001000000}"/>
    <cellStyle name="Millares 11 2" xfId="150" xr:uid="{00000000-0005-0000-0000-000001000000}"/>
    <cellStyle name="Millares 11 3" xfId="151" xr:uid="{00000000-0005-0000-0000-000001000000}"/>
    <cellStyle name="Millares 11 4" xfId="152" xr:uid="{00000000-0005-0000-0000-000001000000}"/>
    <cellStyle name="Millares 11 5" xfId="153" xr:uid="{00000000-0005-0000-0000-000001000000}"/>
    <cellStyle name="Millares 11 6" xfId="160" xr:uid="{00000000-0005-0000-0000-000001000000}"/>
    <cellStyle name="Millares 11 7" xfId="2315" xr:uid="{00000000-0005-0000-0000-000001000000}"/>
    <cellStyle name="Millares 11 8" xfId="2366" xr:uid="{00000000-0005-0000-0000-000001000000}"/>
    <cellStyle name="Millares 11 9" xfId="2392" xr:uid="{00000000-0005-0000-0000-000001000000}"/>
    <cellStyle name="Millares 110" xfId="2470" xr:uid="{00000000-0005-0000-0000-0000D0090000}"/>
    <cellStyle name="Millares 111" xfId="2471" xr:uid="{00000000-0005-0000-0000-0000D1090000}"/>
    <cellStyle name="Millares 112" xfId="2472" xr:uid="{00000000-0005-0000-0000-0000D2090000}"/>
    <cellStyle name="Millares 113" xfId="2475" xr:uid="{00000000-0005-0000-0000-0000D3090000}"/>
    <cellStyle name="Millares 114" xfId="2474" xr:uid="{00000000-0005-0000-0000-0000D4090000}"/>
    <cellStyle name="Millares 115" xfId="2476" xr:uid="{00000000-0005-0000-0000-0000D5090000}"/>
    <cellStyle name="Millares 116" xfId="2473" xr:uid="{00000000-0005-0000-0000-0000D6090000}"/>
    <cellStyle name="Millares 117" xfId="2477" xr:uid="{00000000-0005-0000-0000-0000D7090000}"/>
    <cellStyle name="Millares 118" xfId="2478" xr:uid="{00000000-0005-0000-0000-0000D8090000}"/>
    <cellStyle name="Millares 119" xfId="2482" xr:uid="{00000000-0005-0000-0000-0000D9090000}"/>
    <cellStyle name="Millares 12" xfId="121" xr:uid="{00000000-0005-0000-0000-000008000000}"/>
    <cellStyle name="Millares 120" xfId="2481" xr:uid="{00000000-0005-0000-0000-0000DA090000}"/>
    <cellStyle name="Millares 121" xfId="2480" xr:uid="{00000000-0005-0000-0000-0000DB090000}"/>
    <cellStyle name="Millares 122" xfId="2479" xr:uid="{00000000-0005-0000-0000-0000DC090000}"/>
    <cellStyle name="Millares 123" xfId="2483" xr:uid="{00000000-0005-0000-0000-0000DD090000}"/>
    <cellStyle name="Millares 124" xfId="2485" xr:uid="{00000000-0005-0000-0000-0000DF090000}"/>
    <cellStyle name="Millares 125" xfId="2486" xr:uid="{00000000-0005-0000-0000-0000E0090000}"/>
    <cellStyle name="Millares 126" xfId="2487" xr:uid="{00000000-0005-0000-0000-0000E1090000}"/>
    <cellStyle name="Millares 127" xfId="2488" xr:uid="{00000000-0005-0000-0000-0000E2090000}"/>
    <cellStyle name="Millares 128" xfId="2490" xr:uid="{00000000-0005-0000-0000-0000E3090000}"/>
    <cellStyle name="Millares 129" xfId="2491" xr:uid="{00000000-0005-0000-0000-0000E5090000}"/>
    <cellStyle name="Millares 13" xfId="149" xr:uid="{00000000-0005-0000-0000-0000C1000000}"/>
    <cellStyle name="Millares 13 2" xfId="2342" xr:uid="{00000000-0005-0000-0000-000003000000}"/>
    <cellStyle name="Millares 13 2 2" xfId="2344" xr:uid="{00000000-0005-0000-0000-000004000000}"/>
    <cellStyle name="Millares 13 2 2 2" xfId="2389" xr:uid="{00000000-0005-0000-0000-000004000000}"/>
    <cellStyle name="Millares 13 2 3" xfId="2387" xr:uid="{00000000-0005-0000-0000-000003000000}"/>
    <cellStyle name="Millares 130" xfId="2494" xr:uid="{00000000-0005-0000-0000-0000E6090000}"/>
    <cellStyle name="Millares 131" xfId="2493" xr:uid="{00000000-0005-0000-0000-0000E7090000}"/>
    <cellStyle name="Millares 132" xfId="2495" xr:uid="{00000000-0005-0000-0000-0000E8090000}"/>
    <cellStyle name="Millares 133" xfId="2492" xr:uid="{00000000-0005-0000-0000-0000E9090000}"/>
    <cellStyle name="Millares 134" xfId="2496" xr:uid="{00000000-0005-0000-0000-0000EB090000}"/>
    <cellStyle name="Millares 135" xfId="2498" xr:uid="{00000000-0005-0000-0000-0000EB090000}"/>
    <cellStyle name="Millares 136" xfId="2500" xr:uid="{00000000-0005-0000-0000-0000EC090000}"/>
    <cellStyle name="Millares 137" xfId="2497" xr:uid="{00000000-0005-0000-0000-0000EE090000}"/>
    <cellStyle name="Millares 138" xfId="2501" xr:uid="{00000000-0005-0000-0000-0000F0090000}"/>
    <cellStyle name="Millares 139" xfId="2502" xr:uid="{00000000-0005-0000-0000-0000F0090000}"/>
    <cellStyle name="Millares 14" xfId="159" xr:uid="{00000000-0005-0000-0000-0000CA000000}"/>
    <cellStyle name="Millares 140" xfId="2503" xr:uid="{00000000-0005-0000-0000-0000F1090000}"/>
    <cellStyle name="Millares 141" xfId="2505" xr:uid="{00000000-0005-0000-0000-0000F2090000}"/>
    <cellStyle name="Millares 142" xfId="2507" xr:uid="{00000000-0005-0000-0000-0000F3090000}"/>
    <cellStyle name="Millares 143" xfId="2504" xr:uid="{00000000-0005-0000-0000-0000F5090000}"/>
    <cellStyle name="Millares 144" xfId="2508" xr:uid="{00000000-0005-0000-0000-0000F7090000}"/>
    <cellStyle name="Millares 145" xfId="2510" xr:uid="{00000000-0005-0000-0000-0000F7090000}"/>
    <cellStyle name="Millares 146" xfId="2511" xr:uid="{00000000-0005-0000-0000-0000F9090000}"/>
    <cellStyle name="Millares 147" xfId="2513" xr:uid="{00000000-0005-0000-0000-0000FB090000}"/>
    <cellStyle name="Millares 148" xfId="2515" xr:uid="{00000000-0005-0000-0000-0000FD090000}"/>
    <cellStyle name="Millares 149" xfId="2516" xr:uid="{00000000-0005-0000-0000-0000FF090000}"/>
    <cellStyle name="Millares 15" xfId="158" xr:uid="{00000000-0005-0000-0000-0000CC000000}"/>
    <cellStyle name="Millares 150" xfId="2517" xr:uid="{00000000-0005-0000-0000-0000000A0000}"/>
    <cellStyle name="Millares 151" xfId="2521" xr:uid="{00000000-0005-0000-0000-0000020A0000}"/>
    <cellStyle name="Millares 152" xfId="2520" xr:uid="{00000000-0005-0000-0000-0000040A0000}"/>
    <cellStyle name="Millares 153" xfId="2523" xr:uid="{00000000-0005-0000-0000-0000050A0000}"/>
    <cellStyle name="Millares 154" xfId="2524" xr:uid="{00000000-0005-0000-0000-0000070A0000}"/>
    <cellStyle name="Millares 155" xfId="2525" xr:uid="{00000000-0005-0000-0000-0000080A0000}"/>
    <cellStyle name="Millares 156" xfId="2526" xr:uid="{00000000-0005-0000-0000-0000090A0000}"/>
    <cellStyle name="Millares 157" xfId="2527" xr:uid="{00000000-0005-0000-0000-0000090A0000}"/>
    <cellStyle name="Millares 158" xfId="2528" xr:uid="{00000000-0005-0000-0000-00000A0A0000}"/>
    <cellStyle name="Millares 159" xfId="2529" xr:uid="{00000000-0005-0000-0000-00000B0A0000}"/>
    <cellStyle name="Millares 16" xfId="162" xr:uid="{00000000-0005-0000-0000-0000CD000000}"/>
    <cellStyle name="Millares 160" xfId="2530" xr:uid="{00000000-0005-0000-0000-00000C0A0000}"/>
    <cellStyle name="Millares 161" xfId="2531" xr:uid="{00000000-0005-0000-0000-00000D0A0000}"/>
    <cellStyle name="Millares 162" xfId="2532" xr:uid="{00000000-0005-0000-0000-00000F0A0000}"/>
    <cellStyle name="Millares 163" xfId="2533" xr:uid="{00000000-0005-0000-0000-00000F0A0000}"/>
    <cellStyle name="Millares 164" xfId="2534" xr:uid="{00000000-0005-0000-0000-0000110A0000}"/>
    <cellStyle name="Millares 165" xfId="2535" xr:uid="{00000000-0005-0000-0000-0000110A0000}"/>
    <cellStyle name="Millares 166" xfId="8522" xr:uid="{00000000-0005-0000-0000-000073210000}"/>
    <cellStyle name="Millares 167" xfId="8523" xr:uid="{00000000-0005-0000-0000-000074210000}"/>
    <cellStyle name="Millares 17" xfId="161" xr:uid="{00000000-0005-0000-0000-0000CE000000}"/>
    <cellStyle name="Millares 18" xfId="209" xr:uid="{00000000-0005-0000-0000-0000FC000000}"/>
    <cellStyle name="Millares 19" xfId="311" xr:uid="{00000000-0005-0000-0000-000060010000}"/>
    <cellStyle name="Millares 2" xfId="2" xr:uid="{00000000-0005-0000-0000-000009000000}"/>
    <cellStyle name="Millares 2 10" xfId="2361" xr:uid="{00000000-0005-0000-0000-000002000000}"/>
    <cellStyle name="Millares 2 11" xfId="2373" xr:uid="{00000000-0005-0000-0000-000005000000}"/>
    <cellStyle name="Millares 2 12" xfId="2402" xr:uid="{00000000-0005-0000-0000-000002000000}"/>
    <cellStyle name="Millares 2 13" xfId="2440" xr:uid="{00000000-0005-0000-0000-000002000000}"/>
    <cellStyle name="Millares 2 14" xfId="2454" xr:uid="{00000000-0005-0000-0000-000002000000}"/>
    <cellStyle name="Millares 2 2" xfId="13" xr:uid="{00000000-0005-0000-0000-00000A000000}"/>
    <cellStyle name="Millares 2 2 2" xfId="213" xr:uid="{00000000-0005-0000-0000-000033000000}"/>
    <cellStyle name="Millares 2 2 2 2" xfId="2338" xr:uid="{00000000-0005-0000-0000-000007000000}"/>
    <cellStyle name="Millares 2 2 2 3" xfId="2383" xr:uid="{00000000-0005-0000-0000-000007000000}"/>
    <cellStyle name="Millares 2 2 2 4" xfId="6527" xr:uid="{00000000-0005-0000-0000-000002000000}"/>
    <cellStyle name="Millares 2 2 3" xfId="212" xr:uid="{00000000-0005-0000-0000-000032000000}"/>
    <cellStyle name="Millares 2 2 4" xfId="2322" xr:uid="{00000000-0005-0000-0000-000006000000}"/>
    <cellStyle name="Millares 2 2 5" xfId="2375" xr:uid="{00000000-0005-0000-0000-000006000000}"/>
    <cellStyle name="Millares 2 2 6" xfId="2543" xr:uid="{00000000-0005-0000-0000-000002000000}"/>
    <cellStyle name="Millares 2 3" xfId="14" xr:uid="{00000000-0005-0000-0000-00000B000000}"/>
    <cellStyle name="Millares 2 3 2" xfId="215" xr:uid="{00000000-0005-0000-0000-000035000000}"/>
    <cellStyle name="Millares 2 3 3" xfId="214" xr:uid="{00000000-0005-0000-0000-000034000000}"/>
    <cellStyle name="Millares 2 3 4" xfId="2336" xr:uid="{00000000-0005-0000-0000-000008000000}"/>
    <cellStyle name="Millares 2 3 5" xfId="2381" xr:uid="{00000000-0005-0000-0000-000008000000}"/>
    <cellStyle name="Millares 2 4" xfId="144" xr:uid="{00000000-0005-0000-0000-00000C000000}"/>
    <cellStyle name="Millares 2 4 2" xfId="217" xr:uid="{00000000-0005-0000-0000-000037000000}"/>
    <cellStyle name="Millares 2 4 3" xfId="216" xr:uid="{00000000-0005-0000-0000-000036000000}"/>
    <cellStyle name="Millares 2 4 4" xfId="2332" xr:uid="{00000000-0005-0000-0000-000009000000}"/>
    <cellStyle name="Millares 2 4 5" xfId="2379" xr:uid="{00000000-0005-0000-0000-000009000000}"/>
    <cellStyle name="Millares 2 5" xfId="156" xr:uid="{00000000-0005-0000-0000-000002000000}"/>
    <cellStyle name="Millares 2 5 2" xfId="2343" xr:uid="{00000000-0005-0000-0000-00000A000000}"/>
    <cellStyle name="Millares 2 5 3" xfId="2388" xr:uid="{00000000-0005-0000-0000-00000A000000}"/>
    <cellStyle name="Millares 2 6" xfId="211" xr:uid="{00000000-0005-0000-0000-000031000000}"/>
    <cellStyle name="Millares 2 7" xfId="310" xr:uid="{00000000-0005-0000-0000-000002000000}"/>
    <cellStyle name="Millares 2 8" xfId="313" xr:uid="{00000000-0005-0000-0000-000001000000}"/>
    <cellStyle name="Millares 2 9" xfId="2353" xr:uid="{00000000-0005-0000-0000-000002000000}"/>
    <cellStyle name="Millares 20" xfId="312" xr:uid="{00000000-0005-0000-0000-000064010000}"/>
    <cellStyle name="Millares 21" xfId="351" xr:uid="{00000000-0005-0000-0000-000027090000}"/>
    <cellStyle name="Millares 22" xfId="2303" xr:uid="{00000000-0005-0000-0000-000028090000}"/>
    <cellStyle name="Millares 23" xfId="2304" xr:uid="{00000000-0005-0000-0000-000029090000}"/>
    <cellStyle name="Millares 24" xfId="2301" xr:uid="{00000000-0005-0000-0000-00002A090000}"/>
    <cellStyle name="Millares 25" xfId="2300" xr:uid="{00000000-0005-0000-0000-00002B090000}"/>
    <cellStyle name="Millares 26" xfId="2302" xr:uid="{00000000-0005-0000-0000-00002C090000}"/>
    <cellStyle name="Millares 27" xfId="2306" xr:uid="{00000000-0005-0000-0000-00002D090000}"/>
    <cellStyle name="Millares 28" xfId="2307" xr:uid="{00000000-0005-0000-0000-00002F090000}"/>
    <cellStyle name="Millares 29" xfId="2309" xr:uid="{00000000-0005-0000-0000-000031090000}"/>
    <cellStyle name="Millares 3" xfId="15" xr:uid="{00000000-0005-0000-0000-00000D000000}"/>
    <cellStyle name="Millares 3 10" xfId="2401" xr:uid="{00000000-0005-0000-0000-000003000000}"/>
    <cellStyle name="Millares 3 11" xfId="2437" xr:uid="{00000000-0005-0000-0000-000003000000}"/>
    <cellStyle name="Millares 3 12" xfId="2453" xr:uid="{00000000-0005-0000-0000-000003000000}"/>
    <cellStyle name="Millares 3 13" xfId="2536" xr:uid="{00000000-0005-0000-0000-000009080000}"/>
    <cellStyle name="Millares 3 2" xfId="16" xr:uid="{00000000-0005-0000-0000-00000E000000}"/>
    <cellStyle name="Millares 3 2 2" xfId="2340" xr:uid="{00000000-0005-0000-0000-00000D000000}"/>
    <cellStyle name="Millares 3 2 2 2" xfId="2385" xr:uid="{00000000-0005-0000-0000-00000D000000}"/>
    <cellStyle name="Millares 3 2 3" xfId="2329" xr:uid="{00000000-0005-0000-0000-00000C000000}"/>
    <cellStyle name="Millares 3 2 4" xfId="2377" xr:uid="{00000000-0005-0000-0000-00000C000000}"/>
    <cellStyle name="Millares 3 2 5" xfId="6520" xr:uid="{00000000-0005-0000-0000-000009080000}"/>
    <cellStyle name="Millares 3 3" xfId="143" xr:uid="{00000000-0005-0000-0000-00000F000000}"/>
    <cellStyle name="Millares 3 3 2" xfId="2337" xr:uid="{00000000-0005-0000-0000-00000E000000}"/>
    <cellStyle name="Millares 3 3 3" xfId="2382" xr:uid="{00000000-0005-0000-0000-00000E000000}"/>
    <cellStyle name="Millares 3 4" xfId="155" xr:uid="{00000000-0005-0000-0000-000003000000}"/>
    <cellStyle name="Millares 3 4 2" xfId="2333" xr:uid="{00000000-0005-0000-0000-00000F000000}"/>
    <cellStyle name="Millares 3 4 3" xfId="2380" xr:uid="{00000000-0005-0000-0000-00000F000000}"/>
    <cellStyle name="Millares 3 5" xfId="218" xr:uid="{00000000-0005-0000-0000-000038000000}"/>
    <cellStyle name="Millares 3 6" xfId="163" xr:uid="{00000000-0005-0000-0000-000003000000}"/>
    <cellStyle name="Millares 3 7" xfId="2350" xr:uid="{00000000-0005-0000-0000-000003000000}"/>
    <cellStyle name="Millares 3 8" xfId="2362" xr:uid="{00000000-0005-0000-0000-000003000000}"/>
    <cellStyle name="Millares 3 9" xfId="2374" xr:uid="{00000000-0005-0000-0000-00000B000000}"/>
    <cellStyle name="Millares 30" xfId="2312" xr:uid="{00000000-0005-0000-0000-000032090000}"/>
    <cellStyle name="Millares 31" xfId="2311" xr:uid="{00000000-0005-0000-0000-000033090000}"/>
    <cellStyle name="Millares 32" xfId="2310" xr:uid="{00000000-0005-0000-0000-000034090000}"/>
    <cellStyle name="Millares 33" xfId="2313" xr:uid="{00000000-0005-0000-0000-000035090000}"/>
    <cellStyle name="Millares 34" xfId="2314" xr:uid="{00000000-0005-0000-0000-000036090000}"/>
    <cellStyle name="Millares 35" xfId="2317" xr:uid="{00000000-0005-0000-0000-000038090000}"/>
    <cellStyle name="Millares 36" xfId="2316" xr:uid="{00000000-0005-0000-0000-000039090000}"/>
    <cellStyle name="Millares 37" xfId="2318" xr:uid="{00000000-0005-0000-0000-00003A090000}"/>
    <cellStyle name="Millares 38" xfId="2319" xr:uid="{00000000-0005-0000-0000-00003B090000}"/>
    <cellStyle name="Millares 39" xfId="2323" xr:uid="{00000000-0005-0000-0000-000054090000}"/>
    <cellStyle name="Millares 4" xfId="17" xr:uid="{00000000-0005-0000-0000-000010000000}"/>
    <cellStyle name="Millares 4 2" xfId="220" xr:uid="{00000000-0005-0000-0000-00003A000000}"/>
    <cellStyle name="Millares 4 2 2" xfId="221" xr:uid="{00000000-0005-0000-0000-00003B000000}"/>
    <cellStyle name="Millares 4 2 3" xfId="2339" xr:uid="{00000000-0005-0000-0000-000011000000}"/>
    <cellStyle name="Millares 4 2 4" xfId="2384" xr:uid="{00000000-0005-0000-0000-000011000000}"/>
    <cellStyle name="Millares 4 3" xfId="222" xr:uid="{00000000-0005-0000-0000-00003C000000}"/>
    <cellStyle name="Millares 4 3 2" xfId="2331" xr:uid="{00000000-0005-0000-0000-000012000000}"/>
    <cellStyle name="Millares 4 3 3" xfId="2378" xr:uid="{00000000-0005-0000-0000-000012000000}"/>
    <cellStyle name="Millares 4 4" xfId="219" xr:uid="{00000000-0005-0000-0000-000039000000}"/>
    <cellStyle name="Millares 4 5" xfId="2325" xr:uid="{00000000-0005-0000-0000-000010000000}"/>
    <cellStyle name="Millares 4 6" xfId="2376" xr:uid="{00000000-0005-0000-0000-000010000000}"/>
    <cellStyle name="Millares 4 7" xfId="4521" xr:uid="{00000000-0005-0000-0000-0000DA0F0000}"/>
    <cellStyle name="Millares 40" xfId="2345" xr:uid="{00000000-0005-0000-0000-000055090000}"/>
    <cellStyle name="Millares 41" xfId="2347" xr:uid="{00000000-0005-0000-0000-000056090000}"/>
    <cellStyle name="Millares 42" xfId="2351" xr:uid="{00000000-0005-0000-0000-000058090000}"/>
    <cellStyle name="Millares 43" xfId="2348" xr:uid="{00000000-0005-0000-0000-000059090000}"/>
    <cellStyle name="Millares 44" xfId="2349" xr:uid="{00000000-0005-0000-0000-00005A090000}"/>
    <cellStyle name="Millares 45" xfId="2354" xr:uid="{00000000-0005-0000-0000-00005D090000}"/>
    <cellStyle name="Millares 46" xfId="2357" xr:uid="{00000000-0005-0000-0000-00005E090000}"/>
    <cellStyle name="Millares 47" xfId="2356" xr:uid="{00000000-0005-0000-0000-00005F090000}"/>
    <cellStyle name="Millares 48" xfId="2358" xr:uid="{00000000-0005-0000-0000-000060090000}"/>
    <cellStyle name="Millares 49" xfId="2355" xr:uid="{00000000-0005-0000-0000-000061090000}"/>
    <cellStyle name="Millares 5" xfId="18" xr:uid="{00000000-0005-0000-0000-000011000000}"/>
    <cellStyle name="Millares 5 2" xfId="223" xr:uid="{00000000-0005-0000-0000-00003D000000}"/>
    <cellStyle name="Millares 5 3" xfId="2335" xr:uid="{00000000-0005-0000-0000-000013000000}"/>
    <cellStyle name="Millares 5 4" xfId="2369" xr:uid="{00000000-0005-0000-0000-00003D000000}"/>
    <cellStyle name="Millares 5 5" xfId="6518" xr:uid="{00000000-0005-0000-0000-00007B1F0000}"/>
    <cellStyle name="Millares 50" xfId="2359" xr:uid="{00000000-0005-0000-0000-000062090000}"/>
    <cellStyle name="Millares 51" xfId="2360" xr:uid="{00000000-0005-0000-0000-000063090000}"/>
    <cellStyle name="Millares 52" xfId="2365" xr:uid="{00000000-0005-0000-0000-000067090000}"/>
    <cellStyle name="Millares 53" xfId="2367" xr:uid="{00000000-0005-0000-0000-000069090000}"/>
    <cellStyle name="Millares 54" xfId="2372" xr:uid="{00000000-0005-0000-0000-00006E090000}"/>
    <cellStyle name="Millares 55" xfId="2390" xr:uid="{00000000-0005-0000-0000-000080090000}"/>
    <cellStyle name="Millares 56" xfId="2391" xr:uid="{00000000-0005-0000-0000-000081090000}"/>
    <cellStyle name="Millares 57" xfId="2393" xr:uid="{00000000-0005-0000-0000-000083090000}"/>
    <cellStyle name="Millares 58" xfId="2394" xr:uid="{00000000-0005-0000-0000-000084090000}"/>
    <cellStyle name="Millares 59" xfId="2396" xr:uid="{00000000-0005-0000-0000-000085090000}"/>
    <cellStyle name="Millares 6" xfId="19" xr:uid="{00000000-0005-0000-0000-000012000000}"/>
    <cellStyle name="Millares 6 2" xfId="20" xr:uid="{00000000-0005-0000-0000-000013000000}"/>
    <cellStyle name="Millares 6 3" xfId="224" xr:uid="{00000000-0005-0000-0000-00003E000000}"/>
    <cellStyle name="Millares 6 4" xfId="2334" xr:uid="{00000000-0005-0000-0000-000014000000}"/>
    <cellStyle name="Millares 6 5" xfId="2370" xr:uid="{00000000-0005-0000-0000-00003E000000}"/>
    <cellStyle name="Millares 6 6" xfId="8525" xr:uid="{00000000-0005-0000-0000-00003E000000}"/>
    <cellStyle name="Millares 60" xfId="2399" xr:uid="{00000000-0005-0000-0000-000086090000}"/>
    <cellStyle name="Millares 61" xfId="2395" xr:uid="{00000000-0005-0000-0000-000087090000}"/>
    <cellStyle name="Millares 62" xfId="2403" xr:uid="{00000000-0005-0000-0000-000088090000}"/>
    <cellStyle name="Millares 63" xfId="2400" xr:uid="{00000000-0005-0000-0000-000089090000}"/>
    <cellStyle name="Millares 64" xfId="2397" xr:uid="{00000000-0005-0000-0000-00008D090000}"/>
    <cellStyle name="Millares 65" xfId="2405" xr:uid="{00000000-0005-0000-0000-00008F090000}"/>
    <cellStyle name="Millares 66" xfId="2407" xr:uid="{00000000-0005-0000-0000-000091090000}"/>
    <cellStyle name="Millares 67" xfId="2408" xr:uid="{00000000-0005-0000-0000-000092090000}"/>
    <cellStyle name="Millares 68" xfId="2409" xr:uid="{00000000-0005-0000-0000-000093090000}"/>
    <cellStyle name="Millares 69" xfId="2410" xr:uid="{00000000-0005-0000-0000-000095090000}"/>
    <cellStyle name="Millares 7" xfId="21" xr:uid="{00000000-0005-0000-0000-000014000000}"/>
    <cellStyle name="Millares 7 2" xfId="309" xr:uid="{00000000-0005-0000-0000-00003F000000}"/>
    <cellStyle name="Millares 7 3" xfId="2341" xr:uid="{00000000-0005-0000-0000-000015000000}"/>
    <cellStyle name="Millares 7 4" xfId="2371" xr:uid="{00000000-0005-0000-0000-00003F000000}"/>
    <cellStyle name="Millares 7 5" xfId="2386" xr:uid="{00000000-0005-0000-0000-000015000000}"/>
    <cellStyle name="Millares 7 6" xfId="8526" xr:uid="{00000000-0005-0000-0000-00003F000000}"/>
    <cellStyle name="Millares 70" xfId="2411" xr:uid="{00000000-0005-0000-0000-000095090000}"/>
    <cellStyle name="Millares 71" xfId="2413" xr:uid="{00000000-0005-0000-0000-000096090000}"/>
    <cellStyle name="Millares 72" xfId="2412" xr:uid="{00000000-0005-0000-0000-000097090000}"/>
    <cellStyle name="Millares 73" xfId="2414" xr:uid="{00000000-0005-0000-0000-000098090000}"/>
    <cellStyle name="Millares 74" xfId="2415" xr:uid="{00000000-0005-0000-0000-000099090000}"/>
    <cellStyle name="Millares 75" xfId="2417" xr:uid="{00000000-0005-0000-0000-00009B090000}"/>
    <cellStyle name="Millares 76" xfId="2419" xr:uid="{00000000-0005-0000-0000-00009D090000}"/>
    <cellStyle name="Millares 77" xfId="2418" xr:uid="{00000000-0005-0000-0000-00009E090000}"/>
    <cellStyle name="Millares 78" xfId="2424" xr:uid="{00000000-0005-0000-0000-00009F090000}"/>
    <cellStyle name="Millares 79" xfId="2423" xr:uid="{00000000-0005-0000-0000-0000A0090000}"/>
    <cellStyle name="Millares 8" xfId="22" xr:uid="{00000000-0005-0000-0000-000015000000}"/>
    <cellStyle name="Millares 8 2" xfId="225" xr:uid="{00000000-0005-0000-0000-000040000000}"/>
    <cellStyle name="Millares 80" xfId="2425" xr:uid="{00000000-0005-0000-0000-0000A1090000}"/>
    <cellStyle name="Millares 81" xfId="2422" xr:uid="{00000000-0005-0000-0000-0000A2090000}"/>
    <cellStyle name="Millares 82" xfId="2421" xr:uid="{00000000-0005-0000-0000-0000A3090000}"/>
    <cellStyle name="Millares 83" xfId="2420" xr:uid="{00000000-0005-0000-0000-0000A4090000}"/>
    <cellStyle name="Millares 84" xfId="2426" xr:uid="{00000000-0005-0000-0000-0000A4090000}"/>
    <cellStyle name="Millares 85" xfId="2428" xr:uid="{00000000-0005-0000-0000-0000A6090000}"/>
    <cellStyle name="Millares 86" xfId="2430" xr:uid="{00000000-0005-0000-0000-0000A8090000}"/>
    <cellStyle name="Millares 87" xfId="2429" xr:uid="{00000000-0005-0000-0000-0000A9090000}"/>
    <cellStyle name="Millares 88" xfId="2431" xr:uid="{00000000-0005-0000-0000-0000AA090000}"/>
    <cellStyle name="Millares 89" xfId="2433" xr:uid="{00000000-0005-0000-0000-0000AB090000}"/>
    <cellStyle name="Millares 9" xfId="23" xr:uid="{00000000-0005-0000-0000-000016000000}"/>
    <cellStyle name="Millares 9 2" xfId="24" xr:uid="{00000000-0005-0000-0000-000017000000}"/>
    <cellStyle name="Millares 90" xfId="2448" xr:uid="{00000000-0005-0000-0000-0000AD090000}"/>
    <cellStyle name="Millares 91" xfId="2449" xr:uid="{00000000-0005-0000-0000-0000AF090000}"/>
    <cellStyle name="Millares 92" xfId="2436" xr:uid="{00000000-0005-0000-0000-0000B1090000}"/>
    <cellStyle name="Millares 93" xfId="2442" xr:uid="{00000000-0005-0000-0000-0000B3090000}"/>
    <cellStyle name="Millares 94" xfId="2447" xr:uid="{00000000-0005-0000-0000-0000B5090000}"/>
    <cellStyle name="Millares 95" xfId="2446" xr:uid="{00000000-0005-0000-0000-0000B7090000}"/>
    <cellStyle name="Millares 96" xfId="2441" xr:uid="{00000000-0005-0000-0000-0000BB090000}"/>
    <cellStyle name="Millares 97" xfId="2450" xr:uid="{00000000-0005-0000-0000-0000BC090000}"/>
    <cellStyle name="Millares 98" xfId="2457" xr:uid="{00000000-0005-0000-0000-0000BD090000}"/>
    <cellStyle name="Millares 99" xfId="2458" xr:uid="{00000000-0005-0000-0000-0000C1090000}"/>
    <cellStyle name="Moneda" xfId="2346" builtinId="4"/>
    <cellStyle name="Moneda [0]" xfId="8521" builtinId="7"/>
    <cellStyle name="Moneda 2" xfId="3" xr:uid="{00000000-0005-0000-0000-000018000000}"/>
    <cellStyle name="Moneda 3" xfId="1" xr:uid="{00000000-0005-0000-0000-000019000000}"/>
    <cellStyle name="Normal" xfId="0" builtinId="0"/>
    <cellStyle name="Normal 10" xfId="127" xr:uid="{00000000-0005-0000-0000-00001B000000}"/>
    <cellStyle name="Normal 10 2" xfId="147" xr:uid="{00000000-0005-0000-0000-00001C000000}"/>
    <cellStyle name="Normal 10 2 2" xfId="640" xr:uid="{00000000-0005-0000-0000-000005000000}"/>
    <cellStyle name="Normal 10 2 2 2" xfId="1137" xr:uid="{00000000-0005-0000-0000-000006000000}"/>
    <cellStyle name="Normal 10 2 2 2 2" xfId="2139" xr:uid="{00000000-0005-0000-0000-000007000000}"/>
    <cellStyle name="Normal 10 2 2 2 2 2" xfId="4361" xr:uid="{00000000-0005-0000-0000-000008000000}"/>
    <cellStyle name="Normal 10 2 2 2 2 2 2" xfId="8361" xr:uid="{00000000-0005-0000-0000-000008000000}"/>
    <cellStyle name="Normal 10 2 2 2 2 3" xfId="6360" xr:uid="{00000000-0005-0000-0000-000008000000}"/>
    <cellStyle name="Normal 10 2 2 2 3" xfId="3363" xr:uid="{00000000-0005-0000-0000-000007000000}"/>
    <cellStyle name="Normal 10 2 2 2 3 2" xfId="7362" xr:uid="{00000000-0005-0000-0000-000007000000}"/>
    <cellStyle name="Normal 10 2 2 2 4" xfId="5361" xr:uid="{00000000-0005-0000-0000-000007000000}"/>
    <cellStyle name="Normal 10 2 2 3" xfId="1643" xr:uid="{00000000-0005-0000-0000-000008000000}"/>
    <cellStyle name="Normal 10 2 2 3 2" xfId="3865" xr:uid="{00000000-0005-0000-0000-000009000000}"/>
    <cellStyle name="Normal 10 2 2 3 2 2" xfId="7865" xr:uid="{00000000-0005-0000-0000-000009000000}"/>
    <cellStyle name="Normal 10 2 2 3 3" xfId="5864" xr:uid="{00000000-0005-0000-0000-000009000000}"/>
    <cellStyle name="Normal 10 2 2 4" xfId="2867" xr:uid="{00000000-0005-0000-0000-000006000000}"/>
    <cellStyle name="Normal 10 2 2 4 2" xfId="6866" xr:uid="{00000000-0005-0000-0000-000006000000}"/>
    <cellStyle name="Normal 10 2 2 5" xfId="4865" xr:uid="{00000000-0005-0000-0000-000006000000}"/>
    <cellStyle name="Normal 10 2 3" xfId="889" xr:uid="{00000000-0005-0000-0000-000009000000}"/>
    <cellStyle name="Normal 10 2 3 2" xfId="1891" xr:uid="{00000000-0005-0000-0000-00000A000000}"/>
    <cellStyle name="Normal 10 2 3 2 2" xfId="4113" xr:uid="{00000000-0005-0000-0000-00000B000000}"/>
    <cellStyle name="Normal 10 2 3 2 2 2" xfId="8113" xr:uid="{00000000-0005-0000-0000-00000B000000}"/>
    <cellStyle name="Normal 10 2 3 2 3" xfId="6112" xr:uid="{00000000-0005-0000-0000-00000B000000}"/>
    <cellStyle name="Normal 10 2 3 3" xfId="3115" xr:uid="{00000000-0005-0000-0000-00000A000000}"/>
    <cellStyle name="Normal 10 2 3 3 2" xfId="7114" xr:uid="{00000000-0005-0000-0000-00000A000000}"/>
    <cellStyle name="Normal 10 2 3 4" xfId="5113" xr:uid="{00000000-0005-0000-0000-00000A000000}"/>
    <cellStyle name="Normal 10 2 4" xfId="1395" xr:uid="{00000000-0005-0000-0000-00000B000000}"/>
    <cellStyle name="Normal 10 2 4 2" xfId="3617" xr:uid="{00000000-0005-0000-0000-00000C000000}"/>
    <cellStyle name="Normal 10 2 4 2 2" xfId="7617" xr:uid="{00000000-0005-0000-0000-00000C000000}"/>
    <cellStyle name="Normal 10 2 4 3" xfId="5616" xr:uid="{00000000-0005-0000-0000-00000C000000}"/>
    <cellStyle name="Normal 10 2 5" xfId="2627" xr:uid="{00000000-0005-0000-0000-000005000000}"/>
    <cellStyle name="Normal 10 2 5 2" xfId="6618" xr:uid="{00000000-0005-0000-0000-000005000000}"/>
    <cellStyle name="Normal 10 2 6" xfId="4617" xr:uid="{00000000-0005-0000-0000-000005000000}"/>
    <cellStyle name="Normal 10 3" xfId="226" xr:uid="{00000000-0005-0000-0000-000042000000}"/>
    <cellStyle name="Normal 10 3 2" xfId="686" xr:uid="{00000000-0005-0000-0000-00000D000000}"/>
    <cellStyle name="Normal 10 3 2 2" xfId="1183" xr:uid="{00000000-0005-0000-0000-00000E000000}"/>
    <cellStyle name="Normal 10 3 2 2 2" xfId="2185" xr:uid="{00000000-0005-0000-0000-00000F000000}"/>
    <cellStyle name="Normal 10 3 2 2 2 2" xfId="4407" xr:uid="{00000000-0005-0000-0000-000010000000}"/>
    <cellStyle name="Normal 10 3 2 2 2 2 2" xfId="8407" xr:uid="{00000000-0005-0000-0000-000010000000}"/>
    <cellStyle name="Normal 10 3 2 2 2 3" xfId="6406" xr:uid="{00000000-0005-0000-0000-000010000000}"/>
    <cellStyle name="Normal 10 3 2 2 3" xfId="3409" xr:uid="{00000000-0005-0000-0000-00000F000000}"/>
    <cellStyle name="Normal 10 3 2 2 3 2" xfId="7408" xr:uid="{00000000-0005-0000-0000-00000F000000}"/>
    <cellStyle name="Normal 10 3 2 2 4" xfId="5407" xr:uid="{00000000-0005-0000-0000-00000F000000}"/>
    <cellStyle name="Normal 10 3 2 3" xfId="1689" xr:uid="{00000000-0005-0000-0000-000010000000}"/>
    <cellStyle name="Normal 10 3 2 3 2" xfId="3911" xr:uid="{00000000-0005-0000-0000-000011000000}"/>
    <cellStyle name="Normal 10 3 2 3 2 2" xfId="7911" xr:uid="{00000000-0005-0000-0000-000011000000}"/>
    <cellStyle name="Normal 10 3 2 3 3" xfId="5910" xr:uid="{00000000-0005-0000-0000-000011000000}"/>
    <cellStyle name="Normal 10 3 2 4" xfId="2913" xr:uid="{00000000-0005-0000-0000-00000E000000}"/>
    <cellStyle name="Normal 10 3 2 4 2" xfId="6912" xr:uid="{00000000-0005-0000-0000-00000E000000}"/>
    <cellStyle name="Normal 10 3 2 5" xfId="4911" xr:uid="{00000000-0005-0000-0000-00000E000000}"/>
    <cellStyle name="Normal 10 3 3" xfId="935" xr:uid="{00000000-0005-0000-0000-000011000000}"/>
    <cellStyle name="Normal 10 3 3 2" xfId="1937" xr:uid="{00000000-0005-0000-0000-000012000000}"/>
    <cellStyle name="Normal 10 3 3 2 2" xfId="4159" xr:uid="{00000000-0005-0000-0000-000013000000}"/>
    <cellStyle name="Normal 10 3 3 2 2 2" xfId="8159" xr:uid="{00000000-0005-0000-0000-000013000000}"/>
    <cellStyle name="Normal 10 3 3 2 3" xfId="6158" xr:uid="{00000000-0005-0000-0000-000013000000}"/>
    <cellStyle name="Normal 10 3 3 3" xfId="3161" xr:uid="{00000000-0005-0000-0000-000012000000}"/>
    <cellStyle name="Normal 10 3 3 3 2" xfId="7160" xr:uid="{00000000-0005-0000-0000-000012000000}"/>
    <cellStyle name="Normal 10 3 3 4" xfId="5159" xr:uid="{00000000-0005-0000-0000-000012000000}"/>
    <cellStyle name="Normal 10 3 4" xfId="1441" xr:uid="{00000000-0005-0000-0000-000013000000}"/>
    <cellStyle name="Normal 10 3 4 2" xfId="3663" xr:uid="{00000000-0005-0000-0000-000014000000}"/>
    <cellStyle name="Normal 10 3 4 2 2" xfId="7663" xr:uid="{00000000-0005-0000-0000-000014000000}"/>
    <cellStyle name="Normal 10 3 4 3" xfId="5662" xr:uid="{00000000-0005-0000-0000-000014000000}"/>
    <cellStyle name="Normal 10 3 5" xfId="439" xr:uid="{00000000-0005-0000-0000-00000C000000}"/>
    <cellStyle name="Normal 10 3 5 2" xfId="6664" xr:uid="{00000000-0005-0000-0000-00000D000000}"/>
    <cellStyle name="Normal 10 3 6" xfId="4663" xr:uid="{00000000-0005-0000-0000-00000D000000}"/>
    <cellStyle name="Normal 10 4" xfId="525" xr:uid="{00000000-0005-0000-0000-000014000000}"/>
    <cellStyle name="Normal 10 4 2" xfId="772" xr:uid="{00000000-0005-0000-0000-000015000000}"/>
    <cellStyle name="Normal 10 4 2 2" xfId="1270" xr:uid="{00000000-0005-0000-0000-000016000000}"/>
    <cellStyle name="Normal 10 4 2 2 2" xfId="2272" xr:uid="{00000000-0005-0000-0000-000017000000}"/>
    <cellStyle name="Normal 10 4 2 2 2 2" xfId="4494" xr:uid="{00000000-0005-0000-0000-000018000000}"/>
    <cellStyle name="Normal 10 4 2 2 2 2 2" xfId="8494" xr:uid="{00000000-0005-0000-0000-000018000000}"/>
    <cellStyle name="Normal 10 4 2 2 2 3" xfId="6493" xr:uid="{00000000-0005-0000-0000-000018000000}"/>
    <cellStyle name="Normal 10 4 2 2 3" xfId="3496" xr:uid="{00000000-0005-0000-0000-000017000000}"/>
    <cellStyle name="Normal 10 4 2 2 3 2" xfId="7495" xr:uid="{00000000-0005-0000-0000-000017000000}"/>
    <cellStyle name="Normal 10 4 2 2 4" xfId="5494" xr:uid="{00000000-0005-0000-0000-000017000000}"/>
    <cellStyle name="Normal 10 4 2 3" xfId="1776" xr:uid="{00000000-0005-0000-0000-000018000000}"/>
    <cellStyle name="Normal 10 4 2 3 2" xfId="3998" xr:uid="{00000000-0005-0000-0000-000019000000}"/>
    <cellStyle name="Normal 10 4 2 3 2 2" xfId="7998" xr:uid="{00000000-0005-0000-0000-000019000000}"/>
    <cellStyle name="Normal 10 4 2 3 3" xfId="5997" xr:uid="{00000000-0005-0000-0000-000019000000}"/>
    <cellStyle name="Normal 10 4 2 4" xfId="3000" xr:uid="{00000000-0005-0000-0000-000016000000}"/>
    <cellStyle name="Normal 10 4 2 4 2" xfId="6999" xr:uid="{00000000-0005-0000-0000-000016000000}"/>
    <cellStyle name="Normal 10 4 2 5" xfId="4998" xr:uid="{00000000-0005-0000-0000-000016000000}"/>
    <cellStyle name="Normal 10 4 3" xfId="1022" xr:uid="{00000000-0005-0000-0000-000019000000}"/>
    <cellStyle name="Normal 10 4 3 2" xfId="2024" xr:uid="{00000000-0005-0000-0000-00001A000000}"/>
    <cellStyle name="Normal 10 4 3 2 2" xfId="4246" xr:uid="{00000000-0005-0000-0000-00001B000000}"/>
    <cellStyle name="Normal 10 4 3 2 2 2" xfId="8246" xr:uid="{00000000-0005-0000-0000-00001B000000}"/>
    <cellStyle name="Normal 10 4 3 2 3" xfId="6245" xr:uid="{00000000-0005-0000-0000-00001B000000}"/>
    <cellStyle name="Normal 10 4 3 3" xfId="3248" xr:uid="{00000000-0005-0000-0000-00001A000000}"/>
    <cellStyle name="Normal 10 4 3 3 2" xfId="7247" xr:uid="{00000000-0005-0000-0000-00001A000000}"/>
    <cellStyle name="Normal 10 4 3 4" xfId="5246" xr:uid="{00000000-0005-0000-0000-00001A000000}"/>
    <cellStyle name="Normal 10 4 4" xfId="1528" xr:uid="{00000000-0005-0000-0000-00001B000000}"/>
    <cellStyle name="Normal 10 4 4 2" xfId="3750" xr:uid="{00000000-0005-0000-0000-00001C000000}"/>
    <cellStyle name="Normal 10 4 4 2 2" xfId="7750" xr:uid="{00000000-0005-0000-0000-00001C000000}"/>
    <cellStyle name="Normal 10 4 4 3" xfId="5749" xr:uid="{00000000-0005-0000-0000-00001C000000}"/>
    <cellStyle name="Normal 10 4 5" xfId="2753" xr:uid="{00000000-0005-0000-0000-000015000000}"/>
    <cellStyle name="Normal 10 4 5 2" xfId="6751" xr:uid="{00000000-0005-0000-0000-000015000000}"/>
    <cellStyle name="Normal 10 4 6" xfId="4750" xr:uid="{00000000-0005-0000-0000-000015000000}"/>
    <cellStyle name="Normal 10 5" xfId="571" xr:uid="{00000000-0005-0000-0000-00001C000000}"/>
    <cellStyle name="Normal 10 5 2" xfId="1069" xr:uid="{00000000-0005-0000-0000-00001D000000}"/>
    <cellStyle name="Normal 10 5 2 2" xfId="2071" xr:uid="{00000000-0005-0000-0000-00001E000000}"/>
    <cellStyle name="Normal 10 5 2 2 2" xfId="4293" xr:uid="{00000000-0005-0000-0000-00001F000000}"/>
    <cellStyle name="Normal 10 5 2 2 2 2" xfId="8293" xr:uid="{00000000-0005-0000-0000-00001F000000}"/>
    <cellStyle name="Normal 10 5 2 2 3" xfId="6292" xr:uid="{00000000-0005-0000-0000-00001F000000}"/>
    <cellStyle name="Normal 10 5 2 3" xfId="3295" xr:uid="{00000000-0005-0000-0000-00001E000000}"/>
    <cellStyle name="Normal 10 5 2 3 2" xfId="7294" xr:uid="{00000000-0005-0000-0000-00001E000000}"/>
    <cellStyle name="Normal 10 5 2 4" xfId="5293" xr:uid="{00000000-0005-0000-0000-00001E000000}"/>
    <cellStyle name="Normal 10 5 3" xfId="1575" xr:uid="{00000000-0005-0000-0000-00001F000000}"/>
    <cellStyle name="Normal 10 5 3 2" xfId="3797" xr:uid="{00000000-0005-0000-0000-000020000000}"/>
    <cellStyle name="Normal 10 5 3 2 2" xfId="7797" xr:uid="{00000000-0005-0000-0000-000020000000}"/>
    <cellStyle name="Normal 10 5 3 3" xfId="5796" xr:uid="{00000000-0005-0000-0000-000020000000}"/>
    <cellStyle name="Normal 10 5 4" xfId="2800" xr:uid="{00000000-0005-0000-0000-00001D000000}"/>
    <cellStyle name="Normal 10 5 4 2" xfId="6798" xr:uid="{00000000-0005-0000-0000-00001D000000}"/>
    <cellStyle name="Normal 10 5 5" xfId="4797" xr:uid="{00000000-0005-0000-0000-00001D000000}"/>
    <cellStyle name="Normal 10 6" xfId="821" xr:uid="{00000000-0005-0000-0000-000020000000}"/>
    <cellStyle name="Normal 10 6 2" xfId="1823" xr:uid="{00000000-0005-0000-0000-000021000000}"/>
    <cellStyle name="Normal 10 6 2 2" xfId="4045" xr:uid="{00000000-0005-0000-0000-000022000000}"/>
    <cellStyle name="Normal 10 6 2 2 2" xfId="8045" xr:uid="{00000000-0005-0000-0000-000022000000}"/>
    <cellStyle name="Normal 10 6 2 3" xfId="6044" xr:uid="{00000000-0005-0000-0000-000022000000}"/>
    <cellStyle name="Normal 10 6 3" xfId="3047" xr:uid="{00000000-0005-0000-0000-000021000000}"/>
    <cellStyle name="Normal 10 6 3 2" xfId="7046" xr:uid="{00000000-0005-0000-0000-000021000000}"/>
    <cellStyle name="Normal 10 6 4" xfId="5045" xr:uid="{00000000-0005-0000-0000-000021000000}"/>
    <cellStyle name="Normal 10 7" xfId="1327" xr:uid="{00000000-0005-0000-0000-000022000000}"/>
    <cellStyle name="Normal 10 7 2" xfId="3549" xr:uid="{00000000-0005-0000-0000-000023000000}"/>
    <cellStyle name="Normal 10 7 2 2" xfId="7549" xr:uid="{00000000-0005-0000-0000-000023000000}"/>
    <cellStyle name="Normal 10 7 3" xfId="5548" xr:uid="{00000000-0005-0000-0000-000023000000}"/>
    <cellStyle name="Normal 10 8" xfId="2562" xr:uid="{00000000-0005-0000-0000-000004000000}"/>
    <cellStyle name="Normal 10 8 2" xfId="6550" xr:uid="{00000000-0005-0000-0000-000004000000}"/>
    <cellStyle name="Normal 10 9" xfId="4549" xr:uid="{00000000-0005-0000-0000-000004000000}"/>
    <cellStyle name="Normal 11" xfId="128" xr:uid="{00000000-0005-0000-0000-00001D000000}"/>
    <cellStyle name="Normal 11 2" xfId="228" xr:uid="{00000000-0005-0000-0000-000044000000}"/>
    <cellStyle name="Normal 11 2 2" xfId="641" xr:uid="{00000000-0005-0000-0000-000025000000}"/>
    <cellStyle name="Normal 11 2 2 2" xfId="1138" xr:uid="{00000000-0005-0000-0000-000026000000}"/>
    <cellStyle name="Normal 11 2 2 2 2" xfId="2140" xr:uid="{00000000-0005-0000-0000-000027000000}"/>
    <cellStyle name="Normal 11 2 2 2 2 2" xfId="4362" xr:uid="{00000000-0005-0000-0000-000028000000}"/>
    <cellStyle name="Normal 11 2 2 2 2 2 2" xfId="8362" xr:uid="{00000000-0005-0000-0000-000028000000}"/>
    <cellStyle name="Normal 11 2 2 2 2 3" xfId="6361" xr:uid="{00000000-0005-0000-0000-000028000000}"/>
    <cellStyle name="Normal 11 2 2 2 3" xfId="3364" xr:uid="{00000000-0005-0000-0000-000027000000}"/>
    <cellStyle name="Normal 11 2 2 2 3 2" xfId="7363" xr:uid="{00000000-0005-0000-0000-000027000000}"/>
    <cellStyle name="Normal 11 2 2 2 4" xfId="5362" xr:uid="{00000000-0005-0000-0000-000027000000}"/>
    <cellStyle name="Normal 11 2 2 3" xfId="1644" xr:uid="{00000000-0005-0000-0000-000028000000}"/>
    <cellStyle name="Normal 11 2 2 3 2" xfId="3866" xr:uid="{00000000-0005-0000-0000-000029000000}"/>
    <cellStyle name="Normal 11 2 2 3 2 2" xfId="7866" xr:uid="{00000000-0005-0000-0000-000029000000}"/>
    <cellStyle name="Normal 11 2 2 3 3" xfId="5865" xr:uid="{00000000-0005-0000-0000-000029000000}"/>
    <cellStyle name="Normal 11 2 2 4" xfId="2868" xr:uid="{00000000-0005-0000-0000-000026000000}"/>
    <cellStyle name="Normal 11 2 2 4 2" xfId="6867" xr:uid="{00000000-0005-0000-0000-000026000000}"/>
    <cellStyle name="Normal 11 2 2 5" xfId="4866" xr:uid="{00000000-0005-0000-0000-000026000000}"/>
    <cellStyle name="Normal 11 2 3" xfId="890" xr:uid="{00000000-0005-0000-0000-000029000000}"/>
    <cellStyle name="Normal 11 2 3 2" xfId="1892" xr:uid="{00000000-0005-0000-0000-00002A000000}"/>
    <cellStyle name="Normal 11 2 3 2 2" xfId="4114" xr:uid="{00000000-0005-0000-0000-00002B000000}"/>
    <cellStyle name="Normal 11 2 3 2 2 2" xfId="8114" xr:uid="{00000000-0005-0000-0000-00002B000000}"/>
    <cellStyle name="Normal 11 2 3 2 3" xfId="6113" xr:uid="{00000000-0005-0000-0000-00002B000000}"/>
    <cellStyle name="Normal 11 2 3 3" xfId="3116" xr:uid="{00000000-0005-0000-0000-00002A000000}"/>
    <cellStyle name="Normal 11 2 3 3 2" xfId="7115" xr:uid="{00000000-0005-0000-0000-00002A000000}"/>
    <cellStyle name="Normal 11 2 3 4" xfId="5114" xr:uid="{00000000-0005-0000-0000-00002A000000}"/>
    <cellStyle name="Normal 11 2 4" xfId="1396" xr:uid="{00000000-0005-0000-0000-00002B000000}"/>
    <cellStyle name="Normal 11 2 4 2" xfId="3618" xr:uid="{00000000-0005-0000-0000-00002C000000}"/>
    <cellStyle name="Normal 11 2 4 2 2" xfId="7618" xr:uid="{00000000-0005-0000-0000-00002C000000}"/>
    <cellStyle name="Normal 11 2 4 3" xfId="5617" xr:uid="{00000000-0005-0000-0000-00002C000000}"/>
    <cellStyle name="Normal 11 2 5" xfId="394" xr:uid="{00000000-0005-0000-0000-000024000000}"/>
    <cellStyle name="Normal 11 2 5 2" xfId="6619" xr:uid="{00000000-0005-0000-0000-000025000000}"/>
    <cellStyle name="Normal 11 2 6" xfId="4618" xr:uid="{00000000-0005-0000-0000-000025000000}"/>
    <cellStyle name="Normal 11 3" xfId="440" xr:uid="{00000000-0005-0000-0000-00002C000000}"/>
    <cellStyle name="Normal 11 3 2" xfId="687" xr:uid="{00000000-0005-0000-0000-00002D000000}"/>
    <cellStyle name="Normal 11 3 2 2" xfId="1184" xr:uid="{00000000-0005-0000-0000-00002E000000}"/>
    <cellStyle name="Normal 11 3 2 2 2" xfId="2186" xr:uid="{00000000-0005-0000-0000-00002F000000}"/>
    <cellStyle name="Normal 11 3 2 2 2 2" xfId="4408" xr:uid="{00000000-0005-0000-0000-000030000000}"/>
    <cellStyle name="Normal 11 3 2 2 2 2 2" xfId="8408" xr:uid="{00000000-0005-0000-0000-000030000000}"/>
    <cellStyle name="Normal 11 3 2 2 2 3" xfId="6407" xr:uid="{00000000-0005-0000-0000-000030000000}"/>
    <cellStyle name="Normal 11 3 2 2 3" xfId="3410" xr:uid="{00000000-0005-0000-0000-00002F000000}"/>
    <cellStyle name="Normal 11 3 2 2 3 2" xfId="7409" xr:uid="{00000000-0005-0000-0000-00002F000000}"/>
    <cellStyle name="Normal 11 3 2 2 4" xfId="5408" xr:uid="{00000000-0005-0000-0000-00002F000000}"/>
    <cellStyle name="Normal 11 3 2 3" xfId="1690" xr:uid="{00000000-0005-0000-0000-000030000000}"/>
    <cellStyle name="Normal 11 3 2 3 2" xfId="3912" xr:uid="{00000000-0005-0000-0000-000031000000}"/>
    <cellStyle name="Normal 11 3 2 3 2 2" xfId="7912" xr:uid="{00000000-0005-0000-0000-000031000000}"/>
    <cellStyle name="Normal 11 3 2 3 3" xfId="5911" xr:uid="{00000000-0005-0000-0000-000031000000}"/>
    <cellStyle name="Normal 11 3 2 4" xfId="2914" xr:uid="{00000000-0005-0000-0000-00002E000000}"/>
    <cellStyle name="Normal 11 3 2 4 2" xfId="6913" xr:uid="{00000000-0005-0000-0000-00002E000000}"/>
    <cellStyle name="Normal 11 3 2 5" xfId="4912" xr:uid="{00000000-0005-0000-0000-00002E000000}"/>
    <cellStyle name="Normal 11 3 3" xfId="936" xr:uid="{00000000-0005-0000-0000-000031000000}"/>
    <cellStyle name="Normal 11 3 3 2" xfId="1938" xr:uid="{00000000-0005-0000-0000-000032000000}"/>
    <cellStyle name="Normal 11 3 3 2 2" xfId="4160" xr:uid="{00000000-0005-0000-0000-000033000000}"/>
    <cellStyle name="Normal 11 3 3 2 2 2" xfId="8160" xr:uid="{00000000-0005-0000-0000-000033000000}"/>
    <cellStyle name="Normal 11 3 3 2 3" xfId="6159" xr:uid="{00000000-0005-0000-0000-000033000000}"/>
    <cellStyle name="Normal 11 3 3 3" xfId="3162" xr:uid="{00000000-0005-0000-0000-000032000000}"/>
    <cellStyle name="Normal 11 3 3 3 2" xfId="7161" xr:uid="{00000000-0005-0000-0000-000032000000}"/>
    <cellStyle name="Normal 11 3 3 4" xfId="5160" xr:uid="{00000000-0005-0000-0000-000032000000}"/>
    <cellStyle name="Normal 11 3 4" xfId="1442" xr:uid="{00000000-0005-0000-0000-000033000000}"/>
    <cellStyle name="Normal 11 3 4 2" xfId="3664" xr:uid="{00000000-0005-0000-0000-000034000000}"/>
    <cellStyle name="Normal 11 3 4 2 2" xfId="7664" xr:uid="{00000000-0005-0000-0000-000034000000}"/>
    <cellStyle name="Normal 11 3 4 3" xfId="5663" xr:uid="{00000000-0005-0000-0000-000034000000}"/>
    <cellStyle name="Normal 11 3 5" xfId="2667" xr:uid="{00000000-0005-0000-0000-00002D000000}"/>
    <cellStyle name="Normal 11 3 5 2" xfId="6665" xr:uid="{00000000-0005-0000-0000-00002D000000}"/>
    <cellStyle name="Normal 11 3 6" xfId="4664" xr:uid="{00000000-0005-0000-0000-00002D000000}"/>
    <cellStyle name="Normal 11 4" xfId="526" xr:uid="{00000000-0005-0000-0000-000034000000}"/>
    <cellStyle name="Normal 11 4 2" xfId="773" xr:uid="{00000000-0005-0000-0000-000035000000}"/>
    <cellStyle name="Normal 11 4 2 2" xfId="1271" xr:uid="{00000000-0005-0000-0000-000036000000}"/>
    <cellStyle name="Normal 11 4 2 2 2" xfId="2273" xr:uid="{00000000-0005-0000-0000-000037000000}"/>
    <cellStyle name="Normal 11 4 2 2 2 2" xfId="4495" xr:uid="{00000000-0005-0000-0000-000038000000}"/>
    <cellStyle name="Normal 11 4 2 2 2 2 2" xfId="8495" xr:uid="{00000000-0005-0000-0000-000038000000}"/>
    <cellStyle name="Normal 11 4 2 2 2 3" xfId="6494" xr:uid="{00000000-0005-0000-0000-000038000000}"/>
    <cellStyle name="Normal 11 4 2 2 3" xfId="3497" xr:uid="{00000000-0005-0000-0000-000037000000}"/>
    <cellStyle name="Normal 11 4 2 2 3 2" xfId="7496" xr:uid="{00000000-0005-0000-0000-000037000000}"/>
    <cellStyle name="Normal 11 4 2 2 4" xfId="5495" xr:uid="{00000000-0005-0000-0000-000037000000}"/>
    <cellStyle name="Normal 11 4 2 3" xfId="1777" xr:uid="{00000000-0005-0000-0000-000038000000}"/>
    <cellStyle name="Normal 11 4 2 3 2" xfId="3999" xr:uid="{00000000-0005-0000-0000-000039000000}"/>
    <cellStyle name="Normal 11 4 2 3 2 2" xfId="7999" xr:uid="{00000000-0005-0000-0000-000039000000}"/>
    <cellStyle name="Normal 11 4 2 3 3" xfId="5998" xr:uid="{00000000-0005-0000-0000-000039000000}"/>
    <cellStyle name="Normal 11 4 2 4" xfId="3001" xr:uid="{00000000-0005-0000-0000-000036000000}"/>
    <cellStyle name="Normal 11 4 2 4 2" xfId="7000" xr:uid="{00000000-0005-0000-0000-000036000000}"/>
    <cellStyle name="Normal 11 4 2 5" xfId="4999" xr:uid="{00000000-0005-0000-0000-000036000000}"/>
    <cellStyle name="Normal 11 4 3" xfId="1023" xr:uid="{00000000-0005-0000-0000-000039000000}"/>
    <cellStyle name="Normal 11 4 3 2" xfId="2025" xr:uid="{00000000-0005-0000-0000-00003A000000}"/>
    <cellStyle name="Normal 11 4 3 2 2" xfId="4247" xr:uid="{00000000-0005-0000-0000-00003B000000}"/>
    <cellStyle name="Normal 11 4 3 2 2 2" xfId="8247" xr:uid="{00000000-0005-0000-0000-00003B000000}"/>
    <cellStyle name="Normal 11 4 3 2 3" xfId="6246" xr:uid="{00000000-0005-0000-0000-00003B000000}"/>
    <cellStyle name="Normal 11 4 3 3" xfId="3249" xr:uid="{00000000-0005-0000-0000-00003A000000}"/>
    <cellStyle name="Normal 11 4 3 3 2" xfId="7248" xr:uid="{00000000-0005-0000-0000-00003A000000}"/>
    <cellStyle name="Normal 11 4 3 4" xfId="5247" xr:uid="{00000000-0005-0000-0000-00003A000000}"/>
    <cellStyle name="Normal 11 4 4" xfId="1529" xr:uid="{00000000-0005-0000-0000-00003B000000}"/>
    <cellStyle name="Normal 11 4 4 2" xfId="3751" xr:uid="{00000000-0005-0000-0000-00003C000000}"/>
    <cellStyle name="Normal 11 4 4 2 2" xfId="7751" xr:uid="{00000000-0005-0000-0000-00003C000000}"/>
    <cellStyle name="Normal 11 4 4 3" xfId="5750" xr:uid="{00000000-0005-0000-0000-00003C000000}"/>
    <cellStyle name="Normal 11 4 5" xfId="2754" xr:uid="{00000000-0005-0000-0000-000035000000}"/>
    <cellStyle name="Normal 11 4 5 2" xfId="6752" xr:uid="{00000000-0005-0000-0000-000035000000}"/>
    <cellStyle name="Normal 11 4 6" xfId="4751" xr:uid="{00000000-0005-0000-0000-000035000000}"/>
    <cellStyle name="Normal 11 5" xfId="572" xr:uid="{00000000-0005-0000-0000-00003C000000}"/>
    <cellStyle name="Normal 11 5 2" xfId="1070" xr:uid="{00000000-0005-0000-0000-00003D000000}"/>
    <cellStyle name="Normal 11 5 2 2" xfId="2072" xr:uid="{00000000-0005-0000-0000-00003E000000}"/>
    <cellStyle name="Normal 11 5 2 2 2" xfId="4294" xr:uid="{00000000-0005-0000-0000-00003F000000}"/>
    <cellStyle name="Normal 11 5 2 2 2 2" xfId="8294" xr:uid="{00000000-0005-0000-0000-00003F000000}"/>
    <cellStyle name="Normal 11 5 2 2 3" xfId="6293" xr:uid="{00000000-0005-0000-0000-00003F000000}"/>
    <cellStyle name="Normal 11 5 2 3" xfId="3296" xr:uid="{00000000-0005-0000-0000-00003E000000}"/>
    <cellStyle name="Normal 11 5 2 3 2" xfId="7295" xr:uid="{00000000-0005-0000-0000-00003E000000}"/>
    <cellStyle name="Normal 11 5 2 4" xfId="5294" xr:uid="{00000000-0005-0000-0000-00003E000000}"/>
    <cellStyle name="Normal 11 5 3" xfId="1576" xr:uid="{00000000-0005-0000-0000-00003F000000}"/>
    <cellStyle name="Normal 11 5 3 2" xfId="3798" xr:uid="{00000000-0005-0000-0000-000040000000}"/>
    <cellStyle name="Normal 11 5 3 2 2" xfId="7798" xr:uid="{00000000-0005-0000-0000-000040000000}"/>
    <cellStyle name="Normal 11 5 3 3" xfId="5797" xr:uid="{00000000-0005-0000-0000-000040000000}"/>
    <cellStyle name="Normal 11 5 4" xfId="2801" xr:uid="{00000000-0005-0000-0000-00003D000000}"/>
    <cellStyle name="Normal 11 5 4 2" xfId="6799" xr:uid="{00000000-0005-0000-0000-00003D000000}"/>
    <cellStyle name="Normal 11 5 5" xfId="4798" xr:uid="{00000000-0005-0000-0000-00003D000000}"/>
    <cellStyle name="Normal 11 6" xfId="822" xr:uid="{00000000-0005-0000-0000-000040000000}"/>
    <cellStyle name="Normal 11 6 2" xfId="1824" xr:uid="{00000000-0005-0000-0000-000041000000}"/>
    <cellStyle name="Normal 11 6 2 2" xfId="4046" xr:uid="{00000000-0005-0000-0000-000042000000}"/>
    <cellStyle name="Normal 11 6 2 2 2" xfId="8046" xr:uid="{00000000-0005-0000-0000-000042000000}"/>
    <cellStyle name="Normal 11 6 2 3" xfId="6045" xr:uid="{00000000-0005-0000-0000-000042000000}"/>
    <cellStyle name="Normal 11 6 3" xfId="3048" xr:uid="{00000000-0005-0000-0000-000041000000}"/>
    <cellStyle name="Normal 11 6 3 2" xfId="7047" xr:uid="{00000000-0005-0000-0000-000041000000}"/>
    <cellStyle name="Normal 11 6 4" xfId="5046" xr:uid="{00000000-0005-0000-0000-000041000000}"/>
    <cellStyle name="Normal 11 7" xfId="1328" xr:uid="{00000000-0005-0000-0000-000042000000}"/>
    <cellStyle name="Normal 11 7 2" xfId="3550" xr:uid="{00000000-0005-0000-0000-000043000000}"/>
    <cellStyle name="Normal 11 7 2 2" xfId="7550" xr:uid="{00000000-0005-0000-0000-000043000000}"/>
    <cellStyle name="Normal 11 7 3" xfId="5549" xr:uid="{00000000-0005-0000-0000-000043000000}"/>
    <cellStyle name="Normal 11 8" xfId="2563" xr:uid="{00000000-0005-0000-0000-000024000000}"/>
    <cellStyle name="Normal 11 8 2" xfId="6551" xr:uid="{00000000-0005-0000-0000-000024000000}"/>
    <cellStyle name="Normal 11 9" xfId="4550" xr:uid="{00000000-0005-0000-0000-000024000000}"/>
    <cellStyle name="Normal 12" xfId="129" xr:uid="{00000000-0005-0000-0000-00001E000000}"/>
    <cellStyle name="Normal 12 2" xfId="229" xr:uid="{00000000-0005-0000-0000-000046000000}"/>
    <cellStyle name="Normal 12 2 2" xfId="1113" xr:uid="{00000000-0005-0000-0000-000045000000}"/>
    <cellStyle name="Normal 12 2 2 2" xfId="2115" xr:uid="{00000000-0005-0000-0000-000046000000}"/>
    <cellStyle name="Normal 12 2 2 2 2" xfId="4337" xr:uid="{00000000-0005-0000-0000-000047000000}"/>
    <cellStyle name="Normal 12 2 2 2 2 2" xfId="8337" xr:uid="{00000000-0005-0000-0000-000047000000}"/>
    <cellStyle name="Normal 12 2 2 2 3" xfId="6336" xr:uid="{00000000-0005-0000-0000-000047000000}"/>
    <cellStyle name="Normal 12 2 2 3" xfId="3339" xr:uid="{00000000-0005-0000-0000-000046000000}"/>
    <cellStyle name="Normal 12 2 2 3 2" xfId="7338" xr:uid="{00000000-0005-0000-0000-000046000000}"/>
    <cellStyle name="Normal 12 2 2 4" xfId="5337" xr:uid="{00000000-0005-0000-0000-000046000000}"/>
    <cellStyle name="Normal 12 2 3" xfId="1619" xr:uid="{00000000-0005-0000-0000-000047000000}"/>
    <cellStyle name="Normal 12 2 3 2" xfId="3841" xr:uid="{00000000-0005-0000-0000-000048000000}"/>
    <cellStyle name="Normal 12 2 3 2 2" xfId="7841" xr:uid="{00000000-0005-0000-0000-000048000000}"/>
    <cellStyle name="Normal 12 2 3 3" xfId="5840" xr:uid="{00000000-0005-0000-0000-000048000000}"/>
    <cellStyle name="Normal 12 2 4" xfId="615" xr:uid="{00000000-0005-0000-0000-000044000000}"/>
    <cellStyle name="Normal 12 2 4 2" xfId="6842" xr:uid="{00000000-0005-0000-0000-000045000000}"/>
    <cellStyle name="Normal 12 2 5" xfId="4841" xr:uid="{00000000-0005-0000-0000-000045000000}"/>
    <cellStyle name="Normal 12 3" xfId="865" xr:uid="{00000000-0005-0000-0000-000048000000}"/>
    <cellStyle name="Normal 12 3 2" xfId="1867" xr:uid="{00000000-0005-0000-0000-000049000000}"/>
    <cellStyle name="Normal 12 3 2 2" xfId="4089" xr:uid="{00000000-0005-0000-0000-00004A000000}"/>
    <cellStyle name="Normal 12 3 2 2 2" xfId="8089" xr:uid="{00000000-0005-0000-0000-00004A000000}"/>
    <cellStyle name="Normal 12 3 2 3" xfId="6088" xr:uid="{00000000-0005-0000-0000-00004A000000}"/>
    <cellStyle name="Normal 12 3 3" xfId="3091" xr:uid="{00000000-0005-0000-0000-000049000000}"/>
    <cellStyle name="Normal 12 3 3 2" xfId="7090" xr:uid="{00000000-0005-0000-0000-000049000000}"/>
    <cellStyle name="Normal 12 3 4" xfId="5089" xr:uid="{00000000-0005-0000-0000-000049000000}"/>
    <cellStyle name="Normal 12 4" xfId="1371" xr:uid="{00000000-0005-0000-0000-00004A000000}"/>
    <cellStyle name="Normal 12 4 2" xfId="3593" xr:uid="{00000000-0005-0000-0000-00004B000000}"/>
    <cellStyle name="Normal 12 4 2 2" xfId="7593" xr:uid="{00000000-0005-0000-0000-00004B000000}"/>
    <cellStyle name="Normal 12 4 3" xfId="5592" xr:uid="{00000000-0005-0000-0000-00004B000000}"/>
    <cellStyle name="Normal 12 5" xfId="2604" xr:uid="{00000000-0005-0000-0000-000044000000}"/>
    <cellStyle name="Normal 12 5 2" xfId="6594" xr:uid="{00000000-0005-0000-0000-000044000000}"/>
    <cellStyle name="Normal 12 6" xfId="4593" xr:uid="{00000000-0005-0000-0000-000044000000}"/>
    <cellStyle name="Normal 13" xfId="130" xr:uid="{00000000-0005-0000-0000-00001F000000}"/>
    <cellStyle name="Normal 13 2" xfId="230" xr:uid="{00000000-0005-0000-0000-000047000000}"/>
    <cellStyle name="Normal 13 2 2" xfId="616" xr:uid="{00000000-0005-0000-0000-00004C000000}"/>
    <cellStyle name="Normal 13 3" xfId="371" xr:uid="{00000000-0005-0000-0000-00004B000000}"/>
    <cellStyle name="Normal 14" xfId="131" xr:uid="{00000000-0005-0000-0000-000020000000}"/>
    <cellStyle name="Normal 14 2" xfId="617" xr:uid="{00000000-0005-0000-0000-00004E000000}"/>
    <cellStyle name="Normal 14 2 2" xfId="1114" xr:uid="{00000000-0005-0000-0000-00004F000000}"/>
    <cellStyle name="Normal 14 2 2 2" xfId="2116" xr:uid="{00000000-0005-0000-0000-000050000000}"/>
    <cellStyle name="Normal 14 2 2 2 2" xfId="4338" xr:uid="{00000000-0005-0000-0000-000051000000}"/>
    <cellStyle name="Normal 14 2 2 2 2 2" xfId="8338" xr:uid="{00000000-0005-0000-0000-000051000000}"/>
    <cellStyle name="Normal 14 2 2 2 3" xfId="6337" xr:uid="{00000000-0005-0000-0000-000051000000}"/>
    <cellStyle name="Normal 14 2 2 3" xfId="3340" xr:uid="{00000000-0005-0000-0000-000050000000}"/>
    <cellStyle name="Normal 14 2 2 3 2" xfId="7339" xr:uid="{00000000-0005-0000-0000-000050000000}"/>
    <cellStyle name="Normal 14 2 2 4" xfId="5338" xr:uid="{00000000-0005-0000-0000-000050000000}"/>
    <cellStyle name="Normal 14 2 3" xfId="1620" xr:uid="{00000000-0005-0000-0000-000051000000}"/>
    <cellStyle name="Normal 14 2 3 2" xfId="3842" xr:uid="{00000000-0005-0000-0000-000052000000}"/>
    <cellStyle name="Normal 14 2 3 2 2" xfId="7842" xr:uid="{00000000-0005-0000-0000-000052000000}"/>
    <cellStyle name="Normal 14 2 3 3" xfId="5841" xr:uid="{00000000-0005-0000-0000-000052000000}"/>
    <cellStyle name="Normal 14 2 4" xfId="2844" xr:uid="{00000000-0005-0000-0000-00004F000000}"/>
    <cellStyle name="Normal 14 2 4 2" xfId="6843" xr:uid="{00000000-0005-0000-0000-00004F000000}"/>
    <cellStyle name="Normal 14 2 5" xfId="4842" xr:uid="{00000000-0005-0000-0000-00004F000000}"/>
    <cellStyle name="Normal 14 3" xfId="866" xr:uid="{00000000-0005-0000-0000-000052000000}"/>
    <cellStyle name="Normal 14 3 2" xfId="1868" xr:uid="{00000000-0005-0000-0000-000053000000}"/>
    <cellStyle name="Normal 14 3 2 2" xfId="4090" xr:uid="{00000000-0005-0000-0000-000054000000}"/>
    <cellStyle name="Normal 14 3 2 2 2" xfId="8090" xr:uid="{00000000-0005-0000-0000-000054000000}"/>
    <cellStyle name="Normal 14 3 2 3" xfId="6089" xr:uid="{00000000-0005-0000-0000-000054000000}"/>
    <cellStyle name="Normal 14 3 3" xfId="3092" xr:uid="{00000000-0005-0000-0000-000053000000}"/>
    <cellStyle name="Normal 14 3 3 2" xfId="7091" xr:uid="{00000000-0005-0000-0000-000053000000}"/>
    <cellStyle name="Normal 14 3 4" xfId="5090" xr:uid="{00000000-0005-0000-0000-000053000000}"/>
    <cellStyle name="Normal 14 4" xfId="1372" xr:uid="{00000000-0005-0000-0000-000054000000}"/>
    <cellStyle name="Normal 14 4 2" xfId="3594" xr:uid="{00000000-0005-0000-0000-000055000000}"/>
    <cellStyle name="Normal 14 4 2 2" xfId="7594" xr:uid="{00000000-0005-0000-0000-000055000000}"/>
    <cellStyle name="Normal 14 4 3" xfId="5593" xr:uid="{00000000-0005-0000-0000-000055000000}"/>
    <cellStyle name="Normal 14 5" xfId="2605" xr:uid="{00000000-0005-0000-0000-00004E000000}"/>
    <cellStyle name="Normal 14 5 2" xfId="6595" xr:uid="{00000000-0005-0000-0000-00004E000000}"/>
    <cellStyle name="Normal 14 6" xfId="4594" xr:uid="{00000000-0005-0000-0000-00004E000000}"/>
    <cellStyle name="Normal 15" xfId="132" xr:uid="{00000000-0005-0000-0000-000021000000}"/>
    <cellStyle name="Normal 15 2" xfId="231" xr:uid="{00000000-0005-0000-0000-000048000000}"/>
    <cellStyle name="Normal 15 2 2" xfId="1247" xr:uid="{00000000-0005-0000-0000-000057000000}"/>
    <cellStyle name="Normal 15 2 2 2" xfId="2249" xr:uid="{00000000-0005-0000-0000-000058000000}"/>
    <cellStyle name="Normal 15 2 2 2 2" xfId="4471" xr:uid="{00000000-0005-0000-0000-000059000000}"/>
    <cellStyle name="Normal 15 2 2 2 2 2" xfId="8471" xr:uid="{00000000-0005-0000-0000-000059000000}"/>
    <cellStyle name="Normal 15 2 2 2 3" xfId="6470" xr:uid="{00000000-0005-0000-0000-000059000000}"/>
    <cellStyle name="Normal 15 2 2 3" xfId="3473" xr:uid="{00000000-0005-0000-0000-000058000000}"/>
    <cellStyle name="Normal 15 2 2 3 2" xfId="7472" xr:uid="{00000000-0005-0000-0000-000058000000}"/>
    <cellStyle name="Normal 15 2 2 4" xfId="5471" xr:uid="{00000000-0005-0000-0000-000058000000}"/>
    <cellStyle name="Normal 15 2 3" xfId="1753" xr:uid="{00000000-0005-0000-0000-000059000000}"/>
    <cellStyle name="Normal 15 2 3 2" xfId="3975" xr:uid="{00000000-0005-0000-0000-00005A000000}"/>
    <cellStyle name="Normal 15 2 3 2 2" xfId="7975" xr:uid="{00000000-0005-0000-0000-00005A000000}"/>
    <cellStyle name="Normal 15 2 3 3" xfId="5974" xr:uid="{00000000-0005-0000-0000-00005A000000}"/>
    <cellStyle name="Normal 15 2 4" xfId="2977" xr:uid="{00000000-0005-0000-0000-000057000000}"/>
    <cellStyle name="Normal 15 2 4 2" xfId="6976" xr:uid="{00000000-0005-0000-0000-000057000000}"/>
    <cellStyle name="Normal 15 2 5" xfId="4975" xr:uid="{00000000-0005-0000-0000-000057000000}"/>
    <cellStyle name="Normal 15 3" xfId="999" xr:uid="{00000000-0005-0000-0000-00005A000000}"/>
    <cellStyle name="Normal 15 3 2" xfId="2001" xr:uid="{00000000-0005-0000-0000-00005B000000}"/>
    <cellStyle name="Normal 15 3 2 2" xfId="4223" xr:uid="{00000000-0005-0000-0000-00005C000000}"/>
    <cellStyle name="Normal 15 3 2 2 2" xfId="8223" xr:uid="{00000000-0005-0000-0000-00005C000000}"/>
    <cellStyle name="Normal 15 3 2 3" xfId="6222" xr:uid="{00000000-0005-0000-0000-00005C000000}"/>
    <cellStyle name="Normal 15 3 3" xfId="3225" xr:uid="{00000000-0005-0000-0000-00005B000000}"/>
    <cellStyle name="Normal 15 3 3 2" xfId="7224" xr:uid="{00000000-0005-0000-0000-00005B000000}"/>
    <cellStyle name="Normal 15 3 4" xfId="5223" xr:uid="{00000000-0005-0000-0000-00005B000000}"/>
    <cellStyle name="Normal 15 4" xfId="1505" xr:uid="{00000000-0005-0000-0000-00005C000000}"/>
    <cellStyle name="Normal 15 4 2" xfId="3727" xr:uid="{00000000-0005-0000-0000-00005D000000}"/>
    <cellStyle name="Normal 15 4 2 2" xfId="7727" xr:uid="{00000000-0005-0000-0000-00005D000000}"/>
    <cellStyle name="Normal 15 4 3" xfId="5726" xr:uid="{00000000-0005-0000-0000-00005D000000}"/>
    <cellStyle name="Normal 15 5" xfId="2730" xr:uid="{00000000-0005-0000-0000-000056000000}"/>
    <cellStyle name="Normal 15 5 2" xfId="6728" xr:uid="{00000000-0005-0000-0000-000056000000}"/>
    <cellStyle name="Normal 15 6" xfId="4727" xr:uid="{00000000-0005-0000-0000-000056000000}"/>
    <cellStyle name="Normal 16" xfId="133" xr:uid="{00000000-0005-0000-0000-000022000000}"/>
    <cellStyle name="Normal 16 2" xfId="1046" xr:uid="{00000000-0005-0000-0000-00005E000000}"/>
    <cellStyle name="Normal 16 2 2" xfId="2048" xr:uid="{00000000-0005-0000-0000-00005F000000}"/>
    <cellStyle name="Normal 16 2 2 2" xfId="4270" xr:uid="{00000000-0005-0000-0000-000060000000}"/>
    <cellStyle name="Normal 16 2 2 2 2" xfId="8270" xr:uid="{00000000-0005-0000-0000-000060000000}"/>
    <cellStyle name="Normal 16 2 2 3" xfId="6269" xr:uid="{00000000-0005-0000-0000-000060000000}"/>
    <cellStyle name="Normal 16 2 3" xfId="3272" xr:uid="{00000000-0005-0000-0000-00005F000000}"/>
    <cellStyle name="Normal 16 2 3 2" xfId="7271" xr:uid="{00000000-0005-0000-0000-00005F000000}"/>
    <cellStyle name="Normal 16 2 4" xfId="5270" xr:uid="{00000000-0005-0000-0000-00005F000000}"/>
    <cellStyle name="Normal 16 3" xfId="1552" xr:uid="{00000000-0005-0000-0000-000060000000}"/>
    <cellStyle name="Normal 16 3 2" xfId="3774" xr:uid="{00000000-0005-0000-0000-000061000000}"/>
    <cellStyle name="Normal 16 3 2 2" xfId="7774" xr:uid="{00000000-0005-0000-0000-000061000000}"/>
    <cellStyle name="Normal 16 3 3" xfId="5773" xr:uid="{00000000-0005-0000-0000-000061000000}"/>
    <cellStyle name="Normal 16 4" xfId="2777" xr:uid="{00000000-0005-0000-0000-00005E000000}"/>
    <cellStyle name="Normal 16 4 2" xfId="6775" xr:uid="{00000000-0005-0000-0000-00005E000000}"/>
    <cellStyle name="Normal 16 5" xfId="4774" xr:uid="{00000000-0005-0000-0000-00005E000000}"/>
    <cellStyle name="Normal 17" xfId="134" xr:uid="{00000000-0005-0000-0000-000023000000}"/>
    <cellStyle name="Normal 17 2" xfId="796" xr:uid="{00000000-0005-0000-0000-000061000000}"/>
    <cellStyle name="Normal 18" xfId="135" xr:uid="{00000000-0005-0000-0000-000024000000}"/>
    <cellStyle name="Normal 18 2" xfId="797" xr:uid="{00000000-0005-0000-0000-000062000000}"/>
    <cellStyle name="Normal 19" xfId="136" xr:uid="{00000000-0005-0000-0000-000025000000}"/>
    <cellStyle name="Normal 19 2" xfId="1294" xr:uid="{00000000-0005-0000-0000-000064000000}"/>
    <cellStyle name="Normal 19 2 2" xfId="2296" xr:uid="{00000000-0005-0000-0000-000065000000}"/>
    <cellStyle name="Normal 19 2 2 2" xfId="4518" xr:uid="{00000000-0005-0000-0000-000066000000}"/>
    <cellStyle name="Normal 19 2 2 2 2" xfId="8518" xr:uid="{00000000-0005-0000-0000-000066000000}"/>
    <cellStyle name="Normal 19 2 2 3" xfId="6517" xr:uid="{00000000-0005-0000-0000-000066000000}"/>
    <cellStyle name="Normal 19 2 3" xfId="3520" xr:uid="{00000000-0005-0000-0000-000065000000}"/>
    <cellStyle name="Normal 19 2 3 2" xfId="7519" xr:uid="{00000000-0005-0000-0000-000065000000}"/>
    <cellStyle name="Normal 19 2 4" xfId="5518" xr:uid="{00000000-0005-0000-0000-000065000000}"/>
    <cellStyle name="Normal 19 3" xfId="1800" xr:uid="{00000000-0005-0000-0000-000066000000}"/>
    <cellStyle name="Normal 19 3 2" xfId="4022" xr:uid="{00000000-0005-0000-0000-000067000000}"/>
    <cellStyle name="Normal 19 3 2 2" xfId="8022" xr:uid="{00000000-0005-0000-0000-000067000000}"/>
    <cellStyle name="Normal 19 3 3" xfId="6021" xr:uid="{00000000-0005-0000-0000-000067000000}"/>
    <cellStyle name="Normal 19 4" xfId="3024" xr:uid="{00000000-0005-0000-0000-000064000000}"/>
    <cellStyle name="Normal 19 4 2" xfId="7023" xr:uid="{00000000-0005-0000-0000-000064000000}"/>
    <cellStyle name="Normal 19 5" xfId="5022" xr:uid="{00000000-0005-0000-0000-000064000000}"/>
    <cellStyle name="Normal 2" xfId="4" xr:uid="{00000000-0005-0000-0000-000026000000}"/>
    <cellStyle name="Normal 2 10" xfId="232" xr:uid="{00000000-0005-0000-0000-00004A000000}"/>
    <cellStyle name="Normal 2 10 2" xfId="233" xr:uid="{00000000-0005-0000-0000-00004B000000}"/>
    <cellStyle name="Normal 2 10 3" xfId="234" xr:uid="{00000000-0005-0000-0000-00004C000000}"/>
    <cellStyle name="Normal 2 11" xfId="235" xr:uid="{00000000-0005-0000-0000-00004D000000}"/>
    <cellStyle name="Normal 2 12" xfId="236" xr:uid="{00000000-0005-0000-0000-00004E000000}"/>
    <cellStyle name="Normal 2 13" xfId="237" xr:uid="{00000000-0005-0000-0000-00004F000000}"/>
    <cellStyle name="Normal 2 14" xfId="238" xr:uid="{00000000-0005-0000-0000-000050000000}"/>
    <cellStyle name="Normal 2 15" xfId="239" xr:uid="{00000000-0005-0000-0000-000051000000}"/>
    <cellStyle name="Normal 2 16" xfId="240" xr:uid="{00000000-0005-0000-0000-000052000000}"/>
    <cellStyle name="Normal 2 2" xfId="25" xr:uid="{00000000-0005-0000-0000-000027000000}"/>
    <cellStyle name="Normal 2 2 2" xfId="120" xr:uid="{00000000-0005-0000-0000-000028000000}"/>
    <cellStyle name="Normal 2 2 3" xfId="241" xr:uid="{00000000-0005-0000-0000-000053000000}"/>
    <cellStyle name="Normal 2 2 4" xfId="314" xr:uid="{00000000-0005-0000-0000-000068000000}"/>
    <cellStyle name="Normal 2 2 5" xfId="2321" xr:uid="{00000000-0005-0000-0000-000018000000}"/>
    <cellStyle name="Normal 2 3" xfId="26" xr:uid="{00000000-0005-0000-0000-000029000000}"/>
    <cellStyle name="Normal 2 3 2" xfId="1299" xr:uid="{00000000-0005-0000-0000-000069000000}"/>
    <cellStyle name="Normal 2 3 2 2" xfId="2330" xr:uid="{00000000-0005-0000-0000-00001A000000}"/>
    <cellStyle name="Normal 2 3 2 2 2" xfId="7521" xr:uid="{00000000-0005-0000-0000-00006A000000}"/>
    <cellStyle name="Normal 2 3 3" xfId="5520" xr:uid="{00000000-0005-0000-0000-00006A000000}"/>
    <cellStyle name="Normal 2 4" xfId="119" xr:uid="{00000000-0005-0000-0000-00002A000000}"/>
    <cellStyle name="Normal 2 4 2" xfId="242" xr:uid="{00000000-0005-0000-0000-000055000000}"/>
    <cellStyle name="Normal 2 4 2 2" xfId="6521" xr:uid="{00000000-0005-0000-0000-000068000000}"/>
    <cellStyle name="Normal 2 4 3" xfId="2326" xr:uid="{00000000-0005-0000-0000-00001B000000}"/>
    <cellStyle name="Normal 2 4 4" xfId="2537" xr:uid="{00000000-0005-0000-0000-000068000000}"/>
    <cellStyle name="Normal 2 5" xfId="243" xr:uid="{00000000-0005-0000-0000-000056000000}"/>
    <cellStyle name="Normal 2 5 2" xfId="244" xr:uid="{00000000-0005-0000-0000-000057000000}"/>
    <cellStyle name="Normal 2 5 2 2" xfId="245" xr:uid="{00000000-0005-0000-0000-000058000000}"/>
    <cellStyle name="Normal 2 6" xfId="246" xr:uid="{00000000-0005-0000-0000-000059000000}"/>
    <cellStyle name="Normal 2 7" xfId="247" xr:uid="{00000000-0005-0000-0000-00005A000000}"/>
    <cellStyle name="Normal 2 8" xfId="248" xr:uid="{00000000-0005-0000-0000-00005B000000}"/>
    <cellStyle name="Normal 2 9" xfId="249" xr:uid="{00000000-0005-0000-0000-00005C000000}"/>
    <cellStyle name="Normal 2 9 2" xfId="250" xr:uid="{00000000-0005-0000-0000-00005D000000}"/>
    <cellStyle name="Normal 2_2008 11 13 Archivo Maestro" xfId="251" xr:uid="{00000000-0005-0000-0000-00005E000000}"/>
    <cellStyle name="Normal 20" xfId="137" xr:uid="{00000000-0005-0000-0000-00002B000000}"/>
    <cellStyle name="Normal 20 2" xfId="1295" xr:uid="{00000000-0005-0000-0000-00006B000000}"/>
    <cellStyle name="Normal 20 3" xfId="798" xr:uid="{00000000-0005-0000-0000-00006A000000}"/>
    <cellStyle name="Normal 21" xfId="138" xr:uid="{00000000-0005-0000-0000-00002C000000}"/>
    <cellStyle name="Normal 21 2" xfId="1296" xr:uid="{00000000-0005-0000-0000-00006C000000}"/>
    <cellStyle name="Normal 22" xfId="117" xr:uid="{00000000-0005-0000-0000-00002D000000}"/>
    <cellStyle name="Normal 22 2" xfId="2297" xr:uid="{00000000-0005-0000-0000-00006E000000}"/>
    <cellStyle name="Normal 22 3" xfId="1297" xr:uid="{00000000-0005-0000-0000-00006D000000}"/>
    <cellStyle name="Normal 23" xfId="139" xr:uid="{00000000-0005-0000-0000-00002E000000}"/>
    <cellStyle name="Normal 24" xfId="140" xr:uid="{00000000-0005-0000-0000-00002F000000}"/>
    <cellStyle name="Normal 25" xfId="141" xr:uid="{00000000-0005-0000-0000-000030000000}"/>
    <cellStyle name="Normal 26" xfId="142" xr:uid="{00000000-0005-0000-0000-000031000000}"/>
    <cellStyle name="Normal 27" xfId="145" xr:uid="{00000000-0005-0000-0000-000032000000}"/>
    <cellStyle name="Normal 28" xfId="146" xr:uid="{00000000-0005-0000-0000-000033000000}"/>
    <cellStyle name="Normal 29" xfId="154" xr:uid="{00000000-0005-0000-0000-0000C9000000}"/>
    <cellStyle name="Normal 3" xfId="27" xr:uid="{00000000-0005-0000-0000-000034000000}"/>
    <cellStyle name="Normal 3 10" xfId="483" xr:uid="{00000000-0005-0000-0000-000070000000}"/>
    <cellStyle name="Normal 3 10 2" xfId="730" xr:uid="{00000000-0005-0000-0000-000071000000}"/>
    <cellStyle name="Normal 3 10 2 2" xfId="1227" xr:uid="{00000000-0005-0000-0000-000072000000}"/>
    <cellStyle name="Normal 3 10 2 2 2" xfId="2229" xr:uid="{00000000-0005-0000-0000-000073000000}"/>
    <cellStyle name="Normal 3 10 2 2 2 2" xfId="4451" xr:uid="{00000000-0005-0000-0000-000074000000}"/>
    <cellStyle name="Normal 3 10 2 2 2 2 2" xfId="8451" xr:uid="{00000000-0005-0000-0000-000074000000}"/>
    <cellStyle name="Normal 3 10 2 2 2 3" xfId="6450" xr:uid="{00000000-0005-0000-0000-000074000000}"/>
    <cellStyle name="Normal 3 10 2 2 3" xfId="3453" xr:uid="{00000000-0005-0000-0000-000073000000}"/>
    <cellStyle name="Normal 3 10 2 2 3 2" xfId="7452" xr:uid="{00000000-0005-0000-0000-000073000000}"/>
    <cellStyle name="Normal 3 10 2 2 4" xfId="5451" xr:uid="{00000000-0005-0000-0000-000073000000}"/>
    <cellStyle name="Normal 3 10 2 3" xfId="1733" xr:uid="{00000000-0005-0000-0000-000074000000}"/>
    <cellStyle name="Normal 3 10 2 3 2" xfId="3955" xr:uid="{00000000-0005-0000-0000-000075000000}"/>
    <cellStyle name="Normal 3 10 2 3 2 2" xfId="7955" xr:uid="{00000000-0005-0000-0000-000075000000}"/>
    <cellStyle name="Normal 3 10 2 3 3" xfId="5954" xr:uid="{00000000-0005-0000-0000-000075000000}"/>
    <cellStyle name="Normal 3 10 2 4" xfId="2957" xr:uid="{00000000-0005-0000-0000-000072000000}"/>
    <cellStyle name="Normal 3 10 2 4 2" xfId="6956" xr:uid="{00000000-0005-0000-0000-000072000000}"/>
    <cellStyle name="Normal 3 10 2 5" xfId="4955" xr:uid="{00000000-0005-0000-0000-000072000000}"/>
    <cellStyle name="Normal 3 10 3" xfId="979" xr:uid="{00000000-0005-0000-0000-000075000000}"/>
    <cellStyle name="Normal 3 10 3 2" xfId="1981" xr:uid="{00000000-0005-0000-0000-000076000000}"/>
    <cellStyle name="Normal 3 10 3 2 2" xfId="4203" xr:uid="{00000000-0005-0000-0000-000077000000}"/>
    <cellStyle name="Normal 3 10 3 2 2 2" xfId="8203" xr:uid="{00000000-0005-0000-0000-000077000000}"/>
    <cellStyle name="Normal 3 10 3 2 3" xfId="6202" xr:uid="{00000000-0005-0000-0000-000077000000}"/>
    <cellStyle name="Normal 3 10 3 3" xfId="3205" xr:uid="{00000000-0005-0000-0000-000076000000}"/>
    <cellStyle name="Normal 3 10 3 3 2" xfId="7204" xr:uid="{00000000-0005-0000-0000-000076000000}"/>
    <cellStyle name="Normal 3 10 3 4" xfId="5203" xr:uid="{00000000-0005-0000-0000-000076000000}"/>
    <cellStyle name="Normal 3 10 4" xfId="1485" xr:uid="{00000000-0005-0000-0000-000077000000}"/>
    <cellStyle name="Normal 3 10 4 2" xfId="3707" xr:uid="{00000000-0005-0000-0000-000078000000}"/>
    <cellStyle name="Normal 3 10 4 2 2" xfId="7707" xr:uid="{00000000-0005-0000-0000-000078000000}"/>
    <cellStyle name="Normal 3 10 4 3" xfId="5706" xr:uid="{00000000-0005-0000-0000-000078000000}"/>
    <cellStyle name="Normal 3 10 5" xfId="2710" xr:uid="{00000000-0005-0000-0000-000071000000}"/>
    <cellStyle name="Normal 3 10 5 2" xfId="6708" xr:uid="{00000000-0005-0000-0000-000071000000}"/>
    <cellStyle name="Normal 3 10 6" xfId="4707" xr:uid="{00000000-0005-0000-0000-000071000000}"/>
    <cellStyle name="Normal 3 11" xfId="503" xr:uid="{00000000-0005-0000-0000-000078000000}"/>
    <cellStyle name="Normal 3 11 2" xfId="750" xr:uid="{00000000-0005-0000-0000-000079000000}"/>
    <cellStyle name="Normal 3 11 2 2" xfId="1248" xr:uid="{00000000-0005-0000-0000-00007A000000}"/>
    <cellStyle name="Normal 3 11 2 2 2" xfId="2250" xr:uid="{00000000-0005-0000-0000-00007B000000}"/>
    <cellStyle name="Normal 3 11 2 2 2 2" xfId="4472" xr:uid="{00000000-0005-0000-0000-00007C000000}"/>
    <cellStyle name="Normal 3 11 2 2 2 2 2" xfId="8472" xr:uid="{00000000-0005-0000-0000-00007C000000}"/>
    <cellStyle name="Normal 3 11 2 2 2 3" xfId="6471" xr:uid="{00000000-0005-0000-0000-00007C000000}"/>
    <cellStyle name="Normal 3 11 2 2 3" xfId="3474" xr:uid="{00000000-0005-0000-0000-00007B000000}"/>
    <cellStyle name="Normal 3 11 2 2 3 2" xfId="7473" xr:uid="{00000000-0005-0000-0000-00007B000000}"/>
    <cellStyle name="Normal 3 11 2 2 4" xfId="5472" xr:uid="{00000000-0005-0000-0000-00007B000000}"/>
    <cellStyle name="Normal 3 11 2 3" xfId="1754" xr:uid="{00000000-0005-0000-0000-00007C000000}"/>
    <cellStyle name="Normal 3 11 2 3 2" xfId="3976" xr:uid="{00000000-0005-0000-0000-00007D000000}"/>
    <cellStyle name="Normal 3 11 2 3 2 2" xfId="7976" xr:uid="{00000000-0005-0000-0000-00007D000000}"/>
    <cellStyle name="Normal 3 11 2 3 3" xfId="5975" xr:uid="{00000000-0005-0000-0000-00007D000000}"/>
    <cellStyle name="Normal 3 11 2 4" xfId="2978" xr:uid="{00000000-0005-0000-0000-00007A000000}"/>
    <cellStyle name="Normal 3 11 2 4 2" xfId="6977" xr:uid="{00000000-0005-0000-0000-00007A000000}"/>
    <cellStyle name="Normal 3 11 2 5" xfId="4976" xr:uid="{00000000-0005-0000-0000-00007A000000}"/>
    <cellStyle name="Normal 3 11 3" xfId="1000" xr:uid="{00000000-0005-0000-0000-00007D000000}"/>
    <cellStyle name="Normal 3 11 3 2" xfId="2002" xr:uid="{00000000-0005-0000-0000-00007E000000}"/>
    <cellStyle name="Normal 3 11 3 2 2" xfId="4224" xr:uid="{00000000-0005-0000-0000-00007F000000}"/>
    <cellStyle name="Normal 3 11 3 2 2 2" xfId="8224" xr:uid="{00000000-0005-0000-0000-00007F000000}"/>
    <cellStyle name="Normal 3 11 3 2 3" xfId="6223" xr:uid="{00000000-0005-0000-0000-00007F000000}"/>
    <cellStyle name="Normal 3 11 3 3" xfId="3226" xr:uid="{00000000-0005-0000-0000-00007E000000}"/>
    <cellStyle name="Normal 3 11 3 3 2" xfId="7225" xr:uid="{00000000-0005-0000-0000-00007E000000}"/>
    <cellStyle name="Normal 3 11 3 4" xfId="5224" xr:uid="{00000000-0005-0000-0000-00007E000000}"/>
    <cellStyle name="Normal 3 11 4" xfId="1506" xr:uid="{00000000-0005-0000-0000-00007F000000}"/>
    <cellStyle name="Normal 3 11 4 2" xfId="3728" xr:uid="{00000000-0005-0000-0000-000080000000}"/>
    <cellStyle name="Normal 3 11 4 2 2" xfId="7728" xr:uid="{00000000-0005-0000-0000-000080000000}"/>
    <cellStyle name="Normal 3 11 4 3" xfId="5727" xr:uid="{00000000-0005-0000-0000-000080000000}"/>
    <cellStyle name="Normal 3 11 5" xfId="2731" xr:uid="{00000000-0005-0000-0000-000079000000}"/>
    <cellStyle name="Normal 3 11 5 2" xfId="6729" xr:uid="{00000000-0005-0000-0000-000079000000}"/>
    <cellStyle name="Normal 3 11 6" xfId="4728" xr:uid="{00000000-0005-0000-0000-000079000000}"/>
    <cellStyle name="Normal 3 12" xfId="549" xr:uid="{00000000-0005-0000-0000-000080000000}"/>
    <cellStyle name="Normal 3 12 2" xfId="1047" xr:uid="{00000000-0005-0000-0000-000081000000}"/>
    <cellStyle name="Normal 3 12 2 2" xfId="2049" xr:uid="{00000000-0005-0000-0000-000082000000}"/>
    <cellStyle name="Normal 3 12 2 2 2" xfId="4271" xr:uid="{00000000-0005-0000-0000-000083000000}"/>
    <cellStyle name="Normal 3 12 2 2 2 2" xfId="8271" xr:uid="{00000000-0005-0000-0000-000083000000}"/>
    <cellStyle name="Normal 3 12 2 2 3" xfId="6270" xr:uid="{00000000-0005-0000-0000-000083000000}"/>
    <cellStyle name="Normal 3 12 2 3" xfId="3273" xr:uid="{00000000-0005-0000-0000-000082000000}"/>
    <cellStyle name="Normal 3 12 2 3 2" xfId="7272" xr:uid="{00000000-0005-0000-0000-000082000000}"/>
    <cellStyle name="Normal 3 12 2 4" xfId="5271" xr:uid="{00000000-0005-0000-0000-000082000000}"/>
    <cellStyle name="Normal 3 12 3" xfId="1553" xr:uid="{00000000-0005-0000-0000-000083000000}"/>
    <cellStyle name="Normal 3 12 3 2" xfId="3775" xr:uid="{00000000-0005-0000-0000-000084000000}"/>
    <cellStyle name="Normal 3 12 3 2 2" xfId="7775" xr:uid="{00000000-0005-0000-0000-000084000000}"/>
    <cellStyle name="Normal 3 12 3 3" xfId="5774" xr:uid="{00000000-0005-0000-0000-000084000000}"/>
    <cellStyle name="Normal 3 12 4" xfId="2778" xr:uid="{00000000-0005-0000-0000-000081000000}"/>
    <cellStyle name="Normal 3 12 4 2" xfId="6776" xr:uid="{00000000-0005-0000-0000-000081000000}"/>
    <cellStyle name="Normal 3 12 5" xfId="4775" xr:uid="{00000000-0005-0000-0000-000081000000}"/>
    <cellStyle name="Normal 3 13" xfId="315" xr:uid="{00000000-0005-0000-0000-000084000000}"/>
    <cellStyle name="Normal 3 13 2" xfId="1305" xr:uid="{00000000-0005-0000-0000-000085000000}"/>
    <cellStyle name="Normal 3 13 2 2" xfId="3527" xr:uid="{00000000-0005-0000-0000-000086000000}"/>
    <cellStyle name="Normal 3 13 2 2 2" xfId="7527" xr:uid="{00000000-0005-0000-0000-000086000000}"/>
    <cellStyle name="Normal 3 13 2 3" xfId="5526" xr:uid="{00000000-0005-0000-0000-000086000000}"/>
    <cellStyle name="Normal 3 13 3" xfId="2544" xr:uid="{00000000-0005-0000-0000-000085000000}"/>
    <cellStyle name="Normal 3 13 3 2" xfId="6528" xr:uid="{00000000-0005-0000-0000-000085000000}"/>
    <cellStyle name="Normal 3 13 4" xfId="4527" xr:uid="{00000000-0005-0000-0000-000085000000}"/>
    <cellStyle name="Normal 3 14" xfId="799" xr:uid="{00000000-0005-0000-0000-000086000000}"/>
    <cellStyle name="Normal 3 14 2" xfId="1801" xr:uid="{00000000-0005-0000-0000-000087000000}"/>
    <cellStyle name="Normal 3 14 2 2" xfId="4023" xr:uid="{00000000-0005-0000-0000-000088000000}"/>
    <cellStyle name="Normal 3 14 2 2 2" xfId="8023" xr:uid="{00000000-0005-0000-0000-000088000000}"/>
    <cellStyle name="Normal 3 14 2 3" xfId="6022" xr:uid="{00000000-0005-0000-0000-000088000000}"/>
    <cellStyle name="Normal 3 14 3" xfId="3025" xr:uid="{00000000-0005-0000-0000-000087000000}"/>
    <cellStyle name="Normal 3 14 3 2" xfId="7024" xr:uid="{00000000-0005-0000-0000-000087000000}"/>
    <cellStyle name="Normal 3 14 4" xfId="5023" xr:uid="{00000000-0005-0000-0000-000087000000}"/>
    <cellStyle name="Normal 3 15" xfId="1300" xr:uid="{00000000-0005-0000-0000-000088000000}"/>
    <cellStyle name="Normal 3 15 2" xfId="3522" xr:uid="{00000000-0005-0000-0000-000089000000}"/>
    <cellStyle name="Normal 3 15 2 2" xfId="7522" xr:uid="{00000000-0005-0000-0000-000089000000}"/>
    <cellStyle name="Normal 3 15 3" xfId="5521" xr:uid="{00000000-0005-0000-0000-000089000000}"/>
    <cellStyle name="Normal 3 16" xfId="2538" xr:uid="{00000000-0005-0000-0000-000070000000}"/>
    <cellStyle name="Normal 3 16 2" xfId="6522" xr:uid="{00000000-0005-0000-0000-000070000000}"/>
    <cellStyle name="Normal 3 17" xfId="4522" xr:uid="{00000000-0005-0000-0000-000070000000}"/>
    <cellStyle name="Normal 3 2" xfId="118" xr:uid="{00000000-0005-0000-0000-000035000000}"/>
    <cellStyle name="Normal 3 2 10" xfId="504" xr:uid="{00000000-0005-0000-0000-00008A000000}"/>
    <cellStyle name="Normal 3 2 10 2" xfId="751" xr:uid="{00000000-0005-0000-0000-00008B000000}"/>
    <cellStyle name="Normal 3 2 10 2 2" xfId="1249" xr:uid="{00000000-0005-0000-0000-00008C000000}"/>
    <cellStyle name="Normal 3 2 10 2 2 2" xfId="2251" xr:uid="{00000000-0005-0000-0000-00008D000000}"/>
    <cellStyle name="Normal 3 2 10 2 2 2 2" xfId="4473" xr:uid="{00000000-0005-0000-0000-00008E000000}"/>
    <cellStyle name="Normal 3 2 10 2 2 2 2 2" xfId="8473" xr:uid="{00000000-0005-0000-0000-00008E000000}"/>
    <cellStyle name="Normal 3 2 10 2 2 2 3" xfId="6472" xr:uid="{00000000-0005-0000-0000-00008E000000}"/>
    <cellStyle name="Normal 3 2 10 2 2 3" xfId="3475" xr:uid="{00000000-0005-0000-0000-00008D000000}"/>
    <cellStyle name="Normal 3 2 10 2 2 3 2" xfId="7474" xr:uid="{00000000-0005-0000-0000-00008D000000}"/>
    <cellStyle name="Normal 3 2 10 2 2 4" xfId="5473" xr:uid="{00000000-0005-0000-0000-00008D000000}"/>
    <cellStyle name="Normal 3 2 10 2 3" xfId="1755" xr:uid="{00000000-0005-0000-0000-00008E000000}"/>
    <cellStyle name="Normal 3 2 10 2 3 2" xfId="3977" xr:uid="{00000000-0005-0000-0000-00008F000000}"/>
    <cellStyle name="Normal 3 2 10 2 3 2 2" xfId="7977" xr:uid="{00000000-0005-0000-0000-00008F000000}"/>
    <cellStyle name="Normal 3 2 10 2 3 3" xfId="5976" xr:uid="{00000000-0005-0000-0000-00008F000000}"/>
    <cellStyle name="Normal 3 2 10 2 4" xfId="2979" xr:uid="{00000000-0005-0000-0000-00008C000000}"/>
    <cellStyle name="Normal 3 2 10 2 4 2" xfId="6978" xr:uid="{00000000-0005-0000-0000-00008C000000}"/>
    <cellStyle name="Normal 3 2 10 2 5" xfId="4977" xr:uid="{00000000-0005-0000-0000-00008C000000}"/>
    <cellStyle name="Normal 3 2 10 3" xfId="1001" xr:uid="{00000000-0005-0000-0000-00008F000000}"/>
    <cellStyle name="Normal 3 2 10 3 2" xfId="2003" xr:uid="{00000000-0005-0000-0000-000090000000}"/>
    <cellStyle name="Normal 3 2 10 3 2 2" xfId="4225" xr:uid="{00000000-0005-0000-0000-000091000000}"/>
    <cellStyle name="Normal 3 2 10 3 2 2 2" xfId="8225" xr:uid="{00000000-0005-0000-0000-000091000000}"/>
    <cellStyle name="Normal 3 2 10 3 2 3" xfId="6224" xr:uid="{00000000-0005-0000-0000-000091000000}"/>
    <cellStyle name="Normal 3 2 10 3 3" xfId="3227" xr:uid="{00000000-0005-0000-0000-000090000000}"/>
    <cellStyle name="Normal 3 2 10 3 3 2" xfId="7226" xr:uid="{00000000-0005-0000-0000-000090000000}"/>
    <cellStyle name="Normal 3 2 10 3 4" xfId="5225" xr:uid="{00000000-0005-0000-0000-000090000000}"/>
    <cellStyle name="Normal 3 2 10 4" xfId="1507" xr:uid="{00000000-0005-0000-0000-000091000000}"/>
    <cellStyle name="Normal 3 2 10 4 2" xfId="3729" xr:uid="{00000000-0005-0000-0000-000092000000}"/>
    <cellStyle name="Normal 3 2 10 4 2 2" xfId="7729" xr:uid="{00000000-0005-0000-0000-000092000000}"/>
    <cellStyle name="Normal 3 2 10 4 3" xfId="5728" xr:uid="{00000000-0005-0000-0000-000092000000}"/>
    <cellStyle name="Normal 3 2 10 5" xfId="2732" xr:uid="{00000000-0005-0000-0000-00008B000000}"/>
    <cellStyle name="Normal 3 2 10 5 2" xfId="6730" xr:uid="{00000000-0005-0000-0000-00008B000000}"/>
    <cellStyle name="Normal 3 2 10 6" xfId="4729" xr:uid="{00000000-0005-0000-0000-00008B000000}"/>
    <cellStyle name="Normal 3 2 11" xfId="550" xr:uid="{00000000-0005-0000-0000-000092000000}"/>
    <cellStyle name="Normal 3 2 11 2" xfId="1048" xr:uid="{00000000-0005-0000-0000-000093000000}"/>
    <cellStyle name="Normal 3 2 11 2 2" xfId="2050" xr:uid="{00000000-0005-0000-0000-000094000000}"/>
    <cellStyle name="Normal 3 2 11 2 2 2" xfId="4272" xr:uid="{00000000-0005-0000-0000-000095000000}"/>
    <cellStyle name="Normal 3 2 11 2 2 2 2" xfId="8272" xr:uid="{00000000-0005-0000-0000-000095000000}"/>
    <cellStyle name="Normal 3 2 11 2 2 3" xfId="6271" xr:uid="{00000000-0005-0000-0000-000095000000}"/>
    <cellStyle name="Normal 3 2 11 2 3" xfId="3274" xr:uid="{00000000-0005-0000-0000-000094000000}"/>
    <cellStyle name="Normal 3 2 11 2 3 2" xfId="7273" xr:uid="{00000000-0005-0000-0000-000094000000}"/>
    <cellStyle name="Normal 3 2 11 2 4" xfId="5272" xr:uid="{00000000-0005-0000-0000-000094000000}"/>
    <cellStyle name="Normal 3 2 11 3" xfId="1554" xr:uid="{00000000-0005-0000-0000-000095000000}"/>
    <cellStyle name="Normal 3 2 11 3 2" xfId="3776" xr:uid="{00000000-0005-0000-0000-000096000000}"/>
    <cellStyle name="Normal 3 2 11 3 2 2" xfId="7776" xr:uid="{00000000-0005-0000-0000-000096000000}"/>
    <cellStyle name="Normal 3 2 11 3 3" xfId="5775" xr:uid="{00000000-0005-0000-0000-000096000000}"/>
    <cellStyle name="Normal 3 2 11 4" xfId="2779" xr:uid="{00000000-0005-0000-0000-000093000000}"/>
    <cellStyle name="Normal 3 2 11 4 2" xfId="6777" xr:uid="{00000000-0005-0000-0000-000093000000}"/>
    <cellStyle name="Normal 3 2 11 5" xfId="4776" xr:uid="{00000000-0005-0000-0000-000093000000}"/>
    <cellStyle name="Normal 3 2 12" xfId="800" xr:uid="{00000000-0005-0000-0000-000096000000}"/>
    <cellStyle name="Normal 3 2 12 2" xfId="1802" xr:uid="{00000000-0005-0000-0000-000097000000}"/>
    <cellStyle name="Normal 3 2 12 2 2" xfId="4024" xr:uid="{00000000-0005-0000-0000-000098000000}"/>
    <cellStyle name="Normal 3 2 12 2 2 2" xfId="8024" xr:uid="{00000000-0005-0000-0000-000098000000}"/>
    <cellStyle name="Normal 3 2 12 2 3" xfId="6023" xr:uid="{00000000-0005-0000-0000-000098000000}"/>
    <cellStyle name="Normal 3 2 12 3" xfId="3026" xr:uid="{00000000-0005-0000-0000-000097000000}"/>
    <cellStyle name="Normal 3 2 12 3 2" xfId="7025" xr:uid="{00000000-0005-0000-0000-000097000000}"/>
    <cellStyle name="Normal 3 2 12 4" xfId="5024" xr:uid="{00000000-0005-0000-0000-000097000000}"/>
    <cellStyle name="Normal 3 2 13" xfId="1306" xr:uid="{00000000-0005-0000-0000-000098000000}"/>
    <cellStyle name="Normal 3 2 13 2" xfId="3528" xr:uid="{00000000-0005-0000-0000-000099000000}"/>
    <cellStyle name="Normal 3 2 13 2 2" xfId="7528" xr:uid="{00000000-0005-0000-0000-000099000000}"/>
    <cellStyle name="Normal 3 2 13 3" xfId="5527" xr:uid="{00000000-0005-0000-0000-000099000000}"/>
    <cellStyle name="Normal 3 2 14" xfId="316" xr:uid="{00000000-0005-0000-0000-000089000000}"/>
    <cellStyle name="Normal 3 2 14 2" xfId="6529" xr:uid="{00000000-0005-0000-0000-00008A000000}"/>
    <cellStyle name="Normal 3 2 15" xfId="4528" xr:uid="{00000000-0005-0000-0000-00008A000000}"/>
    <cellStyle name="Normal 3 2 2" xfId="253" xr:uid="{00000000-0005-0000-0000-000060000000}"/>
    <cellStyle name="Normal 3 2 2 10" xfId="552" xr:uid="{00000000-0005-0000-0000-00009A000000}"/>
    <cellStyle name="Normal 3 2 2 10 2" xfId="1050" xr:uid="{00000000-0005-0000-0000-00009B000000}"/>
    <cellStyle name="Normal 3 2 2 10 2 2" xfId="2052" xr:uid="{00000000-0005-0000-0000-00009C000000}"/>
    <cellStyle name="Normal 3 2 2 10 2 2 2" xfId="4274" xr:uid="{00000000-0005-0000-0000-00009D000000}"/>
    <cellStyle name="Normal 3 2 2 10 2 2 2 2" xfId="8274" xr:uid="{00000000-0005-0000-0000-00009D000000}"/>
    <cellStyle name="Normal 3 2 2 10 2 2 3" xfId="6273" xr:uid="{00000000-0005-0000-0000-00009D000000}"/>
    <cellStyle name="Normal 3 2 2 10 2 3" xfId="3276" xr:uid="{00000000-0005-0000-0000-00009C000000}"/>
    <cellStyle name="Normal 3 2 2 10 2 3 2" xfId="7275" xr:uid="{00000000-0005-0000-0000-00009C000000}"/>
    <cellStyle name="Normal 3 2 2 10 2 4" xfId="5274" xr:uid="{00000000-0005-0000-0000-00009C000000}"/>
    <cellStyle name="Normal 3 2 2 10 3" xfId="1556" xr:uid="{00000000-0005-0000-0000-00009D000000}"/>
    <cellStyle name="Normal 3 2 2 10 3 2" xfId="3778" xr:uid="{00000000-0005-0000-0000-00009E000000}"/>
    <cellStyle name="Normal 3 2 2 10 3 2 2" xfId="7778" xr:uid="{00000000-0005-0000-0000-00009E000000}"/>
    <cellStyle name="Normal 3 2 2 10 3 3" xfId="5777" xr:uid="{00000000-0005-0000-0000-00009E000000}"/>
    <cellStyle name="Normal 3 2 2 10 4" xfId="2781" xr:uid="{00000000-0005-0000-0000-00009B000000}"/>
    <cellStyle name="Normal 3 2 2 10 4 2" xfId="6779" xr:uid="{00000000-0005-0000-0000-00009B000000}"/>
    <cellStyle name="Normal 3 2 2 10 5" xfId="4778" xr:uid="{00000000-0005-0000-0000-00009B000000}"/>
    <cellStyle name="Normal 3 2 2 11" xfId="802" xr:uid="{00000000-0005-0000-0000-00009E000000}"/>
    <cellStyle name="Normal 3 2 2 11 2" xfId="1804" xr:uid="{00000000-0005-0000-0000-00009F000000}"/>
    <cellStyle name="Normal 3 2 2 11 2 2" xfId="4026" xr:uid="{00000000-0005-0000-0000-0000A0000000}"/>
    <cellStyle name="Normal 3 2 2 11 2 2 2" xfId="8026" xr:uid="{00000000-0005-0000-0000-0000A0000000}"/>
    <cellStyle name="Normal 3 2 2 11 2 3" xfId="6025" xr:uid="{00000000-0005-0000-0000-0000A0000000}"/>
    <cellStyle name="Normal 3 2 2 11 3" xfId="3028" xr:uid="{00000000-0005-0000-0000-00009F000000}"/>
    <cellStyle name="Normal 3 2 2 11 3 2" xfId="7027" xr:uid="{00000000-0005-0000-0000-00009F000000}"/>
    <cellStyle name="Normal 3 2 2 11 4" xfId="5026" xr:uid="{00000000-0005-0000-0000-00009F000000}"/>
    <cellStyle name="Normal 3 2 2 12" xfId="1308" xr:uid="{00000000-0005-0000-0000-0000A0000000}"/>
    <cellStyle name="Normal 3 2 2 12 2" xfId="3530" xr:uid="{00000000-0005-0000-0000-0000A1000000}"/>
    <cellStyle name="Normal 3 2 2 12 2 2" xfId="7530" xr:uid="{00000000-0005-0000-0000-0000A1000000}"/>
    <cellStyle name="Normal 3 2 2 12 3" xfId="5529" xr:uid="{00000000-0005-0000-0000-0000A1000000}"/>
    <cellStyle name="Normal 3 2 2 13" xfId="318" xr:uid="{00000000-0005-0000-0000-000099000000}"/>
    <cellStyle name="Normal 3 2 2 13 2" xfId="6531" xr:uid="{00000000-0005-0000-0000-00009A000000}"/>
    <cellStyle name="Normal 3 2 2 14" xfId="4530" xr:uid="{00000000-0005-0000-0000-00009A000000}"/>
    <cellStyle name="Normal 3 2 2 2" xfId="321" xr:uid="{00000000-0005-0000-0000-0000A1000000}"/>
    <cellStyle name="Normal 3 2 2 2 10" xfId="806" xr:uid="{00000000-0005-0000-0000-0000A2000000}"/>
    <cellStyle name="Normal 3 2 2 2 10 2" xfId="1808" xr:uid="{00000000-0005-0000-0000-0000A3000000}"/>
    <cellStyle name="Normal 3 2 2 2 10 2 2" xfId="4030" xr:uid="{00000000-0005-0000-0000-0000A4000000}"/>
    <cellStyle name="Normal 3 2 2 2 10 2 2 2" xfId="8030" xr:uid="{00000000-0005-0000-0000-0000A4000000}"/>
    <cellStyle name="Normal 3 2 2 2 10 2 3" xfId="6029" xr:uid="{00000000-0005-0000-0000-0000A4000000}"/>
    <cellStyle name="Normal 3 2 2 2 10 3" xfId="3032" xr:uid="{00000000-0005-0000-0000-0000A3000000}"/>
    <cellStyle name="Normal 3 2 2 2 10 3 2" xfId="7031" xr:uid="{00000000-0005-0000-0000-0000A3000000}"/>
    <cellStyle name="Normal 3 2 2 2 10 4" xfId="5030" xr:uid="{00000000-0005-0000-0000-0000A3000000}"/>
    <cellStyle name="Normal 3 2 2 2 11" xfId="1312" xr:uid="{00000000-0005-0000-0000-0000A4000000}"/>
    <cellStyle name="Normal 3 2 2 2 11 2" xfId="3534" xr:uid="{00000000-0005-0000-0000-0000A5000000}"/>
    <cellStyle name="Normal 3 2 2 2 11 2 2" xfId="7534" xr:uid="{00000000-0005-0000-0000-0000A5000000}"/>
    <cellStyle name="Normal 3 2 2 2 11 3" xfId="5533" xr:uid="{00000000-0005-0000-0000-0000A5000000}"/>
    <cellStyle name="Normal 3 2 2 2 12" xfId="2548" xr:uid="{00000000-0005-0000-0000-0000A2000000}"/>
    <cellStyle name="Normal 3 2 2 2 12 2" xfId="6535" xr:uid="{00000000-0005-0000-0000-0000A2000000}"/>
    <cellStyle name="Normal 3 2 2 2 13" xfId="4534" xr:uid="{00000000-0005-0000-0000-0000A2000000}"/>
    <cellStyle name="Normal 3 2 2 2 2" xfId="332" xr:uid="{00000000-0005-0000-0000-0000A5000000}"/>
    <cellStyle name="Normal 3 2 2 2 2 10" xfId="1322" xr:uid="{00000000-0005-0000-0000-0000A6000000}"/>
    <cellStyle name="Normal 3 2 2 2 2 10 2" xfId="3544" xr:uid="{00000000-0005-0000-0000-0000A7000000}"/>
    <cellStyle name="Normal 3 2 2 2 2 10 2 2" xfId="7544" xr:uid="{00000000-0005-0000-0000-0000A7000000}"/>
    <cellStyle name="Normal 3 2 2 2 2 10 3" xfId="5543" xr:uid="{00000000-0005-0000-0000-0000A7000000}"/>
    <cellStyle name="Normal 3 2 2 2 2 11" xfId="2557" xr:uid="{00000000-0005-0000-0000-0000A6000000}"/>
    <cellStyle name="Normal 3 2 2 2 2 11 2" xfId="6545" xr:uid="{00000000-0005-0000-0000-0000A6000000}"/>
    <cellStyle name="Normal 3 2 2 2 2 12" xfId="4544" xr:uid="{00000000-0005-0000-0000-0000A6000000}"/>
    <cellStyle name="Normal 3 2 2 2 2 2" xfId="350" xr:uid="{00000000-0005-0000-0000-0000A7000000}"/>
    <cellStyle name="Normal 3 2 2 2 2 2 2" xfId="412" xr:uid="{00000000-0005-0000-0000-0000A8000000}"/>
    <cellStyle name="Normal 3 2 2 2 2 2 2 2" xfId="659" xr:uid="{00000000-0005-0000-0000-0000A9000000}"/>
    <cellStyle name="Normal 3 2 2 2 2 2 2 2 2" xfId="1156" xr:uid="{00000000-0005-0000-0000-0000AA000000}"/>
    <cellStyle name="Normal 3 2 2 2 2 2 2 2 2 2" xfId="2158" xr:uid="{00000000-0005-0000-0000-0000AB000000}"/>
    <cellStyle name="Normal 3 2 2 2 2 2 2 2 2 2 2" xfId="4380" xr:uid="{00000000-0005-0000-0000-0000AC000000}"/>
    <cellStyle name="Normal 3 2 2 2 2 2 2 2 2 2 2 2" xfId="8380" xr:uid="{00000000-0005-0000-0000-0000AC000000}"/>
    <cellStyle name="Normal 3 2 2 2 2 2 2 2 2 2 3" xfId="6379" xr:uid="{00000000-0005-0000-0000-0000AC000000}"/>
    <cellStyle name="Normal 3 2 2 2 2 2 2 2 2 3" xfId="3382" xr:uid="{00000000-0005-0000-0000-0000AB000000}"/>
    <cellStyle name="Normal 3 2 2 2 2 2 2 2 2 3 2" xfId="7381" xr:uid="{00000000-0005-0000-0000-0000AB000000}"/>
    <cellStyle name="Normal 3 2 2 2 2 2 2 2 2 4" xfId="5380" xr:uid="{00000000-0005-0000-0000-0000AB000000}"/>
    <cellStyle name="Normal 3 2 2 2 2 2 2 2 3" xfId="1662" xr:uid="{00000000-0005-0000-0000-0000AC000000}"/>
    <cellStyle name="Normal 3 2 2 2 2 2 2 2 3 2" xfId="3884" xr:uid="{00000000-0005-0000-0000-0000AD000000}"/>
    <cellStyle name="Normal 3 2 2 2 2 2 2 2 3 2 2" xfId="7884" xr:uid="{00000000-0005-0000-0000-0000AD000000}"/>
    <cellStyle name="Normal 3 2 2 2 2 2 2 2 3 3" xfId="5883" xr:uid="{00000000-0005-0000-0000-0000AD000000}"/>
    <cellStyle name="Normal 3 2 2 2 2 2 2 2 4" xfId="2886" xr:uid="{00000000-0005-0000-0000-0000AA000000}"/>
    <cellStyle name="Normal 3 2 2 2 2 2 2 2 4 2" xfId="6885" xr:uid="{00000000-0005-0000-0000-0000AA000000}"/>
    <cellStyle name="Normal 3 2 2 2 2 2 2 2 5" xfId="4884" xr:uid="{00000000-0005-0000-0000-0000AA000000}"/>
    <cellStyle name="Normal 3 2 2 2 2 2 2 3" xfId="908" xr:uid="{00000000-0005-0000-0000-0000AD000000}"/>
    <cellStyle name="Normal 3 2 2 2 2 2 2 3 2" xfId="1910" xr:uid="{00000000-0005-0000-0000-0000AE000000}"/>
    <cellStyle name="Normal 3 2 2 2 2 2 2 3 2 2" xfId="4132" xr:uid="{00000000-0005-0000-0000-0000AF000000}"/>
    <cellStyle name="Normal 3 2 2 2 2 2 2 3 2 2 2" xfId="8132" xr:uid="{00000000-0005-0000-0000-0000AF000000}"/>
    <cellStyle name="Normal 3 2 2 2 2 2 2 3 2 3" xfId="6131" xr:uid="{00000000-0005-0000-0000-0000AF000000}"/>
    <cellStyle name="Normal 3 2 2 2 2 2 2 3 3" xfId="3134" xr:uid="{00000000-0005-0000-0000-0000AE000000}"/>
    <cellStyle name="Normal 3 2 2 2 2 2 2 3 3 2" xfId="7133" xr:uid="{00000000-0005-0000-0000-0000AE000000}"/>
    <cellStyle name="Normal 3 2 2 2 2 2 2 3 4" xfId="5132" xr:uid="{00000000-0005-0000-0000-0000AE000000}"/>
    <cellStyle name="Normal 3 2 2 2 2 2 2 4" xfId="1414" xr:uid="{00000000-0005-0000-0000-0000AF000000}"/>
    <cellStyle name="Normal 3 2 2 2 2 2 2 4 2" xfId="3636" xr:uid="{00000000-0005-0000-0000-0000B0000000}"/>
    <cellStyle name="Normal 3 2 2 2 2 2 2 4 2 2" xfId="7636" xr:uid="{00000000-0005-0000-0000-0000B0000000}"/>
    <cellStyle name="Normal 3 2 2 2 2 2 2 4 3" xfId="5635" xr:uid="{00000000-0005-0000-0000-0000B0000000}"/>
    <cellStyle name="Normal 3 2 2 2 2 2 2 5" xfId="2643" xr:uid="{00000000-0005-0000-0000-0000A9000000}"/>
    <cellStyle name="Normal 3 2 2 2 2 2 2 5 2" xfId="6637" xr:uid="{00000000-0005-0000-0000-0000A9000000}"/>
    <cellStyle name="Normal 3 2 2 2 2 2 2 6" xfId="4636" xr:uid="{00000000-0005-0000-0000-0000A9000000}"/>
    <cellStyle name="Normal 3 2 2 2 2 2 3" xfId="458" xr:uid="{00000000-0005-0000-0000-0000B0000000}"/>
    <cellStyle name="Normal 3 2 2 2 2 2 3 2" xfId="705" xr:uid="{00000000-0005-0000-0000-0000B1000000}"/>
    <cellStyle name="Normal 3 2 2 2 2 2 3 2 2" xfId="1202" xr:uid="{00000000-0005-0000-0000-0000B2000000}"/>
    <cellStyle name="Normal 3 2 2 2 2 2 3 2 2 2" xfId="2204" xr:uid="{00000000-0005-0000-0000-0000B3000000}"/>
    <cellStyle name="Normal 3 2 2 2 2 2 3 2 2 2 2" xfId="4426" xr:uid="{00000000-0005-0000-0000-0000B4000000}"/>
    <cellStyle name="Normal 3 2 2 2 2 2 3 2 2 2 2 2" xfId="8426" xr:uid="{00000000-0005-0000-0000-0000B4000000}"/>
    <cellStyle name="Normal 3 2 2 2 2 2 3 2 2 2 3" xfId="6425" xr:uid="{00000000-0005-0000-0000-0000B4000000}"/>
    <cellStyle name="Normal 3 2 2 2 2 2 3 2 2 3" xfId="3428" xr:uid="{00000000-0005-0000-0000-0000B3000000}"/>
    <cellStyle name="Normal 3 2 2 2 2 2 3 2 2 3 2" xfId="7427" xr:uid="{00000000-0005-0000-0000-0000B3000000}"/>
    <cellStyle name="Normal 3 2 2 2 2 2 3 2 2 4" xfId="5426" xr:uid="{00000000-0005-0000-0000-0000B3000000}"/>
    <cellStyle name="Normal 3 2 2 2 2 2 3 2 3" xfId="1708" xr:uid="{00000000-0005-0000-0000-0000B4000000}"/>
    <cellStyle name="Normal 3 2 2 2 2 2 3 2 3 2" xfId="3930" xr:uid="{00000000-0005-0000-0000-0000B5000000}"/>
    <cellStyle name="Normal 3 2 2 2 2 2 3 2 3 2 2" xfId="7930" xr:uid="{00000000-0005-0000-0000-0000B5000000}"/>
    <cellStyle name="Normal 3 2 2 2 2 2 3 2 3 3" xfId="5929" xr:uid="{00000000-0005-0000-0000-0000B5000000}"/>
    <cellStyle name="Normal 3 2 2 2 2 2 3 2 4" xfId="2932" xr:uid="{00000000-0005-0000-0000-0000B2000000}"/>
    <cellStyle name="Normal 3 2 2 2 2 2 3 2 4 2" xfId="6931" xr:uid="{00000000-0005-0000-0000-0000B2000000}"/>
    <cellStyle name="Normal 3 2 2 2 2 2 3 2 5" xfId="4930" xr:uid="{00000000-0005-0000-0000-0000B2000000}"/>
    <cellStyle name="Normal 3 2 2 2 2 2 3 3" xfId="954" xr:uid="{00000000-0005-0000-0000-0000B5000000}"/>
    <cellStyle name="Normal 3 2 2 2 2 2 3 3 2" xfId="1956" xr:uid="{00000000-0005-0000-0000-0000B6000000}"/>
    <cellStyle name="Normal 3 2 2 2 2 2 3 3 2 2" xfId="4178" xr:uid="{00000000-0005-0000-0000-0000B7000000}"/>
    <cellStyle name="Normal 3 2 2 2 2 2 3 3 2 2 2" xfId="8178" xr:uid="{00000000-0005-0000-0000-0000B7000000}"/>
    <cellStyle name="Normal 3 2 2 2 2 2 3 3 2 3" xfId="6177" xr:uid="{00000000-0005-0000-0000-0000B7000000}"/>
    <cellStyle name="Normal 3 2 2 2 2 2 3 3 3" xfId="3180" xr:uid="{00000000-0005-0000-0000-0000B6000000}"/>
    <cellStyle name="Normal 3 2 2 2 2 2 3 3 3 2" xfId="7179" xr:uid="{00000000-0005-0000-0000-0000B6000000}"/>
    <cellStyle name="Normal 3 2 2 2 2 2 3 3 4" xfId="5178" xr:uid="{00000000-0005-0000-0000-0000B6000000}"/>
    <cellStyle name="Normal 3 2 2 2 2 2 3 4" xfId="1460" xr:uid="{00000000-0005-0000-0000-0000B7000000}"/>
    <cellStyle name="Normal 3 2 2 2 2 2 3 4 2" xfId="3682" xr:uid="{00000000-0005-0000-0000-0000B8000000}"/>
    <cellStyle name="Normal 3 2 2 2 2 2 3 4 2 2" xfId="7682" xr:uid="{00000000-0005-0000-0000-0000B8000000}"/>
    <cellStyle name="Normal 3 2 2 2 2 2 3 4 3" xfId="5681" xr:uid="{00000000-0005-0000-0000-0000B8000000}"/>
    <cellStyle name="Normal 3 2 2 2 2 2 3 5" xfId="2685" xr:uid="{00000000-0005-0000-0000-0000B1000000}"/>
    <cellStyle name="Normal 3 2 2 2 2 2 3 5 2" xfId="6683" xr:uid="{00000000-0005-0000-0000-0000B1000000}"/>
    <cellStyle name="Normal 3 2 2 2 2 2 3 6" xfId="4682" xr:uid="{00000000-0005-0000-0000-0000B1000000}"/>
    <cellStyle name="Normal 3 2 2 2 2 2 4" xfId="544" xr:uid="{00000000-0005-0000-0000-0000B8000000}"/>
    <cellStyle name="Normal 3 2 2 2 2 2 4 2" xfId="791" xr:uid="{00000000-0005-0000-0000-0000B9000000}"/>
    <cellStyle name="Normal 3 2 2 2 2 2 4 2 2" xfId="1289" xr:uid="{00000000-0005-0000-0000-0000BA000000}"/>
    <cellStyle name="Normal 3 2 2 2 2 2 4 2 2 2" xfId="2291" xr:uid="{00000000-0005-0000-0000-0000BB000000}"/>
    <cellStyle name="Normal 3 2 2 2 2 2 4 2 2 2 2" xfId="4513" xr:uid="{00000000-0005-0000-0000-0000BC000000}"/>
    <cellStyle name="Normal 3 2 2 2 2 2 4 2 2 2 2 2" xfId="8513" xr:uid="{00000000-0005-0000-0000-0000BC000000}"/>
    <cellStyle name="Normal 3 2 2 2 2 2 4 2 2 2 3" xfId="6512" xr:uid="{00000000-0005-0000-0000-0000BC000000}"/>
    <cellStyle name="Normal 3 2 2 2 2 2 4 2 2 3" xfId="3515" xr:uid="{00000000-0005-0000-0000-0000BB000000}"/>
    <cellStyle name="Normal 3 2 2 2 2 2 4 2 2 3 2" xfId="7514" xr:uid="{00000000-0005-0000-0000-0000BB000000}"/>
    <cellStyle name="Normal 3 2 2 2 2 2 4 2 2 4" xfId="5513" xr:uid="{00000000-0005-0000-0000-0000BB000000}"/>
    <cellStyle name="Normal 3 2 2 2 2 2 4 2 3" xfId="1795" xr:uid="{00000000-0005-0000-0000-0000BC000000}"/>
    <cellStyle name="Normal 3 2 2 2 2 2 4 2 3 2" xfId="4017" xr:uid="{00000000-0005-0000-0000-0000BD000000}"/>
    <cellStyle name="Normal 3 2 2 2 2 2 4 2 3 2 2" xfId="8017" xr:uid="{00000000-0005-0000-0000-0000BD000000}"/>
    <cellStyle name="Normal 3 2 2 2 2 2 4 2 3 3" xfId="6016" xr:uid="{00000000-0005-0000-0000-0000BD000000}"/>
    <cellStyle name="Normal 3 2 2 2 2 2 4 2 4" xfId="3019" xr:uid="{00000000-0005-0000-0000-0000BA000000}"/>
    <cellStyle name="Normal 3 2 2 2 2 2 4 2 4 2" xfId="7018" xr:uid="{00000000-0005-0000-0000-0000BA000000}"/>
    <cellStyle name="Normal 3 2 2 2 2 2 4 2 5" xfId="5017" xr:uid="{00000000-0005-0000-0000-0000BA000000}"/>
    <cellStyle name="Normal 3 2 2 2 2 2 4 3" xfId="1041" xr:uid="{00000000-0005-0000-0000-0000BD000000}"/>
    <cellStyle name="Normal 3 2 2 2 2 2 4 3 2" xfId="2043" xr:uid="{00000000-0005-0000-0000-0000BE000000}"/>
    <cellStyle name="Normal 3 2 2 2 2 2 4 3 2 2" xfId="4265" xr:uid="{00000000-0005-0000-0000-0000BF000000}"/>
    <cellStyle name="Normal 3 2 2 2 2 2 4 3 2 2 2" xfId="8265" xr:uid="{00000000-0005-0000-0000-0000BF000000}"/>
    <cellStyle name="Normal 3 2 2 2 2 2 4 3 2 3" xfId="6264" xr:uid="{00000000-0005-0000-0000-0000BF000000}"/>
    <cellStyle name="Normal 3 2 2 2 2 2 4 3 3" xfId="3267" xr:uid="{00000000-0005-0000-0000-0000BE000000}"/>
    <cellStyle name="Normal 3 2 2 2 2 2 4 3 3 2" xfId="7266" xr:uid="{00000000-0005-0000-0000-0000BE000000}"/>
    <cellStyle name="Normal 3 2 2 2 2 2 4 3 4" xfId="5265" xr:uid="{00000000-0005-0000-0000-0000BE000000}"/>
    <cellStyle name="Normal 3 2 2 2 2 2 4 4" xfId="1547" xr:uid="{00000000-0005-0000-0000-0000BF000000}"/>
    <cellStyle name="Normal 3 2 2 2 2 2 4 4 2" xfId="3769" xr:uid="{00000000-0005-0000-0000-0000C0000000}"/>
    <cellStyle name="Normal 3 2 2 2 2 2 4 4 2 2" xfId="7769" xr:uid="{00000000-0005-0000-0000-0000C0000000}"/>
    <cellStyle name="Normal 3 2 2 2 2 2 4 4 3" xfId="5768" xr:uid="{00000000-0005-0000-0000-0000C0000000}"/>
    <cellStyle name="Normal 3 2 2 2 2 2 4 5" xfId="2772" xr:uid="{00000000-0005-0000-0000-0000B9000000}"/>
    <cellStyle name="Normal 3 2 2 2 2 2 4 5 2" xfId="6770" xr:uid="{00000000-0005-0000-0000-0000B9000000}"/>
    <cellStyle name="Normal 3 2 2 2 2 2 4 6" xfId="4769" xr:uid="{00000000-0005-0000-0000-0000B9000000}"/>
    <cellStyle name="Normal 3 2 2 2 2 2 5" xfId="590" xr:uid="{00000000-0005-0000-0000-0000C0000000}"/>
    <cellStyle name="Normal 3 2 2 2 2 2 5 2" xfId="1088" xr:uid="{00000000-0005-0000-0000-0000C1000000}"/>
    <cellStyle name="Normal 3 2 2 2 2 2 5 2 2" xfId="2090" xr:uid="{00000000-0005-0000-0000-0000C2000000}"/>
    <cellStyle name="Normal 3 2 2 2 2 2 5 2 2 2" xfId="4312" xr:uid="{00000000-0005-0000-0000-0000C3000000}"/>
    <cellStyle name="Normal 3 2 2 2 2 2 5 2 2 2 2" xfId="8312" xr:uid="{00000000-0005-0000-0000-0000C3000000}"/>
    <cellStyle name="Normal 3 2 2 2 2 2 5 2 2 3" xfId="6311" xr:uid="{00000000-0005-0000-0000-0000C3000000}"/>
    <cellStyle name="Normal 3 2 2 2 2 2 5 2 3" xfId="3314" xr:uid="{00000000-0005-0000-0000-0000C2000000}"/>
    <cellStyle name="Normal 3 2 2 2 2 2 5 2 3 2" xfId="7313" xr:uid="{00000000-0005-0000-0000-0000C2000000}"/>
    <cellStyle name="Normal 3 2 2 2 2 2 5 2 4" xfId="5312" xr:uid="{00000000-0005-0000-0000-0000C2000000}"/>
    <cellStyle name="Normal 3 2 2 2 2 2 5 3" xfId="1594" xr:uid="{00000000-0005-0000-0000-0000C3000000}"/>
    <cellStyle name="Normal 3 2 2 2 2 2 5 3 2" xfId="3816" xr:uid="{00000000-0005-0000-0000-0000C4000000}"/>
    <cellStyle name="Normal 3 2 2 2 2 2 5 3 2 2" xfId="7816" xr:uid="{00000000-0005-0000-0000-0000C4000000}"/>
    <cellStyle name="Normal 3 2 2 2 2 2 5 3 3" xfId="5815" xr:uid="{00000000-0005-0000-0000-0000C4000000}"/>
    <cellStyle name="Normal 3 2 2 2 2 2 5 4" xfId="2819" xr:uid="{00000000-0005-0000-0000-0000C1000000}"/>
    <cellStyle name="Normal 3 2 2 2 2 2 5 4 2" xfId="6817" xr:uid="{00000000-0005-0000-0000-0000C1000000}"/>
    <cellStyle name="Normal 3 2 2 2 2 2 5 5" xfId="4816" xr:uid="{00000000-0005-0000-0000-0000C1000000}"/>
    <cellStyle name="Normal 3 2 2 2 2 2 6" xfId="840" xr:uid="{00000000-0005-0000-0000-0000C4000000}"/>
    <cellStyle name="Normal 3 2 2 2 2 2 6 2" xfId="1842" xr:uid="{00000000-0005-0000-0000-0000C5000000}"/>
    <cellStyle name="Normal 3 2 2 2 2 2 6 2 2" xfId="4064" xr:uid="{00000000-0005-0000-0000-0000C6000000}"/>
    <cellStyle name="Normal 3 2 2 2 2 2 6 2 2 2" xfId="8064" xr:uid="{00000000-0005-0000-0000-0000C6000000}"/>
    <cellStyle name="Normal 3 2 2 2 2 2 6 2 3" xfId="6063" xr:uid="{00000000-0005-0000-0000-0000C6000000}"/>
    <cellStyle name="Normal 3 2 2 2 2 2 6 3" xfId="3066" xr:uid="{00000000-0005-0000-0000-0000C5000000}"/>
    <cellStyle name="Normal 3 2 2 2 2 2 6 3 2" xfId="7065" xr:uid="{00000000-0005-0000-0000-0000C5000000}"/>
    <cellStyle name="Normal 3 2 2 2 2 2 6 4" xfId="5064" xr:uid="{00000000-0005-0000-0000-0000C5000000}"/>
    <cellStyle name="Normal 3 2 2 2 2 2 7" xfId="1346" xr:uid="{00000000-0005-0000-0000-0000C6000000}"/>
    <cellStyle name="Normal 3 2 2 2 2 2 7 2" xfId="3568" xr:uid="{00000000-0005-0000-0000-0000C7000000}"/>
    <cellStyle name="Normal 3 2 2 2 2 2 7 2 2" xfId="7568" xr:uid="{00000000-0005-0000-0000-0000C7000000}"/>
    <cellStyle name="Normal 3 2 2 2 2 2 7 3" xfId="5567" xr:uid="{00000000-0005-0000-0000-0000C7000000}"/>
    <cellStyle name="Normal 3 2 2 2 2 2 8" xfId="2580" xr:uid="{00000000-0005-0000-0000-0000A8000000}"/>
    <cellStyle name="Normal 3 2 2 2 2 2 8 2" xfId="6569" xr:uid="{00000000-0005-0000-0000-0000A8000000}"/>
    <cellStyle name="Normal 3 2 2 2 2 2 9" xfId="4568" xr:uid="{00000000-0005-0000-0000-0000A8000000}"/>
    <cellStyle name="Normal 3 2 2 2 2 3" xfId="368" xr:uid="{00000000-0005-0000-0000-0000C7000000}"/>
    <cellStyle name="Normal 3 2 2 2 2 3 2" xfId="480" xr:uid="{00000000-0005-0000-0000-0000C8000000}"/>
    <cellStyle name="Normal 3 2 2 2 2 3 2 2" xfId="727" xr:uid="{00000000-0005-0000-0000-0000C9000000}"/>
    <cellStyle name="Normal 3 2 2 2 2 3 2 2 2" xfId="1224" xr:uid="{00000000-0005-0000-0000-0000CA000000}"/>
    <cellStyle name="Normal 3 2 2 2 2 3 2 2 2 2" xfId="2226" xr:uid="{00000000-0005-0000-0000-0000CB000000}"/>
    <cellStyle name="Normal 3 2 2 2 2 3 2 2 2 2 2" xfId="4448" xr:uid="{00000000-0005-0000-0000-0000CC000000}"/>
    <cellStyle name="Normal 3 2 2 2 2 3 2 2 2 2 2 2" xfId="8448" xr:uid="{00000000-0005-0000-0000-0000CC000000}"/>
    <cellStyle name="Normal 3 2 2 2 2 3 2 2 2 2 3" xfId="6447" xr:uid="{00000000-0005-0000-0000-0000CC000000}"/>
    <cellStyle name="Normal 3 2 2 2 2 3 2 2 2 3" xfId="3450" xr:uid="{00000000-0005-0000-0000-0000CB000000}"/>
    <cellStyle name="Normal 3 2 2 2 2 3 2 2 2 3 2" xfId="7449" xr:uid="{00000000-0005-0000-0000-0000CB000000}"/>
    <cellStyle name="Normal 3 2 2 2 2 3 2 2 2 4" xfId="5448" xr:uid="{00000000-0005-0000-0000-0000CB000000}"/>
    <cellStyle name="Normal 3 2 2 2 2 3 2 2 3" xfId="1730" xr:uid="{00000000-0005-0000-0000-0000CC000000}"/>
    <cellStyle name="Normal 3 2 2 2 2 3 2 2 3 2" xfId="3952" xr:uid="{00000000-0005-0000-0000-0000CD000000}"/>
    <cellStyle name="Normal 3 2 2 2 2 3 2 2 3 2 2" xfId="7952" xr:uid="{00000000-0005-0000-0000-0000CD000000}"/>
    <cellStyle name="Normal 3 2 2 2 2 3 2 2 3 3" xfId="5951" xr:uid="{00000000-0005-0000-0000-0000CD000000}"/>
    <cellStyle name="Normal 3 2 2 2 2 3 2 2 4" xfId="2954" xr:uid="{00000000-0005-0000-0000-0000CA000000}"/>
    <cellStyle name="Normal 3 2 2 2 2 3 2 2 4 2" xfId="6953" xr:uid="{00000000-0005-0000-0000-0000CA000000}"/>
    <cellStyle name="Normal 3 2 2 2 2 3 2 2 5" xfId="4952" xr:uid="{00000000-0005-0000-0000-0000CA000000}"/>
    <cellStyle name="Normal 3 2 2 2 2 3 2 3" xfId="976" xr:uid="{00000000-0005-0000-0000-0000CD000000}"/>
    <cellStyle name="Normal 3 2 2 2 2 3 2 3 2" xfId="1978" xr:uid="{00000000-0005-0000-0000-0000CE000000}"/>
    <cellStyle name="Normal 3 2 2 2 2 3 2 3 2 2" xfId="4200" xr:uid="{00000000-0005-0000-0000-0000CF000000}"/>
    <cellStyle name="Normal 3 2 2 2 2 3 2 3 2 2 2" xfId="8200" xr:uid="{00000000-0005-0000-0000-0000CF000000}"/>
    <cellStyle name="Normal 3 2 2 2 2 3 2 3 2 3" xfId="6199" xr:uid="{00000000-0005-0000-0000-0000CF000000}"/>
    <cellStyle name="Normal 3 2 2 2 2 3 2 3 3" xfId="3202" xr:uid="{00000000-0005-0000-0000-0000CE000000}"/>
    <cellStyle name="Normal 3 2 2 2 2 3 2 3 3 2" xfId="7201" xr:uid="{00000000-0005-0000-0000-0000CE000000}"/>
    <cellStyle name="Normal 3 2 2 2 2 3 2 3 4" xfId="5200" xr:uid="{00000000-0005-0000-0000-0000CE000000}"/>
    <cellStyle name="Normal 3 2 2 2 2 3 2 4" xfId="1482" xr:uid="{00000000-0005-0000-0000-0000CF000000}"/>
    <cellStyle name="Normal 3 2 2 2 2 3 2 4 2" xfId="3704" xr:uid="{00000000-0005-0000-0000-0000D0000000}"/>
    <cellStyle name="Normal 3 2 2 2 2 3 2 4 2 2" xfId="7704" xr:uid="{00000000-0005-0000-0000-0000D0000000}"/>
    <cellStyle name="Normal 3 2 2 2 2 3 2 4 3" xfId="5703" xr:uid="{00000000-0005-0000-0000-0000D0000000}"/>
    <cellStyle name="Normal 3 2 2 2 2 3 2 5" xfId="2707" xr:uid="{00000000-0005-0000-0000-0000C9000000}"/>
    <cellStyle name="Normal 3 2 2 2 2 3 2 5 2" xfId="6705" xr:uid="{00000000-0005-0000-0000-0000C9000000}"/>
    <cellStyle name="Normal 3 2 2 2 2 3 2 6" xfId="4704" xr:uid="{00000000-0005-0000-0000-0000C9000000}"/>
    <cellStyle name="Normal 3 2 2 2 2 3 3" xfId="612" xr:uid="{00000000-0005-0000-0000-0000D0000000}"/>
    <cellStyle name="Normal 3 2 2 2 2 3 3 2" xfId="1110" xr:uid="{00000000-0005-0000-0000-0000D1000000}"/>
    <cellStyle name="Normal 3 2 2 2 2 3 3 2 2" xfId="2112" xr:uid="{00000000-0005-0000-0000-0000D2000000}"/>
    <cellStyle name="Normal 3 2 2 2 2 3 3 2 2 2" xfId="4334" xr:uid="{00000000-0005-0000-0000-0000D3000000}"/>
    <cellStyle name="Normal 3 2 2 2 2 3 3 2 2 2 2" xfId="8334" xr:uid="{00000000-0005-0000-0000-0000D3000000}"/>
    <cellStyle name="Normal 3 2 2 2 2 3 3 2 2 3" xfId="6333" xr:uid="{00000000-0005-0000-0000-0000D3000000}"/>
    <cellStyle name="Normal 3 2 2 2 2 3 3 2 3" xfId="3336" xr:uid="{00000000-0005-0000-0000-0000D2000000}"/>
    <cellStyle name="Normal 3 2 2 2 2 3 3 2 3 2" xfId="7335" xr:uid="{00000000-0005-0000-0000-0000D2000000}"/>
    <cellStyle name="Normal 3 2 2 2 2 3 3 2 4" xfId="5334" xr:uid="{00000000-0005-0000-0000-0000D2000000}"/>
    <cellStyle name="Normal 3 2 2 2 2 3 3 3" xfId="1616" xr:uid="{00000000-0005-0000-0000-0000D3000000}"/>
    <cellStyle name="Normal 3 2 2 2 2 3 3 3 2" xfId="3838" xr:uid="{00000000-0005-0000-0000-0000D4000000}"/>
    <cellStyle name="Normal 3 2 2 2 2 3 3 3 2 2" xfId="7838" xr:uid="{00000000-0005-0000-0000-0000D4000000}"/>
    <cellStyle name="Normal 3 2 2 2 2 3 3 3 3" xfId="5837" xr:uid="{00000000-0005-0000-0000-0000D4000000}"/>
    <cellStyle name="Normal 3 2 2 2 2 3 3 4" xfId="2841" xr:uid="{00000000-0005-0000-0000-0000D1000000}"/>
    <cellStyle name="Normal 3 2 2 2 2 3 3 4 2" xfId="6839" xr:uid="{00000000-0005-0000-0000-0000D1000000}"/>
    <cellStyle name="Normal 3 2 2 2 2 3 3 5" xfId="4838" xr:uid="{00000000-0005-0000-0000-0000D1000000}"/>
    <cellStyle name="Normal 3 2 2 2 2 3 4" xfId="862" xr:uid="{00000000-0005-0000-0000-0000D4000000}"/>
    <cellStyle name="Normal 3 2 2 2 2 3 4 2" xfId="1864" xr:uid="{00000000-0005-0000-0000-0000D5000000}"/>
    <cellStyle name="Normal 3 2 2 2 2 3 4 2 2" xfId="4086" xr:uid="{00000000-0005-0000-0000-0000D6000000}"/>
    <cellStyle name="Normal 3 2 2 2 2 3 4 2 2 2" xfId="8086" xr:uid="{00000000-0005-0000-0000-0000D6000000}"/>
    <cellStyle name="Normal 3 2 2 2 2 3 4 2 3" xfId="6085" xr:uid="{00000000-0005-0000-0000-0000D6000000}"/>
    <cellStyle name="Normal 3 2 2 2 2 3 4 3" xfId="3088" xr:uid="{00000000-0005-0000-0000-0000D5000000}"/>
    <cellStyle name="Normal 3 2 2 2 2 3 4 3 2" xfId="7087" xr:uid="{00000000-0005-0000-0000-0000D5000000}"/>
    <cellStyle name="Normal 3 2 2 2 2 3 4 4" xfId="5086" xr:uid="{00000000-0005-0000-0000-0000D5000000}"/>
    <cellStyle name="Normal 3 2 2 2 2 3 5" xfId="1368" xr:uid="{00000000-0005-0000-0000-0000D6000000}"/>
    <cellStyle name="Normal 3 2 2 2 2 3 5 2" xfId="3590" xr:uid="{00000000-0005-0000-0000-0000D7000000}"/>
    <cellStyle name="Normal 3 2 2 2 2 3 5 2 2" xfId="7590" xr:uid="{00000000-0005-0000-0000-0000D7000000}"/>
    <cellStyle name="Normal 3 2 2 2 2 3 5 3" xfId="5589" xr:uid="{00000000-0005-0000-0000-0000D7000000}"/>
    <cellStyle name="Normal 3 2 2 2 2 3 6" xfId="2602" xr:uid="{00000000-0005-0000-0000-0000C8000000}"/>
    <cellStyle name="Normal 3 2 2 2 2 3 6 2" xfId="6591" xr:uid="{00000000-0005-0000-0000-0000C8000000}"/>
    <cellStyle name="Normal 3 2 2 2 2 3 7" xfId="4590" xr:uid="{00000000-0005-0000-0000-0000C8000000}"/>
    <cellStyle name="Normal 3 2 2 2 2 4" xfId="389" xr:uid="{00000000-0005-0000-0000-0000D7000000}"/>
    <cellStyle name="Normal 3 2 2 2 2 4 2" xfId="635" xr:uid="{00000000-0005-0000-0000-0000D8000000}"/>
    <cellStyle name="Normal 3 2 2 2 2 4 2 2" xfId="1132" xr:uid="{00000000-0005-0000-0000-0000D9000000}"/>
    <cellStyle name="Normal 3 2 2 2 2 4 2 2 2" xfId="2134" xr:uid="{00000000-0005-0000-0000-0000DA000000}"/>
    <cellStyle name="Normal 3 2 2 2 2 4 2 2 2 2" xfId="4356" xr:uid="{00000000-0005-0000-0000-0000DB000000}"/>
    <cellStyle name="Normal 3 2 2 2 2 4 2 2 2 2 2" xfId="8356" xr:uid="{00000000-0005-0000-0000-0000DB000000}"/>
    <cellStyle name="Normal 3 2 2 2 2 4 2 2 2 3" xfId="6355" xr:uid="{00000000-0005-0000-0000-0000DB000000}"/>
    <cellStyle name="Normal 3 2 2 2 2 4 2 2 3" xfId="3358" xr:uid="{00000000-0005-0000-0000-0000DA000000}"/>
    <cellStyle name="Normal 3 2 2 2 2 4 2 2 3 2" xfId="7357" xr:uid="{00000000-0005-0000-0000-0000DA000000}"/>
    <cellStyle name="Normal 3 2 2 2 2 4 2 2 4" xfId="5356" xr:uid="{00000000-0005-0000-0000-0000DA000000}"/>
    <cellStyle name="Normal 3 2 2 2 2 4 2 3" xfId="1638" xr:uid="{00000000-0005-0000-0000-0000DB000000}"/>
    <cellStyle name="Normal 3 2 2 2 2 4 2 3 2" xfId="3860" xr:uid="{00000000-0005-0000-0000-0000DC000000}"/>
    <cellStyle name="Normal 3 2 2 2 2 4 2 3 2 2" xfId="7860" xr:uid="{00000000-0005-0000-0000-0000DC000000}"/>
    <cellStyle name="Normal 3 2 2 2 2 4 2 3 3" xfId="5859" xr:uid="{00000000-0005-0000-0000-0000DC000000}"/>
    <cellStyle name="Normal 3 2 2 2 2 4 2 4" xfId="2862" xr:uid="{00000000-0005-0000-0000-0000D9000000}"/>
    <cellStyle name="Normal 3 2 2 2 2 4 2 4 2" xfId="6861" xr:uid="{00000000-0005-0000-0000-0000D9000000}"/>
    <cellStyle name="Normal 3 2 2 2 2 4 2 5" xfId="4860" xr:uid="{00000000-0005-0000-0000-0000D9000000}"/>
    <cellStyle name="Normal 3 2 2 2 2 4 3" xfId="884" xr:uid="{00000000-0005-0000-0000-0000DC000000}"/>
    <cellStyle name="Normal 3 2 2 2 2 4 3 2" xfId="1886" xr:uid="{00000000-0005-0000-0000-0000DD000000}"/>
    <cellStyle name="Normal 3 2 2 2 2 4 3 2 2" xfId="4108" xr:uid="{00000000-0005-0000-0000-0000DE000000}"/>
    <cellStyle name="Normal 3 2 2 2 2 4 3 2 2 2" xfId="8108" xr:uid="{00000000-0005-0000-0000-0000DE000000}"/>
    <cellStyle name="Normal 3 2 2 2 2 4 3 2 3" xfId="6107" xr:uid="{00000000-0005-0000-0000-0000DE000000}"/>
    <cellStyle name="Normal 3 2 2 2 2 4 3 3" xfId="3110" xr:uid="{00000000-0005-0000-0000-0000DD000000}"/>
    <cellStyle name="Normal 3 2 2 2 2 4 3 3 2" xfId="7109" xr:uid="{00000000-0005-0000-0000-0000DD000000}"/>
    <cellStyle name="Normal 3 2 2 2 2 4 3 4" xfId="5108" xr:uid="{00000000-0005-0000-0000-0000DD000000}"/>
    <cellStyle name="Normal 3 2 2 2 2 4 4" xfId="1390" xr:uid="{00000000-0005-0000-0000-0000DE000000}"/>
    <cellStyle name="Normal 3 2 2 2 2 4 4 2" xfId="3612" xr:uid="{00000000-0005-0000-0000-0000DF000000}"/>
    <cellStyle name="Normal 3 2 2 2 2 4 4 2 2" xfId="7612" xr:uid="{00000000-0005-0000-0000-0000DF000000}"/>
    <cellStyle name="Normal 3 2 2 2 2 4 4 3" xfId="5611" xr:uid="{00000000-0005-0000-0000-0000DF000000}"/>
    <cellStyle name="Normal 3 2 2 2 2 4 5" xfId="2622" xr:uid="{00000000-0005-0000-0000-0000D8000000}"/>
    <cellStyle name="Normal 3 2 2 2 2 4 5 2" xfId="6613" xr:uid="{00000000-0005-0000-0000-0000D8000000}"/>
    <cellStyle name="Normal 3 2 2 2 2 4 6" xfId="4612" xr:uid="{00000000-0005-0000-0000-0000D8000000}"/>
    <cellStyle name="Normal 3 2 2 2 2 5" xfId="434" xr:uid="{00000000-0005-0000-0000-0000DF000000}"/>
    <cellStyle name="Normal 3 2 2 2 2 5 2" xfId="681" xr:uid="{00000000-0005-0000-0000-0000E0000000}"/>
    <cellStyle name="Normal 3 2 2 2 2 5 2 2" xfId="1178" xr:uid="{00000000-0005-0000-0000-0000E1000000}"/>
    <cellStyle name="Normal 3 2 2 2 2 5 2 2 2" xfId="2180" xr:uid="{00000000-0005-0000-0000-0000E2000000}"/>
    <cellStyle name="Normal 3 2 2 2 2 5 2 2 2 2" xfId="4402" xr:uid="{00000000-0005-0000-0000-0000E3000000}"/>
    <cellStyle name="Normal 3 2 2 2 2 5 2 2 2 2 2" xfId="8402" xr:uid="{00000000-0005-0000-0000-0000E3000000}"/>
    <cellStyle name="Normal 3 2 2 2 2 5 2 2 2 3" xfId="6401" xr:uid="{00000000-0005-0000-0000-0000E3000000}"/>
    <cellStyle name="Normal 3 2 2 2 2 5 2 2 3" xfId="3404" xr:uid="{00000000-0005-0000-0000-0000E2000000}"/>
    <cellStyle name="Normal 3 2 2 2 2 5 2 2 3 2" xfId="7403" xr:uid="{00000000-0005-0000-0000-0000E2000000}"/>
    <cellStyle name="Normal 3 2 2 2 2 5 2 2 4" xfId="5402" xr:uid="{00000000-0005-0000-0000-0000E2000000}"/>
    <cellStyle name="Normal 3 2 2 2 2 5 2 3" xfId="1684" xr:uid="{00000000-0005-0000-0000-0000E3000000}"/>
    <cellStyle name="Normal 3 2 2 2 2 5 2 3 2" xfId="3906" xr:uid="{00000000-0005-0000-0000-0000E4000000}"/>
    <cellStyle name="Normal 3 2 2 2 2 5 2 3 2 2" xfId="7906" xr:uid="{00000000-0005-0000-0000-0000E4000000}"/>
    <cellStyle name="Normal 3 2 2 2 2 5 2 3 3" xfId="5905" xr:uid="{00000000-0005-0000-0000-0000E4000000}"/>
    <cellStyle name="Normal 3 2 2 2 2 5 2 4" xfId="2908" xr:uid="{00000000-0005-0000-0000-0000E1000000}"/>
    <cellStyle name="Normal 3 2 2 2 2 5 2 4 2" xfId="6907" xr:uid="{00000000-0005-0000-0000-0000E1000000}"/>
    <cellStyle name="Normal 3 2 2 2 2 5 2 5" xfId="4906" xr:uid="{00000000-0005-0000-0000-0000E1000000}"/>
    <cellStyle name="Normal 3 2 2 2 2 5 3" xfId="930" xr:uid="{00000000-0005-0000-0000-0000E4000000}"/>
    <cellStyle name="Normal 3 2 2 2 2 5 3 2" xfId="1932" xr:uid="{00000000-0005-0000-0000-0000E5000000}"/>
    <cellStyle name="Normal 3 2 2 2 2 5 3 2 2" xfId="4154" xr:uid="{00000000-0005-0000-0000-0000E6000000}"/>
    <cellStyle name="Normal 3 2 2 2 2 5 3 2 2 2" xfId="8154" xr:uid="{00000000-0005-0000-0000-0000E6000000}"/>
    <cellStyle name="Normal 3 2 2 2 2 5 3 2 3" xfId="6153" xr:uid="{00000000-0005-0000-0000-0000E6000000}"/>
    <cellStyle name="Normal 3 2 2 2 2 5 3 3" xfId="3156" xr:uid="{00000000-0005-0000-0000-0000E5000000}"/>
    <cellStyle name="Normal 3 2 2 2 2 5 3 3 2" xfId="7155" xr:uid="{00000000-0005-0000-0000-0000E5000000}"/>
    <cellStyle name="Normal 3 2 2 2 2 5 3 4" xfId="5154" xr:uid="{00000000-0005-0000-0000-0000E5000000}"/>
    <cellStyle name="Normal 3 2 2 2 2 5 4" xfId="1436" xr:uid="{00000000-0005-0000-0000-0000E6000000}"/>
    <cellStyle name="Normal 3 2 2 2 2 5 4 2" xfId="3658" xr:uid="{00000000-0005-0000-0000-0000E7000000}"/>
    <cellStyle name="Normal 3 2 2 2 2 5 4 2 2" xfId="7658" xr:uid="{00000000-0005-0000-0000-0000E7000000}"/>
    <cellStyle name="Normal 3 2 2 2 2 5 4 3" xfId="5657" xr:uid="{00000000-0005-0000-0000-0000E7000000}"/>
    <cellStyle name="Normal 3 2 2 2 2 5 5" xfId="2662" xr:uid="{00000000-0005-0000-0000-0000E0000000}"/>
    <cellStyle name="Normal 3 2 2 2 2 5 5 2" xfId="6659" xr:uid="{00000000-0005-0000-0000-0000E0000000}"/>
    <cellStyle name="Normal 3 2 2 2 2 5 6" xfId="4658" xr:uid="{00000000-0005-0000-0000-0000E0000000}"/>
    <cellStyle name="Normal 3 2 2 2 2 6" xfId="500" xr:uid="{00000000-0005-0000-0000-0000E7000000}"/>
    <cellStyle name="Normal 3 2 2 2 2 6 2" xfId="747" xr:uid="{00000000-0005-0000-0000-0000E8000000}"/>
    <cellStyle name="Normal 3 2 2 2 2 6 2 2" xfId="1244" xr:uid="{00000000-0005-0000-0000-0000E9000000}"/>
    <cellStyle name="Normal 3 2 2 2 2 6 2 2 2" xfId="2246" xr:uid="{00000000-0005-0000-0000-0000EA000000}"/>
    <cellStyle name="Normal 3 2 2 2 2 6 2 2 2 2" xfId="4468" xr:uid="{00000000-0005-0000-0000-0000EB000000}"/>
    <cellStyle name="Normal 3 2 2 2 2 6 2 2 2 2 2" xfId="8468" xr:uid="{00000000-0005-0000-0000-0000EB000000}"/>
    <cellStyle name="Normal 3 2 2 2 2 6 2 2 2 3" xfId="6467" xr:uid="{00000000-0005-0000-0000-0000EB000000}"/>
    <cellStyle name="Normal 3 2 2 2 2 6 2 2 3" xfId="3470" xr:uid="{00000000-0005-0000-0000-0000EA000000}"/>
    <cellStyle name="Normal 3 2 2 2 2 6 2 2 3 2" xfId="7469" xr:uid="{00000000-0005-0000-0000-0000EA000000}"/>
    <cellStyle name="Normal 3 2 2 2 2 6 2 2 4" xfId="5468" xr:uid="{00000000-0005-0000-0000-0000EA000000}"/>
    <cellStyle name="Normal 3 2 2 2 2 6 2 3" xfId="1750" xr:uid="{00000000-0005-0000-0000-0000EB000000}"/>
    <cellStyle name="Normal 3 2 2 2 2 6 2 3 2" xfId="3972" xr:uid="{00000000-0005-0000-0000-0000EC000000}"/>
    <cellStyle name="Normal 3 2 2 2 2 6 2 3 2 2" xfId="7972" xr:uid="{00000000-0005-0000-0000-0000EC000000}"/>
    <cellStyle name="Normal 3 2 2 2 2 6 2 3 3" xfId="5971" xr:uid="{00000000-0005-0000-0000-0000EC000000}"/>
    <cellStyle name="Normal 3 2 2 2 2 6 2 4" xfId="2974" xr:uid="{00000000-0005-0000-0000-0000E9000000}"/>
    <cellStyle name="Normal 3 2 2 2 2 6 2 4 2" xfId="6973" xr:uid="{00000000-0005-0000-0000-0000E9000000}"/>
    <cellStyle name="Normal 3 2 2 2 2 6 2 5" xfId="4972" xr:uid="{00000000-0005-0000-0000-0000E9000000}"/>
    <cellStyle name="Normal 3 2 2 2 2 6 3" xfId="996" xr:uid="{00000000-0005-0000-0000-0000EC000000}"/>
    <cellStyle name="Normal 3 2 2 2 2 6 3 2" xfId="1998" xr:uid="{00000000-0005-0000-0000-0000ED000000}"/>
    <cellStyle name="Normal 3 2 2 2 2 6 3 2 2" xfId="4220" xr:uid="{00000000-0005-0000-0000-0000EE000000}"/>
    <cellStyle name="Normal 3 2 2 2 2 6 3 2 2 2" xfId="8220" xr:uid="{00000000-0005-0000-0000-0000EE000000}"/>
    <cellStyle name="Normal 3 2 2 2 2 6 3 2 3" xfId="6219" xr:uid="{00000000-0005-0000-0000-0000EE000000}"/>
    <cellStyle name="Normal 3 2 2 2 2 6 3 3" xfId="3222" xr:uid="{00000000-0005-0000-0000-0000ED000000}"/>
    <cellStyle name="Normal 3 2 2 2 2 6 3 3 2" xfId="7221" xr:uid="{00000000-0005-0000-0000-0000ED000000}"/>
    <cellStyle name="Normal 3 2 2 2 2 6 3 4" xfId="5220" xr:uid="{00000000-0005-0000-0000-0000ED000000}"/>
    <cellStyle name="Normal 3 2 2 2 2 6 4" xfId="1502" xr:uid="{00000000-0005-0000-0000-0000EE000000}"/>
    <cellStyle name="Normal 3 2 2 2 2 6 4 2" xfId="3724" xr:uid="{00000000-0005-0000-0000-0000EF000000}"/>
    <cellStyle name="Normal 3 2 2 2 2 6 4 2 2" xfId="7724" xr:uid="{00000000-0005-0000-0000-0000EF000000}"/>
    <cellStyle name="Normal 3 2 2 2 2 6 4 3" xfId="5723" xr:uid="{00000000-0005-0000-0000-0000EF000000}"/>
    <cellStyle name="Normal 3 2 2 2 2 6 5" xfId="2727" xr:uid="{00000000-0005-0000-0000-0000E8000000}"/>
    <cellStyle name="Normal 3 2 2 2 2 6 5 2" xfId="6725" xr:uid="{00000000-0005-0000-0000-0000E8000000}"/>
    <cellStyle name="Normal 3 2 2 2 2 6 6" xfId="4724" xr:uid="{00000000-0005-0000-0000-0000E8000000}"/>
    <cellStyle name="Normal 3 2 2 2 2 7" xfId="520" xr:uid="{00000000-0005-0000-0000-0000EF000000}"/>
    <cellStyle name="Normal 3 2 2 2 2 7 2" xfId="767" xr:uid="{00000000-0005-0000-0000-0000F0000000}"/>
    <cellStyle name="Normal 3 2 2 2 2 7 2 2" xfId="1265" xr:uid="{00000000-0005-0000-0000-0000F1000000}"/>
    <cellStyle name="Normal 3 2 2 2 2 7 2 2 2" xfId="2267" xr:uid="{00000000-0005-0000-0000-0000F2000000}"/>
    <cellStyle name="Normal 3 2 2 2 2 7 2 2 2 2" xfId="4489" xr:uid="{00000000-0005-0000-0000-0000F3000000}"/>
    <cellStyle name="Normal 3 2 2 2 2 7 2 2 2 2 2" xfId="8489" xr:uid="{00000000-0005-0000-0000-0000F3000000}"/>
    <cellStyle name="Normal 3 2 2 2 2 7 2 2 2 3" xfId="6488" xr:uid="{00000000-0005-0000-0000-0000F3000000}"/>
    <cellStyle name="Normal 3 2 2 2 2 7 2 2 3" xfId="3491" xr:uid="{00000000-0005-0000-0000-0000F2000000}"/>
    <cellStyle name="Normal 3 2 2 2 2 7 2 2 3 2" xfId="7490" xr:uid="{00000000-0005-0000-0000-0000F2000000}"/>
    <cellStyle name="Normal 3 2 2 2 2 7 2 2 4" xfId="5489" xr:uid="{00000000-0005-0000-0000-0000F2000000}"/>
    <cellStyle name="Normal 3 2 2 2 2 7 2 3" xfId="1771" xr:uid="{00000000-0005-0000-0000-0000F3000000}"/>
    <cellStyle name="Normal 3 2 2 2 2 7 2 3 2" xfId="3993" xr:uid="{00000000-0005-0000-0000-0000F4000000}"/>
    <cellStyle name="Normal 3 2 2 2 2 7 2 3 2 2" xfId="7993" xr:uid="{00000000-0005-0000-0000-0000F4000000}"/>
    <cellStyle name="Normal 3 2 2 2 2 7 2 3 3" xfId="5992" xr:uid="{00000000-0005-0000-0000-0000F4000000}"/>
    <cellStyle name="Normal 3 2 2 2 2 7 2 4" xfId="2995" xr:uid="{00000000-0005-0000-0000-0000F1000000}"/>
    <cellStyle name="Normal 3 2 2 2 2 7 2 4 2" xfId="6994" xr:uid="{00000000-0005-0000-0000-0000F1000000}"/>
    <cellStyle name="Normal 3 2 2 2 2 7 2 5" xfId="4993" xr:uid="{00000000-0005-0000-0000-0000F1000000}"/>
    <cellStyle name="Normal 3 2 2 2 2 7 3" xfId="1017" xr:uid="{00000000-0005-0000-0000-0000F4000000}"/>
    <cellStyle name="Normal 3 2 2 2 2 7 3 2" xfId="2019" xr:uid="{00000000-0005-0000-0000-0000F5000000}"/>
    <cellStyle name="Normal 3 2 2 2 2 7 3 2 2" xfId="4241" xr:uid="{00000000-0005-0000-0000-0000F6000000}"/>
    <cellStyle name="Normal 3 2 2 2 2 7 3 2 2 2" xfId="8241" xr:uid="{00000000-0005-0000-0000-0000F6000000}"/>
    <cellStyle name="Normal 3 2 2 2 2 7 3 2 3" xfId="6240" xr:uid="{00000000-0005-0000-0000-0000F6000000}"/>
    <cellStyle name="Normal 3 2 2 2 2 7 3 3" xfId="3243" xr:uid="{00000000-0005-0000-0000-0000F5000000}"/>
    <cellStyle name="Normal 3 2 2 2 2 7 3 3 2" xfId="7242" xr:uid="{00000000-0005-0000-0000-0000F5000000}"/>
    <cellStyle name="Normal 3 2 2 2 2 7 3 4" xfId="5241" xr:uid="{00000000-0005-0000-0000-0000F5000000}"/>
    <cellStyle name="Normal 3 2 2 2 2 7 4" xfId="1523" xr:uid="{00000000-0005-0000-0000-0000F6000000}"/>
    <cellStyle name="Normal 3 2 2 2 2 7 4 2" xfId="3745" xr:uid="{00000000-0005-0000-0000-0000F7000000}"/>
    <cellStyle name="Normal 3 2 2 2 2 7 4 2 2" xfId="7745" xr:uid="{00000000-0005-0000-0000-0000F7000000}"/>
    <cellStyle name="Normal 3 2 2 2 2 7 4 3" xfId="5744" xr:uid="{00000000-0005-0000-0000-0000F7000000}"/>
    <cellStyle name="Normal 3 2 2 2 2 7 5" xfId="2748" xr:uid="{00000000-0005-0000-0000-0000F0000000}"/>
    <cellStyle name="Normal 3 2 2 2 2 7 5 2" xfId="6746" xr:uid="{00000000-0005-0000-0000-0000F0000000}"/>
    <cellStyle name="Normal 3 2 2 2 2 7 6" xfId="4745" xr:uid="{00000000-0005-0000-0000-0000F0000000}"/>
    <cellStyle name="Normal 3 2 2 2 2 8" xfId="566" xr:uid="{00000000-0005-0000-0000-0000F7000000}"/>
    <cellStyle name="Normal 3 2 2 2 2 8 2" xfId="1064" xr:uid="{00000000-0005-0000-0000-0000F8000000}"/>
    <cellStyle name="Normal 3 2 2 2 2 8 2 2" xfId="2066" xr:uid="{00000000-0005-0000-0000-0000F9000000}"/>
    <cellStyle name="Normal 3 2 2 2 2 8 2 2 2" xfId="4288" xr:uid="{00000000-0005-0000-0000-0000FA000000}"/>
    <cellStyle name="Normal 3 2 2 2 2 8 2 2 2 2" xfId="8288" xr:uid="{00000000-0005-0000-0000-0000FA000000}"/>
    <cellStyle name="Normal 3 2 2 2 2 8 2 2 3" xfId="6287" xr:uid="{00000000-0005-0000-0000-0000FA000000}"/>
    <cellStyle name="Normal 3 2 2 2 2 8 2 3" xfId="3290" xr:uid="{00000000-0005-0000-0000-0000F9000000}"/>
    <cellStyle name="Normal 3 2 2 2 2 8 2 3 2" xfId="7289" xr:uid="{00000000-0005-0000-0000-0000F9000000}"/>
    <cellStyle name="Normal 3 2 2 2 2 8 2 4" xfId="5288" xr:uid="{00000000-0005-0000-0000-0000F9000000}"/>
    <cellStyle name="Normal 3 2 2 2 2 8 3" xfId="1570" xr:uid="{00000000-0005-0000-0000-0000FA000000}"/>
    <cellStyle name="Normal 3 2 2 2 2 8 3 2" xfId="3792" xr:uid="{00000000-0005-0000-0000-0000FB000000}"/>
    <cellStyle name="Normal 3 2 2 2 2 8 3 2 2" xfId="7792" xr:uid="{00000000-0005-0000-0000-0000FB000000}"/>
    <cellStyle name="Normal 3 2 2 2 2 8 3 3" xfId="5791" xr:uid="{00000000-0005-0000-0000-0000FB000000}"/>
    <cellStyle name="Normal 3 2 2 2 2 8 4" xfId="2795" xr:uid="{00000000-0005-0000-0000-0000F8000000}"/>
    <cellStyle name="Normal 3 2 2 2 2 8 4 2" xfId="6793" xr:uid="{00000000-0005-0000-0000-0000F8000000}"/>
    <cellStyle name="Normal 3 2 2 2 2 8 5" xfId="4792" xr:uid="{00000000-0005-0000-0000-0000F8000000}"/>
    <cellStyle name="Normal 3 2 2 2 2 9" xfId="816" xr:uid="{00000000-0005-0000-0000-0000FB000000}"/>
    <cellStyle name="Normal 3 2 2 2 2 9 2" xfId="1818" xr:uid="{00000000-0005-0000-0000-0000FC000000}"/>
    <cellStyle name="Normal 3 2 2 2 2 9 2 2" xfId="4040" xr:uid="{00000000-0005-0000-0000-0000FD000000}"/>
    <cellStyle name="Normal 3 2 2 2 2 9 2 2 2" xfId="8040" xr:uid="{00000000-0005-0000-0000-0000FD000000}"/>
    <cellStyle name="Normal 3 2 2 2 2 9 2 3" xfId="6039" xr:uid="{00000000-0005-0000-0000-0000FD000000}"/>
    <cellStyle name="Normal 3 2 2 2 2 9 3" xfId="3042" xr:uid="{00000000-0005-0000-0000-0000FC000000}"/>
    <cellStyle name="Normal 3 2 2 2 2 9 3 2" xfId="7041" xr:uid="{00000000-0005-0000-0000-0000FC000000}"/>
    <cellStyle name="Normal 3 2 2 2 2 9 4" xfId="5040" xr:uid="{00000000-0005-0000-0000-0000FC000000}"/>
    <cellStyle name="Normal 3 2 2 2 3" xfId="341" xr:uid="{00000000-0005-0000-0000-0000FD000000}"/>
    <cellStyle name="Normal 3 2 2 2 3 2" xfId="402" xr:uid="{00000000-0005-0000-0000-0000FE000000}"/>
    <cellStyle name="Normal 3 2 2 2 3 2 2" xfId="649" xr:uid="{00000000-0005-0000-0000-0000FF000000}"/>
    <cellStyle name="Normal 3 2 2 2 3 2 2 2" xfId="1146" xr:uid="{00000000-0005-0000-0000-000000010000}"/>
    <cellStyle name="Normal 3 2 2 2 3 2 2 2 2" xfId="2148" xr:uid="{00000000-0005-0000-0000-000001010000}"/>
    <cellStyle name="Normal 3 2 2 2 3 2 2 2 2 2" xfId="4370" xr:uid="{00000000-0005-0000-0000-000002010000}"/>
    <cellStyle name="Normal 3 2 2 2 3 2 2 2 2 2 2" xfId="8370" xr:uid="{00000000-0005-0000-0000-000002010000}"/>
    <cellStyle name="Normal 3 2 2 2 3 2 2 2 2 3" xfId="6369" xr:uid="{00000000-0005-0000-0000-000002010000}"/>
    <cellStyle name="Normal 3 2 2 2 3 2 2 2 3" xfId="3372" xr:uid="{00000000-0005-0000-0000-000001010000}"/>
    <cellStyle name="Normal 3 2 2 2 3 2 2 2 3 2" xfId="7371" xr:uid="{00000000-0005-0000-0000-000001010000}"/>
    <cellStyle name="Normal 3 2 2 2 3 2 2 2 4" xfId="5370" xr:uid="{00000000-0005-0000-0000-000001010000}"/>
    <cellStyle name="Normal 3 2 2 2 3 2 2 3" xfId="1652" xr:uid="{00000000-0005-0000-0000-000002010000}"/>
    <cellStyle name="Normal 3 2 2 2 3 2 2 3 2" xfId="3874" xr:uid="{00000000-0005-0000-0000-000003010000}"/>
    <cellStyle name="Normal 3 2 2 2 3 2 2 3 2 2" xfId="7874" xr:uid="{00000000-0005-0000-0000-000003010000}"/>
    <cellStyle name="Normal 3 2 2 2 3 2 2 3 3" xfId="5873" xr:uid="{00000000-0005-0000-0000-000003010000}"/>
    <cellStyle name="Normal 3 2 2 2 3 2 2 4" xfId="2876" xr:uid="{00000000-0005-0000-0000-000000010000}"/>
    <cellStyle name="Normal 3 2 2 2 3 2 2 4 2" xfId="6875" xr:uid="{00000000-0005-0000-0000-000000010000}"/>
    <cellStyle name="Normal 3 2 2 2 3 2 2 5" xfId="4874" xr:uid="{00000000-0005-0000-0000-000000010000}"/>
    <cellStyle name="Normal 3 2 2 2 3 2 3" xfId="898" xr:uid="{00000000-0005-0000-0000-000003010000}"/>
    <cellStyle name="Normal 3 2 2 2 3 2 3 2" xfId="1900" xr:uid="{00000000-0005-0000-0000-000004010000}"/>
    <cellStyle name="Normal 3 2 2 2 3 2 3 2 2" xfId="4122" xr:uid="{00000000-0005-0000-0000-000005010000}"/>
    <cellStyle name="Normal 3 2 2 2 3 2 3 2 2 2" xfId="8122" xr:uid="{00000000-0005-0000-0000-000005010000}"/>
    <cellStyle name="Normal 3 2 2 2 3 2 3 2 3" xfId="6121" xr:uid="{00000000-0005-0000-0000-000005010000}"/>
    <cellStyle name="Normal 3 2 2 2 3 2 3 3" xfId="3124" xr:uid="{00000000-0005-0000-0000-000004010000}"/>
    <cellStyle name="Normal 3 2 2 2 3 2 3 3 2" xfId="7123" xr:uid="{00000000-0005-0000-0000-000004010000}"/>
    <cellStyle name="Normal 3 2 2 2 3 2 3 4" xfId="5122" xr:uid="{00000000-0005-0000-0000-000004010000}"/>
    <cellStyle name="Normal 3 2 2 2 3 2 4" xfId="1404" xr:uid="{00000000-0005-0000-0000-000005010000}"/>
    <cellStyle name="Normal 3 2 2 2 3 2 4 2" xfId="3626" xr:uid="{00000000-0005-0000-0000-000006010000}"/>
    <cellStyle name="Normal 3 2 2 2 3 2 4 2 2" xfId="7626" xr:uid="{00000000-0005-0000-0000-000006010000}"/>
    <cellStyle name="Normal 3 2 2 2 3 2 4 3" xfId="5625" xr:uid="{00000000-0005-0000-0000-000006010000}"/>
    <cellStyle name="Normal 3 2 2 2 3 2 5" xfId="2635" xr:uid="{00000000-0005-0000-0000-0000FF000000}"/>
    <cellStyle name="Normal 3 2 2 2 3 2 5 2" xfId="6627" xr:uid="{00000000-0005-0000-0000-0000FF000000}"/>
    <cellStyle name="Normal 3 2 2 2 3 2 6" xfId="4626" xr:uid="{00000000-0005-0000-0000-0000FF000000}"/>
    <cellStyle name="Normal 3 2 2 2 3 3" xfId="448" xr:uid="{00000000-0005-0000-0000-000006010000}"/>
    <cellStyle name="Normal 3 2 2 2 3 3 2" xfId="695" xr:uid="{00000000-0005-0000-0000-000007010000}"/>
    <cellStyle name="Normal 3 2 2 2 3 3 2 2" xfId="1192" xr:uid="{00000000-0005-0000-0000-000008010000}"/>
    <cellStyle name="Normal 3 2 2 2 3 3 2 2 2" xfId="2194" xr:uid="{00000000-0005-0000-0000-000009010000}"/>
    <cellStyle name="Normal 3 2 2 2 3 3 2 2 2 2" xfId="4416" xr:uid="{00000000-0005-0000-0000-00000A010000}"/>
    <cellStyle name="Normal 3 2 2 2 3 3 2 2 2 2 2" xfId="8416" xr:uid="{00000000-0005-0000-0000-00000A010000}"/>
    <cellStyle name="Normal 3 2 2 2 3 3 2 2 2 3" xfId="6415" xr:uid="{00000000-0005-0000-0000-00000A010000}"/>
    <cellStyle name="Normal 3 2 2 2 3 3 2 2 3" xfId="3418" xr:uid="{00000000-0005-0000-0000-000009010000}"/>
    <cellStyle name="Normal 3 2 2 2 3 3 2 2 3 2" xfId="7417" xr:uid="{00000000-0005-0000-0000-000009010000}"/>
    <cellStyle name="Normal 3 2 2 2 3 3 2 2 4" xfId="5416" xr:uid="{00000000-0005-0000-0000-000009010000}"/>
    <cellStyle name="Normal 3 2 2 2 3 3 2 3" xfId="1698" xr:uid="{00000000-0005-0000-0000-00000A010000}"/>
    <cellStyle name="Normal 3 2 2 2 3 3 2 3 2" xfId="3920" xr:uid="{00000000-0005-0000-0000-00000B010000}"/>
    <cellStyle name="Normal 3 2 2 2 3 3 2 3 2 2" xfId="7920" xr:uid="{00000000-0005-0000-0000-00000B010000}"/>
    <cellStyle name="Normal 3 2 2 2 3 3 2 3 3" xfId="5919" xr:uid="{00000000-0005-0000-0000-00000B010000}"/>
    <cellStyle name="Normal 3 2 2 2 3 3 2 4" xfId="2922" xr:uid="{00000000-0005-0000-0000-000008010000}"/>
    <cellStyle name="Normal 3 2 2 2 3 3 2 4 2" xfId="6921" xr:uid="{00000000-0005-0000-0000-000008010000}"/>
    <cellStyle name="Normal 3 2 2 2 3 3 2 5" xfId="4920" xr:uid="{00000000-0005-0000-0000-000008010000}"/>
    <cellStyle name="Normal 3 2 2 2 3 3 3" xfId="944" xr:uid="{00000000-0005-0000-0000-00000B010000}"/>
    <cellStyle name="Normal 3 2 2 2 3 3 3 2" xfId="1946" xr:uid="{00000000-0005-0000-0000-00000C010000}"/>
    <cellStyle name="Normal 3 2 2 2 3 3 3 2 2" xfId="4168" xr:uid="{00000000-0005-0000-0000-00000D010000}"/>
    <cellStyle name="Normal 3 2 2 2 3 3 3 2 2 2" xfId="8168" xr:uid="{00000000-0005-0000-0000-00000D010000}"/>
    <cellStyle name="Normal 3 2 2 2 3 3 3 2 3" xfId="6167" xr:uid="{00000000-0005-0000-0000-00000D010000}"/>
    <cellStyle name="Normal 3 2 2 2 3 3 3 3" xfId="3170" xr:uid="{00000000-0005-0000-0000-00000C010000}"/>
    <cellStyle name="Normal 3 2 2 2 3 3 3 3 2" xfId="7169" xr:uid="{00000000-0005-0000-0000-00000C010000}"/>
    <cellStyle name="Normal 3 2 2 2 3 3 3 4" xfId="5168" xr:uid="{00000000-0005-0000-0000-00000C010000}"/>
    <cellStyle name="Normal 3 2 2 2 3 3 4" xfId="1450" xr:uid="{00000000-0005-0000-0000-00000D010000}"/>
    <cellStyle name="Normal 3 2 2 2 3 3 4 2" xfId="3672" xr:uid="{00000000-0005-0000-0000-00000E010000}"/>
    <cellStyle name="Normal 3 2 2 2 3 3 4 2 2" xfId="7672" xr:uid="{00000000-0005-0000-0000-00000E010000}"/>
    <cellStyle name="Normal 3 2 2 2 3 3 4 3" xfId="5671" xr:uid="{00000000-0005-0000-0000-00000E010000}"/>
    <cellStyle name="Normal 3 2 2 2 3 3 5" xfId="2675" xr:uid="{00000000-0005-0000-0000-000007010000}"/>
    <cellStyle name="Normal 3 2 2 2 3 3 5 2" xfId="6673" xr:uid="{00000000-0005-0000-0000-000007010000}"/>
    <cellStyle name="Normal 3 2 2 2 3 3 6" xfId="4672" xr:uid="{00000000-0005-0000-0000-000007010000}"/>
    <cellStyle name="Normal 3 2 2 2 3 4" xfId="534" xr:uid="{00000000-0005-0000-0000-00000E010000}"/>
    <cellStyle name="Normal 3 2 2 2 3 4 2" xfId="781" xr:uid="{00000000-0005-0000-0000-00000F010000}"/>
    <cellStyle name="Normal 3 2 2 2 3 4 2 2" xfId="1279" xr:uid="{00000000-0005-0000-0000-000010010000}"/>
    <cellStyle name="Normal 3 2 2 2 3 4 2 2 2" xfId="2281" xr:uid="{00000000-0005-0000-0000-000011010000}"/>
    <cellStyle name="Normal 3 2 2 2 3 4 2 2 2 2" xfId="4503" xr:uid="{00000000-0005-0000-0000-000012010000}"/>
    <cellStyle name="Normal 3 2 2 2 3 4 2 2 2 2 2" xfId="8503" xr:uid="{00000000-0005-0000-0000-000012010000}"/>
    <cellStyle name="Normal 3 2 2 2 3 4 2 2 2 3" xfId="6502" xr:uid="{00000000-0005-0000-0000-000012010000}"/>
    <cellStyle name="Normal 3 2 2 2 3 4 2 2 3" xfId="3505" xr:uid="{00000000-0005-0000-0000-000011010000}"/>
    <cellStyle name="Normal 3 2 2 2 3 4 2 2 3 2" xfId="7504" xr:uid="{00000000-0005-0000-0000-000011010000}"/>
    <cellStyle name="Normal 3 2 2 2 3 4 2 2 4" xfId="5503" xr:uid="{00000000-0005-0000-0000-000011010000}"/>
    <cellStyle name="Normal 3 2 2 2 3 4 2 3" xfId="1785" xr:uid="{00000000-0005-0000-0000-000012010000}"/>
    <cellStyle name="Normal 3 2 2 2 3 4 2 3 2" xfId="4007" xr:uid="{00000000-0005-0000-0000-000013010000}"/>
    <cellStyle name="Normal 3 2 2 2 3 4 2 3 2 2" xfId="8007" xr:uid="{00000000-0005-0000-0000-000013010000}"/>
    <cellStyle name="Normal 3 2 2 2 3 4 2 3 3" xfId="6006" xr:uid="{00000000-0005-0000-0000-000013010000}"/>
    <cellStyle name="Normal 3 2 2 2 3 4 2 4" xfId="3009" xr:uid="{00000000-0005-0000-0000-000010010000}"/>
    <cellStyle name="Normal 3 2 2 2 3 4 2 4 2" xfId="7008" xr:uid="{00000000-0005-0000-0000-000010010000}"/>
    <cellStyle name="Normal 3 2 2 2 3 4 2 5" xfId="5007" xr:uid="{00000000-0005-0000-0000-000010010000}"/>
    <cellStyle name="Normal 3 2 2 2 3 4 3" xfId="1031" xr:uid="{00000000-0005-0000-0000-000013010000}"/>
    <cellStyle name="Normal 3 2 2 2 3 4 3 2" xfId="2033" xr:uid="{00000000-0005-0000-0000-000014010000}"/>
    <cellStyle name="Normal 3 2 2 2 3 4 3 2 2" xfId="4255" xr:uid="{00000000-0005-0000-0000-000015010000}"/>
    <cellStyle name="Normal 3 2 2 2 3 4 3 2 2 2" xfId="8255" xr:uid="{00000000-0005-0000-0000-000015010000}"/>
    <cellStyle name="Normal 3 2 2 2 3 4 3 2 3" xfId="6254" xr:uid="{00000000-0005-0000-0000-000015010000}"/>
    <cellStyle name="Normal 3 2 2 2 3 4 3 3" xfId="3257" xr:uid="{00000000-0005-0000-0000-000014010000}"/>
    <cellStyle name="Normal 3 2 2 2 3 4 3 3 2" xfId="7256" xr:uid="{00000000-0005-0000-0000-000014010000}"/>
    <cellStyle name="Normal 3 2 2 2 3 4 3 4" xfId="5255" xr:uid="{00000000-0005-0000-0000-000014010000}"/>
    <cellStyle name="Normal 3 2 2 2 3 4 4" xfId="1537" xr:uid="{00000000-0005-0000-0000-000015010000}"/>
    <cellStyle name="Normal 3 2 2 2 3 4 4 2" xfId="3759" xr:uid="{00000000-0005-0000-0000-000016010000}"/>
    <cellStyle name="Normal 3 2 2 2 3 4 4 2 2" xfId="7759" xr:uid="{00000000-0005-0000-0000-000016010000}"/>
    <cellStyle name="Normal 3 2 2 2 3 4 4 3" xfId="5758" xr:uid="{00000000-0005-0000-0000-000016010000}"/>
    <cellStyle name="Normal 3 2 2 2 3 4 5" xfId="2762" xr:uid="{00000000-0005-0000-0000-00000F010000}"/>
    <cellStyle name="Normal 3 2 2 2 3 4 5 2" xfId="6760" xr:uid="{00000000-0005-0000-0000-00000F010000}"/>
    <cellStyle name="Normal 3 2 2 2 3 4 6" xfId="4759" xr:uid="{00000000-0005-0000-0000-00000F010000}"/>
    <cellStyle name="Normal 3 2 2 2 3 5" xfId="580" xr:uid="{00000000-0005-0000-0000-000016010000}"/>
    <cellStyle name="Normal 3 2 2 2 3 5 2" xfId="1078" xr:uid="{00000000-0005-0000-0000-000017010000}"/>
    <cellStyle name="Normal 3 2 2 2 3 5 2 2" xfId="2080" xr:uid="{00000000-0005-0000-0000-000018010000}"/>
    <cellStyle name="Normal 3 2 2 2 3 5 2 2 2" xfId="4302" xr:uid="{00000000-0005-0000-0000-000019010000}"/>
    <cellStyle name="Normal 3 2 2 2 3 5 2 2 2 2" xfId="8302" xr:uid="{00000000-0005-0000-0000-000019010000}"/>
    <cellStyle name="Normal 3 2 2 2 3 5 2 2 3" xfId="6301" xr:uid="{00000000-0005-0000-0000-000019010000}"/>
    <cellStyle name="Normal 3 2 2 2 3 5 2 3" xfId="3304" xr:uid="{00000000-0005-0000-0000-000018010000}"/>
    <cellStyle name="Normal 3 2 2 2 3 5 2 3 2" xfId="7303" xr:uid="{00000000-0005-0000-0000-000018010000}"/>
    <cellStyle name="Normal 3 2 2 2 3 5 2 4" xfId="5302" xr:uid="{00000000-0005-0000-0000-000018010000}"/>
    <cellStyle name="Normal 3 2 2 2 3 5 3" xfId="1584" xr:uid="{00000000-0005-0000-0000-000019010000}"/>
    <cellStyle name="Normal 3 2 2 2 3 5 3 2" xfId="3806" xr:uid="{00000000-0005-0000-0000-00001A010000}"/>
    <cellStyle name="Normal 3 2 2 2 3 5 3 2 2" xfId="7806" xr:uid="{00000000-0005-0000-0000-00001A010000}"/>
    <cellStyle name="Normal 3 2 2 2 3 5 3 3" xfId="5805" xr:uid="{00000000-0005-0000-0000-00001A010000}"/>
    <cellStyle name="Normal 3 2 2 2 3 5 4" xfId="2809" xr:uid="{00000000-0005-0000-0000-000017010000}"/>
    <cellStyle name="Normal 3 2 2 2 3 5 4 2" xfId="6807" xr:uid="{00000000-0005-0000-0000-000017010000}"/>
    <cellStyle name="Normal 3 2 2 2 3 5 5" xfId="4806" xr:uid="{00000000-0005-0000-0000-000017010000}"/>
    <cellStyle name="Normal 3 2 2 2 3 6" xfId="830" xr:uid="{00000000-0005-0000-0000-00001A010000}"/>
    <cellStyle name="Normal 3 2 2 2 3 6 2" xfId="1832" xr:uid="{00000000-0005-0000-0000-00001B010000}"/>
    <cellStyle name="Normal 3 2 2 2 3 6 2 2" xfId="4054" xr:uid="{00000000-0005-0000-0000-00001C010000}"/>
    <cellStyle name="Normal 3 2 2 2 3 6 2 2 2" xfId="8054" xr:uid="{00000000-0005-0000-0000-00001C010000}"/>
    <cellStyle name="Normal 3 2 2 2 3 6 2 3" xfId="6053" xr:uid="{00000000-0005-0000-0000-00001C010000}"/>
    <cellStyle name="Normal 3 2 2 2 3 6 3" xfId="3056" xr:uid="{00000000-0005-0000-0000-00001B010000}"/>
    <cellStyle name="Normal 3 2 2 2 3 6 3 2" xfId="7055" xr:uid="{00000000-0005-0000-0000-00001B010000}"/>
    <cellStyle name="Normal 3 2 2 2 3 6 4" xfId="5054" xr:uid="{00000000-0005-0000-0000-00001B010000}"/>
    <cellStyle name="Normal 3 2 2 2 3 7" xfId="1336" xr:uid="{00000000-0005-0000-0000-00001C010000}"/>
    <cellStyle name="Normal 3 2 2 2 3 7 2" xfId="3558" xr:uid="{00000000-0005-0000-0000-00001D010000}"/>
    <cellStyle name="Normal 3 2 2 2 3 7 2 2" xfId="7558" xr:uid="{00000000-0005-0000-0000-00001D010000}"/>
    <cellStyle name="Normal 3 2 2 2 3 7 3" xfId="5557" xr:uid="{00000000-0005-0000-0000-00001D010000}"/>
    <cellStyle name="Normal 3 2 2 2 3 8" xfId="2571" xr:uid="{00000000-0005-0000-0000-0000FE000000}"/>
    <cellStyle name="Normal 3 2 2 2 3 8 2" xfId="6559" xr:uid="{00000000-0005-0000-0000-0000FE000000}"/>
    <cellStyle name="Normal 3 2 2 2 3 9" xfId="4558" xr:uid="{00000000-0005-0000-0000-0000FE000000}"/>
    <cellStyle name="Normal 3 2 2 2 4" xfId="359" xr:uid="{00000000-0005-0000-0000-00001D010000}"/>
    <cellStyle name="Normal 3 2 2 2 4 2" xfId="470" xr:uid="{00000000-0005-0000-0000-00001E010000}"/>
    <cellStyle name="Normal 3 2 2 2 4 2 2" xfId="717" xr:uid="{00000000-0005-0000-0000-00001F010000}"/>
    <cellStyle name="Normal 3 2 2 2 4 2 2 2" xfId="1214" xr:uid="{00000000-0005-0000-0000-000020010000}"/>
    <cellStyle name="Normal 3 2 2 2 4 2 2 2 2" xfId="2216" xr:uid="{00000000-0005-0000-0000-000021010000}"/>
    <cellStyle name="Normal 3 2 2 2 4 2 2 2 2 2" xfId="4438" xr:uid="{00000000-0005-0000-0000-000022010000}"/>
    <cellStyle name="Normal 3 2 2 2 4 2 2 2 2 2 2" xfId="8438" xr:uid="{00000000-0005-0000-0000-000022010000}"/>
    <cellStyle name="Normal 3 2 2 2 4 2 2 2 2 3" xfId="6437" xr:uid="{00000000-0005-0000-0000-000022010000}"/>
    <cellStyle name="Normal 3 2 2 2 4 2 2 2 3" xfId="3440" xr:uid="{00000000-0005-0000-0000-000021010000}"/>
    <cellStyle name="Normal 3 2 2 2 4 2 2 2 3 2" xfId="7439" xr:uid="{00000000-0005-0000-0000-000021010000}"/>
    <cellStyle name="Normal 3 2 2 2 4 2 2 2 4" xfId="5438" xr:uid="{00000000-0005-0000-0000-000021010000}"/>
    <cellStyle name="Normal 3 2 2 2 4 2 2 3" xfId="1720" xr:uid="{00000000-0005-0000-0000-000022010000}"/>
    <cellStyle name="Normal 3 2 2 2 4 2 2 3 2" xfId="3942" xr:uid="{00000000-0005-0000-0000-000023010000}"/>
    <cellStyle name="Normal 3 2 2 2 4 2 2 3 2 2" xfId="7942" xr:uid="{00000000-0005-0000-0000-000023010000}"/>
    <cellStyle name="Normal 3 2 2 2 4 2 2 3 3" xfId="5941" xr:uid="{00000000-0005-0000-0000-000023010000}"/>
    <cellStyle name="Normal 3 2 2 2 4 2 2 4" xfId="2944" xr:uid="{00000000-0005-0000-0000-000020010000}"/>
    <cellStyle name="Normal 3 2 2 2 4 2 2 4 2" xfId="6943" xr:uid="{00000000-0005-0000-0000-000020010000}"/>
    <cellStyle name="Normal 3 2 2 2 4 2 2 5" xfId="4942" xr:uid="{00000000-0005-0000-0000-000020010000}"/>
    <cellStyle name="Normal 3 2 2 2 4 2 3" xfId="966" xr:uid="{00000000-0005-0000-0000-000023010000}"/>
    <cellStyle name="Normal 3 2 2 2 4 2 3 2" xfId="1968" xr:uid="{00000000-0005-0000-0000-000024010000}"/>
    <cellStyle name="Normal 3 2 2 2 4 2 3 2 2" xfId="4190" xr:uid="{00000000-0005-0000-0000-000025010000}"/>
    <cellStyle name="Normal 3 2 2 2 4 2 3 2 2 2" xfId="8190" xr:uid="{00000000-0005-0000-0000-000025010000}"/>
    <cellStyle name="Normal 3 2 2 2 4 2 3 2 3" xfId="6189" xr:uid="{00000000-0005-0000-0000-000025010000}"/>
    <cellStyle name="Normal 3 2 2 2 4 2 3 3" xfId="3192" xr:uid="{00000000-0005-0000-0000-000024010000}"/>
    <cellStyle name="Normal 3 2 2 2 4 2 3 3 2" xfId="7191" xr:uid="{00000000-0005-0000-0000-000024010000}"/>
    <cellStyle name="Normal 3 2 2 2 4 2 3 4" xfId="5190" xr:uid="{00000000-0005-0000-0000-000024010000}"/>
    <cellStyle name="Normal 3 2 2 2 4 2 4" xfId="1472" xr:uid="{00000000-0005-0000-0000-000025010000}"/>
    <cellStyle name="Normal 3 2 2 2 4 2 4 2" xfId="3694" xr:uid="{00000000-0005-0000-0000-000026010000}"/>
    <cellStyle name="Normal 3 2 2 2 4 2 4 2 2" xfId="7694" xr:uid="{00000000-0005-0000-0000-000026010000}"/>
    <cellStyle name="Normal 3 2 2 2 4 2 4 3" xfId="5693" xr:uid="{00000000-0005-0000-0000-000026010000}"/>
    <cellStyle name="Normal 3 2 2 2 4 2 5" xfId="2697" xr:uid="{00000000-0005-0000-0000-00001F010000}"/>
    <cellStyle name="Normal 3 2 2 2 4 2 5 2" xfId="6695" xr:uid="{00000000-0005-0000-0000-00001F010000}"/>
    <cellStyle name="Normal 3 2 2 2 4 2 6" xfId="4694" xr:uid="{00000000-0005-0000-0000-00001F010000}"/>
    <cellStyle name="Normal 3 2 2 2 4 3" xfId="602" xr:uid="{00000000-0005-0000-0000-000026010000}"/>
    <cellStyle name="Normal 3 2 2 2 4 3 2" xfId="1100" xr:uid="{00000000-0005-0000-0000-000027010000}"/>
    <cellStyle name="Normal 3 2 2 2 4 3 2 2" xfId="2102" xr:uid="{00000000-0005-0000-0000-000028010000}"/>
    <cellStyle name="Normal 3 2 2 2 4 3 2 2 2" xfId="4324" xr:uid="{00000000-0005-0000-0000-000029010000}"/>
    <cellStyle name="Normal 3 2 2 2 4 3 2 2 2 2" xfId="8324" xr:uid="{00000000-0005-0000-0000-000029010000}"/>
    <cellStyle name="Normal 3 2 2 2 4 3 2 2 3" xfId="6323" xr:uid="{00000000-0005-0000-0000-000029010000}"/>
    <cellStyle name="Normal 3 2 2 2 4 3 2 3" xfId="3326" xr:uid="{00000000-0005-0000-0000-000028010000}"/>
    <cellStyle name="Normal 3 2 2 2 4 3 2 3 2" xfId="7325" xr:uid="{00000000-0005-0000-0000-000028010000}"/>
    <cellStyle name="Normal 3 2 2 2 4 3 2 4" xfId="5324" xr:uid="{00000000-0005-0000-0000-000028010000}"/>
    <cellStyle name="Normal 3 2 2 2 4 3 3" xfId="1606" xr:uid="{00000000-0005-0000-0000-000029010000}"/>
    <cellStyle name="Normal 3 2 2 2 4 3 3 2" xfId="3828" xr:uid="{00000000-0005-0000-0000-00002A010000}"/>
    <cellStyle name="Normal 3 2 2 2 4 3 3 2 2" xfId="7828" xr:uid="{00000000-0005-0000-0000-00002A010000}"/>
    <cellStyle name="Normal 3 2 2 2 4 3 3 3" xfId="5827" xr:uid="{00000000-0005-0000-0000-00002A010000}"/>
    <cellStyle name="Normal 3 2 2 2 4 3 4" xfId="2831" xr:uid="{00000000-0005-0000-0000-000027010000}"/>
    <cellStyle name="Normal 3 2 2 2 4 3 4 2" xfId="6829" xr:uid="{00000000-0005-0000-0000-000027010000}"/>
    <cellStyle name="Normal 3 2 2 2 4 3 5" xfId="4828" xr:uid="{00000000-0005-0000-0000-000027010000}"/>
    <cellStyle name="Normal 3 2 2 2 4 4" xfId="852" xr:uid="{00000000-0005-0000-0000-00002A010000}"/>
    <cellStyle name="Normal 3 2 2 2 4 4 2" xfId="1854" xr:uid="{00000000-0005-0000-0000-00002B010000}"/>
    <cellStyle name="Normal 3 2 2 2 4 4 2 2" xfId="4076" xr:uid="{00000000-0005-0000-0000-00002C010000}"/>
    <cellStyle name="Normal 3 2 2 2 4 4 2 2 2" xfId="8076" xr:uid="{00000000-0005-0000-0000-00002C010000}"/>
    <cellStyle name="Normal 3 2 2 2 4 4 2 3" xfId="6075" xr:uid="{00000000-0005-0000-0000-00002C010000}"/>
    <cellStyle name="Normal 3 2 2 2 4 4 3" xfId="3078" xr:uid="{00000000-0005-0000-0000-00002B010000}"/>
    <cellStyle name="Normal 3 2 2 2 4 4 3 2" xfId="7077" xr:uid="{00000000-0005-0000-0000-00002B010000}"/>
    <cellStyle name="Normal 3 2 2 2 4 4 4" xfId="5076" xr:uid="{00000000-0005-0000-0000-00002B010000}"/>
    <cellStyle name="Normal 3 2 2 2 4 5" xfId="1358" xr:uid="{00000000-0005-0000-0000-00002C010000}"/>
    <cellStyle name="Normal 3 2 2 2 4 5 2" xfId="3580" xr:uid="{00000000-0005-0000-0000-00002D010000}"/>
    <cellStyle name="Normal 3 2 2 2 4 5 2 2" xfId="7580" xr:uid="{00000000-0005-0000-0000-00002D010000}"/>
    <cellStyle name="Normal 3 2 2 2 4 5 3" xfId="5579" xr:uid="{00000000-0005-0000-0000-00002D010000}"/>
    <cellStyle name="Normal 3 2 2 2 4 6" xfId="2592" xr:uid="{00000000-0005-0000-0000-00001E010000}"/>
    <cellStyle name="Normal 3 2 2 2 4 6 2" xfId="6581" xr:uid="{00000000-0005-0000-0000-00001E010000}"/>
    <cellStyle name="Normal 3 2 2 2 4 7" xfId="4580" xr:uid="{00000000-0005-0000-0000-00001E010000}"/>
    <cellStyle name="Normal 3 2 2 2 5" xfId="379" xr:uid="{00000000-0005-0000-0000-00002D010000}"/>
    <cellStyle name="Normal 3 2 2 2 5 2" xfId="625" xr:uid="{00000000-0005-0000-0000-00002E010000}"/>
    <cellStyle name="Normal 3 2 2 2 5 2 2" xfId="1122" xr:uid="{00000000-0005-0000-0000-00002F010000}"/>
    <cellStyle name="Normal 3 2 2 2 5 2 2 2" xfId="2124" xr:uid="{00000000-0005-0000-0000-000030010000}"/>
    <cellStyle name="Normal 3 2 2 2 5 2 2 2 2" xfId="4346" xr:uid="{00000000-0005-0000-0000-000031010000}"/>
    <cellStyle name="Normal 3 2 2 2 5 2 2 2 2 2" xfId="8346" xr:uid="{00000000-0005-0000-0000-000031010000}"/>
    <cellStyle name="Normal 3 2 2 2 5 2 2 2 3" xfId="6345" xr:uid="{00000000-0005-0000-0000-000031010000}"/>
    <cellStyle name="Normal 3 2 2 2 5 2 2 3" xfId="3348" xr:uid="{00000000-0005-0000-0000-000030010000}"/>
    <cellStyle name="Normal 3 2 2 2 5 2 2 3 2" xfId="7347" xr:uid="{00000000-0005-0000-0000-000030010000}"/>
    <cellStyle name="Normal 3 2 2 2 5 2 2 4" xfId="5346" xr:uid="{00000000-0005-0000-0000-000030010000}"/>
    <cellStyle name="Normal 3 2 2 2 5 2 3" xfId="1628" xr:uid="{00000000-0005-0000-0000-000031010000}"/>
    <cellStyle name="Normal 3 2 2 2 5 2 3 2" xfId="3850" xr:uid="{00000000-0005-0000-0000-000032010000}"/>
    <cellStyle name="Normal 3 2 2 2 5 2 3 2 2" xfId="7850" xr:uid="{00000000-0005-0000-0000-000032010000}"/>
    <cellStyle name="Normal 3 2 2 2 5 2 3 3" xfId="5849" xr:uid="{00000000-0005-0000-0000-000032010000}"/>
    <cellStyle name="Normal 3 2 2 2 5 2 4" xfId="2852" xr:uid="{00000000-0005-0000-0000-00002F010000}"/>
    <cellStyle name="Normal 3 2 2 2 5 2 4 2" xfId="6851" xr:uid="{00000000-0005-0000-0000-00002F010000}"/>
    <cellStyle name="Normal 3 2 2 2 5 2 5" xfId="4850" xr:uid="{00000000-0005-0000-0000-00002F010000}"/>
    <cellStyle name="Normal 3 2 2 2 5 3" xfId="874" xr:uid="{00000000-0005-0000-0000-000032010000}"/>
    <cellStyle name="Normal 3 2 2 2 5 3 2" xfId="1876" xr:uid="{00000000-0005-0000-0000-000033010000}"/>
    <cellStyle name="Normal 3 2 2 2 5 3 2 2" xfId="4098" xr:uid="{00000000-0005-0000-0000-000034010000}"/>
    <cellStyle name="Normal 3 2 2 2 5 3 2 2 2" xfId="8098" xr:uid="{00000000-0005-0000-0000-000034010000}"/>
    <cellStyle name="Normal 3 2 2 2 5 3 2 3" xfId="6097" xr:uid="{00000000-0005-0000-0000-000034010000}"/>
    <cellStyle name="Normal 3 2 2 2 5 3 3" xfId="3100" xr:uid="{00000000-0005-0000-0000-000033010000}"/>
    <cellStyle name="Normal 3 2 2 2 5 3 3 2" xfId="7099" xr:uid="{00000000-0005-0000-0000-000033010000}"/>
    <cellStyle name="Normal 3 2 2 2 5 3 4" xfId="5098" xr:uid="{00000000-0005-0000-0000-000033010000}"/>
    <cellStyle name="Normal 3 2 2 2 5 4" xfId="1380" xr:uid="{00000000-0005-0000-0000-000034010000}"/>
    <cellStyle name="Normal 3 2 2 2 5 4 2" xfId="3602" xr:uid="{00000000-0005-0000-0000-000035010000}"/>
    <cellStyle name="Normal 3 2 2 2 5 4 2 2" xfId="7602" xr:uid="{00000000-0005-0000-0000-000035010000}"/>
    <cellStyle name="Normal 3 2 2 2 5 4 3" xfId="5601" xr:uid="{00000000-0005-0000-0000-000035010000}"/>
    <cellStyle name="Normal 3 2 2 2 5 5" xfId="2613" xr:uid="{00000000-0005-0000-0000-00002E010000}"/>
    <cellStyle name="Normal 3 2 2 2 5 5 2" xfId="6603" xr:uid="{00000000-0005-0000-0000-00002E010000}"/>
    <cellStyle name="Normal 3 2 2 2 5 6" xfId="4602" xr:uid="{00000000-0005-0000-0000-00002E010000}"/>
    <cellStyle name="Normal 3 2 2 2 6" xfId="424" xr:uid="{00000000-0005-0000-0000-000035010000}"/>
    <cellStyle name="Normal 3 2 2 2 6 2" xfId="671" xr:uid="{00000000-0005-0000-0000-000036010000}"/>
    <cellStyle name="Normal 3 2 2 2 6 2 2" xfId="1168" xr:uid="{00000000-0005-0000-0000-000037010000}"/>
    <cellStyle name="Normal 3 2 2 2 6 2 2 2" xfId="2170" xr:uid="{00000000-0005-0000-0000-000038010000}"/>
    <cellStyle name="Normal 3 2 2 2 6 2 2 2 2" xfId="4392" xr:uid="{00000000-0005-0000-0000-000039010000}"/>
    <cellStyle name="Normal 3 2 2 2 6 2 2 2 2 2" xfId="8392" xr:uid="{00000000-0005-0000-0000-000039010000}"/>
    <cellStyle name="Normal 3 2 2 2 6 2 2 2 3" xfId="6391" xr:uid="{00000000-0005-0000-0000-000039010000}"/>
    <cellStyle name="Normal 3 2 2 2 6 2 2 3" xfId="3394" xr:uid="{00000000-0005-0000-0000-000038010000}"/>
    <cellStyle name="Normal 3 2 2 2 6 2 2 3 2" xfId="7393" xr:uid="{00000000-0005-0000-0000-000038010000}"/>
    <cellStyle name="Normal 3 2 2 2 6 2 2 4" xfId="5392" xr:uid="{00000000-0005-0000-0000-000038010000}"/>
    <cellStyle name="Normal 3 2 2 2 6 2 3" xfId="1674" xr:uid="{00000000-0005-0000-0000-000039010000}"/>
    <cellStyle name="Normal 3 2 2 2 6 2 3 2" xfId="3896" xr:uid="{00000000-0005-0000-0000-00003A010000}"/>
    <cellStyle name="Normal 3 2 2 2 6 2 3 2 2" xfId="7896" xr:uid="{00000000-0005-0000-0000-00003A010000}"/>
    <cellStyle name="Normal 3 2 2 2 6 2 3 3" xfId="5895" xr:uid="{00000000-0005-0000-0000-00003A010000}"/>
    <cellStyle name="Normal 3 2 2 2 6 2 4" xfId="2898" xr:uid="{00000000-0005-0000-0000-000037010000}"/>
    <cellStyle name="Normal 3 2 2 2 6 2 4 2" xfId="6897" xr:uid="{00000000-0005-0000-0000-000037010000}"/>
    <cellStyle name="Normal 3 2 2 2 6 2 5" xfId="4896" xr:uid="{00000000-0005-0000-0000-000037010000}"/>
    <cellStyle name="Normal 3 2 2 2 6 3" xfId="920" xr:uid="{00000000-0005-0000-0000-00003A010000}"/>
    <cellStyle name="Normal 3 2 2 2 6 3 2" xfId="1922" xr:uid="{00000000-0005-0000-0000-00003B010000}"/>
    <cellStyle name="Normal 3 2 2 2 6 3 2 2" xfId="4144" xr:uid="{00000000-0005-0000-0000-00003C010000}"/>
    <cellStyle name="Normal 3 2 2 2 6 3 2 2 2" xfId="8144" xr:uid="{00000000-0005-0000-0000-00003C010000}"/>
    <cellStyle name="Normal 3 2 2 2 6 3 2 3" xfId="6143" xr:uid="{00000000-0005-0000-0000-00003C010000}"/>
    <cellStyle name="Normal 3 2 2 2 6 3 3" xfId="3146" xr:uid="{00000000-0005-0000-0000-00003B010000}"/>
    <cellStyle name="Normal 3 2 2 2 6 3 3 2" xfId="7145" xr:uid="{00000000-0005-0000-0000-00003B010000}"/>
    <cellStyle name="Normal 3 2 2 2 6 3 4" xfId="5144" xr:uid="{00000000-0005-0000-0000-00003B010000}"/>
    <cellStyle name="Normal 3 2 2 2 6 4" xfId="1426" xr:uid="{00000000-0005-0000-0000-00003C010000}"/>
    <cellStyle name="Normal 3 2 2 2 6 4 2" xfId="3648" xr:uid="{00000000-0005-0000-0000-00003D010000}"/>
    <cellStyle name="Normal 3 2 2 2 6 4 2 2" xfId="7648" xr:uid="{00000000-0005-0000-0000-00003D010000}"/>
    <cellStyle name="Normal 3 2 2 2 6 4 3" xfId="5647" xr:uid="{00000000-0005-0000-0000-00003D010000}"/>
    <cellStyle name="Normal 3 2 2 2 6 5" xfId="2652" xr:uid="{00000000-0005-0000-0000-000036010000}"/>
    <cellStyle name="Normal 3 2 2 2 6 5 2" xfId="6649" xr:uid="{00000000-0005-0000-0000-000036010000}"/>
    <cellStyle name="Normal 3 2 2 2 6 6" xfId="4648" xr:uid="{00000000-0005-0000-0000-000036010000}"/>
    <cellStyle name="Normal 3 2 2 2 7" xfId="490" xr:uid="{00000000-0005-0000-0000-00003D010000}"/>
    <cellStyle name="Normal 3 2 2 2 7 2" xfId="737" xr:uid="{00000000-0005-0000-0000-00003E010000}"/>
    <cellStyle name="Normal 3 2 2 2 7 2 2" xfId="1234" xr:uid="{00000000-0005-0000-0000-00003F010000}"/>
    <cellStyle name="Normal 3 2 2 2 7 2 2 2" xfId="2236" xr:uid="{00000000-0005-0000-0000-000040010000}"/>
    <cellStyle name="Normal 3 2 2 2 7 2 2 2 2" xfId="4458" xr:uid="{00000000-0005-0000-0000-000041010000}"/>
    <cellStyle name="Normal 3 2 2 2 7 2 2 2 2 2" xfId="8458" xr:uid="{00000000-0005-0000-0000-000041010000}"/>
    <cellStyle name="Normal 3 2 2 2 7 2 2 2 3" xfId="6457" xr:uid="{00000000-0005-0000-0000-000041010000}"/>
    <cellStyle name="Normal 3 2 2 2 7 2 2 3" xfId="3460" xr:uid="{00000000-0005-0000-0000-000040010000}"/>
    <cellStyle name="Normal 3 2 2 2 7 2 2 3 2" xfId="7459" xr:uid="{00000000-0005-0000-0000-000040010000}"/>
    <cellStyle name="Normal 3 2 2 2 7 2 2 4" xfId="5458" xr:uid="{00000000-0005-0000-0000-000040010000}"/>
    <cellStyle name="Normal 3 2 2 2 7 2 3" xfId="1740" xr:uid="{00000000-0005-0000-0000-000041010000}"/>
    <cellStyle name="Normal 3 2 2 2 7 2 3 2" xfId="3962" xr:uid="{00000000-0005-0000-0000-000042010000}"/>
    <cellStyle name="Normal 3 2 2 2 7 2 3 2 2" xfId="7962" xr:uid="{00000000-0005-0000-0000-000042010000}"/>
    <cellStyle name="Normal 3 2 2 2 7 2 3 3" xfId="5961" xr:uid="{00000000-0005-0000-0000-000042010000}"/>
    <cellStyle name="Normal 3 2 2 2 7 2 4" xfId="2964" xr:uid="{00000000-0005-0000-0000-00003F010000}"/>
    <cellStyle name="Normal 3 2 2 2 7 2 4 2" xfId="6963" xr:uid="{00000000-0005-0000-0000-00003F010000}"/>
    <cellStyle name="Normal 3 2 2 2 7 2 5" xfId="4962" xr:uid="{00000000-0005-0000-0000-00003F010000}"/>
    <cellStyle name="Normal 3 2 2 2 7 3" xfId="986" xr:uid="{00000000-0005-0000-0000-000042010000}"/>
    <cellStyle name="Normal 3 2 2 2 7 3 2" xfId="1988" xr:uid="{00000000-0005-0000-0000-000043010000}"/>
    <cellStyle name="Normal 3 2 2 2 7 3 2 2" xfId="4210" xr:uid="{00000000-0005-0000-0000-000044010000}"/>
    <cellStyle name="Normal 3 2 2 2 7 3 2 2 2" xfId="8210" xr:uid="{00000000-0005-0000-0000-000044010000}"/>
    <cellStyle name="Normal 3 2 2 2 7 3 2 3" xfId="6209" xr:uid="{00000000-0005-0000-0000-000044010000}"/>
    <cellStyle name="Normal 3 2 2 2 7 3 3" xfId="3212" xr:uid="{00000000-0005-0000-0000-000043010000}"/>
    <cellStyle name="Normal 3 2 2 2 7 3 3 2" xfId="7211" xr:uid="{00000000-0005-0000-0000-000043010000}"/>
    <cellStyle name="Normal 3 2 2 2 7 3 4" xfId="5210" xr:uid="{00000000-0005-0000-0000-000043010000}"/>
    <cellStyle name="Normal 3 2 2 2 7 4" xfId="1492" xr:uid="{00000000-0005-0000-0000-000044010000}"/>
    <cellStyle name="Normal 3 2 2 2 7 4 2" xfId="3714" xr:uid="{00000000-0005-0000-0000-000045010000}"/>
    <cellStyle name="Normal 3 2 2 2 7 4 2 2" xfId="7714" xr:uid="{00000000-0005-0000-0000-000045010000}"/>
    <cellStyle name="Normal 3 2 2 2 7 4 3" xfId="5713" xr:uid="{00000000-0005-0000-0000-000045010000}"/>
    <cellStyle name="Normal 3 2 2 2 7 5" xfId="2717" xr:uid="{00000000-0005-0000-0000-00003E010000}"/>
    <cellStyle name="Normal 3 2 2 2 7 5 2" xfId="6715" xr:uid="{00000000-0005-0000-0000-00003E010000}"/>
    <cellStyle name="Normal 3 2 2 2 7 6" xfId="4714" xr:uid="{00000000-0005-0000-0000-00003E010000}"/>
    <cellStyle name="Normal 3 2 2 2 8" xfId="510" xr:uid="{00000000-0005-0000-0000-000045010000}"/>
    <cellStyle name="Normal 3 2 2 2 8 2" xfId="757" xr:uid="{00000000-0005-0000-0000-000046010000}"/>
    <cellStyle name="Normal 3 2 2 2 8 2 2" xfId="1255" xr:uid="{00000000-0005-0000-0000-000047010000}"/>
    <cellStyle name="Normal 3 2 2 2 8 2 2 2" xfId="2257" xr:uid="{00000000-0005-0000-0000-000048010000}"/>
    <cellStyle name="Normal 3 2 2 2 8 2 2 2 2" xfId="4479" xr:uid="{00000000-0005-0000-0000-000049010000}"/>
    <cellStyle name="Normal 3 2 2 2 8 2 2 2 2 2" xfId="8479" xr:uid="{00000000-0005-0000-0000-000049010000}"/>
    <cellStyle name="Normal 3 2 2 2 8 2 2 2 3" xfId="6478" xr:uid="{00000000-0005-0000-0000-000049010000}"/>
    <cellStyle name="Normal 3 2 2 2 8 2 2 3" xfId="3481" xr:uid="{00000000-0005-0000-0000-000048010000}"/>
    <cellStyle name="Normal 3 2 2 2 8 2 2 3 2" xfId="7480" xr:uid="{00000000-0005-0000-0000-000048010000}"/>
    <cellStyle name="Normal 3 2 2 2 8 2 2 4" xfId="5479" xr:uid="{00000000-0005-0000-0000-000048010000}"/>
    <cellStyle name="Normal 3 2 2 2 8 2 3" xfId="1761" xr:uid="{00000000-0005-0000-0000-000049010000}"/>
    <cellStyle name="Normal 3 2 2 2 8 2 3 2" xfId="3983" xr:uid="{00000000-0005-0000-0000-00004A010000}"/>
    <cellStyle name="Normal 3 2 2 2 8 2 3 2 2" xfId="7983" xr:uid="{00000000-0005-0000-0000-00004A010000}"/>
    <cellStyle name="Normal 3 2 2 2 8 2 3 3" xfId="5982" xr:uid="{00000000-0005-0000-0000-00004A010000}"/>
    <cellStyle name="Normal 3 2 2 2 8 2 4" xfId="2985" xr:uid="{00000000-0005-0000-0000-000047010000}"/>
    <cellStyle name="Normal 3 2 2 2 8 2 4 2" xfId="6984" xr:uid="{00000000-0005-0000-0000-000047010000}"/>
    <cellStyle name="Normal 3 2 2 2 8 2 5" xfId="4983" xr:uid="{00000000-0005-0000-0000-000047010000}"/>
    <cellStyle name="Normal 3 2 2 2 8 3" xfId="1007" xr:uid="{00000000-0005-0000-0000-00004A010000}"/>
    <cellStyle name="Normal 3 2 2 2 8 3 2" xfId="2009" xr:uid="{00000000-0005-0000-0000-00004B010000}"/>
    <cellStyle name="Normal 3 2 2 2 8 3 2 2" xfId="4231" xr:uid="{00000000-0005-0000-0000-00004C010000}"/>
    <cellStyle name="Normal 3 2 2 2 8 3 2 2 2" xfId="8231" xr:uid="{00000000-0005-0000-0000-00004C010000}"/>
    <cellStyle name="Normal 3 2 2 2 8 3 2 3" xfId="6230" xr:uid="{00000000-0005-0000-0000-00004C010000}"/>
    <cellStyle name="Normal 3 2 2 2 8 3 3" xfId="3233" xr:uid="{00000000-0005-0000-0000-00004B010000}"/>
    <cellStyle name="Normal 3 2 2 2 8 3 3 2" xfId="7232" xr:uid="{00000000-0005-0000-0000-00004B010000}"/>
    <cellStyle name="Normal 3 2 2 2 8 3 4" xfId="5231" xr:uid="{00000000-0005-0000-0000-00004B010000}"/>
    <cellStyle name="Normal 3 2 2 2 8 4" xfId="1513" xr:uid="{00000000-0005-0000-0000-00004C010000}"/>
    <cellStyle name="Normal 3 2 2 2 8 4 2" xfId="3735" xr:uid="{00000000-0005-0000-0000-00004D010000}"/>
    <cellStyle name="Normal 3 2 2 2 8 4 2 2" xfId="7735" xr:uid="{00000000-0005-0000-0000-00004D010000}"/>
    <cellStyle name="Normal 3 2 2 2 8 4 3" xfId="5734" xr:uid="{00000000-0005-0000-0000-00004D010000}"/>
    <cellStyle name="Normal 3 2 2 2 8 5" xfId="2738" xr:uid="{00000000-0005-0000-0000-000046010000}"/>
    <cellStyle name="Normal 3 2 2 2 8 5 2" xfId="6736" xr:uid="{00000000-0005-0000-0000-000046010000}"/>
    <cellStyle name="Normal 3 2 2 2 8 6" xfId="4735" xr:uid="{00000000-0005-0000-0000-000046010000}"/>
    <cellStyle name="Normal 3 2 2 2 9" xfId="556" xr:uid="{00000000-0005-0000-0000-00004D010000}"/>
    <cellStyle name="Normal 3 2 2 2 9 2" xfId="1054" xr:uid="{00000000-0005-0000-0000-00004E010000}"/>
    <cellStyle name="Normal 3 2 2 2 9 2 2" xfId="2056" xr:uid="{00000000-0005-0000-0000-00004F010000}"/>
    <cellStyle name="Normal 3 2 2 2 9 2 2 2" xfId="4278" xr:uid="{00000000-0005-0000-0000-000050010000}"/>
    <cellStyle name="Normal 3 2 2 2 9 2 2 2 2" xfId="8278" xr:uid="{00000000-0005-0000-0000-000050010000}"/>
    <cellStyle name="Normal 3 2 2 2 9 2 2 3" xfId="6277" xr:uid="{00000000-0005-0000-0000-000050010000}"/>
    <cellStyle name="Normal 3 2 2 2 9 2 3" xfId="3280" xr:uid="{00000000-0005-0000-0000-00004F010000}"/>
    <cellStyle name="Normal 3 2 2 2 9 2 3 2" xfId="7279" xr:uid="{00000000-0005-0000-0000-00004F010000}"/>
    <cellStyle name="Normal 3 2 2 2 9 2 4" xfId="5278" xr:uid="{00000000-0005-0000-0000-00004F010000}"/>
    <cellStyle name="Normal 3 2 2 2 9 3" xfId="1560" xr:uid="{00000000-0005-0000-0000-000050010000}"/>
    <cellStyle name="Normal 3 2 2 2 9 3 2" xfId="3782" xr:uid="{00000000-0005-0000-0000-000051010000}"/>
    <cellStyle name="Normal 3 2 2 2 9 3 2 2" xfId="7782" xr:uid="{00000000-0005-0000-0000-000051010000}"/>
    <cellStyle name="Normal 3 2 2 2 9 3 3" xfId="5781" xr:uid="{00000000-0005-0000-0000-000051010000}"/>
    <cellStyle name="Normal 3 2 2 2 9 4" xfId="2785" xr:uid="{00000000-0005-0000-0000-00004E010000}"/>
    <cellStyle name="Normal 3 2 2 2 9 4 2" xfId="6783" xr:uid="{00000000-0005-0000-0000-00004E010000}"/>
    <cellStyle name="Normal 3 2 2 2 9 5" xfId="4782" xr:uid="{00000000-0005-0000-0000-00004E010000}"/>
    <cellStyle name="Normal 3 2 2 3" xfId="328" xr:uid="{00000000-0005-0000-0000-000051010000}"/>
    <cellStyle name="Normal 3 2 2 3 10" xfId="1318" xr:uid="{00000000-0005-0000-0000-000052010000}"/>
    <cellStyle name="Normal 3 2 2 3 10 2" xfId="3540" xr:uid="{00000000-0005-0000-0000-000053010000}"/>
    <cellStyle name="Normal 3 2 2 3 10 2 2" xfId="7540" xr:uid="{00000000-0005-0000-0000-000053010000}"/>
    <cellStyle name="Normal 3 2 2 3 10 3" xfId="5539" xr:uid="{00000000-0005-0000-0000-000053010000}"/>
    <cellStyle name="Normal 3 2 2 3 11" xfId="2553" xr:uid="{00000000-0005-0000-0000-000052010000}"/>
    <cellStyle name="Normal 3 2 2 3 11 2" xfId="6541" xr:uid="{00000000-0005-0000-0000-000052010000}"/>
    <cellStyle name="Normal 3 2 2 3 12" xfId="4540" xr:uid="{00000000-0005-0000-0000-000052010000}"/>
    <cellStyle name="Normal 3 2 2 3 2" xfId="346" xr:uid="{00000000-0005-0000-0000-000053010000}"/>
    <cellStyle name="Normal 3 2 2 3 2 2" xfId="408" xr:uid="{00000000-0005-0000-0000-000054010000}"/>
    <cellStyle name="Normal 3 2 2 3 2 2 2" xfId="655" xr:uid="{00000000-0005-0000-0000-000055010000}"/>
    <cellStyle name="Normal 3 2 2 3 2 2 2 2" xfId="1152" xr:uid="{00000000-0005-0000-0000-000056010000}"/>
    <cellStyle name="Normal 3 2 2 3 2 2 2 2 2" xfId="2154" xr:uid="{00000000-0005-0000-0000-000057010000}"/>
    <cellStyle name="Normal 3 2 2 3 2 2 2 2 2 2" xfId="4376" xr:uid="{00000000-0005-0000-0000-000058010000}"/>
    <cellStyle name="Normal 3 2 2 3 2 2 2 2 2 2 2" xfId="8376" xr:uid="{00000000-0005-0000-0000-000058010000}"/>
    <cellStyle name="Normal 3 2 2 3 2 2 2 2 2 3" xfId="6375" xr:uid="{00000000-0005-0000-0000-000058010000}"/>
    <cellStyle name="Normal 3 2 2 3 2 2 2 2 3" xfId="3378" xr:uid="{00000000-0005-0000-0000-000057010000}"/>
    <cellStyle name="Normal 3 2 2 3 2 2 2 2 3 2" xfId="7377" xr:uid="{00000000-0005-0000-0000-000057010000}"/>
    <cellStyle name="Normal 3 2 2 3 2 2 2 2 4" xfId="5376" xr:uid="{00000000-0005-0000-0000-000057010000}"/>
    <cellStyle name="Normal 3 2 2 3 2 2 2 3" xfId="1658" xr:uid="{00000000-0005-0000-0000-000058010000}"/>
    <cellStyle name="Normal 3 2 2 3 2 2 2 3 2" xfId="3880" xr:uid="{00000000-0005-0000-0000-000059010000}"/>
    <cellStyle name="Normal 3 2 2 3 2 2 2 3 2 2" xfId="7880" xr:uid="{00000000-0005-0000-0000-000059010000}"/>
    <cellStyle name="Normal 3 2 2 3 2 2 2 3 3" xfId="5879" xr:uid="{00000000-0005-0000-0000-000059010000}"/>
    <cellStyle name="Normal 3 2 2 3 2 2 2 4" xfId="2882" xr:uid="{00000000-0005-0000-0000-000056010000}"/>
    <cellStyle name="Normal 3 2 2 3 2 2 2 4 2" xfId="6881" xr:uid="{00000000-0005-0000-0000-000056010000}"/>
    <cellStyle name="Normal 3 2 2 3 2 2 2 5" xfId="4880" xr:uid="{00000000-0005-0000-0000-000056010000}"/>
    <cellStyle name="Normal 3 2 2 3 2 2 3" xfId="904" xr:uid="{00000000-0005-0000-0000-000059010000}"/>
    <cellStyle name="Normal 3 2 2 3 2 2 3 2" xfId="1906" xr:uid="{00000000-0005-0000-0000-00005A010000}"/>
    <cellStyle name="Normal 3 2 2 3 2 2 3 2 2" xfId="4128" xr:uid="{00000000-0005-0000-0000-00005B010000}"/>
    <cellStyle name="Normal 3 2 2 3 2 2 3 2 2 2" xfId="8128" xr:uid="{00000000-0005-0000-0000-00005B010000}"/>
    <cellStyle name="Normal 3 2 2 3 2 2 3 2 3" xfId="6127" xr:uid="{00000000-0005-0000-0000-00005B010000}"/>
    <cellStyle name="Normal 3 2 2 3 2 2 3 3" xfId="3130" xr:uid="{00000000-0005-0000-0000-00005A010000}"/>
    <cellStyle name="Normal 3 2 2 3 2 2 3 3 2" xfId="7129" xr:uid="{00000000-0005-0000-0000-00005A010000}"/>
    <cellStyle name="Normal 3 2 2 3 2 2 3 4" xfId="5128" xr:uid="{00000000-0005-0000-0000-00005A010000}"/>
    <cellStyle name="Normal 3 2 2 3 2 2 4" xfId="1410" xr:uid="{00000000-0005-0000-0000-00005B010000}"/>
    <cellStyle name="Normal 3 2 2 3 2 2 4 2" xfId="3632" xr:uid="{00000000-0005-0000-0000-00005C010000}"/>
    <cellStyle name="Normal 3 2 2 3 2 2 4 2 2" xfId="7632" xr:uid="{00000000-0005-0000-0000-00005C010000}"/>
    <cellStyle name="Normal 3 2 2 3 2 2 4 3" xfId="5631" xr:uid="{00000000-0005-0000-0000-00005C010000}"/>
    <cellStyle name="Normal 3 2 2 3 2 2 5" xfId="2639" xr:uid="{00000000-0005-0000-0000-000055010000}"/>
    <cellStyle name="Normal 3 2 2 3 2 2 5 2" xfId="6633" xr:uid="{00000000-0005-0000-0000-000055010000}"/>
    <cellStyle name="Normal 3 2 2 3 2 2 6" xfId="4632" xr:uid="{00000000-0005-0000-0000-000055010000}"/>
    <cellStyle name="Normal 3 2 2 3 2 3" xfId="454" xr:uid="{00000000-0005-0000-0000-00005C010000}"/>
    <cellStyle name="Normal 3 2 2 3 2 3 2" xfId="701" xr:uid="{00000000-0005-0000-0000-00005D010000}"/>
    <cellStyle name="Normal 3 2 2 3 2 3 2 2" xfId="1198" xr:uid="{00000000-0005-0000-0000-00005E010000}"/>
    <cellStyle name="Normal 3 2 2 3 2 3 2 2 2" xfId="2200" xr:uid="{00000000-0005-0000-0000-00005F010000}"/>
    <cellStyle name="Normal 3 2 2 3 2 3 2 2 2 2" xfId="4422" xr:uid="{00000000-0005-0000-0000-000060010000}"/>
    <cellStyle name="Normal 3 2 2 3 2 3 2 2 2 2 2" xfId="8422" xr:uid="{00000000-0005-0000-0000-000060010000}"/>
    <cellStyle name="Normal 3 2 2 3 2 3 2 2 2 3" xfId="6421" xr:uid="{00000000-0005-0000-0000-000060010000}"/>
    <cellStyle name="Normal 3 2 2 3 2 3 2 2 3" xfId="3424" xr:uid="{00000000-0005-0000-0000-00005F010000}"/>
    <cellStyle name="Normal 3 2 2 3 2 3 2 2 3 2" xfId="7423" xr:uid="{00000000-0005-0000-0000-00005F010000}"/>
    <cellStyle name="Normal 3 2 2 3 2 3 2 2 4" xfId="5422" xr:uid="{00000000-0005-0000-0000-00005F010000}"/>
    <cellStyle name="Normal 3 2 2 3 2 3 2 3" xfId="1704" xr:uid="{00000000-0005-0000-0000-000060010000}"/>
    <cellStyle name="Normal 3 2 2 3 2 3 2 3 2" xfId="3926" xr:uid="{00000000-0005-0000-0000-000061010000}"/>
    <cellStyle name="Normal 3 2 2 3 2 3 2 3 2 2" xfId="7926" xr:uid="{00000000-0005-0000-0000-000061010000}"/>
    <cellStyle name="Normal 3 2 2 3 2 3 2 3 3" xfId="5925" xr:uid="{00000000-0005-0000-0000-000061010000}"/>
    <cellStyle name="Normal 3 2 2 3 2 3 2 4" xfId="2928" xr:uid="{00000000-0005-0000-0000-00005E010000}"/>
    <cellStyle name="Normal 3 2 2 3 2 3 2 4 2" xfId="6927" xr:uid="{00000000-0005-0000-0000-00005E010000}"/>
    <cellStyle name="Normal 3 2 2 3 2 3 2 5" xfId="4926" xr:uid="{00000000-0005-0000-0000-00005E010000}"/>
    <cellStyle name="Normal 3 2 2 3 2 3 3" xfId="950" xr:uid="{00000000-0005-0000-0000-000061010000}"/>
    <cellStyle name="Normal 3 2 2 3 2 3 3 2" xfId="1952" xr:uid="{00000000-0005-0000-0000-000062010000}"/>
    <cellStyle name="Normal 3 2 2 3 2 3 3 2 2" xfId="4174" xr:uid="{00000000-0005-0000-0000-000063010000}"/>
    <cellStyle name="Normal 3 2 2 3 2 3 3 2 2 2" xfId="8174" xr:uid="{00000000-0005-0000-0000-000063010000}"/>
    <cellStyle name="Normal 3 2 2 3 2 3 3 2 3" xfId="6173" xr:uid="{00000000-0005-0000-0000-000063010000}"/>
    <cellStyle name="Normal 3 2 2 3 2 3 3 3" xfId="3176" xr:uid="{00000000-0005-0000-0000-000062010000}"/>
    <cellStyle name="Normal 3 2 2 3 2 3 3 3 2" xfId="7175" xr:uid="{00000000-0005-0000-0000-000062010000}"/>
    <cellStyle name="Normal 3 2 2 3 2 3 3 4" xfId="5174" xr:uid="{00000000-0005-0000-0000-000062010000}"/>
    <cellStyle name="Normal 3 2 2 3 2 3 4" xfId="1456" xr:uid="{00000000-0005-0000-0000-000063010000}"/>
    <cellStyle name="Normal 3 2 2 3 2 3 4 2" xfId="3678" xr:uid="{00000000-0005-0000-0000-000064010000}"/>
    <cellStyle name="Normal 3 2 2 3 2 3 4 2 2" xfId="7678" xr:uid="{00000000-0005-0000-0000-000064010000}"/>
    <cellStyle name="Normal 3 2 2 3 2 3 4 3" xfId="5677" xr:uid="{00000000-0005-0000-0000-000064010000}"/>
    <cellStyle name="Normal 3 2 2 3 2 3 5" xfId="2681" xr:uid="{00000000-0005-0000-0000-00005D010000}"/>
    <cellStyle name="Normal 3 2 2 3 2 3 5 2" xfId="6679" xr:uid="{00000000-0005-0000-0000-00005D010000}"/>
    <cellStyle name="Normal 3 2 2 3 2 3 6" xfId="4678" xr:uid="{00000000-0005-0000-0000-00005D010000}"/>
    <cellStyle name="Normal 3 2 2 3 2 4" xfId="540" xr:uid="{00000000-0005-0000-0000-000064010000}"/>
    <cellStyle name="Normal 3 2 2 3 2 4 2" xfId="787" xr:uid="{00000000-0005-0000-0000-000065010000}"/>
    <cellStyle name="Normal 3 2 2 3 2 4 2 2" xfId="1285" xr:uid="{00000000-0005-0000-0000-000066010000}"/>
    <cellStyle name="Normal 3 2 2 3 2 4 2 2 2" xfId="2287" xr:uid="{00000000-0005-0000-0000-000067010000}"/>
    <cellStyle name="Normal 3 2 2 3 2 4 2 2 2 2" xfId="4509" xr:uid="{00000000-0005-0000-0000-000068010000}"/>
    <cellStyle name="Normal 3 2 2 3 2 4 2 2 2 2 2" xfId="8509" xr:uid="{00000000-0005-0000-0000-000068010000}"/>
    <cellStyle name="Normal 3 2 2 3 2 4 2 2 2 3" xfId="6508" xr:uid="{00000000-0005-0000-0000-000068010000}"/>
    <cellStyle name="Normal 3 2 2 3 2 4 2 2 3" xfId="3511" xr:uid="{00000000-0005-0000-0000-000067010000}"/>
    <cellStyle name="Normal 3 2 2 3 2 4 2 2 3 2" xfId="7510" xr:uid="{00000000-0005-0000-0000-000067010000}"/>
    <cellStyle name="Normal 3 2 2 3 2 4 2 2 4" xfId="5509" xr:uid="{00000000-0005-0000-0000-000067010000}"/>
    <cellStyle name="Normal 3 2 2 3 2 4 2 3" xfId="1791" xr:uid="{00000000-0005-0000-0000-000068010000}"/>
    <cellStyle name="Normal 3 2 2 3 2 4 2 3 2" xfId="4013" xr:uid="{00000000-0005-0000-0000-000069010000}"/>
    <cellStyle name="Normal 3 2 2 3 2 4 2 3 2 2" xfId="8013" xr:uid="{00000000-0005-0000-0000-000069010000}"/>
    <cellStyle name="Normal 3 2 2 3 2 4 2 3 3" xfId="6012" xr:uid="{00000000-0005-0000-0000-000069010000}"/>
    <cellStyle name="Normal 3 2 2 3 2 4 2 4" xfId="3015" xr:uid="{00000000-0005-0000-0000-000066010000}"/>
    <cellStyle name="Normal 3 2 2 3 2 4 2 4 2" xfId="7014" xr:uid="{00000000-0005-0000-0000-000066010000}"/>
    <cellStyle name="Normal 3 2 2 3 2 4 2 5" xfId="5013" xr:uid="{00000000-0005-0000-0000-000066010000}"/>
    <cellStyle name="Normal 3 2 2 3 2 4 3" xfId="1037" xr:uid="{00000000-0005-0000-0000-000069010000}"/>
    <cellStyle name="Normal 3 2 2 3 2 4 3 2" xfId="2039" xr:uid="{00000000-0005-0000-0000-00006A010000}"/>
    <cellStyle name="Normal 3 2 2 3 2 4 3 2 2" xfId="4261" xr:uid="{00000000-0005-0000-0000-00006B010000}"/>
    <cellStyle name="Normal 3 2 2 3 2 4 3 2 2 2" xfId="8261" xr:uid="{00000000-0005-0000-0000-00006B010000}"/>
    <cellStyle name="Normal 3 2 2 3 2 4 3 2 3" xfId="6260" xr:uid="{00000000-0005-0000-0000-00006B010000}"/>
    <cellStyle name="Normal 3 2 2 3 2 4 3 3" xfId="3263" xr:uid="{00000000-0005-0000-0000-00006A010000}"/>
    <cellStyle name="Normal 3 2 2 3 2 4 3 3 2" xfId="7262" xr:uid="{00000000-0005-0000-0000-00006A010000}"/>
    <cellStyle name="Normal 3 2 2 3 2 4 3 4" xfId="5261" xr:uid="{00000000-0005-0000-0000-00006A010000}"/>
    <cellStyle name="Normal 3 2 2 3 2 4 4" xfId="1543" xr:uid="{00000000-0005-0000-0000-00006B010000}"/>
    <cellStyle name="Normal 3 2 2 3 2 4 4 2" xfId="3765" xr:uid="{00000000-0005-0000-0000-00006C010000}"/>
    <cellStyle name="Normal 3 2 2 3 2 4 4 2 2" xfId="7765" xr:uid="{00000000-0005-0000-0000-00006C010000}"/>
    <cellStyle name="Normal 3 2 2 3 2 4 4 3" xfId="5764" xr:uid="{00000000-0005-0000-0000-00006C010000}"/>
    <cellStyle name="Normal 3 2 2 3 2 4 5" xfId="2768" xr:uid="{00000000-0005-0000-0000-000065010000}"/>
    <cellStyle name="Normal 3 2 2 3 2 4 5 2" xfId="6766" xr:uid="{00000000-0005-0000-0000-000065010000}"/>
    <cellStyle name="Normal 3 2 2 3 2 4 6" xfId="4765" xr:uid="{00000000-0005-0000-0000-000065010000}"/>
    <cellStyle name="Normal 3 2 2 3 2 5" xfId="586" xr:uid="{00000000-0005-0000-0000-00006C010000}"/>
    <cellStyle name="Normal 3 2 2 3 2 5 2" xfId="1084" xr:uid="{00000000-0005-0000-0000-00006D010000}"/>
    <cellStyle name="Normal 3 2 2 3 2 5 2 2" xfId="2086" xr:uid="{00000000-0005-0000-0000-00006E010000}"/>
    <cellStyle name="Normal 3 2 2 3 2 5 2 2 2" xfId="4308" xr:uid="{00000000-0005-0000-0000-00006F010000}"/>
    <cellStyle name="Normal 3 2 2 3 2 5 2 2 2 2" xfId="8308" xr:uid="{00000000-0005-0000-0000-00006F010000}"/>
    <cellStyle name="Normal 3 2 2 3 2 5 2 2 3" xfId="6307" xr:uid="{00000000-0005-0000-0000-00006F010000}"/>
    <cellStyle name="Normal 3 2 2 3 2 5 2 3" xfId="3310" xr:uid="{00000000-0005-0000-0000-00006E010000}"/>
    <cellStyle name="Normal 3 2 2 3 2 5 2 3 2" xfId="7309" xr:uid="{00000000-0005-0000-0000-00006E010000}"/>
    <cellStyle name="Normal 3 2 2 3 2 5 2 4" xfId="5308" xr:uid="{00000000-0005-0000-0000-00006E010000}"/>
    <cellStyle name="Normal 3 2 2 3 2 5 3" xfId="1590" xr:uid="{00000000-0005-0000-0000-00006F010000}"/>
    <cellStyle name="Normal 3 2 2 3 2 5 3 2" xfId="3812" xr:uid="{00000000-0005-0000-0000-000070010000}"/>
    <cellStyle name="Normal 3 2 2 3 2 5 3 2 2" xfId="7812" xr:uid="{00000000-0005-0000-0000-000070010000}"/>
    <cellStyle name="Normal 3 2 2 3 2 5 3 3" xfId="5811" xr:uid="{00000000-0005-0000-0000-000070010000}"/>
    <cellStyle name="Normal 3 2 2 3 2 5 4" xfId="2815" xr:uid="{00000000-0005-0000-0000-00006D010000}"/>
    <cellStyle name="Normal 3 2 2 3 2 5 4 2" xfId="6813" xr:uid="{00000000-0005-0000-0000-00006D010000}"/>
    <cellStyle name="Normal 3 2 2 3 2 5 5" xfId="4812" xr:uid="{00000000-0005-0000-0000-00006D010000}"/>
    <cellStyle name="Normal 3 2 2 3 2 6" xfId="836" xr:uid="{00000000-0005-0000-0000-000070010000}"/>
    <cellStyle name="Normal 3 2 2 3 2 6 2" xfId="1838" xr:uid="{00000000-0005-0000-0000-000071010000}"/>
    <cellStyle name="Normal 3 2 2 3 2 6 2 2" xfId="4060" xr:uid="{00000000-0005-0000-0000-000072010000}"/>
    <cellStyle name="Normal 3 2 2 3 2 6 2 2 2" xfId="8060" xr:uid="{00000000-0005-0000-0000-000072010000}"/>
    <cellStyle name="Normal 3 2 2 3 2 6 2 3" xfId="6059" xr:uid="{00000000-0005-0000-0000-000072010000}"/>
    <cellStyle name="Normal 3 2 2 3 2 6 3" xfId="3062" xr:uid="{00000000-0005-0000-0000-000071010000}"/>
    <cellStyle name="Normal 3 2 2 3 2 6 3 2" xfId="7061" xr:uid="{00000000-0005-0000-0000-000071010000}"/>
    <cellStyle name="Normal 3 2 2 3 2 6 4" xfId="5060" xr:uid="{00000000-0005-0000-0000-000071010000}"/>
    <cellStyle name="Normal 3 2 2 3 2 7" xfId="1342" xr:uid="{00000000-0005-0000-0000-000072010000}"/>
    <cellStyle name="Normal 3 2 2 3 2 7 2" xfId="3564" xr:uid="{00000000-0005-0000-0000-000073010000}"/>
    <cellStyle name="Normal 3 2 2 3 2 7 2 2" xfId="7564" xr:uid="{00000000-0005-0000-0000-000073010000}"/>
    <cellStyle name="Normal 3 2 2 3 2 7 3" xfId="5563" xr:uid="{00000000-0005-0000-0000-000073010000}"/>
    <cellStyle name="Normal 3 2 2 3 2 8" xfId="2576" xr:uid="{00000000-0005-0000-0000-000054010000}"/>
    <cellStyle name="Normal 3 2 2 3 2 8 2" xfId="6565" xr:uid="{00000000-0005-0000-0000-000054010000}"/>
    <cellStyle name="Normal 3 2 2 3 2 9" xfId="4564" xr:uid="{00000000-0005-0000-0000-000054010000}"/>
    <cellStyle name="Normal 3 2 2 3 3" xfId="364" xr:uid="{00000000-0005-0000-0000-000073010000}"/>
    <cellStyle name="Normal 3 2 2 3 3 2" xfId="476" xr:uid="{00000000-0005-0000-0000-000074010000}"/>
    <cellStyle name="Normal 3 2 2 3 3 2 2" xfId="723" xr:uid="{00000000-0005-0000-0000-000075010000}"/>
    <cellStyle name="Normal 3 2 2 3 3 2 2 2" xfId="1220" xr:uid="{00000000-0005-0000-0000-000076010000}"/>
    <cellStyle name="Normal 3 2 2 3 3 2 2 2 2" xfId="2222" xr:uid="{00000000-0005-0000-0000-000077010000}"/>
    <cellStyle name="Normal 3 2 2 3 3 2 2 2 2 2" xfId="4444" xr:uid="{00000000-0005-0000-0000-000078010000}"/>
    <cellStyle name="Normal 3 2 2 3 3 2 2 2 2 2 2" xfId="8444" xr:uid="{00000000-0005-0000-0000-000078010000}"/>
    <cellStyle name="Normal 3 2 2 3 3 2 2 2 2 3" xfId="6443" xr:uid="{00000000-0005-0000-0000-000078010000}"/>
    <cellStyle name="Normal 3 2 2 3 3 2 2 2 3" xfId="3446" xr:uid="{00000000-0005-0000-0000-000077010000}"/>
    <cellStyle name="Normal 3 2 2 3 3 2 2 2 3 2" xfId="7445" xr:uid="{00000000-0005-0000-0000-000077010000}"/>
    <cellStyle name="Normal 3 2 2 3 3 2 2 2 4" xfId="5444" xr:uid="{00000000-0005-0000-0000-000077010000}"/>
    <cellStyle name="Normal 3 2 2 3 3 2 2 3" xfId="1726" xr:uid="{00000000-0005-0000-0000-000078010000}"/>
    <cellStyle name="Normal 3 2 2 3 3 2 2 3 2" xfId="3948" xr:uid="{00000000-0005-0000-0000-000079010000}"/>
    <cellStyle name="Normal 3 2 2 3 3 2 2 3 2 2" xfId="7948" xr:uid="{00000000-0005-0000-0000-000079010000}"/>
    <cellStyle name="Normal 3 2 2 3 3 2 2 3 3" xfId="5947" xr:uid="{00000000-0005-0000-0000-000079010000}"/>
    <cellStyle name="Normal 3 2 2 3 3 2 2 4" xfId="2950" xr:uid="{00000000-0005-0000-0000-000076010000}"/>
    <cellStyle name="Normal 3 2 2 3 3 2 2 4 2" xfId="6949" xr:uid="{00000000-0005-0000-0000-000076010000}"/>
    <cellStyle name="Normal 3 2 2 3 3 2 2 5" xfId="4948" xr:uid="{00000000-0005-0000-0000-000076010000}"/>
    <cellStyle name="Normal 3 2 2 3 3 2 3" xfId="972" xr:uid="{00000000-0005-0000-0000-000079010000}"/>
    <cellStyle name="Normal 3 2 2 3 3 2 3 2" xfId="1974" xr:uid="{00000000-0005-0000-0000-00007A010000}"/>
    <cellStyle name="Normal 3 2 2 3 3 2 3 2 2" xfId="4196" xr:uid="{00000000-0005-0000-0000-00007B010000}"/>
    <cellStyle name="Normal 3 2 2 3 3 2 3 2 2 2" xfId="8196" xr:uid="{00000000-0005-0000-0000-00007B010000}"/>
    <cellStyle name="Normal 3 2 2 3 3 2 3 2 3" xfId="6195" xr:uid="{00000000-0005-0000-0000-00007B010000}"/>
    <cellStyle name="Normal 3 2 2 3 3 2 3 3" xfId="3198" xr:uid="{00000000-0005-0000-0000-00007A010000}"/>
    <cellStyle name="Normal 3 2 2 3 3 2 3 3 2" xfId="7197" xr:uid="{00000000-0005-0000-0000-00007A010000}"/>
    <cellStyle name="Normal 3 2 2 3 3 2 3 4" xfId="5196" xr:uid="{00000000-0005-0000-0000-00007A010000}"/>
    <cellStyle name="Normal 3 2 2 3 3 2 4" xfId="1478" xr:uid="{00000000-0005-0000-0000-00007B010000}"/>
    <cellStyle name="Normal 3 2 2 3 3 2 4 2" xfId="3700" xr:uid="{00000000-0005-0000-0000-00007C010000}"/>
    <cellStyle name="Normal 3 2 2 3 3 2 4 2 2" xfId="7700" xr:uid="{00000000-0005-0000-0000-00007C010000}"/>
    <cellStyle name="Normal 3 2 2 3 3 2 4 3" xfId="5699" xr:uid="{00000000-0005-0000-0000-00007C010000}"/>
    <cellStyle name="Normal 3 2 2 3 3 2 5" xfId="2703" xr:uid="{00000000-0005-0000-0000-000075010000}"/>
    <cellStyle name="Normal 3 2 2 3 3 2 5 2" xfId="6701" xr:uid="{00000000-0005-0000-0000-000075010000}"/>
    <cellStyle name="Normal 3 2 2 3 3 2 6" xfId="4700" xr:uid="{00000000-0005-0000-0000-000075010000}"/>
    <cellStyle name="Normal 3 2 2 3 3 3" xfId="608" xr:uid="{00000000-0005-0000-0000-00007C010000}"/>
    <cellStyle name="Normal 3 2 2 3 3 3 2" xfId="1106" xr:uid="{00000000-0005-0000-0000-00007D010000}"/>
    <cellStyle name="Normal 3 2 2 3 3 3 2 2" xfId="2108" xr:uid="{00000000-0005-0000-0000-00007E010000}"/>
    <cellStyle name="Normal 3 2 2 3 3 3 2 2 2" xfId="4330" xr:uid="{00000000-0005-0000-0000-00007F010000}"/>
    <cellStyle name="Normal 3 2 2 3 3 3 2 2 2 2" xfId="8330" xr:uid="{00000000-0005-0000-0000-00007F010000}"/>
    <cellStyle name="Normal 3 2 2 3 3 3 2 2 3" xfId="6329" xr:uid="{00000000-0005-0000-0000-00007F010000}"/>
    <cellStyle name="Normal 3 2 2 3 3 3 2 3" xfId="3332" xr:uid="{00000000-0005-0000-0000-00007E010000}"/>
    <cellStyle name="Normal 3 2 2 3 3 3 2 3 2" xfId="7331" xr:uid="{00000000-0005-0000-0000-00007E010000}"/>
    <cellStyle name="Normal 3 2 2 3 3 3 2 4" xfId="5330" xr:uid="{00000000-0005-0000-0000-00007E010000}"/>
    <cellStyle name="Normal 3 2 2 3 3 3 3" xfId="1612" xr:uid="{00000000-0005-0000-0000-00007F010000}"/>
    <cellStyle name="Normal 3 2 2 3 3 3 3 2" xfId="3834" xr:uid="{00000000-0005-0000-0000-000080010000}"/>
    <cellStyle name="Normal 3 2 2 3 3 3 3 2 2" xfId="7834" xr:uid="{00000000-0005-0000-0000-000080010000}"/>
    <cellStyle name="Normal 3 2 2 3 3 3 3 3" xfId="5833" xr:uid="{00000000-0005-0000-0000-000080010000}"/>
    <cellStyle name="Normal 3 2 2 3 3 3 4" xfId="2837" xr:uid="{00000000-0005-0000-0000-00007D010000}"/>
    <cellStyle name="Normal 3 2 2 3 3 3 4 2" xfId="6835" xr:uid="{00000000-0005-0000-0000-00007D010000}"/>
    <cellStyle name="Normal 3 2 2 3 3 3 5" xfId="4834" xr:uid="{00000000-0005-0000-0000-00007D010000}"/>
    <cellStyle name="Normal 3 2 2 3 3 4" xfId="858" xr:uid="{00000000-0005-0000-0000-000080010000}"/>
    <cellStyle name="Normal 3 2 2 3 3 4 2" xfId="1860" xr:uid="{00000000-0005-0000-0000-000081010000}"/>
    <cellStyle name="Normal 3 2 2 3 3 4 2 2" xfId="4082" xr:uid="{00000000-0005-0000-0000-000082010000}"/>
    <cellStyle name="Normal 3 2 2 3 3 4 2 2 2" xfId="8082" xr:uid="{00000000-0005-0000-0000-000082010000}"/>
    <cellStyle name="Normal 3 2 2 3 3 4 2 3" xfId="6081" xr:uid="{00000000-0005-0000-0000-000082010000}"/>
    <cellStyle name="Normal 3 2 2 3 3 4 3" xfId="3084" xr:uid="{00000000-0005-0000-0000-000081010000}"/>
    <cellStyle name="Normal 3 2 2 3 3 4 3 2" xfId="7083" xr:uid="{00000000-0005-0000-0000-000081010000}"/>
    <cellStyle name="Normal 3 2 2 3 3 4 4" xfId="5082" xr:uid="{00000000-0005-0000-0000-000081010000}"/>
    <cellStyle name="Normal 3 2 2 3 3 5" xfId="1364" xr:uid="{00000000-0005-0000-0000-000082010000}"/>
    <cellStyle name="Normal 3 2 2 3 3 5 2" xfId="3586" xr:uid="{00000000-0005-0000-0000-000083010000}"/>
    <cellStyle name="Normal 3 2 2 3 3 5 2 2" xfId="7586" xr:uid="{00000000-0005-0000-0000-000083010000}"/>
    <cellStyle name="Normal 3 2 2 3 3 5 3" xfId="5585" xr:uid="{00000000-0005-0000-0000-000083010000}"/>
    <cellStyle name="Normal 3 2 2 3 3 6" xfId="2598" xr:uid="{00000000-0005-0000-0000-000074010000}"/>
    <cellStyle name="Normal 3 2 2 3 3 6 2" xfId="6587" xr:uid="{00000000-0005-0000-0000-000074010000}"/>
    <cellStyle name="Normal 3 2 2 3 3 7" xfId="4586" xr:uid="{00000000-0005-0000-0000-000074010000}"/>
    <cellStyle name="Normal 3 2 2 3 4" xfId="385" xr:uid="{00000000-0005-0000-0000-000083010000}"/>
    <cellStyle name="Normal 3 2 2 3 4 2" xfId="631" xr:uid="{00000000-0005-0000-0000-000084010000}"/>
    <cellStyle name="Normal 3 2 2 3 4 2 2" xfId="1128" xr:uid="{00000000-0005-0000-0000-000085010000}"/>
    <cellStyle name="Normal 3 2 2 3 4 2 2 2" xfId="2130" xr:uid="{00000000-0005-0000-0000-000086010000}"/>
    <cellStyle name="Normal 3 2 2 3 4 2 2 2 2" xfId="4352" xr:uid="{00000000-0005-0000-0000-000087010000}"/>
    <cellStyle name="Normal 3 2 2 3 4 2 2 2 2 2" xfId="8352" xr:uid="{00000000-0005-0000-0000-000087010000}"/>
    <cellStyle name="Normal 3 2 2 3 4 2 2 2 3" xfId="6351" xr:uid="{00000000-0005-0000-0000-000087010000}"/>
    <cellStyle name="Normal 3 2 2 3 4 2 2 3" xfId="3354" xr:uid="{00000000-0005-0000-0000-000086010000}"/>
    <cellStyle name="Normal 3 2 2 3 4 2 2 3 2" xfId="7353" xr:uid="{00000000-0005-0000-0000-000086010000}"/>
    <cellStyle name="Normal 3 2 2 3 4 2 2 4" xfId="5352" xr:uid="{00000000-0005-0000-0000-000086010000}"/>
    <cellStyle name="Normal 3 2 2 3 4 2 3" xfId="1634" xr:uid="{00000000-0005-0000-0000-000087010000}"/>
    <cellStyle name="Normal 3 2 2 3 4 2 3 2" xfId="3856" xr:uid="{00000000-0005-0000-0000-000088010000}"/>
    <cellStyle name="Normal 3 2 2 3 4 2 3 2 2" xfId="7856" xr:uid="{00000000-0005-0000-0000-000088010000}"/>
    <cellStyle name="Normal 3 2 2 3 4 2 3 3" xfId="5855" xr:uid="{00000000-0005-0000-0000-000088010000}"/>
    <cellStyle name="Normal 3 2 2 3 4 2 4" xfId="2858" xr:uid="{00000000-0005-0000-0000-000085010000}"/>
    <cellStyle name="Normal 3 2 2 3 4 2 4 2" xfId="6857" xr:uid="{00000000-0005-0000-0000-000085010000}"/>
    <cellStyle name="Normal 3 2 2 3 4 2 5" xfId="4856" xr:uid="{00000000-0005-0000-0000-000085010000}"/>
    <cellStyle name="Normal 3 2 2 3 4 3" xfId="880" xr:uid="{00000000-0005-0000-0000-000088010000}"/>
    <cellStyle name="Normal 3 2 2 3 4 3 2" xfId="1882" xr:uid="{00000000-0005-0000-0000-000089010000}"/>
    <cellStyle name="Normal 3 2 2 3 4 3 2 2" xfId="4104" xr:uid="{00000000-0005-0000-0000-00008A010000}"/>
    <cellStyle name="Normal 3 2 2 3 4 3 2 2 2" xfId="8104" xr:uid="{00000000-0005-0000-0000-00008A010000}"/>
    <cellStyle name="Normal 3 2 2 3 4 3 2 3" xfId="6103" xr:uid="{00000000-0005-0000-0000-00008A010000}"/>
    <cellStyle name="Normal 3 2 2 3 4 3 3" xfId="3106" xr:uid="{00000000-0005-0000-0000-000089010000}"/>
    <cellStyle name="Normal 3 2 2 3 4 3 3 2" xfId="7105" xr:uid="{00000000-0005-0000-0000-000089010000}"/>
    <cellStyle name="Normal 3 2 2 3 4 3 4" xfId="5104" xr:uid="{00000000-0005-0000-0000-000089010000}"/>
    <cellStyle name="Normal 3 2 2 3 4 4" xfId="1386" xr:uid="{00000000-0005-0000-0000-00008A010000}"/>
    <cellStyle name="Normal 3 2 2 3 4 4 2" xfId="3608" xr:uid="{00000000-0005-0000-0000-00008B010000}"/>
    <cellStyle name="Normal 3 2 2 3 4 4 2 2" xfId="7608" xr:uid="{00000000-0005-0000-0000-00008B010000}"/>
    <cellStyle name="Normal 3 2 2 3 4 4 3" xfId="5607" xr:uid="{00000000-0005-0000-0000-00008B010000}"/>
    <cellStyle name="Normal 3 2 2 3 4 5" xfId="2618" xr:uid="{00000000-0005-0000-0000-000084010000}"/>
    <cellStyle name="Normal 3 2 2 3 4 5 2" xfId="6609" xr:uid="{00000000-0005-0000-0000-000084010000}"/>
    <cellStyle name="Normal 3 2 2 3 4 6" xfId="4608" xr:uid="{00000000-0005-0000-0000-000084010000}"/>
    <cellStyle name="Normal 3 2 2 3 5" xfId="430" xr:uid="{00000000-0005-0000-0000-00008B010000}"/>
    <cellStyle name="Normal 3 2 2 3 5 2" xfId="677" xr:uid="{00000000-0005-0000-0000-00008C010000}"/>
    <cellStyle name="Normal 3 2 2 3 5 2 2" xfId="1174" xr:uid="{00000000-0005-0000-0000-00008D010000}"/>
    <cellStyle name="Normal 3 2 2 3 5 2 2 2" xfId="2176" xr:uid="{00000000-0005-0000-0000-00008E010000}"/>
    <cellStyle name="Normal 3 2 2 3 5 2 2 2 2" xfId="4398" xr:uid="{00000000-0005-0000-0000-00008F010000}"/>
    <cellStyle name="Normal 3 2 2 3 5 2 2 2 2 2" xfId="8398" xr:uid="{00000000-0005-0000-0000-00008F010000}"/>
    <cellStyle name="Normal 3 2 2 3 5 2 2 2 3" xfId="6397" xr:uid="{00000000-0005-0000-0000-00008F010000}"/>
    <cellStyle name="Normal 3 2 2 3 5 2 2 3" xfId="3400" xr:uid="{00000000-0005-0000-0000-00008E010000}"/>
    <cellStyle name="Normal 3 2 2 3 5 2 2 3 2" xfId="7399" xr:uid="{00000000-0005-0000-0000-00008E010000}"/>
    <cellStyle name="Normal 3 2 2 3 5 2 2 4" xfId="5398" xr:uid="{00000000-0005-0000-0000-00008E010000}"/>
    <cellStyle name="Normal 3 2 2 3 5 2 3" xfId="1680" xr:uid="{00000000-0005-0000-0000-00008F010000}"/>
    <cellStyle name="Normal 3 2 2 3 5 2 3 2" xfId="3902" xr:uid="{00000000-0005-0000-0000-000090010000}"/>
    <cellStyle name="Normal 3 2 2 3 5 2 3 2 2" xfId="7902" xr:uid="{00000000-0005-0000-0000-000090010000}"/>
    <cellStyle name="Normal 3 2 2 3 5 2 3 3" xfId="5901" xr:uid="{00000000-0005-0000-0000-000090010000}"/>
    <cellStyle name="Normal 3 2 2 3 5 2 4" xfId="2904" xr:uid="{00000000-0005-0000-0000-00008D010000}"/>
    <cellStyle name="Normal 3 2 2 3 5 2 4 2" xfId="6903" xr:uid="{00000000-0005-0000-0000-00008D010000}"/>
    <cellStyle name="Normal 3 2 2 3 5 2 5" xfId="4902" xr:uid="{00000000-0005-0000-0000-00008D010000}"/>
    <cellStyle name="Normal 3 2 2 3 5 3" xfId="926" xr:uid="{00000000-0005-0000-0000-000090010000}"/>
    <cellStyle name="Normal 3 2 2 3 5 3 2" xfId="1928" xr:uid="{00000000-0005-0000-0000-000091010000}"/>
    <cellStyle name="Normal 3 2 2 3 5 3 2 2" xfId="4150" xr:uid="{00000000-0005-0000-0000-000092010000}"/>
    <cellStyle name="Normal 3 2 2 3 5 3 2 2 2" xfId="8150" xr:uid="{00000000-0005-0000-0000-000092010000}"/>
    <cellStyle name="Normal 3 2 2 3 5 3 2 3" xfId="6149" xr:uid="{00000000-0005-0000-0000-000092010000}"/>
    <cellStyle name="Normal 3 2 2 3 5 3 3" xfId="3152" xr:uid="{00000000-0005-0000-0000-000091010000}"/>
    <cellStyle name="Normal 3 2 2 3 5 3 3 2" xfId="7151" xr:uid="{00000000-0005-0000-0000-000091010000}"/>
    <cellStyle name="Normal 3 2 2 3 5 3 4" xfId="5150" xr:uid="{00000000-0005-0000-0000-000091010000}"/>
    <cellStyle name="Normal 3 2 2 3 5 4" xfId="1432" xr:uid="{00000000-0005-0000-0000-000092010000}"/>
    <cellStyle name="Normal 3 2 2 3 5 4 2" xfId="3654" xr:uid="{00000000-0005-0000-0000-000093010000}"/>
    <cellStyle name="Normal 3 2 2 3 5 4 2 2" xfId="7654" xr:uid="{00000000-0005-0000-0000-000093010000}"/>
    <cellStyle name="Normal 3 2 2 3 5 4 3" xfId="5653" xr:uid="{00000000-0005-0000-0000-000093010000}"/>
    <cellStyle name="Normal 3 2 2 3 5 5" xfId="2658" xr:uid="{00000000-0005-0000-0000-00008C010000}"/>
    <cellStyle name="Normal 3 2 2 3 5 5 2" xfId="6655" xr:uid="{00000000-0005-0000-0000-00008C010000}"/>
    <cellStyle name="Normal 3 2 2 3 5 6" xfId="4654" xr:uid="{00000000-0005-0000-0000-00008C010000}"/>
    <cellStyle name="Normal 3 2 2 3 6" xfId="496" xr:uid="{00000000-0005-0000-0000-000093010000}"/>
    <cellStyle name="Normal 3 2 2 3 6 2" xfId="743" xr:uid="{00000000-0005-0000-0000-000094010000}"/>
    <cellStyle name="Normal 3 2 2 3 6 2 2" xfId="1240" xr:uid="{00000000-0005-0000-0000-000095010000}"/>
    <cellStyle name="Normal 3 2 2 3 6 2 2 2" xfId="2242" xr:uid="{00000000-0005-0000-0000-000096010000}"/>
    <cellStyle name="Normal 3 2 2 3 6 2 2 2 2" xfId="4464" xr:uid="{00000000-0005-0000-0000-000097010000}"/>
    <cellStyle name="Normal 3 2 2 3 6 2 2 2 2 2" xfId="8464" xr:uid="{00000000-0005-0000-0000-000097010000}"/>
    <cellStyle name="Normal 3 2 2 3 6 2 2 2 3" xfId="6463" xr:uid="{00000000-0005-0000-0000-000097010000}"/>
    <cellStyle name="Normal 3 2 2 3 6 2 2 3" xfId="3466" xr:uid="{00000000-0005-0000-0000-000096010000}"/>
    <cellStyle name="Normal 3 2 2 3 6 2 2 3 2" xfId="7465" xr:uid="{00000000-0005-0000-0000-000096010000}"/>
    <cellStyle name="Normal 3 2 2 3 6 2 2 4" xfId="5464" xr:uid="{00000000-0005-0000-0000-000096010000}"/>
    <cellStyle name="Normal 3 2 2 3 6 2 3" xfId="1746" xr:uid="{00000000-0005-0000-0000-000097010000}"/>
    <cellStyle name="Normal 3 2 2 3 6 2 3 2" xfId="3968" xr:uid="{00000000-0005-0000-0000-000098010000}"/>
    <cellStyle name="Normal 3 2 2 3 6 2 3 2 2" xfId="7968" xr:uid="{00000000-0005-0000-0000-000098010000}"/>
    <cellStyle name="Normal 3 2 2 3 6 2 3 3" xfId="5967" xr:uid="{00000000-0005-0000-0000-000098010000}"/>
    <cellStyle name="Normal 3 2 2 3 6 2 4" xfId="2970" xr:uid="{00000000-0005-0000-0000-000095010000}"/>
    <cellStyle name="Normal 3 2 2 3 6 2 4 2" xfId="6969" xr:uid="{00000000-0005-0000-0000-000095010000}"/>
    <cellStyle name="Normal 3 2 2 3 6 2 5" xfId="4968" xr:uid="{00000000-0005-0000-0000-000095010000}"/>
    <cellStyle name="Normal 3 2 2 3 6 3" xfId="992" xr:uid="{00000000-0005-0000-0000-000098010000}"/>
    <cellStyle name="Normal 3 2 2 3 6 3 2" xfId="1994" xr:uid="{00000000-0005-0000-0000-000099010000}"/>
    <cellStyle name="Normal 3 2 2 3 6 3 2 2" xfId="4216" xr:uid="{00000000-0005-0000-0000-00009A010000}"/>
    <cellStyle name="Normal 3 2 2 3 6 3 2 2 2" xfId="8216" xr:uid="{00000000-0005-0000-0000-00009A010000}"/>
    <cellStyle name="Normal 3 2 2 3 6 3 2 3" xfId="6215" xr:uid="{00000000-0005-0000-0000-00009A010000}"/>
    <cellStyle name="Normal 3 2 2 3 6 3 3" xfId="3218" xr:uid="{00000000-0005-0000-0000-000099010000}"/>
    <cellStyle name="Normal 3 2 2 3 6 3 3 2" xfId="7217" xr:uid="{00000000-0005-0000-0000-000099010000}"/>
    <cellStyle name="Normal 3 2 2 3 6 3 4" xfId="5216" xr:uid="{00000000-0005-0000-0000-000099010000}"/>
    <cellStyle name="Normal 3 2 2 3 6 4" xfId="1498" xr:uid="{00000000-0005-0000-0000-00009A010000}"/>
    <cellStyle name="Normal 3 2 2 3 6 4 2" xfId="3720" xr:uid="{00000000-0005-0000-0000-00009B010000}"/>
    <cellStyle name="Normal 3 2 2 3 6 4 2 2" xfId="7720" xr:uid="{00000000-0005-0000-0000-00009B010000}"/>
    <cellStyle name="Normal 3 2 2 3 6 4 3" xfId="5719" xr:uid="{00000000-0005-0000-0000-00009B010000}"/>
    <cellStyle name="Normal 3 2 2 3 6 5" xfId="2723" xr:uid="{00000000-0005-0000-0000-000094010000}"/>
    <cellStyle name="Normal 3 2 2 3 6 5 2" xfId="6721" xr:uid="{00000000-0005-0000-0000-000094010000}"/>
    <cellStyle name="Normal 3 2 2 3 6 6" xfId="4720" xr:uid="{00000000-0005-0000-0000-000094010000}"/>
    <cellStyle name="Normal 3 2 2 3 7" xfId="516" xr:uid="{00000000-0005-0000-0000-00009B010000}"/>
    <cellStyle name="Normal 3 2 2 3 7 2" xfId="763" xr:uid="{00000000-0005-0000-0000-00009C010000}"/>
    <cellStyle name="Normal 3 2 2 3 7 2 2" xfId="1261" xr:uid="{00000000-0005-0000-0000-00009D010000}"/>
    <cellStyle name="Normal 3 2 2 3 7 2 2 2" xfId="2263" xr:uid="{00000000-0005-0000-0000-00009E010000}"/>
    <cellStyle name="Normal 3 2 2 3 7 2 2 2 2" xfId="4485" xr:uid="{00000000-0005-0000-0000-00009F010000}"/>
    <cellStyle name="Normal 3 2 2 3 7 2 2 2 2 2" xfId="8485" xr:uid="{00000000-0005-0000-0000-00009F010000}"/>
    <cellStyle name="Normal 3 2 2 3 7 2 2 2 3" xfId="6484" xr:uid="{00000000-0005-0000-0000-00009F010000}"/>
    <cellStyle name="Normal 3 2 2 3 7 2 2 3" xfId="3487" xr:uid="{00000000-0005-0000-0000-00009E010000}"/>
    <cellStyle name="Normal 3 2 2 3 7 2 2 3 2" xfId="7486" xr:uid="{00000000-0005-0000-0000-00009E010000}"/>
    <cellStyle name="Normal 3 2 2 3 7 2 2 4" xfId="5485" xr:uid="{00000000-0005-0000-0000-00009E010000}"/>
    <cellStyle name="Normal 3 2 2 3 7 2 3" xfId="1767" xr:uid="{00000000-0005-0000-0000-00009F010000}"/>
    <cellStyle name="Normal 3 2 2 3 7 2 3 2" xfId="3989" xr:uid="{00000000-0005-0000-0000-0000A0010000}"/>
    <cellStyle name="Normal 3 2 2 3 7 2 3 2 2" xfId="7989" xr:uid="{00000000-0005-0000-0000-0000A0010000}"/>
    <cellStyle name="Normal 3 2 2 3 7 2 3 3" xfId="5988" xr:uid="{00000000-0005-0000-0000-0000A0010000}"/>
    <cellStyle name="Normal 3 2 2 3 7 2 4" xfId="2991" xr:uid="{00000000-0005-0000-0000-00009D010000}"/>
    <cellStyle name="Normal 3 2 2 3 7 2 4 2" xfId="6990" xr:uid="{00000000-0005-0000-0000-00009D010000}"/>
    <cellStyle name="Normal 3 2 2 3 7 2 5" xfId="4989" xr:uid="{00000000-0005-0000-0000-00009D010000}"/>
    <cellStyle name="Normal 3 2 2 3 7 3" xfId="1013" xr:uid="{00000000-0005-0000-0000-0000A0010000}"/>
    <cellStyle name="Normal 3 2 2 3 7 3 2" xfId="2015" xr:uid="{00000000-0005-0000-0000-0000A1010000}"/>
    <cellStyle name="Normal 3 2 2 3 7 3 2 2" xfId="4237" xr:uid="{00000000-0005-0000-0000-0000A2010000}"/>
    <cellStyle name="Normal 3 2 2 3 7 3 2 2 2" xfId="8237" xr:uid="{00000000-0005-0000-0000-0000A2010000}"/>
    <cellStyle name="Normal 3 2 2 3 7 3 2 3" xfId="6236" xr:uid="{00000000-0005-0000-0000-0000A2010000}"/>
    <cellStyle name="Normal 3 2 2 3 7 3 3" xfId="3239" xr:uid="{00000000-0005-0000-0000-0000A1010000}"/>
    <cellStyle name="Normal 3 2 2 3 7 3 3 2" xfId="7238" xr:uid="{00000000-0005-0000-0000-0000A1010000}"/>
    <cellStyle name="Normal 3 2 2 3 7 3 4" xfId="5237" xr:uid="{00000000-0005-0000-0000-0000A1010000}"/>
    <cellStyle name="Normal 3 2 2 3 7 4" xfId="1519" xr:uid="{00000000-0005-0000-0000-0000A2010000}"/>
    <cellStyle name="Normal 3 2 2 3 7 4 2" xfId="3741" xr:uid="{00000000-0005-0000-0000-0000A3010000}"/>
    <cellStyle name="Normal 3 2 2 3 7 4 2 2" xfId="7741" xr:uid="{00000000-0005-0000-0000-0000A3010000}"/>
    <cellStyle name="Normal 3 2 2 3 7 4 3" xfId="5740" xr:uid="{00000000-0005-0000-0000-0000A3010000}"/>
    <cellStyle name="Normal 3 2 2 3 7 5" xfId="2744" xr:uid="{00000000-0005-0000-0000-00009C010000}"/>
    <cellStyle name="Normal 3 2 2 3 7 5 2" xfId="6742" xr:uid="{00000000-0005-0000-0000-00009C010000}"/>
    <cellStyle name="Normal 3 2 2 3 7 6" xfId="4741" xr:uid="{00000000-0005-0000-0000-00009C010000}"/>
    <cellStyle name="Normal 3 2 2 3 8" xfId="562" xr:uid="{00000000-0005-0000-0000-0000A3010000}"/>
    <cellStyle name="Normal 3 2 2 3 8 2" xfId="1060" xr:uid="{00000000-0005-0000-0000-0000A4010000}"/>
    <cellStyle name="Normal 3 2 2 3 8 2 2" xfId="2062" xr:uid="{00000000-0005-0000-0000-0000A5010000}"/>
    <cellStyle name="Normal 3 2 2 3 8 2 2 2" xfId="4284" xr:uid="{00000000-0005-0000-0000-0000A6010000}"/>
    <cellStyle name="Normal 3 2 2 3 8 2 2 2 2" xfId="8284" xr:uid="{00000000-0005-0000-0000-0000A6010000}"/>
    <cellStyle name="Normal 3 2 2 3 8 2 2 3" xfId="6283" xr:uid="{00000000-0005-0000-0000-0000A6010000}"/>
    <cellStyle name="Normal 3 2 2 3 8 2 3" xfId="3286" xr:uid="{00000000-0005-0000-0000-0000A5010000}"/>
    <cellStyle name="Normal 3 2 2 3 8 2 3 2" xfId="7285" xr:uid="{00000000-0005-0000-0000-0000A5010000}"/>
    <cellStyle name="Normal 3 2 2 3 8 2 4" xfId="5284" xr:uid="{00000000-0005-0000-0000-0000A5010000}"/>
    <cellStyle name="Normal 3 2 2 3 8 3" xfId="1566" xr:uid="{00000000-0005-0000-0000-0000A6010000}"/>
    <cellStyle name="Normal 3 2 2 3 8 3 2" xfId="3788" xr:uid="{00000000-0005-0000-0000-0000A7010000}"/>
    <cellStyle name="Normal 3 2 2 3 8 3 2 2" xfId="7788" xr:uid="{00000000-0005-0000-0000-0000A7010000}"/>
    <cellStyle name="Normal 3 2 2 3 8 3 3" xfId="5787" xr:uid="{00000000-0005-0000-0000-0000A7010000}"/>
    <cellStyle name="Normal 3 2 2 3 8 4" xfId="2791" xr:uid="{00000000-0005-0000-0000-0000A4010000}"/>
    <cellStyle name="Normal 3 2 2 3 8 4 2" xfId="6789" xr:uid="{00000000-0005-0000-0000-0000A4010000}"/>
    <cellStyle name="Normal 3 2 2 3 8 5" xfId="4788" xr:uid="{00000000-0005-0000-0000-0000A4010000}"/>
    <cellStyle name="Normal 3 2 2 3 9" xfId="812" xr:uid="{00000000-0005-0000-0000-0000A7010000}"/>
    <cellStyle name="Normal 3 2 2 3 9 2" xfId="1814" xr:uid="{00000000-0005-0000-0000-0000A8010000}"/>
    <cellStyle name="Normal 3 2 2 3 9 2 2" xfId="4036" xr:uid="{00000000-0005-0000-0000-0000A9010000}"/>
    <cellStyle name="Normal 3 2 2 3 9 2 2 2" xfId="8036" xr:uid="{00000000-0005-0000-0000-0000A9010000}"/>
    <cellStyle name="Normal 3 2 2 3 9 2 3" xfId="6035" xr:uid="{00000000-0005-0000-0000-0000A9010000}"/>
    <cellStyle name="Normal 3 2 2 3 9 3" xfId="3038" xr:uid="{00000000-0005-0000-0000-0000A8010000}"/>
    <cellStyle name="Normal 3 2 2 3 9 3 2" xfId="7037" xr:uid="{00000000-0005-0000-0000-0000A8010000}"/>
    <cellStyle name="Normal 3 2 2 3 9 4" xfId="5036" xr:uid="{00000000-0005-0000-0000-0000A8010000}"/>
    <cellStyle name="Normal 3 2 2 4" xfId="337" xr:uid="{00000000-0005-0000-0000-0000A9010000}"/>
    <cellStyle name="Normal 3 2 2 4 2" xfId="398" xr:uid="{00000000-0005-0000-0000-0000AA010000}"/>
    <cellStyle name="Normal 3 2 2 4 2 2" xfId="645" xr:uid="{00000000-0005-0000-0000-0000AB010000}"/>
    <cellStyle name="Normal 3 2 2 4 2 2 2" xfId="1142" xr:uid="{00000000-0005-0000-0000-0000AC010000}"/>
    <cellStyle name="Normal 3 2 2 4 2 2 2 2" xfId="2144" xr:uid="{00000000-0005-0000-0000-0000AD010000}"/>
    <cellStyle name="Normal 3 2 2 4 2 2 2 2 2" xfId="4366" xr:uid="{00000000-0005-0000-0000-0000AE010000}"/>
    <cellStyle name="Normal 3 2 2 4 2 2 2 2 2 2" xfId="8366" xr:uid="{00000000-0005-0000-0000-0000AE010000}"/>
    <cellStyle name="Normal 3 2 2 4 2 2 2 2 3" xfId="6365" xr:uid="{00000000-0005-0000-0000-0000AE010000}"/>
    <cellStyle name="Normal 3 2 2 4 2 2 2 3" xfId="3368" xr:uid="{00000000-0005-0000-0000-0000AD010000}"/>
    <cellStyle name="Normal 3 2 2 4 2 2 2 3 2" xfId="7367" xr:uid="{00000000-0005-0000-0000-0000AD010000}"/>
    <cellStyle name="Normal 3 2 2 4 2 2 2 4" xfId="5366" xr:uid="{00000000-0005-0000-0000-0000AD010000}"/>
    <cellStyle name="Normal 3 2 2 4 2 2 3" xfId="1648" xr:uid="{00000000-0005-0000-0000-0000AE010000}"/>
    <cellStyle name="Normal 3 2 2 4 2 2 3 2" xfId="3870" xr:uid="{00000000-0005-0000-0000-0000AF010000}"/>
    <cellStyle name="Normal 3 2 2 4 2 2 3 2 2" xfId="7870" xr:uid="{00000000-0005-0000-0000-0000AF010000}"/>
    <cellStyle name="Normal 3 2 2 4 2 2 3 3" xfId="5869" xr:uid="{00000000-0005-0000-0000-0000AF010000}"/>
    <cellStyle name="Normal 3 2 2 4 2 2 4" xfId="2872" xr:uid="{00000000-0005-0000-0000-0000AC010000}"/>
    <cellStyle name="Normal 3 2 2 4 2 2 4 2" xfId="6871" xr:uid="{00000000-0005-0000-0000-0000AC010000}"/>
    <cellStyle name="Normal 3 2 2 4 2 2 5" xfId="4870" xr:uid="{00000000-0005-0000-0000-0000AC010000}"/>
    <cellStyle name="Normal 3 2 2 4 2 3" xfId="894" xr:uid="{00000000-0005-0000-0000-0000AF010000}"/>
    <cellStyle name="Normal 3 2 2 4 2 3 2" xfId="1896" xr:uid="{00000000-0005-0000-0000-0000B0010000}"/>
    <cellStyle name="Normal 3 2 2 4 2 3 2 2" xfId="4118" xr:uid="{00000000-0005-0000-0000-0000B1010000}"/>
    <cellStyle name="Normal 3 2 2 4 2 3 2 2 2" xfId="8118" xr:uid="{00000000-0005-0000-0000-0000B1010000}"/>
    <cellStyle name="Normal 3 2 2 4 2 3 2 3" xfId="6117" xr:uid="{00000000-0005-0000-0000-0000B1010000}"/>
    <cellStyle name="Normal 3 2 2 4 2 3 3" xfId="3120" xr:uid="{00000000-0005-0000-0000-0000B0010000}"/>
    <cellStyle name="Normal 3 2 2 4 2 3 3 2" xfId="7119" xr:uid="{00000000-0005-0000-0000-0000B0010000}"/>
    <cellStyle name="Normal 3 2 2 4 2 3 4" xfId="5118" xr:uid="{00000000-0005-0000-0000-0000B0010000}"/>
    <cellStyle name="Normal 3 2 2 4 2 4" xfId="1400" xr:uid="{00000000-0005-0000-0000-0000B1010000}"/>
    <cellStyle name="Normal 3 2 2 4 2 4 2" xfId="3622" xr:uid="{00000000-0005-0000-0000-0000B2010000}"/>
    <cellStyle name="Normal 3 2 2 4 2 4 2 2" xfId="7622" xr:uid="{00000000-0005-0000-0000-0000B2010000}"/>
    <cellStyle name="Normal 3 2 2 4 2 4 3" xfId="5621" xr:uid="{00000000-0005-0000-0000-0000B2010000}"/>
    <cellStyle name="Normal 3 2 2 4 2 5" xfId="2631" xr:uid="{00000000-0005-0000-0000-0000AB010000}"/>
    <cellStyle name="Normal 3 2 2 4 2 5 2" xfId="6623" xr:uid="{00000000-0005-0000-0000-0000AB010000}"/>
    <cellStyle name="Normal 3 2 2 4 2 6" xfId="4622" xr:uid="{00000000-0005-0000-0000-0000AB010000}"/>
    <cellStyle name="Normal 3 2 2 4 3" xfId="444" xr:uid="{00000000-0005-0000-0000-0000B2010000}"/>
    <cellStyle name="Normal 3 2 2 4 3 2" xfId="691" xr:uid="{00000000-0005-0000-0000-0000B3010000}"/>
    <cellStyle name="Normal 3 2 2 4 3 2 2" xfId="1188" xr:uid="{00000000-0005-0000-0000-0000B4010000}"/>
    <cellStyle name="Normal 3 2 2 4 3 2 2 2" xfId="2190" xr:uid="{00000000-0005-0000-0000-0000B5010000}"/>
    <cellStyle name="Normal 3 2 2 4 3 2 2 2 2" xfId="4412" xr:uid="{00000000-0005-0000-0000-0000B6010000}"/>
    <cellStyle name="Normal 3 2 2 4 3 2 2 2 2 2" xfId="8412" xr:uid="{00000000-0005-0000-0000-0000B6010000}"/>
    <cellStyle name="Normal 3 2 2 4 3 2 2 2 3" xfId="6411" xr:uid="{00000000-0005-0000-0000-0000B6010000}"/>
    <cellStyle name="Normal 3 2 2 4 3 2 2 3" xfId="3414" xr:uid="{00000000-0005-0000-0000-0000B5010000}"/>
    <cellStyle name="Normal 3 2 2 4 3 2 2 3 2" xfId="7413" xr:uid="{00000000-0005-0000-0000-0000B5010000}"/>
    <cellStyle name="Normal 3 2 2 4 3 2 2 4" xfId="5412" xr:uid="{00000000-0005-0000-0000-0000B5010000}"/>
    <cellStyle name="Normal 3 2 2 4 3 2 3" xfId="1694" xr:uid="{00000000-0005-0000-0000-0000B6010000}"/>
    <cellStyle name="Normal 3 2 2 4 3 2 3 2" xfId="3916" xr:uid="{00000000-0005-0000-0000-0000B7010000}"/>
    <cellStyle name="Normal 3 2 2 4 3 2 3 2 2" xfId="7916" xr:uid="{00000000-0005-0000-0000-0000B7010000}"/>
    <cellStyle name="Normal 3 2 2 4 3 2 3 3" xfId="5915" xr:uid="{00000000-0005-0000-0000-0000B7010000}"/>
    <cellStyle name="Normal 3 2 2 4 3 2 4" xfId="2918" xr:uid="{00000000-0005-0000-0000-0000B4010000}"/>
    <cellStyle name="Normal 3 2 2 4 3 2 4 2" xfId="6917" xr:uid="{00000000-0005-0000-0000-0000B4010000}"/>
    <cellStyle name="Normal 3 2 2 4 3 2 5" xfId="4916" xr:uid="{00000000-0005-0000-0000-0000B4010000}"/>
    <cellStyle name="Normal 3 2 2 4 3 3" xfId="940" xr:uid="{00000000-0005-0000-0000-0000B7010000}"/>
    <cellStyle name="Normal 3 2 2 4 3 3 2" xfId="1942" xr:uid="{00000000-0005-0000-0000-0000B8010000}"/>
    <cellStyle name="Normal 3 2 2 4 3 3 2 2" xfId="4164" xr:uid="{00000000-0005-0000-0000-0000B9010000}"/>
    <cellStyle name="Normal 3 2 2 4 3 3 2 2 2" xfId="8164" xr:uid="{00000000-0005-0000-0000-0000B9010000}"/>
    <cellStyle name="Normal 3 2 2 4 3 3 2 3" xfId="6163" xr:uid="{00000000-0005-0000-0000-0000B9010000}"/>
    <cellStyle name="Normal 3 2 2 4 3 3 3" xfId="3166" xr:uid="{00000000-0005-0000-0000-0000B8010000}"/>
    <cellStyle name="Normal 3 2 2 4 3 3 3 2" xfId="7165" xr:uid="{00000000-0005-0000-0000-0000B8010000}"/>
    <cellStyle name="Normal 3 2 2 4 3 3 4" xfId="5164" xr:uid="{00000000-0005-0000-0000-0000B8010000}"/>
    <cellStyle name="Normal 3 2 2 4 3 4" xfId="1446" xr:uid="{00000000-0005-0000-0000-0000B9010000}"/>
    <cellStyle name="Normal 3 2 2 4 3 4 2" xfId="3668" xr:uid="{00000000-0005-0000-0000-0000BA010000}"/>
    <cellStyle name="Normal 3 2 2 4 3 4 2 2" xfId="7668" xr:uid="{00000000-0005-0000-0000-0000BA010000}"/>
    <cellStyle name="Normal 3 2 2 4 3 4 3" xfId="5667" xr:uid="{00000000-0005-0000-0000-0000BA010000}"/>
    <cellStyle name="Normal 3 2 2 4 3 5" xfId="2671" xr:uid="{00000000-0005-0000-0000-0000B3010000}"/>
    <cellStyle name="Normal 3 2 2 4 3 5 2" xfId="6669" xr:uid="{00000000-0005-0000-0000-0000B3010000}"/>
    <cellStyle name="Normal 3 2 2 4 3 6" xfId="4668" xr:uid="{00000000-0005-0000-0000-0000B3010000}"/>
    <cellStyle name="Normal 3 2 2 4 4" xfId="530" xr:uid="{00000000-0005-0000-0000-0000BA010000}"/>
    <cellStyle name="Normal 3 2 2 4 4 2" xfId="777" xr:uid="{00000000-0005-0000-0000-0000BB010000}"/>
    <cellStyle name="Normal 3 2 2 4 4 2 2" xfId="1275" xr:uid="{00000000-0005-0000-0000-0000BC010000}"/>
    <cellStyle name="Normal 3 2 2 4 4 2 2 2" xfId="2277" xr:uid="{00000000-0005-0000-0000-0000BD010000}"/>
    <cellStyle name="Normal 3 2 2 4 4 2 2 2 2" xfId="4499" xr:uid="{00000000-0005-0000-0000-0000BE010000}"/>
    <cellStyle name="Normal 3 2 2 4 4 2 2 2 2 2" xfId="8499" xr:uid="{00000000-0005-0000-0000-0000BE010000}"/>
    <cellStyle name="Normal 3 2 2 4 4 2 2 2 3" xfId="6498" xr:uid="{00000000-0005-0000-0000-0000BE010000}"/>
    <cellStyle name="Normal 3 2 2 4 4 2 2 3" xfId="3501" xr:uid="{00000000-0005-0000-0000-0000BD010000}"/>
    <cellStyle name="Normal 3 2 2 4 4 2 2 3 2" xfId="7500" xr:uid="{00000000-0005-0000-0000-0000BD010000}"/>
    <cellStyle name="Normal 3 2 2 4 4 2 2 4" xfId="5499" xr:uid="{00000000-0005-0000-0000-0000BD010000}"/>
    <cellStyle name="Normal 3 2 2 4 4 2 3" xfId="1781" xr:uid="{00000000-0005-0000-0000-0000BE010000}"/>
    <cellStyle name="Normal 3 2 2 4 4 2 3 2" xfId="4003" xr:uid="{00000000-0005-0000-0000-0000BF010000}"/>
    <cellStyle name="Normal 3 2 2 4 4 2 3 2 2" xfId="8003" xr:uid="{00000000-0005-0000-0000-0000BF010000}"/>
    <cellStyle name="Normal 3 2 2 4 4 2 3 3" xfId="6002" xr:uid="{00000000-0005-0000-0000-0000BF010000}"/>
    <cellStyle name="Normal 3 2 2 4 4 2 4" xfId="3005" xr:uid="{00000000-0005-0000-0000-0000BC010000}"/>
    <cellStyle name="Normal 3 2 2 4 4 2 4 2" xfId="7004" xr:uid="{00000000-0005-0000-0000-0000BC010000}"/>
    <cellStyle name="Normal 3 2 2 4 4 2 5" xfId="5003" xr:uid="{00000000-0005-0000-0000-0000BC010000}"/>
    <cellStyle name="Normal 3 2 2 4 4 3" xfId="1027" xr:uid="{00000000-0005-0000-0000-0000BF010000}"/>
    <cellStyle name="Normal 3 2 2 4 4 3 2" xfId="2029" xr:uid="{00000000-0005-0000-0000-0000C0010000}"/>
    <cellStyle name="Normal 3 2 2 4 4 3 2 2" xfId="4251" xr:uid="{00000000-0005-0000-0000-0000C1010000}"/>
    <cellStyle name="Normal 3 2 2 4 4 3 2 2 2" xfId="8251" xr:uid="{00000000-0005-0000-0000-0000C1010000}"/>
    <cellStyle name="Normal 3 2 2 4 4 3 2 3" xfId="6250" xr:uid="{00000000-0005-0000-0000-0000C1010000}"/>
    <cellStyle name="Normal 3 2 2 4 4 3 3" xfId="3253" xr:uid="{00000000-0005-0000-0000-0000C0010000}"/>
    <cellStyle name="Normal 3 2 2 4 4 3 3 2" xfId="7252" xr:uid="{00000000-0005-0000-0000-0000C0010000}"/>
    <cellStyle name="Normal 3 2 2 4 4 3 4" xfId="5251" xr:uid="{00000000-0005-0000-0000-0000C0010000}"/>
    <cellStyle name="Normal 3 2 2 4 4 4" xfId="1533" xr:uid="{00000000-0005-0000-0000-0000C1010000}"/>
    <cellStyle name="Normal 3 2 2 4 4 4 2" xfId="3755" xr:uid="{00000000-0005-0000-0000-0000C2010000}"/>
    <cellStyle name="Normal 3 2 2 4 4 4 2 2" xfId="7755" xr:uid="{00000000-0005-0000-0000-0000C2010000}"/>
    <cellStyle name="Normal 3 2 2 4 4 4 3" xfId="5754" xr:uid="{00000000-0005-0000-0000-0000C2010000}"/>
    <cellStyle name="Normal 3 2 2 4 4 5" xfId="2758" xr:uid="{00000000-0005-0000-0000-0000BB010000}"/>
    <cellStyle name="Normal 3 2 2 4 4 5 2" xfId="6756" xr:uid="{00000000-0005-0000-0000-0000BB010000}"/>
    <cellStyle name="Normal 3 2 2 4 4 6" xfId="4755" xr:uid="{00000000-0005-0000-0000-0000BB010000}"/>
    <cellStyle name="Normal 3 2 2 4 5" xfId="576" xr:uid="{00000000-0005-0000-0000-0000C2010000}"/>
    <cellStyle name="Normal 3 2 2 4 5 2" xfId="1074" xr:uid="{00000000-0005-0000-0000-0000C3010000}"/>
    <cellStyle name="Normal 3 2 2 4 5 2 2" xfId="2076" xr:uid="{00000000-0005-0000-0000-0000C4010000}"/>
    <cellStyle name="Normal 3 2 2 4 5 2 2 2" xfId="4298" xr:uid="{00000000-0005-0000-0000-0000C5010000}"/>
    <cellStyle name="Normal 3 2 2 4 5 2 2 2 2" xfId="8298" xr:uid="{00000000-0005-0000-0000-0000C5010000}"/>
    <cellStyle name="Normal 3 2 2 4 5 2 2 3" xfId="6297" xr:uid="{00000000-0005-0000-0000-0000C5010000}"/>
    <cellStyle name="Normal 3 2 2 4 5 2 3" xfId="3300" xr:uid="{00000000-0005-0000-0000-0000C4010000}"/>
    <cellStyle name="Normal 3 2 2 4 5 2 3 2" xfId="7299" xr:uid="{00000000-0005-0000-0000-0000C4010000}"/>
    <cellStyle name="Normal 3 2 2 4 5 2 4" xfId="5298" xr:uid="{00000000-0005-0000-0000-0000C4010000}"/>
    <cellStyle name="Normal 3 2 2 4 5 3" xfId="1580" xr:uid="{00000000-0005-0000-0000-0000C5010000}"/>
    <cellStyle name="Normal 3 2 2 4 5 3 2" xfId="3802" xr:uid="{00000000-0005-0000-0000-0000C6010000}"/>
    <cellStyle name="Normal 3 2 2 4 5 3 2 2" xfId="7802" xr:uid="{00000000-0005-0000-0000-0000C6010000}"/>
    <cellStyle name="Normal 3 2 2 4 5 3 3" xfId="5801" xr:uid="{00000000-0005-0000-0000-0000C6010000}"/>
    <cellStyle name="Normal 3 2 2 4 5 4" xfId="2805" xr:uid="{00000000-0005-0000-0000-0000C3010000}"/>
    <cellStyle name="Normal 3 2 2 4 5 4 2" xfId="6803" xr:uid="{00000000-0005-0000-0000-0000C3010000}"/>
    <cellStyle name="Normal 3 2 2 4 5 5" xfId="4802" xr:uid="{00000000-0005-0000-0000-0000C3010000}"/>
    <cellStyle name="Normal 3 2 2 4 6" xfId="826" xr:uid="{00000000-0005-0000-0000-0000C6010000}"/>
    <cellStyle name="Normal 3 2 2 4 6 2" xfId="1828" xr:uid="{00000000-0005-0000-0000-0000C7010000}"/>
    <cellStyle name="Normal 3 2 2 4 6 2 2" xfId="4050" xr:uid="{00000000-0005-0000-0000-0000C8010000}"/>
    <cellStyle name="Normal 3 2 2 4 6 2 2 2" xfId="8050" xr:uid="{00000000-0005-0000-0000-0000C8010000}"/>
    <cellStyle name="Normal 3 2 2 4 6 2 3" xfId="6049" xr:uid="{00000000-0005-0000-0000-0000C8010000}"/>
    <cellStyle name="Normal 3 2 2 4 6 3" xfId="3052" xr:uid="{00000000-0005-0000-0000-0000C7010000}"/>
    <cellStyle name="Normal 3 2 2 4 6 3 2" xfId="7051" xr:uid="{00000000-0005-0000-0000-0000C7010000}"/>
    <cellStyle name="Normal 3 2 2 4 6 4" xfId="5050" xr:uid="{00000000-0005-0000-0000-0000C7010000}"/>
    <cellStyle name="Normal 3 2 2 4 7" xfId="1332" xr:uid="{00000000-0005-0000-0000-0000C8010000}"/>
    <cellStyle name="Normal 3 2 2 4 7 2" xfId="3554" xr:uid="{00000000-0005-0000-0000-0000C9010000}"/>
    <cellStyle name="Normal 3 2 2 4 7 2 2" xfId="7554" xr:uid="{00000000-0005-0000-0000-0000C9010000}"/>
    <cellStyle name="Normal 3 2 2 4 7 3" xfId="5553" xr:uid="{00000000-0005-0000-0000-0000C9010000}"/>
    <cellStyle name="Normal 3 2 2 4 8" xfId="2567" xr:uid="{00000000-0005-0000-0000-0000AA010000}"/>
    <cellStyle name="Normal 3 2 2 4 8 2" xfId="6555" xr:uid="{00000000-0005-0000-0000-0000AA010000}"/>
    <cellStyle name="Normal 3 2 2 4 9" xfId="4554" xr:uid="{00000000-0005-0000-0000-0000AA010000}"/>
    <cellStyle name="Normal 3 2 2 5" xfId="355" xr:uid="{00000000-0005-0000-0000-0000C9010000}"/>
    <cellStyle name="Normal 3 2 2 5 2" xfId="466" xr:uid="{00000000-0005-0000-0000-0000CA010000}"/>
    <cellStyle name="Normal 3 2 2 5 2 2" xfId="713" xr:uid="{00000000-0005-0000-0000-0000CB010000}"/>
    <cellStyle name="Normal 3 2 2 5 2 2 2" xfId="1210" xr:uid="{00000000-0005-0000-0000-0000CC010000}"/>
    <cellStyle name="Normal 3 2 2 5 2 2 2 2" xfId="2212" xr:uid="{00000000-0005-0000-0000-0000CD010000}"/>
    <cellStyle name="Normal 3 2 2 5 2 2 2 2 2" xfId="4434" xr:uid="{00000000-0005-0000-0000-0000CE010000}"/>
    <cellStyle name="Normal 3 2 2 5 2 2 2 2 2 2" xfId="8434" xr:uid="{00000000-0005-0000-0000-0000CE010000}"/>
    <cellStyle name="Normal 3 2 2 5 2 2 2 2 3" xfId="6433" xr:uid="{00000000-0005-0000-0000-0000CE010000}"/>
    <cellStyle name="Normal 3 2 2 5 2 2 2 3" xfId="3436" xr:uid="{00000000-0005-0000-0000-0000CD010000}"/>
    <cellStyle name="Normal 3 2 2 5 2 2 2 3 2" xfId="7435" xr:uid="{00000000-0005-0000-0000-0000CD010000}"/>
    <cellStyle name="Normal 3 2 2 5 2 2 2 4" xfId="5434" xr:uid="{00000000-0005-0000-0000-0000CD010000}"/>
    <cellStyle name="Normal 3 2 2 5 2 2 3" xfId="1716" xr:uid="{00000000-0005-0000-0000-0000CE010000}"/>
    <cellStyle name="Normal 3 2 2 5 2 2 3 2" xfId="3938" xr:uid="{00000000-0005-0000-0000-0000CF010000}"/>
    <cellStyle name="Normal 3 2 2 5 2 2 3 2 2" xfId="7938" xr:uid="{00000000-0005-0000-0000-0000CF010000}"/>
    <cellStyle name="Normal 3 2 2 5 2 2 3 3" xfId="5937" xr:uid="{00000000-0005-0000-0000-0000CF010000}"/>
    <cellStyle name="Normal 3 2 2 5 2 2 4" xfId="2940" xr:uid="{00000000-0005-0000-0000-0000CC010000}"/>
    <cellStyle name="Normal 3 2 2 5 2 2 4 2" xfId="6939" xr:uid="{00000000-0005-0000-0000-0000CC010000}"/>
    <cellStyle name="Normal 3 2 2 5 2 2 5" xfId="4938" xr:uid="{00000000-0005-0000-0000-0000CC010000}"/>
    <cellStyle name="Normal 3 2 2 5 2 3" xfId="962" xr:uid="{00000000-0005-0000-0000-0000CF010000}"/>
    <cellStyle name="Normal 3 2 2 5 2 3 2" xfId="1964" xr:uid="{00000000-0005-0000-0000-0000D0010000}"/>
    <cellStyle name="Normal 3 2 2 5 2 3 2 2" xfId="4186" xr:uid="{00000000-0005-0000-0000-0000D1010000}"/>
    <cellStyle name="Normal 3 2 2 5 2 3 2 2 2" xfId="8186" xr:uid="{00000000-0005-0000-0000-0000D1010000}"/>
    <cellStyle name="Normal 3 2 2 5 2 3 2 3" xfId="6185" xr:uid="{00000000-0005-0000-0000-0000D1010000}"/>
    <cellStyle name="Normal 3 2 2 5 2 3 3" xfId="3188" xr:uid="{00000000-0005-0000-0000-0000D0010000}"/>
    <cellStyle name="Normal 3 2 2 5 2 3 3 2" xfId="7187" xr:uid="{00000000-0005-0000-0000-0000D0010000}"/>
    <cellStyle name="Normal 3 2 2 5 2 3 4" xfId="5186" xr:uid="{00000000-0005-0000-0000-0000D0010000}"/>
    <cellStyle name="Normal 3 2 2 5 2 4" xfId="1468" xr:uid="{00000000-0005-0000-0000-0000D1010000}"/>
    <cellStyle name="Normal 3 2 2 5 2 4 2" xfId="3690" xr:uid="{00000000-0005-0000-0000-0000D2010000}"/>
    <cellStyle name="Normal 3 2 2 5 2 4 2 2" xfId="7690" xr:uid="{00000000-0005-0000-0000-0000D2010000}"/>
    <cellStyle name="Normal 3 2 2 5 2 4 3" xfId="5689" xr:uid="{00000000-0005-0000-0000-0000D2010000}"/>
    <cellStyle name="Normal 3 2 2 5 2 5" xfId="2693" xr:uid="{00000000-0005-0000-0000-0000CB010000}"/>
    <cellStyle name="Normal 3 2 2 5 2 5 2" xfId="6691" xr:uid="{00000000-0005-0000-0000-0000CB010000}"/>
    <cellStyle name="Normal 3 2 2 5 2 6" xfId="4690" xr:uid="{00000000-0005-0000-0000-0000CB010000}"/>
    <cellStyle name="Normal 3 2 2 5 3" xfId="598" xr:uid="{00000000-0005-0000-0000-0000D2010000}"/>
    <cellStyle name="Normal 3 2 2 5 3 2" xfId="1096" xr:uid="{00000000-0005-0000-0000-0000D3010000}"/>
    <cellStyle name="Normal 3 2 2 5 3 2 2" xfId="2098" xr:uid="{00000000-0005-0000-0000-0000D4010000}"/>
    <cellStyle name="Normal 3 2 2 5 3 2 2 2" xfId="4320" xr:uid="{00000000-0005-0000-0000-0000D5010000}"/>
    <cellStyle name="Normal 3 2 2 5 3 2 2 2 2" xfId="8320" xr:uid="{00000000-0005-0000-0000-0000D5010000}"/>
    <cellStyle name="Normal 3 2 2 5 3 2 2 3" xfId="6319" xr:uid="{00000000-0005-0000-0000-0000D5010000}"/>
    <cellStyle name="Normal 3 2 2 5 3 2 3" xfId="3322" xr:uid="{00000000-0005-0000-0000-0000D4010000}"/>
    <cellStyle name="Normal 3 2 2 5 3 2 3 2" xfId="7321" xr:uid="{00000000-0005-0000-0000-0000D4010000}"/>
    <cellStyle name="Normal 3 2 2 5 3 2 4" xfId="5320" xr:uid="{00000000-0005-0000-0000-0000D4010000}"/>
    <cellStyle name="Normal 3 2 2 5 3 3" xfId="1602" xr:uid="{00000000-0005-0000-0000-0000D5010000}"/>
    <cellStyle name="Normal 3 2 2 5 3 3 2" xfId="3824" xr:uid="{00000000-0005-0000-0000-0000D6010000}"/>
    <cellStyle name="Normal 3 2 2 5 3 3 2 2" xfId="7824" xr:uid="{00000000-0005-0000-0000-0000D6010000}"/>
    <cellStyle name="Normal 3 2 2 5 3 3 3" xfId="5823" xr:uid="{00000000-0005-0000-0000-0000D6010000}"/>
    <cellStyle name="Normal 3 2 2 5 3 4" xfId="2827" xr:uid="{00000000-0005-0000-0000-0000D3010000}"/>
    <cellStyle name="Normal 3 2 2 5 3 4 2" xfId="6825" xr:uid="{00000000-0005-0000-0000-0000D3010000}"/>
    <cellStyle name="Normal 3 2 2 5 3 5" xfId="4824" xr:uid="{00000000-0005-0000-0000-0000D3010000}"/>
    <cellStyle name="Normal 3 2 2 5 4" xfId="848" xr:uid="{00000000-0005-0000-0000-0000D6010000}"/>
    <cellStyle name="Normal 3 2 2 5 4 2" xfId="1850" xr:uid="{00000000-0005-0000-0000-0000D7010000}"/>
    <cellStyle name="Normal 3 2 2 5 4 2 2" xfId="4072" xr:uid="{00000000-0005-0000-0000-0000D8010000}"/>
    <cellStyle name="Normal 3 2 2 5 4 2 2 2" xfId="8072" xr:uid="{00000000-0005-0000-0000-0000D8010000}"/>
    <cellStyle name="Normal 3 2 2 5 4 2 3" xfId="6071" xr:uid="{00000000-0005-0000-0000-0000D8010000}"/>
    <cellStyle name="Normal 3 2 2 5 4 3" xfId="3074" xr:uid="{00000000-0005-0000-0000-0000D7010000}"/>
    <cellStyle name="Normal 3 2 2 5 4 3 2" xfId="7073" xr:uid="{00000000-0005-0000-0000-0000D7010000}"/>
    <cellStyle name="Normal 3 2 2 5 4 4" xfId="5072" xr:uid="{00000000-0005-0000-0000-0000D7010000}"/>
    <cellStyle name="Normal 3 2 2 5 5" xfId="1354" xr:uid="{00000000-0005-0000-0000-0000D8010000}"/>
    <cellStyle name="Normal 3 2 2 5 5 2" xfId="3576" xr:uid="{00000000-0005-0000-0000-0000D9010000}"/>
    <cellStyle name="Normal 3 2 2 5 5 2 2" xfId="7576" xr:uid="{00000000-0005-0000-0000-0000D9010000}"/>
    <cellStyle name="Normal 3 2 2 5 5 3" xfId="5575" xr:uid="{00000000-0005-0000-0000-0000D9010000}"/>
    <cellStyle name="Normal 3 2 2 5 6" xfId="2588" xr:uid="{00000000-0005-0000-0000-0000CA010000}"/>
    <cellStyle name="Normal 3 2 2 5 6 2" xfId="6577" xr:uid="{00000000-0005-0000-0000-0000CA010000}"/>
    <cellStyle name="Normal 3 2 2 5 7" xfId="4576" xr:uid="{00000000-0005-0000-0000-0000CA010000}"/>
    <cellStyle name="Normal 3 2 2 6" xfId="375" xr:uid="{00000000-0005-0000-0000-0000D9010000}"/>
    <cellStyle name="Normal 3 2 2 6 2" xfId="621" xr:uid="{00000000-0005-0000-0000-0000DA010000}"/>
    <cellStyle name="Normal 3 2 2 6 2 2" xfId="1118" xr:uid="{00000000-0005-0000-0000-0000DB010000}"/>
    <cellStyle name="Normal 3 2 2 6 2 2 2" xfId="2120" xr:uid="{00000000-0005-0000-0000-0000DC010000}"/>
    <cellStyle name="Normal 3 2 2 6 2 2 2 2" xfId="4342" xr:uid="{00000000-0005-0000-0000-0000DD010000}"/>
    <cellStyle name="Normal 3 2 2 6 2 2 2 2 2" xfId="8342" xr:uid="{00000000-0005-0000-0000-0000DD010000}"/>
    <cellStyle name="Normal 3 2 2 6 2 2 2 3" xfId="6341" xr:uid="{00000000-0005-0000-0000-0000DD010000}"/>
    <cellStyle name="Normal 3 2 2 6 2 2 3" xfId="3344" xr:uid="{00000000-0005-0000-0000-0000DC010000}"/>
    <cellStyle name="Normal 3 2 2 6 2 2 3 2" xfId="7343" xr:uid="{00000000-0005-0000-0000-0000DC010000}"/>
    <cellStyle name="Normal 3 2 2 6 2 2 4" xfId="5342" xr:uid="{00000000-0005-0000-0000-0000DC010000}"/>
    <cellStyle name="Normal 3 2 2 6 2 3" xfId="1624" xr:uid="{00000000-0005-0000-0000-0000DD010000}"/>
    <cellStyle name="Normal 3 2 2 6 2 3 2" xfId="3846" xr:uid="{00000000-0005-0000-0000-0000DE010000}"/>
    <cellStyle name="Normal 3 2 2 6 2 3 2 2" xfId="7846" xr:uid="{00000000-0005-0000-0000-0000DE010000}"/>
    <cellStyle name="Normal 3 2 2 6 2 3 3" xfId="5845" xr:uid="{00000000-0005-0000-0000-0000DE010000}"/>
    <cellStyle name="Normal 3 2 2 6 2 4" xfId="2848" xr:uid="{00000000-0005-0000-0000-0000DB010000}"/>
    <cellStyle name="Normal 3 2 2 6 2 4 2" xfId="6847" xr:uid="{00000000-0005-0000-0000-0000DB010000}"/>
    <cellStyle name="Normal 3 2 2 6 2 5" xfId="4846" xr:uid="{00000000-0005-0000-0000-0000DB010000}"/>
    <cellStyle name="Normal 3 2 2 6 3" xfId="870" xr:uid="{00000000-0005-0000-0000-0000DE010000}"/>
    <cellStyle name="Normal 3 2 2 6 3 2" xfId="1872" xr:uid="{00000000-0005-0000-0000-0000DF010000}"/>
    <cellStyle name="Normal 3 2 2 6 3 2 2" xfId="4094" xr:uid="{00000000-0005-0000-0000-0000E0010000}"/>
    <cellStyle name="Normal 3 2 2 6 3 2 2 2" xfId="8094" xr:uid="{00000000-0005-0000-0000-0000E0010000}"/>
    <cellStyle name="Normal 3 2 2 6 3 2 3" xfId="6093" xr:uid="{00000000-0005-0000-0000-0000E0010000}"/>
    <cellStyle name="Normal 3 2 2 6 3 3" xfId="3096" xr:uid="{00000000-0005-0000-0000-0000DF010000}"/>
    <cellStyle name="Normal 3 2 2 6 3 3 2" xfId="7095" xr:uid="{00000000-0005-0000-0000-0000DF010000}"/>
    <cellStyle name="Normal 3 2 2 6 3 4" xfId="5094" xr:uid="{00000000-0005-0000-0000-0000DF010000}"/>
    <cellStyle name="Normal 3 2 2 6 4" xfId="1376" xr:uid="{00000000-0005-0000-0000-0000E0010000}"/>
    <cellStyle name="Normal 3 2 2 6 4 2" xfId="3598" xr:uid="{00000000-0005-0000-0000-0000E1010000}"/>
    <cellStyle name="Normal 3 2 2 6 4 2 2" xfId="7598" xr:uid="{00000000-0005-0000-0000-0000E1010000}"/>
    <cellStyle name="Normal 3 2 2 6 4 3" xfId="5597" xr:uid="{00000000-0005-0000-0000-0000E1010000}"/>
    <cellStyle name="Normal 3 2 2 6 5" xfId="2609" xr:uid="{00000000-0005-0000-0000-0000DA010000}"/>
    <cellStyle name="Normal 3 2 2 6 5 2" xfId="6599" xr:uid="{00000000-0005-0000-0000-0000DA010000}"/>
    <cellStyle name="Normal 3 2 2 6 6" xfId="4598" xr:uid="{00000000-0005-0000-0000-0000DA010000}"/>
    <cellStyle name="Normal 3 2 2 7" xfId="420" xr:uid="{00000000-0005-0000-0000-0000E1010000}"/>
    <cellStyle name="Normal 3 2 2 7 2" xfId="667" xr:uid="{00000000-0005-0000-0000-0000E2010000}"/>
    <cellStyle name="Normal 3 2 2 7 2 2" xfId="1164" xr:uid="{00000000-0005-0000-0000-0000E3010000}"/>
    <cellStyle name="Normal 3 2 2 7 2 2 2" xfId="2166" xr:uid="{00000000-0005-0000-0000-0000E4010000}"/>
    <cellStyle name="Normal 3 2 2 7 2 2 2 2" xfId="4388" xr:uid="{00000000-0005-0000-0000-0000E5010000}"/>
    <cellStyle name="Normal 3 2 2 7 2 2 2 2 2" xfId="8388" xr:uid="{00000000-0005-0000-0000-0000E5010000}"/>
    <cellStyle name="Normal 3 2 2 7 2 2 2 3" xfId="6387" xr:uid="{00000000-0005-0000-0000-0000E5010000}"/>
    <cellStyle name="Normal 3 2 2 7 2 2 3" xfId="3390" xr:uid="{00000000-0005-0000-0000-0000E4010000}"/>
    <cellStyle name="Normal 3 2 2 7 2 2 3 2" xfId="7389" xr:uid="{00000000-0005-0000-0000-0000E4010000}"/>
    <cellStyle name="Normal 3 2 2 7 2 2 4" xfId="5388" xr:uid="{00000000-0005-0000-0000-0000E4010000}"/>
    <cellStyle name="Normal 3 2 2 7 2 3" xfId="1670" xr:uid="{00000000-0005-0000-0000-0000E5010000}"/>
    <cellStyle name="Normal 3 2 2 7 2 3 2" xfId="3892" xr:uid="{00000000-0005-0000-0000-0000E6010000}"/>
    <cellStyle name="Normal 3 2 2 7 2 3 2 2" xfId="7892" xr:uid="{00000000-0005-0000-0000-0000E6010000}"/>
    <cellStyle name="Normal 3 2 2 7 2 3 3" xfId="5891" xr:uid="{00000000-0005-0000-0000-0000E6010000}"/>
    <cellStyle name="Normal 3 2 2 7 2 4" xfId="2894" xr:uid="{00000000-0005-0000-0000-0000E3010000}"/>
    <cellStyle name="Normal 3 2 2 7 2 4 2" xfId="6893" xr:uid="{00000000-0005-0000-0000-0000E3010000}"/>
    <cellStyle name="Normal 3 2 2 7 2 5" xfId="4892" xr:uid="{00000000-0005-0000-0000-0000E3010000}"/>
    <cellStyle name="Normal 3 2 2 7 3" xfId="916" xr:uid="{00000000-0005-0000-0000-0000E6010000}"/>
    <cellStyle name="Normal 3 2 2 7 3 2" xfId="1918" xr:uid="{00000000-0005-0000-0000-0000E7010000}"/>
    <cellStyle name="Normal 3 2 2 7 3 2 2" xfId="4140" xr:uid="{00000000-0005-0000-0000-0000E8010000}"/>
    <cellStyle name="Normal 3 2 2 7 3 2 2 2" xfId="8140" xr:uid="{00000000-0005-0000-0000-0000E8010000}"/>
    <cellStyle name="Normal 3 2 2 7 3 2 3" xfId="6139" xr:uid="{00000000-0005-0000-0000-0000E8010000}"/>
    <cellStyle name="Normal 3 2 2 7 3 3" xfId="3142" xr:uid="{00000000-0005-0000-0000-0000E7010000}"/>
    <cellStyle name="Normal 3 2 2 7 3 3 2" xfId="7141" xr:uid="{00000000-0005-0000-0000-0000E7010000}"/>
    <cellStyle name="Normal 3 2 2 7 3 4" xfId="5140" xr:uid="{00000000-0005-0000-0000-0000E7010000}"/>
    <cellStyle name="Normal 3 2 2 7 4" xfId="1422" xr:uid="{00000000-0005-0000-0000-0000E8010000}"/>
    <cellStyle name="Normal 3 2 2 7 4 2" xfId="3644" xr:uid="{00000000-0005-0000-0000-0000E9010000}"/>
    <cellStyle name="Normal 3 2 2 7 4 2 2" xfId="7644" xr:uid="{00000000-0005-0000-0000-0000E9010000}"/>
    <cellStyle name="Normal 3 2 2 7 4 3" xfId="5643" xr:uid="{00000000-0005-0000-0000-0000E9010000}"/>
    <cellStyle name="Normal 3 2 2 7 5" xfId="2648" xr:uid="{00000000-0005-0000-0000-0000E2010000}"/>
    <cellStyle name="Normal 3 2 2 7 5 2" xfId="6645" xr:uid="{00000000-0005-0000-0000-0000E2010000}"/>
    <cellStyle name="Normal 3 2 2 7 6" xfId="4644" xr:uid="{00000000-0005-0000-0000-0000E2010000}"/>
    <cellStyle name="Normal 3 2 2 8" xfId="486" xr:uid="{00000000-0005-0000-0000-0000E9010000}"/>
    <cellStyle name="Normal 3 2 2 8 2" xfId="733" xr:uid="{00000000-0005-0000-0000-0000EA010000}"/>
    <cellStyle name="Normal 3 2 2 8 2 2" xfId="1230" xr:uid="{00000000-0005-0000-0000-0000EB010000}"/>
    <cellStyle name="Normal 3 2 2 8 2 2 2" xfId="2232" xr:uid="{00000000-0005-0000-0000-0000EC010000}"/>
    <cellStyle name="Normal 3 2 2 8 2 2 2 2" xfId="4454" xr:uid="{00000000-0005-0000-0000-0000ED010000}"/>
    <cellStyle name="Normal 3 2 2 8 2 2 2 2 2" xfId="8454" xr:uid="{00000000-0005-0000-0000-0000ED010000}"/>
    <cellStyle name="Normal 3 2 2 8 2 2 2 3" xfId="6453" xr:uid="{00000000-0005-0000-0000-0000ED010000}"/>
    <cellStyle name="Normal 3 2 2 8 2 2 3" xfId="3456" xr:uid="{00000000-0005-0000-0000-0000EC010000}"/>
    <cellStyle name="Normal 3 2 2 8 2 2 3 2" xfId="7455" xr:uid="{00000000-0005-0000-0000-0000EC010000}"/>
    <cellStyle name="Normal 3 2 2 8 2 2 4" xfId="5454" xr:uid="{00000000-0005-0000-0000-0000EC010000}"/>
    <cellStyle name="Normal 3 2 2 8 2 3" xfId="1736" xr:uid="{00000000-0005-0000-0000-0000ED010000}"/>
    <cellStyle name="Normal 3 2 2 8 2 3 2" xfId="3958" xr:uid="{00000000-0005-0000-0000-0000EE010000}"/>
    <cellStyle name="Normal 3 2 2 8 2 3 2 2" xfId="7958" xr:uid="{00000000-0005-0000-0000-0000EE010000}"/>
    <cellStyle name="Normal 3 2 2 8 2 3 3" xfId="5957" xr:uid="{00000000-0005-0000-0000-0000EE010000}"/>
    <cellStyle name="Normal 3 2 2 8 2 4" xfId="2960" xr:uid="{00000000-0005-0000-0000-0000EB010000}"/>
    <cellStyle name="Normal 3 2 2 8 2 4 2" xfId="6959" xr:uid="{00000000-0005-0000-0000-0000EB010000}"/>
    <cellStyle name="Normal 3 2 2 8 2 5" xfId="4958" xr:uid="{00000000-0005-0000-0000-0000EB010000}"/>
    <cellStyle name="Normal 3 2 2 8 3" xfId="982" xr:uid="{00000000-0005-0000-0000-0000EE010000}"/>
    <cellStyle name="Normal 3 2 2 8 3 2" xfId="1984" xr:uid="{00000000-0005-0000-0000-0000EF010000}"/>
    <cellStyle name="Normal 3 2 2 8 3 2 2" xfId="4206" xr:uid="{00000000-0005-0000-0000-0000F0010000}"/>
    <cellStyle name="Normal 3 2 2 8 3 2 2 2" xfId="8206" xr:uid="{00000000-0005-0000-0000-0000F0010000}"/>
    <cellStyle name="Normal 3 2 2 8 3 2 3" xfId="6205" xr:uid="{00000000-0005-0000-0000-0000F0010000}"/>
    <cellStyle name="Normal 3 2 2 8 3 3" xfId="3208" xr:uid="{00000000-0005-0000-0000-0000EF010000}"/>
    <cellStyle name="Normal 3 2 2 8 3 3 2" xfId="7207" xr:uid="{00000000-0005-0000-0000-0000EF010000}"/>
    <cellStyle name="Normal 3 2 2 8 3 4" xfId="5206" xr:uid="{00000000-0005-0000-0000-0000EF010000}"/>
    <cellStyle name="Normal 3 2 2 8 4" xfId="1488" xr:uid="{00000000-0005-0000-0000-0000F0010000}"/>
    <cellStyle name="Normal 3 2 2 8 4 2" xfId="3710" xr:uid="{00000000-0005-0000-0000-0000F1010000}"/>
    <cellStyle name="Normal 3 2 2 8 4 2 2" xfId="7710" xr:uid="{00000000-0005-0000-0000-0000F1010000}"/>
    <cellStyle name="Normal 3 2 2 8 4 3" xfId="5709" xr:uid="{00000000-0005-0000-0000-0000F1010000}"/>
    <cellStyle name="Normal 3 2 2 8 5" xfId="2713" xr:uid="{00000000-0005-0000-0000-0000EA010000}"/>
    <cellStyle name="Normal 3 2 2 8 5 2" xfId="6711" xr:uid="{00000000-0005-0000-0000-0000EA010000}"/>
    <cellStyle name="Normal 3 2 2 8 6" xfId="4710" xr:uid="{00000000-0005-0000-0000-0000EA010000}"/>
    <cellStyle name="Normal 3 2 2 9" xfId="506" xr:uid="{00000000-0005-0000-0000-0000F1010000}"/>
    <cellStyle name="Normal 3 2 2 9 2" xfId="753" xr:uid="{00000000-0005-0000-0000-0000F2010000}"/>
    <cellStyle name="Normal 3 2 2 9 2 2" xfId="1251" xr:uid="{00000000-0005-0000-0000-0000F3010000}"/>
    <cellStyle name="Normal 3 2 2 9 2 2 2" xfId="2253" xr:uid="{00000000-0005-0000-0000-0000F4010000}"/>
    <cellStyle name="Normal 3 2 2 9 2 2 2 2" xfId="4475" xr:uid="{00000000-0005-0000-0000-0000F5010000}"/>
    <cellStyle name="Normal 3 2 2 9 2 2 2 2 2" xfId="8475" xr:uid="{00000000-0005-0000-0000-0000F5010000}"/>
    <cellStyle name="Normal 3 2 2 9 2 2 2 3" xfId="6474" xr:uid="{00000000-0005-0000-0000-0000F5010000}"/>
    <cellStyle name="Normal 3 2 2 9 2 2 3" xfId="3477" xr:uid="{00000000-0005-0000-0000-0000F4010000}"/>
    <cellStyle name="Normal 3 2 2 9 2 2 3 2" xfId="7476" xr:uid="{00000000-0005-0000-0000-0000F4010000}"/>
    <cellStyle name="Normal 3 2 2 9 2 2 4" xfId="5475" xr:uid="{00000000-0005-0000-0000-0000F4010000}"/>
    <cellStyle name="Normal 3 2 2 9 2 3" xfId="1757" xr:uid="{00000000-0005-0000-0000-0000F5010000}"/>
    <cellStyle name="Normal 3 2 2 9 2 3 2" xfId="3979" xr:uid="{00000000-0005-0000-0000-0000F6010000}"/>
    <cellStyle name="Normal 3 2 2 9 2 3 2 2" xfId="7979" xr:uid="{00000000-0005-0000-0000-0000F6010000}"/>
    <cellStyle name="Normal 3 2 2 9 2 3 3" xfId="5978" xr:uid="{00000000-0005-0000-0000-0000F6010000}"/>
    <cellStyle name="Normal 3 2 2 9 2 4" xfId="2981" xr:uid="{00000000-0005-0000-0000-0000F3010000}"/>
    <cellStyle name="Normal 3 2 2 9 2 4 2" xfId="6980" xr:uid="{00000000-0005-0000-0000-0000F3010000}"/>
    <cellStyle name="Normal 3 2 2 9 2 5" xfId="4979" xr:uid="{00000000-0005-0000-0000-0000F3010000}"/>
    <cellStyle name="Normal 3 2 2 9 3" xfId="1003" xr:uid="{00000000-0005-0000-0000-0000F6010000}"/>
    <cellStyle name="Normal 3 2 2 9 3 2" xfId="2005" xr:uid="{00000000-0005-0000-0000-0000F7010000}"/>
    <cellStyle name="Normal 3 2 2 9 3 2 2" xfId="4227" xr:uid="{00000000-0005-0000-0000-0000F8010000}"/>
    <cellStyle name="Normal 3 2 2 9 3 2 2 2" xfId="8227" xr:uid="{00000000-0005-0000-0000-0000F8010000}"/>
    <cellStyle name="Normal 3 2 2 9 3 2 3" xfId="6226" xr:uid="{00000000-0005-0000-0000-0000F8010000}"/>
    <cellStyle name="Normal 3 2 2 9 3 3" xfId="3229" xr:uid="{00000000-0005-0000-0000-0000F7010000}"/>
    <cellStyle name="Normal 3 2 2 9 3 3 2" xfId="7228" xr:uid="{00000000-0005-0000-0000-0000F7010000}"/>
    <cellStyle name="Normal 3 2 2 9 3 4" xfId="5227" xr:uid="{00000000-0005-0000-0000-0000F7010000}"/>
    <cellStyle name="Normal 3 2 2 9 4" xfId="1509" xr:uid="{00000000-0005-0000-0000-0000F8010000}"/>
    <cellStyle name="Normal 3 2 2 9 4 2" xfId="3731" xr:uid="{00000000-0005-0000-0000-0000F9010000}"/>
    <cellStyle name="Normal 3 2 2 9 4 2 2" xfId="7731" xr:uid="{00000000-0005-0000-0000-0000F9010000}"/>
    <cellStyle name="Normal 3 2 2 9 4 3" xfId="5730" xr:uid="{00000000-0005-0000-0000-0000F9010000}"/>
    <cellStyle name="Normal 3 2 2 9 5" xfId="2734" xr:uid="{00000000-0005-0000-0000-0000F2010000}"/>
    <cellStyle name="Normal 3 2 2 9 5 2" xfId="6732" xr:uid="{00000000-0005-0000-0000-0000F2010000}"/>
    <cellStyle name="Normal 3 2 2 9 6" xfId="4731" xr:uid="{00000000-0005-0000-0000-0000F2010000}"/>
    <cellStyle name="Normal 3 2 3" xfId="319" xr:uid="{00000000-0005-0000-0000-0000F9010000}"/>
    <cellStyle name="Normal 3 2 3 10" xfId="804" xr:uid="{00000000-0005-0000-0000-0000FA010000}"/>
    <cellStyle name="Normal 3 2 3 10 2" xfId="1806" xr:uid="{00000000-0005-0000-0000-0000FB010000}"/>
    <cellStyle name="Normal 3 2 3 10 2 2" xfId="4028" xr:uid="{00000000-0005-0000-0000-0000FC010000}"/>
    <cellStyle name="Normal 3 2 3 10 2 2 2" xfId="8028" xr:uid="{00000000-0005-0000-0000-0000FC010000}"/>
    <cellStyle name="Normal 3 2 3 10 2 3" xfId="6027" xr:uid="{00000000-0005-0000-0000-0000FC010000}"/>
    <cellStyle name="Normal 3 2 3 10 3" xfId="3030" xr:uid="{00000000-0005-0000-0000-0000FB010000}"/>
    <cellStyle name="Normal 3 2 3 10 3 2" xfId="7029" xr:uid="{00000000-0005-0000-0000-0000FB010000}"/>
    <cellStyle name="Normal 3 2 3 10 4" xfId="5028" xr:uid="{00000000-0005-0000-0000-0000FB010000}"/>
    <cellStyle name="Normal 3 2 3 11" xfId="1310" xr:uid="{00000000-0005-0000-0000-0000FC010000}"/>
    <cellStyle name="Normal 3 2 3 11 2" xfId="3532" xr:uid="{00000000-0005-0000-0000-0000FD010000}"/>
    <cellStyle name="Normal 3 2 3 11 2 2" xfId="7532" xr:uid="{00000000-0005-0000-0000-0000FD010000}"/>
    <cellStyle name="Normal 3 2 3 11 3" xfId="5531" xr:uid="{00000000-0005-0000-0000-0000FD010000}"/>
    <cellStyle name="Normal 3 2 3 12" xfId="2546" xr:uid="{00000000-0005-0000-0000-0000FA010000}"/>
    <cellStyle name="Normal 3 2 3 12 2" xfId="6533" xr:uid="{00000000-0005-0000-0000-0000FA010000}"/>
    <cellStyle name="Normal 3 2 3 13" xfId="4532" xr:uid="{00000000-0005-0000-0000-0000FA010000}"/>
    <cellStyle name="Normal 3 2 3 2" xfId="330" xr:uid="{00000000-0005-0000-0000-0000FD010000}"/>
    <cellStyle name="Normal 3 2 3 2 10" xfId="1320" xr:uid="{00000000-0005-0000-0000-0000FE010000}"/>
    <cellStyle name="Normal 3 2 3 2 10 2" xfId="3542" xr:uid="{00000000-0005-0000-0000-0000FF010000}"/>
    <cellStyle name="Normal 3 2 3 2 10 2 2" xfId="7542" xr:uid="{00000000-0005-0000-0000-0000FF010000}"/>
    <cellStyle name="Normal 3 2 3 2 10 3" xfId="5541" xr:uid="{00000000-0005-0000-0000-0000FF010000}"/>
    <cellStyle name="Normal 3 2 3 2 11" xfId="2555" xr:uid="{00000000-0005-0000-0000-0000FE010000}"/>
    <cellStyle name="Normal 3 2 3 2 11 2" xfId="6543" xr:uid="{00000000-0005-0000-0000-0000FE010000}"/>
    <cellStyle name="Normal 3 2 3 2 12" xfId="4542" xr:uid="{00000000-0005-0000-0000-0000FE010000}"/>
    <cellStyle name="Normal 3 2 3 2 2" xfId="348" xr:uid="{00000000-0005-0000-0000-0000FF010000}"/>
    <cellStyle name="Normal 3 2 3 2 2 2" xfId="410" xr:uid="{00000000-0005-0000-0000-000000020000}"/>
    <cellStyle name="Normal 3 2 3 2 2 2 2" xfId="657" xr:uid="{00000000-0005-0000-0000-000001020000}"/>
    <cellStyle name="Normal 3 2 3 2 2 2 2 2" xfId="1154" xr:uid="{00000000-0005-0000-0000-000002020000}"/>
    <cellStyle name="Normal 3 2 3 2 2 2 2 2 2" xfId="2156" xr:uid="{00000000-0005-0000-0000-000003020000}"/>
    <cellStyle name="Normal 3 2 3 2 2 2 2 2 2 2" xfId="4378" xr:uid="{00000000-0005-0000-0000-000004020000}"/>
    <cellStyle name="Normal 3 2 3 2 2 2 2 2 2 2 2" xfId="8378" xr:uid="{00000000-0005-0000-0000-000004020000}"/>
    <cellStyle name="Normal 3 2 3 2 2 2 2 2 2 3" xfId="6377" xr:uid="{00000000-0005-0000-0000-000004020000}"/>
    <cellStyle name="Normal 3 2 3 2 2 2 2 2 3" xfId="3380" xr:uid="{00000000-0005-0000-0000-000003020000}"/>
    <cellStyle name="Normal 3 2 3 2 2 2 2 2 3 2" xfId="7379" xr:uid="{00000000-0005-0000-0000-000003020000}"/>
    <cellStyle name="Normal 3 2 3 2 2 2 2 2 4" xfId="5378" xr:uid="{00000000-0005-0000-0000-000003020000}"/>
    <cellStyle name="Normal 3 2 3 2 2 2 2 3" xfId="1660" xr:uid="{00000000-0005-0000-0000-000004020000}"/>
    <cellStyle name="Normal 3 2 3 2 2 2 2 3 2" xfId="3882" xr:uid="{00000000-0005-0000-0000-000005020000}"/>
    <cellStyle name="Normal 3 2 3 2 2 2 2 3 2 2" xfId="7882" xr:uid="{00000000-0005-0000-0000-000005020000}"/>
    <cellStyle name="Normal 3 2 3 2 2 2 2 3 3" xfId="5881" xr:uid="{00000000-0005-0000-0000-000005020000}"/>
    <cellStyle name="Normal 3 2 3 2 2 2 2 4" xfId="2884" xr:uid="{00000000-0005-0000-0000-000002020000}"/>
    <cellStyle name="Normal 3 2 3 2 2 2 2 4 2" xfId="6883" xr:uid="{00000000-0005-0000-0000-000002020000}"/>
    <cellStyle name="Normal 3 2 3 2 2 2 2 5" xfId="4882" xr:uid="{00000000-0005-0000-0000-000002020000}"/>
    <cellStyle name="Normal 3 2 3 2 2 2 3" xfId="906" xr:uid="{00000000-0005-0000-0000-000005020000}"/>
    <cellStyle name="Normal 3 2 3 2 2 2 3 2" xfId="1908" xr:uid="{00000000-0005-0000-0000-000006020000}"/>
    <cellStyle name="Normal 3 2 3 2 2 2 3 2 2" xfId="4130" xr:uid="{00000000-0005-0000-0000-000007020000}"/>
    <cellStyle name="Normal 3 2 3 2 2 2 3 2 2 2" xfId="8130" xr:uid="{00000000-0005-0000-0000-000007020000}"/>
    <cellStyle name="Normal 3 2 3 2 2 2 3 2 3" xfId="6129" xr:uid="{00000000-0005-0000-0000-000007020000}"/>
    <cellStyle name="Normal 3 2 3 2 2 2 3 3" xfId="3132" xr:uid="{00000000-0005-0000-0000-000006020000}"/>
    <cellStyle name="Normal 3 2 3 2 2 2 3 3 2" xfId="7131" xr:uid="{00000000-0005-0000-0000-000006020000}"/>
    <cellStyle name="Normal 3 2 3 2 2 2 3 4" xfId="5130" xr:uid="{00000000-0005-0000-0000-000006020000}"/>
    <cellStyle name="Normal 3 2 3 2 2 2 4" xfId="1412" xr:uid="{00000000-0005-0000-0000-000007020000}"/>
    <cellStyle name="Normal 3 2 3 2 2 2 4 2" xfId="3634" xr:uid="{00000000-0005-0000-0000-000008020000}"/>
    <cellStyle name="Normal 3 2 3 2 2 2 4 2 2" xfId="7634" xr:uid="{00000000-0005-0000-0000-000008020000}"/>
    <cellStyle name="Normal 3 2 3 2 2 2 4 3" xfId="5633" xr:uid="{00000000-0005-0000-0000-000008020000}"/>
    <cellStyle name="Normal 3 2 3 2 2 2 5" xfId="2641" xr:uid="{00000000-0005-0000-0000-000001020000}"/>
    <cellStyle name="Normal 3 2 3 2 2 2 5 2" xfId="6635" xr:uid="{00000000-0005-0000-0000-000001020000}"/>
    <cellStyle name="Normal 3 2 3 2 2 2 6" xfId="4634" xr:uid="{00000000-0005-0000-0000-000001020000}"/>
    <cellStyle name="Normal 3 2 3 2 2 3" xfId="456" xr:uid="{00000000-0005-0000-0000-000008020000}"/>
    <cellStyle name="Normal 3 2 3 2 2 3 2" xfId="703" xr:uid="{00000000-0005-0000-0000-000009020000}"/>
    <cellStyle name="Normal 3 2 3 2 2 3 2 2" xfId="1200" xr:uid="{00000000-0005-0000-0000-00000A020000}"/>
    <cellStyle name="Normal 3 2 3 2 2 3 2 2 2" xfId="2202" xr:uid="{00000000-0005-0000-0000-00000B020000}"/>
    <cellStyle name="Normal 3 2 3 2 2 3 2 2 2 2" xfId="4424" xr:uid="{00000000-0005-0000-0000-00000C020000}"/>
    <cellStyle name="Normal 3 2 3 2 2 3 2 2 2 2 2" xfId="8424" xr:uid="{00000000-0005-0000-0000-00000C020000}"/>
    <cellStyle name="Normal 3 2 3 2 2 3 2 2 2 3" xfId="6423" xr:uid="{00000000-0005-0000-0000-00000C020000}"/>
    <cellStyle name="Normal 3 2 3 2 2 3 2 2 3" xfId="3426" xr:uid="{00000000-0005-0000-0000-00000B020000}"/>
    <cellStyle name="Normal 3 2 3 2 2 3 2 2 3 2" xfId="7425" xr:uid="{00000000-0005-0000-0000-00000B020000}"/>
    <cellStyle name="Normal 3 2 3 2 2 3 2 2 4" xfId="5424" xr:uid="{00000000-0005-0000-0000-00000B020000}"/>
    <cellStyle name="Normal 3 2 3 2 2 3 2 3" xfId="1706" xr:uid="{00000000-0005-0000-0000-00000C020000}"/>
    <cellStyle name="Normal 3 2 3 2 2 3 2 3 2" xfId="3928" xr:uid="{00000000-0005-0000-0000-00000D020000}"/>
    <cellStyle name="Normal 3 2 3 2 2 3 2 3 2 2" xfId="7928" xr:uid="{00000000-0005-0000-0000-00000D020000}"/>
    <cellStyle name="Normal 3 2 3 2 2 3 2 3 3" xfId="5927" xr:uid="{00000000-0005-0000-0000-00000D020000}"/>
    <cellStyle name="Normal 3 2 3 2 2 3 2 4" xfId="2930" xr:uid="{00000000-0005-0000-0000-00000A020000}"/>
    <cellStyle name="Normal 3 2 3 2 2 3 2 4 2" xfId="6929" xr:uid="{00000000-0005-0000-0000-00000A020000}"/>
    <cellStyle name="Normal 3 2 3 2 2 3 2 5" xfId="4928" xr:uid="{00000000-0005-0000-0000-00000A020000}"/>
    <cellStyle name="Normal 3 2 3 2 2 3 3" xfId="952" xr:uid="{00000000-0005-0000-0000-00000D020000}"/>
    <cellStyle name="Normal 3 2 3 2 2 3 3 2" xfId="1954" xr:uid="{00000000-0005-0000-0000-00000E020000}"/>
    <cellStyle name="Normal 3 2 3 2 2 3 3 2 2" xfId="4176" xr:uid="{00000000-0005-0000-0000-00000F020000}"/>
    <cellStyle name="Normal 3 2 3 2 2 3 3 2 2 2" xfId="8176" xr:uid="{00000000-0005-0000-0000-00000F020000}"/>
    <cellStyle name="Normal 3 2 3 2 2 3 3 2 3" xfId="6175" xr:uid="{00000000-0005-0000-0000-00000F020000}"/>
    <cellStyle name="Normal 3 2 3 2 2 3 3 3" xfId="3178" xr:uid="{00000000-0005-0000-0000-00000E020000}"/>
    <cellStyle name="Normal 3 2 3 2 2 3 3 3 2" xfId="7177" xr:uid="{00000000-0005-0000-0000-00000E020000}"/>
    <cellStyle name="Normal 3 2 3 2 2 3 3 4" xfId="5176" xr:uid="{00000000-0005-0000-0000-00000E020000}"/>
    <cellStyle name="Normal 3 2 3 2 2 3 4" xfId="1458" xr:uid="{00000000-0005-0000-0000-00000F020000}"/>
    <cellStyle name="Normal 3 2 3 2 2 3 4 2" xfId="3680" xr:uid="{00000000-0005-0000-0000-000010020000}"/>
    <cellStyle name="Normal 3 2 3 2 2 3 4 2 2" xfId="7680" xr:uid="{00000000-0005-0000-0000-000010020000}"/>
    <cellStyle name="Normal 3 2 3 2 2 3 4 3" xfId="5679" xr:uid="{00000000-0005-0000-0000-000010020000}"/>
    <cellStyle name="Normal 3 2 3 2 2 3 5" xfId="2683" xr:uid="{00000000-0005-0000-0000-000009020000}"/>
    <cellStyle name="Normal 3 2 3 2 2 3 5 2" xfId="6681" xr:uid="{00000000-0005-0000-0000-000009020000}"/>
    <cellStyle name="Normal 3 2 3 2 2 3 6" xfId="4680" xr:uid="{00000000-0005-0000-0000-000009020000}"/>
    <cellStyle name="Normal 3 2 3 2 2 4" xfId="542" xr:uid="{00000000-0005-0000-0000-000010020000}"/>
    <cellStyle name="Normal 3 2 3 2 2 4 2" xfId="789" xr:uid="{00000000-0005-0000-0000-000011020000}"/>
    <cellStyle name="Normal 3 2 3 2 2 4 2 2" xfId="1287" xr:uid="{00000000-0005-0000-0000-000012020000}"/>
    <cellStyle name="Normal 3 2 3 2 2 4 2 2 2" xfId="2289" xr:uid="{00000000-0005-0000-0000-000013020000}"/>
    <cellStyle name="Normal 3 2 3 2 2 4 2 2 2 2" xfId="4511" xr:uid="{00000000-0005-0000-0000-000014020000}"/>
    <cellStyle name="Normal 3 2 3 2 2 4 2 2 2 2 2" xfId="8511" xr:uid="{00000000-0005-0000-0000-000014020000}"/>
    <cellStyle name="Normal 3 2 3 2 2 4 2 2 2 3" xfId="6510" xr:uid="{00000000-0005-0000-0000-000014020000}"/>
    <cellStyle name="Normal 3 2 3 2 2 4 2 2 3" xfId="3513" xr:uid="{00000000-0005-0000-0000-000013020000}"/>
    <cellStyle name="Normal 3 2 3 2 2 4 2 2 3 2" xfId="7512" xr:uid="{00000000-0005-0000-0000-000013020000}"/>
    <cellStyle name="Normal 3 2 3 2 2 4 2 2 4" xfId="5511" xr:uid="{00000000-0005-0000-0000-000013020000}"/>
    <cellStyle name="Normal 3 2 3 2 2 4 2 3" xfId="1793" xr:uid="{00000000-0005-0000-0000-000014020000}"/>
    <cellStyle name="Normal 3 2 3 2 2 4 2 3 2" xfId="4015" xr:uid="{00000000-0005-0000-0000-000015020000}"/>
    <cellStyle name="Normal 3 2 3 2 2 4 2 3 2 2" xfId="8015" xr:uid="{00000000-0005-0000-0000-000015020000}"/>
    <cellStyle name="Normal 3 2 3 2 2 4 2 3 3" xfId="6014" xr:uid="{00000000-0005-0000-0000-000015020000}"/>
    <cellStyle name="Normal 3 2 3 2 2 4 2 4" xfId="3017" xr:uid="{00000000-0005-0000-0000-000012020000}"/>
    <cellStyle name="Normal 3 2 3 2 2 4 2 4 2" xfId="7016" xr:uid="{00000000-0005-0000-0000-000012020000}"/>
    <cellStyle name="Normal 3 2 3 2 2 4 2 5" xfId="5015" xr:uid="{00000000-0005-0000-0000-000012020000}"/>
    <cellStyle name="Normal 3 2 3 2 2 4 3" xfId="1039" xr:uid="{00000000-0005-0000-0000-000015020000}"/>
    <cellStyle name="Normal 3 2 3 2 2 4 3 2" xfId="2041" xr:uid="{00000000-0005-0000-0000-000016020000}"/>
    <cellStyle name="Normal 3 2 3 2 2 4 3 2 2" xfId="4263" xr:uid="{00000000-0005-0000-0000-000017020000}"/>
    <cellStyle name="Normal 3 2 3 2 2 4 3 2 2 2" xfId="8263" xr:uid="{00000000-0005-0000-0000-000017020000}"/>
    <cellStyle name="Normal 3 2 3 2 2 4 3 2 3" xfId="6262" xr:uid="{00000000-0005-0000-0000-000017020000}"/>
    <cellStyle name="Normal 3 2 3 2 2 4 3 3" xfId="3265" xr:uid="{00000000-0005-0000-0000-000016020000}"/>
    <cellStyle name="Normal 3 2 3 2 2 4 3 3 2" xfId="7264" xr:uid="{00000000-0005-0000-0000-000016020000}"/>
    <cellStyle name="Normal 3 2 3 2 2 4 3 4" xfId="5263" xr:uid="{00000000-0005-0000-0000-000016020000}"/>
    <cellStyle name="Normal 3 2 3 2 2 4 4" xfId="1545" xr:uid="{00000000-0005-0000-0000-000017020000}"/>
    <cellStyle name="Normal 3 2 3 2 2 4 4 2" xfId="3767" xr:uid="{00000000-0005-0000-0000-000018020000}"/>
    <cellStyle name="Normal 3 2 3 2 2 4 4 2 2" xfId="7767" xr:uid="{00000000-0005-0000-0000-000018020000}"/>
    <cellStyle name="Normal 3 2 3 2 2 4 4 3" xfId="5766" xr:uid="{00000000-0005-0000-0000-000018020000}"/>
    <cellStyle name="Normal 3 2 3 2 2 4 5" xfId="2770" xr:uid="{00000000-0005-0000-0000-000011020000}"/>
    <cellStyle name="Normal 3 2 3 2 2 4 5 2" xfId="6768" xr:uid="{00000000-0005-0000-0000-000011020000}"/>
    <cellStyle name="Normal 3 2 3 2 2 4 6" xfId="4767" xr:uid="{00000000-0005-0000-0000-000011020000}"/>
    <cellStyle name="Normal 3 2 3 2 2 5" xfId="588" xr:uid="{00000000-0005-0000-0000-000018020000}"/>
    <cellStyle name="Normal 3 2 3 2 2 5 2" xfId="1086" xr:uid="{00000000-0005-0000-0000-000019020000}"/>
    <cellStyle name="Normal 3 2 3 2 2 5 2 2" xfId="2088" xr:uid="{00000000-0005-0000-0000-00001A020000}"/>
    <cellStyle name="Normal 3 2 3 2 2 5 2 2 2" xfId="4310" xr:uid="{00000000-0005-0000-0000-00001B020000}"/>
    <cellStyle name="Normal 3 2 3 2 2 5 2 2 2 2" xfId="8310" xr:uid="{00000000-0005-0000-0000-00001B020000}"/>
    <cellStyle name="Normal 3 2 3 2 2 5 2 2 3" xfId="6309" xr:uid="{00000000-0005-0000-0000-00001B020000}"/>
    <cellStyle name="Normal 3 2 3 2 2 5 2 3" xfId="3312" xr:uid="{00000000-0005-0000-0000-00001A020000}"/>
    <cellStyle name="Normal 3 2 3 2 2 5 2 3 2" xfId="7311" xr:uid="{00000000-0005-0000-0000-00001A020000}"/>
    <cellStyle name="Normal 3 2 3 2 2 5 2 4" xfId="5310" xr:uid="{00000000-0005-0000-0000-00001A020000}"/>
    <cellStyle name="Normal 3 2 3 2 2 5 3" xfId="1592" xr:uid="{00000000-0005-0000-0000-00001B020000}"/>
    <cellStyle name="Normal 3 2 3 2 2 5 3 2" xfId="3814" xr:uid="{00000000-0005-0000-0000-00001C020000}"/>
    <cellStyle name="Normal 3 2 3 2 2 5 3 2 2" xfId="7814" xr:uid="{00000000-0005-0000-0000-00001C020000}"/>
    <cellStyle name="Normal 3 2 3 2 2 5 3 3" xfId="5813" xr:uid="{00000000-0005-0000-0000-00001C020000}"/>
    <cellStyle name="Normal 3 2 3 2 2 5 4" xfId="2817" xr:uid="{00000000-0005-0000-0000-000019020000}"/>
    <cellStyle name="Normal 3 2 3 2 2 5 4 2" xfId="6815" xr:uid="{00000000-0005-0000-0000-000019020000}"/>
    <cellStyle name="Normal 3 2 3 2 2 5 5" xfId="4814" xr:uid="{00000000-0005-0000-0000-000019020000}"/>
    <cellStyle name="Normal 3 2 3 2 2 6" xfId="838" xr:uid="{00000000-0005-0000-0000-00001C020000}"/>
    <cellStyle name="Normal 3 2 3 2 2 6 2" xfId="1840" xr:uid="{00000000-0005-0000-0000-00001D020000}"/>
    <cellStyle name="Normal 3 2 3 2 2 6 2 2" xfId="4062" xr:uid="{00000000-0005-0000-0000-00001E020000}"/>
    <cellStyle name="Normal 3 2 3 2 2 6 2 2 2" xfId="8062" xr:uid="{00000000-0005-0000-0000-00001E020000}"/>
    <cellStyle name="Normal 3 2 3 2 2 6 2 3" xfId="6061" xr:uid="{00000000-0005-0000-0000-00001E020000}"/>
    <cellStyle name="Normal 3 2 3 2 2 6 3" xfId="3064" xr:uid="{00000000-0005-0000-0000-00001D020000}"/>
    <cellStyle name="Normal 3 2 3 2 2 6 3 2" xfId="7063" xr:uid="{00000000-0005-0000-0000-00001D020000}"/>
    <cellStyle name="Normal 3 2 3 2 2 6 4" xfId="5062" xr:uid="{00000000-0005-0000-0000-00001D020000}"/>
    <cellStyle name="Normal 3 2 3 2 2 7" xfId="1344" xr:uid="{00000000-0005-0000-0000-00001E020000}"/>
    <cellStyle name="Normal 3 2 3 2 2 7 2" xfId="3566" xr:uid="{00000000-0005-0000-0000-00001F020000}"/>
    <cellStyle name="Normal 3 2 3 2 2 7 2 2" xfId="7566" xr:uid="{00000000-0005-0000-0000-00001F020000}"/>
    <cellStyle name="Normal 3 2 3 2 2 7 3" xfId="5565" xr:uid="{00000000-0005-0000-0000-00001F020000}"/>
    <cellStyle name="Normal 3 2 3 2 2 8" xfId="2578" xr:uid="{00000000-0005-0000-0000-000000020000}"/>
    <cellStyle name="Normal 3 2 3 2 2 8 2" xfId="6567" xr:uid="{00000000-0005-0000-0000-000000020000}"/>
    <cellStyle name="Normal 3 2 3 2 2 9" xfId="4566" xr:uid="{00000000-0005-0000-0000-000000020000}"/>
    <cellStyle name="Normal 3 2 3 2 3" xfId="366" xr:uid="{00000000-0005-0000-0000-00001F020000}"/>
    <cellStyle name="Normal 3 2 3 2 3 2" xfId="478" xr:uid="{00000000-0005-0000-0000-000020020000}"/>
    <cellStyle name="Normal 3 2 3 2 3 2 2" xfId="725" xr:uid="{00000000-0005-0000-0000-000021020000}"/>
    <cellStyle name="Normal 3 2 3 2 3 2 2 2" xfId="1222" xr:uid="{00000000-0005-0000-0000-000022020000}"/>
    <cellStyle name="Normal 3 2 3 2 3 2 2 2 2" xfId="2224" xr:uid="{00000000-0005-0000-0000-000023020000}"/>
    <cellStyle name="Normal 3 2 3 2 3 2 2 2 2 2" xfId="4446" xr:uid="{00000000-0005-0000-0000-000024020000}"/>
    <cellStyle name="Normal 3 2 3 2 3 2 2 2 2 2 2" xfId="8446" xr:uid="{00000000-0005-0000-0000-000024020000}"/>
    <cellStyle name="Normal 3 2 3 2 3 2 2 2 2 3" xfId="6445" xr:uid="{00000000-0005-0000-0000-000024020000}"/>
    <cellStyle name="Normal 3 2 3 2 3 2 2 2 3" xfId="3448" xr:uid="{00000000-0005-0000-0000-000023020000}"/>
    <cellStyle name="Normal 3 2 3 2 3 2 2 2 3 2" xfId="7447" xr:uid="{00000000-0005-0000-0000-000023020000}"/>
    <cellStyle name="Normal 3 2 3 2 3 2 2 2 4" xfId="5446" xr:uid="{00000000-0005-0000-0000-000023020000}"/>
    <cellStyle name="Normal 3 2 3 2 3 2 2 3" xfId="1728" xr:uid="{00000000-0005-0000-0000-000024020000}"/>
    <cellStyle name="Normal 3 2 3 2 3 2 2 3 2" xfId="3950" xr:uid="{00000000-0005-0000-0000-000025020000}"/>
    <cellStyle name="Normal 3 2 3 2 3 2 2 3 2 2" xfId="7950" xr:uid="{00000000-0005-0000-0000-000025020000}"/>
    <cellStyle name="Normal 3 2 3 2 3 2 2 3 3" xfId="5949" xr:uid="{00000000-0005-0000-0000-000025020000}"/>
    <cellStyle name="Normal 3 2 3 2 3 2 2 4" xfId="2952" xr:uid="{00000000-0005-0000-0000-000022020000}"/>
    <cellStyle name="Normal 3 2 3 2 3 2 2 4 2" xfId="6951" xr:uid="{00000000-0005-0000-0000-000022020000}"/>
    <cellStyle name="Normal 3 2 3 2 3 2 2 5" xfId="4950" xr:uid="{00000000-0005-0000-0000-000022020000}"/>
    <cellStyle name="Normal 3 2 3 2 3 2 3" xfId="974" xr:uid="{00000000-0005-0000-0000-000025020000}"/>
    <cellStyle name="Normal 3 2 3 2 3 2 3 2" xfId="1976" xr:uid="{00000000-0005-0000-0000-000026020000}"/>
    <cellStyle name="Normal 3 2 3 2 3 2 3 2 2" xfId="4198" xr:uid="{00000000-0005-0000-0000-000027020000}"/>
    <cellStyle name="Normal 3 2 3 2 3 2 3 2 2 2" xfId="8198" xr:uid="{00000000-0005-0000-0000-000027020000}"/>
    <cellStyle name="Normal 3 2 3 2 3 2 3 2 3" xfId="6197" xr:uid="{00000000-0005-0000-0000-000027020000}"/>
    <cellStyle name="Normal 3 2 3 2 3 2 3 3" xfId="3200" xr:uid="{00000000-0005-0000-0000-000026020000}"/>
    <cellStyle name="Normal 3 2 3 2 3 2 3 3 2" xfId="7199" xr:uid="{00000000-0005-0000-0000-000026020000}"/>
    <cellStyle name="Normal 3 2 3 2 3 2 3 4" xfId="5198" xr:uid="{00000000-0005-0000-0000-000026020000}"/>
    <cellStyle name="Normal 3 2 3 2 3 2 4" xfId="1480" xr:uid="{00000000-0005-0000-0000-000027020000}"/>
    <cellStyle name="Normal 3 2 3 2 3 2 4 2" xfId="3702" xr:uid="{00000000-0005-0000-0000-000028020000}"/>
    <cellStyle name="Normal 3 2 3 2 3 2 4 2 2" xfId="7702" xr:uid="{00000000-0005-0000-0000-000028020000}"/>
    <cellStyle name="Normal 3 2 3 2 3 2 4 3" xfId="5701" xr:uid="{00000000-0005-0000-0000-000028020000}"/>
    <cellStyle name="Normal 3 2 3 2 3 2 5" xfId="2705" xr:uid="{00000000-0005-0000-0000-000021020000}"/>
    <cellStyle name="Normal 3 2 3 2 3 2 5 2" xfId="6703" xr:uid="{00000000-0005-0000-0000-000021020000}"/>
    <cellStyle name="Normal 3 2 3 2 3 2 6" xfId="4702" xr:uid="{00000000-0005-0000-0000-000021020000}"/>
    <cellStyle name="Normal 3 2 3 2 3 3" xfId="610" xr:uid="{00000000-0005-0000-0000-000028020000}"/>
    <cellStyle name="Normal 3 2 3 2 3 3 2" xfId="1108" xr:uid="{00000000-0005-0000-0000-000029020000}"/>
    <cellStyle name="Normal 3 2 3 2 3 3 2 2" xfId="2110" xr:uid="{00000000-0005-0000-0000-00002A020000}"/>
    <cellStyle name="Normal 3 2 3 2 3 3 2 2 2" xfId="4332" xr:uid="{00000000-0005-0000-0000-00002B020000}"/>
    <cellStyle name="Normal 3 2 3 2 3 3 2 2 2 2" xfId="8332" xr:uid="{00000000-0005-0000-0000-00002B020000}"/>
    <cellStyle name="Normal 3 2 3 2 3 3 2 2 3" xfId="6331" xr:uid="{00000000-0005-0000-0000-00002B020000}"/>
    <cellStyle name="Normal 3 2 3 2 3 3 2 3" xfId="3334" xr:uid="{00000000-0005-0000-0000-00002A020000}"/>
    <cellStyle name="Normal 3 2 3 2 3 3 2 3 2" xfId="7333" xr:uid="{00000000-0005-0000-0000-00002A020000}"/>
    <cellStyle name="Normal 3 2 3 2 3 3 2 4" xfId="5332" xr:uid="{00000000-0005-0000-0000-00002A020000}"/>
    <cellStyle name="Normal 3 2 3 2 3 3 3" xfId="1614" xr:uid="{00000000-0005-0000-0000-00002B020000}"/>
    <cellStyle name="Normal 3 2 3 2 3 3 3 2" xfId="3836" xr:uid="{00000000-0005-0000-0000-00002C020000}"/>
    <cellStyle name="Normal 3 2 3 2 3 3 3 2 2" xfId="7836" xr:uid="{00000000-0005-0000-0000-00002C020000}"/>
    <cellStyle name="Normal 3 2 3 2 3 3 3 3" xfId="5835" xr:uid="{00000000-0005-0000-0000-00002C020000}"/>
    <cellStyle name="Normal 3 2 3 2 3 3 4" xfId="2839" xr:uid="{00000000-0005-0000-0000-000029020000}"/>
    <cellStyle name="Normal 3 2 3 2 3 3 4 2" xfId="6837" xr:uid="{00000000-0005-0000-0000-000029020000}"/>
    <cellStyle name="Normal 3 2 3 2 3 3 5" xfId="4836" xr:uid="{00000000-0005-0000-0000-000029020000}"/>
    <cellStyle name="Normal 3 2 3 2 3 4" xfId="860" xr:uid="{00000000-0005-0000-0000-00002C020000}"/>
    <cellStyle name="Normal 3 2 3 2 3 4 2" xfId="1862" xr:uid="{00000000-0005-0000-0000-00002D020000}"/>
    <cellStyle name="Normal 3 2 3 2 3 4 2 2" xfId="4084" xr:uid="{00000000-0005-0000-0000-00002E020000}"/>
    <cellStyle name="Normal 3 2 3 2 3 4 2 2 2" xfId="8084" xr:uid="{00000000-0005-0000-0000-00002E020000}"/>
    <cellStyle name="Normal 3 2 3 2 3 4 2 3" xfId="6083" xr:uid="{00000000-0005-0000-0000-00002E020000}"/>
    <cellStyle name="Normal 3 2 3 2 3 4 3" xfId="3086" xr:uid="{00000000-0005-0000-0000-00002D020000}"/>
    <cellStyle name="Normal 3 2 3 2 3 4 3 2" xfId="7085" xr:uid="{00000000-0005-0000-0000-00002D020000}"/>
    <cellStyle name="Normal 3 2 3 2 3 4 4" xfId="5084" xr:uid="{00000000-0005-0000-0000-00002D020000}"/>
    <cellStyle name="Normal 3 2 3 2 3 5" xfId="1366" xr:uid="{00000000-0005-0000-0000-00002E020000}"/>
    <cellStyle name="Normal 3 2 3 2 3 5 2" xfId="3588" xr:uid="{00000000-0005-0000-0000-00002F020000}"/>
    <cellStyle name="Normal 3 2 3 2 3 5 2 2" xfId="7588" xr:uid="{00000000-0005-0000-0000-00002F020000}"/>
    <cellStyle name="Normal 3 2 3 2 3 5 3" xfId="5587" xr:uid="{00000000-0005-0000-0000-00002F020000}"/>
    <cellStyle name="Normal 3 2 3 2 3 6" xfId="2600" xr:uid="{00000000-0005-0000-0000-000020020000}"/>
    <cellStyle name="Normal 3 2 3 2 3 6 2" xfId="6589" xr:uid="{00000000-0005-0000-0000-000020020000}"/>
    <cellStyle name="Normal 3 2 3 2 3 7" xfId="4588" xr:uid="{00000000-0005-0000-0000-000020020000}"/>
    <cellStyle name="Normal 3 2 3 2 4" xfId="387" xr:uid="{00000000-0005-0000-0000-00002F020000}"/>
    <cellStyle name="Normal 3 2 3 2 4 2" xfId="633" xr:uid="{00000000-0005-0000-0000-000030020000}"/>
    <cellStyle name="Normal 3 2 3 2 4 2 2" xfId="1130" xr:uid="{00000000-0005-0000-0000-000031020000}"/>
    <cellStyle name="Normal 3 2 3 2 4 2 2 2" xfId="2132" xr:uid="{00000000-0005-0000-0000-000032020000}"/>
    <cellStyle name="Normal 3 2 3 2 4 2 2 2 2" xfId="4354" xr:uid="{00000000-0005-0000-0000-000033020000}"/>
    <cellStyle name="Normal 3 2 3 2 4 2 2 2 2 2" xfId="8354" xr:uid="{00000000-0005-0000-0000-000033020000}"/>
    <cellStyle name="Normal 3 2 3 2 4 2 2 2 3" xfId="6353" xr:uid="{00000000-0005-0000-0000-000033020000}"/>
    <cellStyle name="Normal 3 2 3 2 4 2 2 3" xfId="3356" xr:uid="{00000000-0005-0000-0000-000032020000}"/>
    <cellStyle name="Normal 3 2 3 2 4 2 2 3 2" xfId="7355" xr:uid="{00000000-0005-0000-0000-000032020000}"/>
    <cellStyle name="Normal 3 2 3 2 4 2 2 4" xfId="5354" xr:uid="{00000000-0005-0000-0000-000032020000}"/>
    <cellStyle name="Normal 3 2 3 2 4 2 3" xfId="1636" xr:uid="{00000000-0005-0000-0000-000033020000}"/>
    <cellStyle name="Normal 3 2 3 2 4 2 3 2" xfId="3858" xr:uid="{00000000-0005-0000-0000-000034020000}"/>
    <cellStyle name="Normal 3 2 3 2 4 2 3 2 2" xfId="7858" xr:uid="{00000000-0005-0000-0000-000034020000}"/>
    <cellStyle name="Normal 3 2 3 2 4 2 3 3" xfId="5857" xr:uid="{00000000-0005-0000-0000-000034020000}"/>
    <cellStyle name="Normal 3 2 3 2 4 2 4" xfId="2860" xr:uid="{00000000-0005-0000-0000-000031020000}"/>
    <cellStyle name="Normal 3 2 3 2 4 2 4 2" xfId="6859" xr:uid="{00000000-0005-0000-0000-000031020000}"/>
    <cellStyle name="Normal 3 2 3 2 4 2 5" xfId="4858" xr:uid="{00000000-0005-0000-0000-000031020000}"/>
    <cellStyle name="Normal 3 2 3 2 4 3" xfId="882" xr:uid="{00000000-0005-0000-0000-000034020000}"/>
    <cellStyle name="Normal 3 2 3 2 4 3 2" xfId="1884" xr:uid="{00000000-0005-0000-0000-000035020000}"/>
    <cellStyle name="Normal 3 2 3 2 4 3 2 2" xfId="4106" xr:uid="{00000000-0005-0000-0000-000036020000}"/>
    <cellStyle name="Normal 3 2 3 2 4 3 2 2 2" xfId="8106" xr:uid="{00000000-0005-0000-0000-000036020000}"/>
    <cellStyle name="Normal 3 2 3 2 4 3 2 3" xfId="6105" xr:uid="{00000000-0005-0000-0000-000036020000}"/>
    <cellStyle name="Normal 3 2 3 2 4 3 3" xfId="3108" xr:uid="{00000000-0005-0000-0000-000035020000}"/>
    <cellStyle name="Normal 3 2 3 2 4 3 3 2" xfId="7107" xr:uid="{00000000-0005-0000-0000-000035020000}"/>
    <cellStyle name="Normal 3 2 3 2 4 3 4" xfId="5106" xr:uid="{00000000-0005-0000-0000-000035020000}"/>
    <cellStyle name="Normal 3 2 3 2 4 4" xfId="1388" xr:uid="{00000000-0005-0000-0000-000036020000}"/>
    <cellStyle name="Normal 3 2 3 2 4 4 2" xfId="3610" xr:uid="{00000000-0005-0000-0000-000037020000}"/>
    <cellStyle name="Normal 3 2 3 2 4 4 2 2" xfId="7610" xr:uid="{00000000-0005-0000-0000-000037020000}"/>
    <cellStyle name="Normal 3 2 3 2 4 4 3" xfId="5609" xr:uid="{00000000-0005-0000-0000-000037020000}"/>
    <cellStyle name="Normal 3 2 3 2 4 5" xfId="2620" xr:uid="{00000000-0005-0000-0000-000030020000}"/>
    <cellStyle name="Normal 3 2 3 2 4 5 2" xfId="6611" xr:uid="{00000000-0005-0000-0000-000030020000}"/>
    <cellStyle name="Normal 3 2 3 2 4 6" xfId="4610" xr:uid="{00000000-0005-0000-0000-000030020000}"/>
    <cellStyle name="Normal 3 2 3 2 5" xfId="432" xr:uid="{00000000-0005-0000-0000-000037020000}"/>
    <cellStyle name="Normal 3 2 3 2 5 2" xfId="679" xr:uid="{00000000-0005-0000-0000-000038020000}"/>
    <cellStyle name="Normal 3 2 3 2 5 2 2" xfId="1176" xr:uid="{00000000-0005-0000-0000-000039020000}"/>
    <cellStyle name="Normal 3 2 3 2 5 2 2 2" xfId="2178" xr:uid="{00000000-0005-0000-0000-00003A020000}"/>
    <cellStyle name="Normal 3 2 3 2 5 2 2 2 2" xfId="4400" xr:uid="{00000000-0005-0000-0000-00003B020000}"/>
    <cellStyle name="Normal 3 2 3 2 5 2 2 2 2 2" xfId="8400" xr:uid="{00000000-0005-0000-0000-00003B020000}"/>
    <cellStyle name="Normal 3 2 3 2 5 2 2 2 3" xfId="6399" xr:uid="{00000000-0005-0000-0000-00003B020000}"/>
    <cellStyle name="Normal 3 2 3 2 5 2 2 3" xfId="3402" xr:uid="{00000000-0005-0000-0000-00003A020000}"/>
    <cellStyle name="Normal 3 2 3 2 5 2 2 3 2" xfId="7401" xr:uid="{00000000-0005-0000-0000-00003A020000}"/>
    <cellStyle name="Normal 3 2 3 2 5 2 2 4" xfId="5400" xr:uid="{00000000-0005-0000-0000-00003A020000}"/>
    <cellStyle name="Normal 3 2 3 2 5 2 3" xfId="1682" xr:uid="{00000000-0005-0000-0000-00003B020000}"/>
    <cellStyle name="Normal 3 2 3 2 5 2 3 2" xfId="3904" xr:uid="{00000000-0005-0000-0000-00003C020000}"/>
    <cellStyle name="Normal 3 2 3 2 5 2 3 2 2" xfId="7904" xr:uid="{00000000-0005-0000-0000-00003C020000}"/>
    <cellStyle name="Normal 3 2 3 2 5 2 3 3" xfId="5903" xr:uid="{00000000-0005-0000-0000-00003C020000}"/>
    <cellStyle name="Normal 3 2 3 2 5 2 4" xfId="2906" xr:uid="{00000000-0005-0000-0000-000039020000}"/>
    <cellStyle name="Normal 3 2 3 2 5 2 4 2" xfId="6905" xr:uid="{00000000-0005-0000-0000-000039020000}"/>
    <cellStyle name="Normal 3 2 3 2 5 2 5" xfId="4904" xr:uid="{00000000-0005-0000-0000-000039020000}"/>
    <cellStyle name="Normal 3 2 3 2 5 3" xfId="928" xr:uid="{00000000-0005-0000-0000-00003C020000}"/>
    <cellStyle name="Normal 3 2 3 2 5 3 2" xfId="1930" xr:uid="{00000000-0005-0000-0000-00003D020000}"/>
    <cellStyle name="Normal 3 2 3 2 5 3 2 2" xfId="4152" xr:uid="{00000000-0005-0000-0000-00003E020000}"/>
    <cellStyle name="Normal 3 2 3 2 5 3 2 2 2" xfId="8152" xr:uid="{00000000-0005-0000-0000-00003E020000}"/>
    <cellStyle name="Normal 3 2 3 2 5 3 2 3" xfId="6151" xr:uid="{00000000-0005-0000-0000-00003E020000}"/>
    <cellStyle name="Normal 3 2 3 2 5 3 3" xfId="3154" xr:uid="{00000000-0005-0000-0000-00003D020000}"/>
    <cellStyle name="Normal 3 2 3 2 5 3 3 2" xfId="7153" xr:uid="{00000000-0005-0000-0000-00003D020000}"/>
    <cellStyle name="Normal 3 2 3 2 5 3 4" xfId="5152" xr:uid="{00000000-0005-0000-0000-00003D020000}"/>
    <cellStyle name="Normal 3 2 3 2 5 4" xfId="1434" xr:uid="{00000000-0005-0000-0000-00003E020000}"/>
    <cellStyle name="Normal 3 2 3 2 5 4 2" xfId="3656" xr:uid="{00000000-0005-0000-0000-00003F020000}"/>
    <cellStyle name="Normal 3 2 3 2 5 4 2 2" xfId="7656" xr:uid="{00000000-0005-0000-0000-00003F020000}"/>
    <cellStyle name="Normal 3 2 3 2 5 4 3" xfId="5655" xr:uid="{00000000-0005-0000-0000-00003F020000}"/>
    <cellStyle name="Normal 3 2 3 2 5 5" xfId="2660" xr:uid="{00000000-0005-0000-0000-000038020000}"/>
    <cellStyle name="Normal 3 2 3 2 5 5 2" xfId="6657" xr:uid="{00000000-0005-0000-0000-000038020000}"/>
    <cellStyle name="Normal 3 2 3 2 5 6" xfId="4656" xr:uid="{00000000-0005-0000-0000-000038020000}"/>
    <cellStyle name="Normal 3 2 3 2 6" xfId="498" xr:uid="{00000000-0005-0000-0000-00003F020000}"/>
    <cellStyle name="Normal 3 2 3 2 6 2" xfId="745" xr:uid="{00000000-0005-0000-0000-000040020000}"/>
    <cellStyle name="Normal 3 2 3 2 6 2 2" xfId="1242" xr:uid="{00000000-0005-0000-0000-000041020000}"/>
    <cellStyle name="Normal 3 2 3 2 6 2 2 2" xfId="2244" xr:uid="{00000000-0005-0000-0000-000042020000}"/>
    <cellStyle name="Normal 3 2 3 2 6 2 2 2 2" xfId="4466" xr:uid="{00000000-0005-0000-0000-000043020000}"/>
    <cellStyle name="Normal 3 2 3 2 6 2 2 2 2 2" xfId="8466" xr:uid="{00000000-0005-0000-0000-000043020000}"/>
    <cellStyle name="Normal 3 2 3 2 6 2 2 2 3" xfId="6465" xr:uid="{00000000-0005-0000-0000-000043020000}"/>
    <cellStyle name="Normal 3 2 3 2 6 2 2 3" xfId="3468" xr:uid="{00000000-0005-0000-0000-000042020000}"/>
    <cellStyle name="Normal 3 2 3 2 6 2 2 3 2" xfId="7467" xr:uid="{00000000-0005-0000-0000-000042020000}"/>
    <cellStyle name="Normal 3 2 3 2 6 2 2 4" xfId="5466" xr:uid="{00000000-0005-0000-0000-000042020000}"/>
    <cellStyle name="Normal 3 2 3 2 6 2 3" xfId="1748" xr:uid="{00000000-0005-0000-0000-000043020000}"/>
    <cellStyle name="Normal 3 2 3 2 6 2 3 2" xfId="3970" xr:uid="{00000000-0005-0000-0000-000044020000}"/>
    <cellStyle name="Normal 3 2 3 2 6 2 3 2 2" xfId="7970" xr:uid="{00000000-0005-0000-0000-000044020000}"/>
    <cellStyle name="Normal 3 2 3 2 6 2 3 3" xfId="5969" xr:uid="{00000000-0005-0000-0000-000044020000}"/>
    <cellStyle name="Normal 3 2 3 2 6 2 4" xfId="2972" xr:uid="{00000000-0005-0000-0000-000041020000}"/>
    <cellStyle name="Normal 3 2 3 2 6 2 4 2" xfId="6971" xr:uid="{00000000-0005-0000-0000-000041020000}"/>
    <cellStyle name="Normal 3 2 3 2 6 2 5" xfId="4970" xr:uid="{00000000-0005-0000-0000-000041020000}"/>
    <cellStyle name="Normal 3 2 3 2 6 3" xfId="994" xr:uid="{00000000-0005-0000-0000-000044020000}"/>
    <cellStyle name="Normal 3 2 3 2 6 3 2" xfId="1996" xr:uid="{00000000-0005-0000-0000-000045020000}"/>
    <cellStyle name="Normal 3 2 3 2 6 3 2 2" xfId="4218" xr:uid="{00000000-0005-0000-0000-000046020000}"/>
    <cellStyle name="Normal 3 2 3 2 6 3 2 2 2" xfId="8218" xr:uid="{00000000-0005-0000-0000-000046020000}"/>
    <cellStyle name="Normal 3 2 3 2 6 3 2 3" xfId="6217" xr:uid="{00000000-0005-0000-0000-000046020000}"/>
    <cellStyle name="Normal 3 2 3 2 6 3 3" xfId="3220" xr:uid="{00000000-0005-0000-0000-000045020000}"/>
    <cellStyle name="Normal 3 2 3 2 6 3 3 2" xfId="7219" xr:uid="{00000000-0005-0000-0000-000045020000}"/>
    <cellStyle name="Normal 3 2 3 2 6 3 4" xfId="5218" xr:uid="{00000000-0005-0000-0000-000045020000}"/>
    <cellStyle name="Normal 3 2 3 2 6 4" xfId="1500" xr:uid="{00000000-0005-0000-0000-000046020000}"/>
    <cellStyle name="Normal 3 2 3 2 6 4 2" xfId="3722" xr:uid="{00000000-0005-0000-0000-000047020000}"/>
    <cellStyle name="Normal 3 2 3 2 6 4 2 2" xfId="7722" xr:uid="{00000000-0005-0000-0000-000047020000}"/>
    <cellStyle name="Normal 3 2 3 2 6 4 3" xfId="5721" xr:uid="{00000000-0005-0000-0000-000047020000}"/>
    <cellStyle name="Normal 3 2 3 2 6 5" xfId="2725" xr:uid="{00000000-0005-0000-0000-000040020000}"/>
    <cellStyle name="Normal 3 2 3 2 6 5 2" xfId="6723" xr:uid="{00000000-0005-0000-0000-000040020000}"/>
    <cellStyle name="Normal 3 2 3 2 6 6" xfId="4722" xr:uid="{00000000-0005-0000-0000-000040020000}"/>
    <cellStyle name="Normal 3 2 3 2 7" xfId="518" xr:uid="{00000000-0005-0000-0000-000047020000}"/>
    <cellStyle name="Normal 3 2 3 2 7 2" xfId="765" xr:uid="{00000000-0005-0000-0000-000048020000}"/>
    <cellStyle name="Normal 3 2 3 2 7 2 2" xfId="1263" xr:uid="{00000000-0005-0000-0000-000049020000}"/>
    <cellStyle name="Normal 3 2 3 2 7 2 2 2" xfId="2265" xr:uid="{00000000-0005-0000-0000-00004A020000}"/>
    <cellStyle name="Normal 3 2 3 2 7 2 2 2 2" xfId="4487" xr:uid="{00000000-0005-0000-0000-00004B020000}"/>
    <cellStyle name="Normal 3 2 3 2 7 2 2 2 2 2" xfId="8487" xr:uid="{00000000-0005-0000-0000-00004B020000}"/>
    <cellStyle name="Normal 3 2 3 2 7 2 2 2 3" xfId="6486" xr:uid="{00000000-0005-0000-0000-00004B020000}"/>
    <cellStyle name="Normal 3 2 3 2 7 2 2 3" xfId="3489" xr:uid="{00000000-0005-0000-0000-00004A020000}"/>
    <cellStyle name="Normal 3 2 3 2 7 2 2 3 2" xfId="7488" xr:uid="{00000000-0005-0000-0000-00004A020000}"/>
    <cellStyle name="Normal 3 2 3 2 7 2 2 4" xfId="5487" xr:uid="{00000000-0005-0000-0000-00004A020000}"/>
    <cellStyle name="Normal 3 2 3 2 7 2 3" xfId="1769" xr:uid="{00000000-0005-0000-0000-00004B020000}"/>
    <cellStyle name="Normal 3 2 3 2 7 2 3 2" xfId="3991" xr:uid="{00000000-0005-0000-0000-00004C020000}"/>
    <cellStyle name="Normal 3 2 3 2 7 2 3 2 2" xfId="7991" xr:uid="{00000000-0005-0000-0000-00004C020000}"/>
    <cellStyle name="Normal 3 2 3 2 7 2 3 3" xfId="5990" xr:uid="{00000000-0005-0000-0000-00004C020000}"/>
    <cellStyle name="Normal 3 2 3 2 7 2 4" xfId="2993" xr:uid="{00000000-0005-0000-0000-000049020000}"/>
    <cellStyle name="Normal 3 2 3 2 7 2 4 2" xfId="6992" xr:uid="{00000000-0005-0000-0000-000049020000}"/>
    <cellStyle name="Normal 3 2 3 2 7 2 5" xfId="4991" xr:uid="{00000000-0005-0000-0000-000049020000}"/>
    <cellStyle name="Normal 3 2 3 2 7 3" xfId="1015" xr:uid="{00000000-0005-0000-0000-00004C020000}"/>
    <cellStyle name="Normal 3 2 3 2 7 3 2" xfId="2017" xr:uid="{00000000-0005-0000-0000-00004D020000}"/>
    <cellStyle name="Normal 3 2 3 2 7 3 2 2" xfId="4239" xr:uid="{00000000-0005-0000-0000-00004E020000}"/>
    <cellStyle name="Normal 3 2 3 2 7 3 2 2 2" xfId="8239" xr:uid="{00000000-0005-0000-0000-00004E020000}"/>
    <cellStyle name="Normal 3 2 3 2 7 3 2 3" xfId="6238" xr:uid="{00000000-0005-0000-0000-00004E020000}"/>
    <cellStyle name="Normal 3 2 3 2 7 3 3" xfId="3241" xr:uid="{00000000-0005-0000-0000-00004D020000}"/>
    <cellStyle name="Normal 3 2 3 2 7 3 3 2" xfId="7240" xr:uid="{00000000-0005-0000-0000-00004D020000}"/>
    <cellStyle name="Normal 3 2 3 2 7 3 4" xfId="5239" xr:uid="{00000000-0005-0000-0000-00004D020000}"/>
    <cellStyle name="Normal 3 2 3 2 7 4" xfId="1521" xr:uid="{00000000-0005-0000-0000-00004E020000}"/>
    <cellStyle name="Normal 3 2 3 2 7 4 2" xfId="3743" xr:uid="{00000000-0005-0000-0000-00004F020000}"/>
    <cellStyle name="Normal 3 2 3 2 7 4 2 2" xfId="7743" xr:uid="{00000000-0005-0000-0000-00004F020000}"/>
    <cellStyle name="Normal 3 2 3 2 7 4 3" xfId="5742" xr:uid="{00000000-0005-0000-0000-00004F020000}"/>
    <cellStyle name="Normal 3 2 3 2 7 5" xfId="2746" xr:uid="{00000000-0005-0000-0000-000048020000}"/>
    <cellStyle name="Normal 3 2 3 2 7 5 2" xfId="6744" xr:uid="{00000000-0005-0000-0000-000048020000}"/>
    <cellStyle name="Normal 3 2 3 2 7 6" xfId="4743" xr:uid="{00000000-0005-0000-0000-000048020000}"/>
    <cellStyle name="Normal 3 2 3 2 8" xfId="564" xr:uid="{00000000-0005-0000-0000-00004F020000}"/>
    <cellStyle name="Normal 3 2 3 2 8 2" xfId="1062" xr:uid="{00000000-0005-0000-0000-000050020000}"/>
    <cellStyle name="Normal 3 2 3 2 8 2 2" xfId="2064" xr:uid="{00000000-0005-0000-0000-000051020000}"/>
    <cellStyle name="Normal 3 2 3 2 8 2 2 2" xfId="4286" xr:uid="{00000000-0005-0000-0000-000052020000}"/>
    <cellStyle name="Normal 3 2 3 2 8 2 2 2 2" xfId="8286" xr:uid="{00000000-0005-0000-0000-000052020000}"/>
    <cellStyle name="Normal 3 2 3 2 8 2 2 3" xfId="6285" xr:uid="{00000000-0005-0000-0000-000052020000}"/>
    <cellStyle name="Normal 3 2 3 2 8 2 3" xfId="3288" xr:uid="{00000000-0005-0000-0000-000051020000}"/>
    <cellStyle name="Normal 3 2 3 2 8 2 3 2" xfId="7287" xr:uid="{00000000-0005-0000-0000-000051020000}"/>
    <cellStyle name="Normal 3 2 3 2 8 2 4" xfId="5286" xr:uid="{00000000-0005-0000-0000-000051020000}"/>
    <cellStyle name="Normal 3 2 3 2 8 3" xfId="1568" xr:uid="{00000000-0005-0000-0000-000052020000}"/>
    <cellStyle name="Normal 3 2 3 2 8 3 2" xfId="3790" xr:uid="{00000000-0005-0000-0000-000053020000}"/>
    <cellStyle name="Normal 3 2 3 2 8 3 2 2" xfId="7790" xr:uid="{00000000-0005-0000-0000-000053020000}"/>
    <cellStyle name="Normal 3 2 3 2 8 3 3" xfId="5789" xr:uid="{00000000-0005-0000-0000-000053020000}"/>
    <cellStyle name="Normal 3 2 3 2 8 4" xfId="2793" xr:uid="{00000000-0005-0000-0000-000050020000}"/>
    <cellStyle name="Normal 3 2 3 2 8 4 2" xfId="6791" xr:uid="{00000000-0005-0000-0000-000050020000}"/>
    <cellStyle name="Normal 3 2 3 2 8 5" xfId="4790" xr:uid="{00000000-0005-0000-0000-000050020000}"/>
    <cellStyle name="Normal 3 2 3 2 9" xfId="814" xr:uid="{00000000-0005-0000-0000-000053020000}"/>
    <cellStyle name="Normal 3 2 3 2 9 2" xfId="1816" xr:uid="{00000000-0005-0000-0000-000054020000}"/>
    <cellStyle name="Normal 3 2 3 2 9 2 2" xfId="4038" xr:uid="{00000000-0005-0000-0000-000055020000}"/>
    <cellStyle name="Normal 3 2 3 2 9 2 2 2" xfId="8038" xr:uid="{00000000-0005-0000-0000-000055020000}"/>
    <cellStyle name="Normal 3 2 3 2 9 2 3" xfId="6037" xr:uid="{00000000-0005-0000-0000-000055020000}"/>
    <cellStyle name="Normal 3 2 3 2 9 3" xfId="3040" xr:uid="{00000000-0005-0000-0000-000054020000}"/>
    <cellStyle name="Normal 3 2 3 2 9 3 2" xfId="7039" xr:uid="{00000000-0005-0000-0000-000054020000}"/>
    <cellStyle name="Normal 3 2 3 2 9 4" xfId="5038" xr:uid="{00000000-0005-0000-0000-000054020000}"/>
    <cellStyle name="Normal 3 2 3 3" xfId="339" xr:uid="{00000000-0005-0000-0000-000055020000}"/>
    <cellStyle name="Normal 3 2 3 3 2" xfId="400" xr:uid="{00000000-0005-0000-0000-000056020000}"/>
    <cellStyle name="Normal 3 2 3 3 2 2" xfId="647" xr:uid="{00000000-0005-0000-0000-000057020000}"/>
    <cellStyle name="Normal 3 2 3 3 2 2 2" xfId="1144" xr:uid="{00000000-0005-0000-0000-000058020000}"/>
    <cellStyle name="Normal 3 2 3 3 2 2 2 2" xfId="2146" xr:uid="{00000000-0005-0000-0000-000059020000}"/>
    <cellStyle name="Normal 3 2 3 3 2 2 2 2 2" xfId="4368" xr:uid="{00000000-0005-0000-0000-00005A020000}"/>
    <cellStyle name="Normal 3 2 3 3 2 2 2 2 2 2" xfId="8368" xr:uid="{00000000-0005-0000-0000-00005A020000}"/>
    <cellStyle name="Normal 3 2 3 3 2 2 2 2 3" xfId="6367" xr:uid="{00000000-0005-0000-0000-00005A020000}"/>
    <cellStyle name="Normal 3 2 3 3 2 2 2 3" xfId="3370" xr:uid="{00000000-0005-0000-0000-000059020000}"/>
    <cellStyle name="Normal 3 2 3 3 2 2 2 3 2" xfId="7369" xr:uid="{00000000-0005-0000-0000-000059020000}"/>
    <cellStyle name="Normal 3 2 3 3 2 2 2 4" xfId="5368" xr:uid="{00000000-0005-0000-0000-000059020000}"/>
    <cellStyle name="Normal 3 2 3 3 2 2 3" xfId="1650" xr:uid="{00000000-0005-0000-0000-00005A020000}"/>
    <cellStyle name="Normal 3 2 3 3 2 2 3 2" xfId="3872" xr:uid="{00000000-0005-0000-0000-00005B020000}"/>
    <cellStyle name="Normal 3 2 3 3 2 2 3 2 2" xfId="7872" xr:uid="{00000000-0005-0000-0000-00005B020000}"/>
    <cellStyle name="Normal 3 2 3 3 2 2 3 3" xfId="5871" xr:uid="{00000000-0005-0000-0000-00005B020000}"/>
    <cellStyle name="Normal 3 2 3 3 2 2 4" xfId="2874" xr:uid="{00000000-0005-0000-0000-000058020000}"/>
    <cellStyle name="Normal 3 2 3 3 2 2 4 2" xfId="6873" xr:uid="{00000000-0005-0000-0000-000058020000}"/>
    <cellStyle name="Normal 3 2 3 3 2 2 5" xfId="4872" xr:uid="{00000000-0005-0000-0000-000058020000}"/>
    <cellStyle name="Normal 3 2 3 3 2 3" xfId="896" xr:uid="{00000000-0005-0000-0000-00005B020000}"/>
    <cellStyle name="Normal 3 2 3 3 2 3 2" xfId="1898" xr:uid="{00000000-0005-0000-0000-00005C020000}"/>
    <cellStyle name="Normal 3 2 3 3 2 3 2 2" xfId="4120" xr:uid="{00000000-0005-0000-0000-00005D020000}"/>
    <cellStyle name="Normal 3 2 3 3 2 3 2 2 2" xfId="8120" xr:uid="{00000000-0005-0000-0000-00005D020000}"/>
    <cellStyle name="Normal 3 2 3 3 2 3 2 3" xfId="6119" xr:uid="{00000000-0005-0000-0000-00005D020000}"/>
    <cellStyle name="Normal 3 2 3 3 2 3 3" xfId="3122" xr:uid="{00000000-0005-0000-0000-00005C020000}"/>
    <cellStyle name="Normal 3 2 3 3 2 3 3 2" xfId="7121" xr:uid="{00000000-0005-0000-0000-00005C020000}"/>
    <cellStyle name="Normal 3 2 3 3 2 3 4" xfId="5120" xr:uid="{00000000-0005-0000-0000-00005C020000}"/>
    <cellStyle name="Normal 3 2 3 3 2 4" xfId="1402" xr:uid="{00000000-0005-0000-0000-00005D020000}"/>
    <cellStyle name="Normal 3 2 3 3 2 4 2" xfId="3624" xr:uid="{00000000-0005-0000-0000-00005E020000}"/>
    <cellStyle name="Normal 3 2 3 3 2 4 2 2" xfId="7624" xr:uid="{00000000-0005-0000-0000-00005E020000}"/>
    <cellStyle name="Normal 3 2 3 3 2 4 3" xfId="5623" xr:uid="{00000000-0005-0000-0000-00005E020000}"/>
    <cellStyle name="Normal 3 2 3 3 2 5" xfId="2633" xr:uid="{00000000-0005-0000-0000-000057020000}"/>
    <cellStyle name="Normal 3 2 3 3 2 5 2" xfId="6625" xr:uid="{00000000-0005-0000-0000-000057020000}"/>
    <cellStyle name="Normal 3 2 3 3 2 6" xfId="4624" xr:uid="{00000000-0005-0000-0000-000057020000}"/>
    <cellStyle name="Normal 3 2 3 3 3" xfId="446" xr:uid="{00000000-0005-0000-0000-00005E020000}"/>
    <cellStyle name="Normal 3 2 3 3 3 2" xfId="693" xr:uid="{00000000-0005-0000-0000-00005F020000}"/>
    <cellStyle name="Normal 3 2 3 3 3 2 2" xfId="1190" xr:uid="{00000000-0005-0000-0000-000060020000}"/>
    <cellStyle name="Normal 3 2 3 3 3 2 2 2" xfId="2192" xr:uid="{00000000-0005-0000-0000-000061020000}"/>
    <cellStyle name="Normal 3 2 3 3 3 2 2 2 2" xfId="4414" xr:uid="{00000000-0005-0000-0000-000062020000}"/>
    <cellStyle name="Normal 3 2 3 3 3 2 2 2 2 2" xfId="8414" xr:uid="{00000000-0005-0000-0000-000062020000}"/>
    <cellStyle name="Normal 3 2 3 3 3 2 2 2 3" xfId="6413" xr:uid="{00000000-0005-0000-0000-000062020000}"/>
    <cellStyle name="Normal 3 2 3 3 3 2 2 3" xfId="3416" xr:uid="{00000000-0005-0000-0000-000061020000}"/>
    <cellStyle name="Normal 3 2 3 3 3 2 2 3 2" xfId="7415" xr:uid="{00000000-0005-0000-0000-000061020000}"/>
    <cellStyle name="Normal 3 2 3 3 3 2 2 4" xfId="5414" xr:uid="{00000000-0005-0000-0000-000061020000}"/>
    <cellStyle name="Normal 3 2 3 3 3 2 3" xfId="1696" xr:uid="{00000000-0005-0000-0000-000062020000}"/>
    <cellStyle name="Normal 3 2 3 3 3 2 3 2" xfId="3918" xr:uid="{00000000-0005-0000-0000-000063020000}"/>
    <cellStyle name="Normal 3 2 3 3 3 2 3 2 2" xfId="7918" xr:uid="{00000000-0005-0000-0000-000063020000}"/>
    <cellStyle name="Normal 3 2 3 3 3 2 3 3" xfId="5917" xr:uid="{00000000-0005-0000-0000-000063020000}"/>
    <cellStyle name="Normal 3 2 3 3 3 2 4" xfId="2920" xr:uid="{00000000-0005-0000-0000-000060020000}"/>
    <cellStyle name="Normal 3 2 3 3 3 2 4 2" xfId="6919" xr:uid="{00000000-0005-0000-0000-000060020000}"/>
    <cellStyle name="Normal 3 2 3 3 3 2 5" xfId="4918" xr:uid="{00000000-0005-0000-0000-000060020000}"/>
    <cellStyle name="Normal 3 2 3 3 3 3" xfId="942" xr:uid="{00000000-0005-0000-0000-000063020000}"/>
    <cellStyle name="Normal 3 2 3 3 3 3 2" xfId="1944" xr:uid="{00000000-0005-0000-0000-000064020000}"/>
    <cellStyle name="Normal 3 2 3 3 3 3 2 2" xfId="4166" xr:uid="{00000000-0005-0000-0000-000065020000}"/>
    <cellStyle name="Normal 3 2 3 3 3 3 2 2 2" xfId="8166" xr:uid="{00000000-0005-0000-0000-000065020000}"/>
    <cellStyle name="Normal 3 2 3 3 3 3 2 3" xfId="6165" xr:uid="{00000000-0005-0000-0000-000065020000}"/>
    <cellStyle name="Normal 3 2 3 3 3 3 3" xfId="3168" xr:uid="{00000000-0005-0000-0000-000064020000}"/>
    <cellStyle name="Normal 3 2 3 3 3 3 3 2" xfId="7167" xr:uid="{00000000-0005-0000-0000-000064020000}"/>
    <cellStyle name="Normal 3 2 3 3 3 3 4" xfId="5166" xr:uid="{00000000-0005-0000-0000-000064020000}"/>
    <cellStyle name="Normal 3 2 3 3 3 4" xfId="1448" xr:uid="{00000000-0005-0000-0000-000065020000}"/>
    <cellStyle name="Normal 3 2 3 3 3 4 2" xfId="3670" xr:uid="{00000000-0005-0000-0000-000066020000}"/>
    <cellStyle name="Normal 3 2 3 3 3 4 2 2" xfId="7670" xr:uid="{00000000-0005-0000-0000-000066020000}"/>
    <cellStyle name="Normal 3 2 3 3 3 4 3" xfId="5669" xr:uid="{00000000-0005-0000-0000-000066020000}"/>
    <cellStyle name="Normal 3 2 3 3 3 5" xfId="2673" xr:uid="{00000000-0005-0000-0000-00005F020000}"/>
    <cellStyle name="Normal 3 2 3 3 3 5 2" xfId="6671" xr:uid="{00000000-0005-0000-0000-00005F020000}"/>
    <cellStyle name="Normal 3 2 3 3 3 6" xfId="4670" xr:uid="{00000000-0005-0000-0000-00005F020000}"/>
    <cellStyle name="Normal 3 2 3 3 4" xfId="532" xr:uid="{00000000-0005-0000-0000-000066020000}"/>
    <cellStyle name="Normal 3 2 3 3 4 2" xfId="779" xr:uid="{00000000-0005-0000-0000-000067020000}"/>
    <cellStyle name="Normal 3 2 3 3 4 2 2" xfId="1277" xr:uid="{00000000-0005-0000-0000-000068020000}"/>
    <cellStyle name="Normal 3 2 3 3 4 2 2 2" xfId="2279" xr:uid="{00000000-0005-0000-0000-000069020000}"/>
    <cellStyle name="Normal 3 2 3 3 4 2 2 2 2" xfId="4501" xr:uid="{00000000-0005-0000-0000-00006A020000}"/>
    <cellStyle name="Normal 3 2 3 3 4 2 2 2 2 2" xfId="8501" xr:uid="{00000000-0005-0000-0000-00006A020000}"/>
    <cellStyle name="Normal 3 2 3 3 4 2 2 2 3" xfId="6500" xr:uid="{00000000-0005-0000-0000-00006A020000}"/>
    <cellStyle name="Normal 3 2 3 3 4 2 2 3" xfId="3503" xr:uid="{00000000-0005-0000-0000-000069020000}"/>
    <cellStyle name="Normal 3 2 3 3 4 2 2 3 2" xfId="7502" xr:uid="{00000000-0005-0000-0000-000069020000}"/>
    <cellStyle name="Normal 3 2 3 3 4 2 2 4" xfId="5501" xr:uid="{00000000-0005-0000-0000-000069020000}"/>
    <cellStyle name="Normal 3 2 3 3 4 2 3" xfId="1783" xr:uid="{00000000-0005-0000-0000-00006A020000}"/>
    <cellStyle name="Normal 3 2 3 3 4 2 3 2" xfId="4005" xr:uid="{00000000-0005-0000-0000-00006B020000}"/>
    <cellStyle name="Normal 3 2 3 3 4 2 3 2 2" xfId="8005" xr:uid="{00000000-0005-0000-0000-00006B020000}"/>
    <cellStyle name="Normal 3 2 3 3 4 2 3 3" xfId="6004" xr:uid="{00000000-0005-0000-0000-00006B020000}"/>
    <cellStyle name="Normal 3 2 3 3 4 2 4" xfId="3007" xr:uid="{00000000-0005-0000-0000-000068020000}"/>
    <cellStyle name="Normal 3 2 3 3 4 2 4 2" xfId="7006" xr:uid="{00000000-0005-0000-0000-000068020000}"/>
    <cellStyle name="Normal 3 2 3 3 4 2 5" xfId="5005" xr:uid="{00000000-0005-0000-0000-000068020000}"/>
    <cellStyle name="Normal 3 2 3 3 4 3" xfId="1029" xr:uid="{00000000-0005-0000-0000-00006B020000}"/>
    <cellStyle name="Normal 3 2 3 3 4 3 2" xfId="2031" xr:uid="{00000000-0005-0000-0000-00006C020000}"/>
    <cellStyle name="Normal 3 2 3 3 4 3 2 2" xfId="4253" xr:uid="{00000000-0005-0000-0000-00006D020000}"/>
    <cellStyle name="Normal 3 2 3 3 4 3 2 2 2" xfId="8253" xr:uid="{00000000-0005-0000-0000-00006D020000}"/>
    <cellStyle name="Normal 3 2 3 3 4 3 2 3" xfId="6252" xr:uid="{00000000-0005-0000-0000-00006D020000}"/>
    <cellStyle name="Normal 3 2 3 3 4 3 3" xfId="3255" xr:uid="{00000000-0005-0000-0000-00006C020000}"/>
    <cellStyle name="Normal 3 2 3 3 4 3 3 2" xfId="7254" xr:uid="{00000000-0005-0000-0000-00006C020000}"/>
    <cellStyle name="Normal 3 2 3 3 4 3 4" xfId="5253" xr:uid="{00000000-0005-0000-0000-00006C020000}"/>
    <cellStyle name="Normal 3 2 3 3 4 4" xfId="1535" xr:uid="{00000000-0005-0000-0000-00006D020000}"/>
    <cellStyle name="Normal 3 2 3 3 4 4 2" xfId="3757" xr:uid="{00000000-0005-0000-0000-00006E020000}"/>
    <cellStyle name="Normal 3 2 3 3 4 4 2 2" xfId="7757" xr:uid="{00000000-0005-0000-0000-00006E020000}"/>
    <cellStyle name="Normal 3 2 3 3 4 4 3" xfId="5756" xr:uid="{00000000-0005-0000-0000-00006E020000}"/>
    <cellStyle name="Normal 3 2 3 3 4 5" xfId="2760" xr:uid="{00000000-0005-0000-0000-000067020000}"/>
    <cellStyle name="Normal 3 2 3 3 4 5 2" xfId="6758" xr:uid="{00000000-0005-0000-0000-000067020000}"/>
    <cellStyle name="Normal 3 2 3 3 4 6" xfId="4757" xr:uid="{00000000-0005-0000-0000-000067020000}"/>
    <cellStyle name="Normal 3 2 3 3 5" xfId="578" xr:uid="{00000000-0005-0000-0000-00006E020000}"/>
    <cellStyle name="Normal 3 2 3 3 5 2" xfId="1076" xr:uid="{00000000-0005-0000-0000-00006F020000}"/>
    <cellStyle name="Normal 3 2 3 3 5 2 2" xfId="2078" xr:uid="{00000000-0005-0000-0000-000070020000}"/>
    <cellStyle name="Normal 3 2 3 3 5 2 2 2" xfId="4300" xr:uid="{00000000-0005-0000-0000-000071020000}"/>
    <cellStyle name="Normal 3 2 3 3 5 2 2 2 2" xfId="8300" xr:uid="{00000000-0005-0000-0000-000071020000}"/>
    <cellStyle name="Normal 3 2 3 3 5 2 2 3" xfId="6299" xr:uid="{00000000-0005-0000-0000-000071020000}"/>
    <cellStyle name="Normal 3 2 3 3 5 2 3" xfId="3302" xr:uid="{00000000-0005-0000-0000-000070020000}"/>
    <cellStyle name="Normal 3 2 3 3 5 2 3 2" xfId="7301" xr:uid="{00000000-0005-0000-0000-000070020000}"/>
    <cellStyle name="Normal 3 2 3 3 5 2 4" xfId="5300" xr:uid="{00000000-0005-0000-0000-000070020000}"/>
    <cellStyle name="Normal 3 2 3 3 5 3" xfId="1582" xr:uid="{00000000-0005-0000-0000-000071020000}"/>
    <cellStyle name="Normal 3 2 3 3 5 3 2" xfId="3804" xr:uid="{00000000-0005-0000-0000-000072020000}"/>
    <cellStyle name="Normal 3 2 3 3 5 3 2 2" xfId="7804" xr:uid="{00000000-0005-0000-0000-000072020000}"/>
    <cellStyle name="Normal 3 2 3 3 5 3 3" xfId="5803" xr:uid="{00000000-0005-0000-0000-000072020000}"/>
    <cellStyle name="Normal 3 2 3 3 5 4" xfId="2807" xr:uid="{00000000-0005-0000-0000-00006F020000}"/>
    <cellStyle name="Normal 3 2 3 3 5 4 2" xfId="6805" xr:uid="{00000000-0005-0000-0000-00006F020000}"/>
    <cellStyle name="Normal 3 2 3 3 5 5" xfId="4804" xr:uid="{00000000-0005-0000-0000-00006F020000}"/>
    <cellStyle name="Normal 3 2 3 3 6" xfId="828" xr:uid="{00000000-0005-0000-0000-000072020000}"/>
    <cellStyle name="Normal 3 2 3 3 6 2" xfId="1830" xr:uid="{00000000-0005-0000-0000-000073020000}"/>
    <cellStyle name="Normal 3 2 3 3 6 2 2" xfId="4052" xr:uid="{00000000-0005-0000-0000-000074020000}"/>
    <cellStyle name="Normal 3 2 3 3 6 2 2 2" xfId="8052" xr:uid="{00000000-0005-0000-0000-000074020000}"/>
    <cellStyle name="Normal 3 2 3 3 6 2 3" xfId="6051" xr:uid="{00000000-0005-0000-0000-000074020000}"/>
    <cellStyle name="Normal 3 2 3 3 6 3" xfId="3054" xr:uid="{00000000-0005-0000-0000-000073020000}"/>
    <cellStyle name="Normal 3 2 3 3 6 3 2" xfId="7053" xr:uid="{00000000-0005-0000-0000-000073020000}"/>
    <cellStyle name="Normal 3 2 3 3 6 4" xfId="5052" xr:uid="{00000000-0005-0000-0000-000073020000}"/>
    <cellStyle name="Normal 3 2 3 3 7" xfId="1334" xr:uid="{00000000-0005-0000-0000-000074020000}"/>
    <cellStyle name="Normal 3 2 3 3 7 2" xfId="3556" xr:uid="{00000000-0005-0000-0000-000075020000}"/>
    <cellStyle name="Normal 3 2 3 3 7 2 2" xfId="7556" xr:uid="{00000000-0005-0000-0000-000075020000}"/>
    <cellStyle name="Normal 3 2 3 3 7 3" xfId="5555" xr:uid="{00000000-0005-0000-0000-000075020000}"/>
    <cellStyle name="Normal 3 2 3 3 8" xfId="2569" xr:uid="{00000000-0005-0000-0000-000056020000}"/>
    <cellStyle name="Normal 3 2 3 3 8 2" xfId="6557" xr:uid="{00000000-0005-0000-0000-000056020000}"/>
    <cellStyle name="Normal 3 2 3 3 9" xfId="4556" xr:uid="{00000000-0005-0000-0000-000056020000}"/>
    <cellStyle name="Normal 3 2 3 4" xfId="357" xr:uid="{00000000-0005-0000-0000-000075020000}"/>
    <cellStyle name="Normal 3 2 3 4 2" xfId="468" xr:uid="{00000000-0005-0000-0000-000076020000}"/>
    <cellStyle name="Normal 3 2 3 4 2 2" xfId="715" xr:uid="{00000000-0005-0000-0000-000077020000}"/>
    <cellStyle name="Normal 3 2 3 4 2 2 2" xfId="1212" xr:uid="{00000000-0005-0000-0000-000078020000}"/>
    <cellStyle name="Normal 3 2 3 4 2 2 2 2" xfId="2214" xr:uid="{00000000-0005-0000-0000-000079020000}"/>
    <cellStyle name="Normal 3 2 3 4 2 2 2 2 2" xfId="4436" xr:uid="{00000000-0005-0000-0000-00007A020000}"/>
    <cellStyle name="Normal 3 2 3 4 2 2 2 2 2 2" xfId="8436" xr:uid="{00000000-0005-0000-0000-00007A020000}"/>
    <cellStyle name="Normal 3 2 3 4 2 2 2 2 3" xfId="6435" xr:uid="{00000000-0005-0000-0000-00007A020000}"/>
    <cellStyle name="Normal 3 2 3 4 2 2 2 3" xfId="3438" xr:uid="{00000000-0005-0000-0000-000079020000}"/>
    <cellStyle name="Normal 3 2 3 4 2 2 2 3 2" xfId="7437" xr:uid="{00000000-0005-0000-0000-000079020000}"/>
    <cellStyle name="Normal 3 2 3 4 2 2 2 4" xfId="5436" xr:uid="{00000000-0005-0000-0000-000079020000}"/>
    <cellStyle name="Normal 3 2 3 4 2 2 3" xfId="1718" xr:uid="{00000000-0005-0000-0000-00007A020000}"/>
    <cellStyle name="Normal 3 2 3 4 2 2 3 2" xfId="3940" xr:uid="{00000000-0005-0000-0000-00007B020000}"/>
    <cellStyle name="Normal 3 2 3 4 2 2 3 2 2" xfId="7940" xr:uid="{00000000-0005-0000-0000-00007B020000}"/>
    <cellStyle name="Normal 3 2 3 4 2 2 3 3" xfId="5939" xr:uid="{00000000-0005-0000-0000-00007B020000}"/>
    <cellStyle name="Normal 3 2 3 4 2 2 4" xfId="2942" xr:uid="{00000000-0005-0000-0000-000078020000}"/>
    <cellStyle name="Normal 3 2 3 4 2 2 4 2" xfId="6941" xr:uid="{00000000-0005-0000-0000-000078020000}"/>
    <cellStyle name="Normal 3 2 3 4 2 2 5" xfId="4940" xr:uid="{00000000-0005-0000-0000-000078020000}"/>
    <cellStyle name="Normal 3 2 3 4 2 3" xfId="964" xr:uid="{00000000-0005-0000-0000-00007B020000}"/>
    <cellStyle name="Normal 3 2 3 4 2 3 2" xfId="1966" xr:uid="{00000000-0005-0000-0000-00007C020000}"/>
    <cellStyle name="Normal 3 2 3 4 2 3 2 2" xfId="4188" xr:uid="{00000000-0005-0000-0000-00007D020000}"/>
    <cellStyle name="Normal 3 2 3 4 2 3 2 2 2" xfId="8188" xr:uid="{00000000-0005-0000-0000-00007D020000}"/>
    <cellStyle name="Normal 3 2 3 4 2 3 2 3" xfId="6187" xr:uid="{00000000-0005-0000-0000-00007D020000}"/>
    <cellStyle name="Normal 3 2 3 4 2 3 3" xfId="3190" xr:uid="{00000000-0005-0000-0000-00007C020000}"/>
    <cellStyle name="Normal 3 2 3 4 2 3 3 2" xfId="7189" xr:uid="{00000000-0005-0000-0000-00007C020000}"/>
    <cellStyle name="Normal 3 2 3 4 2 3 4" xfId="5188" xr:uid="{00000000-0005-0000-0000-00007C020000}"/>
    <cellStyle name="Normal 3 2 3 4 2 4" xfId="1470" xr:uid="{00000000-0005-0000-0000-00007D020000}"/>
    <cellStyle name="Normal 3 2 3 4 2 4 2" xfId="3692" xr:uid="{00000000-0005-0000-0000-00007E020000}"/>
    <cellStyle name="Normal 3 2 3 4 2 4 2 2" xfId="7692" xr:uid="{00000000-0005-0000-0000-00007E020000}"/>
    <cellStyle name="Normal 3 2 3 4 2 4 3" xfId="5691" xr:uid="{00000000-0005-0000-0000-00007E020000}"/>
    <cellStyle name="Normal 3 2 3 4 2 5" xfId="2695" xr:uid="{00000000-0005-0000-0000-000077020000}"/>
    <cellStyle name="Normal 3 2 3 4 2 5 2" xfId="6693" xr:uid="{00000000-0005-0000-0000-000077020000}"/>
    <cellStyle name="Normal 3 2 3 4 2 6" xfId="4692" xr:uid="{00000000-0005-0000-0000-000077020000}"/>
    <cellStyle name="Normal 3 2 3 4 3" xfId="600" xr:uid="{00000000-0005-0000-0000-00007E020000}"/>
    <cellStyle name="Normal 3 2 3 4 3 2" xfId="1098" xr:uid="{00000000-0005-0000-0000-00007F020000}"/>
    <cellStyle name="Normal 3 2 3 4 3 2 2" xfId="2100" xr:uid="{00000000-0005-0000-0000-000080020000}"/>
    <cellStyle name="Normal 3 2 3 4 3 2 2 2" xfId="4322" xr:uid="{00000000-0005-0000-0000-000081020000}"/>
    <cellStyle name="Normal 3 2 3 4 3 2 2 2 2" xfId="8322" xr:uid="{00000000-0005-0000-0000-000081020000}"/>
    <cellStyle name="Normal 3 2 3 4 3 2 2 3" xfId="6321" xr:uid="{00000000-0005-0000-0000-000081020000}"/>
    <cellStyle name="Normal 3 2 3 4 3 2 3" xfId="3324" xr:uid="{00000000-0005-0000-0000-000080020000}"/>
    <cellStyle name="Normal 3 2 3 4 3 2 3 2" xfId="7323" xr:uid="{00000000-0005-0000-0000-000080020000}"/>
    <cellStyle name="Normal 3 2 3 4 3 2 4" xfId="5322" xr:uid="{00000000-0005-0000-0000-000080020000}"/>
    <cellStyle name="Normal 3 2 3 4 3 3" xfId="1604" xr:uid="{00000000-0005-0000-0000-000081020000}"/>
    <cellStyle name="Normal 3 2 3 4 3 3 2" xfId="3826" xr:uid="{00000000-0005-0000-0000-000082020000}"/>
    <cellStyle name="Normal 3 2 3 4 3 3 2 2" xfId="7826" xr:uid="{00000000-0005-0000-0000-000082020000}"/>
    <cellStyle name="Normal 3 2 3 4 3 3 3" xfId="5825" xr:uid="{00000000-0005-0000-0000-000082020000}"/>
    <cellStyle name="Normal 3 2 3 4 3 4" xfId="2829" xr:uid="{00000000-0005-0000-0000-00007F020000}"/>
    <cellStyle name="Normal 3 2 3 4 3 4 2" xfId="6827" xr:uid="{00000000-0005-0000-0000-00007F020000}"/>
    <cellStyle name="Normal 3 2 3 4 3 5" xfId="4826" xr:uid="{00000000-0005-0000-0000-00007F020000}"/>
    <cellStyle name="Normal 3 2 3 4 4" xfId="850" xr:uid="{00000000-0005-0000-0000-000082020000}"/>
    <cellStyle name="Normal 3 2 3 4 4 2" xfId="1852" xr:uid="{00000000-0005-0000-0000-000083020000}"/>
    <cellStyle name="Normal 3 2 3 4 4 2 2" xfId="4074" xr:uid="{00000000-0005-0000-0000-000084020000}"/>
    <cellStyle name="Normal 3 2 3 4 4 2 2 2" xfId="8074" xr:uid="{00000000-0005-0000-0000-000084020000}"/>
    <cellStyle name="Normal 3 2 3 4 4 2 3" xfId="6073" xr:uid="{00000000-0005-0000-0000-000084020000}"/>
    <cellStyle name="Normal 3 2 3 4 4 3" xfId="3076" xr:uid="{00000000-0005-0000-0000-000083020000}"/>
    <cellStyle name="Normal 3 2 3 4 4 3 2" xfId="7075" xr:uid="{00000000-0005-0000-0000-000083020000}"/>
    <cellStyle name="Normal 3 2 3 4 4 4" xfId="5074" xr:uid="{00000000-0005-0000-0000-000083020000}"/>
    <cellStyle name="Normal 3 2 3 4 5" xfId="1356" xr:uid="{00000000-0005-0000-0000-000084020000}"/>
    <cellStyle name="Normal 3 2 3 4 5 2" xfId="3578" xr:uid="{00000000-0005-0000-0000-000085020000}"/>
    <cellStyle name="Normal 3 2 3 4 5 2 2" xfId="7578" xr:uid="{00000000-0005-0000-0000-000085020000}"/>
    <cellStyle name="Normal 3 2 3 4 5 3" xfId="5577" xr:uid="{00000000-0005-0000-0000-000085020000}"/>
    <cellStyle name="Normal 3 2 3 4 6" xfId="2590" xr:uid="{00000000-0005-0000-0000-000076020000}"/>
    <cellStyle name="Normal 3 2 3 4 6 2" xfId="6579" xr:uid="{00000000-0005-0000-0000-000076020000}"/>
    <cellStyle name="Normal 3 2 3 4 7" xfId="4578" xr:uid="{00000000-0005-0000-0000-000076020000}"/>
    <cellStyle name="Normal 3 2 3 5" xfId="377" xr:uid="{00000000-0005-0000-0000-000085020000}"/>
    <cellStyle name="Normal 3 2 3 5 2" xfId="623" xr:uid="{00000000-0005-0000-0000-000086020000}"/>
    <cellStyle name="Normal 3 2 3 5 2 2" xfId="1120" xr:uid="{00000000-0005-0000-0000-000087020000}"/>
    <cellStyle name="Normal 3 2 3 5 2 2 2" xfId="2122" xr:uid="{00000000-0005-0000-0000-000088020000}"/>
    <cellStyle name="Normal 3 2 3 5 2 2 2 2" xfId="4344" xr:uid="{00000000-0005-0000-0000-000089020000}"/>
    <cellStyle name="Normal 3 2 3 5 2 2 2 2 2" xfId="8344" xr:uid="{00000000-0005-0000-0000-000089020000}"/>
    <cellStyle name="Normal 3 2 3 5 2 2 2 3" xfId="6343" xr:uid="{00000000-0005-0000-0000-000089020000}"/>
    <cellStyle name="Normal 3 2 3 5 2 2 3" xfId="3346" xr:uid="{00000000-0005-0000-0000-000088020000}"/>
    <cellStyle name="Normal 3 2 3 5 2 2 3 2" xfId="7345" xr:uid="{00000000-0005-0000-0000-000088020000}"/>
    <cellStyle name="Normal 3 2 3 5 2 2 4" xfId="5344" xr:uid="{00000000-0005-0000-0000-000088020000}"/>
    <cellStyle name="Normal 3 2 3 5 2 3" xfId="1626" xr:uid="{00000000-0005-0000-0000-000089020000}"/>
    <cellStyle name="Normal 3 2 3 5 2 3 2" xfId="3848" xr:uid="{00000000-0005-0000-0000-00008A020000}"/>
    <cellStyle name="Normal 3 2 3 5 2 3 2 2" xfId="7848" xr:uid="{00000000-0005-0000-0000-00008A020000}"/>
    <cellStyle name="Normal 3 2 3 5 2 3 3" xfId="5847" xr:uid="{00000000-0005-0000-0000-00008A020000}"/>
    <cellStyle name="Normal 3 2 3 5 2 4" xfId="2850" xr:uid="{00000000-0005-0000-0000-000087020000}"/>
    <cellStyle name="Normal 3 2 3 5 2 4 2" xfId="6849" xr:uid="{00000000-0005-0000-0000-000087020000}"/>
    <cellStyle name="Normal 3 2 3 5 2 5" xfId="4848" xr:uid="{00000000-0005-0000-0000-000087020000}"/>
    <cellStyle name="Normal 3 2 3 5 3" xfId="872" xr:uid="{00000000-0005-0000-0000-00008A020000}"/>
    <cellStyle name="Normal 3 2 3 5 3 2" xfId="1874" xr:uid="{00000000-0005-0000-0000-00008B020000}"/>
    <cellStyle name="Normal 3 2 3 5 3 2 2" xfId="4096" xr:uid="{00000000-0005-0000-0000-00008C020000}"/>
    <cellStyle name="Normal 3 2 3 5 3 2 2 2" xfId="8096" xr:uid="{00000000-0005-0000-0000-00008C020000}"/>
    <cellStyle name="Normal 3 2 3 5 3 2 3" xfId="6095" xr:uid="{00000000-0005-0000-0000-00008C020000}"/>
    <cellStyle name="Normal 3 2 3 5 3 3" xfId="3098" xr:uid="{00000000-0005-0000-0000-00008B020000}"/>
    <cellStyle name="Normal 3 2 3 5 3 3 2" xfId="7097" xr:uid="{00000000-0005-0000-0000-00008B020000}"/>
    <cellStyle name="Normal 3 2 3 5 3 4" xfId="5096" xr:uid="{00000000-0005-0000-0000-00008B020000}"/>
    <cellStyle name="Normal 3 2 3 5 4" xfId="1378" xr:uid="{00000000-0005-0000-0000-00008C020000}"/>
    <cellStyle name="Normal 3 2 3 5 4 2" xfId="3600" xr:uid="{00000000-0005-0000-0000-00008D020000}"/>
    <cellStyle name="Normal 3 2 3 5 4 2 2" xfId="7600" xr:uid="{00000000-0005-0000-0000-00008D020000}"/>
    <cellStyle name="Normal 3 2 3 5 4 3" xfId="5599" xr:uid="{00000000-0005-0000-0000-00008D020000}"/>
    <cellStyle name="Normal 3 2 3 5 5" xfId="2611" xr:uid="{00000000-0005-0000-0000-000086020000}"/>
    <cellStyle name="Normal 3 2 3 5 5 2" xfId="6601" xr:uid="{00000000-0005-0000-0000-000086020000}"/>
    <cellStyle name="Normal 3 2 3 5 6" xfId="4600" xr:uid="{00000000-0005-0000-0000-000086020000}"/>
    <cellStyle name="Normal 3 2 3 6" xfId="422" xr:uid="{00000000-0005-0000-0000-00008D020000}"/>
    <cellStyle name="Normal 3 2 3 6 2" xfId="669" xr:uid="{00000000-0005-0000-0000-00008E020000}"/>
    <cellStyle name="Normal 3 2 3 6 2 2" xfId="1166" xr:uid="{00000000-0005-0000-0000-00008F020000}"/>
    <cellStyle name="Normal 3 2 3 6 2 2 2" xfId="2168" xr:uid="{00000000-0005-0000-0000-000090020000}"/>
    <cellStyle name="Normal 3 2 3 6 2 2 2 2" xfId="4390" xr:uid="{00000000-0005-0000-0000-000091020000}"/>
    <cellStyle name="Normal 3 2 3 6 2 2 2 2 2" xfId="8390" xr:uid="{00000000-0005-0000-0000-000091020000}"/>
    <cellStyle name="Normal 3 2 3 6 2 2 2 3" xfId="6389" xr:uid="{00000000-0005-0000-0000-000091020000}"/>
    <cellStyle name="Normal 3 2 3 6 2 2 3" xfId="3392" xr:uid="{00000000-0005-0000-0000-000090020000}"/>
    <cellStyle name="Normal 3 2 3 6 2 2 3 2" xfId="7391" xr:uid="{00000000-0005-0000-0000-000090020000}"/>
    <cellStyle name="Normal 3 2 3 6 2 2 4" xfId="5390" xr:uid="{00000000-0005-0000-0000-000090020000}"/>
    <cellStyle name="Normal 3 2 3 6 2 3" xfId="1672" xr:uid="{00000000-0005-0000-0000-000091020000}"/>
    <cellStyle name="Normal 3 2 3 6 2 3 2" xfId="3894" xr:uid="{00000000-0005-0000-0000-000092020000}"/>
    <cellStyle name="Normal 3 2 3 6 2 3 2 2" xfId="7894" xr:uid="{00000000-0005-0000-0000-000092020000}"/>
    <cellStyle name="Normal 3 2 3 6 2 3 3" xfId="5893" xr:uid="{00000000-0005-0000-0000-000092020000}"/>
    <cellStyle name="Normal 3 2 3 6 2 4" xfId="2896" xr:uid="{00000000-0005-0000-0000-00008F020000}"/>
    <cellStyle name="Normal 3 2 3 6 2 4 2" xfId="6895" xr:uid="{00000000-0005-0000-0000-00008F020000}"/>
    <cellStyle name="Normal 3 2 3 6 2 5" xfId="4894" xr:uid="{00000000-0005-0000-0000-00008F020000}"/>
    <cellStyle name="Normal 3 2 3 6 3" xfId="918" xr:uid="{00000000-0005-0000-0000-000092020000}"/>
    <cellStyle name="Normal 3 2 3 6 3 2" xfId="1920" xr:uid="{00000000-0005-0000-0000-000093020000}"/>
    <cellStyle name="Normal 3 2 3 6 3 2 2" xfId="4142" xr:uid="{00000000-0005-0000-0000-000094020000}"/>
    <cellStyle name="Normal 3 2 3 6 3 2 2 2" xfId="8142" xr:uid="{00000000-0005-0000-0000-000094020000}"/>
    <cellStyle name="Normal 3 2 3 6 3 2 3" xfId="6141" xr:uid="{00000000-0005-0000-0000-000094020000}"/>
    <cellStyle name="Normal 3 2 3 6 3 3" xfId="3144" xr:uid="{00000000-0005-0000-0000-000093020000}"/>
    <cellStyle name="Normal 3 2 3 6 3 3 2" xfId="7143" xr:uid="{00000000-0005-0000-0000-000093020000}"/>
    <cellStyle name="Normal 3 2 3 6 3 4" xfId="5142" xr:uid="{00000000-0005-0000-0000-000093020000}"/>
    <cellStyle name="Normal 3 2 3 6 4" xfId="1424" xr:uid="{00000000-0005-0000-0000-000094020000}"/>
    <cellStyle name="Normal 3 2 3 6 4 2" xfId="3646" xr:uid="{00000000-0005-0000-0000-000095020000}"/>
    <cellStyle name="Normal 3 2 3 6 4 2 2" xfId="7646" xr:uid="{00000000-0005-0000-0000-000095020000}"/>
    <cellStyle name="Normal 3 2 3 6 4 3" xfId="5645" xr:uid="{00000000-0005-0000-0000-000095020000}"/>
    <cellStyle name="Normal 3 2 3 6 5" xfId="2650" xr:uid="{00000000-0005-0000-0000-00008E020000}"/>
    <cellStyle name="Normal 3 2 3 6 5 2" xfId="6647" xr:uid="{00000000-0005-0000-0000-00008E020000}"/>
    <cellStyle name="Normal 3 2 3 6 6" xfId="4646" xr:uid="{00000000-0005-0000-0000-00008E020000}"/>
    <cellStyle name="Normal 3 2 3 7" xfId="488" xr:uid="{00000000-0005-0000-0000-000095020000}"/>
    <cellStyle name="Normal 3 2 3 7 2" xfId="735" xr:uid="{00000000-0005-0000-0000-000096020000}"/>
    <cellStyle name="Normal 3 2 3 7 2 2" xfId="1232" xr:uid="{00000000-0005-0000-0000-000097020000}"/>
    <cellStyle name="Normal 3 2 3 7 2 2 2" xfId="2234" xr:uid="{00000000-0005-0000-0000-000098020000}"/>
    <cellStyle name="Normal 3 2 3 7 2 2 2 2" xfId="4456" xr:uid="{00000000-0005-0000-0000-000099020000}"/>
    <cellStyle name="Normal 3 2 3 7 2 2 2 2 2" xfId="8456" xr:uid="{00000000-0005-0000-0000-000099020000}"/>
    <cellStyle name="Normal 3 2 3 7 2 2 2 3" xfId="6455" xr:uid="{00000000-0005-0000-0000-000099020000}"/>
    <cellStyle name="Normal 3 2 3 7 2 2 3" xfId="3458" xr:uid="{00000000-0005-0000-0000-000098020000}"/>
    <cellStyle name="Normal 3 2 3 7 2 2 3 2" xfId="7457" xr:uid="{00000000-0005-0000-0000-000098020000}"/>
    <cellStyle name="Normal 3 2 3 7 2 2 4" xfId="5456" xr:uid="{00000000-0005-0000-0000-000098020000}"/>
    <cellStyle name="Normal 3 2 3 7 2 3" xfId="1738" xr:uid="{00000000-0005-0000-0000-000099020000}"/>
    <cellStyle name="Normal 3 2 3 7 2 3 2" xfId="3960" xr:uid="{00000000-0005-0000-0000-00009A020000}"/>
    <cellStyle name="Normal 3 2 3 7 2 3 2 2" xfId="7960" xr:uid="{00000000-0005-0000-0000-00009A020000}"/>
    <cellStyle name="Normal 3 2 3 7 2 3 3" xfId="5959" xr:uid="{00000000-0005-0000-0000-00009A020000}"/>
    <cellStyle name="Normal 3 2 3 7 2 4" xfId="2962" xr:uid="{00000000-0005-0000-0000-000097020000}"/>
    <cellStyle name="Normal 3 2 3 7 2 4 2" xfId="6961" xr:uid="{00000000-0005-0000-0000-000097020000}"/>
    <cellStyle name="Normal 3 2 3 7 2 5" xfId="4960" xr:uid="{00000000-0005-0000-0000-000097020000}"/>
    <cellStyle name="Normal 3 2 3 7 3" xfId="984" xr:uid="{00000000-0005-0000-0000-00009A020000}"/>
    <cellStyle name="Normal 3 2 3 7 3 2" xfId="1986" xr:uid="{00000000-0005-0000-0000-00009B020000}"/>
    <cellStyle name="Normal 3 2 3 7 3 2 2" xfId="4208" xr:uid="{00000000-0005-0000-0000-00009C020000}"/>
    <cellStyle name="Normal 3 2 3 7 3 2 2 2" xfId="8208" xr:uid="{00000000-0005-0000-0000-00009C020000}"/>
    <cellStyle name="Normal 3 2 3 7 3 2 3" xfId="6207" xr:uid="{00000000-0005-0000-0000-00009C020000}"/>
    <cellStyle name="Normal 3 2 3 7 3 3" xfId="3210" xr:uid="{00000000-0005-0000-0000-00009B020000}"/>
    <cellStyle name="Normal 3 2 3 7 3 3 2" xfId="7209" xr:uid="{00000000-0005-0000-0000-00009B020000}"/>
    <cellStyle name="Normal 3 2 3 7 3 4" xfId="5208" xr:uid="{00000000-0005-0000-0000-00009B020000}"/>
    <cellStyle name="Normal 3 2 3 7 4" xfId="1490" xr:uid="{00000000-0005-0000-0000-00009C020000}"/>
    <cellStyle name="Normal 3 2 3 7 4 2" xfId="3712" xr:uid="{00000000-0005-0000-0000-00009D020000}"/>
    <cellStyle name="Normal 3 2 3 7 4 2 2" xfId="7712" xr:uid="{00000000-0005-0000-0000-00009D020000}"/>
    <cellStyle name="Normal 3 2 3 7 4 3" xfId="5711" xr:uid="{00000000-0005-0000-0000-00009D020000}"/>
    <cellStyle name="Normal 3 2 3 7 5" xfId="2715" xr:uid="{00000000-0005-0000-0000-000096020000}"/>
    <cellStyle name="Normal 3 2 3 7 5 2" xfId="6713" xr:uid="{00000000-0005-0000-0000-000096020000}"/>
    <cellStyle name="Normal 3 2 3 7 6" xfId="4712" xr:uid="{00000000-0005-0000-0000-000096020000}"/>
    <cellStyle name="Normal 3 2 3 8" xfId="508" xr:uid="{00000000-0005-0000-0000-00009D020000}"/>
    <cellStyle name="Normal 3 2 3 8 2" xfId="755" xr:uid="{00000000-0005-0000-0000-00009E020000}"/>
    <cellStyle name="Normal 3 2 3 8 2 2" xfId="1253" xr:uid="{00000000-0005-0000-0000-00009F020000}"/>
    <cellStyle name="Normal 3 2 3 8 2 2 2" xfId="2255" xr:uid="{00000000-0005-0000-0000-0000A0020000}"/>
    <cellStyle name="Normal 3 2 3 8 2 2 2 2" xfId="4477" xr:uid="{00000000-0005-0000-0000-0000A1020000}"/>
    <cellStyle name="Normal 3 2 3 8 2 2 2 2 2" xfId="8477" xr:uid="{00000000-0005-0000-0000-0000A1020000}"/>
    <cellStyle name="Normal 3 2 3 8 2 2 2 3" xfId="6476" xr:uid="{00000000-0005-0000-0000-0000A1020000}"/>
    <cellStyle name="Normal 3 2 3 8 2 2 3" xfId="3479" xr:uid="{00000000-0005-0000-0000-0000A0020000}"/>
    <cellStyle name="Normal 3 2 3 8 2 2 3 2" xfId="7478" xr:uid="{00000000-0005-0000-0000-0000A0020000}"/>
    <cellStyle name="Normal 3 2 3 8 2 2 4" xfId="5477" xr:uid="{00000000-0005-0000-0000-0000A0020000}"/>
    <cellStyle name="Normal 3 2 3 8 2 3" xfId="1759" xr:uid="{00000000-0005-0000-0000-0000A1020000}"/>
    <cellStyle name="Normal 3 2 3 8 2 3 2" xfId="3981" xr:uid="{00000000-0005-0000-0000-0000A2020000}"/>
    <cellStyle name="Normal 3 2 3 8 2 3 2 2" xfId="7981" xr:uid="{00000000-0005-0000-0000-0000A2020000}"/>
    <cellStyle name="Normal 3 2 3 8 2 3 3" xfId="5980" xr:uid="{00000000-0005-0000-0000-0000A2020000}"/>
    <cellStyle name="Normal 3 2 3 8 2 4" xfId="2983" xr:uid="{00000000-0005-0000-0000-00009F020000}"/>
    <cellStyle name="Normal 3 2 3 8 2 4 2" xfId="6982" xr:uid="{00000000-0005-0000-0000-00009F020000}"/>
    <cellStyle name="Normal 3 2 3 8 2 5" xfId="4981" xr:uid="{00000000-0005-0000-0000-00009F020000}"/>
    <cellStyle name="Normal 3 2 3 8 3" xfId="1005" xr:uid="{00000000-0005-0000-0000-0000A2020000}"/>
    <cellStyle name="Normal 3 2 3 8 3 2" xfId="2007" xr:uid="{00000000-0005-0000-0000-0000A3020000}"/>
    <cellStyle name="Normal 3 2 3 8 3 2 2" xfId="4229" xr:uid="{00000000-0005-0000-0000-0000A4020000}"/>
    <cellStyle name="Normal 3 2 3 8 3 2 2 2" xfId="8229" xr:uid="{00000000-0005-0000-0000-0000A4020000}"/>
    <cellStyle name="Normal 3 2 3 8 3 2 3" xfId="6228" xr:uid="{00000000-0005-0000-0000-0000A4020000}"/>
    <cellStyle name="Normal 3 2 3 8 3 3" xfId="3231" xr:uid="{00000000-0005-0000-0000-0000A3020000}"/>
    <cellStyle name="Normal 3 2 3 8 3 3 2" xfId="7230" xr:uid="{00000000-0005-0000-0000-0000A3020000}"/>
    <cellStyle name="Normal 3 2 3 8 3 4" xfId="5229" xr:uid="{00000000-0005-0000-0000-0000A3020000}"/>
    <cellStyle name="Normal 3 2 3 8 4" xfId="1511" xr:uid="{00000000-0005-0000-0000-0000A4020000}"/>
    <cellStyle name="Normal 3 2 3 8 4 2" xfId="3733" xr:uid="{00000000-0005-0000-0000-0000A5020000}"/>
    <cellStyle name="Normal 3 2 3 8 4 2 2" xfId="7733" xr:uid="{00000000-0005-0000-0000-0000A5020000}"/>
    <cellStyle name="Normal 3 2 3 8 4 3" xfId="5732" xr:uid="{00000000-0005-0000-0000-0000A5020000}"/>
    <cellStyle name="Normal 3 2 3 8 5" xfId="2736" xr:uid="{00000000-0005-0000-0000-00009E020000}"/>
    <cellStyle name="Normal 3 2 3 8 5 2" xfId="6734" xr:uid="{00000000-0005-0000-0000-00009E020000}"/>
    <cellStyle name="Normal 3 2 3 8 6" xfId="4733" xr:uid="{00000000-0005-0000-0000-00009E020000}"/>
    <cellStyle name="Normal 3 2 3 9" xfId="554" xr:uid="{00000000-0005-0000-0000-0000A5020000}"/>
    <cellStyle name="Normal 3 2 3 9 2" xfId="1052" xr:uid="{00000000-0005-0000-0000-0000A6020000}"/>
    <cellStyle name="Normal 3 2 3 9 2 2" xfId="2054" xr:uid="{00000000-0005-0000-0000-0000A7020000}"/>
    <cellStyle name="Normal 3 2 3 9 2 2 2" xfId="4276" xr:uid="{00000000-0005-0000-0000-0000A8020000}"/>
    <cellStyle name="Normal 3 2 3 9 2 2 2 2" xfId="8276" xr:uid="{00000000-0005-0000-0000-0000A8020000}"/>
    <cellStyle name="Normal 3 2 3 9 2 2 3" xfId="6275" xr:uid="{00000000-0005-0000-0000-0000A8020000}"/>
    <cellStyle name="Normal 3 2 3 9 2 3" xfId="3278" xr:uid="{00000000-0005-0000-0000-0000A7020000}"/>
    <cellStyle name="Normal 3 2 3 9 2 3 2" xfId="7277" xr:uid="{00000000-0005-0000-0000-0000A7020000}"/>
    <cellStyle name="Normal 3 2 3 9 2 4" xfId="5276" xr:uid="{00000000-0005-0000-0000-0000A7020000}"/>
    <cellStyle name="Normal 3 2 3 9 3" xfId="1558" xr:uid="{00000000-0005-0000-0000-0000A8020000}"/>
    <cellStyle name="Normal 3 2 3 9 3 2" xfId="3780" xr:uid="{00000000-0005-0000-0000-0000A9020000}"/>
    <cellStyle name="Normal 3 2 3 9 3 2 2" xfId="7780" xr:uid="{00000000-0005-0000-0000-0000A9020000}"/>
    <cellStyle name="Normal 3 2 3 9 3 3" xfId="5779" xr:uid="{00000000-0005-0000-0000-0000A9020000}"/>
    <cellStyle name="Normal 3 2 3 9 4" xfId="2783" xr:uid="{00000000-0005-0000-0000-0000A6020000}"/>
    <cellStyle name="Normal 3 2 3 9 4 2" xfId="6781" xr:uid="{00000000-0005-0000-0000-0000A6020000}"/>
    <cellStyle name="Normal 3 2 3 9 5" xfId="4780" xr:uid="{00000000-0005-0000-0000-0000A6020000}"/>
    <cellStyle name="Normal 3 2 4" xfId="326" xr:uid="{00000000-0005-0000-0000-0000A9020000}"/>
    <cellStyle name="Normal 3 2 4 10" xfId="1316" xr:uid="{00000000-0005-0000-0000-0000AA020000}"/>
    <cellStyle name="Normal 3 2 4 10 2" xfId="3538" xr:uid="{00000000-0005-0000-0000-0000AB020000}"/>
    <cellStyle name="Normal 3 2 4 10 2 2" xfId="7538" xr:uid="{00000000-0005-0000-0000-0000AB020000}"/>
    <cellStyle name="Normal 3 2 4 10 3" xfId="5537" xr:uid="{00000000-0005-0000-0000-0000AB020000}"/>
    <cellStyle name="Normal 3 2 4 11" xfId="2551" xr:uid="{00000000-0005-0000-0000-0000AA020000}"/>
    <cellStyle name="Normal 3 2 4 11 2" xfId="6539" xr:uid="{00000000-0005-0000-0000-0000AA020000}"/>
    <cellStyle name="Normal 3 2 4 12" xfId="4538" xr:uid="{00000000-0005-0000-0000-0000AA020000}"/>
    <cellStyle name="Normal 3 2 4 2" xfId="344" xr:uid="{00000000-0005-0000-0000-0000AB020000}"/>
    <cellStyle name="Normal 3 2 4 2 2" xfId="406" xr:uid="{00000000-0005-0000-0000-0000AC020000}"/>
    <cellStyle name="Normal 3 2 4 2 2 2" xfId="653" xr:uid="{00000000-0005-0000-0000-0000AD020000}"/>
    <cellStyle name="Normal 3 2 4 2 2 2 2" xfId="1150" xr:uid="{00000000-0005-0000-0000-0000AE020000}"/>
    <cellStyle name="Normal 3 2 4 2 2 2 2 2" xfId="2152" xr:uid="{00000000-0005-0000-0000-0000AF020000}"/>
    <cellStyle name="Normal 3 2 4 2 2 2 2 2 2" xfId="4374" xr:uid="{00000000-0005-0000-0000-0000B0020000}"/>
    <cellStyle name="Normal 3 2 4 2 2 2 2 2 2 2" xfId="8374" xr:uid="{00000000-0005-0000-0000-0000B0020000}"/>
    <cellStyle name="Normal 3 2 4 2 2 2 2 2 3" xfId="6373" xr:uid="{00000000-0005-0000-0000-0000B0020000}"/>
    <cellStyle name="Normal 3 2 4 2 2 2 2 3" xfId="3376" xr:uid="{00000000-0005-0000-0000-0000AF020000}"/>
    <cellStyle name="Normal 3 2 4 2 2 2 2 3 2" xfId="7375" xr:uid="{00000000-0005-0000-0000-0000AF020000}"/>
    <cellStyle name="Normal 3 2 4 2 2 2 2 4" xfId="5374" xr:uid="{00000000-0005-0000-0000-0000AF020000}"/>
    <cellStyle name="Normal 3 2 4 2 2 2 3" xfId="1656" xr:uid="{00000000-0005-0000-0000-0000B0020000}"/>
    <cellStyle name="Normal 3 2 4 2 2 2 3 2" xfId="3878" xr:uid="{00000000-0005-0000-0000-0000B1020000}"/>
    <cellStyle name="Normal 3 2 4 2 2 2 3 2 2" xfId="7878" xr:uid="{00000000-0005-0000-0000-0000B1020000}"/>
    <cellStyle name="Normal 3 2 4 2 2 2 3 3" xfId="5877" xr:uid="{00000000-0005-0000-0000-0000B1020000}"/>
    <cellStyle name="Normal 3 2 4 2 2 2 4" xfId="2880" xr:uid="{00000000-0005-0000-0000-0000AE020000}"/>
    <cellStyle name="Normal 3 2 4 2 2 2 4 2" xfId="6879" xr:uid="{00000000-0005-0000-0000-0000AE020000}"/>
    <cellStyle name="Normal 3 2 4 2 2 2 5" xfId="4878" xr:uid="{00000000-0005-0000-0000-0000AE020000}"/>
    <cellStyle name="Normal 3 2 4 2 2 3" xfId="902" xr:uid="{00000000-0005-0000-0000-0000B1020000}"/>
    <cellStyle name="Normal 3 2 4 2 2 3 2" xfId="1904" xr:uid="{00000000-0005-0000-0000-0000B2020000}"/>
    <cellStyle name="Normal 3 2 4 2 2 3 2 2" xfId="4126" xr:uid="{00000000-0005-0000-0000-0000B3020000}"/>
    <cellStyle name="Normal 3 2 4 2 2 3 2 2 2" xfId="8126" xr:uid="{00000000-0005-0000-0000-0000B3020000}"/>
    <cellStyle name="Normal 3 2 4 2 2 3 2 3" xfId="6125" xr:uid="{00000000-0005-0000-0000-0000B3020000}"/>
    <cellStyle name="Normal 3 2 4 2 2 3 3" xfId="3128" xr:uid="{00000000-0005-0000-0000-0000B2020000}"/>
    <cellStyle name="Normal 3 2 4 2 2 3 3 2" xfId="7127" xr:uid="{00000000-0005-0000-0000-0000B2020000}"/>
    <cellStyle name="Normal 3 2 4 2 2 3 4" xfId="5126" xr:uid="{00000000-0005-0000-0000-0000B2020000}"/>
    <cellStyle name="Normal 3 2 4 2 2 4" xfId="1408" xr:uid="{00000000-0005-0000-0000-0000B3020000}"/>
    <cellStyle name="Normal 3 2 4 2 2 4 2" xfId="3630" xr:uid="{00000000-0005-0000-0000-0000B4020000}"/>
    <cellStyle name="Normal 3 2 4 2 2 4 2 2" xfId="7630" xr:uid="{00000000-0005-0000-0000-0000B4020000}"/>
    <cellStyle name="Normal 3 2 4 2 2 4 3" xfId="5629" xr:uid="{00000000-0005-0000-0000-0000B4020000}"/>
    <cellStyle name="Normal 3 2 4 2 2 5" xfId="2637" xr:uid="{00000000-0005-0000-0000-0000AD020000}"/>
    <cellStyle name="Normal 3 2 4 2 2 5 2" xfId="6631" xr:uid="{00000000-0005-0000-0000-0000AD020000}"/>
    <cellStyle name="Normal 3 2 4 2 2 6" xfId="4630" xr:uid="{00000000-0005-0000-0000-0000AD020000}"/>
    <cellStyle name="Normal 3 2 4 2 3" xfId="452" xr:uid="{00000000-0005-0000-0000-0000B4020000}"/>
    <cellStyle name="Normal 3 2 4 2 3 2" xfId="699" xr:uid="{00000000-0005-0000-0000-0000B5020000}"/>
    <cellStyle name="Normal 3 2 4 2 3 2 2" xfId="1196" xr:uid="{00000000-0005-0000-0000-0000B6020000}"/>
    <cellStyle name="Normal 3 2 4 2 3 2 2 2" xfId="2198" xr:uid="{00000000-0005-0000-0000-0000B7020000}"/>
    <cellStyle name="Normal 3 2 4 2 3 2 2 2 2" xfId="4420" xr:uid="{00000000-0005-0000-0000-0000B8020000}"/>
    <cellStyle name="Normal 3 2 4 2 3 2 2 2 2 2" xfId="8420" xr:uid="{00000000-0005-0000-0000-0000B8020000}"/>
    <cellStyle name="Normal 3 2 4 2 3 2 2 2 3" xfId="6419" xr:uid="{00000000-0005-0000-0000-0000B8020000}"/>
    <cellStyle name="Normal 3 2 4 2 3 2 2 3" xfId="3422" xr:uid="{00000000-0005-0000-0000-0000B7020000}"/>
    <cellStyle name="Normal 3 2 4 2 3 2 2 3 2" xfId="7421" xr:uid="{00000000-0005-0000-0000-0000B7020000}"/>
    <cellStyle name="Normal 3 2 4 2 3 2 2 4" xfId="5420" xr:uid="{00000000-0005-0000-0000-0000B7020000}"/>
    <cellStyle name="Normal 3 2 4 2 3 2 3" xfId="1702" xr:uid="{00000000-0005-0000-0000-0000B8020000}"/>
    <cellStyle name="Normal 3 2 4 2 3 2 3 2" xfId="3924" xr:uid="{00000000-0005-0000-0000-0000B9020000}"/>
    <cellStyle name="Normal 3 2 4 2 3 2 3 2 2" xfId="7924" xr:uid="{00000000-0005-0000-0000-0000B9020000}"/>
    <cellStyle name="Normal 3 2 4 2 3 2 3 3" xfId="5923" xr:uid="{00000000-0005-0000-0000-0000B9020000}"/>
    <cellStyle name="Normal 3 2 4 2 3 2 4" xfId="2926" xr:uid="{00000000-0005-0000-0000-0000B6020000}"/>
    <cellStyle name="Normal 3 2 4 2 3 2 4 2" xfId="6925" xr:uid="{00000000-0005-0000-0000-0000B6020000}"/>
    <cellStyle name="Normal 3 2 4 2 3 2 5" xfId="4924" xr:uid="{00000000-0005-0000-0000-0000B6020000}"/>
    <cellStyle name="Normal 3 2 4 2 3 3" xfId="948" xr:uid="{00000000-0005-0000-0000-0000B9020000}"/>
    <cellStyle name="Normal 3 2 4 2 3 3 2" xfId="1950" xr:uid="{00000000-0005-0000-0000-0000BA020000}"/>
    <cellStyle name="Normal 3 2 4 2 3 3 2 2" xfId="4172" xr:uid="{00000000-0005-0000-0000-0000BB020000}"/>
    <cellStyle name="Normal 3 2 4 2 3 3 2 2 2" xfId="8172" xr:uid="{00000000-0005-0000-0000-0000BB020000}"/>
    <cellStyle name="Normal 3 2 4 2 3 3 2 3" xfId="6171" xr:uid="{00000000-0005-0000-0000-0000BB020000}"/>
    <cellStyle name="Normal 3 2 4 2 3 3 3" xfId="3174" xr:uid="{00000000-0005-0000-0000-0000BA020000}"/>
    <cellStyle name="Normal 3 2 4 2 3 3 3 2" xfId="7173" xr:uid="{00000000-0005-0000-0000-0000BA020000}"/>
    <cellStyle name="Normal 3 2 4 2 3 3 4" xfId="5172" xr:uid="{00000000-0005-0000-0000-0000BA020000}"/>
    <cellStyle name="Normal 3 2 4 2 3 4" xfId="1454" xr:uid="{00000000-0005-0000-0000-0000BB020000}"/>
    <cellStyle name="Normal 3 2 4 2 3 4 2" xfId="3676" xr:uid="{00000000-0005-0000-0000-0000BC020000}"/>
    <cellStyle name="Normal 3 2 4 2 3 4 2 2" xfId="7676" xr:uid="{00000000-0005-0000-0000-0000BC020000}"/>
    <cellStyle name="Normal 3 2 4 2 3 4 3" xfId="5675" xr:uid="{00000000-0005-0000-0000-0000BC020000}"/>
    <cellStyle name="Normal 3 2 4 2 3 5" xfId="2679" xr:uid="{00000000-0005-0000-0000-0000B5020000}"/>
    <cellStyle name="Normal 3 2 4 2 3 5 2" xfId="6677" xr:uid="{00000000-0005-0000-0000-0000B5020000}"/>
    <cellStyle name="Normal 3 2 4 2 3 6" xfId="4676" xr:uid="{00000000-0005-0000-0000-0000B5020000}"/>
    <cellStyle name="Normal 3 2 4 2 4" xfId="538" xr:uid="{00000000-0005-0000-0000-0000BC020000}"/>
    <cellStyle name="Normal 3 2 4 2 4 2" xfId="785" xr:uid="{00000000-0005-0000-0000-0000BD020000}"/>
    <cellStyle name="Normal 3 2 4 2 4 2 2" xfId="1283" xr:uid="{00000000-0005-0000-0000-0000BE020000}"/>
    <cellStyle name="Normal 3 2 4 2 4 2 2 2" xfId="2285" xr:uid="{00000000-0005-0000-0000-0000BF020000}"/>
    <cellStyle name="Normal 3 2 4 2 4 2 2 2 2" xfId="4507" xr:uid="{00000000-0005-0000-0000-0000C0020000}"/>
    <cellStyle name="Normal 3 2 4 2 4 2 2 2 2 2" xfId="8507" xr:uid="{00000000-0005-0000-0000-0000C0020000}"/>
    <cellStyle name="Normal 3 2 4 2 4 2 2 2 3" xfId="6506" xr:uid="{00000000-0005-0000-0000-0000C0020000}"/>
    <cellStyle name="Normal 3 2 4 2 4 2 2 3" xfId="3509" xr:uid="{00000000-0005-0000-0000-0000BF020000}"/>
    <cellStyle name="Normal 3 2 4 2 4 2 2 3 2" xfId="7508" xr:uid="{00000000-0005-0000-0000-0000BF020000}"/>
    <cellStyle name="Normal 3 2 4 2 4 2 2 4" xfId="5507" xr:uid="{00000000-0005-0000-0000-0000BF020000}"/>
    <cellStyle name="Normal 3 2 4 2 4 2 3" xfId="1789" xr:uid="{00000000-0005-0000-0000-0000C0020000}"/>
    <cellStyle name="Normal 3 2 4 2 4 2 3 2" xfId="4011" xr:uid="{00000000-0005-0000-0000-0000C1020000}"/>
    <cellStyle name="Normal 3 2 4 2 4 2 3 2 2" xfId="8011" xr:uid="{00000000-0005-0000-0000-0000C1020000}"/>
    <cellStyle name="Normal 3 2 4 2 4 2 3 3" xfId="6010" xr:uid="{00000000-0005-0000-0000-0000C1020000}"/>
    <cellStyle name="Normal 3 2 4 2 4 2 4" xfId="3013" xr:uid="{00000000-0005-0000-0000-0000BE020000}"/>
    <cellStyle name="Normal 3 2 4 2 4 2 4 2" xfId="7012" xr:uid="{00000000-0005-0000-0000-0000BE020000}"/>
    <cellStyle name="Normal 3 2 4 2 4 2 5" xfId="5011" xr:uid="{00000000-0005-0000-0000-0000BE020000}"/>
    <cellStyle name="Normal 3 2 4 2 4 3" xfId="1035" xr:uid="{00000000-0005-0000-0000-0000C1020000}"/>
    <cellStyle name="Normal 3 2 4 2 4 3 2" xfId="2037" xr:uid="{00000000-0005-0000-0000-0000C2020000}"/>
    <cellStyle name="Normal 3 2 4 2 4 3 2 2" xfId="4259" xr:uid="{00000000-0005-0000-0000-0000C3020000}"/>
    <cellStyle name="Normal 3 2 4 2 4 3 2 2 2" xfId="8259" xr:uid="{00000000-0005-0000-0000-0000C3020000}"/>
    <cellStyle name="Normal 3 2 4 2 4 3 2 3" xfId="6258" xr:uid="{00000000-0005-0000-0000-0000C3020000}"/>
    <cellStyle name="Normal 3 2 4 2 4 3 3" xfId="3261" xr:uid="{00000000-0005-0000-0000-0000C2020000}"/>
    <cellStyle name="Normal 3 2 4 2 4 3 3 2" xfId="7260" xr:uid="{00000000-0005-0000-0000-0000C2020000}"/>
    <cellStyle name="Normal 3 2 4 2 4 3 4" xfId="5259" xr:uid="{00000000-0005-0000-0000-0000C2020000}"/>
    <cellStyle name="Normal 3 2 4 2 4 4" xfId="1541" xr:uid="{00000000-0005-0000-0000-0000C3020000}"/>
    <cellStyle name="Normal 3 2 4 2 4 4 2" xfId="3763" xr:uid="{00000000-0005-0000-0000-0000C4020000}"/>
    <cellStyle name="Normal 3 2 4 2 4 4 2 2" xfId="7763" xr:uid="{00000000-0005-0000-0000-0000C4020000}"/>
    <cellStyle name="Normal 3 2 4 2 4 4 3" xfId="5762" xr:uid="{00000000-0005-0000-0000-0000C4020000}"/>
    <cellStyle name="Normal 3 2 4 2 4 5" xfId="2766" xr:uid="{00000000-0005-0000-0000-0000BD020000}"/>
    <cellStyle name="Normal 3 2 4 2 4 5 2" xfId="6764" xr:uid="{00000000-0005-0000-0000-0000BD020000}"/>
    <cellStyle name="Normal 3 2 4 2 4 6" xfId="4763" xr:uid="{00000000-0005-0000-0000-0000BD020000}"/>
    <cellStyle name="Normal 3 2 4 2 5" xfId="584" xr:uid="{00000000-0005-0000-0000-0000C4020000}"/>
    <cellStyle name="Normal 3 2 4 2 5 2" xfId="1082" xr:uid="{00000000-0005-0000-0000-0000C5020000}"/>
    <cellStyle name="Normal 3 2 4 2 5 2 2" xfId="2084" xr:uid="{00000000-0005-0000-0000-0000C6020000}"/>
    <cellStyle name="Normal 3 2 4 2 5 2 2 2" xfId="4306" xr:uid="{00000000-0005-0000-0000-0000C7020000}"/>
    <cellStyle name="Normal 3 2 4 2 5 2 2 2 2" xfId="8306" xr:uid="{00000000-0005-0000-0000-0000C7020000}"/>
    <cellStyle name="Normal 3 2 4 2 5 2 2 3" xfId="6305" xr:uid="{00000000-0005-0000-0000-0000C7020000}"/>
    <cellStyle name="Normal 3 2 4 2 5 2 3" xfId="3308" xr:uid="{00000000-0005-0000-0000-0000C6020000}"/>
    <cellStyle name="Normal 3 2 4 2 5 2 3 2" xfId="7307" xr:uid="{00000000-0005-0000-0000-0000C6020000}"/>
    <cellStyle name="Normal 3 2 4 2 5 2 4" xfId="5306" xr:uid="{00000000-0005-0000-0000-0000C6020000}"/>
    <cellStyle name="Normal 3 2 4 2 5 3" xfId="1588" xr:uid="{00000000-0005-0000-0000-0000C7020000}"/>
    <cellStyle name="Normal 3 2 4 2 5 3 2" xfId="3810" xr:uid="{00000000-0005-0000-0000-0000C8020000}"/>
    <cellStyle name="Normal 3 2 4 2 5 3 2 2" xfId="7810" xr:uid="{00000000-0005-0000-0000-0000C8020000}"/>
    <cellStyle name="Normal 3 2 4 2 5 3 3" xfId="5809" xr:uid="{00000000-0005-0000-0000-0000C8020000}"/>
    <cellStyle name="Normal 3 2 4 2 5 4" xfId="2813" xr:uid="{00000000-0005-0000-0000-0000C5020000}"/>
    <cellStyle name="Normal 3 2 4 2 5 4 2" xfId="6811" xr:uid="{00000000-0005-0000-0000-0000C5020000}"/>
    <cellStyle name="Normal 3 2 4 2 5 5" xfId="4810" xr:uid="{00000000-0005-0000-0000-0000C5020000}"/>
    <cellStyle name="Normal 3 2 4 2 6" xfId="834" xr:uid="{00000000-0005-0000-0000-0000C8020000}"/>
    <cellStyle name="Normal 3 2 4 2 6 2" xfId="1836" xr:uid="{00000000-0005-0000-0000-0000C9020000}"/>
    <cellStyle name="Normal 3 2 4 2 6 2 2" xfId="4058" xr:uid="{00000000-0005-0000-0000-0000CA020000}"/>
    <cellStyle name="Normal 3 2 4 2 6 2 2 2" xfId="8058" xr:uid="{00000000-0005-0000-0000-0000CA020000}"/>
    <cellStyle name="Normal 3 2 4 2 6 2 3" xfId="6057" xr:uid="{00000000-0005-0000-0000-0000CA020000}"/>
    <cellStyle name="Normal 3 2 4 2 6 3" xfId="3060" xr:uid="{00000000-0005-0000-0000-0000C9020000}"/>
    <cellStyle name="Normal 3 2 4 2 6 3 2" xfId="7059" xr:uid="{00000000-0005-0000-0000-0000C9020000}"/>
    <cellStyle name="Normal 3 2 4 2 6 4" xfId="5058" xr:uid="{00000000-0005-0000-0000-0000C9020000}"/>
    <cellStyle name="Normal 3 2 4 2 7" xfId="1340" xr:uid="{00000000-0005-0000-0000-0000CA020000}"/>
    <cellStyle name="Normal 3 2 4 2 7 2" xfId="3562" xr:uid="{00000000-0005-0000-0000-0000CB020000}"/>
    <cellStyle name="Normal 3 2 4 2 7 2 2" xfId="7562" xr:uid="{00000000-0005-0000-0000-0000CB020000}"/>
    <cellStyle name="Normal 3 2 4 2 7 3" xfId="5561" xr:uid="{00000000-0005-0000-0000-0000CB020000}"/>
    <cellStyle name="Normal 3 2 4 2 8" xfId="2574" xr:uid="{00000000-0005-0000-0000-0000AC020000}"/>
    <cellStyle name="Normal 3 2 4 2 8 2" xfId="6563" xr:uid="{00000000-0005-0000-0000-0000AC020000}"/>
    <cellStyle name="Normal 3 2 4 2 9" xfId="4562" xr:uid="{00000000-0005-0000-0000-0000AC020000}"/>
    <cellStyle name="Normal 3 2 4 3" xfId="362" xr:uid="{00000000-0005-0000-0000-0000CB020000}"/>
    <cellStyle name="Normal 3 2 4 3 2" xfId="474" xr:uid="{00000000-0005-0000-0000-0000CC020000}"/>
    <cellStyle name="Normal 3 2 4 3 2 2" xfId="721" xr:uid="{00000000-0005-0000-0000-0000CD020000}"/>
    <cellStyle name="Normal 3 2 4 3 2 2 2" xfId="1218" xr:uid="{00000000-0005-0000-0000-0000CE020000}"/>
    <cellStyle name="Normal 3 2 4 3 2 2 2 2" xfId="2220" xr:uid="{00000000-0005-0000-0000-0000CF020000}"/>
    <cellStyle name="Normal 3 2 4 3 2 2 2 2 2" xfId="4442" xr:uid="{00000000-0005-0000-0000-0000D0020000}"/>
    <cellStyle name="Normal 3 2 4 3 2 2 2 2 2 2" xfId="8442" xr:uid="{00000000-0005-0000-0000-0000D0020000}"/>
    <cellStyle name="Normal 3 2 4 3 2 2 2 2 3" xfId="6441" xr:uid="{00000000-0005-0000-0000-0000D0020000}"/>
    <cellStyle name="Normal 3 2 4 3 2 2 2 3" xfId="3444" xr:uid="{00000000-0005-0000-0000-0000CF020000}"/>
    <cellStyle name="Normal 3 2 4 3 2 2 2 3 2" xfId="7443" xr:uid="{00000000-0005-0000-0000-0000CF020000}"/>
    <cellStyle name="Normal 3 2 4 3 2 2 2 4" xfId="5442" xr:uid="{00000000-0005-0000-0000-0000CF020000}"/>
    <cellStyle name="Normal 3 2 4 3 2 2 3" xfId="1724" xr:uid="{00000000-0005-0000-0000-0000D0020000}"/>
    <cellStyle name="Normal 3 2 4 3 2 2 3 2" xfId="3946" xr:uid="{00000000-0005-0000-0000-0000D1020000}"/>
    <cellStyle name="Normal 3 2 4 3 2 2 3 2 2" xfId="7946" xr:uid="{00000000-0005-0000-0000-0000D1020000}"/>
    <cellStyle name="Normal 3 2 4 3 2 2 3 3" xfId="5945" xr:uid="{00000000-0005-0000-0000-0000D1020000}"/>
    <cellStyle name="Normal 3 2 4 3 2 2 4" xfId="2948" xr:uid="{00000000-0005-0000-0000-0000CE020000}"/>
    <cellStyle name="Normal 3 2 4 3 2 2 4 2" xfId="6947" xr:uid="{00000000-0005-0000-0000-0000CE020000}"/>
    <cellStyle name="Normal 3 2 4 3 2 2 5" xfId="4946" xr:uid="{00000000-0005-0000-0000-0000CE020000}"/>
    <cellStyle name="Normal 3 2 4 3 2 3" xfId="970" xr:uid="{00000000-0005-0000-0000-0000D1020000}"/>
    <cellStyle name="Normal 3 2 4 3 2 3 2" xfId="1972" xr:uid="{00000000-0005-0000-0000-0000D2020000}"/>
    <cellStyle name="Normal 3 2 4 3 2 3 2 2" xfId="4194" xr:uid="{00000000-0005-0000-0000-0000D3020000}"/>
    <cellStyle name="Normal 3 2 4 3 2 3 2 2 2" xfId="8194" xr:uid="{00000000-0005-0000-0000-0000D3020000}"/>
    <cellStyle name="Normal 3 2 4 3 2 3 2 3" xfId="6193" xr:uid="{00000000-0005-0000-0000-0000D3020000}"/>
    <cellStyle name="Normal 3 2 4 3 2 3 3" xfId="3196" xr:uid="{00000000-0005-0000-0000-0000D2020000}"/>
    <cellStyle name="Normal 3 2 4 3 2 3 3 2" xfId="7195" xr:uid="{00000000-0005-0000-0000-0000D2020000}"/>
    <cellStyle name="Normal 3 2 4 3 2 3 4" xfId="5194" xr:uid="{00000000-0005-0000-0000-0000D2020000}"/>
    <cellStyle name="Normal 3 2 4 3 2 4" xfId="1476" xr:uid="{00000000-0005-0000-0000-0000D3020000}"/>
    <cellStyle name="Normal 3 2 4 3 2 4 2" xfId="3698" xr:uid="{00000000-0005-0000-0000-0000D4020000}"/>
    <cellStyle name="Normal 3 2 4 3 2 4 2 2" xfId="7698" xr:uid="{00000000-0005-0000-0000-0000D4020000}"/>
    <cellStyle name="Normal 3 2 4 3 2 4 3" xfId="5697" xr:uid="{00000000-0005-0000-0000-0000D4020000}"/>
    <cellStyle name="Normal 3 2 4 3 2 5" xfId="2701" xr:uid="{00000000-0005-0000-0000-0000CD020000}"/>
    <cellStyle name="Normal 3 2 4 3 2 5 2" xfId="6699" xr:uid="{00000000-0005-0000-0000-0000CD020000}"/>
    <cellStyle name="Normal 3 2 4 3 2 6" xfId="4698" xr:uid="{00000000-0005-0000-0000-0000CD020000}"/>
    <cellStyle name="Normal 3 2 4 3 3" xfId="606" xr:uid="{00000000-0005-0000-0000-0000D4020000}"/>
    <cellStyle name="Normal 3 2 4 3 3 2" xfId="1104" xr:uid="{00000000-0005-0000-0000-0000D5020000}"/>
    <cellStyle name="Normal 3 2 4 3 3 2 2" xfId="2106" xr:uid="{00000000-0005-0000-0000-0000D6020000}"/>
    <cellStyle name="Normal 3 2 4 3 3 2 2 2" xfId="4328" xr:uid="{00000000-0005-0000-0000-0000D7020000}"/>
    <cellStyle name="Normal 3 2 4 3 3 2 2 2 2" xfId="8328" xr:uid="{00000000-0005-0000-0000-0000D7020000}"/>
    <cellStyle name="Normal 3 2 4 3 3 2 2 3" xfId="6327" xr:uid="{00000000-0005-0000-0000-0000D7020000}"/>
    <cellStyle name="Normal 3 2 4 3 3 2 3" xfId="3330" xr:uid="{00000000-0005-0000-0000-0000D6020000}"/>
    <cellStyle name="Normal 3 2 4 3 3 2 3 2" xfId="7329" xr:uid="{00000000-0005-0000-0000-0000D6020000}"/>
    <cellStyle name="Normal 3 2 4 3 3 2 4" xfId="5328" xr:uid="{00000000-0005-0000-0000-0000D6020000}"/>
    <cellStyle name="Normal 3 2 4 3 3 3" xfId="1610" xr:uid="{00000000-0005-0000-0000-0000D7020000}"/>
    <cellStyle name="Normal 3 2 4 3 3 3 2" xfId="3832" xr:uid="{00000000-0005-0000-0000-0000D8020000}"/>
    <cellStyle name="Normal 3 2 4 3 3 3 2 2" xfId="7832" xr:uid="{00000000-0005-0000-0000-0000D8020000}"/>
    <cellStyle name="Normal 3 2 4 3 3 3 3" xfId="5831" xr:uid="{00000000-0005-0000-0000-0000D8020000}"/>
    <cellStyle name="Normal 3 2 4 3 3 4" xfId="2835" xr:uid="{00000000-0005-0000-0000-0000D5020000}"/>
    <cellStyle name="Normal 3 2 4 3 3 4 2" xfId="6833" xr:uid="{00000000-0005-0000-0000-0000D5020000}"/>
    <cellStyle name="Normal 3 2 4 3 3 5" xfId="4832" xr:uid="{00000000-0005-0000-0000-0000D5020000}"/>
    <cellStyle name="Normal 3 2 4 3 4" xfId="856" xr:uid="{00000000-0005-0000-0000-0000D8020000}"/>
    <cellStyle name="Normal 3 2 4 3 4 2" xfId="1858" xr:uid="{00000000-0005-0000-0000-0000D9020000}"/>
    <cellStyle name="Normal 3 2 4 3 4 2 2" xfId="4080" xr:uid="{00000000-0005-0000-0000-0000DA020000}"/>
    <cellStyle name="Normal 3 2 4 3 4 2 2 2" xfId="8080" xr:uid="{00000000-0005-0000-0000-0000DA020000}"/>
    <cellStyle name="Normal 3 2 4 3 4 2 3" xfId="6079" xr:uid="{00000000-0005-0000-0000-0000DA020000}"/>
    <cellStyle name="Normal 3 2 4 3 4 3" xfId="3082" xr:uid="{00000000-0005-0000-0000-0000D9020000}"/>
    <cellStyle name="Normal 3 2 4 3 4 3 2" xfId="7081" xr:uid="{00000000-0005-0000-0000-0000D9020000}"/>
    <cellStyle name="Normal 3 2 4 3 4 4" xfId="5080" xr:uid="{00000000-0005-0000-0000-0000D9020000}"/>
    <cellStyle name="Normal 3 2 4 3 5" xfId="1362" xr:uid="{00000000-0005-0000-0000-0000DA020000}"/>
    <cellStyle name="Normal 3 2 4 3 5 2" xfId="3584" xr:uid="{00000000-0005-0000-0000-0000DB020000}"/>
    <cellStyle name="Normal 3 2 4 3 5 2 2" xfId="7584" xr:uid="{00000000-0005-0000-0000-0000DB020000}"/>
    <cellStyle name="Normal 3 2 4 3 5 3" xfId="5583" xr:uid="{00000000-0005-0000-0000-0000DB020000}"/>
    <cellStyle name="Normal 3 2 4 3 6" xfId="2596" xr:uid="{00000000-0005-0000-0000-0000CC020000}"/>
    <cellStyle name="Normal 3 2 4 3 6 2" xfId="6585" xr:uid="{00000000-0005-0000-0000-0000CC020000}"/>
    <cellStyle name="Normal 3 2 4 3 7" xfId="4584" xr:uid="{00000000-0005-0000-0000-0000CC020000}"/>
    <cellStyle name="Normal 3 2 4 4" xfId="383" xr:uid="{00000000-0005-0000-0000-0000DB020000}"/>
    <cellStyle name="Normal 3 2 4 4 2" xfId="629" xr:uid="{00000000-0005-0000-0000-0000DC020000}"/>
    <cellStyle name="Normal 3 2 4 4 2 2" xfId="1126" xr:uid="{00000000-0005-0000-0000-0000DD020000}"/>
    <cellStyle name="Normal 3 2 4 4 2 2 2" xfId="2128" xr:uid="{00000000-0005-0000-0000-0000DE020000}"/>
    <cellStyle name="Normal 3 2 4 4 2 2 2 2" xfId="4350" xr:uid="{00000000-0005-0000-0000-0000DF020000}"/>
    <cellStyle name="Normal 3 2 4 4 2 2 2 2 2" xfId="8350" xr:uid="{00000000-0005-0000-0000-0000DF020000}"/>
    <cellStyle name="Normal 3 2 4 4 2 2 2 3" xfId="6349" xr:uid="{00000000-0005-0000-0000-0000DF020000}"/>
    <cellStyle name="Normal 3 2 4 4 2 2 3" xfId="3352" xr:uid="{00000000-0005-0000-0000-0000DE020000}"/>
    <cellStyle name="Normal 3 2 4 4 2 2 3 2" xfId="7351" xr:uid="{00000000-0005-0000-0000-0000DE020000}"/>
    <cellStyle name="Normal 3 2 4 4 2 2 4" xfId="5350" xr:uid="{00000000-0005-0000-0000-0000DE020000}"/>
    <cellStyle name="Normal 3 2 4 4 2 3" xfId="1632" xr:uid="{00000000-0005-0000-0000-0000DF020000}"/>
    <cellStyle name="Normal 3 2 4 4 2 3 2" xfId="3854" xr:uid="{00000000-0005-0000-0000-0000E0020000}"/>
    <cellStyle name="Normal 3 2 4 4 2 3 2 2" xfId="7854" xr:uid="{00000000-0005-0000-0000-0000E0020000}"/>
    <cellStyle name="Normal 3 2 4 4 2 3 3" xfId="5853" xr:uid="{00000000-0005-0000-0000-0000E0020000}"/>
    <cellStyle name="Normal 3 2 4 4 2 4" xfId="2856" xr:uid="{00000000-0005-0000-0000-0000DD020000}"/>
    <cellStyle name="Normal 3 2 4 4 2 4 2" xfId="6855" xr:uid="{00000000-0005-0000-0000-0000DD020000}"/>
    <cellStyle name="Normal 3 2 4 4 2 5" xfId="4854" xr:uid="{00000000-0005-0000-0000-0000DD020000}"/>
    <cellStyle name="Normal 3 2 4 4 3" xfId="878" xr:uid="{00000000-0005-0000-0000-0000E0020000}"/>
    <cellStyle name="Normal 3 2 4 4 3 2" xfId="1880" xr:uid="{00000000-0005-0000-0000-0000E1020000}"/>
    <cellStyle name="Normal 3 2 4 4 3 2 2" xfId="4102" xr:uid="{00000000-0005-0000-0000-0000E2020000}"/>
    <cellStyle name="Normal 3 2 4 4 3 2 2 2" xfId="8102" xr:uid="{00000000-0005-0000-0000-0000E2020000}"/>
    <cellStyle name="Normal 3 2 4 4 3 2 3" xfId="6101" xr:uid="{00000000-0005-0000-0000-0000E2020000}"/>
    <cellStyle name="Normal 3 2 4 4 3 3" xfId="3104" xr:uid="{00000000-0005-0000-0000-0000E1020000}"/>
    <cellStyle name="Normal 3 2 4 4 3 3 2" xfId="7103" xr:uid="{00000000-0005-0000-0000-0000E1020000}"/>
    <cellStyle name="Normal 3 2 4 4 3 4" xfId="5102" xr:uid="{00000000-0005-0000-0000-0000E1020000}"/>
    <cellStyle name="Normal 3 2 4 4 4" xfId="1384" xr:uid="{00000000-0005-0000-0000-0000E2020000}"/>
    <cellStyle name="Normal 3 2 4 4 4 2" xfId="3606" xr:uid="{00000000-0005-0000-0000-0000E3020000}"/>
    <cellStyle name="Normal 3 2 4 4 4 2 2" xfId="7606" xr:uid="{00000000-0005-0000-0000-0000E3020000}"/>
    <cellStyle name="Normal 3 2 4 4 4 3" xfId="5605" xr:uid="{00000000-0005-0000-0000-0000E3020000}"/>
    <cellStyle name="Normal 3 2 4 4 5" xfId="2616" xr:uid="{00000000-0005-0000-0000-0000DC020000}"/>
    <cellStyle name="Normal 3 2 4 4 5 2" xfId="6607" xr:uid="{00000000-0005-0000-0000-0000DC020000}"/>
    <cellStyle name="Normal 3 2 4 4 6" xfId="4606" xr:uid="{00000000-0005-0000-0000-0000DC020000}"/>
    <cellStyle name="Normal 3 2 4 5" xfId="428" xr:uid="{00000000-0005-0000-0000-0000E3020000}"/>
    <cellStyle name="Normal 3 2 4 5 2" xfId="675" xr:uid="{00000000-0005-0000-0000-0000E4020000}"/>
    <cellStyle name="Normal 3 2 4 5 2 2" xfId="1172" xr:uid="{00000000-0005-0000-0000-0000E5020000}"/>
    <cellStyle name="Normal 3 2 4 5 2 2 2" xfId="2174" xr:uid="{00000000-0005-0000-0000-0000E6020000}"/>
    <cellStyle name="Normal 3 2 4 5 2 2 2 2" xfId="4396" xr:uid="{00000000-0005-0000-0000-0000E7020000}"/>
    <cellStyle name="Normal 3 2 4 5 2 2 2 2 2" xfId="8396" xr:uid="{00000000-0005-0000-0000-0000E7020000}"/>
    <cellStyle name="Normal 3 2 4 5 2 2 2 3" xfId="6395" xr:uid="{00000000-0005-0000-0000-0000E7020000}"/>
    <cellStyle name="Normal 3 2 4 5 2 2 3" xfId="3398" xr:uid="{00000000-0005-0000-0000-0000E6020000}"/>
    <cellStyle name="Normal 3 2 4 5 2 2 3 2" xfId="7397" xr:uid="{00000000-0005-0000-0000-0000E6020000}"/>
    <cellStyle name="Normal 3 2 4 5 2 2 4" xfId="5396" xr:uid="{00000000-0005-0000-0000-0000E6020000}"/>
    <cellStyle name="Normal 3 2 4 5 2 3" xfId="1678" xr:uid="{00000000-0005-0000-0000-0000E7020000}"/>
    <cellStyle name="Normal 3 2 4 5 2 3 2" xfId="3900" xr:uid="{00000000-0005-0000-0000-0000E8020000}"/>
    <cellStyle name="Normal 3 2 4 5 2 3 2 2" xfId="7900" xr:uid="{00000000-0005-0000-0000-0000E8020000}"/>
    <cellStyle name="Normal 3 2 4 5 2 3 3" xfId="5899" xr:uid="{00000000-0005-0000-0000-0000E8020000}"/>
    <cellStyle name="Normal 3 2 4 5 2 4" xfId="2902" xr:uid="{00000000-0005-0000-0000-0000E5020000}"/>
    <cellStyle name="Normal 3 2 4 5 2 4 2" xfId="6901" xr:uid="{00000000-0005-0000-0000-0000E5020000}"/>
    <cellStyle name="Normal 3 2 4 5 2 5" xfId="4900" xr:uid="{00000000-0005-0000-0000-0000E5020000}"/>
    <cellStyle name="Normal 3 2 4 5 3" xfId="924" xr:uid="{00000000-0005-0000-0000-0000E8020000}"/>
    <cellStyle name="Normal 3 2 4 5 3 2" xfId="1926" xr:uid="{00000000-0005-0000-0000-0000E9020000}"/>
    <cellStyle name="Normal 3 2 4 5 3 2 2" xfId="4148" xr:uid="{00000000-0005-0000-0000-0000EA020000}"/>
    <cellStyle name="Normal 3 2 4 5 3 2 2 2" xfId="8148" xr:uid="{00000000-0005-0000-0000-0000EA020000}"/>
    <cellStyle name="Normal 3 2 4 5 3 2 3" xfId="6147" xr:uid="{00000000-0005-0000-0000-0000EA020000}"/>
    <cellStyle name="Normal 3 2 4 5 3 3" xfId="3150" xr:uid="{00000000-0005-0000-0000-0000E9020000}"/>
    <cellStyle name="Normal 3 2 4 5 3 3 2" xfId="7149" xr:uid="{00000000-0005-0000-0000-0000E9020000}"/>
    <cellStyle name="Normal 3 2 4 5 3 4" xfId="5148" xr:uid="{00000000-0005-0000-0000-0000E9020000}"/>
    <cellStyle name="Normal 3 2 4 5 4" xfId="1430" xr:uid="{00000000-0005-0000-0000-0000EA020000}"/>
    <cellStyle name="Normal 3 2 4 5 4 2" xfId="3652" xr:uid="{00000000-0005-0000-0000-0000EB020000}"/>
    <cellStyle name="Normal 3 2 4 5 4 2 2" xfId="7652" xr:uid="{00000000-0005-0000-0000-0000EB020000}"/>
    <cellStyle name="Normal 3 2 4 5 4 3" xfId="5651" xr:uid="{00000000-0005-0000-0000-0000EB020000}"/>
    <cellStyle name="Normal 3 2 4 5 5" xfId="2656" xr:uid="{00000000-0005-0000-0000-0000E4020000}"/>
    <cellStyle name="Normal 3 2 4 5 5 2" xfId="6653" xr:uid="{00000000-0005-0000-0000-0000E4020000}"/>
    <cellStyle name="Normal 3 2 4 5 6" xfId="4652" xr:uid="{00000000-0005-0000-0000-0000E4020000}"/>
    <cellStyle name="Normal 3 2 4 6" xfId="494" xr:uid="{00000000-0005-0000-0000-0000EB020000}"/>
    <cellStyle name="Normal 3 2 4 6 2" xfId="741" xr:uid="{00000000-0005-0000-0000-0000EC020000}"/>
    <cellStyle name="Normal 3 2 4 6 2 2" xfId="1238" xr:uid="{00000000-0005-0000-0000-0000ED020000}"/>
    <cellStyle name="Normal 3 2 4 6 2 2 2" xfId="2240" xr:uid="{00000000-0005-0000-0000-0000EE020000}"/>
    <cellStyle name="Normal 3 2 4 6 2 2 2 2" xfId="4462" xr:uid="{00000000-0005-0000-0000-0000EF020000}"/>
    <cellStyle name="Normal 3 2 4 6 2 2 2 2 2" xfId="8462" xr:uid="{00000000-0005-0000-0000-0000EF020000}"/>
    <cellStyle name="Normal 3 2 4 6 2 2 2 3" xfId="6461" xr:uid="{00000000-0005-0000-0000-0000EF020000}"/>
    <cellStyle name="Normal 3 2 4 6 2 2 3" xfId="3464" xr:uid="{00000000-0005-0000-0000-0000EE020000}"/>
    <cellStyle name="Normal 3 2 4 6 2 2 3 2" xfId="7463" xr:uid="{00000000-0005-0000-0000-0000EE020000}"/>
    <cellStyle name="Normal 3 2 4 6 2 2 4" xfId="5462" xr:uid="{00000000-0005-0000-0000-0000EE020000}"/>
    <cellStyle name="Normal 3 2 4 6 2 3" xfId="1744" xr:uid="{00000000-0005-0000-0000-0000EF020000}"/>
    <cellStyle name="Normal 3 2 4 6 2 3 2" xfId="3966" xr:uid="{00000000-0005-0000-0000-0000F0020000}"/>
    <cellStyle name="Normal 3 2 4 6 2 3 2 2" xfId="7966" xr:uid="{00000000-0005-0000-0000-0000F0020000}"/>
    <cellStyle name="Normal 3 2 4 6 2 3 3" xfId="5965" xr:uid="{00000000-0005-0000-0000-0000F0020000}"/>
    <cellStyle name="Normal 3 2 4 6 2 4" xfId="2968" xr:uid="{00000000-0005-0000-0000-0000ED020000}"/>
    <cellStyle name="Normal 3 2 4 6 2 4 2" xfId="6967" xr:uid="{00000000-0005-0000-0000-0000ED020000}"/>
    <cellStyle name="Normal 3 2 4 6 2 5" xfId="4966" xr:uid="{00000000-0005-0000-0000-0000ED020000}"/>
    <cellStyle name="Normal 3 2 4 6 3" xfId="990" xr:uid="{00000000-0005-0000-0000-0000F0020000}"/>
    <cellStyle name="Normal 3 2 4 6 3 2" xfId="1992" xr:uid="{00000000-0005-0000-0000-0000F1020000}"/>
    <cellStyle name="Normal 3 2 4 6 3 2 2" xfId="4214" xr:uid="{00000000-0005-0000-0000-0000F2020000}"/>
    <cellStyle name="Normal 3 2 4 6 3 2 2 2" xfId="8214" xr:uid="{00000000-0005-0000-0000-0000F2020000}"/>
    <cellStyle name="Normal 3 2 4 6 3 2 3" xfId="6213" xr:uid="{00000000-0005-0000-0000-0000F2020000}"/>
    <cellStyle name="Normal 3 2 4 6 3 3" xfId="3216" xr:uid="{00000000-0005-0000-0000-0000F1020000}"/>
    <cellStyle name="Normal 3 2 4 6 3 3 2" xfId="7215" xr:uid="{00000000-0005-0000-0000-0000F1020000}"/>
    <cellStyle name="Normal 3 2 4 6 3 4" xfId="5214" xr:uid="{00000000-0005-0000-0000-0000F1020000}"/>
    <cellStyle name="Normal 3 2 4 6 4" xfId="1496" xr:uid="{00000000-0005-0000-0000-0000F2020000}"/>
    <cellStyle name="Normal 3 2 4 6 4 2" xfId="3718" xr:uid="{00000000-0005-0000-0000-0000F3020000}"/>
    <cellStyle name="Normal 3 2 4 6 4 2 2" xfId="7718" xr:uid="{00000000-0005-0000-0000-0000F3020000}"/>
    <cellStyle name="Normal 3 2 4 6 4 3" xfId="5717" xr:uid="{00000000-0005-0000-0000-0000F3020000}"/>
    <cellStyle name="Normal 3 2 4 6 5" xfId="2721" xr:uid="{00000000-0005-0000-0000-0000EC020000}"/>
    <cellStyle name="Normal 3 2 4 6 5 2" xfId="6719" xr:uid="{00000000-0005-0000-0000-0000EC020000}"/>
    <cellStyle name="Normal 3 2 4 6 6" xfId="4718" xr:uid="{00000000-0005-0000-0000-0000EC020000}"/>
    <cellStyle name="Normal 3 2 4 7" xfId="514" xr:uid="{00000000-0005-0000-0000-0000F3020000}"/>
    <cellStyle name="Normal 3 2 4 7 2" xfId="761" xr:uid="{00000000-0005-0000-0000-0000F4020000}"/>
    <cellStyle name="Normal 3 2 4 7 2 2" xfId="1259" xr:uid="{00000000-0005-0000-0000-0000F5020000}"/>
    <cellStyle name="Normal 3 2 4 7 2 2 2" xfId="2261" xr:uid="{00000000-0005-0000-0000-0000F6020000}"/>
    <cellStyle name="Normal 3 2 4 7 2 2 2 2" xfId="4483" xr:uid="{00000000-0005-0000-0000-0000F7020000}"/>
    <cellStyle name="Normal 3 2 4 7 2 2 2 2 2" xfId="8483" xr:uid="{00000000-0005-0000-0000-0000F7020000}"/>
    <cellStyle name="Normal 3 2 4 7 2 2 2 3" xfId="6482" xr:uid="{00000000-0005-0000-0000-0000F7020000}"/>
    <cellStyle name="Normal 3 2 4 7 2 2 3" xfId="3485" xr:uid="{00000000-0005-0000-0000-0000F6020000}"/>
    <cellStyle name="Normal 3 2 4 7 2 2 3 2" xfId="7484" xr:uid="{00000000-0005-0000-0000-0000F6020000}"/>
    <cellStyle name="Normal 3 2 4 7 2 2 4" xfId="5483" xr:uid="{00000000-0005-0000-0000-0000F6020000}"/>
    <cellStyle name="Normal 3 2 4 7 2 3" xfId="1765" xr:uid="{00000000-0005-0000-0000-0000F7020000}"/>
    <cellStyle name="Normal 3 2 4 7 2 3 2" xfId="3987" xr:uid="{00000000-0005-0000-0000-0000F8020000}"/>
    <cellStyle name="Normal 3 2 4 7 2 3 2 2" xfId="7987" xr:uid="{00000000-0005-0000-0000-0000F8020000}"/>
    <cellStyle name="Normal 3 2 4 7 2 3 3" xfId="5986" xr:uid="{00000000-0005-0000-0000-0000F8020000}"/>
    <cellStyle name="Normal 3 2 4 7 2 4" xfId="2989" xr:uid="{00000000-0005-0000-0000-0000F5020000}"/>
    <cellStyle name="Normal 3 2 4 7 2 4 2" xfId="6988" xr:uid="{00000000-0005-0000-0000-0000F5020000}"/>
    <cellStyle name="Normal 3 2 4 7 2 5" xfId="4987" xr:uid="{00000000-0005-0000-0000-0000F5020000}"/>
    <cellStyle name="Normal 3 2 4 7 3" xfId="1011" xr:uid="{00000000-0005-0000-0000-0000F8020000}"/>
    <cellStyle name="Normal 3 2 4 7 3 2" xfId="2013" xr:uid="{00000000-0005-0000-0000-0000F9020000}"/>
    <cellStyle name="Normal 3 2 4 7 3 2 2" xfId="4235" xr:uid="{00000000-0005-0000-0000-0000FA020000}"/>
    <cellStyle name="Normal 3 2 4 7 3 2 2 2" xfId="8235" xr:uid="{00000000-0005-0000-0000-0000FA020000}"/>
    <cellStyle name="Normal 3 2 4 7 3 2 3" xfId="6234" xr:uid="{00000000-0005-0000-0000-0000FA020000}"/>
    <cellStyle name="Normal 3 2 4 7 3 3" xfId="3237" xr:uid="{00000000-0005-0000-0000-0000F9020000}"/>
    <cellStyle name="Normal 3 2 4 7 3 3 2" xfId="7236" xr:uid="{00000000-0005-0000-0000-0000F9020000}"/>
    <cellStyle name="Normal 3 2 4 7 3 4" xfId="5235" xr:uid="{00000000-0005-0000-0000-0000F9020000}"/>
    <cellStyle name="Normal 3 2 4 7 4" xfId="1517" xr:uid="{00000000-0005-0000-0000-0000FA020000}"/>
    <cellStyle name="Normal 3 2 4 7 4 2" xfId="3739" xr:uid="{00000000-0005-0000-0000-0000FB020000}"/>
    <cellStyle name="Normal 3 2 4 7 4 2 2" xfId="7739" xr:uid="{00000000-0005-0000-0000-0000FB020000}"/>
    <cellStyle name="Normal 3 2 4 7 4 3" xfId="5738" xr:uid="{00000000-0005-0000-0000-0000FB020000}"/>
    <cellStyle name="Normal 3 2 4 7 5" xfId="2742" xr:uid="{00000000-0005-0000-0000-0000F4020000}"/>
    <cellStyle name="Normal 3 2 4 7 5 2" xfId="6740" xr:uid="{00000000-0005-0000-0000-0000F4020000}"/>
    <cellStyle name="Normal 3 2 4 7 6" xfId="4739" xr:uid="{00000000-0005-0000-0000-0000F4020000}"/>
    <cellStyle name="Normal 3 2 4 8" xfId="560" xr:uid="{00000000-0005-0000-0000-0000FB020000}"/>
    <cellStyle name="Normal 3 2 4 8 2" xfId="1058" xr:uid="{00000000-0005-0000-0000-0000FC020000}"/>
    <cellStyle name="Normal 3 2 4 8 2 2" xfId="2060" xr:uid="{00000000-0005-0000-0000-0000FD020000}"/>
    <cellStyle name="Normal 3 2 4 8 2 2 2" xfId="4282" xr:uid="{00000000-0005-0000-0000-0000FE020000}"/>
    <cellStyle name="Normal 3 2 4 8 2 2 2 2" xfId="8282" xr:uid="{00000000-0005-0000-0000-0000FE020000}"/>
    <cellStyle name="Normal 3 2 4 8 2 2 3" xfId="6281" xr:uid="{00000000-0005-0000-0000-0000FE020000}"/>
    <cellStyle name="Normal 3 2 4 8 2 3" xfId="3284" xr:uid="{00000000-0005-0000-0000-0000FD020000}"/>
    <cellStyle name="Normal 3 2 4 8 2 3 2" xfId="7283" xr:uid="{00000000-0005-0000-0000-0000FD020000}"/>
    <cellStyle name="Normal 3 2 4 8 2 4" xfId="5282" xr:uid="{00000000-0005-0000-0000-0000FD020000}"/>
    <cellStyle name="Normal 3 2 4 8 3" xfId="1564" xr:uid="{00000000-0005-0000-0000-0000FE020000}"/>
    <cellStyle name="Normal 3 2 4 8 3 2" xfId="3786" xr:uid="{00000000-0005-0000-0000-0000FF020000}"/>
    <cellStyle name="Normal 3 2 4 8 3 2 2" xfId="7786" xr:uid="{00000000-0005-0000-0000-0000FF020000}"/>
    <cellStyle name="Normal 3 2 4 8 3 3" xfId="5785" xr:uid="{00000000-0005-0000-0000-0000FF020000}"/>
    <cellStyle name="Normal 3 2 4 8 4" xfId="2789" xr:uid="{00000000-0005-0000-0000-0000FC020000}"/>
    <cellStyle name="Normal 3 2 4 8 4 2" xfId="6787" xr:uid="{00000000-0005-0000-0000-0000FC020000}"/>
    <cellStyle name="Normal 3 2 4 8 5" xfId="4786" xr:uid="{00000000-0005-0000-0000-0000FC020000}"/>
    <cellStyle name="Normal 3 2 4 9" xfId="810" xr:uid="{00000000-0005-0000-0000-0000FF020000}"/>
    <cellStyle name="Normal 3 2 4 9 2" xfId="1812" xr:uid="{00000000-0005-0000-0000-000000030000}"/>
    <cellStyle name="Normal 3 2 4 9 2 2" xfId="4034" xr:uid="{00000000-0005-0000-0000-000001030000}"/>
    <cellStyle name="Normal 3 2 4 9 2 2 2" xfId="8034" xr:uid="{00000000-0005-0000-0000-000001030000}"/>
    <cellStyle name="Normal 3 2 4 9 2 3" xfId="6033" xr:uid="{00000000-0005-0000-0000-000001030000}"/>
    <cellStyle name="Normal 3 2 4 9 3" xfId="3036" xr:uid="{00000000-0005-0000-0000-000000030000}"/>
    <cellStyle name="Normal 3 2 4 9 3 2" xfId="7035" xr:uid="{00000000-0005-0000-0000-000000030000}"/>
    <cellStyle name="Normal 3 2 4 9 4" xfId="5034" xr:uid="{00000000-0005-0000-0000-000000030000}"/>
    <cellStyle name="Normal 3 2 5" xfId="335" xr:uid="{00000000-0005-0000-0000-000001030000}"/>
    <cellStyle name="Normal 3 2 5 2" xfId="396" xr:uid="{00000000-0005-0000-0000-000002030000}"/>
    <cellStyle name="Normal 3 2 5 2 2" xfId="643" xr:uid="{00000000-0005-0000-0000-000003030000}"/>
    <cellStyle name="Normal 3 2 5 2 2 2" xfId="1140" xr:uid="{00000000-0005-0000-0000-000004030000}"/>
    <cellStyle name="Normal 3 2 5 2 2 2 2" xfId="2142" xr:uid="{00000000-0005-0000-0000-000005030000}"/>
    <cellStyle name="Normal 3 2 5 2 2 2 2 2" xfId="4364" xr:uid="{00000000-0005-0000-0000-000006030000}"/>
    <cellStyle name="Normal 3 2 5 2 2 2 2 2 2" xfId="8364" xr:uid="{00000000-0005-0000-0000-000006030000}"/>
    <cellStyle name="Normal 3 2 5 2 2 2 2 3" xfId="6363" xr:uid="{00000000-0005-0000-0000-000006030000}"/>
    <cellStyle name="Normal 3 2 5 2 2 2 3" xfId="3366" xr:uid="{00000000-0005-0000-0000-000005030000}"/>
    <cellStyle name="Normal 3 2 5 2 2 2 3 2" xfId="7365" xr:uid="{00000000-0005-0000-0000-000005030000}"/>
    <cellStyle name="Normal 3 2 5 2 2 2 4" xfId="5364" xr:uid="{00000000-0005-0000-0000-000005030000}"/>
    <cellStyle name="Normal 3 2 5 2 2 3" xfId="1646" xr:uid="{00000000-0005-0000-0000-000006030000}"/>
    <cellStyle name="Normal 3 2 5 2 2 3 2" xfId="3868" xr:uid="{00000000-0005-0000-0000-000007030000}"/>
    <cellStyle name="Normal 3 2 5 2 2 3 2 2" xfId="7868" xr:uid="{00000000-0005-0000-0000-000007030000}"/>
    <cellStyle name="Normal 3 2 5 2 2 3 3" xfId="5867" xr:uid="{00000000-0005-0000-0000-000007030000}"/>
    <cellStyle name="Normal 3 2 5 2 2 4" xfId="2870" xr:uid="{00000000-0005-0000-0000-000004030000}"/>
    <cellStyle name="Normal 3 2 5 2 2 4 2" xfId="6869" xr:uid="{00000000-0005-0000-0000-000004030000}"/>
    <cellStyle name="Normal 3 2 5 2 2 5" xfId="4868" xr:uid="{00000000-0005-0000-0000-000004030000}"/>
    <cellStyle name="Normal 3 2 5 2 3" xfId="892" xr:uid="{00000000-0005-0000-0000-000007030000}"/>
    <cellStyle name="Normal 3 2 5 2 3 2" xfId="1894" xr:uid="{00000000-0005-0000-0000-000008030000}"/>
    <cellStyle name="Normal 3 2 5 2 3 2 2" xfId="4116" xr:uid="{00000000-0005-0000-0000-000009030000}"/>
    <cellStyle name="Normal 3 2 5 2 3 2 2 2" xfId="8116" xr:uid="{00000000-0005-0000-0000-000009030000}"/>
    <cellStyle name="Normal 3 2 5 2 3 2 3" xfId="6115" xr:uid="{00000000-0005-0000-0000-000009030000}"/>
    <cellStyle name="Normal 3 2 5 2 3 3" xfId="3118" xr:uid="{00000000-0005-0000-0000-000008030000}"/>
    <cellStyle name="Normal 3 2 5 2 3 3 2" xfId="7117" xr:uid="{00000000-0005-0000-0000-000008030000}"/>
    <cellStyle name="Normal 3 2 5 2 3 4" xfId="5116" xr:uid="{00000000-0005-0000-0000-000008030000}"/>
    <cellStyle name="Normal 3 2 5 2 4" xfId="1398" xr:uid="{00000000-0005-0000-0000-000009030000}"/>
    <cellStyle name="Normal 3 2 5 2 4 2" xfId="3620" xr:uid="{00000000-0005-0000-0000-00000A030000}"/>
    <cellStyle name="Normal 3 2 5 2 4 2 2" xfId="7620" xr:uid="{00000000-0005-0000-0000-00000A030000}"/>
    <cellStyle name="Normal 3 2 5 2 4 3" xfId="5619" xr:uid="{00000000-0005-0000-0000-00000A030000}"/>
    <cellStyle name="Normal 3 2 5 2 5" xfId="2629" xr:uid="{00000000-0005-0000-0000-000003030000}"/>
    <cellStyle name="Normal 3 2 5 2 5 2" xfId="6621" xr:uid="{00000000-0005-0000-0000-000003030000}"/>
    <cellStyle name="Normal 3 2 5 2 6" xfId="4620" xr:uid="{00000000-0005-0000-0000-000003030000}"/>
    <cellStyle name="Normal 3 2 5 3" xfId="442" xr:uid="{00000000-0005-0000-0000-00000A030000}"/>
    <cellStyle name="Normal 3 2 5 3 2" xfId="689" xr:uid="{00000000-0005-0000-0000-00000B030000}"/>
    <cellStyle name="Normal 3 2 5 3 2 2" xfId="1186" xr:uid="{00000000-0005-0000-0000-00000C030000}"/>
    <cellStyle name="Normal 3 2 5 3 2 2 2" xfId="2188" xr:uid="{00000000-0005-0000-0000-00000D030000}"/>
    <cellStyle name="Normal 3 2 5 3 2 2 2 2" xfId="4410" xr:uid="{00000000-0005-0000-0000-00000E030000}"/>
    <cellStyle name="Normal 3 2 5 3 2 2 2 2 2" xfId="8410" xr:uid="{00000000-0005-0000-0000-00000E030000}"/>
    <cellStyle name="Normal 3 2 5 3 2 2 2 3" xfId="6409" xr:uid="{00000000-0005-0000-0000-00000E030000}"/>
    <cellStyle name="Normal 3 2 5 3 2 2 3" xfId="3412" xr:uid="{00000000-0005-0000-0000-00000D030000}"/>
    <cellStyle name="Normal 3 2 5 3 2 2 3 2" xfId="7411" xr:uid="{00000000-0005-0000-0000-00000D030000}"/>
    <cellStyle name="Normal 3 2 5 3 2 2 4" xfId="5410" xr:uid="{00000000-0005-0000-0000-00000D030000}"/>
    <cellStyle name="Normal 3 2 5 3 2 3" xfId="1692" xr:uid="{00000000-0005-0000-0000-00000E030000}"/>
    <cellStyle name="Normal 3 2 5 3 2 3 2" xfId="3914" xr:uid="{00000000-0005-0000-0000-00000F030000}"/>
    <cellStyle name="Normal 3 2 5 3 2 3 2 2" xfId="7914" xr:uid="{00000000-0005-0000-0000-00000F030000}"/>
    <cellStyle name="Normal 3 2 5 3 2 3 3" xfId="5913" xr:uid="{00000000-0005-0000-0000-00000F030000}"/>
    <cellStyle name="Normal 3 2 5 3 2 4" xfId="2916" xr:uid="{00000000-0005-0000-0000-00000C030000}"/>
    <cellStyle name="Normal 3 2 5 3 2 4 2" xfId="6915" xr:uid="{00000000-0005-0000-0000-00000C030000}"/>
    <cellStyle name="Normal 3 2 5 3 2 5" xfId="4914" xr:uid="{00000000-0005-0000-0000-00000C030000}"/>
    <cellStyle name="Normal 3 2 5 3 3" xfId="938" xr:uid="{00000000-0005-0000-0000-00000F030000}"/>
    <cellStyle name="Normal 3 2 5 3 3 2" xfId="1940" xr:uid="{00000000-0005-0000-0000-000010030000}"/>
    <cellStyle name="Normal 3 2 5 3 3 2 2" xfId="4162" xr:uid="{00000000-0005-0000-0000-000011030000}"/>
    <cellStyle name="Normal 3 2 5 3 3 2 2 2" xfId="8162" xr:uid="{00000000-0005-0000-0000-000011030000}"/>
    <cellStyle name="Normal 3 2 5 3 3 2 3" xfId="6161" xr:uid="{00000000-0005-0000-0000-000011030000}"/>
    <cellStyle name="Normal 3 2 5 3 3 3" xfId="3164" xr:uid="{00000000-0005-0000-0000-000010030000}"/>
    <cellStyle name="Normal 3 2 5 3 3 3 2" xfId="7163" xr:uid="{00000000-0005-0000-0000-000010030000}"/>
    <cellStyle name="Normal 3 2 5 3 3 4" xfId="5162" xr:uid="{00000000-0005-0000-0000-000010030000}"/>
    <cellStyle name="Normal 3 2 5 3 4" xfId="1444" xr:uid="{00000000-0005-0000-0000-000011030000}"/>
    <cellStyle name="Normal 3 2 5 3 4 2" xfId="3666" xr:uid="{00000000-0005-0000-0000-000012030000}"/>
    <cellStyle name="Normal 3 2 5 3 4 2 2" xfId="7666" xr:uid="{00000000-0005-0000-0000-000012030000}"/>
    <cellStyle name="Normal 3 2 5 3 4 3" xfId="5665" xr:uid="{00000000-0005-0000-0000-000012030000}"/>
    <cellStyle name="Normal 3 2 5 3 5" xfId="2669" xr:uid="{00000000-0005-0000-0000-00000B030000}"/>
    <cellStyle name="Normal 3 2 5 3 5 2" xfId="6667" xr:uid="{00000000-0005-0000-0000-00000B030000}"/>
    <cellStyle name="Normal 3 2 5 3 6" xfId="4666" xr:uid="{00000000-0005-0000-0000-00000B030000}"/>
    <cellStyle name="Normal 3 2 5 4" xfId="528" xr:uid="{00000000-0005-0000-0000-000012030000}"/>
    <cellStyle name="Normal 3 2 5 4 2" xfId="775" xr:uid="{00000000-0005-0000-0000-000013030000}"/>
    <cellStyle name="Normal 3 2 5 4 2 2" xfId="1273" xr:uid="{00000000-0005-0000-0000-000014030000}"/>
    <cellStyle name="Normal 3 2 5 4 2 2 2" xfId="2275" xr:uid="{00000000-0005-0000-0000-000015030000}"/>
    <cellStyle name="Normal 3 2 5 4 2 2 2 2" xfId="4497" xr:uid="{00000000-0005-0000-0000-000016030000}"/>
    <cellStyle name="Normal 3 2 5 4 2 2 2 2 2" xfId="8497" xr:uid="{00000000-0005-0000-0000-000016030000}"/>
    <cellStyle name="Normal 3 2 5 4 2 2 2 3" xfId="6496" xr:uid="{00000000-0005-0000-0000-000016030000}"/>
    <cellStyle name="Normal 3 2 5 4 2 2 3" xfId="3499" xr:uid="{00000000-0005-0000-0000-000015030000}"/>
    <cellStyle name="Normal 3 2 5 4 2 2 3 2" xfId="7498" xr:uid="{00000000-0005-0000-0000-000015030000}"/>
    <cellStyle name="Normal 3 2 5 4 2 2 4" xfId="5497" xr:uid="{00000000-0005-0000-0000-000015030000}"/>
    <cellStyle name="Normal 3 2 5 4 2 3" xfId="1779" xr:uid="{00000000-0005-0000-0000-000016030000}"/>
    <cellStyle name="Normal 3 2 5 4 2 3 2" xfId="4001" xr:uid="{00000000-0005-0000-0000-000017030000}"/>
    <cellStyle name="Normal 3 2 5 4 2 3 2 2" xfId="8001" xr:uid="{00000000-0005-0000-0000-000017030000}"/>
    <cellStyle name="Normal 3 2 5 4 2 3 3" xfId="6000" xr:uid="{00000000-0005-0000-0000-000017030000}"/>
    <cellStyle name="Normal 3 2 5 4 2 4" xfId="3003" xr:uid="{00000000-0005-0000-0000-000014030000}"/>
    <cellStyle name="Normal 3 2 5 4 2 4 2" xfId="7002" xr:uid="{00000000-0005-0000-0000-000014030000}"/>
    <cellStyle name="Normal 3 2 5 4 2 5" xfId="5001" xr:uid="{00000000-0005-0000-0000-000014030000}"/>
    <cellStyle name="Normal 3 2 5 4 3" xfId="1025" xr:uid="{00000000-0005-0000-0000-000017030000}"/>
    <cellStyle name="Normal 3 2 5 4 3 2" xfId="2027" xr:uid="{00000000-0005-0000-0000-000018030000}"/>
    <cellStyle name="Normal 3 2 5 4 3 2 2" xfId="4249" xr:uid="{00000000-0005-0000-0000-000019030000}"/>
    <cellStyle name="Normal 3 2 5 4 3 2 2 2" xfId="8249" xr:uid="{00000000-0005-0000-0000-000019030000}"/>
    <cellStyle name="Normal 3 2 5 4 3 2 3" xfId="6248" xr:uid="{00000000-0005-0000-0000-000019030000}"/>
    <cellStyle name="Normal 3 2 5 4 3 3" xfId="3251" xr:uid="{00000000-0005-0000-0000-000018030000}"/>
    <cellStyle name="Normal 3 2 5 4 3 3 2" xfId="7250" xr:uid="{00000000-0005-0000-0000-000018030000}"/>
    <cellStyle name="Normal 3 2 5 4 3 4" xfId="5249" xr:uid="{00000000-0005-0000-0000-000018030000}"/>
    <cellStyle name="Normal 3 2 5 4 4" xfId="1531" xr:uid="{00000000-0005-0000-0000-000019030000}"/>
    <cellStyle name="Normal 3 2 5 4 4 2" xfId="3753" xr:uid="{00000000-0005-0000-0000-00001A030000}"/>
    <cellStyle name="Normal 3 2 5 4 4 2 2" xfId="7753" xr:uid="{00000000-0005-0000-0000-00001A030000}"/>
    <cellStyle name="Normal 3 2 5 4 4 3" xfId="5752" xr:uid="{00000000-0005-0000-0000-00001A030000}"/>
    <cellStyle name="Normal 3 2 5 4 5" xfId="2756" xr:uid="{00000000-0005-0000-0000-000013030000}"/>
    <cellStyle name="Normal 3 2 5 4 5 2" xfId="6754" xr:uid="{00000000-0005-0000-0000-000013030000}"/>
    <cellStyle name="Normal 3 2 5 4 6" xfId="4753" xr:uid="{00000000-0005-0000-0000-000013030000}"/>
    <cellStyle name="Normal 3 2 5 5" xfId="574" xr:uid="{00000000-0005-0000-0000-00001A030000}"/>
    <cellStyle name="Normal 3 2 5 5 2" xfId="1072" xr:uid="{00000000-0005-0000-0000-00001B030000}"/>
    <cellStyle name="Normal 3 2 5 5 2 2" xfId="2074" xr:uid="{00000000-0005-0000-0000-00001C030000}"/>
    <cellStyle name="Normal 3 2 5 5 2 2 2" xfId="4296" xr:uid="{00000000-0005-0000-0000-00001D030000}"/>
    <cellStyle name="Normal 3 2 5 5 2 2 2 2" xfId="8296" xr:uid="{00000000-0005-0000-0000-00001D030000}"/>
    <cellStyle name="Normal 3 2 5 5 2 2 3" xfId="6295" xr:uid="{00000000-0005-0000-0000-00001D030000}"/>
    <cellStyle name="Normal 3 2 5 5 2 3" xfId="3298" xr:uid="{00000000-0005-0000-0000-00001C030000}"/>
    <cellStyle name="Normal 3 2 5 5 2 3 2" xfId="7297" xr:uid="{00000000-0005-0000-0000-00001C030000}"/>
    <cellStyle name="Normal 3 2 5 5 2 4" xfId="5296" xr:uid="{00000000-0005-0000-0000-00001C030000}"/>
    <cellStyle name="Normal 3 2 5 5 3" xfId="1578" xr:uid="{00000000-0005-0000-0000-00001D030000}"/>
    <cellStyle name="Normal 3 2 5 5 3 2" xfId="3800" xr:uid="{00000000-0005-0000-0000-00001E030000}"/>
    <cellStyle name="Normal 3 2 5 5 3 2 2" xfId="7800" xr:uid="{00000000-0005-0000-0000-00001E030000}"/>
    <cellStyle name="Normal 3 2 5 5 3 3" xfId="5799" xr:uid="{00000000-0005-0000-0000-00001E030000}"/>
    <cellStyle name="Normal 3 2 5 5 4" xfId="2803" xr:uid="{00000000-0005-0000-0000-00001B030000}"/>
    <cellStyle name="Normal 3 2 5 5 4 2" xfId="6801" xr:uid="{00000000-0005-0000-0000-00001B030000}"/>
    <cellStyle name="Normal 3 2 5 5 5" xfId="4800" xr:uid="{00000000-0005-0000-0000-00001B030000}"/>
    <cellStyle name="Normal 3 2 5 6" xfId="824" xr:uid="{00000000-0005-0000-0000-00001E030000}"/>
    <cellStyle name="Normal 3 2 5 6 2" xfId="1826" xr:uid="{00000000-0005-0000-0000-00001F030000}"/>
    <cellStyle name="Normal 3 2 5 6 2 2" xfId="4048" xr:uid="{00000000-0005-0000-0000-000020030000}"/>
    <cellStyle name="Normal 3 2 5 6 2 2 2" xfId="8048" xr:uid="{00000000-0005-0000-0000-000020030000}"/>
    <cellStyle name="Normal 3 2 5 6 2 3" xfId="6047" xr:uid="{00000000-0005-0000-0000-000020030000}"/>
    <cellStyle name="Normal 3 2 5 6 3" xfId="3050" xr:uid="{00000000-0005-0000-0000-00001F030000}"/>
    <cellStyle name="Normal 3 2 5 6 3 2" xfId="7049" xr:uid="{00000000-0005-0000-0000-00001F030000}"/>
    <cellStyle name="Normal 3 2 5 6 4" xfId="5048" xr:uid="{00000000-0005-0000-0000-00001F030000}"/>
    <cellStyle name="Normal 3 2 5 7" xfId="1330" xr:uid="{00000000-0005-0000-0000-000020030000}"/>
    <cellStyle name="Normal 3 2 5 7 2" xfId="3552" xr:uid="{00000000-0005-0000-0000-000021030000}"/>
    <cellStyle name="Normal 3 2 5 7 2 2" xfId="7552" xr:uid="{00000000-0005-0000-0000-000021030000}"/>
    <cellStyle name="Normal 3 2 5 7 3" xfId="5551" xr:uid="{00000000-0005-0000-0000-000021030000}"/>
    <cellStyle name="Normal 3 2 5 8" xfId="2565" xr:uid="{00000000-0005-0000-0000-000002030000}"/>
    <cellStyle name="Normal 3 2 5 8 2" xfId="6553" xr:uid="{00000000-0005-0000-0000-000002030000}"/>
    <cellStyle name="Normal 3 2 5 9" xfId="4552" xr:uid="{00000000-0005-0000-0000-000002030000}"/>
    <cellStyle name="Normal 3 2 6" xfId="353" xr:uid="{00000000-0005-0000-0000-000021030000}"/>
    <cellStyle name="Normal 3 2 6 2" xfId="464" xr:uid="{00000000-0005-0000-0000-000022030000}"/>
    <cellStyle name="Normal 3 2 6 2 2" xfId="711" xr:uid="{00000000-0005-0000-0000-000023030000}"/>
    <cellStyle name="Normal 3 2 6 2 2 2" xfId="1208" xr:uid="{00000000-0005-0000-0000-000024030000}"/>
    <cellStyle name="Normal 3 2 6 2 2 2 2" xfId="2210" xr:uid="{00000000-0005-0000-0000-000025030000}"/>
    <cellStyle name="Normal 3 2 6 2 2 2 2 2" xfId="4432" xr:uid="{00000000-0005-0000-0000-000026030000}"/>
    <cellStyle name="Normal 3 2 6 2 2 2 2 2 2" xfId="8432" xr:uid="{00000000-0005-0000-0000-000026030000}"/>
    <cellStyle name="Normal 3 2 6 2 2 2 2 3" xfId="6431" xr:uid="{00000000-0005-0000-0000-000026030000}"/>
    <cellStyle name="Normal 3 2 6 2 2 2 3" xfId="3434" xr:uid="{00000000-0005-0000-0000-000025030000}"/>
    <cellStyle name="Normal 3 2 6 2 2 2 3 2" xfId="7433" xr:uid="{00000000-0005-0000-0000-000025030000}"/>
    <cellStyle name="Normal 3 2 6 2 2 2 4" xfId="5432" xr:uid="{00000000-0005-0000-0000-000025030000}"/>
    <cellStyle name="Normal 3 2 6 2 2 3" xfId="1714" xr:uid="{00000000-0005-0000-0000-000026030000}"/>
    <cellStyle name="Normal 3 2 6 2 2 3 2" xfId="3936" xr:uid="{00000000-0005-0000-0000-000027030000}"/>
    <cellStyle name="Normal 3 2 6 2 2 3 2 2" xfId="7936" xr:uid="{00000000-0005-0000-0000-000027030000}"/>
    <cellStyle name="Normal 3 2 6 2 2 3 3" xfId="5935" xr:uid="{00000000-0005-0000-0000-000027030000}"/>
    <cellStyle name="Normal 3 2 6 2 2 4" xfId="2938" xr:uid="{00000000-0005-0000-0000-000024030000}"/>
    <cellStyle name="Normal 3 2 6 2 2 4 2" xfId="6937" xr:uid="{00000000-0005-0000-0000-000024030000}"/>
    <cellStyle name="Normal 3 2 6 2 2 5" xfId="4936" xr:uid="{00000000-0005-0000-0000-000024030000}"/>
    <cellStyle name="Normal 3 2 6 2 3" xfId="960" xr:uid="{00000000-0005-0000-0000-000027030000}"/>
    <cellStyle name="Normal 3 2 6 2 3 2" xfId="1962" xr:uid="{00000000-0005-0000-0000-000028030000}"/>
    <cellStyle name="Normal 3 2 6 2 3 2 2" xfId="4184" xr:uid="{00000000-0005-0000-0000-000029030000}"/>
    <cellStyle name="Normal 3 2 6 2 3 2 2 2" xfId="8184" xr:uid="{00000000-0005-0000-0000-000029030000}"/>
    <cellStyle name="Normal 3 2 6 2 3 2 3" xfId="6183" xr:uid="{00000000-0005-0000-0000-000029030000}"/>
    <cellStyle name="Normal 3 2 6 2 3 3" xfId="3186" xr:uid="{00000000-0005-0000-0000-000028030000}"/>
    <cellStyle name="Normal 3 2 6 2 3 3 2" xfId="7185" xr:uid="{00000000-0005-0000-0000-000028030000}"/>
    <cellStyle name="Normal 3 2 6 2 3 4" xfId="5184" xr:uid="{00000000-0005-0000-0000-000028030000}"/>
    <cellStyle name="Normal 3 2 6 2 4" xfId="1466" xr:uid="{00000000-0005-0000-0000-000029030000}"/>
    <cellStyle name="Normal 3 2 6 2 4 2" xfId="3688" xr:uid="{00000000-0005-0000-0000-00002A030000}"/>
    <cellStyle name="Normal 3 2 6 2 4 2 2" xfId="7688" xr:uid="{00000000-0005-0000-0000-00002A030000}"/>
    <cellStyle name="Normal 3 2 6 2 4 3" xfId="5687" xr:uid="{00000000-0005-0000-0000-00002A030000}"/>
    <cellStyle name="Normal 3 2 6 2 5" xfId="2691" xr:uid="{00000000-0005-0000-0000-000023030000}"/>
    <cellStyle name="Normal 3 2 6 2 5 2" xfId="6689" xr:uid="{00000000-0005-0000-0000-000023030000}"/>
    <cellStyle name="Normal 3 2 6 2 6" xfId="4688" xr:uid="{00000000-0005-0000-0000-000023030000}"/>
    <cellStyle name="Normal 3 2 6 3" xfId="596" xr:uid="{00000000-0005-0000-0000-00002A030000}"/>
    <cellStyle name="Normal 3 2 6 3 2" xfId="1094" xr:uid="{00000000-0005-0000-0000-00002B030000}"/>
    <cellStyle name="Normal 3 2 6 3 2 2" xfId="2096" xr:uid="{00000000-0005-0000-0000-00002C030000}"/>
    <cellStyle name="Normal 3 2 6 3 2 2 2" xfId="4318" xr:uid="{00000000-0005-0000-0000-00002D030000}"/>
    <cellStyle name="Normal 3 2 6 3 2 2 2 2" xfId="8318" xr:uid="{00000000-0005-0000-0000-00002D030000}"/>
    <cellStyle name="Normal 3 2 6 3 2 2 3" xfId="6317" xr:uid="{00000000-0005-0000-0000-00002D030000}"/>
    <cellStyle name="Normal 3 2 6 3 2 3" xfId="3320" xr:uid="{00000000-0005-0000-0000-00002C030000}"/>
    <cellStyle name="Normal 3 2 6 3 2 3 2" xfId="7319" xr:uid="{00000000-0005-0000-0000-00002C030000}"/>
    <cellStyle name="Normal 3 2 6 3 2 4" xfId="5318" xr:uid="{00000000-0005-0000-0000-00002C030000}"/>
    <cellStyle name="Normal 3 2 6 3 3" xfId="1600" xr:uid="{00000000-0005-0000-0000-00002D030000}"/>
    <cellStyle name="Normal 3 2 6 3 3 2" xfId="3822" xr:uid="{00000000-0005-0000-0000-00002E030000}"/>
    <cellStyle name="Normal 3 2 6 3 3 2 2" xfId="7822" xr:uid="{00000000-0005-0000-0000-00002E030000}"/>
    <cellStyle name="Normal 3 2 6 3 3 3" xfId="5821" xr:uid="{00000000-0005-0000-0000-00002E030000}"/>
    <cellStyle name="Normal 3 2 6 3 4" xfId="2825" xr:uid="{00000000-0005-0000-0000-00002B030000}"/>
    <cellStyle name="Normal 3 2 6 3 4 2" xfId="6823" xr:uid="{00000000-0005-0000-0000-00002B030000}"/>
    <cellStyle name="Normal 3 2 6 3 5" xfId="4822" xr:uid="{00000000-0005-0000-0000-00002B030000}"/>
    <cellStyle name="Normal 3 2 6 4" xfId="846" xr:uid="{00000000-0005-0000-0000-00002E030000}"/>
    <cellStyle name="Normal 3 2 6 4 2" xfId="1848" xr:uid="{00000000-0005-0000-0000-00002F030000}"/>
    <cellStyle name="Normal 3 2 6 4 2 2" xfId="4070" xr:uid="{00000000-0005-0000-0000-000030030000}"/>
    <cellStyle name="Normal 3 2 6 4 2 2 2" xfId="8070" xr:uid="{00000000-0005-0000-0000-000030030000}"/>
    <cellStyle name="Normal 3 2 6 4 2 3" xfId="6069" xr:uid="{00000000-0005-0000-0000-000030030000}"/>
    <cellStyle name="Normal 3 2 6 4 3" xfId="3072" xr:uid="{00000000-0005-0000-0000-00002F030000}"/>
    <cellStyle name="Normal 3 2 6 4 3 2" xfId="7071" xr:uid="{00000000-0005-0000-0000-00002F030000}"/>
    <cellStyle name="Normal 3 2 6 4 4" xfId="5070" xr:uid="{00000000-0005-0000-0000-00002F030000}"/>
    <cellStyle name="Normal 3 2 6 5" xfId="1352" xr:uid="{00000000-0005-0000-0000-000030030000}"/>
    <cellStyle name="Normal 3 2 6 5 2" xfId="3574" xr:uid="{00000000-0005-0000-0000-000031030000}"/>
    <cellStyle name="Normal 3 2 6 5 2 2" xfId="7574" xr:uid="{00000000-0005-0000-0000-000031030000}"/>
    <cellStyle name="Normal 3 2 6 5 3" xfId="5573" xr:uid="{00000000-0005-0000-0000-000031030000}"/>
    <cellStyle name="Normal 3 2 6 6" xfId="2586" xr:uid="{00000000-0005-0000-0000-000022030000}"/>
    <cellStyle name="Normal 3 2 6 6 2" xfId="6575" xr:uid="{00000000-0005-0000-0000-000022030000}"/>
    <cellStyle name="Normal 3 2 6 7" xfId="4574" xr:uid="{00000000-0005-0000-0000-000022030000}"/>
    <cellStyle name="Normal 3 2 7" xfId="373" xr:uid="{00000000-0005-0000-0000-000031030000}"/>
    <cellStyle name="Normal 3 2 7 2" xfId="619" xr:uid="{00000000-0005-0000-0000-000032030000}"/>
    <cellStyle name="Normal 3 2 7 2 2" xfId="1116" xr:uid="{00000000-0005-0000-0000-000033030000}"/>
    <cellStyle name="Normal 3 2 7 2 2 2" xfId="2118" xr:uid="{00000000-0005-0000-0000-000034030000}"/>
    <cellStyle name="Normal 3 2 7 2 2 2 2" xfId="4340" xr:uid="{00000000-0005-0000-0000-000035030000}"/>
    <cellStyle name="Normal 3 2 7 2 2 2 2 2" xfId="8340" xr:uid="{00000000-0005-0000-0000-000035030000}"/>
    <cellStyle name="Normal 3 2 7 2 2 2 3" xfId="6339" xr:uid="{00000000-0005-0000-0000-000035030000}"/>
    <cellStyle name="Normal 3 2 7 2 2 3" xfId="3342" xr:uid="{00000000-0005-0000-0000-000034030000}"/>
    <cellStyle name="Normal 3 2 7 2 2 3 2" xfId="7341" xr:uid="{00000000-0005-0000-0000-000034030000}"/>
    <cellStyle name="Normal 3 2 7 2 2 4" xfId="5340" xr:uid="{00000000-0005-0000-0000-000034030000}"/>
    <cellStyle name="Normal 3 2 7 2 3" xfId="1622" xr:uid="{00000000-0005-0000-0000-000035030000}"/>
    <cellStyle name="Normal 3 2 7 2 3 2" xfId="3844" xr:uid="{00000000-0005-0000-0000-000036030000}"/>
    <cellStyle name="Normal 3 2 7 2 3 2 2" xfId="7844" xr:uid="{00000000-0005-0000-0000-000036030000}"/>
    <cellStyle name="Normal 3 2 7 2 3 3" xfId="5843" xr:uid="{00000000-0005-0000-0000-000036030000}"/>
    <cellStyle name="Normal 3 2 7 2 4" xfId="2846" xr:uid="{00000000-0005-0000-0000-000033030000}"/>
    <cellStyle name="Normal 3 2 7 2 4 2" xfId="6845" xr:uid="{00000000-0005-0000-0000-000033030000}"/>
    <cellStyle name="Normal 3 2 7 2 5" xfId="4844" xr:uid="{00000000-0005-0000-0000-000033030000}"/>
    <cellStyle name="Normal 3 2 7 3" xfId="868" xr:uid="{00000000-0005-0000-0000-000036030000}"/>
    <cellStyle name="Normal 3 2 7 3 2" xfId="1870" xr:uid="{00000000-0005-0000-0000-000037030000}"/>
    <cellStyle name="Normal 3 2 7 3 2 2" xfId="4092" xr:uid="{00000000-0005-0000-0000-000038030000}"/>
    <cellStyle name="Normal 3 2 7 3 2 2 2" xfId="8092" xr:uid="{00000000-0005-0000-0000-000038030000}"/>
    <cellStyle name="Normal 3 2 7 3 2 3" xfId="6091" xr:uid="{00000000-0005-0000-0000-000038030000}"/>
    <cellStyle name="Normal 3 2 7 3 3" xfId="3094" xr:uid="{00000000-0005-0000-0000-000037030000}"/>
    <cellStyle name="Normal 3 2 7 3 3 2" xfId="7093" xr:uid="{00000000-0005-0000-0000-000037030000}"/>
    <cellStyle name="Normal 3 2 7 3 4" xfId="5092" xr:uid="{00000000-0005-0000-0000-000037030000}"/>
    <cellStyle name="Normal 3 2 7 4" xfId="1374" xr:uid="{00000000-0005-0000-0000-000038030000}"/>
    <cellStyle name="Normal 3 2 7 4 2" xfId="3596" xr:uid="{00000000-0005-0000-0000-000039030000}"/>
    <cellStyle name="Normal 3 2 7 4 2 2" xfId="7596" xr:uid="{00000000-0005-0000-0000-000039030000}"/>
    <cellStyle name="Normal 3 2 7 4 3" xfId="5595" xr:uid="{00000000-0005-0000-0000-000039030000}"/>
    <cellStyle name="Normal 3 2 7 5" xfId="2607" xr:uid="{00000000-0005-0000-0000-000032030000}"/>
    <cellStyle name="Normal 3 2 7 5 2" xfId="6597" xr:uid="{00000000-0005-0000-0000-000032030000}"/>
    <cellStyle name="Normal 3 2 7 6" xfId="4596" xr:uid="{00000000-0005-0000-0000-000032030000}"/>
    <cellStyle name="Normal 3 2 8" xfId="418" xr:uid="{00000000-0005-0000-0000-000039030000}"/>
    <cellStyle name="Normal 3 2 8 2" xfId="665" xr:uid="{00000000-0005-0000-0000-00003A030000}"/>
    <cellStyle name="Normal 3 2 8 2 2" xfId="1162" xr:uid="{00000000-0005-0000-0000-00003B030000}"/>
    <cellStyle name="Normal 3 2 8 2 2 2" xfId="2164" xr:uid="{00000000-0005-0000-0000-00003C030000}"/>
    <cellStyle name="Normal 3 2 8 2 2 2 2" xfId="4386" xr:uid="{00000000-0005-0000-0000-00003D030000}"/>
    <cellStyle name="Normal 3 2 8 2 2 2 2 2" xfId="8386" xr:uid="{00000000-0005-0000-0000-00003D030000}"/>
    <cellStyle name="Normal 3 2 8 2 2 2 3" xfId="6385" xr:uid="{00000000-0005-0000-0000-00003D030000}"/>
    <cellStyle name="Normal 3 2 8 2 2 3" xfId="3388" xr:uid="{00000000-0005-0000-0000-00003C030000}"/>
    <cellStyle name="Normal 3 2 8 2 2 3 2" xfId="7387" xr:uid="{00000000-0005-0000-0000-00003C030000}"/>
    <cellStyle name="Normal 3 2 8 2 2 4" xfId="5386" xr:uid="{00000000-0005-0000-0000-00003C030000}"/>
    <cellStyle name="Normal 3 2 8 2 3" xfId="1668" xr:uid="{00000000-0005-0000-0000-00003D030000}"/>
    <cellStyle name="Normal 3 2 8 2 3 2" xfId="3890" xr:uid="{00000000-0005-0000-0000-00003E030000}"/>
    <cellStyle name="Normal 3 2 8 2 3 2 2" xfId="7890" xr:uid="{00000000-0005-0000-0000-00003E030000}"/>
    <cellStyle name="Normal 3 2 8 2 3 3" xfId="5889" xr:uid="{00000000-0005-0000-0000-00003E030000}"/>
    <cellStyle name="Normal 3 2 8 2 4" xfId="2892" xr:uid="{00000000-0005-0000-0000-00003B030000}"/>
    <cellStyle name="Normal 3 2 8 2 4 2" xfId="6891" xr:uid="{00000000-0005-0000-0000-00003B030000}"/>
    <cellStyle name="Normal 3 2 8 2 5" xfId="4890" xr:uid="{00000000-0005-0000-0000-00003B030000}"/>
    <cellStyle name="Normal 3 2 8 3" xfId="914" xr:uid="{00000000-0005-0000-0000-00003E030000}"/>
    <cellStyle name="Normal 3 2 8 3 2" xfId="1916" xr:uid="{00000000-0005-0000-0000-00003F030000}"/>
    <cellStyle name="Normal 3 2 8 3 2 2" xfId="4138" xr:uid="{00000000-0005-0000-0000-000040030000}"/>
    <cellStyle name="Normal 3 2 8 3 2 2 2" xfId="8138" xr:uid="{00000000-0005-0000-0000-000040030000}"/>
    <cellStyle name="Normal 3 2 8 3 2 3" xfId="6137" xr:uid="{00000000-0005-0000-0000-000040030000}"/>
    <cellStyle name="Normal 3 2 8 3 3" xfId="3140" xr:uid="{00000000-0005-0000-0000-00003F030000}"/>
    <cellStyle name="Normal 3 2 8 3 3 2" xfId="7139" xr:uid="{00000000-0005-0000-0000-00003F030000}"/>
    <cellStyle name="Normal 3 2 8 3 4" xfId="5138" xr:uid="{00000000-0005-0000-0000-00003F030000}"/>
    <cellStyle name="Normal 3 2 8 4" xfId="1420" xr:uid="{00000000-0005-0000-0000-000040030000}"/>
    <cellStyle name="Normal 3 2 8 4 2" xfId="3642" xr:uid="{00000000-0005-0000-0000-000041030000}"/>
    <cellStyle name="Normal 3 2 8 4 2 2" xfId="7642" xr:uid="{00000000-0005-0000-0000-000041030000}"/>
    <cellStyle name="Normal 3 2 8 4 3" xfId="5641" xr:uid="{00000000-0005-0000-0000-000041030000}"/>
    <cellStyle name="Normal 3 2 8 5" xfId="2646" xr:uid="{00000000-0005-0000-0000-00003A030000}"/>
    <cellStyle name="Normal 3 2 8 5 2" xfId="6643" xr:uid="{00000000-0005-0000-0000-00003A030000}"/>
    <cellStyle name="Normal 3 2 8 6" xfId="4642" xr:uid="{00000000-0005-0000-0000-00003A030000}"/>
    <cellStyle name="Normal 3 2 9" xfId="484" xr:uid="{00000000-0005-0000-0000-000041030000}"/>
    <cellStyle name="Normal 3 2 9 2" xfId="731" xr:uid="{00000000-0005-0000-0000-000042030000}"/>
    <cellStyle name="Normal 3 2 9 2 2" xfId="1228" xr:uid="{00000000-0005-0000-0000-000043030000}"/>
    <cellStyle name="Normal 3 2 9 2 2 2" xfId="2230" xr:uid="{00000000-0005-0000-0000-000044030000}"/>
    <cellStyle name="Normal 3 2 9 2 2 2 2" xfId="4452" xr:uid="{00000000-0005-0000-0000-000045030000}"/>
    <cellStyle name="Normal 3 2 9 2 2 2 2 2" xfId="8452" xr:uid="{00000000-0005-0000-0000-000045030000}"/>
    <cellStyle name="Normal 3 2 9 2 2 2 3" xfId="6451" xr:uid="{00000000-0005-0000-0000-000045030000}"/>
    <cellStyle name="Normal 3 2 9 2 2 3" xfId="3454" xr:uid="{00000000-0005-0000-0000-000044030000}"/>
    <cellStyle name="Normal 3 2 9 2 2 3 2" xfId="7453" xr:uid="{00000000-0005-0000-0000-000044030000}"/>
    <cellStyle name="Normal 3 2 9 2 2 4" xfId="5452" xr:uid="{00000000-0005-0000-0000-000044030000}"/>
    <cellStyle name="Normal 3 2 9 2 3" xfId="1734" xr:uid="{00000000-0005-0000-0000-000045030000}"/>
    <cellStyle name="Normal 3 2 9 2 3 2" xfId="3956" xr:uid="{00000000-0005-0000-0000-000046030000}"/>
    <cellStyle name="Normal 3 2 9 2 3 2 2" xfId="7956" xr:uid="{00000000-0005-0000-0000-000046030000}"/>
    <cellStyle name="Normal 3 2 9 2 3 3" xfId="5955" xr:uid="{00000000-0005-0000-0000-000046030000}"/>
    <cellStyle name="Normal 3 2 9 2 4" xfId="2958" xr:uid="{00000000-0005-0000-0000-000043030000}"/>
    <cellStyle name="Normal 3 2 9 2 4 2" xfId="6957" xr:uid="{00000000-0005-0000-0000-000043030000}"/>
    <cellStyle name="Normal 3 2 9 2 5" xfId="4956" xr:uid="{00000000-0005-0000-0000-000043030000}"/>
    <cellStyle name="Normal 3 2 9 3" xfId="980" xr:uid="{00000000-0005-0000-0000-000046030000}"/>
    <cellStyle name="Normal 3 2 9 3 2" xfId="1982" xr:uid="{00000000-0005-0000-0000-000047030000}"/>
    <cellStyle name="Normal 3 2 9 3 2 2" xfId="4204" xr:uid="{00000000-0005-0000-0000-000048030000}"/>
    <cellStyle name="Normal 3 2 9 3 2 2 2" xfId="8204" xr:uid="{00000000-0005-0000-0000-000048030000}"/>
    <cellStyle name="Normal 3 2 9 3 2 3" xfId="6203" xr:uid="{00000000-0005-0000-0000-000048030000}"/>
    <cellStyle name="Normal 3 2 9 3 3" xfId="3206" xr:uid="{00000000-0005-0000-0000-000047030000}"/>
    <cellStyle name="Normal 3 2 9 3 3 2" xfId="7205" xr:uid="{00000000-0005-0000-0000-000047030000}"/>
    <cellStyle name="Normal 3 2 9 3 4" xfId="5204" xr:uid="{00000000-0005-0000-0000-000047030000}"/>
    <cellStyle name="Normal 3 2 9 4" xfId="1486" xr:uid="{00000000-0005-0000-0000-000048030000}"/>
    <cellStyle name="Normal 3 2 9 4 2" xfId="3708" xr:uid="{00000000-0005-0000-0000-000049030000}"/>
    <cellStyle name="Normal 3 2 9 4 2 2" xfId="7708" xr:uid="{00000000-0005-0000-0000-000049030000}"/>
    <cellStyle name="Normal 3 2 9 4 3" xfId="5707" xr:uid="{00000000-0005-0000-0000-000049030000}"/>
    <cellStyle name="Normal 3 2 9 5" xfId="2711" xr:uid="{00000000-0005-0000-0000-000042030000}"/>
    <cellStyle name="Normal 3 2 9 5 2" xfId="6709" xr:uid="{00000000-0005-0000-0000-000042030000}"/>
    <cellStyle name="Normal 3 2 9 6" xfId="4708" xr:uid="{00000000-0005-0000-0000-000042030000}"/>
    <cellStyle name="Normal 3 3" xfId="254" xr:uid="{00000000-0005-0000-0000-000061000000}"/>
    <cellStyle name="Normal 3 3 10" xfId="551" xr:uid="{00000000-0005-0000-0000-00004A030000}"/>
    <cellStyle name="Normal 3 3 10 2" xfId="1049" xr:uid="{00000000-0005-0000-0000-00004B030000}"/>
    <cellStyle name="Normal 3 3 10 2 2" xfId="2051" xr:uid="{00000000-0005-0000-0000-00004C030000}"/>
    <cellStyle name="Normal 3 3 10 2 2 2" xfId="4273" xr:uid="{00000000-0005-0000-0000-00004D030000}"/>
    <cellStyle name="Normal 3 3 10 2 2 2 2" xfId="8273" xr:uid="{00000000-0005-0000-0000-00004D030000}"/>
    <cellStyle name="Normal 3 3 10 2 2 3" xfId="6272" xr:uid="{00000000-0005-0000-0000-00004D030000}"/>
    <cellStyle name="Normal 3 3 10 2 3" xfId="3275" xr:uid="{00000000-0005-0000-0000-00004C030000}"/>
    <cellStyle name="Normal 3 3 10 2 3 2" xfId="7274" xr:uid="{00000000-0005-0000-0000-00004C030000}"/>
    <cellStyle name="Normal 3 3 10 2 4" xfId="5273" xr:uid="{00000000-0005-0000-0000-00004C030000}"/>
    <cellStyle name="Normal 3 3 10 3" xfId="1555" xr:uid="{00000000-0005-0000-0000-00004D030000}"/>
    <cellStyle name="Normal 3 3 10 3 2" xfId="3777" xr:uid="{00000000-0005-0000-0000-00004E030000}"/>
    <cellStyle name="Normal 3 3 10 3 2 2" xfId="7777" xr:uid="{00000000-0005-0000-0000-00004E030000}"/>
    <cellStyle name="Normal 3 3 10 3 3" xfId="5776" xr:uid="{00000000-0005-0000-0000-00004E030000}"/>
    <cellStyle name="Normal 3 3 10 4" xfId="2780" xr:uid="{00000000-0005-0000-0000-00004B030000}"/>
    <cellStyle name="Normal 3 3 10 4 2" xfId="6778" xr:uid="{00000000-0005-0000-0000-00004B030000}"/>
    <cellStyle name="Normal 3 3 10 5" xfId="4777" xr:uid="{00000000-0005-0000-0000-00004B030000}"/>
    <cellStyle name="Normal 3 3 11" xfId="801" xr:uid="{00000000-0005-0000-0000-00004E030000}"/>
    <cellStyle name="Normal 3 3 11 2" xfId="1803" xr:uid="{00000000-0005-0000-0000-00004F030000}"/>
    <cellStyle name="Normal 3 3 11 2 2" xfId="4025" xr:uid="{00000000-0005-0000-0000-000050030000}"/>
    <cellStyle name="Normal 3 3 11 2 2 2" xfId="8025" xr:uid="{00000000-0005-0000-0000-000050030000}"/>
    <cellStyle name="Normal 3 3 11 2 3" xfId="6024" xr:uid="{00000000-0005-0000-0000-000050030000}"/>
    <cellStyle name="Normal 3 3 11 3" xfId="3027" xr:uid="{00000000-0005-0000-0000-00004F030000}"/>
    <cellStyle name="Normal 3 3 11 3 2" xfId="7026" xr:uid="{00000000-0005-0000-0000-00004F030000}"/>
    <cellStyle name="Normal 3 3 11 4" xfId="5025" xr:uid="{00000000-0005-0000-0000-00004F030000}"/>
    <cellStyle name="Normal 3 3 12" xfId="1307" xr:uid="{00000000-0005-0000-0000-000050030000}"/>
    <cellStyle name="Normal 3 3 12 2" xfId="3529" xr:uid="{00000000-0005-0000-0000-000051030000}"/>
    <cellStyle name="Normal 3 3 12 2 2" xfId="7529" xr:uid="{00000000-0005-0000-0000-000051030000}"/>
    <cellStyle name="Normal 3 3 12 3" xfId="5528" xr:uid="{00000000-0005-0000-0000-000051030000}"/>
    <cellStyle name="Normal 3 3 13" xfId="317" xr:uid="{00000000-0005-0000-0000-000049030000}"/>
    <cellStyle name="Normal 3 3 13 2" xfId="6530" xr:uid="{00000000-0005-0000-0000-00004A030000}"/>
    <cellStyle name="Normal 3 3 14" xfId="4529" xr:uid="{00000000-0005-0000-0000-00004A030000}"/>
    <cellStyle name="Normal 3 3 2" xfId="320" xr:uid="{00000000-0005-0000-0000-000051030000}"/>
    <cellStyle name="Normal 3 3 2 10" xfId="805" xr:uid="{00000000-0005-0000-0000-000052030000}"/>
    <cellStyle name="Normal 3 3 2 10 2" xfId="1807" xr:uid="{00000000-0005-0000-0000-000053030000}"/>
    <cellStyle name="Normal 3 3 2 10 2 2" xfId="4029" xr:uid="{00000000-0005-0000-0000-000054030000}"/>
    <cellStyle name="Normal 3 3 2 10 2 2 2" xfId="8029" xr:uid="{00000000-0005-0000-0000-000054030000}"/>
    <cellStyle name="Normal 3 3 2 10 2 3" xfId="6028" xr:uid="{00000000-0005-0000-0000-000054030000}"/>
    <cellStyle name="Normal 3 3 2 10 3" xfId="3031" xr:uid="{00000000-0005-0000-0000-000053030000}"/>
    <cellStyle name="Normal 3 3 2 10 3 2" xfId="7030" xr:uid="{00000000-0005-0000-0000-000053030000}"/>
    <cellStyle name="Normal 3 3 2 10 4" xfId="5029" xr:uid="{00000000-0005-0000-0000-000053030000}"/>
    <cellStyle name="Normal 3 3 2 11" xfId="1311" xr:uid="{00000000-0005-0000-0000-000054030000}"/>
    <cellStyle name="Normal 3 3 2 11 2" xfId="3533" xr:uid="{00000000-0005-0000-0000-000055030000}"/>
    <cellStyle name="Normal 3 3 2 11 2 2" xfId="7533" xr:uid="{00000000-0005-0000-0000-000055030000}"/>
    <cellStyle name="Normal 3 3 2 11 3" xfId="5532" xr:uid="{00000000-0005-0000-0000-000055030000}"/>
    <cellStyle name="Normal 3 3 2 12" xfId="2547" xr:uid="{00000000-0005-0000-0000-000052030000}"/>
    <cellStyle name="Normal 3 3 2 12 2" xfId="6534" xr:uid="{00000000-0005-0000-0000-000052030000}"/>
    <cellStyle name="Normal 3 3 2 13" xfId="4533" xr:uid="{00000000-0005-0000-0000-000052030000}"/>
    <cellStyle name="Normal 3 3 2 2" xfId="331" xr:uid="{00000000-0005-0000-0000-000055030000}"/>
    <cellStyle name="Normal 3 3 2 2 10" xfId="1321" xr:uid="{00000000-0005-0000-0000-000056030000}"/>
    <cellStyle name="Normal 3 3 2 2 10 2" xfId="3543" xr:uid="{00000000-0005-0000-0000-000057030000}"/>
    <cellStyle name="Normal 3 3 2 2 10 2 2" xfId="7543" xr:uid="{00000000-0005-0000-0000-000057030000}"/>
    <cellStyle name="Normal 3 3 2 2 10 3" xfId="5542" xr:uid="{00000000-0005-0000-0000-000057030000}"/>
    <cellStyle name="Normal 3 3 2 2 11" xfId="2556" xr:uid="{00000000-0005-0000-0000-000056030000}"/>
    <cellStyle name="Normal 3 3 2 2 11 2" xfId="6544" xr:uid="{00000000-0005-0000-0000-000056030000}"/>
    <cellStyle name="Normal 3 3 2 2 12" xfId="4543" xr:uid="{00000000-0005-0000-0000-000056030000}"/>
    <cellStyle name="Normal 3 3 2 2 2" xfId="349" xr:uid="{00000000-0005-0000-0000-000057030000}"/>
    <cellStyle name="Normal 3 3 2 2 2 2" xfId="411" xr:uid="{00000000-0005-0000-0000-000058030000}"/>
    <cellStyle name="Normal 3 3 2 2 2 2 2" xfId="658" xr:uid="{00000000-0005-0000-0000-000059030000}"/>
    <cellStyle name="Normal 3 3 2 2 2 2 2 2" xfId="1155" xr:uid="{00000000-0005-0000-0000-00005A030000}"/>
    <cellStyle name="Normal 3 3 2 2 2 2 2 2 2" xfId="2157" xr:uid="{00000000-0005-0000-0000-00005B030000}"/>
    <cellStyle name="Normal 3 3 2 2 2 2 2 2 2 2" xfId="4379" xr:uid="{00000000-0005-0000-0000-00005C030000}"/>
    <cellStyle name="Normal 3 3 2 2 2 2 2 2 2 2 2" xfId="8379" xr:uid="{00000000-0005-0000-0000-00005C030000}"/>
    <cellStyle name="Normal 3 3 2 2 2 2 2 2 2 3" xfId="6378" xr:uid="{00000000-0005-0000-0000-00005C030000}"/>
    <cellStyle name="Normal 3 3 2 2 2 2 2 2 3" xfId="3381" xr:uid="{00000000-0005-0000-0000-00005B030000}"/>
    <cellStyle name="Normal 3 3 2 2 2 2 2 2 3 2" xfId="7380" xr:uid="{00000000-0005-0000-0000-00005B030000}"/>
    <cellStyle name="Normal 3 3 2 2 2 2 2 2 4" xfId="5379" xr:uid="{00000000-0005-0000-0000-00005B030000}"/>
    <cellStyle name="Normal 3 3 2 2 2 2 2 3" xfId="1661" xr:uid="{00000000-0005-0000-0000-00005C030000}"/>
    <cellStyle name="Normal 3 3 2 2 2 2 2 3 2" xfId="3883" xr:uid="{00000000-0005-0000-0000-00005D030000}"/>
    <cellStyle name="Normal 3 3 2 2 2 2 2 3 2 2" xfId="7883" xr:uid="{00000000-0005-0000-0000-00005D030000}"/>
    <cellStyle name="Normal 3 3 2 2 2 2 2 3 3" xfId="5882" xr:uid="{00000000-0005-0000-0000-00005D030000}"/>
    <cellStyle name="Normal 3 3 2 2 2 2 2 4" xfId="2885" xr:uid="{00000000-0005-0000-0000-00005A030000}"/>
    <cellStyle name="Normal 3 3 2 2 2 2 2 4 2" xfId="6884" xr:uid="{00000000-0005-0000-0000-00005A030000}"/>
    <cellStyle name="Normal 3 3 2 2 2 2 2 5" xfId="4883" xr:uid="{00000000-0005-0000-0000-00005A030000}"/>
    <cellStyle name="Normal 3 3 2 2 2 2 3" xfId="907" xr:uid="{00000000-0005-0000-0000-00005D030000}"/>
    <cellStyle name="Normal 3 3 2 2 2 2 3 2" xfId="1909" xr:uid="{00000000-0005-0000-0000-00005E030000}"/>
    <cellStyle name="Normal 3 3 2 2 2 2 3 2 2" xfId="4131" xr:uid="{00000000-0005-0000-0000-00005F030000}"/>
    <cellStyle name="Normal 3 3 2 2 2 2 3 2 2 2" xfId="8131" xr:uid="{00000000-0005-0000-0000-00005F030000}"/>
    <cellStyle name="Normal 3 3 2 2 2 2 3 2 3" xfId="6130" xr:uid="{00000000-0005-0000-0000-00005F030000}"/>
    <cellStyle name="Normal 3 3 2 2 2 2 3 3" xfId="3133" xr:uid="{00000000-0005-0000-0000-00005E030000}"/>
    <cellStyle name="Normal 3 3 2 2 2 2 3 3 2" xfId="7132" xr:uid="{00000000-0005-0000-0000-00005E030000}"/>
    <cellStyle name="Normal 3 3 2 2 2 2 3 4" xfId="5131" xr:uid="{00000000-0005-0000-0000-00005E030000}"/>
    <cellStyle name="Normal 3 3 2 2 2 2 4" xfId="1413" xr:uid="{00000000-0005-0000-0000-00005F030000}"/>
    <cellStyle name="Normal 3 3 2 2 2 2 4 2" xfId="3635" xr:uid="{00000000-0005-0000-0000-000060030000}"/>
    <cellStyle name="Normal 3 3 2 2 2 2 4 2 2" xfId="7635" xr:uid="{00000000-0005-0000-0000-000060030000}"/>
    <cellStyle name="Normal 3 3 2 2 2 2 4 3" xfId="5634" xr:uid="{00000000-0005-0000-0000-000060030000}"/>
    <cellStyle name="Normal 3 3 2 2 2 2 5" xfId="2642" xr:uid="{00000000-0005-0000-0000-000059030000}"/>
    <cellStyle name="Normal 3 3 2 2 2 2 5 2" xfId="6636" xr:uid="{00000000-0005-0000-0000-000059030000}"/>
    <cellStyle name="Normal 3 3 2 2 2 2 6" xfId="4635" xr:uid="{00000000-0005-0000-0000-000059030000}"/>
    <cellStyle name="Normal 3 3 2 2 2 3" xfId="457" xr:uid="{00000000-0005-0000-0000-000060030000}"/>
    <cellStyle name="Normal 3 3 2 2 2 3 2" xfId="704" xr:uid="{00000000-0005-0000-0000-000061030000}"/>
    <cellStyle name="Normal 3 3 2 2 2 3 2 2" xfId="1201" xr:uid="{00000000-0005-0000-0000-000062030000}"/>
    <cellStyle name="Normal 3 3 2 2 2 3 2 2 2" xfId="2203" xr:uid="{00000000-0005-0000-0000-000063030000}"/>
    <cellStyle name="Normal 3 3 2 2 2 3 2 2 2 2" xfId="4425" xr:uid="{00000000-0005-0000-0000-000064030000}"/>
    <cellStyle name="Normal 3 3 2 2 2 3 2 2 2 2 2" xfId="8425" xr:uid="{00000000-0005-0000-0000-000064030000}"/>
    <cellStyle name="Normal 3 3 2 2 2 3 2 2 2 3" xfId="6424" xr:uid="{00000000-0005-0000-0000-000064030000}"/>
    <cellStyle name="Normal 3 3 2 2 2 3 2 2 3" xfId="3427" xr:uid="{00000000-0005-0000-0000-000063030000}"/>
    <cellStyle name="Normal 3 3 2 2 2 3 2 2 3 2" xfId="7426" xr:uid="{00000000-0005-0000-0000-000063030000}"/>
    <cellStyle name="Normal 3 3 2 2 2 3 2 2 4" xfId="5425" xr:uid="{00000000-0005-0000-0000-000063030000}"/>
    <cellStyle name="Normal 3 3 2 2 2 3 2 3" xfId="1707" xr:uid="{00000000-0005-0000-0000-000064030000}"/>
    <cellStyle name="Normal 3 3 2 2 2 3 2 3 2" xfId="3929" xr:uid="{00000000-0005-0000-0000-000065030000}"/>
    <cellStyle name="Normal 3 3 2 2 2 3 2 3 2 2" xfId="7929" xr:uid="{00000000-0005-0000-0000-000065030000}"/>
    <cellStyle name="Normal 3 3 2 2 2 3 2 3 3" xfId="5928" xr:uid="{00000000-0005-0000-0000-000065030000}"/>
    <cellStyle name="Normal 3 3 2 2 2 3 2 4" xfId="2931" xr:uid="{00000000-0005-0000-0000-000062030000}"/>
    <cellStyle name="Normal 3 3 2 2 2 3 2 4 2" xfId="6930" xr:uid="{00000000-0005-0000-0000-000062030000}"/>
    <cellStyle name="Normal 3 3 2 2 2 3 2 5" xfId="4929" xr:uid="{00000000-0005-0000-0000-000062030000}"/>
    <cellStyle name="Normal 3 3 2 2 2 3 3" xfId="953" xr:uid="{00000000-0005-0000-0000-000065030000}"/>
    <cellStyle name="Normal 3 3 2 2 2 3 3 2" xfId="1955" xr:uid="{00000000-0005-0000-0000-000066030000}"/>
    <cellStyle name="Normal 3 3 2 2 2 3 3 2 2" xfId="4177" xr:uid="{00000000-0005-0000-0000-000067030000}"/>
    <cellStyle name="Normal 3 3 2 2 2 3 3 2 2 2" xfId="8177" xr:uid="{00000000-0005-0000-0000-000067030000}"/>
    <cellStyle name="Normal 3 3 2 2 2 3 3 2 3" xfId="6176" xr:uid="{00000000-0005-0000-0000-000067030000}"/>
    <cellStyle name="Normal 3 3 2 2 2 3 3 3" xfId="3179" xr:uid="{00000000-0005-0000-0000-000066030000}"/>
    <cellStyle name="Normal 3 3 2 2 2 3 3 3 2" xfId="7178" xr:uid="{00000000-0005-0000-0000-000066030000}"/>
    <cellStyle name="Normal 3 3 2 2 2 3 3 4" xfId="5177" xr:uid="{00000000-0005-0000-0000-000066030000}"/>
    <cellStyle name="Normal 3 3 2 2 2 3 4" xfId="1459" xr:uid="{00000000-0005-0000-0000-000067030000}"/>
    <cellStyle name="Normal 3 3 2 2 2 3 4 2" xfId="3681" xr:uid="{00000000-0005-0000-0000-000068030000}"/>
    <cellStyle name="Normal 3 3 2 2 2 3 4 2 2" xfId="7681" xr:uid="{00000000-0005-0000-0000-000068030000}"/>
    <cellStyle name="Normal 3 3 2 2 2 3 4 3" xfId="5680" xr:uid="{00000000-0005-0000-0000-000068030000}"/>
    <cellStyle name="Normal 3 3 2 2 2 3 5" xfId="2684" xr:uid="{00000000-0005-0000-0000-000061030000}"/>
    <cellStyle name="Normal 3 3 2 2 2 3 5 2" xfId="6682" xr:uid="{00000000-0005-0000-0000-000061030000}"/>
    <cellStyle name="Normal 3 3 2 2 2 3 6" xfId="4681" xr:uid="{00000000-0005-0000-0000-000061030000}"/>
    <cellStyle name="Normal 3 3 2 2 2 4" xfId="543" xr:uid="{00000000-0005-0000-0000-000068030000}"/>
    <cellStyle name="Normal 3 3 2 2 2 4 2" xfId="790" xr:uid="{00000000-0005-0000-0000-000069030000}"/>
    <cellStyle name="Normal 3 3 2 2 2 4 2 2" xfId="1288" xr:uid="{00000000-0005-0000-0000-00006A030000}"/>
    <cellStyle name="Normal 3 3 2 2 2 4 2 2 2" xfId="2290" xr:uid="{00000000-0005-0000-0000-00006B030000}"/>
    <cellStyle name="Normal 3 3 2 2 2 4 2 2 2 2" xfId="4512" xr:uid="{00000000-0005-0000-0000-00006C030000}"/>
    <cellStyle name="Normal 3 3 2 2 2 4 2 2 2 2 2" xfId="8512" xr:uid="{00000000-0005-0000-0000-00006C030000}"/>
    <cellStyle name="Normal 3 3 2 2 2 4 2 2 2 3" xfId="6511" xr:uid="{00000000-0005-0000-0000-00006C030000}"/>
    <cellStyle name="Normal 3 3 2 2 2 4 2 2 3" xfId="3514" xr:uid="{00000000-0005-0000-0000-00006B030000}"/>
    <cellStyle name="Normal 3 3 2 2 2 4 2 2 3 2" xfId="7513" xr:uid="{00000000-0005-0000-0000-00006B030000}"/>
    <cellStyle name="Normal 3 3 2 2 2 4 2 2 4" xfId="5512" xr:uid="{00000000-0005-0000-0000-00006B030000}"/>
    <cellStyle name="Normal 3 3 2 2 2 4 2 3" xfId="1794" xr:uid="{00000000-0005-0000-0000-00006C030000}"/>
    <cellStyle name="Normal 3 3 2 2 2 4 2 3 2" xfId="4016" xr:uid="{00000000-0005-0000-0000-00006D030000}"/>
    <cellStyle name="Normal 3 3 2 2 2 4 2 3 2 2" xfId="8016" xr:uid="{00000000-0005-0000-0000-00006D030000}"/>
    <cellStyle name="Normal 3 3 2 2 2 4 2 3 3" xfId="6015" xr:uid="{00000000-0005-0000-0000-00006D030000}"/>
    <cellStyle name="Normal 3 3 2 2 2 4 2 4" xfId="3018" xr:uid="{00000000-0005-0000-0000-00006A030000}"/>
    <cellStyle name="Normal 3 3 2 2 2 4 2 4 2" xfId="7017" xr:uid="{00000000-0005-0000-0000-00006A030000}"/>
    <cellStyle name="Normal 3 3 2 2 2 4 2 5" xfId="5016" xr:uid="{00000000-0005-0000-0000-00006A030000}"/>
    <cellStyle name="Normal 3 3 2 2 2 4 3" xfId="1040" xr:uid="{00000000-0005-0000-0000-00006D030000}"/>
    <cellStyle name="Normal 3 3 2 2 2 4 3 2" xfId="2042" xr:uid="{00000000-0005-0000-0000-00006E030000}"/>
    <cellStyle name="Normal 3 3 2 2 2 4 3 2 2" xfId="4264" xr:uid="{00000000-0005-0000-0000-00006F030000}"/>
    <cellStyle name="Normal 3 3 2 2 2 4 3 2 2 2" xfId="8264" xr:uid="{00000000-0005-0000-0000-00006F030000}"/>
    <cellStyle name="Normal 3 3 2 2 2 4 3 2 3" xfId="6263" xr:uid="{00000000-0005-0000-0000-00006F030000}"/>
    <cellStyle name="Normal 3 3 2 2 2 4 3 3" xfId="3266" xr:uid="{00000000-0005-0000-0000-00006E030000}"/>
    <cellStyle name="Normal 3 3 2 2 2 4 3 3 2" xfId="7265" xr:uid="{00000000-0005-0000-0000-00006E030000}"/>
    <cellStyle name="Normal 3 3 2 2 2 4 3 4" xfId="5264" xr:uid="{00000000-0005-0000-0000-00006E030000}"/>
    <cellStyle name="Normal 3 3 2 2 2 4 4" xfId="1546" xr:uid="{00000000-0005-0000-0000-00006F030000}"/>
    <cellStyle name="Normal 3 3 2 2 2 4 4 2" xfId="3768" xr:uid="{00000000-0005-0000-0000-000070030000}"/>
    <cellStyle name="Normal 3 3 2 2 2 4 4 2 2" xfId="7768" xr:uid="{00000000-0005-0000-0000-000070030000}"/>
    <cellStyle name="Normal 3 3 2 2 2 4 4 3" xfId="5767" xr:uid="{00000000-0005-0000-0000-000070030000}"/>
    <cellStyle name="Normal 3 3 2 2 2 4 5" xfId="2771" xr:uid="{00000000-0005-0000-0000-000069030000}"/>
    <cellStyle name="Normal 3 3 2 2 2 4 5 2" xfId="6769" xr:uid="{00000000-0005-0000-0000-000069030000}"/>
    <cellStyle name="Normal 3 3 2 2 2 4 6" xfId="4768" xr:uid="{00000000-0005-0000-0000-000069030000}"/>
    <cellStyle name="Normal 3 3 2 2 2 5" xfId="589" xr:uid="{00000000-0005-0000-0000-000070030000}"/>
    <cellStyle name="Normal 3 3 2 2 2 5 2" xfId="1087" xr:uid="{00000000-0005-0000-0000-000071030000}"/>
    <cellStyle name="Normal 3 3 2 2 2 5 2 2" xfId="2089" xr:uid="{00000000-0005-0000-0000-000072030000}"/>
    <cellStyle name="Normal 3 3 2 2 2 5 2 2 2" xfId="4311" xr:uid="{00000000-0005-0000-0000-000073030000}"/>
    <cellStyle name="Normal 3 3 2 2 2 5 2 2 2 2" xfId="8311" xr:uid="{00000000-0005-0000-0000-000073030000}"/>
    <cellStyle name="Normal 3 3 2 2 2 5 2 2 3" xfId="6310" xr:uid="{00000000-0005-0000-0000-000073030000}"/>
    <cellStyle name="Normal 3 3 2 2 2 5 2 3" xfId="3313" xr:uid="{00000000-0005-0000-0000-000072030000}"/>
    <cellStyle name="Normal 3 3 2 2 2 5 2 3 2" xfId="7312" xr:uid="{00000000-0005-0000-0000-000072030000}"/>
    <cellStyle name="Normal 3 3 2 2 2 5 2 4" xfId="5311" xr:uid="{00000000-0005-0000-0000-000072030000}"/>
    <cellStyle name="Normal 3 3 2 2 2 5 3" xfId="1593" xr:uid="{00000000-0005-0000-0000-000073030000}"/>
    <cellStyle name="Normal 3 3 2 2 2 5 3 2" xfId="3815" xr:uid="{00000000-0005-0000-0000-000074030000}"/>
    <cellStyle name="Normal 3 3 2 2 2 5 3 2 2" xfId="7815" xr:uid="{00000000-0005-0000-0000-000074030000}"/>
    <cellStyle name="Normal 3 3 2 2 2 5 3 3" xfId="5814" xr:uid="{00000000-0005-0000-0000-000074030000}"/>
    <cellStyle name="Normal 3 3 2 2 2 5 4" xfId="2818" xr:uid="{00000000-0005-0000-0000-000071030000}"/>
    <cellStyle name="Normal 3 3 2 2 2 5 4 2" xfId="6816" xr:uid="{00000000-0005-0000-0000-000071030000}"/>
    <cellStyle name="Normal 3 3 2 2 2 5 5" xfId="4815" xr:uid="{00000000-0005-0000-0000-000071030000}"/>
    <cellStyle name="Normal 3 3 2 2 2 6" xfId="839" xr:uid="{00000000-0005-0000-0000-000074030000}"/>
    <cellStyle name="Normal 3 3 2 2 2 6 2" xfId="1841" xr:uid="{00000000-0005-0000-0000-000075030000}"/>
    <cellStyle name="Normal 3 3 2 2 2 6 2 2" xfId="4063" xr:uid="{00000000-0005-0000-0000-000076030000}"/>
    <cellStyle name="Normal 3 3 2 2 2 6 2 2 2" xfId="8063" xr:uid="{00000000-0005-0000-0000-000076030000}"/>
    <cellStyle name="Normal 3 3 2 2 2 6 2 3" xfId="6062" xr:uid="{00000000-0005-0000-0000-000076030000}"/>
    <cellStyle name="Normal 3 3 2 2 2 6 3" xfId="3065" xr:uid="{00000000-0005-0000-0000-000075030000}"/>
    <cellStyle name="Normal 3 3 2 2 2 6 3 2" xfId="7064" xr:uid="{00000000-0005-0000-0000-000075030000}"/>
    <cellStyle name="Normal 3 3 2 2 2 6 4" xfId="5063" xr:uid="{00000000-0005-0000-0000-000075030000}"/>
    <cellStyle name="Normal 3 3 2 2 2 7" xfId="1345" xr:uid="{00000000-0005-0000-0000-000076030000}"/>
    <cellStyle name="Normal 3 3 2 2 2 7 2" xfId="3567" xr:uid="{00000000-0005-0000-0000-000077030000}"/>
    <cellStyle name="Normal 3 3 2 2 2 7 2 2" xfId="7567" xr:uid="{00000000-0005-0000-0000-000077030000}"/>
    <cellStyle name="Normal 3 3 2 2 2 7 3" xfId="5566" xr:uid="{00000000-0005-0000-0000-000077030000}"/>
    <cellStyle name="Normal 3 3 2 2 2 8" xfId="2579" xr:uid="{00000000-0005-0000-0000-000058030000}"/>
    <cellStyle name="Normal 3 3 2 2 2 8 2" xfId="6568" xr:uid="{00000000-0005-0000-0000-000058030000}"/>
    <cellStyle name="Normal 3 3 2 2 2 9" xfId="4567" xr:uid="{00000000-0005-0000-0000-000058030000}"/>
    <cellStyle name="Normal 3 3 2 2 3" xfId="367" xr:uid="{00000000-0005-0000-0000-000077030000}"/>
    <cellStyle name="Normal 3 3 2 2 3 2" xfId="479" xr:uid="{00000000-0005-0000-0000-000078030000}"/>
    <cellStyle name="Normal 3 3 2 2 3 2 2" xfId="726" xr:uid="{00000000-0005-0000-0000-000079030000}"/>
    <cellStyle name="Normal 3 3 2 2 3 2 2 2" xfId="1223" xr:uid="{00000000-0005-0000-0000-00007A030000}"/>
    <cellStyle name="Normal 3 3 2 2 3 2 2 2 2" xfId="2225" xr:uid="{00000000-0005-0000-0000-00007B030000}"/>
    <cellStyle name="Normal 3 3 2 2 3 2 2 2 2 2" xfId="4447" xr:uid="{00000000-0005-0000-0000-00007C030000}"/>
    <cellStyle name="Normal 3 3 2 2 3 2 2 2 2 2 2" xfId="8447" xr:uid="{00000000-0005-0000-0000-00007C030000}"/>
    <cellStyle name="Normal 3 3 2 2 3 2 2 2 2 3" xfId="6446" xr:uid="{00000000-0005-0000-0000-00007C030000}"/>
    <cellStyle name="Normal 3 3 2 2 3 2 2 2 3" xfId="3449" xr:uid="{00000000-0005-0000-0000-00007B030000}"/>
    <cellStyle name="Normal 3 3 2 2 3 2 2 2 3 2" xfId="7448" xr:uid="{00000000-0005-0000-0000-00007B030000}"/>
    <cellStyle name="Normal 3 3 2 2 3 2 2 2 4" xfId="5447" xr:uid="{00000000-0005-0000-0000-00007B030000}"/>
    <cellStyle name="Normal 3 3 2 2 3 2 2 3" xfId="1729" xr:uid="{00000000-0005-0000-0000-00007C030000}"/>
    <cellStyle name="Normal 3 3 2 2 3 2 2 3 2" xfId="3951" xr:uid="{00000000-0005-0000-0000-00007D030000}"/>
    <cellStyle name="Normal 3 3 2 2 3 2 2 3 2 2" xfId="7951" xr:uid="{00000000-0005-0000-0000-00007D030000}"/>
    <cellStyle name="Normal 3 3 2 2 3 2 2 3 3" xfId="5950" xr:uid="{00000000-0005-0000-0000-00007D030000}"/>
    <cellStyle name="Normal 3 3 2 2 3 2 2 4" xfId="2953" xr:uid="{00000000-0005-0000-0000-00007A030000}"/>
    <cellStyle name="Normal 3 3 2 2 3 2 2 4 2" xfId="6952" xr:uid="{00000000-0005-0000-0000-00007A030000}"/>
    <cellStyle name="Normal 3 3 2 2 3 2 2 5" xfId="4951" xr:uid="{00000000-0005-0000-0000-00007A030000}"/>
    <cellStyle name="Normal 3 3 2 2 3 2 3" xfId="975" xr:uid="{00000000-0005-0000-0000-00007D030000}"/>
    <cellStyle name="Normal 3 3 2 2 3 2 3 2" xfId="1977" xr:uid="{00000000-0005-0000-0000-00007E030000}"/>
    <cellStyle name="Normal 3 3 2 2 3 2 3 2 2" xfId="4199" xr:uid="{00000000-0005-0000-0000-00007F030000}"/>
    <cellStyle name="Normal 3 3 2 2 3 2 3 2 2 2" xfId="8199" xr:uid="{00000000-0005-0000-0000-00007F030000}"/>
    <cellStyle name="Normal 3 3 2 2 3 2 3 2 3" xfId="6198" xr:uid="{00000000-0005-0000-0000-00007F030000}"/>
    <cellStyle name="Normal 3 3 2 2 3 2 3 3" xfId="3201" xr:uid="{00000000-0005-0000-0000-00007E030000}"/>
    <cellStyle name="Normal 3 3 2 2 3 2 3 3 2" xfId="7200" xr:uid="{00000000-0005-0000-0000-00007E030000}"/>
    <cellStyle name="Normal 3 3 2 2 3 2 3 4" xfId="5199" xr:uid="{00000000-0005-0000-0000-00007E030000}"/>
    <cellStyle name="Normal 3 3 2 2 3 2 4" xfId="1481" xr:uid="{00000000-0005-0000-0000-00007F030000}"/>
    <cellStyle name="Normal 3 3 2 2 3 2 4 2" xfId="3703" xr:uid="{00000000-0005-0000-0000-000080030000}"/>
    <cellStyle name="Normal 3 3 2 2 3 2 4 2 2" xfId="7703" xr:uid="{00000000-0005-0000-0000-000080030000}"/>
    <cellStyle name="Normal 3 3 2 2 3 2 4 3" xfId="5702" xr:uid="{00000000-0005-0000-0000-000080030000}"/>
    <cellStyle name="Normal 3 3 2 2 3 2 5" xfId="2706" xr:uid="{00000000-0005-0000-0000-000079030000}"/>
    <cellStyle name="Normal 3 3 2 2 3 2 5 2" xfId="6704" xr:uid="{00000000-0005-0000-0000-000079030000}"/>
    <cellStyle name="Normal 3 3 2 2 3 2 6" xfId="4703" xr:uid="{00000000-0005-0000-0000-000079030000}"/>
    <cellStyle name="Normal 3 3 2 2 3 3" xfId="611" xr:uid="{00000000-0005-0000-0000-000080030000}"/>
    <cellStyle name="Normal 3 3 2 2 3 3 2" xfId="1109" xr:uid="{00000000-0005-0000-0000-000081030000}"/>
    <cellStyle name="Normal 3 3 2 2 3 3 2 2" xfId="2111" xr:uid="{00000000-0005-0000-0000-000082030000}"/>
    <cellStyle name="Normal 3 3 2 2 3 3 2 2 2" xfId="4333" xr:uid="{00000000-0005-0000-0000-000083030000}"/>
    <cellStyle name="Normal 3 3 2 2 3 3 2 2 2 2" xfId="8333" xr:uid="{00000000-0005-0000-0000-000083030000}"/>
    <cellStyle name="Normal 3 3 2 2 3 3 2 2 3" xfId="6332" xr:uid="{00000000-0005-0000-0000-000083030000}"/>
    <cellStyle name="Normal 3 3 2 2 3 3 2 3" xfId="3335" xr:uid="{00000000-0005-0000-0000-000082030000}"/>
    <cellStyle name="Normal 3 3 2 2 3 3 2 3 2" xfId="7334" xr:uid="{00000000-0005-0000-0000-000082030000}"/>
    <cellStyle name="Normal 3 3 2 2 3 3 2 4" xfId="5333" xr:uid="{00000000-0005-0000-0000-000082030000}"/>
    <cellStyle name="Normal 3 3 2 2 3 3 3" xfId="1615" xr:uid="{00000000-0005-0000-0000-000083030000}"/>
    <cellStyle name="Normal 3 3 2 2 3 3 3 2" xfId="3837" xr:uid="{00000000-0005-0000-0000-000084030000}"/>
    <cellStyle name="Normal 3 3 2 2 3 3 3 2 2" xfId="7837" xr:uid="{00000000-0005-0000-0000-000084030000}"/>
    <cellStyle name="Normal 3 3 2 2 3 3 3 3" xfId="5836" xr:uid="{00000000-0005-0000-0000-000084030000}"/>
    <cellStyle name="Normal 3 3 2 2 3 3 4" xfId="2840" xr:uid="{00000000-0005-0000-0000-000081030000}"/>
    <cellStyle name="Normal 3 3 2 2 3 3 4 2" xfId="6838" xr:uid="{00000000-0005-0000-0000-000081030000}"/>
    <cellStyle name="Normal 3 3 2 2 3 3 5" xfId="4837" xr:uid="{00000000-0005-0000-0000-000081030000}"/>
    <cellStyle name="Normal 3 3 2 2 3 4" xfId="861" xr:uid="{00000000-0005-0000-0000-000084030000}"/>
    <cellStyle name="Normal 3 3 2 2 3 4 2" xfId="1863" xr:uid="{00000000-0005-0000-0000-000085030000}"/>
    <cellStyle name="Normal 3 3 2 2 3 4 2 2" xfId="4085" xr:uid="{00000000-0005-0000-0000-000086030000}"/>
    <cellStyle name="Normal 3 3 2 2 3 4 2 2 2" xfId="8085" xr:uid="{00000000-0005-0000-0000-000086030000}"/>
    <cellStyle name="Normal 3 3 2 2 3 4 2 3" xfId="6084" xr:uid="{00000000-0005-0000-0000-000086030000}"/>
    <cellStyle name="Normal 3 3 2 2 3 4 3" xfId="3087" xr:uid="{00000000-0005-0000-0000-000085030000}"/>
    <cellStyle name="Normal 3 3 2 2 3 4 3 2" xfId="7086" xr:uid="{00000000-0005-0000-0000-000085030000}"/>
    <cellStyle name="Normal 3 3 2 2 3 4 4" xfId="5085" xr:uid="{00000000-0005-0000-0000-000085030000}"/>
    <cellStyle name="Normal 3 3 2 2 3 5" xfId="1367" xr:uid="{00000000-0005-0000-0000-000086030000}"/>
    <cellStyle name="Normal 3 3 2 2 3 5 2" xfId="3589" xr:uid="{00000000-0005-0000-0000-000087030000}"/>
    <cellStyle name="Normal 3 3 2 2 3 5 2 2" xfId="7589" xr:uid="{00000000-0005-0000-0000-000087030000}"/>
    <cellStyle name="Normal 3 3 2 2 3 5 3" xfId="5588" xr:uid="{00000000-0005-0000-0000-000087030000}"/>
    <cellStyle name="Normal 3 3 2 2 3 6" xfId="2601" xr:uid="{00000000-0005-0000-0000-000078030000}"/>
    <cellStyle name="Normal 3 3 2 2 3 6 2" xfId="6590" xr:uid="{00000000-0005-0000-0000-000078030000}"/>
    <cellStyle name="Normal 3 3 2 2 3 7" xfId="4589" xr:uid="{00000000-0005-0000-0000-000078030000}"/>
    <cellStyle name="Normal 3 3 2 2 4" xfId="388" xr:uid="{00000000-0005-0000-0000-000087030000}"/>
    <cellStyle name="Normal 3 3 2 2 4 2" xfId="634" xr:uid="{00000000-0005-0000-0000-000088030000}"/>
    <cellStyle name="Normal 3 3 2 2 4 2 2" xfId="1131" xr:uid="{00000000-0005-0000-0000-000089030000}"/>
    <cellStyle name="Normal 3 3 2 2 4 2 2 2" xfId="2133" xr:uid="{00000000-0005-0000-0000-00008A030000}"/>
    <cellStyle name="Normal 3 3 2 2 4 2 2 2 2" xfId="4355" xr:uid="{00000000-0005-0000-0000-00008B030000}"/>
    <cellStyle name="Normal 3 3 2 2 4 2 2 2 2 2" xfId="8355" xr:uid="{00000000-0005-0000-0000-00008B030000}"/>
    <cellStyle name="Normal 3 3 2 2 4 2 2 2 3" xfId="6354" xr:uid="{00000000-0005-0000-0000-00008B030000}"/>
    <cellStyle name="Normal 3 3 2 2 4 2 2 3" xfId="3357" xr:uid="{00000000-0005-0000-0000-00008A030000}"/>
    <cellStyle name="Normal 3 3 2 2 4 2 2 3 2" xfId="7356" xr:uid="{00000000-0005-0000-0000-00008A030000}"/>
    <cellStyle name="Normal 3 3 2 2 4 2 2 4" xfId="5355" xr:uid="{00000000-0005-0000-0000-00008A030000}"/>
    <cellStyle name="Normal 3 3 2 2 4 2 3" xfId="1637" xr:uid="{00000000-0005-0000-0000-00008B030000}"/>
    <cellStyle name="Normal 3 3 2 2 4 2 3 2" xfId="3859" xr:uid="{00000000-0005-0000-0000-00008C030000}"/>
    <cellStyle name="Normal 3 3 2 2 4 2 3 2 2" xfId="7859" xr:uid="{00000000-0005-0000-0000-00008C030000}"/>
    <cellStyle name="Normal 3 3 2 2 4 2 3 3" xfId="5858" xr:uid="{00000000-0005-0000-0000-00008C030000}"/>
    <cellStyle name="Normal 3 3 2 2 4 2 4" xfId="2861" xr:uid="{00000000-0005-0000-0000-000089030000}"/>
    <cellStyle name="Normal 3 3 2 2 4 2 4 2" xfId="6860" xr:uid="{00000000-0005-0000-0000-000089030000}"/>
    <cellStyle name="Normal 3 3 2 2 4 2 5" xfId="4859" xr:uid="{00000000-0005-0000-0000-000089030000}"/>
    <cellStyle name="Normal 3 3 2 2 4 3" xfId="883" xr:uid="{00000000-0005-0000-0000-00008C030000}"/>
    <cellStyle name="Normal 3 3 2 2 4 3 2" xfId="1885" xr:uid="{00000000-0005-0000-0000-00008D030000}"/>
    <cellStyle name="Normal 3 3 2 2 4 3 2 2" xfId="4107" xr:uid="{00000000-0005-0000-0000-00008E030000}"/>
    <cellStyle name="Normal 3 3 2 2 4 3 2 2 2" xfId="8107" xr:uid="{00000000-0005-0000-0000-00008E030000}"/>
    <cellStyle name="Normal 3 3 2 2 4 3 2 3" xfId="6106" xr:uid="{00000000-0005-0000-0000-00008E030000}"/>
    <cellStyle name="Normal 3 3 2 2 4 3 3" xfId="3109" xr:uid="{00000000-0005-0000-0000-00008D030000}"/>
    <cellStyle name="Normal 3 3 2 2 4 3 3 2" xfId="7108" xr:uid="{00000000-0005-0000-0000-00008D030000}"/>
    <cellStyle name="Normal 3 3 2 2 4 3 4" xfId="5107" xr:uid="{00000000-0005-0000-0000-00008D030000}"/>
    <cellStyle name="Normal 3 3 2 2 4 4" xfId="1389" xr:uid="{00000000-0005-0000-0000-00008E030000}"/>
    <cellStyle name="Normal 3 3 2 2 4 4 2" xfId="3611" xr:uid="{00000000-0005-0000-0000-00008F030000}"/>
    <cellStyle name="Normal 3 3 2 2 4 4 2 2" xfId="7611" xr:uid="{00000000-0005-0000-0000-00008F030000}"/>
    <cellStyle name="Normal 3 3 2 2 4 4 3" xfId="5610" xr:uid="{00000000-0005-0000-0000-00008F030000}"/>
    <cellStyle name="Normal 3 3 2 2 4 5" xfId="2621" xr:uid="{00000000-0005-0000-0000-000088030000}"/>
    <cellStyle name="Normal 3 3 2 2 4 5 2" xfId="6612" xr:uid="{00000000-0005-0000-0000-000088030000}"/>
    <cellStyle name="Normal 3 3 2 2 4 6" xfId="4611" xr:uid="{00000000-0005-0000-0000-000088030000}"/>
    <cellStyle name="Normal 3 3 2 2 5" xfId="433" xr:uid="{00000000-0005-0000-0000-00008F030000}"/>
    <cellStyle name="Normal 3 3 2 2 5 2" xfId="680" xr:uid="{00000000-0005-0000-0000-000090030000}"/>
    <cellStyle name="Normal 3 3 2 2 5 2 2" xfId="1177" xr:uid="{00000000-0005-0000-0000-000091030000}"/>
    <cellStyle name="Normal 3 3 2 2 5 2 2 2" xfId="2179" xr:uid="{00000000-0005-0000-0000-000092030000}"/>
    <cellStyle name="Normal 3 3 2 2 5 2 2 2 2" xfId="4401" xr:uid="{00000000-0005-0000-0000-000093030000}"/>
    <cellStyle name="Normal 3 3 2 2 5 2 2 2 2 2" xfId="8401" xr:uid="{00000000-0005-0000-0000-000093030000}"/>
    <cellStyle name="Normal 3 3 2 2 5 2 2 2 3" xfId="6400" xr:uid="{00000000-0005-0000-0000-000093030000}"/>
    <cellStyle name="Normal 3 3 2 2 5 2 2 3" xfId="3403" xr:uid="{00000000-0005-0000-0000-000092030000}"/>
    <cellStyle name="Normal 3 3 2 2 5 2 2 3 2" xfId="7402" xr:uid="{00000000-0005-0000-0000-000092030000}"/>
    <cellStyle name="Normal 3 3 2 2 5 2 2 4" xfId="5401" xr:uid="{00000000-0005-0000-0000-000092030000}"/>
    <cellStyle name="Normal 3 3 2 2 5 2 3" xfId="1683" xr:uid="{00000000-0005-0000-0000-000093030000}"/>
    <cellStyle name="Normal 3 3 2 2 5 2 3 2" xfId="3905" xr:uid="{00000000-0005-0000-0000-000094030000}"/>
    <cellStyle name="Normal 3 3 2 2 5 2 3 2 2" xfId="7905" xr:uid="{00000000-0005-0000-0000-000094030000}"/>
    <cellStyle name="Normal 3 3 2 2 5 2 3 3" xfId="5904" xr:uid="{00000000-0005-0000-0000-000094030000}"/>
    <cellStyle name="Normal 3 3 2 2 5 2 4" xfId="2907" xr:uid="{00000000-0005-0000-0000-000091030000}"/>
    <cellStyle name="Normal 3 3 2 2 5 2 4 2" xfId="6906" xr:uid="{00000000-0005-0000-0000-000091030000}"/>
    <cellStyle name="Normal 3 3 2 2 5 2 5" xfId="4905" xr:uid="{00000000-0005-0000-0000-000091030000}"/>
    <cellStyle name="Normal 3 3 2 2 5 3" xfId="929" xr:uid="{00000000-0005-0000-0000-000094030000}"/>
    <cellStyle name="Normal 3 3 2 2 5 3 2" xfId="1931" xr:uid="{00000000-0005-0000-0000-000095030000}"/>
    <cellStyle name="Normal 3 3 2 2 5 3 2 2" xfId="4153" xr:uid="{00000000-0005-0000-0000-000096030000}"/>
    <cellStyle name="Normal 3 3 2 2 5 3 2 2 2" xfId="8153" xr:uid="{00000000-0005-0000-0000-000096030000}"/>
    <cellStyle name="Normal 3 3 2 2 5 3 2 3" xfId="6152" xr:uid="{00000000-0005-0000-0000-000096030000}"/>
    <cellStyle name="Normal 3 3 2 2 5 3 3" xfId="3155" xr:uid="{00000000-0005-0000-0000-000095030000}"/>
    <cellStyle name="Normal 3 3 2 2 5 3 3 2" xfId="7154" xr:uid="{00000000-0005-0000-0000-000095030000}"/>
    <cellStyle name="Normal 3 3 2 2 5 3 4" xfId="5153" xr:uid="{00000000-0005-0000-0000-000095030000}"/>
    <cellStyle name="Normal 3 3 2 2 5 4" xfId="1435" xr:uid="{00000000-0005-0000-0000-000096030000}"/>
    <cellStyle name="Normal 3 3 2 2 5 4 2" xfId="3657" xr:uid="{00000000-0005-0000-0000-000097030000}"/>
    <cellStyle name="Normal 3 3 2 2 5 4 2 2" xfId="7657" xr:uid="{00000000-0005-0000-0000-000097030000}"/>
    <cellStyle name="Normal 3 3 2 2 5 4 3" xfId="5656" xr:uid="{00000000-0005-0000-0000-000097030000}"/>
    <cellStyle name="Normal 3 3 2 2 5 5" xfId="2661" xr:uid="{00000000-0005-0000-0000-000090030000}"/>
    <cellStyle name="Normal 3 3 2 2 5 5 2" xfId="6658" xr:uid="{00000000-0005-0000-0000-000090030000}"/>
    <cellStyle name="Normal 3 3 2 2 5 6" xfId="4657" xr:uid="{00000000-0005-0000-0000-000090030000}"/>
    <cellStyle name="Normal 3 3 2 2 6" xfId="499" xr:uid="{00000000-0005-0000-0000-000097030000}"/>
    <cellStyle name="Normal 3 3 2 2 6 2" xfId="746" xr:uid="{00000000-0005-0000-0000-000098030000}"/>
    <cellStyle name="Normal 3 3 2 2 6 2 2" xfId="1243" xr:uid="{00000000-0005-0000-0000-000099030000}"/>
    <cellStyle name="Normal 3 3 2 2 6 2 2 2" xfId="2245" xr:uid="{00000000-0005-0000-0000-00009A030000}"/>
    <cellStyle name="Normal 3 3 2 2 6 2 2 2 2" xfId="4467" xr:uid="{00000000-0005-0000-0000-00009B030000}"/>
    <cellStyle name="Normal 3 3 2 2 6 2 2 2 2 2" xfId="8467" xr:uid="{00000000-0005-0000-0000-00009B030000}"/>
    <cellStyle name="Normal 3 3 2 2 6 2 2 2 3" xfId="6466" xr:uid="{00000000-0005-0000-0000-00009B030000}"/>
    <cellStyle name="Normal 3 3 2 2 6 2 2 3" xfId="3469" xr:uid="{00000000-0005-0000-0000-00009A030000}"/>
    <cellStyle name="Normal 3 3 2 2 6 2 2 3 2" xfId="7468" xr:uid="{00000000-0005-0000-0000-00009A030000}"/>
    <cellStyle name="Normal 3 3 2 2 6 2 2 4" xfId="5467" xr:uid="{00000000-0005-0000-0000-00009A030000}"/>
    <cellStyle name="Normal 3 3 2 2 6 2 3" xfId="1749" xr:uid="{00000000-0005-0000-0000-00009B030000}"/>
    <cellStyle name="Normal 3 3 2 2 6 2 3 2" xfId="3971" xr:uid="{00000000-0005-0000-0000-00009C030000}"/>
    <cellStyle name="Normal 3 3 2 2 6 2 3 2 2" xfId="7971" xr:uid="{00000000-0005-0000-0000-00009C030000}"/>
    <cellStyle name="Normal 3 3 2 2 6 2 3 3" xfId="5970" xr:uid="{00000000-0005-0000-0000-00009C030000}"/>
    <cellStyle name="Normal 3 3 2 2 6 2 4" xfId="2973" xr:uid="{00000000-0005-0000-0000-000099030000}"/>
    <cellStyle name="Normal 3 3 2 2 6 2 4 2" xfId="6972" xr:uid="{00000000-0005-0000-0000-000099030000}"/>
    <cellStyle name="Normal 3 3 2 2 6 2 5" xfId="4971" xr:uid="{00000000-0005-0000-0000-000099030000}"/>
    <cellStyle name="Normal 3 3 2 2 6 3" xfId="995" xr:uid="{00000000-0005-0000-0000-00009C030000}"/>
    <cellStyle name="Normal 3 3 2 2 6 3 2" xfId="1997" xr:uid="{00000000-0005-0000-0000-00009D030000}"/>
    <cellStyle name="Normal 3 3 2 2 6 3 2 2" xfId="4219" xr:uid="{00000000-0005-0000-0000-00009E030000}"/>
    <cellStyle name="Normal 3 3 2 2 6 3 2 2 2" xfId="8219" xr:uid="{00000000-0005-0000-0000-00009E030000}"/>
    <cellStyle name="Normal 3 3 2 2 6 3 2 3" xfId="6218" xr:uid="{00000000-0005-0000-0000-00009E030000}"/>
    <cellStyle name="Normal 3 3 2 2 6 3 3" xfId="3221" xr:uid="{00000000-0005-0000-0000-00009D030000}"/>
    <cellStyle name="Normal 3 3 2 2 6 3 3 2" xfId="7220" xr:uid="{00000000-0005-0000-0000-00009D030000}"/>
    <cellStyle name="Normal 3 3 2 2 6 3 4" xfId="5219" xr:uid="{00000000-0005-0000-0000-00009D030000}"/>
    <cellStyle name="Normal 3 3 2 2 6 4" xfId="1501" xr:uid="{00000000-0005-0000-0000-00009E030000}"/>
    <cellStyle name="Normal 3 3 2 2 6 4 2" xfId="3723" xr:uid="{00000000-0005-0000-0000-00009F030000}"/>
    <cellStyle name="Normal 3 3 2 2 6 4 2 2" xfId="7723" xr:uid="{00000000-0005-0000-0000-00009F030000}"/>
    <cellStyle name="Normal 3 3 2 2 6 4 3" xfId="5722" xr:uid="{00000000-0005-0000-0000-00009F030000}"/>
    <cellStyle name="Normal 3 3 2 2 6 5" xfId="2726" xr:uid="{00000000-0005-0000-0000-000098030000}"/>
    <cellStyle name="Normal 3 3 2 2 6 5 2" xfId="6724" xr:uid="{00000000-0005-0000-0000-000098030000}"/>
    <cellStyle name="Normal 3 3 2 2 6 6" xfId="4723" xr:uid="{00000000-0005-0000-0000-000098030000}"/>
    <cellStyle name="Normal 3 3 2 2 7" xfId="519" xr:uid="{00000000-0005-0000-0000-00009F030000}"/>
    <cellStyle name="Normal 3 3 2 2 7 2" xfId="766" xr:uid="{00000000-0005-0000-0000-0000A0030000}"/>
    <cellStyle name="Normal 3 3 2 2 7 2 2" xfId="1264" xr:uid="{00000000-0005-0000-0000-0000A1030000}"/>
    <cellStyle name="Normal 3 3 2 2 7 2 2 2" xfId="2266" xr:uid="{00000000-0005-0000-0000-0000A2030000}"/>
    <cellStyle name="Normal 3 3 2 2 7 2 2 2 2" xfId="4488" xr:uid="{00000000-0005-0000-0000-0000A3030000}"/>
    <cellStyle name="Normal 3 3 2 2 7 2 2 2 2 2" xfId="8488" xr:uid="{00000000-0005-0000-0000-0000A3030000}"/>
    <cellStyle name="Normal 3 3 2 2 7 2 2 2 3" xfId="6487" xr:uid="{00000000-0005-0000-0000-0000A3030000}"/>
    <cellStyle name="Normal 3 3 2 2 7 2 2 3" xfId="3490" xr:uid="{00000000-0005-0000-0000-0000A2030000}"/>
    <cellStyle name="Normal 3 3 2 2 7 2 2 3 2" xfId="7489" xr:uid="{00000000-0005-0000-0000-0000A2030000}"/>
    <cellStyle name="Normal 3 3 2 2 7 2 2 4" xfId="5488" xr:uid="{00000000-0005-0000-0000-0000A2030000}"/>
    <cellStyle name="Normal 3 3 2 2 7 2 3" xfId="1770" xr:uid="{00000000-0005-0000-0000-0000A3030000}"/>
    <cellStyle name="Normal 3 3 2 2 7 2 3 2" xfId="3992" xr:uid="{00000000-0005-0000-0000-0000A4030000}"/>
    <cellStyle name="Normal 3 3 2 2 7 2 3 2 2" xfId="7992" xr:uid="{00000000-0005-0000-0000-0000A4030000}"/>
    <cellStyle name="Normal 3 3 2 2 7 2 3 3" xfId="5991" xr:uid="{00000000-0005-0000-0000-0000A4030000}"/>
    <cellStyle name="Normal 3 3 2 2 7 2 4" xfId="2994" xr:uid="{00000000-0005-0000-0000-0000A1030000}"/>
    <cellStyle name="Normal 3 3 2 2 7 2 4 2" xfId="6993" xr:uid="{00000000-0005-0000-0000-0000A1030000}"/>
    <cellStyle name="Normal 3 3 2 2 7 2 5" xfId="4992" xr:uid="{00000000-0005-0000-0000-0000A1030000}"/>
    <cellStyle name="Normal 3 3 2 2 7 3" xfId="1016" xr:uid="{00000000-0005-0000-0000-0000A4030000}"/>
    <cellStyle name="Normal 3 3 2 2 7 3 2" xfId="2018" xr:uid="{00000000-0005-0000-0000-0000A5030000}"/>
    <cellStyle name="Normal 3 3 2 2 7 3 2 2" xfId="4240" xr:uid="{00000000-0005-0000-0000-0000A6030000}"/>
    <cellStyle name="Normal 3 3 2 2 7 3 2 2 2" xfId="8240" xr:uid="{00000000-0005-0000-0000-0000A6030000}"/>
    <cellStyle name="Normal 3 3 2 2 7 3 2 3" xfId="6239" xr:uid="{00000000-0005-0000-0000-0000A6030000}"/>
    <cellStyle name="Normal 3 3 2 2 7 3 3" xfId="3242" xr:uid="{00000000-0005-0000-0000-0000A5030000}"/>
    <cellStyle name="Normal 3 3 2 2 7 3 3 2" xfId="7241" xr:uid="{00000000-0005-0000-0000-0000A5030000}"/>
    <cellStyle name="Normal 3 3 2 2 7 3 4" xfId="5240" xr:uid="{00000000-0005-0000-0000-0000A5030000}"/>
    <cellStyle name="Normal 3 3 2 2 7 4" xfId="1522" xr:uid="{00000000-0005-0000-0000-0000A6030000}"/>
    <cellStyle name="Normal 3 3 2 2 7 4 2" xfId="3744" xr:uid="{00000000-0005-0000-0000-0000A7030000}"/>
    <cellStyle name="Normal 3 3 2 2 7 4 2 2" xfId="7744" xr:uid="{00000000-0005-0000-0000-0000A7030000}"/>
    <cellStyle name="Normal 3 3 2 2 7 4 3" xfId="5743" xr:uid="{00000000-0005-0000-0000-0000A7030000}"/>
    <cellStyle name="Normal 3 3 2 2 7 5" xfId="2747" xr:uid="{00000000-0005-0000-0000-0000A0030000}"/>
    <cellStyle name="Normal 3 3 2 2 7 5 2" xfId="6745" xr:uid="{00000000-0005-0000-0000-0000A0030000}"/>
    <cellStyle name="Normal 3 3 2 2 7 6" xfId="4744" xr:uid="{00000000-0005-0000-0000-0000A0030000}"/>
    <cellStyle name="Normal 3 3 2 2 8" xfId="565" xr:uid="{00000000-0005-0000-0000-0000A7030000}"/>
    <cellStyle name="Normal 3 3 2 2 8 2" xfId="1063" xr:uid="{00000000-0005-0000-0000-0000A8030000}"/>
    <cellStyle name="Normal 3 3 2 2 8 2 2" xfId="2065" xr:uid="{00000000-0005-0000-0000-0000A9030000}"/>
    <cellStyle name="Normal 3 3 2 2 8 2 2 2" xfId="4287" xr:uid="{00000000-0005-0000-0000-0000AA030000}"/>
    <cellStyle name="Normal 3 3 2 2 8 2 2 2 2" xfId="8287" xr:uid="{00000000-0005-0000-0000-0000AA030000}"/>
    <cellStyle name="Normal 3 3 2 2 8 2 2 3" xfId="6286" xr:uid="{00000000-0005-0000-0000-0000AA030000}"/>
    <cellStyle name="Normal 3 3 2 2 8 2 3" xfId="3289" xr:uid="{00000000-0005-0000-0000-0000A9030000}"/>
    <cellStyle name="Normal 3 3 2 2 8 2 3 2" xfId="7288" xr:uid="{00000000-0005-0000-0000-0000A9030000}"/>
    <cellStyle name="Normal 3 3 2 2 8 2 4" xfId="5287" xr:uid="{00000000-0005-0000-0000-0000A9030000}"/>
    <cellStyle name="Normal 3 3 2 2 8 3" xfId="1569" xr:uid="{00000000-0005-0000-0000-0000AA030000}"/>
    <cellStyle name="Normal 3 3 2 2 8 3 2" xfId="3791" xr:uid="{00000000-0005-0000-0000-0000AB030000}"/>
    <cellStyle name="Normal 3 3 2 2 8 3 2 2" xfId="7791" xr:uid="{00000000-0005-0000-0000-0000AB030000}"/>
    <cellStyle name="Normal 3 3 2 2 8 3 3" xfId="5790" xr:uid="{00000000-0005-0000-0000-0000AB030000}"/>
    <cellStyle name="Normal 3 3 2 2 8 4" xfId="2794" xr:uid="{00000000-0005-0000-0000-0000A8030000}"/>
    <cellStyle name="Normal 3 3 2 2 8 4 2" xfId="6792" xr:uid="{00000000-0005-0000-0000-0000A8030000}"/>
    <cellStyle name="Normal 3 3 2 2 8 5" xfId="4791" xr:uid="{00000000-0005-0000-0000-0000A8030000}"/>
    <cellStyle name="Normal 3 3 2 2 9" xfId="815" xr:uid="{00000000-0005-0000-0000-0000AB030000}"/>
    <cellStyle name="Normal 3 3 2 2 9 2" xfId="1817" xr:uid="{00000000-0005-0000-0000-0000AC030000}"/>
    <cellStyle name="Normal 3 3 2 2 9 2 2" xfId="4039" xr:uid="{00000000-0005-0000-0000-0000AD030000}"/>
    <cellStyle name="Normal 3 3 2 2 9 2 2 2" xfId="8039" xr:uid="{00000000-0005-0000-0000-0000AD030000}"/>
    <cellStyle name="Normal 3 3 2 2 9 2 3" xfId="6038" xr:uid="{00000000-0005-0000-0000-0000AD030000}"/>
    <cellStyle name="Normal 3 3 2 2 9 3" xfId="3041" xr:uid="{00000000-0005-0000-0000-0000AC030000}"/>
    <cellStyle name="Normal 3 3 2 2 9 3 2" xfId="7040" xr:uid="{00000000-0005-0000-0000-0000AC030000}"/>
    <cellStyle name="Normal 3 3 2 2 9 4" xfId="5039" xr:uid="{00000000-0005-0000-0000-0000AC030000}"/>
    <cellStyle name="Normal 3 3 2 3" xfId="340" xr:uid="{00000000-0005-0000-0000-0000AD030000}"/>
    <cellStyle name="Normal 3 3 2 3 2" xfId="401" xr:uid="{00000000-0005-0000-0000-0000AE030000}"/>
    <cellStyle name="Normal 3 3 2 3 2 2" xfId="648" xr:uid="{00000000-0005-0000-0000-0000AF030000}"/>
    <cellStyle name="Normal 3 3 2 3 2 2 2" xfId="1145" xr:uid="{00000000-0005-0000-0000-0000B0030000}"/>
    <cellStyle name="Normal 3 3 2 3 2 2 2 2" xfId="2147" xr:uid="{00000000-0005-0000-0000-0000B1030000}"/>
    <cellStyle name="Normal 3 3 2 3 2 2 2 2 2" xfId="4369" xr:uid="{00000000-0005-0000-0000-0000B2030000}"/>
    <cellStyle name="Normal 3 3 2 3 2 2 2 2 2 2" xfId="8369" xr:uid="{00000000-0005-0000-0000-0000B2030000}"/>
    <cellStyle name="Normal 3 3 2 3 2 2 2 2 3" xfId="6368" xr:uid="{00000000-0005-0000-0000-0000B2030000}"/>
    <cellStyle name="Normal 3 3 2 3 2 2 2 3" xfId="3371" xr:uid="{00000000-0005-0000-0000-0000B1030000}"/>
    <cellStyle name="Normal 3 3 2 3 2 2 2 3 2" xfId="7370" xr:uid="{00000000-0005-0000-0000-0000B1030000}"/>
    <cellStyle name="Normal 3 3 2 3 2 2 2 4" xfId="5369" xr:uid="{00000000-0005-0000-0000-0000B1030000}"/>
    <cellStyle name="Normal 3 3 2 3 2 2 3" xfId="1651" xr:uid="{00000000-0005-0000-0000-0000B2030000}"/>
    <cellStyle name="Normal 3 3 2 3 2 2 3 2" xfId="3873" xr:uid="{00000000-0005-0000-0000-0000B3030000}"/>
    <cellStyle name="Normal 3 3 2 3 2 2 3 2 2" xfId="7873" xr:uid="{00000000-0005-0000-0000-0000B3030000}"/>
    <cellStyle name="Normal 3 3 2 3 2 2 3 3" xfId="5872" xr:uid="{00000000-0005-0000-0000-0000B3030000}"/>
    <cellStyle name="Normal 3 3 2 3 2 2 4" xfId="2875" xr:uid="{00000000-0005-0000-0000-0000B0030000}"/>
    <cellStyle name="Normal 3 3 2 3 2 2 4 2" xfId="6874" xr:uid="{00000000-0005-0000-0000-0000B0030000}"/>
    <cellStyle name="Normal 3 3 2 3 2 2 5" xfId="4873" xr:uid="{00000000-0005-0000-0000-0000B0030000}"/>
    <cellStyle name="Normal 3 3 2 3 2 3" xfId="897" xr:uid="{00000000-0005-0000-0000-0000B3030000}"/>
    <cellStyle name="Normal 3 3 2 3 2 3 2" xfId="1899" xr:uid="{00000000-0005-0000-0000-0000B4030000}"/>
    <cellStyle name="Normal 3 3 2 3 2 3 2 2" xfId="4121" xr:uid="{00000000-0005-0000-0000-0000B5030000}"/>
    <cellStyle name="Normal 3 3 2 3 2 3 2 2 2" xfId="8121" xr:uid="{00000000-0005-0000-0000-0000B5030000}"/>
    <cellStyle name="Normal 3 3 2 3 2 3 2 3" xfId="6120" xr:uid="{00000000-0005-0000-0000-0000B5030000}"/>
    <cellStyle name="Normal 3 3 2 3 2 3 3" xfId="3123" xr:uid="{00000000-0005-0000-0000-0000B4030000}"/>
    <cellStyle name="Normal 3 3 2 3 2 3 3 2" xfId="7122" xr:uid="{00000000-0005-0000-0000-0000B4030000}"/>
    <cellStyle name="Normal 3 3 2 3 2 3 4" xfId="5121" xr:uid="{00000000-0005-0000-0000-0000B4030000}"/>
    <cellStyle name="Normal 3 3 2 3 2 4" xfId="1403" xr:uid="{00000000-0005-0000-0000-0000B5030000}"/>
    <cellStyle name="Normal 3 3 2 3 2 4 2" xfId="3625" xr:uid="{00000000-0005-0000-0000-0000B6030000}"/>
    <cellStyle name="Normal 3 3 2 3 2 4 2 2" xfId="7625" xr:uid="{00000000-0005-0000-0000-0000B6030000}"/>
    <cellStyle name="Normal 3 3 2 3 2 4 3" xfId="5624" xr:uid="{00000000-0005-0000-0000-0000B6030000}"/>
    <cellStyle name="Normal 3 3 2 3 2 5" xfId="2634" xr:uid="{00000000-0005-0000-0000-0000AF030000}"/>
    <cellStyle name="Normal 3 3 2 3 2 5 2" xfId="6626" xr:uid="{00000000-0005-0000-0000-0000AF030000}"/>
    <cellStyle name="Normal 3 3 2 3 2 6" xfId="4625" xr:uid="{00000000-0005-0000-0000-0000AF030000}"/>
    <cellStyle name="Normal 3 3 2 3 3" xfId="447" xr:uid="{00000000-0005-0000-0000-0000B6030000}"/>
    <cellStyle name="Normal 3 3 2 3 3 2" xfId="694" xr:uid="{00000000-0005-0000-0000-0000B7030000}"/>
    <cellStyle name="Normal 3 3 2 3 3 2 2" xfId="1191" xr:uid="{00000000-0005-0000-0000-0000B8030000}"/>
    <cellStyle name="Normal 3 3 2 3 3 2 2 2" xfId="2193" xr:uid="{00000000-0005-0000-0000-0000B9030000}"/>
    <cellStyle name="Normal 3 3 2 3 3 2 2 2 2" xfId="4415" xr:uid="{00000000-0005-0000-0000-0000BA030000}"/>
    <cellStyle name="Normal 3 3 2 3 3 2 2 2 2 2" xfId="8415" xr:uid="{00000000-0005-0000-0000-0000BA030000}"/>
    <cellStyle name="Normal 3 3 2 3 3 2 2 2 3" xfId="6414" xr:uid="{00000000-0005-0000-0000-0000BA030000}"/>
    <cellStyle name="Normal 3 3 2 3 3 2 2 3" xfId="3417" xr:uid="{00000000-0005-0000-0000-0000B9030000}"/>
    <cellStyle name="Normal 3 3 2 3 3 2 2 3 2" xfId="7416" xr:uid="{00000000-0005-0000-0000-0000B9030000}"/>
    <cellStyle name="Normal 3 3 2 3 3 2 2 4" xfId="5415" xr:uid="{00000000-0005-0000-0000-0000B9030000}"/>
    <cellStyle name="Normal 3 3 2 3 3 2 3" xfId="1697" xr:uid="{00000000-0005-0000-0000-0000BA030000}"/>
    <cellStyle name="Normal 3 3 2 3 3 2 3 2" xfId="3919" xr:uid="{00000000-0005-0000-0000-0000BB030000}"/>
    <cellStyle name="Normal 3 3 2 3 3 2 3 2 2" xfId="7919" xr:uid="{00000000-0005-0000-0000-0000BB030000}"/>
    <cellStyle name="Normal 3 3 2 3 3 2 3 3" xfId="5918" xr:uid="{00000000-0005-0000-0000-0000BB030000}"/>
    <cellStyle name="Normal 3 3 2 3 3 2 4" xfId="2921" xr:uid="{00000000-0005-0000-0000-0000B8030000}"/>
    <cellStyle name="Normal 3 3 2 3 3 2 4 2" xfId="6920" xr:uid="{00000000-0005-0000-0000-0000B8030000}"/>
    <cellStyle name="Normal 3 3 2 3 3 2 5" xfId="4919" xr:uid="{00000000-0005-0000-0000-0000B8030000}"/>
    <cellStyle name="Normal 3 3 2 3 3 3" xfId="943" xr:uid="{00000000-0005-0000-0000-0000BB030000}"/>
    <cellStyle name="Normal 3 3 2 3 3 3 2" xfId="1945" xr:uid="{00000000-0005-0000-0000-0000BC030000}"/>
    <cellStyle name="Normal 3 3 2 3 3 3 2 2" xfId="4167" xr:uid="{00000000-0005-0000-0000-0000BD030000}"/>
    <cellStyle name="Normal 3 3 2 3 3 3 2 2 2" xfId="8167" xr:uid="{00000000-0005-0000-0000-0000BD030000}"/>
    <cellStyle name="Normal 3 3 2 3 3 3 2 3" xfId="6166" xr:uid="{00000000-0005-0000-0000-0000BD030000}"/>
    <cellStyle name="Normal 3 3 2 3 3 3 3" xfId="3169" xr:uid="{00000000-0005-0000-0000-0000BC030000}"/>
    <cellStyle name="Normal 3 3 2 3 3 3 3 2" xfId="7168" xr:uid="{00000000-0005-0000-0000-0000BC030000}"/>
    <cellStyle name="Normal 3 3 2 3 3 3 4" xfId="5167" xr:uid="{00000000-0005-0000-0000-0000BC030000}"/>
    <cellStyle name="Normal 3 3 2 3 3 4" xfId="1449" xr:uid="{00000000-0005-0000-0000-0000BD030000}"/>
    <cellStyle name="Normal 3 3 2 3 3 4 2" xfId="3671" xr:uid="{00000000-0005-0000-0000-0000BE030000}"/>
    <cellStyle name="Normal 3 3 2 3 3 4 2 2" xfId="7671" xr:uid="{00000000-0005-0000-0000-0000BE030000}"/>
    <cellStyle name="Normal 3 3 2 3 3 4 3" xfId="5670" xr:uid="{00000000-0005-0000-0000-0000BE030000}"/>
    <cellStyle name="Normal 3 3 2 3 3 5" xfId="2674" xr:uid="{00000000-0005-0000-0000-0000B7030000}"/>
    <cellStyle name="Normal 3 3 2 3 3 5 2" xfId="6672" xr:uid="{00000000-0005-0000-0000-0000B7030000}"/>
    <cellStyle name="Normal 3 3 2 3 3 6" xfId="4671" xr:uid="{00000000-0005-0000-0000-0000B7030000}"/>
    <cellStyle name="Normal 3 3 2 3 4" xfId="533" xr:uid="{00000000-0005-0000-0000-0000BE030000}"/>
    <cellStyle name="Normal 3 3 2 3 4 2" xfId="780" xr:uid="{00000000-0005-0000-0000-0000BF030000}"/>
    <cellStyle name="Normal 3 3 2 3 4 2 2" xfId="1278" xr:uid="{00000000-0005-0000-0000-0000C0030000}"/>
    <cellStyle name="Normal 3 3 2 3 4 2 2 2" xfId="2280" xr:uid="{00000000-0005-0000-0000-0000C1030000}"/>
    <cellStyle name="Normal 3 3 2 3 4 2 2 2 2" xfId="4502" xr:uid="{00000000-0005-0000-0000-0000C2030000}"/>
    <cellStyle name="Normal 3 3 2 3 4 2 2 2 2 2" xfId="8502" xr:uid="{00000000-0005-0000-0000-0000C2030000}"/>
    <cellStyle name="Normal 3 3 2 3 4 2 2 2 3" xfId="6501" xr:uid="{00000000-0005-0000-0000-0000C2030000}"/>
    <cellStyle name="Normal 3 3 2 3 4 2 2 3" xfId="3504" xr:uid="{00000000-0005-0000-0000-0000C1030000}"/>
    <cellStyle name="Normal 3 3 2 3 4 2 2 3 2" xfId="7503" xr:uid="{00000000-0005-0000-0000-0000C1030000}"/>
    <cellStyle name="Normal 3 3 2 3 4 2 2 4" xfId="5502" xr:uid="{00000000-0005-0000-0000-0000C1030000}"/>
    <cellStyle name="Normal 3 3 2 3 4 2 3" xfId="1784" xr:uid="{00000000-0005-0000-0000-0000C2030000}"/>
    <cellStyle name="Normal 3 3 2 3 4 2 3 2" xfId="4006" xr:uid="{00000000-0005-0000-0000-0000C3030000}"/>
    <cellStyle name="Normal 3 3 2 3 4 2 3 2 2" xfId="8006" xr:uid="{00000000-0005-0000-0000-0000C3030000}"/>
    <cellStyle name="Normal 3 3 2 3 4 2 3 3" xfId="6005" xr:uid="{00000000-0005-0000-0000-0000C3030000}"/>
    <cellStyle name="Normal 3 3 2 3 4 2 4" xfId="3008" xr:uid="{00000000-0005-0000-0000-0000C0030000}"/>
    <cellStyle name="Normal 3 3 2 3 4 2 4 2" xfId="7007" xr:uid="{00000000-0005-0000-0000-0000C0030000}"/>
    <cellStyle name="Normal 3 3 2 3 4 2 5" xfId="5006" xr:uid="{00000000-0005-0000-0000-0000C0030000}"/>
    <cellStyle name="Normal 3 3 2 3 4 3" xfId="1030" xr:uid="{00000000-0005-0000-0000-0000C3030000}"/>
    <cellStyle name="Normal 3 3 2 3 4 3 2" xfId="2032" xr:uid="{00000000-0005-0000-0000-0000C4030000}"/>
    <cellStyle name="Normal 3 3 2 3 4 3 2 2" xfId="4254" xr:uid="{00000000-0005-0000-0000-0000C5030000}"/>
    <cellStyle name="Normal 3 3 2 3 4 3 2 2 2" xfId="8254" xr:uid="{00000000-0005-0000-0000-0000C5030000}"/>
    <cellStyle name="Normal 3 3 2 3 4 3 2 3" xfId="6253" xr:uid="{00000000-0005-0000-0000-0000C5030000}"/>
    <cellStyle name="Normal 3 3 2 3 4 3 3" xfId="3256" xr:uid="{00000000-0005-0000-0000-0000C4030000}"/>
    <cellStyle name="Normal 3 3 2 3 4 3 3 2" xfId="7255" xr:uid="{00000000-0005-0000-0000-0000C4030000}"/>
    <cellStyle name="Normal 3 3 2 3 4 3 4" xfId="5254" xr:uid="{00000000-0005-0000-0000-0000C4030000}"/>
    <cellStyle name="Normal 3 3 2 3 4 4" xfId="1536" xr:uid="{00000000-0005-0000-0000-0000C5030000}"/>
    <cellStyle name="Normal 3 3 2 3 4 4 2" xfId="3758" xr:uid="{00000000-0005-0000-0000-0000C6030000}"/>
    <cellStyle name="Normal 3 3 2 3 4 4 2 2" xfId="7758" xr:uid="{00000000-0005-0000-0000-0000C6030000}"/>
    <cellStyle name="Normal 3 3 2 3 4 4 3" xfId="5757" xr:uid="{00000000-0005-0000-0000-0000C6030000}"/>
    <cellStyle name="Normal 3 3 2 3 4 5" xfId="2761" xr:uid="{00000000-0005-0000-0000-0000BF030000}"/>
    <cellStyle name="Normal 3 3 2 3 4 5 2" xfId="6759" xr:uid="{00000000-0005-0000-0000-0000BF030000}"/>
    <cellStyle name="Normal 3 3 2 3 4 6" xfId="4758" xr:uid="{00000000-0005-0000-0000-0000BF030000}"/>
    <cellStyle name="Normal 3 3 2 3 5" xfId="579" xr:uid="{00000000-0005-0000-0000-0000C6030000}"/>
    <cellStyle name="Normal 3 3 2 3 5 2" xfId="1077" xr:uid="{00000000-0005-0000-0000-0000C7030000}"/>
    <cellStyle name="Normal 3 3 2 3 5 2 2" xfId="2079" xr:uid="{00000000-0005-0000-0000-0000C8030000}"/>
    <cellStyle name="Normal 3 3 2 3 5 2 2 2" xfId="4301" xr:uid="{00000000-0005-0000-0000-0000C9030000}"/>
    <cellStyle name="Normal 3 3 2 3 5 2 2 2 2" xfId="8301" xr:uid="{00000000-0005-0000-0000-0000C9030000}"/>
    <cellStyle name="Normal 3 3 2 3 5 2 2 3" xfId="6300" xr:uid="{00000000-0005-0000-0000-0000C9030000}"/>
    <cellStyle name="Normal 3 3 2 3 5 2 3" xfId="3303" xr:uid="{00000000-0005-0000-0000-0000C8030000}"/>
    <cellStyle name="Normal 3 3 2 3 5 2 3 2" xfId="7302" xr:uid="{00000000-0005-0000-0000-0000C8030000}"/>
    <cellStyle name="Normal 3 3 2 3 5 2 4" xfId="5301" xr:uid="{00000000-0005-0000-0000-0000C8030000}"/>
    <cellStyle name="Normal 3 3 2 3 5 3" xfId="1583" xr:uid="{00000000-0005-0000-0000-0000C9030000}"/>
    <cellStyle name="Normal 3 3 2 3 5 3 2" xfId="3805" xr:uid="{00000000-0005-0000-0000-0000CA030000}"/>
    <cellStyle name="Normal 3 3 2 3 5 3 2 2" xfId="7805" xr:uid="{00000000-0005-0000-0000-0000CA030000}"/>
    <cellStyle name="Normal 3 3 2 3 5 3 3" xfId="5804" xr:uid="{00000000-0005-0000-0000-0000CA030000}"/>
    <cellStyle name="Normal 3 3 2 3 5 4" xfId="2808" xr:uid="{00000000-0005-0000-0000-0000C7030000}"/>
    <cellStyle name="Normal 3 3 2 3 5 4 2" xfId="6806" xr:uid="{00000000-0005-0000-0000-0000C7030000}"/>
    <cellStyle name="Normal 3 3 2 3 5 5" xfId="4805" xr:uid="{00000000-0005-0000-0000-0000C7030000}"/>
    <cellStyle name="Normal 3 3 2 3 6" xfId="829" xr:uid="{00000000-0005-0000-0000-0000CA030000}"/>
    <cellStyle name="Normal 3 3 2 3 6 2" xfId="1831" xr:uid="{00000000-0005-0000-0000-0000CB030000}"/>
    <cellStyle name="Normal 3 3 2 3 6 2 2" xfId="4053" xr:uid="{00000000-0005-0000-0000-0000CC030000}"/>
    <cellStyle name="Normal 3 3 2 3 6 2 2 2" xfId="8053" xr:uid="{00000000-0005-0000-0000-0000CC030000}"/>
    <cellStyle name="Normal 3 3 2 3 6 2 3" xfId="6052" xr:uid="{00000000-0005-0000-0000-0000CC030000}"/>
    <cellStyle name="Normal 3 3 2 3 6 3" xfId="3055" xr:uid="{00000000-0005-0000-0000-0000CB030000}"/>
    <cellStyle name="Normal 3 3 2 3 6 3 2" xfId="7054" xr:uid="{00000000-0005-0000-0000-0000CB030000}"/>
    <cellStyle name="Normal 3 3 2 3 6 4" xfId="5053" xr:uid="{00000000-0005-0000-0000-0000CB030000}"/>
    <cellStyle name="Normal 3 3 2 3 7" xfId="1335" xr:uid="{00000000-0005-0000-0000-0000CC030000}"/>
    <cellStyle name="Normal 3 3 2 3 7 2" xfId="3557" xr:uid="{00000000-0005-0000-0000-0000CD030000}"/>
    <cellStyle name="Normal 3 3 2 3 7 2 2" xfId="7557" xr:uid="{00000000-0005-0000-0000-0000CD030000}"/>
    <cellStyle name="Normal 3 3 2 3 7 3" xfId="5556" xr:uid="{00000000-0005-0000-0000-0000CD030000}"/>
    <cellStyle name="Normal 3 3 2 3 8" xfId="2570" xr:uid="{00000000-0005-0000-0000-0000AE030000}"/>
    <cellStyle name="Normal 3 3 2 3 8 2" xfId="6558" xr:uid="{00000000-0005-0000-0000-0000AE030000}"/>
    <cellStyle name="Normal 3 3 2 3 9" xfId="4557" xr:uid="{00000000-0005-0000-0000-0000AE030000}"/>
    <cellStyle name="Normal 3 3 2 4" xfId="358" xr:uid="{00000000-0005-0000-0000-0000CD030000}"/>
    <cellStyle name="Normal 3 3 2 4 2" xfId="469" xr:uid="{00000000-0005-0000-0000-0000CE030000}"/>
    <cellStyle name="Normal 3 3 2 4 2 2" xfId="716" xr:uid="{00000000-0005-0000-0000-0000CF030000}"/>
    <cellStyle name="Normal 3 3 2 4 2 2 2" xfId="1213" xr:uid="{00000000-0005-0000-0000-0000D0030000}"/>
    <cellStyle name="Normal 3 3 2 4 2 2 2 2" xfId="2215" xr:uid="{00000000-0005-0000-0000-0000D1030000}"/>
    <cellStyle name="Normal 3 3 2 4 2 2 2 2 2" xfId="4437" xr:uid="{00000000-0005-0000-0000-0000D2030000}"/>
    <cellStyle name="Normal 3 3 2 4 2 2 2 2 2 2" xfId="8437" xr:uid="{00000000-0005-0000-0000-0000D2030000}"/>
    <cellStyle name="Normal 3 3 2 4 2 2 2 2 3" xfId="6436" xr:uid="{00000000-0005-0000-0000-0000D2030000}"/>
    <cellStyle name="Normal 3 3 2 4 2 2 2 3" xfId="3439" xr:uid="{00000000-0005-0000-0000-0000D1030000}"/>
    <cellStyle name="Normal 3 3 2 4 2 2 2 3 2" xfId="7438" xr:uid="{00000000-0005-0000-0000-0000D1030000}"/>
    <cellStyle name="Normal 3 3 2 4 2 2 2 4" xfId="5437" xr:uid="{00000000-0005-0000-0000-0000D1030000}"/>
    <cellStyle name="Normal 3 3 2 4 2 2 3" xfId="1719" xr:uid="{00000000-0005-0000-0000-0000D2030000}"/>
    <cellStyle name="Normal 3 3 2 4 2 2 3 2" xfId="3941" xr:uid="{00000000-0005-0000-0000-0000D3030000}"/>
    <cellStyle name="Normal 3 3 2 4 2 2 3 2 2" xfId="7941" xr:uid="{00000000-0005-0000-0000-0000D3030000}"/>
    <cellStyle name="Normal 3 3 2 4 2 2 3 3" xfId="5940" xr:uid="{00000000-0005-0000-0000-0000D3030000}"/>
    <cellStyle name="Normal 3 3 2 4 2 2 4" xfId="2943" xr:uid="{00000000-0005-0000-0000-0000D0030000}"/>
    <cellStyle name="Normal 3 3 2 4 2 2 4 2" xfId="6942" xr:uid="{00000000-0005-0000-0000-0000D0030000}"/>
    <cellStyle name="Normal 3 3 2 4 2 2 5" xfId="4941" xr:uid="{00000000-0005-0000-0000-0000D0030000}"/>
    <cellStyle name="Normal 3 3 2 4 2 3" xfId="965" xr:uid="{00000000-0005-0000-0000-0000D3030000}"/>
    <cellStyle name="Normal 3 3 2 4 2 3 2" xfId="1967" xr:uid="{00000000-0005-0000-0000-0000D4030000}"/>
    <cellStyle name="Normal 3 3 2 4 2 3 2 2" xfId="4189" xr:uid="{00000000-0005-0000-0000-0000D5030000}"/>
    <cellStyle name="Normal 3 3 2 4 2 3 2 2 2" xfId="8189" xr:uid="{00000000-0005-0000-0000-0000D5030000}"/>
    <cellStyle name="Normal 3 3 2 4 2 3 2 3" xfId="6188" xr:uid="{00000000-0005-0000-0000-0000D5030000}"/>
    <cellStyle name="Normal 3 3 2 4 2 3 3" xfId="3191" xr:uid="{00000000-0005-0000-0000-0000D4030000}"/>
    <cellStyle name="Normal 3 3 2 4 2 3 3 2" xfId="7190" xr:uid="{00000000-0005-0000-0000-0000D4030000}"/>
    <cellStyle name="Normal 3 3 2 4 2 3 4" xfId="5189" xr:uid="{00000000-0005-0000-0000-0000D4030000}"/>
    <cellStyle name="Normal 3 3 2 4 2 4" xfId="1471" xr:uid="{00000000-0005-0000-0000-0000D5030000}"/>
    <cellStyle name="Normal 3 3 2 4 2 4 2" xfId="3693" xr:uid="{00000000-0005-0000-0000-0000D6030000}"/>
    <cellStyle name="Normal 3 3 2 4 2 4 2 2" xfId="7693" xr:uid="{00000000-0005-0000-0000-0000D6030000}"/>
    <cellStyle name="Normal 3 3 2 4 2 4 3" xfId="5692" xr:uid="{00000000-0005-0000-0000-0000D6030000}"/>
    <cellStyle name="Normal 3 3 2 4 2 5" xfId="2696" xr:uid="{00000000-0005-0000-0000-0000CF030000}"/>
    <cellStyle name="Normal 3 3 2 4 2 5 2" xfId="6694" xr:uid="{00000000-0005-0000-0000-0000CF030000}"/>
    <cellStyle name="Normal 3 3 2 4 2 6" xfId="4693" xr:uid="{00000000-0005-0000-0000-0000CF030000}"/>
    <cellStyle name="Normal 3 3 2 4 3" xfId="601" xr:uid="{00000000-0005-0000-0000-0000D6030000}"/>
    <cellStyle name="Normal 3 3 2 4 3 2" xfId="1099" xr:uid="{00000000-0005-0000-0000-0000D7030000}"/>
    <cellStyle name="Normal 3 3 2 4 3 2 2" xfId="2101" xr:uid="{00000000-0005-0000-0000-0000D8030000}"/>
    <cellStyle name="Normal 3 3 2 4 3 2 2 2" xfId="4323" xr:uid="{00000000-0005-0000-0000-0000D9030000}"/>
    <cellStyle name="Normal 3 3 2 4 3 2 2 2 2" xfId="8323" xr:uid="{00000000-0005-0000-0000-0000D9030000}"/>
    <cellStyle name="Normal 3 3 2 4 3 2 2 3" xfId="6322" xr:uid="{00000000-0005-0000-0000-0000D9030000}"/>
    <cellStyle name="Normal 3 3 2 4 3 2 3" xfId="3325" xr:uid="{00000000-0005-0000-0000-0000D8030000}"/>
    <cellStyle name="Normal 3 3 2 4 3 2 3 2" xfId="7324" xr:uid="{00000000-0005-0000-0000-0000D8030000}"/>
    <cellStyle name="Normal 3 3 2 4 3 2 4" xfId="5323" xr:uid="{00000000-0005-0000-0000-0000D8030000}"/>
    <cellStyle name="Normal 3 3 2 4 3 3" xfId="1605" xr:uid="{00000000-0005-0000-0000-0000D9030000}"/>
    <cellStyle name="Normal 3 3 2 4 3 3 2" xfId="3827" xr:uid="{00000000-0005-0000-0000-0000DA030000}"/>
    <cellStyle name="Normal 3 3 2 4 3 3 2 2" xfId="7827" xr:uid="{00000000-0005-0000-0000-0000DA030000}"/>
    <cellStyle name="Normal 3 3 2 4 3 3 3" xfId="5826" xr:uid="{00000000-0005-0000-0000-0000DA030000}"/>
    <cellStyle name="Normal 3 3 2 4 3 4" xfId="2830" xr:uid="{00000000-0005-0000-0000-0000D7030000}"/>
    <cellStyle name="Normal 3 3 2 4 3 4 2" xfId="6828" xr:uid="{00000000-0005-0000-0000-0000D7030000}"/>
    <cellStyle name="Normal 3 3 2 4 3 5" xfId="4827" xr:uid="{00000000-0005-0000-0000-0000D7030000}"/>
    <cellStyle name="Normal 3 3 2 4 4" xfId="851" xr:uid="{00000000-0005-0000-0000-0000DA030000}"/>
    <cellStyle name="Normal 3 3 2 4 4 2" xfId="1853" xr:uid="{00000000-0005-0000-0000-0000DB030000}"/>
    <cellStyle name="Normal 3 3 2 4 4 2 2" xfId="4075" xr:uid="{00000000-0005-0000-0000-0000DC030000}"/>
    <cellStyle name="Normal 3 3 2 4 4 2 2 2" xfId="8075" xr:uid="{00000000-0005-0000-0000-0000DC030000}"/>
    <cellStyle name="Normal 3 3 2 4 4 2 3" xfId="6074" xr:uid="{00000000-0005-0000-0000-0000DC030000}"/>
    <cellStyle name="Normal 3 3 2 4 4 3" xfId="3077" xr:uid="{00000000-0005-0000-0000-0000DB030000}"/>
    <cellStyle name="Normal 3 3 2 4 4 3 2" xfId="7076" xr:uid="{00000000-0005-0000-0000-0000DB030000}"/>
    <cellStyle name="Normal 3 3 2 4 4 4" xfId="5075" xr:uid="{00000000-0005-0000-0000-0000DB030000}"/>
    <cellStyle name="Normal 3 3 2 4 5" xfId="1357" xr:uid="{00000000-0005-0000-0000-0000DC030000}"/>
    <cellStyle name="Normal 3 3 2 4 5 2" xfId="3579" xr:uid="{00000000-0005-0000-0000-0000DD030000}"/>
    <cellStyle name="Normal 3 3 2 4 5 2 2" xfId="7579" xr:uid="{00000000-0005-0000-0000-0000DD030000}"/>
    <cellStyle name="Normal 3 3 2 4 5 3" xfId="5578" xr:uid="{00000000-0005-0000-0000-0000DD030000}"/>
    <cellStyle name="Normal 3 3 2 4 6" xfId="2591" xr:uid="{00000000-0005-0000-0000-0000CE030000}"/>
    <cellStyle name="Normal 3 3 2 4 6 2" xfId="6580" xr:uid="{00000000-0005-0000-0000-0000CE030000}"/>
    <cellStyle name="Normal 3 3 2 4 7" xfId="4579" xr:uid="{00000000-0005-0000-0000-0000CE030000}"/>
    <cellStyle name="Normal 3 3 2 5" xfId="378" xr:uid="{00000000-0005-0000-0000-0000DD030000}"/>
    <cellStyle name="Normal 3 3 2 5 2" xfId="624" xr:uid="{00000000-0005-0000-0000-0000DE030000}"/>
    <cellStyle name="Normal 3 3 2 5 2 2" xfId="1121" xr:uid="{00000000-0005-0000-0000-0000DF030000}"/>
    <cellStyle name="Normal 3 3 2 5 2 2 2" xfId="2123" xr:uid="{00000000-0005-0000-0000-0000E0030000}"/>
    <cellStyle name="Normal 3 3 2 5 2 2 2 2" xfId="4345" xr:uid="{00000000-0005-0000-0000-0000E1030000}"/>
    <cellStyle name="Normal 3 3 2 5 2 2 2 2 2" xfId="8345" xr:uid="{00000000-0005-0000-0000-0000E1030000}"/>
    <cellStyle name="Normal 3 3 2 5 2 2 2 3" xfId="6344" xr:uid="{00000000-0005-0000-0000-0000E1030000}"/>
    <cellStyle name="Normal 3 3 2 5 2 2 3" xfId="3347" xr:uid="{00000000-0005-0000-0000-0000E0030000}"/>
    <cellStyle name="Normal 3 3 2 5 2 2 3 2" xfId="7346" xr:uid="{00000000-0005-0000-0000-0000E0030000}"/>
    <cellStyle name="Normal 3 3 2 5 2 2 4" xfId="5345" xr:uid="{00000000-0005-0000-0000-0000E0030000}"/>
    <cellStyle name="Normal 3 3 2 5 2 3" xfId="1627" xr:uid="{00000000-0005-0000-0000-0000E1030000}"/>
    <cellStyle name="Normal 3 3 2 5 2 3 2" xfId="3849" xr:uid="{00000000-0005-0000-0000-0000E2030000}"/>
    <cellStyle name="Normal 3 3 2 5 2 3 2 2" xfId="7849" xr:uid="{00000000-0005-0000-0000-0000E2030000}"/>
    <cellStyle name="Normal 3 3 2 5 2 3 3" xfId="5848" xr:uid="{00000000-0005-0000-0000-0000E2030000}"/>
    <cellStyle name="Normal 3 3 2 5 2 4" xfId="2851" xr:uid="{00000000-0005-0000-0000-0000DF030000}"/>
    <cellStyle name="Normal 3 3 2 5 2 4 2" xfId="6850" xr:uid="{00000000-0005-0000-0000-0000DF030000}"/>
    <cellStyle name="Normal 3 3 2 5 2 5" xfId="4849" xr:uid="{00000000-0005-0000-0000-0000DF030000}"/>
    <cellStyle name="Normal 3 3 2 5 3" xfId="873" xr:uid="{00000000-0005-0000-0000-0000E2030000}"/>
    <cellStyle name="Normal 3 3 2 5 3 2" xfId="1875" xr:uid="{00000000-0005-0000-0000-0000E3030000}"/>
    <cellStyle name="Normal 3 3 2 5 3 2 2" xfId="4097" xr:uid="{00000000-0005-0000-0000-0000E4030000}"/>
    <cellStyle name="Normal 3 3 2 5 3 2 2 2" xfId="8097" xr:uid="{00000000-0005-0000-0000-0000E4030000}"/>
    <cellStyle name="Normal 3 3 2 5 3 2 3" xfId="6096" xr:uid="{00000000-0005-0000-0000-0000E4030000}"/>
    <cellStyle name="Normal 3 3 2 5 3 3" xfId="3099" xr:uid="{00000000-0005-0000-0000-0000E3030000}"/>
    <cellStyle name="Normal 3 3 2 5 3 3 2" xfId="7098" xr:uid="{00000000-0005-0000-0000-0000E3030000}"/>
    <cellStyle name="Normal 3 3 2 5 3 4" xfId="5097" xr:uid="{00000000-0005-0000-0000-0000E3030000}"/>
    <cellStyle name="Normal 3 3 2 5 4" xfId="1379" xr:uid="{00000000-0005-0000-0000-0000E4030000}"/>
    <cellStyle name="Normal 3 3 2 5 4 2" xfId="3601" xr:uid="{00000000-0005-0000-0000-0000E5030000}"/>
    <cellStyle name="Normal 3 3 2 5 4 2 2" xfId="7601" xr:uid="{00000000-0005-0000-0000-0000E5030000}"/>
    <cellStyle name="Normal 3 3 2 5 4 3" xfId="5600" xr:uid="{00000000-0005-0000-0000-0000E5030000}"/>
    <cellStyle name="Normal 3 3 2 5 5" xfId="2612" xr:uid="{00000000-0005-0000-0000-0000DE030000}"/>
    <cellStyle name="Normal 3 3 2 5 5 2" xfId="6602" xr:uid="{00000000-0005-0000-0000-0000DE030000}"/>
    <cellStyle name="Normal 3 3 2 5 6" xfId="4601" xr:uid="{00000000-0005-0000-0000-0000DE030000}"/>
    <cellStyle name="Normal 3 3 2 6" xfId="423" xr:uid="{00000000-0005-0000-0000-0000E5030000}"/>
    <cellStyle name="Normal 3 3 2 6 2" xfId="670" xr:uid="{00000000-0005-0000-0000-0000E6030000}"/>
    <cellStyle name="Normal 3 3 2 6 2 2" xfId="1167" xr:uid="{00000000-0005-0000-0000-0000E7030000}"/>
    <cellStyle name="Normal 3 3 2 6 2 2 2" xfId="2169" xr:uid="{00000000-0005-0000-0000-0000E8030000}"/>
    <cellStyle name="Normal 3 3 2 6 2 2 2 2" xfId="4391" xr:uid="{00000000-0005-0000-0000-0000E9030000}"/>
    <cellStyle name="Normal 3 3 2 6 2 2 2 2 2" xfId="8391" xr:uid="{00000000-0005-0000-0000-0000E9030000}"/>
    <cellStyle name="Normal 3 3 2 6 2 2 2 3" xfId="6390" xr:uid="{00000000-0005-0000-0000-0000E9030000}"/>
    <cellStyle name="Normal 3 3 2 6 2 2 3" xfId="3393" xr:uid="{00000000-0005-0000-0000-0000E8030000}"/>
    <cellStyle name="Normal 3 3 2 6 2 2 3 2" xfId="7392" xr:uid="{00000000-0005-0000-0000-0000E8030000}"/>
    <cellStyle name="Normal 3 3 2 6 2 2 4" xfId="5391" xr:uid="{00000000-0005-0000-0000-0000E8030000}"/>
    <cellStyle name="Normal 3 3 2 6 2 3" xfId="1673" xr:uid="{00000000-0005-0000-0000-0000E9030000}"/>
    <cellStyle name="Normal 3 3 2 6 2 3 2" xfId="3895" xr:uid="{00000000-0005-0000-0000-0000EA030000}"/>
    <cellStyle name="Normal 3 3 2 6 2 3 2 2" xfId="7895" xr:uid="{00000000-0005-0000-0000-0000EA030000}"/>
    <cellStyle name="Normal 3 3 2 6 2 3 3" xfId="5894" xr:uid="{00000000-0005-0000-0000-0000EA030000}"/>
    <cellStyle name="Normal 3 3 2 6 2 4" xfId="2897" xr:uid="{00000000-0005-0000-0000-0000E7030000}"/>
    <cellStyle name="Normal 3 3 2 6 2 4 2" xfId="6896" xr:uid="{00000000-0005-0000-0000-0000E7030000}"/>
    <cellStyle name="Normal 3 3 2 6 2 5" xfId="4895" xr:uid="{00000000-0005-0000-0000-0000E7030000}"/>
    <cellStyle name="Normal 3 3 2 6 3" xfId="919" xr:uid="{00000000-0005-0000-0000-0000EA030000}"/>
    <cellStyle name="Normal 3 3 2 6 3 2" xfId="1921" xr:uid="{00000000-0005-0000-0000-0000EB030000}"/>
    <cellStyle name="Normal 3 3 2 6 3 2 2" xfId="4143" xr:uid="{00000000-0005-0000-0000-0000EC030000}"/>
    <cellStyle name="Normal 3 3 2 6 3 2 2 2" xfId="8143" xr:uid="{00000000-0005-0000-0000-0000EC030000}"/>
    <cellStyle name="Normal 3 3 2 6 3 2 3" xfId="6142" xr:uid="{00000000-0005-0000-0000-0000EC030000}"/>
    <cellStyle name="Normal 3 3 2 6 3 3" xfId="3145" xr:uid="{00000000-0005-0000-0000-0000EB030000}"/>
    <cellStyle name="Normal 3 3 2 6 3 3 2" xfId="7144" xr:uid="{00000000-0005-0000-0000-0000EB030000}"/>
    <cellStyle name="Normal 3 3 2 6 3 4" xfId="5143" xr:uid="{00000000-0005-0000-0000-0000EB030000}"/>
    <cellStyle name="Normal 3 3 2 6 4" xfId="1425" xr:uid="{00000000-0005-0000-0000-0000EC030000}"/>
    <cellStyle name="Normal 3 3 2 6 4 2" xfId="3647" xr:uid="{00000000-0005-0000-0000-0000ED030000}"/>
    <cellStyle name="Normal 3 3 2 6 4 2 2" xfId="7647" xr:uid="{00000000-0005-0000-0000-0000ED030000}"/>
    <cellStyle name="Normal 3 3 2 6 4 3" xfId="5646" xr:uid="{00000000-0005-0000-0000-0000ED030000}"/>
    <cellStyle name="Normal 3 3 2 6 5" xfId="2651" xr:uid="{00000000-0005-0000-0000-0000E6030000}"/>
    <cellStyle name="Normal 3 3 2 6 5 2" xfId="6648" xr:uid="{00000000-0005-0000-0000-0000E6030000}"/>
    <cellStyle name="Normal 3 3 2 6 6" xfId="4647" xr:uid="{00000000-0005-0000-0000-0000E6030000}"/>
    <cellStyle name="Normal 3 3 2 7" xfId="489" xr:uid="{00000000-0005-0000-0000-0000ED030000}"/>
    <cellStyle name="Normal 3 3 2 7 2" xfId="736" xr:uid="{00000000-0005-0000-0000-0000EE030000}"/>
    <cellStyle name="Normal 3 3 2 7 2 2" xfId="1233" xr:uid="{00000000-0005-0000-0000-0000EF030000}"/>
    <cellStyle name="Normal 3 3 2 7 2 2 2" xfId="2235" xr:uid="{00000000-0005-0000-0000-0000F0030000}"/>
    <cellStyle name="Normal 3 3 2 7 2 2 2 2" xfId="4457" xr:uid="{00000000-0005-0000-0000-0000F1030000}"/>
    <cellStyle name="Normal 3 3 2 7 2 2 2 2 2" xfId="8457" xr:uid="{00000000-0005-0000-0000-0000F1030000}"/>
    <cellStyle name="Normal 3 3 2 7 2 2 2 3" xfId="6456" xr:uid="{00000000-0005-0000-0000-0000F1030000}"/>
    <cellStyle name="Normal 3 3 2 7 2 2 3" xfId="3459" xr:uid="{00000000-0005-0000-0000-0000F0030000}"/>
    <cellStyle name="Normal 3 3 2 7 2 2 3 2" xfId="7458" xr:uid="{00000000-0005-0000-0000-0000F0030000}"/>
    <cellStyle name="Normal 3 3 2 7 2 2 4" xfId="5457" xr:uid="{00000000-0005-0000-0000-0000F0030000}"/>
    <cellStyle name="Normal 3 3 2 7 2 3" xfId="1739" xr:uid="{00000000-0005-0000-0000-0000F1030000}"/>
    <cellStyle name="Normal 3 3 2 7 2 3 2" xfId="3961" xr:uid="{00000000-0005-0000-0000-0000F2030000}"/>
    <cellStyle name="Normal 3 3 2 7 2 3 2 2" xfId="7961" xr:uid="{00000000-0005-0000-0000-0000F2030000}"/>
    <cellStyle name="Normal 3 3 2 7 2 3 3" xfId="5960" xr:uid="{00000000-0005-0000-0000-0000F2030000}"/>
    <cellStyle name="Normal 3 3 2 7 2 4" xfId="2963" xr:uid="{00000000-0005-0000-0000-0000EF030000}"/>
    <cellStyle name="Normal 3 3 2 7 2 4 2" xfId="6962" xr:uid="{00000000-0005-0000-0000-0000EF030000}"/>
    <cellStyle name="Normal 3 3 2 7 2 5" xfId="4961" xr:uid="{00000000-0005-0000-0000-0000EF030000}"/>
    <cellStyle name="Normal 3 3 2 7 3" xfId="985" xr:uid="{00000000-0005-0000-0000-0000F2030000}"/>
    <cellStyle name="Normal 3 3 2 7 3 2" xfId="1987" xr:uid="{00000000-0005-0000-0000-0000F3030000}"/>
    <cellStyle name="Normal 3 3 2 7 3 2 2" xfId="4209" xr:uid="{00000000-0005-0000-0000-0000F4030000}"/>
    <cellStyle name="Normal 3 3 2 7 3 2 2 2" xfId="8209" xr:uid="{00000000-0005-0000-0000-0000F4030000}"/>
    <cellStyle name="Normal 3 3 2 7 3 2 3" xfId="6208" xr:uid="{00000000-0005-0000-0000-0000F4030000}"/>
    <cellStyle name="Normal 3 3 2 7 3 3" xfId="3211" xr:uid="{00000000-0005-0000-0000-0000F3030000}"/>
    <cellStyle name="Normal 3 3 2 7 3 3 2" xfId="7210" xr:uid="{00000000-0005-0000-0000-0000F3030000}"/>
    <cellStyle name="Normal 3 3 2 7 3 4" xfId="5209" xr:uid="{00000000-0005-0000-0000-0000F3030000}"/>
    <cellStyle name="Normal 3 3 2 7 4" xfId="1491" xr:uid="{00000000-0005-0000-0000-0000F4030000}"/>
    <cellStyle name="Normal 3 3 2 7 4 2" xfId="3713" xr:uid="{00000000-0005-0000-0000-0000F5030000}"/>
    <cellStyle name="Normal 3 3 2 7 4 2 2" xfId="7713" xr:uid="{00000000-0005-0000-0000-0000F5030000}"/>
    <cellStyle name="Normal 3 3 2 7 4 3" xfId="5712" xr:uid="{00000000-0005-0000-0000-0000F5030000}"/>
    <cellStyle name="Normal 3 3 2 7 5" xfId="2716" xr:uid="{00000000-0005-0000-0000-0000EE030000}"/>
    <cellStyle name="Normal 3 3 2 7 5 2" xfId="6714" xr:uid="{00000000-0005-0000-0000-0000EE030000}"/>
    <cellStyle name="Normal 3 3 2 7 6" xfId="4713" xr:uid="{00000000-0005-0000-0000-0000EE030000}"/>
    <cellStyle name="Normal 3 3 2 8" xfId="509" xr:uid="{00000000-0005-0000-0000-0000F5030000}"/>
    <cellStyle name="Normal 3 3 2 8 2" xfId="756" xr:uid="{00000000-0005-0000-0000-0000F6030000}"/>
    <cellStyle name="Normal 3 3 2 8 2 2" xfId="1254" xr:uid="{00000000-0005-0000-0000-0000F7030000}"/>
    <cellStyle name="Normal 3 3 2 8 2 2 2" xfId="2256" xr:uid="{00000000-0005-0000-0000-0000F8030000}"/>
    <cellStyle name="Normal 3 3 2 8 2 2 2 2" xfId="4478" xr:uid="{00000000-0005-0000-0000-0000F9030000}"/>
    <cellStyle name="Normal 3 3 2 8 2 2 2 2 2" xfId="8478" xr:uid="{00000000-0005-0000-0000-0000F9030000}"/>
    <cellStyle name="Normal 3 3 2 8 2 2 2 3" xfId="6477" xr:uid="{00000000-0005-0000-0000-0000F9030000}"/>
    <cellStyle name="Normal 3 3 2 8 2 2 3" xfId="3480" xr:uid="{00000000-0005-0000-0000-0000F8030000}"/>
    <cellStyle name="Normal 3 3 2 8 2 2 3 2" xfId="7479" xr:uid="{00000000-0005-0000-0000-0000F8030000}"/>
    <cellStyle name="Normal 3 3 2 8 2 2 4" xfId="5478" xr:uid="{00000000-0005-0000-0000-0000F8030000}"/>
    <cellStyle name="Normal 3 3 2 8 2 3" xfId="1760" xr:uid="{00000000-0005-0000-0000-0000F9030000}"/>
    <cellStyle name="Normal 3 3 2 8 2 3 2" xfId="3982" xr:uid="{00000000-0005-0000-0000-0000FA030000}"/>
    <cellStyle name="Normal 3 3 2 8 2 3 2 2" xfId="7982" xr:uid="{00000000-0005-0000-0000-0000FA030000}"/>
    <cellStyle name="Normal 3 3 2 8 2 3 3" xfId="5981" xr:uid="{00000000-0005-0000-0000-0000FA030000}"/>
    <cellStyle name="Normal 3 3 2 8 2 4" xfId="2984" xr:uid="{00000000-0005-0000-0000-0000F7030000}"/>
    <cellStyle name="Normal 3 3 2 8 2 4 2" xfId="6983" xr:uid="{00000000-0005-0000-0000-0000F7030000}"/>
    <cellStyle name="Normal 3 3 2 8 2 5" xfId="4982" xr:uid="{00000000-0005-0000-0000-0000F7030000}"/>
    <cellStyle name="Normal 3 3 2 8 3" xfId="1006" xr:uid="{00000000-0005-0000-0000-0000FA030000}"/>
    <cellStyle name="Normal 3 3 2 8 3 2" xfId="2008" xr:uid="{00000000-0005-0000-0000-0000FB030000}"/>
    <cellStyle name="Normal 3 3 2 8 3 2 2" xfId="4230" xr:uid="{00000000-0005-0000-0000-0000FC030000}"/>
    <cellStyle name="Normal 3 3 2 8 3 2 2 2" xfId="8230" xr:uid="{00000000-0005-0000-0000-0000FC030000}"/>
    <cellStyle name="Normal 3 3 2 8 3 2 3" xfId="6229" xr:uid="{00000000-0005-0000-0000-0000FC030000}"/>
    <cellStyle name="Normal 3 3 2 8 3 3" xfId="3232" xr:uid="{00000000-0005-0000-0000-0000FB030000}"/>
    <cellStyle name="Normal 3 3 2 8 3 3 2" xfId="7231" xr:uid="{00000000-0005-0000-0000-0000FB030000}"/>
    <cellStyle name="Normal 3 3 2 8 3 4" xfId="5230" xr:uid="{00000000-0005-0000-0000-0000FB030000}"/>
    <cellStyle name="Normal 3 3 2 8 4" xfId="1512" xr:uid="{00000000-0005-0000-0000-0000FC030000}"/>
    <cellStyle name="Normal 3 3 2 8 4 2" xfId="3734" xr:uid="{00000000-0005-0000-0000-0000FD030000}"/>
    <cellStyle name="Normal 3 3 2 8 4 2 2" xfId="7734" xr:uid="{00000000-0005-0000-0000-0000FD030000}"/>
    <cellStyle name="Normal 3 3 2 8 4 3" xfId="5733" xr:uid="{00000000-0005-0000-0000-0000FD030000}"/>
    <cellStyle name="Normal 3 3 2 8 5" xfId="2737" xr:uid="{00000000-0005-0000-0000-0000F6030000}"/>
    <cellStyle name="Normal 3 3 2 8 5 2" xfId="6735" xr:uid="{00000000-0005-0000-0000-0000F6030000}"/>
    <cellStyle name="Normal 3 3 2 8 6" xfId="4734" xr:uid="{00000000-0005-0000-0000-0000F6030000}"/>
    <cellStyle name="Normal 3 3 2 9" xfId="555" xr:uid="{00000000-0005-0000-0000-0000FD030000}"/>
    <cellStyle name="Normal 3 3 2 9 2" xfId="1053" xr:uid="{00000000-0005-0000-0000-0000FE030000}"/>
    <cellStyle name="Normal 3 3 2 9 2 2" xfId="2055" xr:uid="{00000000-0005-0000-0000-0000FF030000}"/>
    <cellStyle name="Normal 3 3 2 9 2 2 2" xfId="4277" xr:uid="{00000000-0005-0000-0000-000000040000}"/>
    <cellStyle name="Normal 3 3 2 9 2 2 2 2" xfId="8277" xr:uid="{00000000-0005-0000-0000-000000040000}"/>
    <cellStyle name="Normal 3 3 2 9 2 2 3" xfId="6276" xr:uid="{00000000-0005-0000-0000-000000040000}"/>
    <cellStyle name="Normal 3 3 2 9 2 3" xfId="3279" xr:uid="{00000000-0005-0000-0000-0000FF030000}"/>
    <cellStyle name="Normal 3 3 2 9 2 3 2" xfId="7278" xr:uid="{00000000-0005-0000-0000-0000FF030000}"/>
    <cellStyle name="Normal 3 3 2 9 2 4" xfId="5277" xr:uid="{00000000-0005-0000-0000-0000FF030000}"/>
    <cellStyle name="Normal 3 3 2 9 3" xfId="1559" xr:uid="{00000000-0005-0000-0000-000000040000}"/>
    <cellStyle name="Normal 3 3 2 9 3 2" xfId="3781" xr:uid="{00000000-0005-0000-0000-000001040000}"/>
    <cellStyle name="Normal 3 3 2 9 3 2 2" xfId="7781" xr:uid="{00000000-0005-0000-0000-000001040000}"/>
    <cellStyle name="Normal 3 3 2 9 3 3" xfId="5780" xr:uid="{00000000-0005-0000-0000-000001040000}"/>
    <cellStyle name="Normal 3 3 2 9 4" xfId="2784" xr:uid="{00000000-0005-0000-0000-0000FE030000}"/>
    <cellStyle name="Normal 3 3 2 9 4 2" xfId="6782" xr:uid="{00000000-0005-0000-0000-0000FE030000}"/>
    <cellStyle name="Normal 3 3 2 9 5" xfId="4781" xr:uid="{00000000-0005-0000-0000-0000FE030000}"/>
    <cellStyle name="Normal 3 3 3" xfId="327" xr:uid="{00000000-0005-0000-0000-000001040000}"/>
    <cellStyle name="Normal 3 3 3 10" xfId="1317" xr:uid="{00000000-0005-0000-0000-000002040000}"/>
    <cellStyle name="Normal 3 3 3 10 2" xfId="3539" xr:uid="{00000000-0005-0000-0000-000003040000}"/>
    <cellStyle name="Normal 3 3 3 10 2 2" xfId="7539" xr:uid="{00000000-0005-0000-0000-000003040000}"/>
    <cellStyle name="Normal 3 3 3 10 3" xfId="5538" xr:uid="{00000000-0005-0000-0000-000003040000}"/>
    <cellStyle name="Normal 3 3 3 11" xfId="2552" xr:uid="{00000000-0005-0000-0000-000002040000}"/>
    <cellStyle name="Normal 3 3 3 11 2" xfId="6540" xr:uid="{00000000-0005-0000-0000-000002040000}"/>
    <cellStyle name="Normal 3 3 3 12" xfId="4539" xr:uid="{00000000-0005-0000-0000-000002040000}"/>
    <cellStyle name="Normal 3 3 3 2" xfId="345" xr:uid="{00000000-0005-0000-0000-000003040000}"/>
    <cellStyle name="Normal 3 3 3 2 2" xfId="407" xr:uid="{00000000-0005-0000-0000-000004040000}"/>
    <cellStyle name="Normal 3 3 3 2 2 2" xfId="654" xr:uid="{00000000-0005-0000-0000-000005040000}"/>
    <cellStyle name="Normal 3 3 3 2 2 2 2" xfId="1151" xr:uid="{00000000-0005-0000-0000-000006040000}"/>
    <cellStyle name="Normal 3 3 3 2 2 2 2 2" xfId="2153" xr:uid="{00000000-0005-0000-0000-000007040000}"/>
    <cellStyle name="Normal 3 3 3 2 2 2 2 2 2" xfId="4375" xr:uid="{00000000-0005-0000-0000-000008040000}"/>
    <cellStyle name="Normal 3 3 3 2 2 2 2 2 2 2" xfId="8375" xr:uid="{00000000-0005-0000-0000-000008040000}"/>
    <cellStyle name="Normal 3 3 3 2 2 2 2 2 3" xfId="6374" xr:uid="{00000000-0005-0000-0000-000008040000}"/>
    <cellStyle name="Normal 3 3 3 2 2 2 2 3" xfId="3377" xr:uid="{00000000-0005-0000-0000-000007040000}"/>
    <cellStyle name="Normal 3 3 3 2 2 2 2 3 2" xfId="7376" xr:uid="{00000000-0005-0000-0000-000007040000}"/>
    <cellStyle name="Normal 3 3 3 2 2 2 2 4" xfId="5375" xr:uid="{00000000-0005-0000-0000-000007040000}"/>
    <cellStyle name="Normal 3 3 3 2 2 2 3" xfId="1657" xr:uid="{00000000-0005-0000-0000-000008040000}"/>
    <cellStyle name="Normal 3 3 3 2 2 2 3 2" xfId="3879" xr:uid="{00000000-0005-0000-0000-000009040000}"/>
    <cellStyle name="Normal 3 3 3 2 2 2 3 2 2" xfId="7879" xr:uid="{00000000-0005-0000-0000-000009040000}"/>
    <cellStyle name="Normal 3 3 3 2 2 2 3 3" xfId="5878" xr:uid="{00000000-0005-0000-0000-000009040000}"/>
    <cellStyle name="Normal 3 3 3 2 2 2 4" xfId="2881" xr:uid="{00000000-0005-0000-0000-000006040000}"/>
    <cellStyle name="Normal 3 3 3 2 2 2 4 2" xfId="6880" xr:uid="{00000000-0005-0000-0000-000006040000}"/>
    <cellStyle name="Normal 3 3 3 2 2 2 5" xfId="4879" xr:uid="{00000000-0005-0000-0000-000006040000}"/>
    <cellStyle name="Normal 3 3 3 2 2 3" xfId="903" xr:uid="{00000000-0005-0000-0000-000009040000}"/>
    <cellStyle name="Normal 3 3 3 2 2 3 2" xfId="1905" xr:uid="{00000000-0005-0000-0000-00000A040000}"/>
    <cellStyle name="Normal 3 3 3 2 2 3 2 2" xfId="4127" xr:uid="{00000000-0005-0000-0000-00000B040000}"/>
    <cellStyle name="Normal 3 3 3 2 2 3 2 2 2" xfId="8127" xr:uid="{00000000-0005-0000-0000-00000B040000}"/>
    <cellStyle name="Normal 3 3 3 2 2 3 2 3" xfId="6126" xr:uid="{00000000-0005-0000-0000-00000B040000}"/>
    <cellStyle name="Normal 3 3 3 2 2 3 3" xfId="3129" xr:uid="{00000000-0005-0000-0000-00000A040000}"/>
    <cellStyle name="Normal 3 3 3 2 2 3 3 2" xfId="7128" xr:uid="{00000000-0005-0000-0000-00000A040000}"/>
    <cellStyle name="Normal 3 3 3 2 2 3 4" xfId="5127" xr:uid="{00000000-0005-0000-0000-00000A040000}"/>
    <cellStyle name="Normal 3 3 3 2 2 4" xfId="1409" xr:uid="{00000000-0005-0000-0000-00000B040000}"/>
    <cellStyle name="Normal 3 3 3 2 2 4 2" xfId="3631" xr:uid="{00000000-0005-0000-0000-00000C040000}"/>
    <cellStyle name="Normal 3 3 3 2 2 4 2 2" xfId="7631" xr:uid="{00000000-0005-0000-0000-00000C040000}"/>
    <cellStyle name="Normal 3 3 3 2 2 4 3" xfId="5630" xr:uid="{00000000-0005-0000-0000-00000C040000}"/>
    <cellStyle name="Normal 3 3 3 2 2 5" xfId="2638" xr:uid="{00000000-0005-0000-0000-000005040000}"/>
    <cellStyle name="Normal 3 3 3 2 2 5 2" xfId="6632" xr:uid="{00000000-0005-0000-0000-000005040000}"/>
    <cellStyle name="Normal 3 3 3 2 2 6" xfId="4631" xr:uid="{00000000-0005-0000-0000-000005040000}"/>
    <cellStyle name="Normal 3 3 3 2 3" xfId="453" xr:uid="{00000000-0005-0000-0000-00000C040000}"/>
    <cellStyle name="Normal 3 3 3 2 3 2" xfId="700" xr:uid="{00000000-0005-0000-0000-00000D040000}"/>
    <cellStyle name="Normal 3 3 3 2 3 2 2" xfId="1197" xr:uid="{00000000-0005-0000-0000-00000E040000}"/>
    <cellStyle name="Normal 3 3 3 2 3 2 2 2" xfId="2199" xr:uid="{00000000-0005-0000-0000-00000F040000}"/>
    <cellStyle name="Normal 3 3 3 2 3 2 2 2 2" xfId="4421" xr:uid="{00000000-0005-0000-0000-000010040000}"/>
    <cellStyle name="Normal 3 3 3 2 3 2 2 2 2 2" xfId="8421" xr:uid="{00000000-0005-0000-0000-000010040000}"/>
    <cellStyle name="Normal 3 3 3 2 3 2 2 2 3" xfId="6420" xr:uid="{00000000-0005-0000-0000-000010040000}"/>
    <cellStyle name="Normal 3 3 3 2 3 2 2 3" xfId="3423" xr:uid="{00000000-0005-0000-0000-00000F040000}"/>
    <cellStyle name="Normal 3 3 3 2 3 2 2 3 2" xfId="7422" xr:uid="{00000000-0005-0000-0000-00000F040000}"/>
    <cellStyle name="Normal 3 3 3 2 3 2 2 4" xfId="5421" xr:uid="{00000000-0005-0000-0000-00000F040000}"/>
    <cellStyle name="Normal 3 3 3 2 3 2 3" xfId="1703" xr:uid="{00000000-0005-0000-0000-000010040000}"/>
    <cellStyle name="Normal 3 3 3 2 3 2 3 2" xfId="3925" xr:uid="{00000000-0005-0000-0000-000011040000}"/>
    <cellStyle name="Normal 3 3 3 2 3 2 3 2 2" xfId="7925" xr:uid="{00000000-0005-0000-0000-000011040000}"/>
    <cellStyle name="Normal 3 3 3 2 3 2 3 3" xfId="5924" xr:uid="{00000000-0005-0000-0000-000011040000}"/>
    <cellStyle name="Normal 3 3 3 2 3 2 4" xfId="2927" xr:uid="{00000000-0005-0000-0000-00000E040000}"/>
    <cellStyle name="Normal 3 3 3 2 3 2 4 2" xfId="6926" xr:uid="{00000000-0005-0000-0000-00000E040000}"/>
    <cellStyle name="Normal 3 3 3 2 3 2 5" xfId="4925" xr:uid="{00000000-0005-0000-0000-00000E040000}"/>
    <cellStyle name="Normal 3 3 3 2 3 3" xfId="949" xr:uid="{00000000-0005-0000-0000-000011040000}"/>
    <cellStyle name="Normal 3 3 3 2 3 3 2" xfId="1951" xr:uid="{00000000-0005-0000-0000-000012040000}"/>
    <cellStyle name="Normal 3 3 3 2 3 3 2 2" xfId="4173" xr:uid="{00000000-0005-0000-0000-000013040000}"/>
    <cellStyle name="Normal 3 3 3 2 3 3 2 2 2" xfId="8173" xr:uid="{00000000-0005-0000-0000-000013040000}"/>
    <cellStyle name="Normal 3 3 3 2 3 3 2 3" xfId="6172" xr:uid="{00000000-0005-0000-0000-000013040000}"/>
    <cellStyle name="Normal 3 3 3 2 3 3 3" xfId="3175" xr:uid="{00000000-0005-0000-0000-000012040000}"/>
    <cellStyle name="Normal 3 3 3 2 3 3 3 2" xfId="7174" xr:uid="{00000000-0005-0000-0000-000012040000}"/>
    <cellStyle name="Normal 3 3 3 2 3 3 4" xfId="5173" xr:uid="{00000000-0005-0000-0000-000012040000}"/>
    <cellStyle name="Normal 3 3 3 2 3 4" xfId="1455" xr:uid="{00000000-0005-0000-0000-000013040000}"/>
    <cellStyle name="Normal 3 3 3 2 3 4 2" xfId="3677" xr:uid="{00000000-0005-0000-0000-000014040000}"/>
    <cellStyle name="Normal 3 3 3 2 3 4 2 2" xfId="7677" xr:uid="{00000000-0005-0000-0000-000014040000}"/>
    <cellStyle name="Normal 3 3 3 2 3 4 3" xfId="5676" xr:uid="{00000000-0005-0000-0000-000014040000}"/>
    <cellStyle name="Normal 3 3 3 2 3 5" xfId="2680" xr:uid="{00000000-0005-0000-0000-00000D040000}"/>
    <cellStyle name="Normal 3 3 3 2 3 5 2" xfId="6678" xr:uid="{00000000-0005-0000-0000-00000D040000}"/>
    <cellStyle name="Normal 3 3 3 2 3 6" xfId="4677" xr:uid="{00000000-0005-0000-0000-00000D040000}"/>
    <cellStyle name="Normal 3 3 3 2 4" xfId="539" xr:uid="{00000000-0005-0000-0000-000014040000}"/>
    <cellStyle name="Normal 3 3 3 2 4 2" xfId="786" xr:uid="{00000000-0005-0000-0000-000015040000}"/>
    <cellStyle name="Normal 3 3 3 2 4 2 2" xfId="1284" xr:uid="{00000000-0005-0000-0000-000016040000}"/>
    <cellStyle name="Normal 3 3 3 2 4 2 2 2" xfId="2286" xr:uid="{00000000-0005-0000-0000-000017040000}"/>
    <cellStyle name="Normal 3 3 3 2 4 2 2 2 2" xfId="4508" xr:uid="{00000000-0005-0000-0000-000018040000}"/>
    <cellStyle name="Normal 3 3 3 2 4 2 2 2 2 2" xfId="8508" xr:uid="{00000000-0005-0000-0000-000018040000}"/>
    <cellStyle name="Normal 3 3 3 2 4 2 2 2 3" xfId="6507" xr:uid="{00000000-0005-0000-0000-000018040000}"/>
    <cellStyle name="Normal 3 3 3 2 4 2 2 3" xfId="3510" xr:uid="{00000000-0005-0000-0000-000017040000}"/>
    <cellStyle name="Normal 3 3 3 2 4 2 2 3 2" xfId="7509" xr:uid="{00000000-0005-0000-0000-000017040000}"/>
    <cellStyle name="Normal 3 3 3 2 4 2 2 4" xfId="5508" xr:uid="{00000000-0005-0000-0000-000017040000}"/>
    <cellStyle name="Normal 3 3 3 2 4 2 3" xfId="1790" xr:uid="{00000000-0005-0000-0000-000018040000}"/>
    <cellStyle name="Normal 3 3 3 2 4 2 3 2" xfId="4012" xr:uid="{00000000-0005-0000-0000-000019040000}"/>
    <cellStyle name="Normal 3 3 3 2 4 2 3 2 2" xfId="8012" xr:uid="{00000000-0005-0000-0000-000019040000}"/>
    <cellStyle name="Normal 3 3 3 2 4 2 3 3" xfId="6011" xr:uid="{00000000-0005-0000-0000-000019040000}"/>
    <cellStyle name="Normal 3 3 3 2 4 2 4" xfId="3014" xr:uid="{00000000-0005-0000-0000-000016040000}"/>
    <cellStyle name="Normal 3 3 3 2 4 2 4 2" xfId="7013" xr:uid="{00000000-0005-0000-0000-000016040000}"/>
    <cellStyle name="Normal 3 3 3 2 4 2 5" xfId="5012" xr:uid="{00000000-0005-0000-0000-000016040000}"/>
    <cellStyle name="Normal 3 3 3 2 4 3" xfId="1036" xr:uid="{00000000-0005-0000-0000-000019040000}"/>
    <cellStyle name="Normal 3 3 3 2 4 3 2" xfId="2038" xr:uid="{00000000-0005-0000-0000-00001A040000}"/>
    <cellStyle name="Normal 3 3 3 2 4 3 2 2" xfId="4260" xr:uid="{00000000-0005-0000-0000-00001B040000}"/>
    <cellStyle name="Normal 3 3 3 2 4 3 2 2 2" xfId="8260" xr:uid="{00000000-0005-0000-0000-00001B040000}"/>
    <cellStyle name="Normal 3 3 3 2 4 3 2 3" xfId="6259" xr:uid="{00000000-0005-0000-0000-00001B040000}"/>
    <cellStyle name="Normal 3 3 3 2 4 3 3" xfId="3262" xr:uid="{00000000-0005-0000-0000-00001A040000}"/>
    <cellStyle name="Normal 3 3 3 2 4 3 3 2" xfId="7261" xr:uid="{00000000-0005-0000-0000-00001A040000}"/>
    <cellStyle name="Normal 3 3 3 2 4 3 4" xfId="5260" xr:uid="{00000000-0005-0000-0000-00001A040000}"/>
    <cellStyle name="Normal 3 3 3 2 4 4" xfId="1542" xr:uid="{00000000-0005-0000-0000-00001B040000}"/>
    <cellStyle name="Normal 3 3 3 2 4 4 2" xfId="3764" xr:uid="{00000000-0005-0000-0000-00001C040000}"/>
    <cellStyle name="Normal 3 3 3 2 4 4 2 2" xfId="7764" xr:uid="{00000000-0005-0000-0000-00001C040000}"/>
    <cellStyle name="Normal 3 3 3 2 4 4 3" xfId="5763" xr:uid="{00000000-0005-0000-0000-00001C040000}"/>
    <cellStyle name="Normal 3 3 3 2 4 5" xfId="2767" xr:uid="{00000000-0005-0000-0000-000015040000}"/>
    <cellStyle name="Normal 3 3 3 2 4 5 2" xfId="6765" xr:uid="{00000000-0005-0000-0000-000015040000}"/>
    <cellStyle name="Normal 3 3 3 2 4 6" xfId="4764" xr:uid="{00000000-0005-0000-0000-000015040000}"/>
    <cellStyle name="Normal 3 3 3 2 5" xfId="585" xr:uid="{00000000-0005-0000-0000-00001C040000}"/>
    <cellStyle name="Normal 3 3 3 2 5 2" xfId="1083" xr:uid="{00000000-0005-0000-0000-00001D040000}"/>
    <cellStyle name="Normal 3 3 3 2 5 2 2" xfId="2085" xr:uid="{00000000-0005-0000-0000-00001E040000}"/>
    <cellStyle name="Normal 3 3 3 2 5 2 2 2" xfId="4307" xr:uid="{00000000-0005-0000-0000-00001F040000}"/>
    <cellStyle name="Normal 3 3 3 2 5 2 2 2 2" xfId="8307" xr:uid="{00000000-0005-0000-0000-00001F040000}"/>
    <cellStyle name="Normal 3 3 3 2 5 2 2 3" xfId="6306" xr:uid="{00000000-0005-0000-0000-00001F040000}"/>
    <cellStyle name="Normal 3 3 3 2 5 2 3" xfId="3309" xr:uid="{00000000-0005-0000-0000-00001E040000}"/>
    <cellStyle name="Normal 3 3 3 2 5 2 3 2" xfId="7308" xr:uid="{00000000-0005-0000-0000-00001E040000}"/>
    <cellStyle name="Normal 3 3 3 2 5 2 4" xfId="5307" xr:uid="{00000000-0005-0000-0000-00001E040000}"/>
    <cellStyle name="Normal 3 3 3 2 5 3" xfId="1589" xr:uid="{00000000-0005-0000-0000-00001F040000}"/>
    <cellStyle name="Normal 3 3 3 2 5 3 2" xfId="3811" xr:uid="{00000000-0005-0000-0000-000020040000}"/>
    <cellStyle name="Normal 3 3 3 2 5 3 2 2" xfId="7811" xr:uid="{00000000-0005-0000-0000-000020040000}"/>
    <cellStyle name="Normal 3 3 3 2 5 3 3" xfId="5810" xr:uid="{00000000-0005-0000-0000-000020040000}"/>
    <cellStyle name="Normal 3 3 3 2 5 4" xfId="2814" xr:uid="{00000000-0005-0000-0000-00001D040000}"/>
    <cellStyle name="Normal 3 3 3 2 5 4 2" xfId="6812" xr:uid="{00000000-0005-0000-0000-00001D040000}"/>
    <cellStyle name="Normal 3 3 3 2 5 5" xfId="4811" xr:uid="{00000000-0005-0000-0000-00001D040000}"/>
    <cellStyle name="Normal 3 3 3 2 6" xfId="835" xr:uid="{00000000-0005-0000-0000-000020040000}"/>
    <cellStyle name="Normal 3 3 3 2 6 2" xfId="1837" xr:uid="{00000000-0005-0000-0000-000021040000}"/>
    <cellStyle name="Normal 3 3 3 2 6 2 2" xfId="4059" xr:uid="{00000000-0005-0000-0000-000022040000}"/>
    <cellStyle name="Normal 3 3 3 2 6 2 2 2" xfId="8059" xr:uid="{00000000-0005-0000-0000-000022040000}"/>
    <cellStyle name="Normal 3 3 3 2 6 2 3" xfId="6058" xr:uid="{00000000-0005-0000-0000-000022040000}"/>
    <cellStyle name="Normal 3 3 3 2 6 3" xfId="3061" xr:uid="{00000000-0005-0000-0000-000021040000}"/>
    <cellStyle name="Normal 3 3 3 2 6 3 2" xfId="7060" xr:uid="{00000000-0005-0000-0000-000021040000}"/>
    <cellStyle name="Normal 3 3 3 2 6 4" xfId="5059" xr:uid="{00000000-0005-0000-0000-000021040000}"/>
    <cellStyle name="Normal 3 3 3 2 7" xfId="1341" xr:uid="{00000000-0005-0000-0000-000022040000}"/>
    <cellStyle name="Normal 3 3 3 2 7 2" xfId="3563" xr:uid="{00000000-0005-0000-0000-000023040000}"/>
    <cellStyle name="Normal 3 3 3 2 7 2 2" xfId="7563" xr:uid="{00000000-0005-0000-0000-000023040000}"/>
    <cellStyle name="Normal 3 3 3 2 7 3" xfId="5562" xr:uid="{00000000-0005-0000-0000-000023040000}"/>
    <cellStyle name="Normal 3 3 3 2 8" xfId="2575" xr:uid="{00000000-0005-0000-0000-000004040000}"/>
    <cellStyle name="Normal 3 3 3 2 8 2" xfId="6564" xr:uid="{00000000-0005-0000-0000-000004040000}"/>
    <cellStyle name="Normal 3 3 3 2 9" xfId="4563" xr:uid="{00000000-0005-0000-0000-000004040000}"/>
    <cellStyle name="Normal 3 3 3 3" xfId="363" xr:uid="{00000000-0005-0000-0000-000023040000}"/>
    <cellStyle name="Normal 3 3 3 3 2" xfId="475" xr:uid="{00000000-0005-0000-0000-000024040000}"/>
    <cellStyle name="Normal 3 3 3 3 2 2" xfId="722" xr:uid="{00000000-0005-0000-0000-000025040000}"/>
    <cellStyle name="Normal 3 3 3 3 2 2 2" xfId="1219" xr:uid="{00000000-0005-0000-0000-000026040000}"/>
    <cellStyle name="Normal 3 3 3 3 2 2 2 2" xfId="2221" xr:uid="{00000000-0005-0000-0000-000027040000}"/>
    <cellStyle name="Normal 3 3 3 3 2 2 2 2 2" xfId="4443" xr:uid="{00000000-0005-0000-0000-000028040000}"/>
    <cellStyle name="Normal 3 3 3 3 2 2 2 2 2 2" xfId="8443" xr:uid="{00000000-0005-0000-0000-000028040000}"/>
    <cellStyle name="Normal 3 3 3 3 2 2 2 2 3" xfId="6442" xr:uid="{00000000-0005-0000-0000-000028040000}"/>
    <cellStyle name="Normal 3 3 3 3 2 2 2 3" xfId="3445" xr:uid="{00000000-0005-0000-0000-000027040000}"/>
    <cellStyle name="Normal 3 3 3 3 2 2 2 3 2" xfId="7444" xr:uid="{00000000-0005-0000-0000-000027040000}"/>
    <cellStyle name="Normal 3 3 3 3 2 2 2 4" xfId="5443" xr:uid="{00000000-0005-0000-0000-000027040000}"/>
    <cellStyle name="Normal 3 3 3 3 2 2 3" xfId="1725" xr:uid="{00000000-0005-0000-0000-000028040000}"/>
    <cellStyle name="Normal 3 3 3 3 2 2 3 2" xfId="3947" xr:uid="{00000000-0005-0000-0000-000029040000}"/>
    <cellStyle name="Normal 3 3 3 3 2 2 3 2 2" xfId="7947" xr:uid="{00000000-0005-0000-0000-000029040000}"/>
    <cellStyle name="Normal 3 3 3 3 2 2 3 3" xfId="5946" xr:uid="{00000000-0005-0000-0000-000029040000}"/>
    <cellStyle name="Normal 3 3 3 3 2 2 4" xfId="2949" xr:uid="{00000000-0005-0000-0000-000026040000}"/>
    <cellStyle name="Normal 3 3 3 3 2 2 4 2" xfId="6948" xr:uid="{00000000-0005-0000-0000-000026040000}"/>
    <cellStyle name="Normal 3 3 3 3 2 2 5" xfId="4947" xr:uid="{00000000-0005-0000-0000-000026040000}"/>
    <cellStyle name="Normal 3 3 3 3 2 3" xfId="971" xr:uid="{00000000-0005-0000-0000-000029040000}"/>
    <cellStyle name="Normal 3 3 3 3 2 3 2" xfId="1973" xr:uid="{00000000-0005-0000-0000-00002A040000}"/>
    <cellStyle name="Normal 3 3 3 3 2 3 2 2" xfId="4195" xr:uid="{00000000-0005-0000-0000-00002B040000}"/>
    <cellStyle name="Normal 3 3 3 3 2 3 2 2 2" xfId="8195" xr:uid="{00000000-0005-0000-0000-00002B040000}"/>
    <cellStyle name="Normal 3 3 3 3 2 3 2 3" xfId="6194" xr:uid="{00000000-0005-0000-0000-00002B040000}"/>
    <cellStyle name="Normal 3 3 3 3 2 3 3" xfId="3197" xr:uid="{00000000-0005-0000-0000-00002A040000}"/>
    <cellStyle name="Normal 3 3 3 3 2 3 3 2" xfId="7196" xr:uid="{00000000-0005-0000-0000-00002A040000}"/>
    <cellStyle name="Normal 3 3 3 3 2 3 4" xfId="5195" xr:uid="{00000000-0005-0000-0000-00002A040000}"/>
    <cellStyle name="Normal 3 3 3 3 2 4" xfId="1477" xr:uid="{00000000-0005-0000-0000-00002B040000}"/>
    <cellStyle name="Normal 3 3 3 3 2 4 2" xfId="3699" xr:uid="{00000000-0005-0000-0000-00002C040000}"/>
    <cellStyle name="Normal 3 3 3 3 2 4 2 2" xfId="7699" xr:uid="{00000000-0005-0000-0000-00002C040000}"/>
    <cellStyle name="Normal 3 3 3 3 2 4 3" xfId="5698" xr:uid="{00000000-0005-0000-0000-00002C040000}"/>
    <cellStyle name="Normal 3 3 3 3 2 5" xfId="2702" xr:uid="{00000000-0005-0000-0000-000025040000}"/>
    <cellStyle name="Normal 3 3 3 3 2 5 2" xfId="6700" xr:uid="{00000000-0005-0000-0000-000025040000}"/>
    <cellStyle name="Normal 3 3 3 3 2 6" xfId="4699" xr:uid="{00000000-0005-0000-0000-000025040000}"/>
    <cellStyle name="Normal 3 3 3 3 3" xfId="607" xr:uid="{00000000-0005-0000-0000-00002C040000}"/>
    <cellStyle name="Normal 3 3 3 3 3 2" xfId="1105" xr:uid="{00000000-0005-0000-0000-00002D040000}"/>
    <cellStyle name="Normal 3 3 3 3 3 2 2" xfId="2107" xr:uid="{00000000-0005-0000-0000-00002E040000}"/>
    <cellStyle name="Normal 3 3 3 3 3 2 2 2" xfId="4329" xr:uid="{00000000-0005-0000-0000-00002F040000}"/>
    <cellStyle name="Normal 3 3 3 3 3 2 2 2 2" xfId="8329" xr:uid="{00000000-0005-0000-0000-00002F040000}"/>
    <cellStyle name="Normal 3 3 3 3 3 2 2 3" xfId="6328" xr:uid="{00000000-0005-0000-0000-00002F040000}"/>
    <cellStyle name="Normal 3 3 3 3 3 2 3" xfId="3331" xr:uid="{00000000-0005-0000-0000-00002E040000}"/>
    <cellStyle name="Normal 3 3 3 3 3 2 3 2" xfId="7330" xr:uid="{00000000-0005-0000-0000-00002E040000}"/>
    <cellStyle name="Normal 3 3 3 3 3 2 4" xfId="5329" xr:uid="{00000000-0005-0000-0000-00002E040000}"/>
    <cellStyle name="Normal 3 3 3 3 3 3" xfId="1611" xr:uid="{00000000-0005-0000-0000-00002F040000}"/>
    <cellStyle name="Normal 3 3 3 3 3 3 2" xfId="3833" xr:uid="{00000000-0005-0000-0000-000030040000}"/>
    <cellStyle name="Normal 3 3 3 3 3 3 2 2" xfId="7833" xr:uid="{00000000-0005-0000-0000-000030040000}"/>
    <cellStyle name="Normal 3 3 3 3 3 3 3" xfId="5832" xr:uid="{00000000-0005-0000-0000-000030040000}"/>
    <cellStyle name="Normal 3 3 3 3 3 4" xfId="2836" xr:uid="{00000000-0005-0000-0000-00002D040000}"/>
    <cellStyle name="Normal 3 3 3 3 3 4 2" xfId="6834" xr:uid="{00000000-0005-0000-0000-00002D040000}"/>
    <cellStyle name="Normal 3 3 3 3 3 5" xfId="4833" xr:uid="{00000000-0005-0000-0000-00002D040000}"/>
    <cellStyle name="Normal 3 3 3 3 4" xfId="857" xr:uid="{00000000-0005-0000-0000-000030040000}"/>
    <cellStyle name="Normal 3 3 3 3 4 2" xfId="1859" xr:uid="{00000000-0005-0000-0000-000031040000}"/>
    <cellStyle name="Normal 3 3 3 3 4 2 2" xfId="4081" xr:uid="{00000000-0005-0000-0000-000032040000}"/>
    <cellStyle name="Normal 3 3 3 3 4 2 2 2" xfId="8081" xr:uid="{00000000-0005-0000-0000-000032040000}"/>
    <cellStyle name="Normal 3 3 3 3 4 2 3" xfId="6080" xr:uid="{00000000-0005-0000-0000-000032040000}"/>
    <cellStyle name="Normal 3 3 3 3 4 3" xfId="3083" xr:uid="{00000000-0005-0000-0000-000031040000}"/>
    <cellStyle name="Normal 3 3 3 3 4 3 2" xfId="7082" xr:uid="{00000000-0005-0000-0000-000031040000}"/>
    <cellStyle name="Normal 3 3 3 3 4 4" xfId="5081" xr:uid="{00000000-0005-0000-0000-000031040000}"/>
    <cellStyle name="Normal 3 3 3 3 5" xfId="1363" xr:uid="{00000000-0005-0000-0000-000032040000}"/>
    <cellStyle name="Normal 3 3 3 3 5 2" xfId="3585" xr:uid="{00000000-0005-0000-0000-000033040000}"/>
    <cellStyle name="Normal 3 3 3 3 5 2 2" xfId="7585" xr:uid="{00000000-0005-0000-0000-000033040000}"/>
    <cellStyle name="Normal 3 3 3 3 5 3" xfId="5584" xr:uid="{00000000-0005-0000-0000-000033040000}"/>
    <cellStyle name="Normal 3 3 3 3 6" xfId="2597" xr:uid="{00000000-0005-0000-0000-000024040000}"/>
    <cellStyle name="Normal 3 3 3 3 6 2" xfId="6586" xr:uid="{00000000-0005-0000-0000-000024040000}"/>
    <cellStyle name="Normal 3 3 3 3 7" xfId="4585" xr:uid="{00000000-0005-0000-0000-000024040000}"/>
    <cellStyle name="Normal 3 3 3 4" xfId="384" xr:uid="{00000000-0005-0000-0000-000033040000}"/>
    <cellStyle name="Normal 3 3 3 4 2" xfId="630" xr:uid="{00000000-0005-0000-0000-000034040000}"/>
    <cellStyle name="Normal 3 3 3 4 2 2" xfId="1127" xr:uid="{00000000-0005-0000-0000-000035040000}"/>
    <cellStyle name="Normal 3 3 3 4 2 2 2" xfId="2129" xr:uid="{00000000-0005-0000-0000-000036040000}"/>
    <cellStyle name="Normal 3 3 3 4 2 2 2 2" xfId="4351" xr:uid="{00000000-0005-0000-0000-000037040000}"/>
    <cellStyle name="Normal 3 3 3 4 2 2 2 2 2" xfId="8351" xr:uid="{00000000-0005-0000-0000-000037040000}"/>
    <cellStyle name="Normal 3 3 3 4 2 2 2 3" xfId="6350" xr:uid="{00000000-0005-0000-0000-000037040000}"/>
    <cellStyle name="Normal 3 3 3 4 2 2 3" xfId="3353" xr:uid="{00000000-0005-0000-0000-000036040000}"/>
    <cellStyle name="Normal 3 3 3 4 2 2 3 2" xfId="7352" xr:uid="{00000000-0005-0000-0000-000036040000}"/>
    <cellStyle name="Normal 3 3 3 4 2 2 4" xfId="5351" xr:uid="{00000000-0005-0000-0000-000036040000}"/>
    <cellStyle name="Normal 3 3 3 4 2 3" xfId="1633" xr:uid="{00000000-0005-0000-0000-000037040000}"/>
    <cellStyle name="Normal 3 3 3 4 2 3 2" xfId="3855" xr:uid="{00000000-0005-0000-0000-000038040000}"/>
    <cellStyle name="Normal 3 3 3 4 2 3 2 2" xfId="7855" xr:uid="{00000000-0005-0000-0000-000038040000}"/>
    <cellStyle name="Normal 3 3 3 4 2 3 3" xfId="5854" xr:uid="{00000000-0005-0000-0000-000038040000}"/>
    <cellStyle name="Normal 3 3 3 4 2 4" xfId="2857" xr:uid="{00000000-0005-0000-0000-000035040000}"/>
    <cellStyle name="Normal 3 3 3 4 2 4 2" xfId="6856" xr:uid="{00000000-0005-0000-0000-000035040000}"/>
    <cellStyle name="Normal 3 3 3 4 2 5" xfId="4855" xr:uid="{00000000-0005-0000-0000-000035040000}"/>
    <cellStyle name="Normal 3 3 3 4 3" xfId="879" xr:uid="{00000000-0005-0000-0000-000038040000}"/>
    <cellStyle name="Normal 3 3 3 4 3 2" xfId="1881" xr:uid="{00000000-0005-0000-0000-000039040000}"/>
    <cellStyle name="Normal 3 3 3 4 3 2 2" xfId="4103" xr:uid="{00000000-0005-0000-0000-00003A040000}"/>
    <cellStyle name="Normal 3 3 3 4 3 2 2 2" xfId="8103" xr:uid="{00000000-0005-0000-0000-00003A040000}"/>
    <cellStyle name="Normal 3 3 3 4 3 2 3" xfId="6102" xr:uid="{00000000-0005-0000-0000-00003A040000}"/>
    <cellStyle name="Normal 3 3 3 4 3 3" xfId="3105" xr:uid="{00000000-0005-0000-0000-000039040000}"/>
    <cellStyle name="Normal 3 3 3 4 3 3 2" xfId="7104" xr:uid="{00000000-0005-0000-0000-000039040000}"/>
    <cellStyle name="Normal 3 3 3 4 3 4" xfId="5103" xr:uid="{00000000-0005-0000-0000-000039040000}"/>
    <cellStyle name="Normal 3 3 3 4 4" xfId="1385" xr:uid="{00000000-0005-0000-0000-00003A040000}"/>
    <cellStyle name="Normal 3 3 3 4 4 2" xfId="3607" xr:uid="{00000000-0005-0000-0000-00003B040000}"/>
    <cellStyle name="Normal 3 3 3 4 4 2 2" xfId="7607" xr:uid="{00000000-0005-0000-0000-00003B040000}"/>
    <cellStyle name="Normal 3 3 3 4 4 3" xfId="5606" xr:uid="{00000000-0005-0000-0000-00003B040000}"/>
    <cellStyle name="Normal 3 3 3 4 5" xfId="2617" xr:uid="{00000000-0005-0000-0000-000034040000}"/>
    <cellStyle name="Normal 3 3 3 4 5 2" xfId="6608" xr:uid="{00000000-0005-0000-0000-000034040000}"/>
    <cellStyle name="Normal 3 3 3 4 6" xfId="4607" xr:uid="{00000000-0005-0000-0000-000034040000}"/>
    <cellStyle name="Normal 3 3 3 5" xfId="429" xr:uid="{00000000-0005-0000-0000-00003B040000}"/>
    <cellStyle name="Normal 3 3 3 5 2" xfId="676" xr:uid="{00000000-0005-0000-0000-00003C040000}"/>
    <cellStyle name="Normal 3 3 3 5 2 2" xfId="1173" xr:uid="{00000000-0005-0000-0000-00003D040000}"/>
    <cellStyle name="Normal 3 3 3 5 2 2 2" xfId="2175" xr:uid="{00000000-0005-0000-0000-00003E040000}"/>
    <cellStyle name="Normal 3 3 3 5 2 2 2 2" xfId="4397" xr:uid="{00000000-0005-0000-0000-00003F040000}"/>
    <cellStyle name="Normal 3 3 3 5 2 2 2 2 2" xfId="8397" xr:uid="{00000000-0005-0000-0000-00003F040000}"/>
    <cellStyle name="Normal 3 3 3 5 2 2 2 3" xfId="6396" xr:uid="{00000000-0005-0000-0000-00003F040000}"/>
    <cellStyle name="Normal 3 3 3 5 2 2 3" xfId="3399" xr:uid="{00000000-0005-0000-0000-00003E040000}"/>
    <cellStyle name="Normal 3 3 3 5 2 2 3 2" xfId="7398" xr:uid="{00000000-0005-0000-0000-00003E040000}"/>
    <cellStyle name="Normal 3 3 3 5 2 2 4" xfId="5397" xr:uid="{00000000-0005-0000-0000-00003E040000}"/>
    <cellStyle name="Normal 3 3 3 5 2 3" xfId="1679" xr:uid="{00000000-0005-0000-0000-00003F040000}"/>
    <cellStyle name="Normal 3 3 3 5 2 3 2" xfId="3901" xr:uid="{00000000-0005-0000-0000-000040040000}"/>
    <cellStyle name="Normal 3 3 3 5 2 3 2 2" xfId="7901" xr:uid="{00000000-0005-0000-0000-000040040000}"/>
    <cellStyle name="Normal 3 3 3 5 2 3 3" xfId="5900" xr:uid="{00000000-0005-0000-0000-000040040000}"/>
    <cellStyle name="Normal 3 3 3 5 2 4" xfId="2903" xr:uid="{00000000-0005-0000-0000-00003D040000}"/>
    <cellStyle name="Normal 3 3 3 5 2 4 2" xfId="6902" xr:uid="{00000000-0005-0000-0000-00003D040000}"/>
    <cellStyle name="Normal 3 3 3 5 2 5" xfId="4901" xr:uid="{00000000-0005-0000-0000-00003D040000}"/>
    <cellStyle name="Normal 3 3 3 5 3" xfId="925" xr:uid="{00000000-0005-0000-0000-000040040000}"/>
    <cellStyle name="Normal 3 3 3 5 3 2" xfId="1927" xr:uid="{00000000-0005-0000-0000-000041040000}"/>
    <cellStyle name="Normal 3 3 3 5 3 2 2" xfId="4149" xr:uid="{00000000-0005-0000-0000-000042040000}"/>
    <cellStyle name="Normal 3 3 3 5 3 2 2 2" xfId="8149" xr:uid="{00000000-0005-0000-0000-000042040000}"/>
    <cellStyle name="Normal 3 3 3 5 3 2 3" xfId="6148" xr:uid="{00000000-0005-0000-0000-000042040000}"/>
    <cellStyle name="Normal 3 3 3 5 3 3" xfId="3151" xr:uid="{00000000-0005-0000-0000-000041040000}"/>
    <cellStyle name="Normal 3 3 3 5 3 3 2" xfId="7150" xr:uid="{00000000-0005-0000-0000-000041040000}"/>
    <cellStyle name="Normal 3 3 3 5 3 4" xfId="5149" xr:uid="{00000000-0005-0000-0000-000041040000}"/>
    <cellStyle name="Normal 3 3 3 5 4" xfId="1431" xr:uid="{00000000-0005-0000-0000-000042040000}"/>
    <cellStyle name="Normal 3 3 3 5 4 2" xfId="3653" xr:uid="{00000000-0005-0000-0000-000043040000}"/>
    <cellStyle name="Normal 3 3 3 5 4 2 2" xfId="7653" xr:uid="{00000000-0005-0000-0000-000043040000}"/>
    <cellStyle name="Normal 3 3 3 5 4 3" xfId="5652" xr:uid="{00000000-0005-0000-0000-000043040000}"/>
    <cellStyle name="Normal 3 3 3 5 5" xfId="2657" xr:uid="{00000000-0005-0000-0000-00003C040000}"/>
    <cellStyle name="Normal 3 3 3 5 5 2" xfId="6654" xr:uid="{00000000-0005-0000-0000-00003C040000}"/>
    <cellStyle name="Normal 3 3 3 5 6" xfId="4653" xr:uid="{00000000-0005-0000-0000-00003C040000}"/>
    <cellStyle name="Normal 3 3 3 6" xfId="495" xr:uid="{00000000-0005-0000-0000-000043040000}"/>
    <cellStyle name="Normal 3 3 3 6 2" xfId="742" xr:uid="{00000000-0005-0000-0000-000044040000}"/>
    <cellStyle name="Normal 3 3 3 6 2 2" xfId="1239" xr:uid="{00000000-0005-0000-0000-000045040000}"/>
    <cellStyle name="Normal 3 3 3 6 2 2 2" xfId="2241" xr:uid="{00000000-0005-0000-0000-000046040000}"/>
    <cellStyle name="Normal 3 3 3 6 2 2 2 2" xfId="4463" xr:uid="{00000000-0005-0000-0000-000047040000}"/>
    <cellStyle name="Normal 3 3 3 6 2 2 2 2 2" xfId="8463" xr:uid="{00000000-0005-0000-0000-000047040000}"/>
    <cellStyle name="Normal 3 3 3 6 2 2 2 3" xfId="6462" xr:uid="{00000000-0005-0000-0000-000047040000}"/>
    <cellStyle name="Normal 3 3 3 6 2 2 3" xfId="3465" xr:uid="{00000000-0005-0000-0000-000046040000}"/>
    <cellStyle name="Normal 3 3 3 6 2 2 3 2" xfId="7464" xr:uid="{00000000-0005-0000-0000-000046040000}"/>
    <cellStyle name="Normal 3 3 3 6 2 2 4" xfId="5463" xr:uid="{00000000-0005-0000-0000-000046040000}"/>
    <cellStyle name="Normal 3 3 3 6 2 3" xfId="1745" xr:uid="{00000000-0005-0000-0000-000047040000}"/>
    <cellStyle name="Normal 3 3 3 6 2 3 2" xfId="3967" xr:uid="{00000000-0005-0000-0000-000048040000}"/>
    <cellStyle name="Normal 3 3 3 6 2 3 2 2" xfId="7967" xr:uid="{00000000-0005-0000-0000-000048040000}"/>
    <cellStyle name="Normal 3 3 3 6 2 3 3" xfId="5966" xr:uid="{00000000-0005-0000-0000-000048040000}"/>
    <cellStyle name="Normal 3 3 3 6 2 4" xfId="2969" xr:uid="{00000000-0005-0000-0000-000045040000}"/>
    <cellStyle name="Normal 3 3 3 6 2 4 2" xfId="6968" xr:uid="{00000000-0005-0000-0000-000045040000}"/>
    <cellStyle name="Normal 3 3 3 6 2 5" xfId="4967" xr:uid="{00000000-0005-0000-0000-000045040000}"/>
    <cellStyle name="Normal 3 3 3 6 3" xfId="991" xr:uid="{00000000-0005-0000-0000-000048040000}"/>
    <cellStyle name="Normal 3 3 3 6 3 2" xfId="1993" xr:uid="{00000000-0005-0000-0000-000049040000}"/>
    <cellStyle name="Normal 3 3 3 6 3 2 2" xfId="4215" xr:uid="{00000000-0005-0000-0000-00004A040000}"/>
    <cellStyle name="Normal 3 3 3 6 3 2 2 2" xfId="8215" xr:uid="{00000000-0005-0000-0000-00004A040000}"/>
    <cellStyle name="Normal 3 3 3 6 3 2 3" xfId="6214" xr:uid="{00000000-0005-0000-0000-00004A040000}"/>
    <cellStyle name="Normal 3 3 3 6 3 3" xfId="3217" xr:uid="{00000000-0005-0000-0000-000049040000}"/>
    <cellStyle name="Normal 3 3 3 6 3 3 2" xfId="7216" xr:uid="{00000000-0005-0000-0000-000049040000}"/>
    <cellStyle name="Normal 3 3 3 6 3 4" xfId="5215" xr:uid="{00000000-0005-0000-0000-000049040000}"/>
    <cellStyle name="Normal 3 3 3 6 4" xfId="1497" xr:uid="{00000000-0005-0000-0000-00004A040000}"/>
    <cellStyle name="Normal 3 3 3 6 4 2" xfId="3719" xr:uid="{00000000-0005-0000-0000-00004B040000}"/>
    <cellStyle name="Normal 3 3 3 6 4 2 2" xfId="7719" xr:uid="{00000000-0005-0000-0000-00004B040000}"/>
    <cellStyle name="Normal 3 3 3 6 4 3" xfId="5718" xr:uid="{00000000-0005-0000-0000-00004B040000}"/>
    <cellStyle name="Normal 3 3 3 6 5" xfId="2722" xr:uid="{00000000-0005-0000-0000-000044040000}"/>
    <cellStyle name="Normal 3 3 3 6 5 2" xfId="6720" xr:uid="{00000000-0005-0000-0000-000044040000}"/>
    <cellStyle name="Normal 3 3 3 6 6" xfId="4719" xr:uid="{00000000-0005-0000-0000-000044040000}"/>
    <cellStyle name="Normal 3 3 3 7" xfId="515" xr:uid="{00000000-0005-0000-0000-00004B040000}"/>
    <cellStyle name="Normal 3 3 3 7 2" xfId="762" xr:uid="{00000000-0005-0000-0000-00004C040000}"/>
    <cellStyle name="Normal 3 3 3 7 2 2" xfId="1260" xr:uid="{00000000-0005-0000-0000-00004D040000}"/>
    <cellStyle name="Normal 3 3 3 7 2 2 2" xfId="2262" xr:uid="{00000000-0005-0000-0000-00004E040000}"/>
    <cellStyle name="Normal 3 3 3 7 2 2 2 2" xfId="4484" xr:uid="{00000000-0005-0000-0000-00004F040000}"/>
    <cellStyle name="Normal 3 3 3 7 2 2 2 2 2" xfId="8484" xr:uid="{00000000-0005-0000-0000-00004F040000}"/>
    <cellStyle name="Normal 3 3 3 7 2 2 2 3" xfId="6483" xr:uid="{00000000-0005-0000-0000-00004F040000}"/>
    <cellStyle name="Normal 3 3 3 7 2 2 3" xfId="3486" xr:uid="{00000000-0005-0000-0000-00004E040000}"/>
    <cellStyle name="Normal 3 3 3 7 2 2 3 2" xfId="7485" xr:uid="{00000000-0005-0000-0000-00004E040000}"/>
    <cellStyle name="Normal 3 3 3 7 2 2 4" xfId="5484" xr:uid="{00000000-0005-0000-0000-00004E040000}"/>
    <cellStyle name="Normal 3 3 3 7 2 3" xfId="1766" xr:uid="{00000000-0005-0000-0000-00004F040000}"/>
    <cellStyle name="Normal 3 3 3 7 2 3 2" xfId="3988" xr:uid="{00000000-0005-0000-0000-000050040000}"/>
    <cellStyle name="Normal 3 3 3 7 2 3 2 2" xfId="7988" xr:uid="{00000000-0005-0000-0000-000050040000}"/>
    <cellStyle name="Normal 3 3 3 7 2 3 3" xfId="5987" xr:uid="{00000000-0005-0000-0000-000050040000}"/>
    <cellStyle name="Normal 3 3 3 7 2 4" xfId="2990" xr:uid="{00000000-0005-0000-0000-00004D040000}"/>
    <cellStyle name="Normal 3 3 3 7 2 4 2" xfId="6989" xr:uid="{00000000-0005-0000-0000-00004D040000}"/>
    <cellStyle name="Normal 3 3 3 7 2 5" xfId="4988" xr:uid="{00000000-0005-0000-0000-00004D040000}"/>
    <cellStyle name="Normal 3 3 3 7 3" xfId="1012" xr:uid="{00000000-0005-0000-0000-000050040000}"/>
    <cellStyle name="Normal 3 3 3 7 3 2" xfId="2014" xr:uid="{00000000-0005-0000-0000-000051040000}"/>
    <cellStyle name="Normal 3 3 3 7 3 2 2" xfId="4236" xr:uid="{00000000-0005-0000-0000-000052040000}"/>
    <cellStyle name="Normal 3 3 3 7 3 2 2 2" xfId="8236" xr:uid="{00000000-0005-0000-0000-000052040000}"/>
    <cellStyle name="Normal 3 3 3 7 3 2 3" xfId="6235" xr:uid="{00000000-0005-0000-0000-000052040000}"/>
    <cellStyle name="Normal 3 3 3 7 3 3" xfId="3238" xr:uid="{00000000-0005-0000-0000-000051040000}"/>
    <cellStyle name="Normal 3 3 3 7 3 3 2" xfId="7237" xr:uid="{00000000-0005-0000-0000-000051040000}"/>
    <cellStyle name="Normal 3 3 3 7 3 4" xfId="5236" xr:uid="{00000000-0005-0000-0000-000051040000}"/>
    <cellStyle name="Normal 3 3 3 7 4" xfId="1518" xr:uid="{00000000-0005-0000-0000-000052040000}"/>
    <cellStyle name="Normal 3 3 3 7 4 2" xfId="3740" xr:uid="{00000000-0005-0000-0000-000053040000}"/>
    <cellStyle name="Normal 3 3 3 7 4 2 2" xfId="7740" xr:uid="{00000000-0005-0000-0000-000053040000}"/>
    <cellStyle name="Normal 3 3 3 7 4 3" xfId="5739" xr:uid="{00000000-0005-0000-0000-000053040000}"/>
    <cellStyle name="Normal 3 3 3 7 5" xfId="2743" xr:uid="{00000000-0005-0000-0000-00004C040000}"/>
    <cellStyle name="Normal 3 3 3 7 5 2" xfId="6741" xr:uid="{00000000-0005-0000-0000-00004C040000}"/>
    <cellStyle name="Normal 3 3 3 7 6" xfId="4740" xr:uid="{00000000-0005-0000-0000-00004C040000}"/>
    <cellStyle name="Normal 3 3 3 8" xfId="561" xr:uid="{00000000-0005-0000-0000-000053040000}"/>
    <cellStyle name="Normal 3 3 3 8 2" xfId="1059" xr:uid="{00000000-0005-0000-0000-000054040000}"/>
    <cellStyle name="Normal 3 3 3 8 2 2" xfId="2061" xr:uid="{00000000-0005-0000-0000-000055040000}"/>
    <cellStyle name="Normal 3 3 3 8 2 2 2" xfId="4283" xr:uid="{00000000-0005-0000-0000-000056040000}"/>
    <cellStyle name="Normal 3 3 3 8 2 2 2 2" xfId="8283" xr:uid="{00000000-0005-0000-0000-000056040000}"/>
    <cellStyle name="Normal 3 3 3 8 2 2 3" xfId="6282" xr:uid="{00000000-0005-0000-0000-000056040000}"/>
    <cellStyle name="Normal 3 3 3 8 2 3" xfId="3285" xr:uid="{00000000-0005-0000-0000-000055040000}"/>
    <cellStyle name="Normal 3 3 3 8 2 3 2" xfId="7284" xr:uid="{00000000-0005-0000-0000-000055040000}"/>
    <cellStyle name="Normal 3 3 3 8 2 4" xfId="5283" xr:uid="{00000000-0005-0000-0000-000055040000}"/>
    <cellStyle name="Normal 3 3 3 8 3" xfId="1565" xr:uid="{00000000-0005-0000-0000-000056040000}"/>
    <cellStyle name="Normal 3 3 3 8 3 2" xfId="3787" xr:uid="{00000000-0005-0000-0000-000057040000}"/>
    <cellStyle name="Normal 3 3 3 8 3 2 2" xfId="7787" xr:uid="{00000000-0005-0000-0000-000057040000}"/>
    <cellStyle name="Normal 3 3 3 8 3 3" xfId="5786" xr:uid="{00000000-0005-0000-0000-000057040000}"/>
    <cellStyle name="Normal 3 3 3 8 4" xfId="2790" xr:uid="{00000000-0005-0000-0000-000054040000}"/>
    <cellStyle name="Normal 3 3 3 8 4 2" xfId="6788" xr:uid="{00000000-0005-0000-0000-000054040000}"/>
    <cellStyle name="Normal 3 3 3 8 5" xfId="4787" xr:uid="{00000000-0005-0000-0000-000054040000}"/>
    <cellStyle name="Normal 3 3 3 9" xfId="811" xr:uid="{00000000-0005-0000-0000-000057040000}"/>
    <cellStyle name="Normal 3 3 3 9 2" xfId="1813" xr:uid="{00000000-0005-0000-0000-000058040000}"/>
    <cellStyle name="Normal 3 3 3 9 2 2" xfId="4035" xr:uid="{00000000-0005-0000-0000-000059040000}"/>
    <cellStyle name="Normal 3 3 3 9 2 2 2" xfId="8035" xr:uid="{00000000-0005-0000-0000-000059040000}"/>
    <cellStyle name="Normal 3 3 3 9 2 3" xfId="6034" xr:uid="{00000000-0005-0000-0000-000059040000}"/>
    <cellStyle name="Normal 3 3 3 9 3" xfId="3037" xr:uid="{00000000-0005-0000-0000-000058040000}"/>
    <cellStyle name="Normal 3 3 3 9 3 2" xfId="7036" xr:uid="{00000000-0005-0000-0000-000058040000}"/>
    <cellStyle name="Normal 3 3 3 9 4" xfId="5035" xr:uid="{00000000-0005-0000-0000-000058040000}"/>
    <cellStyle name="Normal 3 3 4" xfId="336" xr:uid="{00000000-0005-0000-0000-000059040000}"/>
    <cellStyle name="Normal 3 3 4 2" xfId="397" xr:uid="{00000000-0005-0000-0000-00005A040000}"/>
    <cellStyle name="Normal 3 3 4 2 2" xfId="644" xr:uid="{00000000-0005-0000-0000-00005B040000}"/>
    <cellStyle name="Normal 3 3 4 2 2 2" xfId="1141" xr:uid="{00000000-0005-0000-0000-00005C040000}"/>
    <cellStyle name="Normal 3 3 4 2 2 2 2" xfId="2143" xr:uid="{00000000-0005-0000-0000-00005D040000}"/>
    <cellStyle name="Normal 3 3 4 2 2 2 2 2" xfId="4365" xr:uid="{00000000-0005-0000-0000-00005E040000}"/>
    <cellStyle name="Normal 3 3 4 2 2 2 2 2 2" xfId="8365" xr:uid="{00000000-0005-0000-0000-00005E040000}"/>
    <cellStyle name="Normal 3 3 4 2 2 2 2 3" xfId="6364" xr:uid="{00000000-0005-0000-0000-00005E040000}"/>
    <cellStyle name="Normal 3 3 4 2 2 2 3" xfId="3367" xr:uid="{00000000-0005-0000-0000-00005D040000}"/>
    <cellStyle name="Normal 3 3 4 2 2 2 3 2" xfId="7366" xr:uid="{00000000-0005-0000-0000-00005D040000}"/>
    <cellStyle name="Normal 3 3 4 2 2 2 4" xfId="5365" xr:uid="{00000000-0005-0000-0000-00005D040000}"/>
    <cellStyle name="Normal 3 3 4 2 2 3" xfId="1647" xr:uid="{00000000-0005-0000-0000-00005E040000}"/>
    <cellStyle name="Normal 3 3 4 2 2 3 2" xfId="3869" xr:uid="{00000000-0005-0000-0000-00005F040000}"/>
    <cellStyle name="Normal 3 3 4 2 2 3 2 2" xfId="7869" xr:uid="{00000000-0005-0000-0000-00005F040000}"/>
    <cellStyle name="Normal 3 3 4 2 2 3 3" xfId="5868" xr:uid="{00000000-0005-0000-0000-00005F040000}"/>
    <cellStyle name="Normal 3 3 4 2 2 4" xfId="2871" xr:uid="{00000000-0005-0000-0000-00005C040000}"/>
    <cellStyle name="Normal 3 3 4 2 2 4 2" xfId="6870" xr:uid="{00000000-0005-0000-0000-00005C040000}"/>
    <cellStyle name="Normal 3 3 4 2 2 5" xfId="4869" xr:uid="{00000000-0005-0000-0000-00005C040000}"/>
    <cellStyle name="Normal 3 3 4 2 3" xfId="893" xr:uid="{00000000-0005-0000-0000-00005F040000}"/>
    <cellStyle name="Normal 3 3 4 2 3 2" xfId="1895" xr:uid="{00000000-0005-0000-0000-000060040000}"/>
    <cellStyle name="Normal 3 3 4 2 3 2 2" xfId="4117" xr:uid="{00000000-0005-0000-0000-000061040000}"/>
    <cellStyle name="Normal 3 3 4 2 3 2 2 2" xfId="8117" xr:uid="{00000000-0005-0000-0000-000061040000}"/>
    <cellStyle name="Normal 3 3 4 2 3 2 3" xfId="6116" xr:uid="{00000000-0005-0000-0000-000061040000}"/>
    <cellStyle name="Normal 3 3 4 2 3 3" xfId="3119" xr:uid="{00000000-0005-0000-0000-000060040000}"/>
    <cellStyle name="Normal 3 3 4 2 3 3 2" xfId="7118" xr:uid="{00000000-0005-0000-0000-000060040000}"/>
    <cellStyle name="Normal 3 3 4 2 3 4" xfId="5117" xr:uid="{00000000-0005-0000-0000-000060040000}"/>
    <cellStyle name="Normal 3 3 4 2 4" xfId="1399" xr:uid="{00000000-0005-0000-0000-000061040000}"/>
    <cellStyle name="Normal 3 3 4 2 4 2" xfId="3621" xr:uid="{00000000-0005-0000-0000-000062040000}"/>
    <cellStyle name="Normal 3 3 4 2 4 2 2" xfId="7621" xr:uid="{00000000-0005-0000-0000-000062040000}"/>
    <cellStyle name="Normal 3 3 4 2 4 3" xfId="5620" xr:uid="{00000000-0005-0000-0000-000062040000}"/>
    <cellStyle name="Normal 3 3 4 2 5" xfId="2630" xr:uid="{00000000-0005-0000-0000-00005B040000}"/>
    <cellStyle name="Normal 3 3 4 2 5 2" xfId="6622" xr:uid="{00000000-0005-0000-0000-00005B040000}"/>
    <cellStyle name="Normal 3 3 4 2 6" xfId="4621" xr:uid="{00000000-0005-0000-0000-00005B040000}"/>
    <cellStyle name="Normal 3 3 4 3" xfId="443" xr:uid="{00000000-0005-0000-0000-000062040000}"/>
    <cellStyle name="Normal 3 3 4 3 2" xfId="690" xr:uid="{00000000-0005-0000-0000-000063040000}"/>
    <cellStyle name="Normal 3 3 4 3 2 2" xfId="1187" xr:uid="{00000000-0005-0000-0000-000064040000}"/>
    <cellStyle name="Normal 3 3 4 3 2 2 2" xfId="2189" xr:uid="{00000000-0005-0000-0000-000065040000}"/>
    <cellStyle name="Normal 3 3 4 3 2 2 2 2" xfId="4411" xr:uid="{00000000-0005-0000-0000-000066040000}"/>
    <cellStyle name="Normal 3 3 4 3 2 2 2 2 2" xfId="8411" xr:uid="{00000000-0005-0000-0000-000066040000}"/>
    <cellStyle name="Normal 3 3 4 3 2 2 2 3" xfId="6410" xr:uid="{00000000-0005-0000-0000-000066040000}"/>
    <cellStyle name="Normal 3 3 4 3 2 2 3" xfId="3413" xr:uid="{00000000-0005-0000-0000-000065040000}"/>
    <cellStyle name="Normal 3 3 4 3 2 2 3 2" xfId="7412" xr:uid="{00000000-0005-0000-0000-000065040000}"/>
    <cellStyle name="Normal 3 3 4 3 2 2 4" xfId="5411" xr:uid="{00000000-0005-0000-0000-000065040000}"/>
    <cellStyle name="Normal 3 3 4 3 2 3" xfId="1693" xr:uid="{00000000-0005-0000-0000-000066040000}"/>
    <cellStyle name="Normal 3 3 4 3 2 3 2" xfId="3915" xr:uid="{00000000-0005-0000-0000-000067040000}"/>
    <cellStyle name="Normal 3 3 4 3 2 3 2 2" xfId="7915" xr:uid="{00000000-0005-0000-0000-000067040000}"/>
    <cellStyle name="Normal 3 3 4 3 2 3 3" xfId="5914" xr:uid="{00000000-0005-0000-0000-000067040000}"/>
    <cellStyle name="Normal 3 3 4 3 2 4" xfId="2917" xr:uid="{00000000-0005-0000-0000-000064040000}"/>
    <cellStyle name="Normal 3 3 4 3 2 4 2" xfId="6916" xr:uid="{00000000-0005-0000-0000-000064040000}"/>
    <cellStyle name="Normal 3 3 4 3 2 5" xfId="4915" xr:uid="{00000000-0005-0000-0000-000064040000}"/>
    <cellStyle name="Normal 3 3 4 3 3" xfId="939" xr:uid="{00000000-0005-0000-0000-000067040000}"/>
    <cellStyle name="Normal 3 3 4 3 3 2" xfId="1941" xr:uid="{00000000-0005-0000-0000-000068040000}"/>
    <cellStyle name="Normal 3 3 4 3 3 2 2" xfId="4163" xr:uid="{00000000-0005-0000-0000-000069040000}"/>
    <cellStyle name="Normal 3 3 4 3 3 2 2 2" xfId="8163" xr:uid="{00000000-0005-0000-0000-000069040000}"/>
    <cellStyle name="Normal 3 3 4 3 3 2 3" xfId="6162" xr:uid="{00000000-0005-0000-0000-000069040000}"/>
    <cellStyle name="Normal 3 3 4 3 3 3" xfId="3165" xr:uid="{00000000-0005-0000-0000-000068040000}"/>
    <cellStyle name="Normal 3 3 4 3 3 3 2" xfId="7164" xr:uid="{00000000-0005-0000-0000-000068040000}"/>
    <cellStyle name="Normal 3 3 4 3 3 4" xfId="5163" xr:uid="{00000000-0005-0000-0000-000068040000}"/>
    <cellStyle name="Normal 3 3 4 3 4" xfId="1445" xr:uid="{00000000-0005-0000-0000-000069040000}"/>
    <cellStyle name="Normal 3 3 4 3 4 2" xfId="3667" xr:uid="{00000000-0005-0000-0000-00006A040000}"/>
    <cellStyle name="Normal 3 3 4 3 4 2 2" xfId="7667" xr:uid="{00000000-0005-0000-0000-00006A040000}"/>
    <cellStyle name="Normal 3 3 4 3 4 3" xfId="5666" xr:uid="{00000000-0005-0000-0000-00006A040000}"/>
    <cellStyle name="Normal 3 3 4 3 5" xfId="2670" xr:uid="{00000000-0005-0000-0000-000063040000}"/>
    <cellStyle name="Normal 3 3 4 3 5 2" xfId="6668" xr:uid="{00000000-0005-0000-0000-000063040000}"/>
    <cellStyle name="Normal 3 3 4 3 6" xfId="4667" xr:uid="{00000000-0005-0000-0000-000063040000}"/>
    <cellStyle name="Normal 3 3 4 4" xfId="529" xr:uid="{00000000-0005-0000-0000-00006A040000}"/>
    <cellStyle name="Normal 3 3 4 4 2" xfId="776" xr:uid="{00000000-0005-0000-0000-00006B040000}"/>
    <cellStyle name="Normal 3 3 4 4 2 2" xfId="1274" xr:uid="{00000000-0005-0000-0000-00006C040000}"/>
    <cellStyle name="Normal 3 3 4 4 2 2 2" xfId="2276" xr:uid="{00000000-0005-0000-0000-00006D040000}"/>
    <cellStyle name="Normal 3 3 4 4 2 2 2 2" xfId="4498" xr:uid="{00000000-0005-0000-0000-00006E040000}"/>
    <cellStyle name="Normal 3 3 4 4 2 2 2 2 2" xfId="8498" xr:uid="{00000000-0005-0000-0000-00006E040000}"/>
    <cellStyle name="Normal 3 3 4 4 2 2 2 3" xfId="6497" xr:uid="{00000000-0005-0000-0000-00006E040000}"/>
    <cellStyle name="Normal 3 3 4 4 2 2 3" xfId="3500" xr:uid="{00000000-0005-0000-0000-00006D040000}"/>
    <cellStyle name="Normal 3 3 4 4 2 2 3 2" xfId="7499" xr:uid="{00000000-0005-0000-0000-00006D040000}"/>
    <cellStyle name="Normal 3 3 4 4 2 2 4" xfId="5498" xr:uid="{00000000-0005-0000-0000-00006D040000}"/>
    <cellStyle name="Normal 3 3 4 4 2 3" xfId="1780" xr:uid="{00000000-0005-0000-0000-00006E040000}"/>
    <cellStyle name="Normal 3 3 4 4 2 3 2" xfId="4002" xr:uid="{00000000-0005-0000-0000-00006F040000}"/>
    <cellStyle name="Normal 3 3 4 4 2 3 2 2" xfId="8002" xr:uid="{00000000-0005-0000-0000-00006F040000}"/>
    <cellStyle name="Normal 3 3 4 4 2 3 3" xfId="6001" xr:uid="{00000000-0005-0000-0000-00006F040000}"/>
    <cellStyle name="Normal 3 3 4 4 2 4" xfId="3004" xr:uid="{00000000-0005-0000-0000-00006C040000}"/>
    <cellStyle name="Normal 3 3 4 4 2 4 2" xfId="7003" xr:uid="{00000000-0005-0000-0000-00006C040000}"/>
    <cellStyle name="Normal 3 3 4 4 2 5" xfId="5002" xr:uid="{00000000-0005-0000-0000-00006C040000}"/>
    <cellStyle name="Normal 3 3 4 4 3" xfId="1026" xr:uid="{00000000-0005-0000-0000-00006F040000}"/>
    <cellStyle name="Normal 3 3 4 4 3 2" xfId="2028" xr:uid="{00000000-0005-0000-0000-000070040000}"/>
    <cellStyle name="Normal 3 3 4 4 3 2 2" xfId="4250" xr:uid="{00000000-0005-0000-0000-000071040000}"/>
    <cellStyle name="Normal 3 3 4 4 3 2 2 2" xfId="8250" xr:uid="{00000000-0005-0000-0000-000071040000}"/>
    <cellStyle name="Normal 3 3 4 4 3 2 3" xfId="6249" xr:uid="{00000000-0005-0000-0000-000071040000}"/>
    <cellStyle name="Normal 3 3 4 4 3 3" xfId="3252" xr:uid="{00000000-0005-0000-0000-000070040000}"/>
    <cellStyle name="Normal 3 3 4 4 3 3 2" xfId="7251" xr:uid="{00000000-0005-0000-0000-000070040000}"/>
    <cellStyle name="Normal 3 3 4 4 3 4" xfId="5250" xr:uid="{00000000-0005-0000-0000-000070040000}"/>
    <cellStyle name="Normal 3 3 4 4 4" xfId="1532" xr:uid="{00000000-0005-0000-0000-000071040000}"/>
    <cellStyle name="Normal 3 3 4 4 4 2" xfId="3754" xr:uid="{00000000-0005-0000-0000-000072040000}"/>
    <cellStyle name="Normal 3 3 4 4 4 2 2" xfId="7754" xr:uid="{00000000-0005-0000-0000-000072040000}"/>
    <cellStyle name="Normal 3 3 4 4 4 3" xfId="5753" xr:uid="{00000000-0005-0000-0000-000072040000}"/>
    <cellStyle name="Normal 3 3 4 4 5" xfId="2757" xr:uid="{00000000-0005-0000-0000-00006B040000}"/>
    <cellStyle name="Normal 3 3 4 4 5 2" xfId="6755" xr:uid="{00000000-0005-0000-0000-00006B040000}"/>
    <cellStyle name="Normal 3 3 4 4 6" xfId="4754" xr:uid="{00000000-0005-0000-0000-00006B040000}"/>
    <cellStyle name="Normal 3 3 4 5" xfId="575" xr:uid="{00000000-0005-0000-0000-000072040000}"/>
    <cellStyle name="Normal 3 3 4 5 2" xfId="1073" xr:uid="{00000000-0005-0000-0000-000073040000}"/>
    <cellStyle name="Normal 3 3 4 5 2 2" xfId="2075" xr:uid="{00000000-0005-0000-0000-000074040000}"/>
    <cellStyle name="Normal 3 3 4 5 2 2 2" xfId="4297" xr:uid="{00000000-0005-0000-0000-000075040000}"/>
    <cellStyle name="Normal 3 3 4 5 2 2 2 2" xfId="8297" xr:uid="{00000000-0005-0000-0000-000075040000}"/>
    <cellStyle name="Normal 3 3 4 5 2 2 3" xfId="6296" xr:uid="{00000000-0005-0000-0000-000075040000}"/>
    <cellStyle name="Normal 3 3 4 5 2 3" xfId="3299" xr:uid="{00000000-0005-0000-0000-000074040000}"/>
    <cellStyle name="Normal 3 3 4 5 2 3 2" xfId="7298" xr:uid="{00000000-0005-0000-0000-000074040000}"/>
    <cellStyle name="Normal 3 3 4 5 2 4" xfId="5297" xr:uid="{00000000-0005-0000-0000-000074040000}"/>
    <cellStyle name="Normal 3 3 4 5 3" xfId="1579" xr:uid="{00000000-0005-0000-0000-000075040000}"/>
    <cellStyle name="Normal 3 3 4 5 3 2" xfId="3801" xr:uid="{00000000-0005-0000-0000-000076040000}"/>
    <cellStyle name="Normal 3 3 4 5 3 2 2" xfId="7801" xr:uid="{00000000-0005-0000-0000-000076040000}"/>
    <cellStyle name="Normal 3 3 4 5 3 3" xfId="5800" xr:uid="{00000000-0005-0000-0000-000076040000}"/>
    <cellStyle name="Normal 3 3 4 5 4" xfId="2804" xr:uid="{00000000-0005-0000-0000-000073040000}"/>
    <cellStyle name="Normal 3 3 4 5 4 2" xfId="6802" xr:uid="{00000000-0005-0000-0000-000073040000}"/>
    <cellStyle name="Normal 3 3 4 5 5" xfId="4801" xr:uid="{00000000-0005-0000-0000-000073040000}"/>
    <cellStyle name="Normal 3 3 4 6" xfId="825" xr:uid="{00000000-0005-0000-0000-000076040000}"/>
    <cellStyle name="Normal 3 3 4 6 2" xfId="1827" xr:uid="{00000000-0005-0000-0000-000077040000}"/>
    <cellStyle name="Normal 3 3 4 6 2 2" xfId="4049" xr:uid="{00000000-0005-0000-0000-000078040000}"/>
    <cellStyle name="Normal 3 3 4 6 2 2 2" xfId="8049" xr:uid="{00000000-0005-0000-0000-000078040000}"/>
    <cellStyle name="Normal 3 3 4 6 2 3" xfId="6048" xr:uid="{00000000-0005-0000-0000-000078040000}"/>
    <cellStyle name="Normal 3 3 4 6 3" xfId="3051" xr:uid="{00000000-0005-0000-0000-000077040000}"/>
    <cellStyle name="Normal 3 3 4 6 3 2" xfId="7050" xr:uid="{00000000-0005-0000-0000-000077040000}"/>
    <cellStyle name="Normal 3 3 4 6 4" xfId="5049" xr:uid="{00000000-0005-0000-0000-000077040000}"/>
    <cellStyle name="Normal 3 3 4 7" xfId="1331" xr:uid="{00000000-0005-0000-0000-000078040000}"/>
    <cellStyle name="Normal 3 3 4 7 2" xfId="3553" xr:uid="{00000000-0005-0000-0000-000079040000}"/>
    <cellStyle name="Normal 3 3 4 7 2 2" xfId="7553" xr:uid="{00000000-0005-0000-0000-000079040000}"/>
    <cellStyle name="Normal 3 3 4 7 3" xfId="5552" xr:uid="{00000000-0005-0000-0000-000079040000}"/>
    <cellStyle name="Normal 3 3 4 8" xfId="2566" xr:uid="{00000000-0005-0000-0000-00005A040000}"/>
    <cellStyle name="Normal 3 3 4 8 2" xfId="6554" xr:uid="{00000000-0005-0000-0000-00005A040000}"/>
    <cellStyle name="Normal 3 3 4 9" xfId="4553" xr:uid="{00000000-0005-0000-0000-00005A040000}"/>
    <cellStyle name="Normal 3 3 5" xfId="354" xr:uid="{00000000-0005-0000-0000-000079040000}"/>
    <cellStyle name="Normal 3 3 5 2" xfId="465" xr:uid="{00000000-0005-0000-0000-00007A040000}"/>
    <cellStyle name="Normal 3 3 5 2 2" xfId="712" xr:uid="{00000000-0005-0000-0000-00007B040000}"/>
    <cellStyle name="Normal 3 3 5 2 2 2" xfId="1209" xr:uid="{00000000-0005-0000-0000-00007C040000}"/>
    <cellStyle name="Normal 3 3 5 2 2 2 2" xfId="2211" xr:uid="{00000000-0005-0000-0000-00007D040000}"/>
    <cellStyle name="Normal 3 3 5 2 2 2 2 2" xfId="4433" xr:uid="{00000000-0005-0000-0000-00007E040000}"/>
    <cellStyle name="Normal 3 3 5 2 2 2 2 2 2" xfId="8433" xr:uid="{00000000-0005-0000-0000-00007E040000}"/>
    <cellStyle name="Normal 3 3 5 2 2 2 2 3" xfId="6432" xr:uid="{00000000-0005-0000-0000-00007E040000}"/>
    <cellStyle name="Normal 3 3 5 2 2 2 3" xfId="3435" xr:uid="{00000000-0005-0000-0000-00007D040000}"/>
    <cellStyle name="Normal 3 3 5 2 2 2 3 2" xfId="7434" xr:uid="{00000000-0005-0000-0000-00007D040000}"/>
    <cellStyle name="Normal 3 3 5 2 2 2 4" xfId="5433" xr:uid="{00000000-0005-0000-0000-00007D040000}"/>
    <cellStyle name="Normal 3 3 5 2 2 3" xfId="1715" xr:uid="{00000000-0005-0000-0000-00007E040000}"/>
    <cellStyle name="Normal 3 3 5 2 2 3 2" xfId="3937" xr:uid="{00000000-0005-0000-0000-00007F040000}"/>
    <cellStyle name="Normal 3 3 5 2 2 3 2 2" xfId="7937" xr:uid="{00000000-0005-0000-0000-00007F040000}"/>
    <cellStyle name="Normal 3 3 5 2 2 3 3" xfId="5936" xr:uid="{00000000-0005-0000-0000-00007F040000}"/>
    <cellStyle name="Normal 3 3 5 2 2 4" xfId="2939" xr:uid="{00000000-0005-0000-0000-00007C040000}"/>
    <cellStyle name="Normal 3 3 5 2 2 4 2" xfId="6938" xr:uid="{00000000-0005-0000-0000-00007C040000}"/>
    <cellStyle name="Normal 3 3 5 2 2 5" xfId="4937" xr:uid="{00000000-0005-0000-0000-00007C040000}"/>
    <cellStyle name="Normal 3 3 5 2 3" xfId="961" xr:uid="{00000000-0005-0000-0000-00007F040000}"/>
    <cellStyle name="Normal 3 3 5 2 3 2" xfId="1963" xr:uid="{00000000-0005-0000-0000-000080040000}"/>
    <cellStyle name="Normal 3 3 5 2 3 2 2" xfId="4185" xr:uid="{00000000-0005-0000-0000-000081040000}"/>
    <cellStyle name="Normal 3 3 5 2 3 2 2 2" xfId="8185" xr:uid="{00000000-0005-0000-0000-000081040000}"/>
    <cellStyle name="Normal 3 3 5 2 3 2 3" xfId="6184" xr:uid="{00000000-0005-0000-0000-000081040000}"/>
    <cellStyle name="Normal 3 3 5 2 3 3" xfId="3187" xr:uid="{00000000-0005-0000-0000-000080040000}"/>
    <cellStyle name="Normal 3 3 5 2 3 3 2" xfId="7186" xr:uid="{00000000-0005-0000-0000-000080040000}"/>
    <cellStyle name="Normal 3 3 5 2 3 4" xfId="5185" xr:uid="{00000000-0005-0000-0000-000080040000}"/>
    <cellStyle name="Normal 3 3 5 2 4" xfId="1467" xr:uid="{00000000-0005-0000-0000-000081040000}"/>
    <cellStyle name="Normal 3 3 5 2 4 2" xfId="3689" xr:uid="{00000000-0005-0000-0000-000082040000}"/>
    <cellStyle name="Normal 3 3 5 2 4 2 2" xfId="7689" xr:uid="{00000000-0005-0000-0000-000082040000}"/>
    <cellStyle name="Normal 3 3 5 2 4 3" xfId="5688" xr:uid="{00000000-0005-0000-0000-000082040000}"/>
    <cellStyle name="Normal 3 3 5 2 5" xfId="2692" xr:uid="{00000000-0005-0000-0000-00007B040000}"/>
    <cellStyle name="Normal 3 3 5 2 5 2" xfId="6690" xr:uid="{00000000-0005-0000-0000-00007B040000}"/>
    <cellStyle name="Normal 3 3 5 2 6" xfId="4689" xr:uid="{00000000-0005-0000-0000-00007B040000}"/>
    <cellStyle name="Normal 3 3 5 3" xfId="597" xr:uid="{00000000-0005-0000-0000-000082040000}"/>
    <cellStyle name="Normal 3 3 5 3 2" xfId="1095" xr:uid="{00000000-0005-0000-0000-000083040000}"/>
    <cellStyle name="Normal 3 3 5 3 2 2" xfId="2097" xr:uid="{00000000-0005-0000-0000-000084040000}"/>
    <cellStyle name="Normal 3 3 5 3 2 2 2" xfId="4319" xr:uid="{00000000-0005-0000-0000-000085040000}"/>
    <cellStyle name="Normal 3 3 5 3 2 2 2 2" xfId="8319" xr:uid="{00000000-0005-0000-0000-000085040000}"/>
    <cellStyle name="Normal 3 3 5 3 2 2 3" xfId="6318" xr:uid="{00000000-0005-0000-0000-000085040000}"/>
    <cellStyle name="Normal 3 3 5 3 2 3" xfId="3321" xr:uid="{00000000-0005-0000-0000-000084040000}"/>
    <cellStyle name="Normal 3 3 5 3 2 3 2" xfId="7320" xr:uid="{00000000-0005-0000-0000-000084040000}"/>
    <cellStyle name="Normal 3 3 5 3 2 4" xfId="5319" xr:uid="{00000000-0005-0000-0000-000084040000}"/>
    <cellStyle name="Normal 3 3 5 3 3" xfId="1601" xr:uid="{00000000-0005-0000-0000-000085040000}"/>
    <cellStyle name="Normal 3 3 5 3 3 2" xfId="3823" xr:uid="{00000000-0005-0000-0000-000086040000}"/>
    <cellStyle name="Normal 3 3 5 3 3 2 2" xfId="7823" xr:uid="{00000000-0005-0000-0000-000086040000}"/>
    <cellStyle name="Normal 3 3 5 3 3 3" xfId="5822" xr:uid="{00000000-0005-0000-0000-000086040000}"/>
    <cellStyle name="Normal 3 3 5 3 4" xfId="2826" xr:uid="{00000000-0005-0000-0000-000083040000}"/>
    <cellStyle name="Normal 3 3 5 3 4 2" xfId="6824" xr:uid="{00000000-0005-0000-0000-000083040000}"/>
    <cellStyle name="Normal 3 3 5 3 5" xfId="4823" xr:uid="{00000000-0005-0000-0000-000083040000}"/>
    <cellStyle name="Normal 3 3 5 4" xfId="847" xr:uid="{00000000-0005-0000-0000-000086040000}"/>
    <cellStyle name="Normal 3 3 5 4 2" xfId="1849" xr:uid="{00000000-0005-0000-0000-000087040000}"/>
    <cellStyle name="Normal 3 3 5 4 2 2" xfId="4071" xr:uid="{00000000-0005-0000-0000-000088040000}"/>
    <cellStyle name="Normal 3 3 5 4 2 2 2" xfId="8071" xr:uid="{00000000-0005-0000-0000-000088040000}"/>
    <cellStyle name="Normal 3 3 5 4 2 3" xfId="6070" xr:uid="{00000000-0005-0000-0000-000088040000}"/>
    <cellStyle name="Normal 3 3 5 4 3" xfId="3073" xr:uid="{00000000-0005-0000-0000-000087040000}"/>
    <cellStyle name="Normal 3 3 5 4 3 2" xfId="7072" xr:uid="{00000000-0005-0000-0000-000087040000}"/>
    <cellStyle name="Normal 3 3 5 4 4" xfId="5071" xr:uid="{00000000-0005-0000-0000-000087040000}"/>
    <cellStyle name="Normal 3 3 5 5" xfId="1353" xr:uid="{00000000-0005-0000-0000-000088040000}"/>
    <cellStyle name="Normal 3 3 5 5 2" xfId="3575" xr:uid="{00000000-0005-0000-0000-000089040000}"/>
    <cellStyle name="Normal 3 3 5 5 2 2" xfId="7575" xr:uid="{00000000-0005-0000-0000-000089040000}"/>
    <cellStyle name="Normal 3 3 5 5 3" xfId="5574" xr:uid="{00000000-0005-0000-0000-000089040000}"/>
    <cellStyle name="Normal 3 3 5 6" xfId="2587" xr:uid="{00000000-0005-0000-0000-00007A040000}"/>
    <cellStyle name="Normal 3 3 5 6 2" xfId="6576" xr:uid="{00000000-0005-0000-0000-00007A040000}"/>
    <cellStyle name="Normal 3 3 5 7" xfId="4575" xr:uid="{00000000-0005-0000-0000-00007A040000}"/>
    <cellStyle name="Normal 3 3 6" xfId="374" xr:uid="{00000000-0005-0000-0000-000089040000}"/>
    <cellStyle name="Normal 3 3 6 2" xfId="620" xr:uid="{00000000-0005-0000-0000-00008A040000}"/>
    <cellStyle name="Normal 3 3 6 2 2" xfId="1117" xr:uid="{00000000-0005-0000-0000-00008B040000}"/>
    <cellStyle name="Normal 3 3 6 2 2 2" xfId="2119" xr:uid="{00000000-0005-0000-0000-00008C040000}"/>
    <cellStyle name="Normal 3 3 6 2 2 2 2" xfId="4341" xr:uid="{00000000-0005-0000-0000-00008D040000}"/>
    <cellStyle name="Normal 3 3 6 2 2 2 2 2" xfId="8341" xr:uid="{00000000-0005-0000-0000-00008D040000}"/>
    <cellStyle name="Normal 3 3 6 2 2 2 3" xfId="6340" xr:uid="{00000000-0005-0000-0000-00008D040000}"/>
    <cellStyle name="Normal 3 3 6 2 2 3" xfId="3343" xr:uid="{00000000-0005-0000-0000-00008C040000}"/>
    <cellStyle name="Normal 3 3 6 2 2 3 2" xfId="7342" xr:uid="{00000000-0005-0000-0000-00008C040000}"/>
    <cellStyle name="Normal 3 3 6 2 2 4" xfId="5341" xr:uid="{00000000-0005-0000-0000-00008C040000}"/>
    <cellStyle name="Normal 3 3 6 2 3" xfId="1623" xr:uid="{00000000-0005-0000-0000-00008D040000}"/>
    <cellStyle name="Normal 3 3 6 2 3 2" xfId="3845" xr:uid="{00000000-0005-0000-0000-00008E040000}"/>
    <cellStyle name="Normal 3 3 6 2 3 2 2" xfId="7845" xr:uid="{00000000-0005-0000-0000-00008E040000}"/>
    <cellStyle name="Normal 3 3 6 2 3 3" xfId="5844" xr:uid="{00000000-0005-0000-0000-00008E040000}"/>
    <cellStyle name="Normal 3 3 6 2 4" xfId="2847" xr:uid="{00000000-0005-0000-0000-00008B040000}"/>
    <cellStyle name="Normal 3 3 6 2 4 2" xfId="6846" xr:uid="{00000000-0005-0000-0000-00008B040000}"/>
    <cellStyle name="Normal 3 3 6 2 5" xfId="4845" xr:uid="{00000000-0005-0000-0000-00008B040000}"/>
    <cellStyle name="Normal 3 3 6 3" xfId="869" xr:uid="{00000000-0005-0000-0000-00008E040000}"/>
    <cellStyle name="Normal 3 3 6 3 2" xfId="1871" xr:uid="{00000000-0005-0000-0000-00008F040000}"/>
    <cellStyle name="Normal 3 3 6 3 2 2" xfId="4093" xr:uid="{00000000-0005-0000-0000-000090040000}"/>
    <cellStyle name="Normal 3 3 6 3 2 2 2" xfId="8093" xr:uid="{00000000-0005-0000-0000-000090040000}"/>
    <cellStyle name="Normal 3 3 6 3 2 3" xfId="6092" xr:uid="{00000000-0005-0000-0000-000090040000}"/>
    <cellStyle name="Normal 3 3 6 3 3" xfId="3095" xr:uid="{00000000-0005-0000-0000-00008F040000}"/>
    <cellStyle name="Normal 3 3 6 3 3 2" xfId="7094" xr:uid="{00000000-0005-0000-0000-00008F040000}"/>
    <cellStyle name="Normal 3 3 6 3 4" xfId="5093" xr:uid="{00000000-0005-0000-0000-00008F040000}"/>
    <cellStyle name="Normal 3 3 6 4" xfId="1375" xr:uid="{00000000-0005-0000-0000-000090040000}"/>
    <cellStyle name="Normal 3 3 6 4 2" xfId="3597" xr:uid="{00000000-0005-0000-0000-000091040000}"/>
    <cellStyle name="Normal 3 3 6 4 2 2" xfId="7597" xr:uid="{00000000-0005-0000-0000-000091040000}"/>
    <cellStyle name="Normal 3 3 6 4 3" xfId="5596" xr:uid="{00000000-0005-0000-0000-000091040000}"/>
    <cellStyle name="Normal 3 3 6 5" xfId="2608" xr:uid="{00000000-0005-0000-0000-00008A040000}"/>
    <cellStyle name="Normal 3 3 6 5 2" xfId="6598" xr:uid="{00000000-0005-0000-0000-00008A040000}"/>
    <cellStyle name="Normal 3 3 6 6" xfId="4597" xr:uid="{00000000-0005-0000-0000-00008A040000}"/>
    <cellStyle name="Normal 3 3 7" xfId="419" xr:uid="{00000000-0005-0000-0000-000091040000}"/>
    <cellStyle name="Normal 3 3 7 2" xfId="666" xr:uid="{00000000-0005-0000-0000-000092040000}"/>
    <cellStyle name="Normal 3 3 7 2 2" xfId="1163" xr:uid="{00000000-0005-0000-0000-000093040000}"/>
    <cellStyle name="Normal 3 3 7 2 2 2" xfId="2165" xr:uid="{00000000-0005-0000-0000-000094040000}"/>
    <cellStyle name="Normal 3 3 7 2 2 2 2" xfId="4387" xr:uid="{00000000-0005-0000-0000-000095040000}"/>
    <cellStyle name="Normal 3 3 7 2 2 2 2 2" xfId="8387" xr:uid="{00000000-0005-0000-0000-000095040000}"/>
    <cellStyle name="Normal 3 3 7 2 2 2 3" xfId="6386" xr:uid="{00000000-0005-0000-0000-000095040000}"/>
    <cellStyle name="Normal 3 3 7 2 2 3" xfId="3389" xr:uid="{00000000-0005-0000-0000-000094040000}"/>
    <cellStyle name="Normal 3 3 7 2 2 3 2" xfId="7388" xr:uid="{00000000-0005-0000-0000-000094040000}"/>
    <cellStyle name="Normal 3 3 7 2 2 4" xfId="5387" xr:uid="{00000000-0005-0000-0000-000094040000}"/>
    <cellStyle name="Normal 3 3 7 2 3" xfId="1669" xr:uid="{00000000-0005-0000-0000-000095040000}"/>
    <cellStyle name="Normal 3 3 7 2 3 2" xfId="3891" xr:uid="{00000000-0005-0000-0000-000096040000}"/>
    <cellStyle name="Normal 3 3 7 2 3 2 2" xfId="7891" xr:uid="{00000000-0005-0000-0000-000096040000}"/>
    <cellStyle name="Normal 3 3 7 2 3 3" xfId="5890" xr:uid="{00000000-0005-0000-0000-000096040000}"/>
    <cellStyle name="Normal 3 3 7 2 4" xfId="2893" xr:uid="{00000000-0005-0000-0000-000093040000}"/>
    <cellStyle name="Normal 3 3 7 2 4 2" xfId="6892" xr:uid="{00000000-0005-0000-0000-000093040000}"/>
    <cellStyle name="Normal 3 3 7 2 5" xfId="4891" xr:uid="{00000000-0005-0000-0000-000093040000}"/>
    <cellStyle name="Normal 3 3 7 3" xfId="915" xr:uid="{00000000-0005-0000-0000-000096040000}"/>
    <cellStyle name="Normal 3 3 7 3 2" xfId="1917" xr:uid="{00000000-0005-0000-0000-000097040000}"/>
    <cellStyle name="Normal 3 3 7 3 2 2" xfId="4139" xr:uid="{00000000-0005-0000-0000-000098040000}"/>
    <cellStyle name="Normal 3 3 7 3 2 2 2" xfId="8139" xr:uid="{00000000-0005-0000-0000-000098040000}"/>
    <cellStyle name="Normal 3 3 7 3 2 3" xfId="6138" xr:uid="{00000000-0005-0000-0000-000098040000}"/>
    <cellStyle name="Normal 3 3 7 3 3" xfId="3141" xr:uid="{00000000-0005-0000-0000-000097040000}"/>
    <cellStyle name="Normal 3 3 7 3 3 2" xfId="7140" xr:uid="{00000000-0005-0000-0000-000097040000}"/>
    <cellStyle name="Normal 3 3 7 3 4" xfId="5139" xr:uid="{00000000-0005-0000-0000-000097040000}"/>
    <cellStyle name="Normal 3 3 7 4" xfId="1421" xr:uid="{00000000-0005-0000-0000-000098040000}"/>
    <cellStyle name="Normal 3 3 7 4 2" xfId="3643" xr:uid="{00000000-0005-0000-0000-000099040000}"/>
    <cellStyle name="Normal 3 3 7 4 2 2" xfId="7643" xr:uid="{00000000-0005-0000-0000-000099040000}"/>
    <cellStyle name="Normal 3 3 7 4 3" xfId="5642" xr:uid="{00000000-0005-0000-0000-000099040000}"/>
    <cellStyle name="Normal 3 3 7 5" xfId="2647" xr:uid="{00000000-0005-0000-0000-000092040000}"/>
    <cellStyle name="Normal 3 3 7 5 2" xfId="6644" xr:uid="{00000000-0005-0000-0000-000092040000}"/>
    <cellStyle name="Normal 3 3 7 6" xfId="4643" xr:uid="{00000000-0005-0000-0000-000092040000}"/>
    <cellStyle name="Normal 3 3 8" xfId="485" xr:uid="{00000000-0005-0000-0000-000099040000}"/>
    <cellStyle name="Normal 3 3 8 2" xfId="732" xr:uid="{00000000-0005-0000-0000-00009A040000}"/>
    <cellStyle name="Normal 3 3 8 2 2" xfId="1229" xr:uid="{00000000-0005-0000-0000-00009B040000}"/>
    <cellStyle name="Normal 3 3 8 2 2 2" xfId="2231" xr:uid="{00000000-0005-0000-0000-00009C040000}"/>
    <cellStyle name="Normal 3 3 8 2 2 2 2" xfId="4453" xr:uid="{00000000-0005-0000-0000-00009D040000}"/>
    <cellStyle name="Normal 3 3 8 2 2 2 2 2" xfId="8453" xr:uid="{00000000-0005-0000-0000-00009D040000}"/>
    <cellStyle name="Normal 3 3 8 2 2 2 3" xfId="6452" xr:uid="{00000000-0005-0000-0000-00009D040000}"/>
    <cellStyle name="Normal 3 3 8 2 2 3" xfId="3455" xr:uid="{00000000-0005-0000-0000-00009C040000}"/>
    <cellStyle name="Normal 3 3 8 2 2 3 2" xfId="7454" xr:uid="{00000000-0005-0000-0000-00009C040000}"/>
    <cellStyle name="Normal 3 3 8 2 2 4" xfId="5453" xr:uid="{00000000-0005-0000-0000-00009C040000}"/>
    <cellStyle name="Normal 3 3 8 2 3" xfId="1735" xr:uid="{00000000-0005-0000-0000-00009D040000}"/>
    <cellStyle name="Normal 3 3 8 2 3 2" xfId="3957" xr:uid="{00000000-0005-0000-0000-00009E040000}"/>
    <cellStyle name="Normal 3 3 8 2 3 2 2" xfId="7957" xr:uid="{00000000-0005-0000-0000-00009E040000}"/>
    <cellStyle name="Normal 3 3 8 2 3 3" xfId="5956" xr:uid="{00000000-0005-0000-0000-00009E040000}"/>
    <cellStyle name="Normal 3 3 8 2 4" xfId="2959" xr:uid="{00000000-0005-0000-0000-00009B040000}"/>
    <cellStyle name="Normal 3 3 8 2 4 2" xfId="6958" xr:uid="{00000000-0005-0000-0000-00009B040000}"/>
    <cellStyle name="Normal 3 3 8 2 5" xfId="4957" xr:uid="{00000000-0005-0000-0000-00009B040000}"/>
    <cellStyle name="Normal 3 3 8 3" xfId="981" xr:uid="{00000000-0005-0000-0000-00009E040000}"/>
    <cellStyle name="Normal 3 3 8 3 2" xfId="1983" xr:uid="{00000000-0005-0000-0000-00009F040000}"/>
    <cellStyle name="Normal 3 3 8 3 2 2" xfId="4205" xr:uid="{00000000-0005-0000-0000-0000A0040000}"/>
    <cellStyle name="Normal 3 3 8 3 2 2 2" xfId="8205" xr:uid="{00000000-0005-0000-0000-0000A0040000}"/>
    <cellStyle name="Normal 3 3 8 3 2 3" xfId="6204" xr:uid="{00000000-0005-0000-0000-0000A0040000}"/>
    <cellStyle name="Normal 3 3 8 3 3" xfId="3207" xr:uid="{00000000-0005-0000-0000-00009F040000}"/>
    <cellStyle name="Normal 3 3 8 3 3 2" xfId="7206" xr:uid="{00000000-0005-0000-0000-00009F040000}"/>
    <cellStyle name="Normal 3 3 8 3 4" xfId="5205" xr:uid="{00000000-0005-0000-0000-00009F040000}"/>
    <cellStyle name="Normal 3 3 8 4" xfId="1487" xr:uid="{00000000-0005-0000-0000-0000A0040000}"/>
    <cellStyle name="Normal 3 3 8 4 2" xfId="3709" xr:uid="{00000000-0005-0000-0000-0000A1040000}"/>
    <cellStyle name="Normal 3 3 8 4 2 2" xfId="7709" xr:uid="{00000000-0005-0000-0000-0000A1040000}"/>
    <cellStyle name="Normal 3 3 8 4 3" xfId="5708" xr:uid="{00000000-0005-0000-0000-0000A1040000}"/>
    <cellStyle name="Normal 3 3 8 5" xfId="2712" xr:uid="{00000000-0005-0000-0000-00009A040000}"/>
    <cellStyle name="Normal 3 3 8 5 2" xfId="6710" xr:uid="{00000000-0005-0000-0000-00009A040000}"/>
    <cellStyle name="Normal 3 3 8 6" xfId="4709" xr:uid="{00000000-0005-0000-0000-00009A040000}"/>
    <cellStyle name="Normal 3 3 9" xfId="505" xr:uid="{00000000-0005-0000-0000-0000A1040000}"/>
    <cellStyle name="Normal 3 3 9 2" xfId="752" xr:uid="{00000000-0005-0000-0000-0000A2040000}"/>
    <cellStyle name="Normal 3 3 9 2 2" xfId="1250" xr:uid="{00000000-0005-0000-0000-0000A3040000}"/>
    <cellStyle name="Normal 3 3 9 2 2 2" xfId="2252" xr:uid="{00000000-0005-0000-0000-0000A4040000}"/>
    <cellStyle name="Normal 3 3 9 2 2 2 2" xfId="4474" xr:uid="{00000000-0005-0000-0000-0000A5040000}"/>
    <cellStyle name="Normal 3 3 9 2 2 2 2 2" xfId="8474" xr:uid="{00000000-0005-0000-0000-0000A5040000}"/>
    <cellStyle name="Normal 3 3 9 2 2 2 3" xfId="6473" xr:uid="{00000000-0005-0000-0000-0000A5040000}"/>
    <cellStyle name="Normal 3 3 9 2 2 3" xfId="3476" xr:uid="{00000000-0005-0000-0000-0000A4040000}"/>
    <cellStyle name="Normal 3 3 9 2 2 3 2" xfId="7475" xr:uid="{00000000-0005-0000-0000-0000A4040000}"/>
    <cellStyle name="Normal 3 3 9 2 2 4" xfId="5474" xr:uid="{00000000-0005-0000-0000-0000A4040000}"/>
    <cellStyle name="Normal 3 3 9 2 3" xfId="1756" xr:uid="{00000000-0005-0000-0000-0000A5040000}"/>
    <cellStyle name="Normal 3 3 9 2 3 2" xfId="3978" xr:uid="{00000000-0005-0000-0000-0000A6040000}"/>
    <cellStyle name="Normal 3 3 9 2 3 2 2" xfId="7978" xr:uid="{00000000-0005-0000-0000-0000A6040000}"/>
    <cellStyle name="Normal 3 3 9 2 3 3" xfId="5977" xr:uid="{00000000-0005-0000-0000-0000A6040000}"/>
    <cellStyle name="Normal 3 3 9 2 4" xfId="2980" xr:uid="{00000000-0005-0000-0000-0000A3040000}"/>
    <cellStyle name="Normal 3 3 9 2 4 2" xfId="6979" xr:uid="{00000000-0005-0000-0000-0000A3040000}"/>
    <cellStyle name="Normal 3 3 9 2 5" xfId="4978" xr:uid="{00000000-0005-0000-0000-0000A3040000}"/>
    <cellStyle name="Normal 3 3 9 3" xfId="1002" xr:uid="{00000000-0005-0000-0000-0000A6040000}"/>
    <cellStyle name="Normal 3 3 9 3 2" xfId="2004" xr:uid="{00000000-0005-0000-0000-0000A7040000}"/>
    <cellStyle name="Normal 3 3 9 3 2 2" xfId="4226" xr:uid="{00000000-0005-0000-0000-0000A8040000}"/>
    <cellStyle name="Normal 3 3 9 3 2 2 2" xfId="8226" xr:uid="{00000000-0005-0000-0000-0000A8040000}"/>
    <cellStyle name="Normal 3 3 9 3 2 3" xfId="6225" xr:uid="{00000000-0005-0000-0000-0000A8040000}"/>
    <cellStyle name="Normal 3 3 9 3 3" xfId="3228" xr:uid="{00000000-0005-0000-0000-0000A7040000}"/>
    <cellStyle name="Normal 3 3 9 3 3 2" xfId="7227" xr:uid="{00000000-0005-0000-0000-0000A7040000}"/>
    <cellStyle name="Normal 3 3 9 3 4" xfId="5226" xr:uid="{00000000-0005-0000-0000-0000A7040000}"/>
    <cellStyle name="Normal 3 3 9 4" xfId="1508" xr:uid="{00000000-0005-0000-0000-0000A8040000}"/>
    <cellStyle name="Normal 3 3 9 4 2" xfId="3730" xr:uid="{00000000-0005-0000-0000-0000A9040000}"/>
    <cellStyle name="Normal 3 3 9 4 2 2" xfId="7730" xr:uid="{00000000-0005-0000-0000-0000A9040000}"/>
    <cellStyle name="Normal 3 3 9 4 3" xfId="5729" xr:uid="{00000000-0005-0000-0000-0000A9040000}"/>
    <cellStyle name="Normal 3 3 9 5" xfId="2733" xr:uid="{00000000-0005-0000-0000-0000A2040000}"/>
    <cellStyle name="Normal 3 3 9 5 2" xfId="6731" xr:uid="{00000000-0005-0000-0000-0000A2040000}"/>
    <cellStyle name="Normal 3 3 9 6" xfId="4730" xr:uid="{00000000-0005-0000-0000-0000A2040000}"/>
    <cellStyle name="Normal 3 4" xfId="255" xr:uid="{00000000-0005-0000-0000-000062000000}"/>
    <cellStyle name="Normal 3 4 10" xfId="803" xr:uid="{00000000-0005-0000-0000-0000AA040000}"/>
    <cellStyle name="Normal 3 4 10 2" xfId="1805" xr:uid="{00000000-0005-0000-0000-0000AB040000}"/>
    <cellStyle name="Normal 3 4 10 2 2" xfId="4027" xr:uid="{00000000-0005-0000-0000-0000AC040000}"/>
    <cellStyle name="Normal 3 4 10 2 2 2" xfId="8027" xr:uid="{00000000-0005-0000-0000-0000AC040000}"/>
    <cellStyle name="Normal 3 4 10 2 3" xfId="6026" xr:uid="{00000000-0005-0000-0000-0000AC040000}"/>
    <cellStyle name="Normal 3 4 10 3" xfId="3029" xr:uid="{00000000-0005-0000-0000-0000AB040000}"/>
    <cellStyle name="Normal 3 4 10 3 2" xfId="7028" xr:uid="{00000000-0005-0000-0000-0000AB040000}"/>
    <cellStyle name="Normal 3 4 10 4" xfId="5027" xr:uid="{00000000-0005-0000-0000-0000AB040000}"/>
    <cellStyle name="Normal 3 4 11" xfId="1309" xr:uid="{00000000-0005-0000-0000-0000AC040000}"/>
    <cellStyle name="Normal 3 4 11 2" xfId="3531" xr:uid="{00000000-0005-0000-0000-0000AD040000}"/>
    <cellStyle name="Normal 3 4 11 2 2" xfId="7531" xr:uid="{00000000-0005-0000-0000-0000AD040000}"/>
    <cellStyle name="Normal 3 4 11 3" xfId="5530" xr:uid="{00000000-0005-0000-0000-0000AD040000}"/>
    <cellStyle name="Normal 3 4 12" xfId="2545" xr:uid="{00000000-0005-0000-0000-0000AA040000}"/>
    <cellStyle name="Normal 3 4 12 2" xfId="6532" xr:uid="{00000000-0005-0000-0000-0000AA040000}"/>
    <cellStyle name="Normal 3 4 13" xfId="4531" xr:uid="{00000000-0005-0000-0000-0000AA040000}"/>
    <cellStyle name="Normal 3 4 2" xfId="329" xr:uid="{00000000-0005-0000-0000-0000AD040000}"/>
    <cellStyle name="Normal 3 4 2 10" xfId="1319" xr:uid="{00000000-0005-0000-0000-0000AE040000}"/>
    <cellStyle name="Normal 3 4 2 10 2" xfId="3541" xr:uid="{00000000-0005-0000-0000-0000AF040000}"/>
    <cellStyle name="Normal 3 4 2 10 2 2" xfId="7541" xr:uid="{00000000-0005-0000-0000-0000AF040000}"/>
    <cellStyle name="Normal 3 4 2 10 3" xfId="5540" xr:uid="{00000000-0005-0000-0000-0000AF040000}"/>
    <cellStyle name="Normal 3 4 2 11" xfId="2554" xr:uid="{00000000-0005-0000-0000-0000AE040000}"/>
    <cellStyle name="Normal 3 4 2 11 2" xfId="6542" xr:uid="{00000000-0005-0000-0000-0000AE040000}"/>
    <cellStyle name="Normal 3 4 2 12" xfId="4541" xr:uid="{00000000-0005-0000-0000-0000AE040000}"/>
    <cellStyle name="Normal 3 4 2 2" xfId="347" xr:uid="{00000000-0005-0000-0000-0000AF040000}"/>
    <cellStyle name="Normal 3 4 2 2 2" xfId="409" xr:uid="{00000000-0005-0000-0000-0000B0040000}"/>
    <cellStyle name="Normal 3 4 2 2 2 2" xfId="656" xr:uid="{00000000-0005-0000-0000-0000B1040000}"/>
    <cellStyle name="Normal 3 4 2 2 2 2 2" xfId="1153" xr:uid="{00000000-0005-0000-0000-0000B2040000}"/>
    <cellStyle name="Normal 3 4 2 2 2 2 2 2" xfId="2155" xr:uid="{00000000-0005-0000-0000-0000B3040000}"/>
    <cellStyle name="Normal 3 4 2 2 2 2 2 2 2" xfId="4377" xr:uid="{00000000-0005-0000-0000-0000B4040000}"/>
    <cellStyle name="Normal 3 4 2 2 2 2 2 2 2 2" xfId="8377" xr:uid="{00000000-0005-0000-0000-0000B4040000}"/>
    <cellStyle name="Normal 3 4 2 2 2 2 2 2 3" xfId="6376" xr:uid="{00000000-0005-0000-0000-0000B4040000}"/>
    <cellStyle name="Normal 3 4 2 2 2 2 2 3" xfId="3379" xr:uid="{00000000-0005-0000-0000-0000B3040000}"/>
    <cellStyle name="Normal 3 4 2 2 2 2 2 3 2" xfId="7378" xr:uid="{00000000-0005-0000-0000-0000B3040000}"/>
    <cellStyle name="Normal 3 4 2 2 2 2 2 4" xfId="5377" xr:uid="{00000000-0005-0000-0000-0000B3040000}"/>
    <cellStyle name="Normal 3 4 2 2 2 2 3" xfId="1659" xr:uid="{00000000-0005-0000-0000-0000B4040000}"/>
    <cellStyle name="Normal 3 4 2 2 2 2 3 2" xfId="3881" xr:uid="{00000000-0005-0000-0000-0000B5040000}"/>
    <cellStyle name="Normal 3 4 2 2 2 2 3 2 2" xfId="7881" xr:uid="{00000000-0005-0000-0000-0000B5040000}"/>
    <cellStyle name="Normal 3 4 2 2 2 2 3 3" xfId="5880" xr:uid="{00000000-0005-0000-0000-0000B5040000}"/>
    <cellStyle name="Normal 3 4 2 2 2 2 4" xfId="2883" xr:uid="{00000000-0005-0000-0000-0000B2040000}"/>
    <cellStyle name="Normal 3 4 2 2 2 2 4 2" xfId="6882" xr:uid="{00000000-0005-0000-0000-0000B2040000}"/>
    <cellStyle name="Normal 3 4 2 2 2 2 5" xfId="4881" xr:uid="{00000000-0005-0000-0000-0000B2040000}"/>
    <cellStyle name="Normal 3 4 2 2 2 3" xfId="905" xr:uid="{00000000-0005-0000-0000-0000B5040000}"/>
    <cellStyle name="Normal 3 4 2 2 2 3 2" xfId="1907" xr:uid="{00000000-0005-0000-0000-0000B6040000}"/>
    <cellStyle name="Normal 3 4 2 2 2 3 2 2" xfId="4129" xr:uid="{00000000-0005-0000-0000-0000B7040000}"/>
    <cellStyle name="Normal 3 4 2 2 2 3 2 2 2" xfId="8129" xr:uid="{00000000-0005-0000-0000-0000B7040000}"/>
    <cellStyle name="Normal 3 4 2 2 2 3 2 3" xfId="6128" xr:uid="{00000000-0005-0000-0000-0000B7040000}"/>
    <cellStyle name="Normal 3 4 2 2 2 3 3" xfId="3131" xr:uid="{00000000-0005-0000-0000-0000B6040000}"/>
    <cellStyle name="Normal 3 4 2 2 2 3 3 2" xfId="7130" xr:uid="{00000000-0005-0000-0000-0000B6040000}"/>
    <cellStyle name="Normal 3 4 2 2 2 3 4" xfId="5129" xr:uid="{00000000-0005-0000-0000-0000B6040000}"/>
    <cellStyle name="Normal 3 4 2 2 2 4" xfId="1411" xr:uid="{00000000-0005-0000-0000-0000B7040000}"/>
    <cellStyle name="Normal 3 4 2 2 2 4 2" xfId="3633" xr:uid="{00000000-0005-0000-0000-0000B8040000}"/>
    <cellStyle name="Normal 3 4 2 2 2 4 2 2" xfId="7633" xr:uid="{00000000-0005-0000-0000-0000B8040000}"/>
    <cellStyle name="Normal 3 4 2 2 2 4 3" xfId="5632" xr:uid="{00000000-0005-0000-0000-0000B8040000}"/>
    <cellStyle name="Normal 3 4 2 2 2 5" xfId="2640" xr:uid="{00000000-0005-0000-0000-0000B1040000}"/>
    <cellStyle name="Normal 3 4 2 2 2 5 2" xfId="6634" xr:uid="{00000000-0005-0000-0000-0000B1040000}"/>
    <cellStyle name="Normal 3 4 2 2 2 6" xfId="4633" xr:uid="{00000000-0005-0000-0000-0000B1040000}"/>
    <cellStyle name="Normal 3 4 2 2 3" xfId="455" xr:uid="{00000000-0005-0000-0000-0000B8040000}"/>
    <cellStyle name="Normal 3 4 2 2 3 2" xfId="702" xr:uid="{00000000-0005-0000-0000-0000B9040000}"/>
    <cellStyle name="Normal 3 4 2 2 3 2 2" xfId="1199" xr:uid="{00000000-0005-0000-0000-0000BA040000}"/>
    <cellStyle name="Normal 3 4 2 2 3 2 2 2" xfId="2201" xr:uid="{00000000-0005-0000-0000-0000BB040000}"/>
    <cellStyle name="Normal 3 4 2 2 3 2 2 2 2" xfId="4423" xr:uid="{00000000-0005-0000-0000-0000BC040000}"/>
    <cellStyle name="Normal 3 4 2 2 3 2 2 2 2 2" xfId="8423" xr:uid="{00000000-0005-0000-0000-0000BC040000}"/>
    <cellStyle name="Normal 3 4 2 2 3 2 2 2 3" xfId="6422" xr:uid="{00000000-0005-0000-0000-0000BC040000}"/>
    <cellStyle name="Normal 3 4 2 2 3 2 2 3" xfId="3425" xr:uid="{00000000-0005-0000-0000-0000BB040000}"/>
    <cellStyle name="Normal 3 4 2 2 3 2 2 3 2" xfId="7424" xr:uid="{00000000-0005-0000-0000-0000BB040000}"/>
    <cellStyle name="Normal 3 4 2 2 3 2 2 4" xfId="5423" xr:uid="{00000000-0005-0000-0000-0000BB040000}"/>
    <cellStyle name="Normal 3 4 2 2 3 2 3" xfId="1705" xr:uid="{00000000-0005-0000-0000-0000BC040000}"/>
    <cellStyle name="Normal 3 4 2 2 3 2 3 2" xfId="3927" xr:uid="{00000000-0005-0000-0000-0000BD040000}"/>
    <cellStyle name="Normal 3 4 2 2 3 2 3 2 2" xfId="7927" xr:uid="{00000000-0005-0000-0000-0000BD040000}"/>
    <cellStyle name="Normal 3 4 2 2 3 2 3 3" xfId="5926" xr:uid="{00000000-0005-0000-0000-0000BD040000}"/>
    <cellStyle name="Normal 3 4 2 2 3 2 4" xfId="2929" xr:uid="{00000000-0005-0000-0000-0000BA040000}"/>
    <cellStyle name="Normal 3 4 2 2 3 2 4 2" xfId="6928" xr:uid="{00000000-0005-0000-0000-0000BA040000}"/>
    <cellStyle name="Normal 3 4 2 2 3 2 5" xfId="4927" xr:uid="{00000000-0005-0000-0000-0000BA040000}"/>
    <cellStyle name="Normal 3 4 2 2 3 3" xfId="951" xr:uid="{00000000-0005-0000-0000-0000BD040000}"/>
    <cellStyle name="Normal 3 4 2 2 3 3 2" xfId="1953" xr:uid="{00000000-0005-0000-0000-0000BE040000}"/>
    <cellStyle name="Normal 3 4 2 2 3 3 2 2" xfId="4175" xr:uid="{00000000-0005-0000-0000-0000BF040000}"/>
    <cellStyle name="Normal 3 4 2 2 3 3 2 2 2" xfId="8175" xr:uid="{00000000-0005-0000-0000-0000BF040000}"/>
    <cellStyle name="Normal 3 4 2 2 3 3 2 3" xfId="6174" xr:uid="{00000000-0005-0000-0000-0000BF040000}"/>
    <cellStyle name="Normal 3 4 2 2 3 3 3" xfId="3177" xr:uid="{00000000-0005-0000-0000-0000BE040000}"/>
    <cellStyle name="Normal 3 4 2 2 3 3 3 2" xfId="7176" xr:uid="{00000000-0005-0000-0000-0000BE040000}"/>
    <cellStyle name="Normal 3 4 2 2 3 3 4" xfId="5175" xr:uid="{00000000-0005-0000-0000-0000BE040000}"/>
    <cellStyle name="Normal 3 4 2 2 3 4" xfId="1457" xr:uid="{00000000-0005-0000-0000-0000BF040000}"/>
    <cellStyle name="Normal 3 4 2 2 3 4 2" xfId="3679" xr:uid="{00000000-0005-0000-0000-0000C0040000}"/>
    <cellStyle name="Normal 3 4 2 2 3 4 2 2" xfId="7679" xr:uid="{00000000-0005-0000-0000-0000C0040000}"/>
    <cellStyle name="Normal 3 4 2 2 3 4 3" xfId="5678" xr:uid="{00000000-0005-0000-0000-0000C0040000}"/>
    <cellStyle name="Normal 3 4 2 2 3 5" xfId="2682" xr:uid="{00000000-0005-0000-0000-0000B9040000}"/>
    <cellStyle name="Normal 3 4 2 2 3 5 2" xfId="6680" xr:uid="{00000000-0005-0000-0000-0000B9040000}"/>
    <cellStyle name="Normal 3 4 2 2 3 6" xfId="4679" xr:uid="{00000000-0005-0000-0000-0000B9040000}"/>
    <cellStyle name="Normal 3 4 2 2 4" xfId="541" xr:uid="{00000000-0005-0000-0000-0000C0040000}"/>
    <cellStyle name="Normal 3 4 2 2 4 2" xfId="788" xr:uid="{00000000-0005-0000-0000-0000C1040000}"/>
    <cellStyle name="Normal 3 4 2 2 4 2 2" xfId="1286" xr:uid="{00000000-0005-0000-0000-0000C2040000}"/>
    <cellStyle name="Normal 3 4 2 2 4 2 2 2" xfId="2288" xr:uid="{00000000-0005-0000-0000-0000C3040000}"/>
    <cellStyle name="Normal 3 4 2 2 4 2 2 2 2" xfId="4510" xr:uid="{00000000-0005-0000-0000-0000C4040000}"/>
    <cellStyle name="Normal 3 4 2 2 4 2 2 2 2 2" xfId="8510" xr:uid="{00000000-0005-0000-0000-0000C4040000}"/>
    <cellStyle name="Normal 3 4 2 2 4 2 2 2 3" xfId="6509" xr:uid="{00000000-0005-0000-0000-0000C4040000}"/>
    <cellStyle name="Normal 3 4 2 2 4 2 2 3" xfId="3512" xr:uid="{00000000-0005-0000-0000-0000C3040000}"/>
    <cellStyle name="Normal 3 4 2 2 4 2 2 3 2" xfId="7511" xr:uid="{00000000-0005-0000-0000-0000C3040000}"/>
    <cellStyle name="Normal 3 4 2 2 4 2 2 4" xfId="5510" xr:uid="{00000000-0005-0000-0000-0000C3040000}"/>
    <cellStyle name="Normal 3 4 2 2 4 2 3" xfId="1792" xr:uid="{00000000-0005-0000-0000-0000C4040000}"/>
    <cellStyle name="Normal 3 4 2 2 4 2 3 2" xfId="4014" xr:uid="{00000000-0005-0000-0000-0000C5040000}"/>
    <cellStyle name="Normal 3 4 2 2 4 2 3 2 2" xfId="8014" xr:uid="{00000000-0005-0000-0000-0000C5040000}"/>
    <cellStyle name="Normal 3 4 2 2 4 2 3 3" xfId="6013" xr:uid="{00000000-0005-0000-0000-0000C5040000}"/>
    <cellStyle name="Normal 3 4 2 2 4 2 4" xfId="3016" xr:uid="{00000000-0005-0000-0000-0000C2040000}"/>
    <cellStyle name="Normal 3 4 2 2 4 2 4 2" xfId="7015" xr:uid="{00000000-0005-0000-0000-0000C2040000}"/>
    <cellStyle name="Normal 3 4 2 2 4 2 5" xfId="5014" xr:uid="{00000000-0005-0000-0000-0000C2040000}"/>
    <cellStyle name="Normal 3 4 2 2 4 3" xfId="1038" xr:uid="{00000000-0005-0000-0000-0000C5040000}"/>
    <cellStyle name="Normal 3 4 2 2 4 3 2" xfId="2040" xr:uid="{00000000-0005-0000-0000-0000C6040000}"/>
    <cellStyle name="Normal 3 4 2 2 4 3 2 2" xfId="4262" xr:uid="{00000000-0005-0000-0000-0000C7040000}"/>
    <cellStyle name="Normal 3 4 2 2 4 3 2 2 2" xfId="8262" xr:uid="{00000000-0005-0000-0000-0000C7040000}"/>
    <cellStyle name="Normal 3 4 2 2 4 3 2 3" xfId="6261" xr:uid="{00000000-0005-0000-0000-0000C7040000}"/>
    <cellStyle name="Normal 3 4 2 2 4 3 3" xfId="3264" xr:uid="{00000000-0005-0000-0000-0000C6040000}"/>
    <cellStyle name="Normal 3 4 2 2 4 3 3 2" xfId="7263" xr:uid="{00000000-0005-0000-0000-0000C6040000}"/>
    <cellStyle name="Normal 3 4 2 2 4 3 4" xfId="5262" xr:uid="{00000000-0005-0000-0000-0000C6040000}"/>
    <cellStyle name="Normal 3 4 2 2 4 4" xfId="1544" xr:uid="{00000000-0005-0000-0000-0000C7040000}"/>
    <cellStyle name="Normal 3 4 2 2 4 4 2" xfId="3766" xr:uid="{00000000-0005-0000-0000-0000C8040000}"/>
    <cellStyle name="Normal 3 4 2 2 4 4 2 2" xfId="7766" xr:uid="{00000000-0005-0000-0000-0000C8040000}"/>
    <cellStyle name="Normal 3 4 2 2 4 4 3" xfId="5765" xr:uid="{00000000-0005-0000-0000-0000C8040000}"/>
    <cellStyle name="Normal 3 4 2 2 4 5" xfId="2769" xr:uid="{00000000-0005-0000-0000-0000C1040000}"/>
    <cellStyle name="Normal 3 4 2 2 4 5 2" xfId="6767" xr:uid="{00000000-0005-0000-0000-0000C1040000}"/>
    <cellStyle name="Normal 3 4 2 2 4 6" xfId="4766" xr:uid="{00000000-0005-0000-0000-0000C1040000}"/>
    <cellStyle name="Normal 3 4 2 2 5" xfId="587" xr:uid="{00000000-0005-0000-0000-0000C8040000}"/>
    <cellStyle name="Normal 3 4 2 2 5 2" xfId="1085" xr:uid="{00000000-0005-0000-0000-0000C9040000}"/>
    <cellStyle name="Normal 3 4 2 2 5 2 2" xfId="2087" xr:uid="{00000000-0005-0000-0000-0000CA040000}"/>
    <cellStyle name="Normal 3 4 2 2 5 2 2 2" xfId="4309" xr:uid="{00000000-0005-0000-0000-0000CB040000}"/>
    <cellStyle name="Normal 3 4 2 2 5 2 2 2 2" xfId="8309" xr:uid="{00000000-0005-0000-0000-0000CB040000}"/>
    <cellStyle name="Normal 3 4 2 2 5 2 2 3" xfId="6308" xr:uid="{00000000-0005-0000-0000-0000CB040000}"/>
    <cellStyle name="Normal 3 4 2 2 5 2 3" xfId="3311" xr:uid="{00000000-0005-0000-0000-0000CA040000}"/>
    <cellStyle name="Normal 3 4 2 2 5 2 3 2" xfId="7310" xr:uid="{00000000-0005-0000-0000-0000CA040000}"/>
    <cellStyle name="Normal 3 4 2 2 5 2 4" xfId="5309" xr:uid="{00000000-0005-0000-0000-0000CA040000}"/>
    <cellStyle name="Normal 3 4 2 2 5 3" xfId="1591" xr:uid="{00000000-0005-0000-0000-0000CB040000}"/>
    <cellStyle name="Normal 3 4 2 2 5 3 2" xfId="3813" xr:uid="{00000000-0005-0000-0000-0000CC040000}"/>
    <cellStyle name="Normal 3 4 2 2 5 3 2 2" xfId="7813" xr:uid="{00000000-0005-0000-0000-0000CC040000}"/>
    <cellStyle name="Normal 3 4 2 2 5 3 3" xfId="5812" xr:uid="{00000000-0005-0000-0000-0000CC040000}"/>
    <cellStyle name="Normal 3 4 2 2 5 4" xfId="2816" xr:uid="{00000000-0005-0000-0000-0000C9040000}"/>
    <cellStyle name="Normal 3 4 2 2 5 4 2" xfId="6814" xr:uid="{00000000-0005-0000-0000-0000C9040000}"/>
    <cellStyle name="Normal 3 4 2 2 5 5" xfId="4813" xr:uid="{00000000-0005-0000-0000-0000C9040000}"/>
    <cellStyle name="Normal 3 4 2 2 6" xfId="837" xr:uid="{00000000-0005-0000-0000-0000CC040000}"/>
    <cellStyle name="Normal 3 4 2 2 6 2" xfId="1839" xr:uid="{00000000-0005-0000-0000-0000CD040000}"/>
    <cellStyle name="Normal 3 4 2 2 6 2 2" xfId="4061" xr:uid="{00000000-0005-0000-0000-0000CE040000}"/>
    <cellStyle name="Normal 3 4 2 2 6 2 2 2" xfId="8061" xr:uid="{00000000-0005-0000-0000-0000CE040000}"/>
    <cellStyle name="Normal 3 4 2 2 6 2 3" xfId="6060" xr:uid="{00000000-0005-0000-0000-0000CE040000}"/>
    <cellStyle name="Normal 3 4 2 2 6 3" xfId="3063" xr:uid="{00000000-0005-0000-0000-0000CD040000}"/>
    <cellStyle name="Normal 3 4 2 2 6 3 2" xfId="7062" xr:uid="{00000000-0005-0000-0000-0000CD040000}"/>
    <cellStyle name="Normal 3 4 2 2 6 4" xfId="5061" xr:uid="{00000000-0005-0000-0000-0000CD040000}"/>
    <cellStyle name="Normal 3 4 2 2 7" xfId="1343" xr:uid="{00000000-0005-0000-0000-0000CE040000}"/>
    <cellStyle name="Normal 3 4 2 2 7 2" xfId="3565" xr:uid="{00000000-0005-0000-0000-0000CF040000}"/>
    <cellStyle name="Normal 3 4 2 2 7 2 2" xfId="7565" xr:uid="{00000000-0005-0000-0000-0000CF040000}"/>
    <cellStyle name="Normal 3 4 2 2 7 3" xfId="5564" xr:uid="{00000000-0005-0000-0000-0000CF040000}"/>
    <cellStyle name="Normal 3 4 2 2 8" xfId="2577" xr:uid="{00000000-0005-0000-0000-0000B0040000}"/>
    <cellStyle name="Normal 3 4 2 2 8 2" xfId="6566" xr:uid="{00000000-0005-0000-0000-0000B0040000}"/>
    <cellStyle name="Normal 3 4 2 2 9" xfId="4565" xr:uid="{00000000-0005-0000-0000-0000B0040000}"/>
    <cellStyle name="Normal 3 4 2 3" xfId="365" xr:uid="{00000000-0005-0000-0000-0000CF040000}"/>
    <cellStyle name="Normal 3 4 2 3 2" xfId="477" xr:uid="{00000000-0005-0000-0000-0000D0040000}"/>
    <cellStyle name="Normal 3 4 2 3 2 2" xfId="724" xr:uid="{00000000-0005-0000-0000-0000D1040000}"/>
    <cellStyle name="Normal 3 4 2 3 2 2 2" xfId="1221" xr:uid="{00000000-0005-0000-0000-0000D2040000}"/>
    <cellStyle name="Normal 3 4 2 3 2 2 2 2" xfId="2223" xr:uid="{00000000-0005-0000-0000-0000D3040000}"/>
    <cellStyle name="Normal 3 4 2 3 2 2 2 2 2" xfId="4445" xr:uid="{00000000-0005-0000-0000-0000D4040000}"/>
    <cellStyle name="Normal 3 4 2 3 2 2 2 2 2 2" xfId="8445" xr:uid="{00000000-0005-0000-0000-0000D4040000}"/>
    <cellStyle name="Normal 3 4 2 3 2 2 2 2 3" xfId="6444" xr:uid="{00000000-0005-0000-0000-0000D4040000}"/>
    <cellStyle name="Normal 3 4 2 3 2 2 2 3" xfId="3447" xr:uid="{00000000-0005-0000-0000-0000D3040000}"/>
    <cellStyle name="Normal 3 4 2 3 2 2 2 3 2" xfId="7446" xr:uid="{00000000-0005-0000-0000-0000D3040000}"/>
    <cellStyle name="Normal 3 4 2 3 2 2 2 4" xfId="5445" xr:uid="{00000000-0005-0000-0000-0000D3040000}"/>
    <cellStyle name="Normal 3 4 2 3 2 2 3" xfId="1727" xr:uid="{00000000-0005-0000-0000-0000D4040000}"/>
    <cellStyle name="Normal 3 4 2 3 2 2 3 2" xfId="3949" xr:uid="{00000000-0005-0000-0000-0000D5040000}"/>
    <cellStyle name="Normal 3 4 2 3 2 2 3 2 2" xfId="7949" xr:uid="{00000000-0005-0000-0000-0000D5040000}"/>
    <cellStyle name="Normal 3 4 2 3 2 2 3 3" xfId="5948" xr:uid="{00000000-0005-0000-0000-0000D5040000}"/>
    <cellStyle name="Normal 3 4 2 3 2 2 4" xfId="2951" xr:uid="{00000000-0005-0000-0000-0000D2040000}"/>
    <cellStyle name="Normal 3 4 2 3 2 2 4 2" xfId="6950" xr:uid="{00000000-0005-0000-0000-0000D2040000}"/>
    <cellStyle name="Normal 3 4 2 3 2 2 5" xfId="4949" xr:uid="{00000000-0005-0000-0000-0000D2040000}"/>
    <cellStyle name="Normal 3 4 2 3 2 3" xfId="973" xr:uid="{00000000-0005-0000-0000-0000D5040000}"/>
    <cellStyle name="Normal 3 4 2 3 2 3 2" xfId="1975" xr:uid="{00000000-0005-0000-0000-0000D6040000}"/>
    <cellStyle name="Normal 3 4 2 3 2 3 2 2" xfId="4197" xr:uid="{00000000-0005-0000-0000-0000D7040000}"/>
    <cellStyle name="Normal 3 4 2 3 2 3 2 2 2" xfId="8197" xr:uid="{00000000-0005-0000-0000-0000D7040000}"/>
    <cellStyle name="Normal 3 4 2 3 2 3 2 3" xfId="6196" xr:uid="{00000000-0005-0000-0000-0000D7040000}"/>
    <cellStyle name="Normal 3 4 2 3 2 3 3" xfId="3199" xr:uid="{00000000-0005-0000-0000-0000D6040000}"/>
    <cellStyle name="Normal 3 4 2 3 2 3 3 2" xfId="7198" xr:uid="{00000000-0005-0000-0000-0000D6040000}"/>
    <cellStyle name="Normal 3 4 2 3 2 3 4" xfId="5197" xr:uid="{00000000-0005-0000-0000-0000D6040000}"/>
    <cellStyle name="Normal 3 4 2 3 2 4" xfId="1479" xr:uid="{00000000-0005-0000-0000-0000D7040000}"/>
    <cellStyle name="Normal 3 4 2 3 2 4 2" xfId="3701" xr:uid="{00000000-0005-0000-0000-0000D8040000}"/>
    <cellStyle name="Normal 3 4 2 3 2 4 2 2" xfId="7701" xr:uid="{00000000-0005-0000-0000-0000D8040000}"/>
    <cellStyle name="Normal 3 4 2 3 2 4 3" xfId="5700" xr:uid="{00000000-0005-0000-0000-0000D8040000}"/>
    <cellStyle name="Normal 3 4 2 3 2 5" xfId="2704" xr:uid="{00000000-0005-0000-0000-0000D1040000}"/>
    <cellStyle name="Normal 3 4 2 3 2 5 2" xfId="6702" xr:uid="{00000000-0005-0000-0000-0000D1040000}"/>
    <cellStyle name="Normal 3 4 2 3 2 6" xfId="4701" xr:uid="{00000000-0005-0000-0000-0000D1040000}"/>
    <cellStyle name="Normal 3 4 2 3 3" xfId="609" xr:uid="{00000000-0005-0000-0000-0000D8040000}"/>
    <cellStyle name="Normal 3 4 2 3 3 2" xfId="1107" xr:uid="{00000000-0005-0000-0000-0000D9040000}"/>
    <cellStyle name="Normal 3 4 2 3 3 2 2" xfId="2109" xr:uid="{00000000-0005-0000-0000-0000DA040000}"/>
    <cellStyle name="Normal 3 4 2 3 3 2 2 2" xfId="4331" xr:uid="{00000000-0005-0000-0000-0000DB040000}"/>
    <cellStyle name="Normal 3 4 2 3 3 2 2 2 2" xfId="8331" xr:uid="{00000000-0005-0000-0000-0000DB040000}"/>
    <cellStyle name="Normal 3 4 2 3 3 2 2 3" xfId="6330" xr:uid="{00000000-0005-0000-0000-0000DB040000}"/>
    <cellStyle name="Normal 3 4 2 3 3 2 3" xfId="3333" xr:uid="{00000000-0005-0000-0000-0000DA040000}"/>
    <cellStyle name="Normal 3 4 2 3 3 2 3 2" xfId="7332" xr:uid="{00000000-0005-0000-0000-0000DA040000}"/>
    <cellStyle name="Normal 3 4 2 3 3 2 4" xfId="5331" xr:uid="{00000000-0005-0000-0000-0000DA040000}"/>
    <cellStyle name="Normal 3 4 2 3 3 3" xfId="1613" xr:uid="{00000000-0005-0000-0000-0000DB040000}"/>
    <cellStyle name="Normal 3 4 2 3 3 3 2" xfId="3835" xr:uid="{00000000-0005-0000-0000-0000DC040000}"/>
    <cellStyle name="Normal 3 4 2 3 3 3 2 2" xfId="7835" xr:uid="{00000000-0005-0000-0000-0000DC040000}"/>
    <cellStyle name="Normal 3 4 2 3 3 3 3" xfId="5834" xr:uid="{00000000-0005-0000-0000-0000DC040000}"/>
    <cellStyle name="Normal 3 4 2 3 3 4" xfId="2838" xr:uid="{00000000-0005-0000-0000-0000D9040000}"/>
    <cellStyle name="Normal 3 4 2 3 3 4 2" xfId="6836" xr:uid="{00000000-0005-0000-0000-0000D9040000}"/>
    <cellStyle name="Normal 3 4 2 3 3 5" xfId="4835" xr:uid="{00000000-0005-0000-0000-0000D9040000}"/>
    <cellStyle name="Normal 3 4 2 3 4" xfId="859" xr:uid="{00000000-0005-0000-0000-0000DC040000}"/>
    <cellStyle name="Normal 3 4 2 3 4 2" xfId="1861" xr:uid="{00000000-0005-0000-0000-0000DD040000}"/>
    <cellStyle name="Normal 3 4 2 3 4 2 2" xfId="4083" xr:uid="{00000000-0005-0000-0000-0000DE040000}"/>
    <cellStyle name="Normal 3 4 2 3 4 2 2 2" xfId="8083" xr:uid="{00000000-0005-0000-0000-0000DE040000}"/>
    <cellStyle name="Normal 3 4 2 3 4 2 3" xfId="6082" xr:uid="{00000000-0005-0000-0000-0000DE040000}"/>
    <cellStyle name="Normal 3 4 2 3 4 3" xfId="3085" xr:uid="{00000000-0005-0000-0000-0000DD040000}"/>
    <cellStyle name="Normal 3 4 2 3 4 3 2" xfId="7084" xr:uid="{00000000-0005-0000-0000-0000DD040000}"/>
    <cellStyle name="Normal 3 4 2 3 4 4" xfId="5083" xr:uid="{00000000-0005-0000-0000-0000DD040000}"/>
    <cellStyle name="Normal 3 4 2 3 5" xfId="1365" xr:uid="{00000000-0005-0000-0000-0000DE040000}"/>
    <cellStyle name="Normal 3 4 2 3 5 2" xfId="3587" xr:uid="{00000000-0005-0000-0000-0000DF040000}"/>
    <cellStyle name="Normal 3 4 2 3 5 2 2" xfId="7587" xr:uid="{00000000-0005-0000-0000-0000DF040000}"/>
    <cellStyle name="Normal 3 4 2 3 5 3" xfId="5586" xr:uid="{00000000-0005-0000-0000-0000DF040000}"/>
    <cellStyle name="Normal 3 4 2 3 6" xfId="2599" xr:uid="{00000000-0005-0000-0000-0000D0040000}"/>
    <cellStyle name="Normal 3 4 2 3 6 2" xfId="6588" xr:uid="{00000000-0005-0000-0000-0000D0040000}"/>
    <cellStyle name="Normal 3 4 2 3 7" xfId="4587" xr:uid="{00000000-0005-0000-0000-0000D0040000}"/>
    <cellStyle name="Normal 3 4 2 4" xfId="386" xr:uid="{00000000-0005-0000-0000-0000DF040000}"/>
    <cellStyle name="Normal 3 4 2 4 2" xfId="632" xr:uid="{00000000-0005-0000-0000-0000E0040000}"/>
    <cellStyle name="Normal 3 4 2 4 2 2" xfId="1129" xr:uid="{00000000-0005-0000-0000-0000E1040000}"/>
    <cellStyle name="Normal 3 4 2 4 2 2 2" xfId="2131" xr:uid="{00000000-0005-0000-0000-0000E2040000}"/>
    <cellStyle name="Normal 3 4 2 4 2 2 2 2" xfId="4353" xr:uid="{00000000-0005-0000-0000-0000E3040000}"/>
    <cellStyle name="Normal 3 4 2 4 2 2 2 2 2" xfId="8353" xr:uid="{00000000-0005-0000-0000-0000E3040000}"/>
    <cellStyle name="Normal 3 4 2 4 2 2 2 3" xfId="6352" xr:uid="{00000000-0005-0000-0000-0000E3040000}"/>
    <cellStyle name="Normal 3 4 2 4 2 2 3" xfId="3355" xr:uid="{00000000-0005-0000-0000-0000E2040000}"/>
    <cellStyle name="Normal 3 4 2 4 2 2 3 2" xfId="7354" xr:uid="{00000000-0005-0000-0000-0000E2040000}"/>
    <cellStyle name="Normal 3 4 2 4 2 2 4" xfId="5353" xr:uid="{00000000-0005-0000-0000-0000E2040000}"/>
    <cellStyle name="Normal 3 4 2 4 2 3" xfId="1635" xr:uid="{00000000-0005-0000-0000-0000E3040000}"/>
    <cellStyle name="Normal 3 4 2 4 2 3 2" xfId="3857" xr:uid="{00000000-0005-0000-0000-0000E4040000}"/>
    <cellStyle name="Normal 3 4 2 4 2 3 2 2" xfId="7857" xr:uid="{00000000-0005-0000-0000-0000E4040000}"/>
    <cellStyle name="Normal 3 4 2 4 2 3 3" xfId="5856" xr:uid="{00000000-0005-0000-0000-0000E4040000}"/>
    <cellStyle name="Normal 3 4 2 4 2 4" xfId="2859" xr:uid="{00000000-0005-0000-0000-0000E1040000}"/>
    <cellStyle name="Normal 3 4 2 4 2 4 2" xfId="6858" xr:uid="{00000000-0005-0000-0000-0000E1040000}"/>
    <cellStyle name="Normal 3 4 2 4 2 5" xfId="4857" xr:uid="{00000000-0005-0000-0000-0000E1040000}"/>
    <cellStyle name="Normal 3 4 2 4 3" xfId="881" xr:uid="{00000000-0005-0000-0000-0000E4040000}"/>
    <cellStyle name="Normal 3 4 2 4 3 2" xfId="1883" xr:uid="{00000000-0005-0000-0000-0000E5040000}"/>
    <cellStyle name="Normal 3 4 2 4 3 2 2" xfId="4105" xr:uid="{00000000-0005-0000-0000-0000E6040000}"/>
    <cellStyle name="Normal 3 4 2 4 3 2 2 2" xfId="8105" xr:uid="{00000000-0005-0000-0000-0000E6040000}"/>
    <cellStyle name="Normal 3 4 2 4 3 2 3" xfId="6104" xr:uid="{00000000-0005-0000-0000-0000E6040000}"/>
    <cellStyle name="Normal 3 4 2 4 3 3" xfId="3107" xr:uid="{00000000-0005-0000-0000-0000E5040000}"/>
    <cellStyle name="Normal 3 4 2 4 3 3 2" xfId="7106" xr:uid="{00000000-0005-0000-0000-0000E5040000}"/>
    <cellStyle name="Normal 3 4 2 4 3 4" xfId="5105" xr:uid="{00000000-0005-0000-0000-0000E5040000}"/>
    <cellStyle name="Normal 3 4 2 4 4" xfId="1387" xr:uid="{00000000-0005-0000-0000-0000E6040000}"/>
    <cellStyle name="Normal 3 4 2 4 4 2" xfId="3609" xr:uid="{00000000-0005-0000-0000-0000E7040000}"/>
    <cellStyle name="Normal 3 4 2 4 4 2 2" xfId="7609" xr:uid="{00000000-0005-0000-0000-0000E7040000}"/>
    <cellStyle name="Normal 3 4 2 4 4 3" xfId="5608" xr:uid="{00000000-0005-0000-0000-0000E7040000}"/>
    <cellStyle name="Normal 3 4 2 4 5" xfId="2619" xr:uid="{00000000-0005-0000-0000-0000E0040000}"/>
    <cellStyle name="Normal 3 4 2 4 5 2" xfId="6610" xr:uid="{00000000-0005-0000-0000-0000E0040000}"/>
    <cellStyle name="Normal 3 4 2 4 6" xfId="4609" xr:uid="{00000000-0005-0000-0000-0000E0040000}"/>
    <cellStyle name="Normal 3 4 2 5" xfId="431" xr:uid="{00000000-0005-0000-0000-0000E7040000}"/>
    <cellStyle name="Normal 3 4 2 5 2" xfId="678" xr:uid="{00000000-0005-0000-0000-0000E8040000}"/>
    <cellStyle name="Normal 3 4 2 5 2 2" xfId="1175" xr:uid="{00000000-0005-0000-0000-0000E9040000}"/>
    <cellStyle name="Normal 3 4 2 5 2 2 2" xfId="2177" xr:uid="{00000000-0005-0000-0000-0000EA040000}"/>
    <cellStyle name="Normal 3 4 2 5 2 2 2 2" xfId="4399" xr:uid="{00000000-0005-0000-0000-0000EB040000}"/>
    <cellStyle name="Normal 3 4 2 5 2 2 2 2 2" xfId="8399" xr:uid="{00000000-0005-0000-0000-0000EB040000}"/>
    <cellStyle name="Normal 3 4 2 5 2 2 2 3" xfId="6398" xr:uid="{00000000-0005-0000-0000-0000EB040000}"/>
    <cellStyle name="Normal 3 4 2 5 2 2 3" xfId="3401" xr:uid="{00000000-0005-0000-0000-0000EA040000}"/>
    <cellStyle name="Normal 3 4 2 5 2 2 3 2" xfId="7400" xr:uid="{00000000-0005-0000-0000-0000EA040000}"/>
    <cellStyle name="Normal 3 4 2 5 2 2 4" xfId="5399" xr:uid="{00000000-0005-0000-0000-0000EA040000}"/>
    <cellStyle name="Normal 3 4 2 5 2 3" xfId="1681" xr:uid="{00000000-0005-0000-0000-0000EB040000}"/>
    <cellStyle name="Normal 3 4 2 5 2 3 2" xfId="3903" xr:uid="{00000000-0005-0000-0000-0000EC040000}"/>
    <cellStyle name="Normal 3 4 2 5 2 3 2 2" xfId="7903" xr:uid="{00000000-0005-0000-0000-0000EC040000}"/>
    <cellStyle name="Normal 3 4 2 5 2 3 3" xfId="5902" xr:uid="{00000000-0005-0000-0000-0000EC040000}"/>
    <cellStyle name="Normal 3 4 2 5 2 4" xfId="2905" xr:uid="{00000000-0005-0000-0000-0000E9040000}"/>
    <cellStyle name="Normal 3 4 2 5 2 4 2" xfId="6904" xr:uid="{00000000-0005-0000-0000-0000E9040000}"/>
    <cellStyle name="Normal 3 4 2 5 2 5" xfId="4903" xr:uid="{00000000-0005-0000-0000-0000E9040000}"/>
    <cellStyle name="Normal 3 4 2 5 3" xfId="927" xr:uid="{00000000-0005-0000-0000-0000EC040000}"/>
    <cellStyle name="Normal 3 4 2 5 3 2" xfId="1929" xr:uid="{00000000-0005-0000-0000-0000ED040000}"/>
    <cellStyle name="Normal 3 4 2 5 3 2 2" xfId="4151" xr:uid="{00000000-0005-0000-0000-0000EE040000}"/>
    <cellStyle name="Normal 3 4 2 5 3 2 2 2" xfId="8151" xr:uid="{00000000-0005-0000-0000-0000EE040000}"/>
    <cellStyle name="Normal 3 4 2 5 3 2 3" xfId="6150" xr:uid="{00000000-0005-0000-0000-0000EE040000}"/>
    <cellStyle name="Normal 3 4 2 5 3 3" xfId="3153" xr:uid="{00000000-0005-0000-0000-0000ED040000}"/>
    <cellStyle name="Normal 3 4 2 5 3 3 2" xfId="7152" xr:uid="{00000000-0005-0000-0000-0000ED040000}"/>
    <cellStyle name="Normal 3 4 2 5 3 4" xfId="5151" xr:uid="{00000000-0005-0000-0000-0000ED040000}"/>
    <cellStyle name="Normal 3 4 2 5 4" xfId="1433" xr:uid="{00000000-0005-0000-0000-0000EE040000}"/>
    <cellStyle name="Normal 3 4 2 5 4 2" xfId="3655" xr:uid="{00000000-0005-0000-0000-0000EF040000}"/>
    <cellStyle name="Normal 3 4 2 5 4 2 2" xfId="7655" xr:uid="{00000000-0005-0000-0000-0000EF040000}"/>
    <cellStyle name="Normal 3 4 2 5 4 3" xfId="5654" xr:uid="{00000000-0005-0000-0000-0000EF040000}"/>
    <cellStyle name="Normal 3 4 2 5 5" xfId="2659" xr:uid="{00000000-0005-0000-0000-0000E8040000}"/>
    <cellStyle name="Normal 3 4 2 5 5 2" xfId="6656" xr:uid="{00000000-0005-0000-0000-0000E8040000}"/>
    <cellStyle name="Normal 3 4 2 5 6" xfId="4655" xr:uid="{00000000-0005-0000-0000-0000E8040000}"/>
    <cellStyle name="Normal 3 4 2 6" xfId="497" xr:uid="{00000000-0005-0000-0000-0000EF040000}"/>
    <cellStyle name="Normal 3 4 2 6 2" xfId="744" xr:uid="{00000000-0005-0000-0000-0000F0040000}"/>
    <cellStyle name="Normal 3 4 2 6 2 2" xfId="1241" xr:uid="{00000000-0005-0000-0000-0000F1040000}"/>
    <cellStyle name="Normal 3 4 2 6 2 2 2" xfId="2243" xr:uid="{00000000-0005-0000-0000-0000F2040000}"/>
    <cellStyle name="Normal 3 4 2 6 2 2 2 2" xfId="4465" xr:uid="{00000000-0005-0000-0000-0000F3040000}"/>
    <cellStyle name="Normal 3 4 2 6 2 2 2 2 2" xfId="8465" xr:uid="{00000000-0005-0000-0000-0000F3040000}"/>
    <cellStyle name="Normal 3 4 2 6 2 2 2 3" xfId="6464" xr:uid="{00000000-0005-0000-0000-0000F3040000}"/>
    <cellStyle name="Normal 3 4 2 6 2 2 3" xfId="3467" xr:uid="{00000000-0005-0000-0000-0000F2040000}"/>
    <cellStyle name="Normal 3 4 2 6 2 2 3 2" xfId="7466" xr:uid="{00000000-0005-0000-0000-0000F2040000}"/>
    <cellStyle name="Normal 3 4 2 6 2 2 4" xfId="5465" xr:uid="{00000000-0005-0000-0000-0000F2040000}"/>
    <cellStyle name="Normal 3 4 2 6 2 3" xfId="1747" xr:uid="{00000000-0005-0000-0000-0000F3040000}"/>
    <cellStyle name="Normal 3 4 2 6 2 3 2" xfId="3969" xr:uid="{00000000-0005-0000-0000-0000F4040000}"/>
    <cellStyle name="Normal 3 4 2 6 2 3 2 2" xfId="7969" xr:uid="{00000000-0005-0000-0000-0000F4040000}"/>
    <cellStyle name="Normal 3 4 2 6 2 3 3" xfId="5968" xr:uid="{00000000-0005-0000-0000-0000F4040000}"/>
    <cellStyle name="Normal 3 4 2 6 2 4" xfId="2971" xr:uid="{00000000-0005-0000-0000-0000F1040000}"/>
    <cellStyle name="Normal 3 4 2 6 2 4 2" xfId="6970" xr:uid="{00000000-0005-0000-0000-0000F1040000}"/>
    <cellStyle name="Normal 3 4 2 6 2 5" xfId="4969" xr:uid="{00000000-0005-0000-0000-0000F1040000}"/>
    <cellStyle name="Normal 3 4 2 6 3" xfId="993" xr:uid="{00000000-0005-0000-0000-0000F4040000}"/>
    <cellStyle name="Normal 3 4 2 6 3 2" xfId="1995" xr:uid="{00000000-0005-0000-0000-0000F5040000}"/>
    <cellStyle name="Normal 3 4 2 6 3 2 2" xfId="4217" xr:uid="{00000000-0005-0000-0000-0000F6040000}"/>
    <cellStyle name="Normal 3 4 2 6 3 2 2 2" xfId="8217" xr:uid="{00000000-0005-0000-0000-0000F6040000}"/>
    <cellStyle name="Normal 3 4 2 6 3 2 3" xfId="6216" xr:uid="{00000000-0005-0000-0000-0000F6040000}"/>
    <cellStyle name="Normal 3 4 2 6 3 3" xfId="3219" xr:uid="{00000000-0005-0000-0000-0000F5040000}"/>
    <cellStyle name="Normal 3 4 2 6 3 3 2" xfId="7218" xr:uid="{00000000-0005-0000-0000-0000F5040000}"/>
    <cellStyle name="Normal 3 4 2 6 3 4" xfId="5217" xr:uid="{00000000-0005-0000-0000-0000F5040000}"/>
    <cellStyle name="Normal 3 4 2 6 4" xfId="1499" xr:uid="{00000000-0005-0000-0000-0000F6040000}"/>
    <cellStyle name="Normal 3 4 2 6 4 2" xfId="3721" xr:uid="{00000000-0005-0000-0000-0000F7040000}"/>
    <cellStyle name="Normal 3 4 2 6 4 2 2" xfId="7721" xr:uid="{00000000-0005-0000-0000-0000F7040000}"/>
    <cellStyle name="Normal 3 4 2 6 4 3" xfId="5720" xr:uid="{00000000-0005-0000-0000-0000F7040000}"/>
    <cellStyle name="Normal 3 4 2 6 5" xfId="2724" xr:uid="{00000000-0005-0000-0000-0000F0040000}"/>
    <cellStyle name="Normal 3 4 2 6 5 2" xfId="6722" xr:uid="{00000000-0005-0000-0000-0000F0040000}"/>
    <cellStyle name="Normal 3 4 2 6 6" xfId="4721" xr:uid="{00000000-0005-0000-0000-0000F0040000}"/>
    <cellStyle name="Normal 3 4 2 7" xfId="517" xr:uid="{00000000-0005-0000-0000-0000F7040000}"/>
    <cellStyle name="Normal 3 4 2 7 2" xfId="764" xr:uid="{00000000-0005-0000-0000-0000F8040000}"/>
    <cellStyle name="Normal 3 4 2 7 2 2" xfId="1262" xr:uid="{00000000-0005-0000-0000-0000F9040000}"/>
    <cellStyle name="Normal 3 4 2 7 2 2 2" xfId="2264" xr:uid="{00000000-0005-0000-0000-0000FA040000}"/>
    <cellStyle name="Normal 3 4 2 7 2 2 2 2" xfId="4486" xr:uid="{00000000-0005-0000-0000-0000FB040000}"/>
    <cellStyle name="Normal 3 4 2 7 2 2 2 2 2" xfId="8486" xr:uid="{00000000-0005-0000-0000-0000FB040000}"/>
    <cellStyle name="Normal 3 4 2 7 2 2 2 3" xfId="6485" xr:uid="{00000000-0005-0000-0000-0000FB040000}"/>
    <cellStyle name="Normal 3 4 2 7 2 2 3" xfId="3488" xr:uid="{00000000-0005-0000-0000-0000FA040000}"/>
    <cellStyle name="Normal 3 4 2 7 2 2 3 2" xfId="7487" xr:uid="{00000000-0005-0000-0000-0000FA040000}"/>
    <cellStyle name="Normal 3 4 2 7 2 2 4" xfId="5486" xr:uid="{00000000-0005-0000-0000-0000FA040000}"/>
    <cellStyle name="Normal 3 4 2 7 2 3" xfId="1768" xr:uid="{00000000-0005-0000-0000-0000FB040000}"/>
    <cellStyle name="Normal 3 4 2 7 2 3 2" xfId="3990" xr:uid="{00000000-0005-0000-0000-0000FC040000}"/>
    <cellStyle name="Normal 3 4 2 7 2 3 2 2" xfId="7990" xr:uid="{00000000-0005-0000-0000-0000FC040000}"/>
    <cellStyle name="Normal 3 4 2 7 2 3 3" xfId="5989" xr:uid="{00000000-0005-0000-0000-0000FC040000}"/>
    <cellStyle name="Normal 3 4 2 7 2 4" xfId="2992" xr:uid="{00000000-0005-0000-0000-0000F9040000}"/>
    <cellStyle name="Normal 3 4 2 7 2 4 2" xfId="6991" xr:uid="{00000000-0005-0000-0000-0000F9040000}"/>
    <cellStyle name="Normal 3 4 2 7 2 5" xfId="4990" xr:uid="{00000000-0005-0000-0000-0000F9040000}"/>
    <cellStyle name="Normal 3 4 2 7 3" xfId="1014" xr:uid="{00000000-0005-0000-0000-0000FC040000}"/>
    <cellStyle name="Normal 3 4 2 7 3 2" xfId="2016" xr:uid="{00000000-0005-0000-0000-0000FD040000}"/>
    <cellStyle name="Normal 3 4 2 7 3 2 2" xfId="4238" xr:uid="{00000000-0005-0000-0000-0000FE040000}"/>
    <cellStyle name="Normal 3 4 2 7 3 2 2 2" xfId="8238" xr:uid="{00000000-0005-0000-0000-0000FE040000}"/>
    <cellStyle name="Normal 3 4 2 7 3 2 3" xfId="6237" xr:uid="{00000000-0005-0000-0000-0000FE040000}"/>
    <cellStyle name="Normal 3 4 2 7 3 3" xfId="3240" xr:uid="{00000000-0005-0000-0000-0000FD040000}"/>
    <cellStyle name="Normal 3 4 2 7 3 3 2" xfId="7239" xr:uid="{00000000-0005-0000-0000-0000FD040000}"/>
    <cellStyle name="Normal 3 4 2 7 3 4" xfId="5238" xr:uid="{00000000-0005-0000-0000-0000FD040000}"/>
    <cellStyle name="Normal 3 4 2 7 4" xfId="1520" xr:uid="{00000000-0005-0000-0000-0000FE040000}"/>
    <cellStyle name="Normal 3 4 2 7 4 2" xfId="3742" xr:uid="{00000000-0005-0000-0000-0000FF040000}"/>
    <cellStyle name="Normal 3 4 2 7 4 2 2" xfId="7742" xr:uid="{00000000-0005-0000-0000-0000FF040000}"/>
    <cellStyle name="Normal 3 4 2 7 4 3" xfId="5741" xr:uid="{00000000-0005-0000-0000-0000FF040000}"/>
    <cellStyle name="Normal 3 4 2 7 5" xfId="2745" xr:uid="{00000000-0005-0000-0000-0000F8040000}"/>
    <cellStyle name="Normal 3 4 2 7 5 2" xfId="6743" xr:uid="{00000000-0005-0000-0000-0000F8040000}"/>
    <cellStyle name="Normal 3 4 2 7 6" xfId="4742" xr:uid="{00000000-0005-0000-0000-0000F8040000}"/>
    <cellStyle name="Normal 3 4 2 8" xfId="563" xr:uid="{00000000-0005-0000-0000-0000FF040000}"/>
    <cellStyle name="Normal 3 4 2 8 2" xfId="1061" xr:uid="{00000000-0005-0000-0000-000000050000}"/>
    <cellStyle name="Normal 3 4 2 8 2 2" xfId="2063" xr:uid="{00000000-0005-0000-0000-000001050000}"/>
    <cellStyle name="Normal 3 4 2 8 2 2 2" xfId="4285" xr:uid="{00000000-0005-0000-0000-000002050000}"/>
    <cellStyle name="Normal 3 4 2 8 2 2 2 2" xfId="8285" xr:uid="{00000000-0005-0000-0000-000002050000}"/>
    <cellStyle name="Normal 3 4 2 8 2 2 3" xfId="6284" xr:uid="{00000000-0005-0000-0000-000002050000}"/>
    <cellStyle name="Normal 3 4 2 8 2 3" xfId="3287" xr:uid="{00000000-0005-0000-0000-000001050000}"/>
    <cellStyle name="Normal 3 4 2 8 2 3 2" xfId="7286" xr:uid="{00000000-0005-0000-0000-000001050000}"/>
    <cellStyle name="Normal 3 4 2 8 2 4" xfId="5285" xr:uid="{00000000-0005-0000-0000-000001050000}"/>
    <cellStyle name="Normal 3 4 2 8 3" xfId="1567" xr:uid="{00000000-0005-0000-0000-000002050000}"/>
    <cellStyle name="Normal 3 4 2 8 3 2" xfId="3789" xr:uid="{00000000-0005-0000-0000-000003050000}"/>
    <cellStyle name="Normal 3 4 2 8 3 2 2" xfId="7789" xr:uid="{00000000-0005-0000-0000-000003050000}"/>
    <cellStyle name="Normal 3 4 2 8 3 3" xfId="5788" xr:uid="{00000000-0005-0000-0000-000003050000}"/>
    <cellStyle name="Normal 3 4 2 8 4" xfId="2792" xr:uid="{00000000-0005-0000-0000-000000050000}"/>
    <cellStyle name="Normal 3 4 2 8 4 2" xfId="6790" xr:uid="{00000000-0005-0000-0000-000000050000}"/>
    <cellStyle name="Normal 3 4 2 8 5" xfId="4789" xr:uid="{00000000-0005-0000-0000-000000050000}"/>
    <cellStyle name="Normal 3 4 2 9" xfId="813" xr:uid="{00000000-0005-0000-0000-000003050000}"/>
    <cellStyle name="Normal 3 4 2 9 2" xfId="1815" xr:uid="{00000000-0005-0000-0000-000004050000}"/>
    <cellStyle name="Normal 3 4 2 9 2 2" xfId="4037" xr:uid="{00000000-0005-0000-0000-000005050000}"/>
    <cellStyle name="Normal 3 4 2 9 2 2 2" xfId="8037" xr:uid="{00000000-0005-0000-0000-000005050000}"/>
    <cellStyle name="Normal 3 4 2 9 2 3" xfId="6036" xr:uid="{00000000-0005-0000-0000-000005050000}"/>
    <cellStyle name="Normal 3 4 2 9 3" xfId="3039" xr:uid="{00000000-0005-0000-0000-000004050000}"/>
    <cellStyle name="Normal 3 4 2 9 3 2" xfId="7038" xr:uid="{00000000-0005-0000-0000-000004050000}"/>
    <cellStyle name="Normal 3 4 2 9 4" xfId="5037" xr:uid="{00000000-0005-0000-0000-000004050000}"/>
    <cellStyle name="Normal 3 4 3" xfId="338" xr:uid="{00000000-0005-0000-0000-000005050000}"/>
    <cellStyle name="Normal 3 4 3 2" xfId="399" xr:uid="{00000000-0005-0000-0000-000006050000}"/>
    <cellStyle name="Normal 3 4 3 2 2" xfId="646" xr:uid="{00000000-0005-0000-0000-000007050000}"/>
    <cellStyle name="Normal 3 4 3 2 2 2" xfId="1143" xr:uid="{00000000-0005-0000-0000-000008050000}"/>
    <cellStyle name="Normal 3 4 3 2 2 2 2" xfId="2145" xr:uid="{00000000-0005-0000-0000-000009050000}"/>
    <cellStyle name="Normal 3 4 3 2 2 2 2 2" xfId="4367" xr:uid="{00000000-0005-0000-0000-00000A050000}"/>
    <cellStyle name="Normal 3 4 3 2 2 2 2 2 2" xfId="8367" xr:uid="{00000000-0005-0000-0000-00000A050000}"/>
    <cellStyle name="Normal 3 4 3 2 2 2 2 3" xfId="6366" xr:uid="{00000000-0005-0000-0000-00000A050000}"/>
    <cellStyle name="Normal 3 4 3 2 2 2 3" xfId="3369" xr:uid="{00000000-0005-0000-0000-000009050000}"/>
    <cellStyle name="Normal 3 4 3 2 2 2 3 2" xfId="7368" xr:uid="{00000000-0005-0000-0000-000009050000}"/>
    <cellStyle name="Normal 3 4 3 2 2 2 4" xfId="5367" xr:uid="{00000000-0005-0000-0000-000009050000}"/>
    <cellStyle name="Normal 3 4 3 2 2 3" xfId="1649" xr:uid="{00000000-0005-0000-0000-00000A050000}"/>
    <cellStyle name="Normal 3 4 3 2 2 3 2" xfId="3871" xr:uid="{00000000-0005-0000-0000-00000B050000}"/>
    <cellStyle name="Normal 3 4 3 2 2 3 2 2" xfId="7871" xr:uid="{00000000-0005-0000-0000-00000B050000}"/>
    <cellStyle name="Normal 3 4 3 2 2 3 3" xfId="5870" xr:uid="{00000000-0005-0000-0000-00000B050000}"/>
    <cellStyle name="Normal 3 4 3 2 2 4" xfId="2873" xr:uid="{00000000-0005-0000-0000-000008050000}"/>
    <cellStyle name="Normal 3 4 3 2 2 4 2" xfId="6872" xr:uid="{00000000-0005-0000-0000-000008050000}"/>
    <cellStyle name="Normal 3 4 3 2 2 5" xfId="4871" xr:uid="{00000000-0005-0000-0000-000008050000}"/>
    <cellStyle name="Normal 3 4 3 2 3" xfId="895" xr:uid="{00000000-0005-0000-0000-00000B050000}"/>
    <cellStyle name="Normal 3 4 3 2 3 2" xfId="1897" xr:uid="{00000000-0005-0000-0000-00000C050000}"/>
    <cellStyle name="Normal 3 4 3 2 3 2 2" xfId="4119" xr:uid="{00000000-0005-0000-0000-00000D050000}"/>
    <cellStyle name="Normal 3 4 3 2 3 2 2 2" xfId="8119" xr:uid="{00000000-0005-0000-0000-00000D050000}"/>
    <cellStyle name="Normal 3 4 3 2 3 2 3" xfId="6118" xr:uid="{00000000-0005-0000-0000-00000D050000}"/>
    <cellStyle name="Normal 3 4 3 2 3 3" xfId="3121" xr:uid="{00000000-0005-0000-0000-00000C050000}"/>
    <cellStyle name="Normal 3 4 3 2 3 3 2" xfId="7120" xr:uid="{00000000-0005-0000-0000-00000C050000}"/>
    <cellStyle name="Normal 3 4 3 2 3 4" xfId="5119" xr:uid="{00000000-0005-0000-0000-00000C050000}"/>
    <cellStyle name="Normal 3 4 3 2 4" xfId="1401" xr:uid="{00000000-0005-0000-0000-00000D050000}"/>
    <cellStyle name="Normal 3 4 3 2 4 2" xfId="3623" xr:uid="{00000000-0005-0000-0000-00000E050000}"/>
    <cellStyle name="Normal 3 4 3 2 4 2 2" xfId="7623" xr:uid="{00000000-0005-0000-0000-00000E050000}"/>
    <cellStyle name="Normal 3 4 3 2 4 3" xfId="5622" xr:uid="{00000000-0005-0000-0000-00000E050000}"/>
    <cellStyle name="Normal 3 4 3 2 5" xfId="2632" xr:uid="{00000000-0005-0000-0000-000007050000}"/>
    <cellStyle name="Normal 3 4 3 2 5 2" xfId="6624" xr:uid="{00000000-0005-0000-0000-000007050000}"/>
    <cellStyle name="Normal 3 4 3 2 6" xfId="4623" xr:uid="{00000000-0005-0000-0000-000007050000}"/>
    <cellStyle name="Normal 3 4 3 3" xfId="445" xr:uid="{00000000-0005-0000-0000-00000E050000}"/>
    <cellStyle name="Normal 3 4 3 3 2" xfId="692" xr:uid="{00000000-0005-0000-0000-00000F050000}"/>
    <cellStyle name="Normal 3 4 3 3 2 2" xfId="1189" xr:uid="{00000000-0005-0000-0000-000010050000}"/>
    <cellStyle name="Normal 3 4 3 3 2 2 2" xfId="2191" xr:uid="{00000000-0005-0000-0000-000011050000}"/>
    <cellStyle name="Normal 3 4 3 3 2 2 2 2" xfId="4413" xr:uid="{00000000-0005-0000-0000-000012050000}"/>
    <cellStyle name="Normal 3 4 3 3 2 2 2 2 2" xfId="8413" xr:uid="{00000000-0005-0000-0000-000012050000}"/>
    <cellStyle name="Normal 3 4 3 3 2 2 2 3" xfId="6412" xr:uid="{00000000-0005-0000-0000-000012050000}"/>
    <cellStyle name="Normal 3 4 3 3 2 2 3" xfId="3415" xr:uid="{00000000-0005-0000-0000-000011050000}"/>
    <cellStyle name="Normal 3 4 3 3 2 2 3 2" xfId="7414" xr:uid="{00000000-0005-0000-0000-000011050000}"/>
    <cellStyle name="Normal 3 4 3 3 2 2 4" xfId="5413" xr:uid="{00000000-0005-0000-0000-000011050000}"/>
    <cellStyle name="Normal 3 4 3 3 2 3" xfId="1695" xr:uid="{00000000-0005-0000-0000-000012050000}"/>
    <cellStyle name="Normal 3 4 3 3 2 3 2" xfId="3917" xr:uid="{00000000-0005-0000-0000-000013050000}"/>
    <cellStyle name="Normal 3 4 3 3 2 3 2 2" xfId="7917" xr:uid="{00000000-0005-0000-0000-000013050000}"/>
    <cellStyle name="Normal 3 4 3 3 2 3 3" xfId="5916" xr:uid="{00000000-0005-0000-0000-000013050000}"/>
    <cellStyle name="Normal 3 4 3 3 2 4" xfId="2919" xr:uid="{00000000-0005-0000-0000-000010050000}"/>
    <cellStyle name="Normal 3 4 3 3 2 4 2" xfId="6918" xr:uid="{00000000-0005-0000-0000-000010050000}"/>
    <cellStyle name="Normal 3 4 3 3 2 5" xfId="4917" xr:uid="{00000000-0005-0000-0000-000010050000}"/>
    <cellStyle name="Normal 3 4 3 3 3" xfId="941" xr:uid="{00000000-0005-0000-0000-000013050000}"/>
    <cellStyle name="Normal 3 4 3 3 3 2" xfId="1943" xr:uid="{00000000-0005-0000-0000-000014050000}"/>
    <cellStyle name="Normal 3 4 3 3 3 2 2" xfId="4165" xr:uid="{00000000-0005-0000-0000-000015050000}"/>
    <cellStyle name="Normal 3 4 3 3 3 2 2 2" xfId="8165" xr:uid="{00000000-0005-0000-0000-000015050000}"/>
    <cellStyle name="Normal 3 4 3 3 3 2 3" xfId="6164" xr:uid="{00000000-0005-0000-0000-000015050000}"/>
    <cellStyle name="Normal 3 4 3 3 3 3" xfId="3167" xr:uid="{00000000-0005-0000-0000-000014050000}"/>
    <cellStyle name="Normal 3 4 3 3 3 3 2" xfId="7166" xr:uid="{00000000-0005-0000-0000-000014050000}"/>
    <cellStyle name="Normal 3 4 3 3 3 4" xfId="5165" xr:uid="{00000000-0005-0000-0000-000014050000}"/>
    <cellStyle name="Normal 3 4 3 3 4" xfId="1447" xr:uid="{00000000-0005-0000-0000-000015050000}"/>
    <cellStyle name="Normal 3 4 3 3 4 2" xfId="3669" xr:uid="{00000000-0005-0000-0000-000016050000}"/>
    <cellStyle name="Normal 3 4 3 3 4 2 2" xfId="7669" xr:uid="{00000000-0005-0000-0000-000016050000}"/>
    <cellStyle name="Normal 3 4 3 3 4 3" xfId="5668" xr:uid="{00000000-0005-0000-0000-000016050000}"/>
    <cellStyle name="Normal 3 4 3 3 5" xfId="2672" xr:uid="{00000000-0005-0000-0000-00000F050000}"/>
    <cellStyle name="Normal 3 4 3 3 5 2" xfId="6670" xr:uid="{00000000-0005-0000-0000-00000F050000}"/>
    <cellStyle name="Normal 3 4 3 3 6" xfId="4669" xr:uid="{00000000-0005-0000-0000-00000F050000}"/>
    <cellStyle name="Normal 3 4 3 4" xfId="531" xr:uid="{00000000-0005-0000-0000-000016050000}"/>
    <cellStyle name="Normal 3 4 3 4 2" xfId="778" xr:uid="{00000000-0005-0000-0000-000017050000}"/>
    <cellStyle name="Normal 3 4 3 4 2 2" xfId="1276" xr:uid="{00000000-0005-0000-0000-000018050000}"/>
    <cellStyle name="Normal 3 4 3 4 2 2 2" xfId="2278" xr:uid="{00000000-0005-0000-0000-000019050000}"/>
    <cellStyle name="Normal 3 4 3 4 2 2 2 2" xfId="4500" xr:uid="{00000000-0005-0000-0000-00001A050000}"/>
    <cellStyle name="Normal 3 4 3 4 2 2 2 2 2" xfId="8500" xr:uid="{00000000-0005-0000-0000-00001A050000}"/>
    <cellStyle name="Normal 3 4 3 4 2 2 2 3" xfId="6499" xr:uid="{00000000-0005-0000-0000-00001A050000}"/>
    <cellStyle name="Normal 3 4 3 4 2 2 3" xfId="3502" xr:uid="{00000000-0005-0000-0000-000019050000}"/>
    <cellStyle name="Normal 3 4 3 4 2 2 3 2" xfId="7501" xr:uid="{00000000-0005-0000-0000-000019050000}"/>
    <cellStyle name="Normal 3 4 3 4 2 2 4" xfId="5500" xr:uid="{00000000-0005-0000-0000-000019050000}"/>
    <cellStyle name="Normal 3 4 3 4 2 3" xfId="1782" xr:uid="{00000000-0005-0000-0000-00001A050000}"/>
    <cellStyle name="Normal 3 4 3 4 2 3 2" xfId="4004" xr:uid="{00000000-0005-0000-0000-00001B050000}"/>
    <cellStyle name="Normal 3 4 3 4 2 3 2 2" xfId="8004" xr:uid="{00000000-0005-0000-0000-00001B050000}"/>
    <cellStyle name="Normal 3 4 3 4 2 3 3" xfId="6003" xr:uid="{00000000-0005-0000-0000-00001B050000}"/>
    <cellStyle name="Normal 3 4 3 4 2 4" xfId="3006" xr:uid="{00000000-0005-0000-0000-000018050000}"/>
    <cellStyle name="Normal 3 4 3 4 2 4 2" xfId="7005" xr:uid="{00000000-0005-0000-0000-000018050000}"/>
    <cellStyle name="Normal 3 4 3 4 2 5" xfId="5004" xr:uid="{00000000-0005-0000-0000-000018050000}"/>
    <cellStyle name="Normal 3 4 3 4 3" xfId="1028" xr:uid="{00000000-0005-0000-0000-00001B050000}"/>
    <cellStyle name="Normal 3 4 3 4 3 2" xfId="2030" xr:uid="{00000000-0005-0000-0000-00001C050000}"/>
    <cellStyle name="Normal 3 4 3 4 3 2 2" xfId="4252" xr:uid="{00000000-0005-0000-0000-00001D050000}"/>
    <cellStyle name="Normal 3 4 3 4 3 2 2 2" xfId="8252" xr:uid="{00000000-0005-0000-0000-00001D050000}"/>
    <cellStyle name="Normal 3 4 3 4 3 2 3" xfId="6251" xr:uid="{00000000-0005-0000-0000-00001D050000}"/>
    <cellStyle name="Normal 3 4 3 4 3 3" xfId="3254" xr:uid="{00000000-0005-0000-0000-00001C050000}"/>
    <cellStyle name="Normal 3 4 3 4 3 3 2" xfId="7253" xr:uid="{00000000-0005-0000-0000-00001C050000}"/>
    <cellStyle name="Normal 3 4 3 4 3 4" xfId="5252" xr:uid="{00000000-0005-0000-0000-00001C050000}"/>
    <cellStyle name="Normal 3 4 3 4 4" xfId="1534" xr:uid="{00000000-0005-0000-0000-00001D050000}"/>
    <cellStyle name="Normal 3 4 3 4 4 2" xfId="3756" xr:uid="{00000000-0005-0000-0000-00001E050000}"/>
    <cellStyle name="Normal 3 4 3 4 4 2 2" xfId="7756" xr:uid="{00000000-0005-0000-0000-00001E050000}"/>
    <cellStyle name="Normal 3 4 3 4 4 3" xfId="5755" xr:uid="{00000000-0005-0000-0000-00001E050000}"/>
    <cellStyle name="Normal 3 4 3 4 5" xfId="2759" xr:uid="{00000000-0005-0000-0000-000017050000}"/>
    <cellStyle name="Normal 3 4 3 4 5 2" xfId="6757" xr:uid="{00000000-0005-0000-0000-000017050000}"/>
    <cellStyle name="Normal 3 4 3 4 6" xfId="4756" xr:uid="{00000000-0005-0000-0000-000017050000}"/>
    <cellStyle name="Normal 3 4 3 5" xfId="577" xr:uid="{00000000-0005-0000-0000-00001E050000}"/>
    <cellStyle name="Normal 3 4 3 5 2" xfId="1075" xr:uid="{00000000-0005-0000-0000-00001F050000}"/>
    <cellStyle name="Normal 3 4 3 5 2 2" xfId="2077" xr:uid="{00000000-0005-0000-0000-000020050000}"/>
    <cellStyle name="Normal 3 4 3 5 2 2 2" xfId="4299" xr:uid="{00000000-0005-0000-0000-000021050000}"/>
    <cellStyle name="Normal 3 4 3 5 2 2 2 2" xfId="8299" xr:uid="{00000000-0005-0000-0000-000021050000}"/>
    <cellStyle name="Normal 3 4 3 5 2 2 3" xfId="6298" xr:uid="{00000000-0005-0000-0000-000021050000}"/>
    <cellStyle name="Normal 3 4 3 5 2 3" xfId="3301" xr:uid="{00000000-0005-0000-0000-000020050000}"/>
    <cellStyle name="Normal 3 4 3 5 2 3 2" xfId="7300" xr:uid="{00000000-0005-0000-0000-000020050000}"/>
    <cellStyle name="Normal 3 4 3 5 2 4" xfId="5299" xr:uid="{00000000-0005-0000-0000-000020050000}"/>
    <cellStyle name="Normal 3 4 3 5 3" xfId="1581" xr:uid="{00000000-0005-0000-0000-000021050000}"/>
    <cellStyle name="Normal 3 4 3 5 3 2" xfId="3803" xr:uid="{00000000-0005-0000-0000-000022050000}"/>
    <cellStyle name="Normal 3 4 3 5 3 2 2" xfId="7803" xr:uid="{00000000-0005-0000-0000-000022050000}"/>
    <cellStyle name="Normal 3 4 3 5 3 3" xfId="5802" xr:uid="{00000000-0005-0000-0000-000022050000}"/>
    <cellStyle name="Normal 3 4 3 5 4" xfId="2806" xr:uid="{00000000-0005-0000-0000-00001F050000}"/>
    <cellStyle name="Normal 3 4 3 5 4 2" xfId="6804" xr:uid="{00000000-0005-0000-0000-00001F050000}"/>
    <cellStyle name="Normal 3 4 3 5 5" xfId="4803" xr:uid="{00000000-0005-0000-0000-00001F050000}"/>
    <cellStyle name="Normal 3 4 3 6" xfId="827" xr:uid="{00000000-0005-0000-0000-000022050000}"/>
    <cellStyle name="Normal 3 4 3 6 2" xfId="1829" xr:uid="{00000000-0005-0000-0000-000023050000}"/>
    <cellStyle name="Normal 3 4 3 6 2 2" xfId="4051" xr:uid="{00000000-0005-0000-0000-000024050000}"/>
    <cellStyle name="Normal 3 4 3 6 2 2 2" xfId="8051" xr:uid="{00000000-0005-0000-0000-000024050000}"/>
    <cellStyle name="Normal 3 4 3 6 2 3" xfId="6050" xr:uid="{00000000-0005-0000-0000-000024050000}"/>
    <cellStyle name="Normal 3 4 3 6 3" xfId="3053" xr:uid="{00000000-0005-0000-0000-000023050000}"/>
    <cellStyle name="Normal 3 4 3 6 3 2" xfId="7052" xr:uid="{00000000-0005-0000-0000-000023050000}"/>
    <cellStyle name="Normal 3 4 3 6 4" xfId="5051" xr:uid="{00000000-0005-0000-0000-000023050000}"/>
    <cellStyle name="Normal 3 4 3 7" xfId="1333" xr:uid="{00000000-0005-0000-0000-000024050000}"/>
    <cellStyle name="Normal 3 4 3 7 2" xfId="3555" xr:uid="{00000000-0005-0000-0000-000025050000}"/>
    <cellStyle name="Normal 3 4 3 7 2 2" xfId="7555" xr:uid="{00000000-0005-0000-0000-000025050000}"/>
    <cellStyle name="Normal 3 4 3 7 3" xfId="5554" xr:uid="{00000000-0005-0000-0000-000025050000}"/>
    <cellStyle name="Normal 3 4 3 8" xfId="2568" xr:uid="{00000000-0005-0000-0000-000006050000}"/>
    <cellStyle name="Normal 3 4 3 8 2" xfId="6556" xr:uid="{00000000-0005-0000-0000-000006050000}"/>
    <cellStyle name="Normal 3 4 3 9" xfId="4555" xr:uid="{00000000-0005-0000-0000-000006050000}"/>
    <cellStyle name="Normal 3 4 4" xfId="356" xr:uid="{00000000-0005-0000-0000-000025050000}"/>
    <cellStyle name="Normal 3 4 4 2" xfId="467" xr:uid="{00000000-0005-0000-0000-000026050000}"/>
    <cellStyle name="Normal 3 4 4 2 2" xfId="714" xr:uid="{00000000-0005-0000-0000-000027050000}"/>
    <cellStyle name="Normal 3 4 4 2 2 2" xfId="1211" xr:uid="{00000000-0005-0000-0000-000028050000}"/>
    <cellStyle name="Normal 3 4 4 2 2 2 2" xfId="2213" xr:uid="{00000000-0005-0000-0000-000029050000}"/>
    <cellStyle name="Normal 3 4 4 2 2 2 2 2" xfId="4435" xr:uid="{00000000-0005-0000-0000-00002A050000}"/>
    <cellStyle name="Normal 3 4 4 2 2 2 2 2 2" xfId="8435" xr:uid="{00000000-0005-0000-0000-00002A050000}"/>
    <cellStyle name="Normal 3 4 4 2 2 2 2 3" xfId="6434" xr:uid="{00000000-0005-0000-0000-00002A050000}"/>
    <cellStyle name="Normal 3 4 4 2 2 2 3" xfId="3437" xr:uid="{00000000-0005-0000-0000-000029050000}"/>
    <cellStyle name="Normal 3 4 4 2 2 2 3 2" xfId="7436" xr:uid="{00000000-0005-0000-0000-000029050000}"/>
    <cellStyle name="Normal 3 4 4 2 2 2 4" xfId="5435" xr:uid="{00000000-0005-0000-0000-000029050000}"/>
    <cellStyle name="Normal 3 4 4 2 2 3" xfId="1717" xr:uid="{00000000-0005-0000-0000-00002A050000}"/>
    <cellStyle name="Normal 3 4 4 2 2 3 2" xfId="3939" xr:uid="{00000000-0005-0000-0000-00002B050000}"/>
    <cellStyle name="Normal 3 4 4 2 2 3 2 2" xfId="7939" xr:uid="{00000000-0005-0000-0000-00002B050000}"/>
    <cellStyle name="Normal 3 4 4 2 2 3 3" xfId="5938" xr:uid="{00000000-0005-0000-0000-00002B050000}"/>
    <cellStyle name="Normal 3 4 4 2 2 4" xfId="2941" xr:uid="{00000000-0005-0000-0000-000028050000}"/>
    <cellStyle name="Normal 3 4 4 2 2 4 2" xfId="6940" xr:uid="{00000000-0005-0000-0000-000028050000}"/>
    <cellStyle name="Normal 3 4 4 2 2 5" xfId="4939" xr:uid="{00000000-0005-0000-0000-000028050000}"/>
    <cellStyle name="Normal 3 4 4 2 3" xfId="963" xr:uid="{00000000-0005-0000-0000-00002B050000}"/>
    <cellStyle name="Normal 3 4 4 2 3 2" xfId="1965" xr:uid="{00000000-0005-0000-0000-00002C050000}"/>
    <cellStyle name="Normal 3 4 4 2 3 2 2" xfId="4187" xr:uid="{00000000-0005-0000-0000-00002D050000}"/>
    <cellStyle name="Normal 3 4 4 2 3 2 2 2" xfId="8187" xr:uid="{00000000-0005-0000-0000-00002D050000}"/>
    <cellStyle name="Normal 3 4 4 2 3 2 3" xfId="6186" xr:uid="{00000000-0005-0000-0000-00002D050000}"/>
    <cellStyle name="Normal 3 4 4 2 3 3" xfId="3189" xr:uid="{00000000-0005-0000-0000-00002C050000}"/>
    <cellStyle name="Normal 3 4 4 2 3 3 2" xfId="7188" xr:uid="{00000000-0005-0000-0000-00002C050000}"/>
    <cellStyle name="Normal 3 4 4 2 3 4" xfId="5187" xr:uid="{00000000-0005-0000-0000-00002C050000}"/>
    <cellStyle name="Normal 3 4 4 2 4" xfId="1469" xr:uid="{00000000-0005-0000-0000-00002D050000}"/>
    <cellStyle name="Normal 3 4 4 2 4 2" xfId="3691" xr:uid="{00000000-0005-0000-0000-00002E050000}"/>
    <cellStyle name="Normal 3 4 4 2 4 2 2" xfId="7691" xr:uid="{00000000-0005-0000-0000-00002E050000}"/>
    <cellStyle name="Normal 3 4 4 2 4 3" xfId="5690" xr:uid="{00000000-0005-0000-0000-00002E050000}"/>
    <cellStyle name="Normal 3 4 4 2 5" xfId="2694" xr:uid="{00000000-0005-0000-0000-000027050000}"/>
    <cellStyle name="Normal 3 4 4 2 5 2" xfId="6692" xr:uid="{00000000-0005-0000-0000-000027050000}"/>
    <cellStyle name="Normal 3 4 4 2 6" xfId="4691" xr:uid="{00000000-0005-0000-0000-000027050000}"/>
    <cellStyle name="Normal 3 4 4 3" xfId="599" xr:uid="{00000000-0005-0000-0000-00002E050000}"/>
    <cellStyle name="Normal 3 4 4 3 2" xfId="1097" xr:uid="{00000000-0005-0000-0000-00002F050000}"/>
    <cellStyle name="Normal 3 4 4 3 2 2" xfId="2099" xr:uid="{00000000-0005-0000-0000-000030050000}"/>
    <cellStyle name="Normal 3 4 4 3 2 2 2" xfId="4321" xr:uid="{00000000-0005-0000-0000-000031050000}"/>
    <cellStyle name="Normal 3 4 4 3 2 2 2 2" xfId="8321" xr:uid="{00000000-0005-0000-0000-000031050000}"/>
    <cellStyle name="Normal 3 4 4 3 2 2 3" xfId="6320" xr:uid="{00000000-0005-0000-0000-000031050000}"/>
    <cellStyle name="Normal 3 4 4 3 2 3" xfId="3323" xr:uid="{00000000-0005-0000-0000-000030050000}"/>
    <cellStyle name="Normal 3 4 4 3 2 3 2" xfId="7322" xr:uid="{00000000-0005-0000-0000-000030050000}"/>
    <cellStyle name="Normal 3 4 4 3 2 4" xfId="5321" xr:uid="{00000000-0005-0000-0000-000030050000}"/>
    <cellStyle name="Normal 3 4 4 3 3" xfId="1603" xr:uid="{00000000-0005-0000-0000-000031050000}"/>
    <cellStyle name="Normal 3 4 4 3 3 2" xfId="3825" xr:uid="{00000000-0005-0000-0000-000032050000}"/>
    <cellStyle name="Normal 3 4 4 3 3 2 2" xfId="7825" xr:uid="{00000000-0005-0000-0000-000032050000}"/>
    <cellStyle name="Normal 3 4 4 3 3 3" xfId="5824" xr:uid="{00000000-0005-0000-0000-000032050000}"/>
    <cellStyle name="Normal 3 4 4 3 4" xfId="2828" xr:uid="{00000000-0005-0000-0000-00002F050000}"/>
    <cellStyle name="Normal 3 4 4 3 4 2" xfId="6826" xr:uid="{00000000-0005-0000-0000-00002F050000}"/>
    <cellStyle name="Normal 3 4 4 3 5" xfId="4825" xr:uid="{00000000-0005-0000-0000-00002F050000}"/>
    <cellStyle name="Normal 3 4 4 4" xfId="849" xr:uid="{00000000-0005-0000-0000-000032050000}"/>
    <cellStyle name="Normal 3 4 4 4 2" xfId="1851" xr:uid="{00000000-0005-0000-0000-000033050000}"/>
    <cellStyle name="Normal 3 4 4 4 2 2" xfId="4073" xr:uid="{00000000-0005-0000-0000-000034050000}"/>
    <cellStyle name="Normal 3 4 4 4 2 2 2" xfId="8073" xr:uid="{00000000-0005-0000-0000-000034050000}"/>
    <cellStyle name="Normal 3 4 4 4 2 3" xfId="6072" xr:uid="{00000000-0005-0000-0000-000034050000}"/>
    <cellStyle name="Normal 3 4 4 4 3" xfId="3075" xr:uid="{00000000-0005-0000-0000-000033050000}"/>
    <cellStyle name="Normal 3 4 4 4 3 2" xfId="7074" xr:uid="{00000000-0005-0000-0000-000033050000}"/>
    <cellStyle name="Normal 3 4 4 4 4" xfId="5073" xr:uid="{00000000-0005-0000-0000-000033050000}"/>
    <cellStyle name="Normal 3 4 4 5" xfId="1355" xr:uid="{00000000-0005-0000-0000-000034050000}"/>
    <cellStyle name="Normal 3 4 4 5 2" xfId="3577" xr:uid="{00000000-0005-0000-0000-000035050000}"/>
    <cellStyle name="Normal 3 4 4 5 2 2" xfId="7577" xr:uid="{00000000-0005-0000-0000-000035050000}"/>
    <cellStyle name="Normal 3 4 4 5 3" xfId="5576" xr:uid="{00000000-0005-0000-0000-000035050000}"/>
    <cellStyle name="Normal 3 4 4 6" xfId="2589" xr:uid="{00000000-0005-0000-0000-000026050000}"/>
    <cellStyle name="Normal 3 4 4 6 2" xfId="6578" xr:uid="{00000000-0005-0000-0000-000026050000}"/>
    <cellStyle name="Normal 3 4 4 7" xfId="4577" xr:uid="{00000000-0005-0000-0000-000026050000}"/>
    <cellStyle name="Normal 3 4 5" xfId="376" xr:uid="{00000000-0005-0000-0000-000035050000}"/>
    <cellStyle name="Normal 3 4 5 2" xfId="622" xr:uid="{00000000-0005-0000-0000-000036050000}"/>
    <cellStyle name="Normal 3 4 5 2 2" xfId="1119" xr:uid="{00000000-0005-0000-0000-000037050000}"/>
    <cellStyle name="Normal 3 4 5 2 2 2" xfId="2121" xr:uid="{00000000-0005-0000-0000-000038050000}"/>
    <cellStyle name="Normal 3 4 5 2 2 2 2" xfId="4343" xr:uid="{00000000-0005-0000-0000-000039050000}"/>
    <cellStyle name="Normal 3 4 5 2 2 2 2 2" xfId="8343" xr:uid="{00000000-0005-0000-0000-000039050000}"/>
    <cellStyle name="Normal 3 4 5 2 2 2 3" xfId="6342" xr:uid="{00000000-0005-0000-0000-000039050000}"/>
    <cellStyle name="Normal 3 4 5 2 2 3" xfId="3345" xr:uid="{00000000-0005-0000-0000-000038050000}"/>
    <cellStyle name="Normal 3 4 5 2 2 3 2" xfId="7344" xr:uid="{00000000-0005-0000-0000-000038050000}"/>
    <cellStyle name="Normal 3 4 5 2 2 4" xfId="5343" xr:uid="{00000000-0005-0000-0000-000038050000}"/>
    <cellStyle name="Normal 3 4 5 2 3" xfId="1625" xr:uid="{00000000-0005-0000-0000-000039050000}"/>
    <cellStyle name="Normal 3 4 5 2 3 2" xfId="3847" xr:uid="{00000000-0005-0000-0000-00003A050000}"/>
    <cellStyle name="Normal 3 4 5 2 3 2 2" xfId="7847" xr:uid="{00000000-0005-0000-0000-00003A050000}"/>
    <cellStyle name="Normal 3 4 5 2 3 3" xfId="5846" xr:uid="{00000000-0005-0000-0000-00003A050000}"/>
    <cellStyle name="Normal 3 4 5 2 4" xfId="2849" xr:uid="{00000000-0005-0000-0000-000037050000}"/>
    <cellStyle name="Normal 3 4 5 2 4 2" xfId="6848" xr:uid="{00000000-0005-0000-0000-000037050000}"/>
    <cellStyle name="Normal 3 4 5 2 5" xfId="4847" xr:uid="{00000000-0005-0000-0000-000037050000}"/>
    <cellStyle name="Normal 3 4 5 3" xfId="871" xr:uid="{00000000-0005-0000-0000-00003A050000}"/>
    <cellStyle name="Normal 3 4 5 3 2" xfId="1873" xr:uid="{00000000-0005-0000-0000-00003B050000}"/>
    <cellStyle name="Normal 3 4 5 3 2 2" xfId="4095" xr:uid="{00000000-0005-0000-0000-00003C050000}"/>
    <cellStyle name="Normal 3 4 5 3 2 2 2" xfId="8095" xr:uid="{00000000-0005-0000-0000-00003C050000}"/>
    <cellStyle name="Normal 3 4 5 3 2 3" xfId="6094" xr:uid="{00000000-0005-0000-0000-00003C050000}"/>
    <cellStyle name="Normal 3 4 5 3 3" xfId="3097" xr:uid="{00000000-0005-0000-0000-00003B050000}"/>
    <cellStyle name="Normal 3 4 5 3 3 2" xfId="7096" xr:uid="{00000000-0005-0000-0000-00003B050000}"/>
    <cellStyle name="Normal 3 4 5 3 4" xfId="5095" xr:uid="{00000000-0005-0000-0000-00003B050000}"/>
    <cellStyle name="Normal 3 4 5 4" xfId="1377" xr:uid="{00000000-0005-0000-0000-00003C050000}"/>
    <cellStyle name="Normal 3 4 5 4 2" xfId="3599" xr:uid="{00000000-0005-0000-0000-00003D050000}"/>
    <cellStyle name="Normal 3 4 5 4 2 2" xfId="7599" xr:uid="{00000000-0005-0000-0000-00003D050000}"/>
    <cellStyle name="Normal 3 4 5 4 3" xfId="5598" xr:uid="{00000000-0005-0000-0000-00003D050000}"/>
    <cellStyle name="Normal 3 4 5 5" xfId="2610" xr:uid="{00000000-0005-0000-0000-000036050000}"/>
    <cellStyle name="Normal 3 4 5 5 2" xfId="6600" xr:uid="{00000000-0005-0000-0000-000036050000}"/>
    <cellStyle name="Normal 3 4 5 6" xfId="4599" xr:uid="{00000000-0005-0000-0000-000036050000}"/>
    <cellStyle name="Normal 3 4 6" xfId="421" xr:uid="{00000000-0005-0000-0000-00003D050000}"/>
    <cellStyle name="Normal 3 4 6 2" xfId="668" xr:uid="{00000000-0005-0000-0000-00003E050000}"/>
    <cellStyle name="Normal 3 4 6 2 2" xfId="1165" xr:uid="{00000000-0005-0000-0000-00003F050000}"/>
    <cellStyle name="Normal 3 4 6 2 2 2" xfId="2167" xr:uid="{00000000-0005-0000-0000-000040050000}"/>
    <cellStyle name="Normal 3 4 6 2 2 2 2" xfId="4389" xr:uid="{00000000-0005-0000-0000-000041050000}"/>
    <cellStyle name="Normal 3 4 6 2 2 2 2 2" xfId="8389" xr:uid="{00000000-0005-0000-0000-000041050000}"/>
    <cellStyle name="Normal 3 4 6 2 2 2 3" xfId="6388" xr:uid="{00000000-0005-0000-0000-000041050000}"/>
    <cellStyle name="Normal 3 4 6 2 2 3" xfId="3391" xr:uid="{00000000-0005-0000-0000-000040050000}"/>
    <cellStyle name="Normal 3 4 6 2 2 3 2" xfId="7390" xr:uid="{00000000-0005-0000-0000-000040050000}"/>
    <cellStyle name="Normal 3 4 6 2 2 4" xfId="5389" xr:uid="{00000000-0005-0000-0000-000040050000}"/>
    <cellStyle name="Normal 3 4 6 2 3" xfId="1671" xr:uid="{00000000-0005-0000-0000-000041050000}"/>
    <cellStyle name="Normal 3 4 6 2 3 2" xfId="3893" xr:uid="{00000000-0005-0000-0000-000042050000}"/>
    <cellStyle name="Normal 3 4 6 2 3 2 2" xfId="7893" xr:uid="{00000000-0005-0000-0000-000042050000}"/>
    <cellStyle name="Normal 3 4 6 2 3 3" xfId="5892" xr:uid="{00000000-0005-0000-0000-000042050000}"/>
    <cellStyle name="Normal 3 4 6 2 4" xfId="2895" xr:uid="{00000000-0005-0000-0000-00003F050000}"/>
    <cellStyle name="Normal 3 4 6 2 4 2" xfId="6894" xr:uid="{00000000-0005-0000-0000-00003F050000}"/>
    <cellStyle name="Normal 3 4 6 2 5" xfId="4893" xr:uid="{00000000-0005-0000-0000-00003F050000}"/>
    <cellStyle name="Normal 3 4 6 3" xfId="917" xr:uid="{00000000-0005-0000-0000-000042050000}"/>
    <cellStyle name="Normal 3 4 6 3 2" xfId="1919" xr:uid="{00000000-0005-0000-0000-000043050000}"/>
    <cellStyle name="Normal 3 4 6 3 2 2" xfId="4141" xr:uid="{00000000-0005-0000-0000-000044050000}"/>
    <cellStyle name="Normal 3 4 6 3 2 2 2" xfId="8141" xr:uid="{00000000-0005-0000-0000-000044050000}"/>
    <cellStyle name="Normal 3 4 6 3 2 3" xfId="6140" xr:uid="{00000000-0005-0000-0000-000044050000}"/>
    <cellStyle name="Normal 3 4 6 3 3" xfId="3143" xr:uid="{00000000-0005-0000-0000-000043050000}"/>
    <cellStyle name="Normal 3 4 6 3 3 2" xfId="7142" xr:uid="{00000000-0005-0000-0000-000043050000}"/>
    <cellStyle name="Normal 3 4 6 3 4" xfId="5141" xr:uid="{00000000-0005-0000-0000-000043050000}"/>
    <cellStyle name="Normal 3 4 6 4" xfId="1423" xr:uid="{00000000-0005-0000-0000-000044050000}"/>
    <cellStyle name="Normal 3 4 6 4 2" xfId="3645" xr:uid="{00000000-0005-0000-0000-000045050000}"/>
    <cellStyle name="Normal 3 4 6 4 2 2" xfId="7645" xr:uid="{00000000-0005-0000-0000-000045050000}"/>
    <cellStyle name="Normal 3 4 6 4 3" xfId="5644" xr:uid="{00000000-0005-0000-0000-000045050000}"/>
    <cellStyle name="Normal 3 4 6 5" xfId="2649" xr:uid="{00000000-0005-0000-0000-00003E050000}"/>
    <cellStyle name="Normal 3 4 6 5 2" xfId="6646" xr:uid="{00000000-0005-0000-0000-00003E050000}"/>
    <cellStyle name="Normal 3 4 6 6" xfId="4645" xr:uid="{00000000-0005-0000-0000-00003E050000}"/>
    <cellStyle name="Normal 3 4 7" xfId="487" xr:uid="{00000000-0005-0000-0000-000045050000}"/>
    <cellStyle name="Normal 3 4 7 2" xfId="734" xr:uid="{00000000-0005-0000-0000-000046050000}"/>
    <cellStyle name="Normal 3 4 7 2 2" xfId="1231" xr:uid="{00000000-0005-0000-0000-000047050000}"/>
    <cellStyle name="Normal 3 4 7 2 2 2" xfId="2233" xr:uid="{00000000-0005-0000-0000-000048050000}"/>
    <cellStyle name="Normal 3 4 7 2 2 2 2" xfId="4455" xr:uid="{00000000-0005-0000-0000-000049050000}"/>
    <cellStyle name="Normal 3 4 7 2 2 2 2 2" xfId="8455" xr:uid="{00000000-0005-0000-0000-000049050000}"/>
    <cellStyle name="Normal 3 4 7 2 2 2 3" xfId="6454" xr:uid="{00000000-0005-0000-0000-000049050000}"/>
    <cellStyle name="Normal 3 4 7 2 2 3" xfId="3457" xr:uid="{00000000-0005-0000-0000-000048050000}"/>
    <cellStyle name="Normal 3 4 7 2 2 3 2" xfId="7456" xr:uid="{00000000-0005-0000-0000-000048050000}"/>
    <cellStyle name="Normal 3 4 7 2 2 4" xfId="5455" xr:uid="{00000000-0005-0000-0000-000048050000}"/>
    <cellStyle name="Normal 3 4 7 2 3" xfId="1737" xr:uid="{00000000-0005-0000-0000-000049050000}"/>
    <cellStyle name="Normal 3 4 7 2 3 2" xfId="3959" xr:uid="{00000000-0005-0000-0000-00004A050000}"/>
    <cellStyle name="Normal 3 4 7 2 3 2 2" xfId="7959" xr:uid="{00000000-0005-0000-0000-00004A050000}"/>
    <cellStyle name="Normal 3 4 7 2 3 3" xfId="5958" xr:uid="{00000000-0005-0000-0000-00004A050000}"/>
    <cellStyle name="Normal 3 4 7 2 4" xfId="2961" xr:uid="{00000000-0005-0000-0000-000047050000}"/>
    <cellStyle name="Normal 3 4 7 2 4 2" xfId="6960" xr:uid="{00000000-0005-0000-0000-000047050000}"/>
    <cellStyle name="Normal 3 4 7 2 5" xfId="4959" xr:uid="{00000000-0005-0000-0000-000047050000}"/>
    <cellStyle name="Normal 3 4 7 3" xfId="983" xr:uid="{00000000-0005-0000-0000-00004A050000}"/>
    <cellStyle name="Normal 3 4 7 3 2" xfId="1985" xr:uid="{00000000-0005-0000-0000-00004B050000}"/>
    <cellStyle name="Normal 3 4 7 3 2 2" xfId="4207" xr:uid="{00000000-0005-0000-0000-00004C050000}"/>
    <cellStyle name="Normal 3 4 7 3 2 2 2" xfId="8207" xr:uid="{00000000-0005-0000-0000-00004C050000}"/>
    <cellStyle name="Normal 3 4 7 3 2 3" xfId="6206" xr:uid="{00000000-0005-0000-0000-00004C050000}"/>
    <cellStyle name="Normal 3 4 7 3 3" xfId="3209" xr:uid="{00000000-0005-0000-0000-00004B050000}"/>
    <cellStyle name="Normal 3 4 7 3 3 2" xfId="7208" xr:uid="{00000000-0005-0000-0000-00004B050000}"/>
    <cellStyle name="Normal 3 4 7 3 4" xfId="5207" xr:uid="{00000000-0005-0000-0000-00004B050000}"/>
    <cellStyle name="Normal 3 4 7 4" xfId="1489" xr:uid="{00000000-0005-0000-0000-00004C050000}"/>
    <cellStyle name="Normal 3 4 7 4 2" xfId="3711" xr:uid="{00000000-0005-0000-0000-00004D050000}"/>
    <cellStyle name="Normal 3 4 7 4 2 2" xfId="7711" xr:uid="{00000000-0005-0000-0000-00004D050000}"/>
    <cellStyle name="Normal 3 4 7 4 3" xfId="5710" xr:uid="{00000000-0005-0000-0000-00004D050000}"/>
    <cellStyle name="Normal 3 4 7 5" xfId="2714" xr:uid="{00000000-0005-0000-0000-000046050000}"/>
    <cellStyle name="Normal 3 4 7 5 2" xfId="6712" xr:uid="{00000000-0005-0000-0000-000046050000}"/>
    <cellStyle name="Normal 3 4 7 6" xfId="4711" xr:uid="{00000000-0005-0000-0000-000046050000}"/>
    <cellStyle name="Normal 3 4 8" xfId="507" xr:uid="{00000000-0005-0000-0000-00004D050000}"/>
    <cellStyle name="Normal 3 4 8 2" xfId="754" xr:uid="{00000000-0005-0000-0000-00004E050000}"/>
    <cellStyle name="Normal 3 4 8 2 2" xfId="1252" xr:uid="{00000000-0005-0000-0000-00004F050000}"/>
    <cellStyle name="Normal 3 4 8 2 2 2" xfId="2254" xr:uid="{00000000-0005-0000-0000-000050050000}"/>
    <cellStyle name="Normal 3 4 8 2 2 2 2" xfId="4476" xr:uid="{00000000-0005-0000-0000-000051050000}"/>
    <cellStyle name="Normal 3 4 8 2 2 2 2 2" xfId="8476" xr:uid="{00000000-0005-0000-0000-000051050000}"/>
    <cellStyle name="Normal 3 4 8 2 2 2 3" xfId="6475" xr:uid="{00000000-0005-0000-0000-000051050000}"/>
    <cellStyle name="Normal 3 4 8 2 2 3" xfId="3478" xr:uid="{00000000-0005-0000-0000-000050050000}"/>
    <cellStyle name="Normal 3 4 8 2 2 3 2" xfId="7477" xr:uid="{00000000-0005-0000-0000-000050050000}"/>
    <cellStyle name="Normal 3 4 8 2 2 4" xfId="5476" xr:uid="{00000000-0005-0000-0000-000050050000}"/>
    <cellStyle name="Normal 3 4 8 2 3" xfId="1758" xr:uid="{00000000-0005-0000-0000-000051050000}"/>
    <cellStyle name="Normal 3 4 8 2 3 2" xfId="3980" xr:uid="{00000000-0005-0000-0000-000052050000}"/>
    <cellStyle name="Normal 3 4 8 2 3 2 2" xfId="7980" xr:uid="{00000000-0005-0000-0000-000052050000}"/>
    <cellStyle name="Normal 3 4 8 2 3 3" xfId="5979" xr:uid="{00000000-0005-0000-0000-000052050000}"/>
    <cellStyle name="Normal 3 4 8 2 4" xfId="2982" xr:uid="{00000000-0005-0000-0000-00004F050000}"/>
    <cellStyle name="Normal 3 4 8 2 4 2" xfId="6981" xr:uid="{00000000-0005-0000-0000-00004F050000}"/>
    <cellStyle name="Normal 3 4 8 2 5" xfId="4980" xr:uid="{00000000-0005-0000-0000-00004F050000}"/>
    <cellStyle name="Normal 3 4 8 3" xfId="1004" xr:uid="{00000000-0005-0000-0000-000052050000}"/>
    <cellStyle name="Normal 3 4 8 3 2" xfId="2006" xr:uid="{00000000-0005-0000-0000-000053050000}"/>
    <cellStyle name="Normal 3 4 8 3 2 2" xfId="4228" xr:uid="{00000000-0005-0000-0000-000054050000}"/>
    <cellStyle name="Normal 3 4 8 3 2 2 2" xfId="8228" xr:uid="{00000000-0005-0000-0000-000054050000}"/>
    <cellStyle name="Normal 3 4 8 3 2 3" xfId="6227" xr:uid="{00000000-0005-0000-0000-000054050000}"/>
    <cellStyle name="Normal 3 4 8 3 3" xfId="3230" xr:uid="{00000000-0005-0000-0000-000053050000}"/>
    <cellStyle name="Normal 3 4 8 3 3 2" xfId="7229" xr:uid="{00000000-0005-0000-0000-000053050000}"/>
    <cellStyle name="Normal 3 4 8 3 4" xfId="5228" xr:uid="{00000000-0005-0000-0000-000053050000}"/>
    <cellStyle name="Normal 3 4 8 4" xfId="1510" xr:uid="{00000000-0005-0000-0000-000054050000}"/>
    <cellStyle name="Normal 3 4 8 4 2" xfId="3732" xr:uid="{00000000-0005-0000-0000-000055050000}"/>
    <cellStyle name="Normal 3 4 8 4 2 2" xfId="7732" xr:uid="{00000000-0005-0000-0000-000055050000}"/>
    <cellStyle name="Normal 3 4 8 4 3" xfId="5731" xr:uid="{00000000-0005-0000-0000-000055050000}"/>
    <cellStyle name="Normal 3 4 8 5" xfId="2735" xr:uid="{00000000-0005-0000-0000-00004E050000}"/>
    <cellStyle name="Normal 3 4 8 5 2" xfId="6733" xr:uid="{00000000-0005-0000-0000-00004E050000}"/>
    <cellStyle name="Normal 3 4 8 6" xfId="4732" xr:uid="{00000000-0005-0000-0000-00004E050000}"/>
    <cellStyle name="Normal 3 4 9" xfId="553" xr:uid="{00000000-0005-0000-0000-000055050000}"/>
    <cellStyle name="Normal 3 4 9 2" xfId="1051" xr:uid="{00000000-0005-0000-0000-000056050000}"/>
    <cellStyle name="Normal 3 4 9 2 2" xfId="2053" xr:uid="{00000000-0005-0000-0000-000057050000}"/>
    <cellStyle name="Normal 3 4 9 2 2 2" xfId="4275" xr:uid="{00000000-0005-0000-0000-000058050000}"/>
    <cellStyle name="Normal 3 4 9 2 2 2 2" xfId="8275" xr:uid="{00000000-0005-0000-0000-000058050000}"/>
    <cellStyle name="Normal 3 4 9 2 2 3" xfId="6274" xr:uid="{00000000-0005-0000-0000-000058050000}"/>
    <cellStyle name="Normal 3 4 9 2 3" xfId="3277" xr:uid="{00000000-0005-0000-0000-000057050000}"/>
    <cellStyle name="Normal 3 4 9 2 3 2" xfId="7276" xr:uid="{00000000-0005-0000-0000-000057050000}"/>
    <cellStyle name="Normal 3 4 9 2 4" xfId="5275" xr:uid="{00000000-0005-0000-0000-000057050000}"/>
    <cellStyle name="Normal 3 4 9 3" xfId="1557" xr:uid="{00000000-0005-0000-0000-000058050000}"/>
    <cellStyle name="Normal 3 4 9 3 2" xfId="3779" xr:uid="{00000000-0005-0000-0000-000059050000}"/>
    <cellStyle name="Normal 3 4 9 3 2 2" xfId="7779" xr:uid="{00000000-0005-0000-0000-000059050000}"/>
    <cellStyle name="Normal 3 4 9 3 3" xfId="5778" xr:uid="{00000000-0005-0000-0000-000059050000}"/>
    <cellStyle name="Normal 3 4 9 4" xfId="2782" xr:uid="{00000000-0005-0000-0000-000056050000}"/>
    <cellStyle name="Normal 3 4 9 4 2" xfId="6780" xr:uid="{00000000-0005-0000-0000-000056050000}"/>
    <cellStyle name="Normal 3 4 9 5" xfId="4779" xr:uid="{00000000-0005-0000-0000-000056050000}"/>
    <cellStyle name="Normal 3 5" xfId="252" xr:uid="{00000000-0005-0000-0000-00005F000000}"/>
    <cellStyle name="Normal 3 5 10" xfId="1315" xr:uid="{00000000-0005-0000-0000-00005A050000}"/>
    <cellStyle name="Normal 3 5 10 2" xfId="3537" xr:uid="{00000000-0005-0000-0000-00005B050000}"/>
    <cellStyle name="Normal 3 5 10 2 2" xfId="7537" xr:uid="{00000000-0005-0000-0000-00005B050000}"/>
    <cellStyle name="Normal 3 5 10 3" xfId="5536" xr:uid="{00000000-0005-0000-0000-00005B050000}"/>
    <cellStyle name="Normal 3 5 11" xfId="325" xr:uid="{00000000-0005-0000-0000-000059050000}"/>
    <cellStyle name="Normal 3 5 11 2" xfId="6538" xr:uid="{00000000-0005-0000-0000-00005A050000}"/>
    <cellStyle name="Normal 3 5 12" xfId="4537" xr:uid="{00000000-0005-0000-0000-00005A050000}"/>
    <cellStyle name="Normal 3 5 2" xfId="343" xr:uid="{00000000-0005-0000-0000-00005B050000}"/>
    <cellStyle name="Normal 3 5 2 2" xfId="405" xr:uid="{00000000-0005-0000-0000-00005C050000}"/>
    <cellStyle name="Normal 3 5 2 2 2" xfId="652" xr:uid="{00000000-0005-0000-0000-00005D050000}"/>
    <cellStyle name="Normal 3 5 2 2 2 2" xfId="1149" xr:uid="{00000000-0005-0000-0000-00005E050000}"/>
    <cellStyle name="Normal 3 5 2 2 2 2 2" xfId="2151" xr:uid="{00000000-0005-0000-0000-00005F050000}"/>
    <cellStyle name="Normal 3 5 2 2 2 2 2 2" xfId="4373" xr:uid="{00000000-0005-0000-0000-000060050000}"/>
    <cellStyle name="Normal 3 5 2 2 2 2 2 2 2" xfId="8373" xr:uid="{00000000-0005-0000-0000-000060050000}"/>
    <cellStyle name="Normal 3 5 2 2 2 2 2 3" xfId="6372" xr:uid="{00000000-0005-0000-0000-000060050000}"/>
    <cellStyle name="Normal 3 5 2 2 2 2 3" xfId="3375" xr:uid="{00000000-0005-0000-0000-00005F050000}"/>
    <cellStyle name="Normal 3 5 2 2 2 2 3 2" xfId="7374" xr:uid="{00000000-0005-0000-0000-00005F050000}"/>
    <cellStyle name="Normal 3 5 2 2 2 2 4" xfId="5373" xr:uid="{00000000-0005-0000-0000-00005F050000}"/>
    <cellStyle name="Normal 3 5 2 2 2 3" xfId="1655" xr:uid="{00000000-0005-0000-0000-000060050000}"/>
    <cellStyle name="Normal 3 5 2 2 2 3 2" xfId="3877" xr:uid="{00000000-0005-0000-0000-000061050000}"/>
    <cellStyle name="Normal 3 5 2 2 2 3 2 2" xfId="7877" xr:uid="{00000000-0005-0000-0000-000061050000}"/>
    <cellStyle name="Normal 3 5 2 2 2 3 3" xfId="5876" xr:uid="{00000000-0005-0000-0000-000061050000}"/>
    <cellStyle name="Normal 3 5 2 2 2 4" xfId="2879" xr:uid="{00000000-0005-0000-0000-00005E050000}"/>
    <cellStyle name="Normal 3 5 2 2 2 4 2" xfId="6878" xr:uid="{00000000-0005-0000-0000-00005E050000}"/>
    <cellStyle name="Normal 3 5 2 2 2 5" xfId="4877" xr:uid="{00000000-0005-0000-0000-00005E050000}"/>
    <cellStyle name="Normal 3 5 2 2 3" xfId="901" xr:uid="{00000000-0005-0000-0000-000061050000}"/>
    <cellStyle name="Normal 3 5 2 2 3 2" xfId="1903" xr:uid="{00000000-0005-0000-0000-000062050000}"/>
    <cellStyle name="Normal 3 5 2 2 3 2 2" xfId="4125" xr:uid="{00000000-0005-0000-0000-000063050000}"/>
    <cellStyle name="Normal 3 5 2 2 3 2 2 2" xfId="8125" xr:uid="{00000000-0005-0000-0000-000063050000}"/>
    <cellStyle name="Normal 3 5 2 2 3 2 3" xfId="6124" xr:uid="{00000000-0005-0000-0000-000063050000}"/>
    <cellStyle name="Normal 3 5 2 2 3 3" xfId="3127" xr:uid="{00000000-0005-0000-0000-000062050000}"/>
    <cellStyle name="Normal 3 5 2 2 3 3 2" xfId="7126" xr:uid="{00000000-0005-0000-0000-000062050000}"/>
    <cellStyle name="Normal 3 5 2 2 3 4" xfId="5125" xr:uid="{00000000-0005-0000-0000-000062050000}"/>
    <cellStyle name="Normal 3 5 2 2 4" xfId="1407" xr:uid="{00000000-0005-0000-0000-000063050000}"/>
    <cellStyle name="Normal 3 5 2 2 4 2" xfId="3629" xr:uid="{00000000-0005-0000-0000-000064050000}"/>
    <cellStyle name="Normal 3 5 2 2 4 2 2" xfId="7629" xr:uid="{00000000-0005-0000-0000-000064050000}"/>
    <cellStyle name="Normal 3 5 2 2 4 3" xfId="5628" xr:uid="{00000000-0005-0000-0000-000064050000}"/>
    <cellStyle name="Normal 3 5 2 2 5" xfId="2636" xr:uid="{00000000-0005-0000-0000-00005D050000}"/>
    <cellStyle name="Normal 3 5 2 2 5 2" xfId="6630" xr:uid="{00000000-0005-0000-0000-00005D050000}"/>
    <cellStyle name="Normal 3 5 2 2 6" xfId="4629" xr:uid="{00000000-0005-0000-0000-00005D050000}"/>
    <cellStyle name="Normal 3 5 2 3" xfId="451" xr:uid="{00000000-0005-0000-0000-000064050000}"/>
    <cellStyle name="Normal 3 5 2 3 2" xfId="698" xr:uid="{00000000-0005-0000-0000-000065050000}"/>
    <cellStyle name="Normal 3 5 2 3 2 2" xfId="1195" xr:uid="{00000000-0005-0000-0000-000066050000}"/>
    <cellStyle name="Normal 3 5 2 3 2 2 2" xfId="2197" xr:uid="{00000000-0005-0000-0000-000067050000}"/>
    <cellStyle name="Normal 3 5 2 3 2 2 2 2" xfId="4419" xr:uid="{00000000-0005-0000-0000-000068050000}"/>
    <cellStyle name="Normal 3 5 2 3 2 2 2 2 2" xfId="8419" xr:uid="{00000000-0005-0000-0000-000068050000}"/>
    <cellStyle name="Normal 3 5 2 3 2 2 2 3" xfId="6418" xr:uid="{00000000-0005-0000-0000-000068050000}"/>
    <cellStyle name="Normal 3 5 2 3 2 2 3" xfId="3421" xr:uid="{00000000-0005-0000-0000-000067050000}"/>
    <cellStyle name="Normal 3 5 2 3 2 2 3 2" xfId="7420" xr:uid="{00000000-0005-0000-0000-000067050000}"/>
    <cellStyle name="Normal 3 5 2 3 2 2 4" xfId="5419" xr:uid="{00000000-0005-0000-0000-000067050000}"/>
    <cellStyle name="Normal 3 5 2 3 2 3" xfId="1701" xr:uid="{00000000-0005-0000-0000-000068050000}"/>
    <cellStyle name="Normal 3 5 2 3 2 3 2" xfId="3923" xr:uid="{00000000-0005-0000-0000-000069050000}"/>
    <cellStyle name="Normal 3 5 2 3 2 3 2 2" xfId="7923" xr:uid="{00000000-0005-0000-0000-000069050000}"/>
    <cellStyle name="Normal 3 5 2 3 2 3 3" xfId="5922" xr:uid="{00000000-0005-0000-0000-000069050000}"/>
    <cellStyle name="Normal 3 5 2 3 2 4" xfId="2925" xr:uid="{00000000-0005-0000-0000-000066050000}"/>
    <cellStyle name="Normal 3 5 2 3 2 4 2" xfId="6924" xr:uid="{00000000-0005-0000-0000-000066050000}"/>
    <cellStyle name="Normal 3 5 2 3 2 5" xfId="4923" xr:uid="{00000000-0005-0000-0000-000066050000}"/>
    <cellStyle name="Normal 3 5 2 3 3" xfId="947" xr:uid="{00000000-0005-0000-0000-000069050000}"/>
    <cellStyle name="Normal 3 5 2 3 3 2" xfId="1949" xr:uid="{00000000-0005-0000-0000-00006A050000}"/>
    <cellStyle name="Normal 3 5 2 3 3 2 2" xfId="4171" xr:uid="{00000000-0005-0000-0000-00006B050000}"/>
    <cellStyle name="Normal 3 5 2 3 3 2 2 2" xfId="8171" xr:uid="{00000000-0005-0000-0000-00006B050000}"/>
    <cellStyle name="Normal 3 5 2 3 3 2 3" xfId="6170" xr:uid="{00000000-0005-0000-0000-00006B050000}"/>
    <cellStyle name="Normal 3 5 2 3 3 3" xfId="3173" xr:uid="{00000000-0005-0000-0000-00006A050000}"/>
    <cellStyle name="Normal 3 5 2 3 3 3 2" xfId="7172" xr:uid="{00000000-0005-0000-0000-00006A050000}"/>
    <cellStyle name="Normal 3 5 2 3 3 4" xfId="5171" xr:uid="{00000000-0005-0000-0000-00006A050000}"/>
    <cellStyle name="Normal 3 5 2 3 4" xfId="1453" xr:uid="{00000000-0005-0000-0000-00006B050000}"/>
    <cellStyle name="Normal 3 5 2 3 4 2" xfId="3675" xr:uid="{00000000-0005-0000-0000-00006C050000}"/>
    <cellStyle name="Normal 3 5 2 3 4 2 2" xfId="7675" xr:uid="{00000000-0005-0000-0000-00006C050000}"/>
    <cellStyle name="Normal 3 5 2 3 4 3" xfId="5674" xr:uid="{00000000-0005-0000-0000-00006C050000}"/>
    <cellStyle name="Normal 3 5 2 3 5" xfId="2678" xr:uid="{00000000-0005-0000-0000-000065050000}"/>
    <cellStyle name="Normal 3 5 2 3 5 2" xfId="6676" xr:uid="{00000000-0005-0000-0000-000065050000}"/>
    <cellStyle name="Normal 3 5 2 3 6" xfId="4675" xr:uid="{00000000-0005-0000-0000-000065050000}"/>
    <cellStyle name="Normal 3 5 2 4" xfId="537" xr:uid="{00000000-0005-0000-0000-00006C050000}"/>
    <cellStyle name="Normal 3 5 2 4 2" xfId="784" xr:uid="{00000000-0005-0000-0000-00006D050000}"/>
    <cellStyle name="Normal 3 5 2 4 2 2" xfId="1282" xr:uid="{00000000-0005-0000-0000-00006E050000}"/>
    <cellStyle name="Normal 3 5 2 4 2 2 2" xfId="2284" xr:uid="{00000000-0005-0000-0000-00006F050000}"/>
    <cellStyle name="Normal 3 5 2 4 2 2 2 2" xfId="4506" xr:uid="{00000000-0005-0000-0000-000070050000}"/>
    <cellStyle name="Normal 3 5 2 4 2 2 2 2 2" xfId="8506" xr:uid="{00000000-0005-0000-0000-000070050000}"/>
    <cellStyle name="Normal 3 5 2 4 2 2 2 3" xfId="6505" xr:uid="{00000000-0005-0000-0000-000070050000}"/>
    <cellStyle name="Normal 3 5 2 4 2 2 3" xfId="3508" xr:uid="{00000000-0005-0000-0000-00006F050000}"/>
    <cellStyle name="Normal 3 5 2 4 2 2 3 2" xfId="7507" xr:uid="{00000000-0005-0000-0000-00006F050000}"/>
    <cellStyle name="Normal 3 5 2 4 2 2 4" xfId="5506" xr:uid="{00000000-0005-0000-0000-00006F050000}"/>
    <cellStyle name="Normal 3 5 2 4 2 3" xfId="1788" xr:uid="{00000000-0005-0000-0000-000070050000}"/>
    <cellStyle name="Normal 3 5 2 4 2 3 2" xfId="4010" xr:uid="{00000000-0005-0000-0000-000071050000}"/>
    <cellStyle name="Normal 3 5 2 4 2 3 2 2" xfId="8010" xr:uid="{00000000-0005-0000-0000-000071050000}"/>
    <cellStyle name="Normal 3 5 2 4 2 3 3" xfId="6009" xr:uid="{00000000-0005-0000-0000-000071050000}"/>
    <cellStyle name="Normal 3 5 2 4 2 4" xfId="3012" xr:uid="{00000000-0005-0000-0000-00006E050000}"/>
    <cellStyle name="Normal 3 5 2 4 2 4 2" xfId="7011" xr:uid="{00000000-0005-0000-0000-00006E050000}"/>
    <cellStyle name="Normal 3 5 2 4 2 5" xfId="5010" xr:uid="{00000000-0005-0000-0000-00006E050000}"/>
    <cellStyle name="Normal 3 5 2 4 3" xfId="1034" xr:uid="{00000000-0005-0000-0000-000071050000}"/>
    <cellStyle name="Normal 3 5 2 4 3 2" xfId="2036" xr:uid="{00000000-0005-0000-0000-000072050000}"/>
    <cellStyle name="Normal 3 5 2 4 3 2 2" xfId="4258" xr:uid="{00000000-0005-0000-0000-000073050000}"/>
    <cellStyle name="Normal 3 5 2 4 3 2 2 2" xfId="8258" xr:uid="{00000000-0005-0000-0000-000073050000}"/>
    <cellStyle name="Normal 3 5 2 4 3 2 3" xfId="6257" xr:uid="{00000000-0005-0000-0000-000073050000}"/>
    <cellStyle name="Normal 3 5 2 4 3 3" xfId="3260" xr:uid="{00000000-0005-0000-0000-000072050000}"/>
    <cellStyle name="Normal 3 5 2 4 3 3 2" xfId="7259" xr:uid="{00000000-0005-0000-0000-000072050000}"/>
    <cellStyle name="Normal 3 5 2 4 3 4" xfId="5258" xr:uid="{00000000-0005-0000-0000-000072050000}"/>
    <cellStyle name="Normal 3 5 2 4 4" xfId="1540" xr:uid="{00000000-0005-0000-0000-000073050000}"/>
    <cellStyle name="Normal 3 5 2 4 4 2" xfId="3762" xr:uid="{00000000-0005-0000-0000-000074050000}"/>
    <cellStyle name="Normal 3 5 2 4 4 2 2" xfId="7762" xr:uid="{00000000-0005-0000-0000-000074050000}"/>
    <cellStyle name="Normal 3 5 2 4 4 3" xfId="5761" xr:uid="{00000000-0005-0000-0000-000074050000}"/>
    <cellStyle name="Normal 3 5 2 4 5" xfId="2765" xr:uid="{00000000-0005-0000-0000-00006D050000}"/>
    <cellStyle name="Normal 3 5 2 4 5 2" xfId="6763" xr:uid="{00000000-0005-0000-0000-00006D050000}"/>
    <cellStyle name="Normal 3 5 2 4 6" xfId="4762" xr:uid="{00000000-0005-0000-0000-00006D050000}"/>
    <cellStyle name="Normal 3 5 2 5" xfId="583" xr:uid="{00000000-0005-0000-0000-000074050000}"/>
    <cellStyle name="Normal 3 5 2 5 2" xfId="1081" xr:uid="{00000000-0005-0000-0000-000075050000}"/>
    <cellStyle name="Normal 3 5 2 5 2 2" xfId="2083" xr:uid="{00000000-0005-0000-0000-000076050000}"/>
    <cellStyle name="Normal 3 5 2 5 2 2 2" xfId="4305" xr:uid="{00000000-0005-0000-0000-000077050000}"/>
    <cellStyle name="Normal 3 5 2 5 2 2 2 2" xfId="8305" xr:uid="{00000000-0005-0000-0000-000077050000}"/>
    <cellStyle name="Normal 3 5 2 5 2 2 3" xfId="6304" xr:uid="{00000000-0005-0000-0000-000077050000}"/>
    <cellStyle name="Normal 3 5 2 5 2 3" xfId="3307" xr:uid="{00000000-0005-0000-0000-000076050000}"/>
    <cellStyle name="Normal 3 5 2 5 2 3 2" xfId="7306" xr:uid="{00000000-0005-0000-0000-000076050000}"/>
    <cellStyle name="Normal 3 5 2 5 2 4" xfId="5305" xr:uid="{00000000-0005-0000-0000-000076050000}"/>
    <cellStyle name="Normal 3 5 2 5 3" xfId="1587" xr:uid="{00000000-0005-0000-0000-000077050000}"/>
    <cellStyle name="Normal 3 5 2 5 3 2" xfId="3809" xr:uid="{00000000-0005-0000-0000-000078050000}"/>
    <cellStyle name="Normal 3 5 2 5 3 2 2" xfId="7809" xr:uid="{00000000-0005-0000-0000-000078050000}"/>
    <cellStyle name="Normal 3 5 2 5 3 3" xfId="5808" xr:uid="{00000000-0005-0000-0000-000078050000}"/>
    <cellStyle name="Normal 3 5 2 5 4" xfId="2812" xr:uid="{00000000-0005-0000-0000-000075050000}"/>
    <cellStyle name="Normal 3 5 2 5 4 2" xfId="6810" xr:uid="{00000000-0005-0000-0000-000075050000}"/>
    <cellStyle name="Normal 3 5 2 5 5" xfId="4809" xr:uid="{00000000-0005-0000-0000-000075050000}"/>
    <cellStyle name="Normal 3 5 2 6" xfId="833" xr:uid="{00000000-0005-0000-0000-000078050000}"/>
    <cellStyle name="Normal 3 5 2 6 2" xfId="1835" xr:uid="{00000000-0005-0000-0000-000079050000}"/>
    <cellStyle name="Normal 3 5 2 6 2 2" xfId="4057" xr:uid="{00000000-0005-0000-0000-00007A050000}"/>
    <cellStyle name="Normal 3 5 2 6 2 2 2" xfId="8057" xr:uid="{00000000-0005-0000-0000-00007A050000}"/>
    <cellStyle name="Normal 3 5 2 6 2 3" xfId="6056" xr:uid="{00000000-0005-0000-0000-00007A050000}"/>
    <cellStyle name="Normal 3 5 2 6 3" xfId="3059" xr:uid="{00000000-0005-0000-0000-000079050000}"/>
    <cellStyle name="Normal 3 5 2 6 3 2" xfId="7058" xr:uid="{00000000-0005-0000-0000-000079050000}"/>
    <cellStyle name="Normal 3 5 2 6 4" xfId="5057" xr:uid="{00000000-0005-0000-0000-000079050000}"/>
    <cellStyle name="Normal 3 5 2 7" xfId="1339" xr:uid="{00000000-0005-0000-0000-00007A050000}"/>
    <cellStyle name="Normal 3 5 2 7 2" xfId="3561" xr:uid="{00000000-0005-0000-0000-00007B050000}"/>
    <cellStyle name="Normal 3 5 2 7 2 2" xfId="7561" xr:uid="{00000000-0005-0000-0000-00007B050000}"/>
    <cellStyle name="Normal 3 5 2 7 3" xfId="5560" xr:uid="{00000000-0005-0000-0000-00007B050000}"/>
    <cellStyle name="Normal 3 5 2 8" xfId="2573" xr:uid="{00000000-0005-0000-0000-00005C050000}"/>
    <cellStyle name="Normal 3 5 2 8 2" xfId="6562" xr:uid="{00000000-0005-0000-0000-00005C050000}"/>
    <cellStyle name="Normal 3 5 2 9" xfId="4561" xr:uid="{00000000-0005-0000-0000-00005C050000}"/>
    <cellStyle name="Normal 3 5 3" xfId="361" xr:uid="{00000000-0005-0000-0000-00007B050000}"/>
    <cellStyle name="Normal 3 5 3 2" xfId="473" xr:uid="{00000000-0005-0000-0000-00007C050000}"/>
    <cellStyle name="Normal 3 5 3 2 2" xfId="720" xr:uid="{00000000-0005-0000-0000-00007D050000}"/>
    <cellStyle name="Normal 3 5 3 2 2 2" xfId="1217" xr:uid="{00000000-0005-0000-0000-00007E050000}"/>
    <cellStyle name="Normal 3 5 3 2 2 2 2" xfId="2219" xr:uid="{00000000-0005-0000-0000-00007F050000}"/>
    <cellStyle name="Normal 3 5 3 2 2 2 2 2" xfId="4441" xr:uid="{00000000-0005-0000-0000-000080050000}"/>
    <cellStyle name="Normal 3 5 3 2 2 2 2 2 2" xfId="8441" xr:uid="{00000000-0005-0000-0000-000080050000}"/>
    <cellStyle name="Normal 3 5 3 2 2 2 2 3" xfId="6440" xr:uid="{00000000-0005-0000-0000-000080050000}"/>
    <cellStyle name="Normal 3 5 3 2 2 2 3" xfId="3443" xr:uid="{00000000-0005-0000-0000-00007F050000}"/>
    <cellStyle name="Normal 3 5 3 2 2 2 3 2" xfId="7442" xr:uid="{00000000-0005-0000-0000-00007F050000}"/>
    <cellStyle name="Normal 3 5 3 2 2 2 4" xfId="5441" xr:uid="{00000000-0005-0000-0000-00007F050000}"/>
    <cellStyle name="Normal 3 5 3 2 2 3" xfId="1723" xr:uid="{00000000-0005-0000-0000-000080050000}"/>
    <cellStyle name="Normal 3 5 3 2 2 3 2" xfId="3945" xr:uid="{00000000-0005-0000-0000-000081050000}"/>
    <cellStyle name="Normal 3 5 3 2 2 3 2 2" xfId="7945" xr:uid="{00000000-0005-0000-0000-000081050000}"/>
    <cellStyle name="Normal 3 5 3 2 2 3 3" xfId="5944" xr:uid="{00000000-0005-0000-0000-000081050000}"/>
    <cellStyle name="Normal 3 5 3 2 2 4" xfId="2947" xr:uid="{00000000-0005-0000-0000-00007E050000}"/>
    <cellStyle name="Normal 3 5 3 2 2 4 2" xfId="6946" xr:uid="{00000000-0005-0000-0000-00007E050000}"/>
    <cellStyle name="Normal 3 5 3 2 2 5" xfId="4945" xr:uid="{00000000-0005-0000-0000-00007E050000}"/>
    <cellStyle name="Normal 3 5 3 2 3" xfId="969" xr:uid="{00000000-0005-0000-0000-000081050000}"/>
    <cellStyle name="Normal 3 5 3 2 3 2" xfId="1971" xr:uid="{00000000-0005-0000-0000-000082050000}"/>
    <cellStyle name="Normal 3 5 3 2 3 2 2" xfId="4193" xr:uid="{00000000-0005-0000-0000-000083050000}"/>
    <cellStyle name="Normal 3 5 3 2 3 2 2 2" xfId="8193" xr:uid="{00000000-0005-0000-0000-000083050000}"/>
    <cellStyle name="Normal 3 5 3 2 3 2 3" xfId="6192" xr:uid="{00000000-0005-0000-0000-000083050000}"/>
    <cellStyle name="Normal 3 5 3 2 3 3" xfId="3195" xr:uid="{00000000-0005-0000-0000-000082050000}"/>
    <cellStyle name="Normal 3 5 3 2 3 3 2" xfId="7194" xr:uid="{00000000-0005-0000-0000-000082050000}"/>
    <cellStyle name="Normal 3 5 3 2 3 4" xfId="5193" xr:uid="{00000000-0005-0000-0000-000082050000}"/>
    <cellStyle name="Normal 3 5 3 2 4" xfId="1475" xr:uid="{00000000-0005-0000-0000-000083050000}"/>
    <cellStyle name="Normal 3 5 3 2 4 2" xfId="3697" xr:uid="{00000000-0005-0000-0000-000084050000}"/>
    <cellStyle name="Normal 3 5 3 2 4 2 2" xfId="7697" xr:uid="{00000000-0005-0000-0000-000084050000}"/>
    <cellStyle name="Normal 3 5 3 2 4 3" xfId="5696" xr:uid="{00000000-0005-0000-0000-000084050000}"/>
    <cellStyle name="Normal 3 5 3 2 5" xfId="2700" xr:uid="{00000000-0005-0000-0000-00007D050000}"/>
    <cellStyle name="Normal 3 5 3 2 5 2" xfId="6698" xr:uid="{00000000-0005-0000-0000-00007D050000}"/>
    <cellStyle name="Normal 3 5 3 2 6" xfId="4697" xr:uid="{00000000-0005-0000-0000-00007D050000}"/>
    <cellStyle name="Normal 3 5 3 3" xfId="605" xr:uid="{00000000-0005-0000-0000-000084050000}"/>
    <cellStyle name="Normal 3 5 3 3 2" xfId="1103" xr:uid="{00000000-0005-0000-0000-000085050000}"/>
    <cellStyle name="Normal 3 5 3 3 2 2" xfId="2105" xr:uid="{00000000-0005-0000-0000-000086050000}"/>
    <cellStyle name="Normal 3 5 3 3 2 2 2" xfId="4327" xr:uid="{00000000-0005-0000-0000-000087050000}"/>
    <cellStyle name="Normal 3 5 3 3 2 2 2 2" xfId="8327" xr:uid="{00000000-0005-0000-0000-000087050000}"/>
    <cellStyle name="Normal 3 5 3 3 2 2 3" xfId="6326" xr:uid="{00000000-0005-0000-0000-000087050000}"/>
    <cellStyle name="Normal 3 5 3 3 2 3" xfId="3329" xr:uid="{00000000-0005-0000-0000-000086050000}"/>
    <cellStyle name="Normal 3 5 3 3 2 3 2" xfId="7328" xr:uid="{00000000-0005-0000-0000-000086050000}"/>
    <cellStyle name="Normal 3 5 3 3 2 4" xfId="5327" xr:uid="{00000000-0005-0000-0000-000086050000}"/>
    <cellStyle name="Normal 3 5 3 3 3" xfId="1609" xr:uid="{00000000-0005-0000-0000-000087050000}"/>
    <cellStyle name="Normal 3 5 3 3 3 2" xfId="3831" xr:uid="{00000000-0005-0000-0000-000088050000}"/>
    <cellStyle name="Normal 3 5 3 3 3 2 2" xfId="7831" xr:uid="{00000000-0005-0000-0000-000088050000}"/>
    <cellStyle name="Normal 3 5 3 3 3 3" xfId="5830" xr:uid="{00000000-0005-0000-0000-000088050000}"/>
    <cellStyle name="Normal 3 5 3 3 4" xfId="2834" xr:uid="{00000000-0005-0000-0000-000085050000}"/>
    <cellStyle name="Normal 3 5 3 3 4 2" xfId="6832" xr:uid="{00000000-0005-0000-0000-000085050000}"/>
    <cellStyle name="Normal 3 5 3 3 5" xfId="4831" xr:uid="{00000000-0005-0000-0000-000085050000}"/>
    <cellStyle name="Normal 3 5 3 4" xfId="855" xr:uid="{00000000-0005-0000-0000-000088050000}"/>
    <cellStyle name="Normal 3 5 3 4 2" xfId="1857" xr:uid="{00000000-0005-0000-0000-000089050000}"/>
    <cellStyle name="Normal 3 5 3 4 2 2" xfId="4079" xr:uid="{00000000-0005-0000-0000-00008A050000}"/>
    <cellStyle name="Normal 3 5 3 4 2 2 2" xfId="8079" xr:uid="{00000000-0005-0000-0000-00008A050000}"/>
    <cellStyle name="Normal 3 5 3 4 2 3" xfId="6078" xr:uid="{00000000-0005-0000-0000-00008A050000}"/>
    <cellStyle name="Normal 3 5 3 4 3" xfId="3081" xr:uid="{00000000-0005-0000-0000-000089050000}"/>
    <cellStyle name="Normal 3 5 3 4 3 2" xfId="7080" xr:uid="{00000000-0005-0000-0000-000089050000}"/>
    <cellStyle name="Normal 3 5 3 4 4" xfId="5079" xr:uid="{00000000-0005-0000-0000-000089050000}"/>
    <cellStyle name="Normal 3 5 3 5" xfId="1361" xr:uid="{00000000-0005-0000-0000-00008A050000}"/>
    <cellStyle name="Normal 3 5 3 5 2" xfId="3583" xr:uid="{00000000-0005-0000-0000-00008B050000}"/>
    <cellStyle name="Normal 3 5 3 5 2 2" xfId="7583" xr:uid="{00000000-0005-0000-0000-00008B050000}"/>
    <cellStyle name="Normal 3 5 3 5 3" xfId="5582" xr:uid="{00000000-0005-0000-0000-00008B050000}"/>
    <cellStyle name="Normal 3 5 3 6" xfId="2595" xr:uid="{00000000-0005-0000-0000-00007C050000}"/>
    <cellStyle name="Normal 3 5 3 6 2" xfId="6584" xr:uid="{00000000-0005-0000-0000-00007C050000}"/>
    <cellStyle name="Normal 3 5 3 7" xfId="4583" xr:uid="{00000000-0005-0000-0000-00007C050000}"/>
    <cellStyle name="Normal 3 5 4" xfId="382" xr:uid="{00000000-0005-0000-0000-00008B050000}"/>
    <cellStyle name="Normal 3 5 4 2" xfId="628" xr:uid="{00000000-0005-0000-0000-00008C050000}"/>
    <cellStyle name="Normal 3 5 4 2 2" xfId="1125" xr:uid="{00000000-0005-0000-0000-00008D050000}"/>
    <cellStyle name="Normal 3 5 4 2 2 2" xfId="2127" xr:uid="{00000000-0005-0000-0000-00008E050000}"/>
    <cellStyle name="Normal 3 5 4 2 2 2 2" xfId="4349" xr:uid="{00000000-0005-0000-0000-00008F050000}"/>
    <cellStyle name="Normal 3 5 4 2 2 2 2 2" xfId="8349" xr:uid="{00000000-0005-0000-0000-00008F050000}"/>
    <cellStyle name="Normal 3 5 4 2 2 2 3" xfId="6348" xr:uid="{00000000-0005-0000-0000-00008F050000}"/>
    <cellStyle name="Normal 3 5 4 2 2 3" xfId="3351" xr:uid="{00000000-0005-0000-0000-00008E050000}"/>
    <cellStyle name="Normal 3 5 4 2 2 3 2" xfId="7350" xr:uid="{00000000-0005-0000-0000-00008E050000}"/>
    <cellStyle name="Normal 3 5 4 2 2 4" xfId="5349" xr:uid="{00000000-0005-0000-0000-00008E050000}"/>
    <cellStyle name="Normal 3 5 4 2 3" xfId="1631" xr:uid="{00000000-0005-0000-0000-00008F050000}"/>
    <cellStyle name="Normal 3 5 4 2 3 2" xfId="3853" xr:uid="{00000000-0005-0000-0000-000090050000}"/>
    <cellStyle name="Normal 3 5 4 2 3 2 2" xfId="7853" xr:uid="{00000000-0005-0000-0000-000090050000}"/>
    <cellStyle name="Normal 3 5 4 2 3 3" xfId="5852" xr:uid="{00000000-0005-0000-0000-000090050000}"/>
    <cellStyle name="Normal 3 5 4 2 4" xfId="2855" xr:uid="{00000000-0005-0000-0000-00008D050000}"/>
    <cellStyle name="Normal 3 5 4 2 4 2" xfId="6854" xr:uid="{00000000-0005-0000-0000-00008D050000}"/>
    <cellStyle name="Normal 3 5 4 2 5" xfId="4853" xr:uid="{00000000-0005-0000-0000-00008D050000}"/>
    <cellStyle name="Normal 3 5 4 3" xfId="877" xr:uid="{00000000-0005-0000-0000-000090050000}"/>
    <cellStyle name="Normal 3 5 4 3 2" xfId="1879" xr:uid="{00000000-0005-0000-0000-000091050000}"/>
    <cellStyle name="Normal 3 5 4 3 2 2" xfId="4101" xr:uid="{00000000-0005-0000-0000-000092050000}"/>
    <cellStyle name="Normal 3 5 4 3 2 2 2" xfId="8101" xr:uid="{00000000-0005-0000-0000-000092050000}"/>
    <cellStyle name="Normal 3 5 4 3 2 3" xfId="6100" xr:uid="{00000000-0005-0000-0000-000092050000}"/>
    <cellStyle name="Normal 3 5 4 3 3" xfId="3103" xr:uid="{00000000-0005-0000-0000-000091050000}"/>
    <cellStyle name="Normal 3 5 4 3 3 2" xfId="7102" xr:uid="{00000000-0005-0000-0000-000091050000}"/>
    <cellStyle name="Normal 3 5 4 3 4" xfId="5101" xr:uid="{00000000-0005-0000-0000-000091050000}"/>
    <cellStyle name="Normal 3 5 4 4" xfId="1383" xr:uid="{00000000-0005-0000-0000-000092050000}"/>
    <cellStyle name="Normal 3 5 4 4 2" xfId="3605" xr:uid="{00000000-0005-0000-0000-000093050000}"/>
    <cellStyle name="Normal 3 5 4 4 2 2" xfId="7605" xr:uid="{00000000-0005-0000-0000-000093050000}"/>
    <cellStyle name="Normal 3 5 4 4 3" xfId="5604" xr:uid="{00000000-0005-0000-0000-000093050000}"/>
    <cellStyle name="Normal 3 5 4 5" xfId="2615" xr:uid="{00000000-0005-0000-0000-00008C050000}"/>
    <cellStyle name="Normal 3 5 4 5 2" xfId="6606" xr:uid="{00000000-0005-0000-0000-00008C050000}"/>
    <cellStyle name="Normal 3 5 4 6" xfId="4605" xr:uid="{00000000-0005-0000-0000-00008C050000}"/>
    <cellStyle name="Normal 3 5 5" xfId="427" xr:uid="{00000000-0005-0000-0000-000093050000}"/>
    <cellStyle name="Normal 3 5 5 2" xfId="674" xr:uid="{00000000-0005-0000-0000-000094050000}"/>
    <cellStyle name="Normal 3 5 5 2 2" xfId="1171" xr:uid="{00000000-0005-0000-0000-000095050000}"/>
    <cellStyle name="Normal 3 5 5 2 2 2" xfId="2173" xr:uid="{00000000-0005-0000-0000-000096050000}"/>
    <cellStyle name="Normal 3 5 5 2 2 2 2" xfId="4395" xr:uid="{00000000-0005-0000-0000-000097050000}"/>
    <cellStyle name="Normal 3 5 5 2 2 2 2 2" xfId="8395" xr:uid="{00000000-0005-0000-0000-000097050000}"/>
    <cellStyle name="Normal 3 5 5 2 2 2 3" xfId="6394" xr:uid="{00000000-0005-0000-0000-000097050000}"/>
    <cellStyle name="Normal 3 5 5 2 2 3" xfId="3397" xr:uid="{00000000-0005-0000-0000-000096050000}"/>
    <cellStyle name="Normal 3 5 5 2 2 3 2" xfId="7396" xr:uid="{00000000-0005-0000-0000-000096050000}"/>
    <cellStyle name="Normal 3 5 5 2 2 4" xfId="5395" xr:uid="{00000000-0005-0000-0000-000096050000}"/>
    <cellStyle name="Normal 3 5 5 2 3" xfId="1677" xr:uid="{00000000-0005-0000-0000-000097050000}"/>
    <cellStyle name="Normal 3 5 5 2 3 2" xfId="3899" xr:uid="{00000000-0005-0000-0000-000098050000}"/>
    <cellStyle name="Normal 3 5 5 2 3 2 2" xfId="7899" xr:uid="{00000000-0005-0000-0000-000098050000}"/>
    <cellStyle name="Normal 3 5 5 2 3 3" xfId="5898" xr:uid="{00000000-0005-0000-0000-000098050000}"/>
    <cellStyle name="Normal 3 5 5 2 4" xfId="2901" xr:uid="{00000000-0005-0000-0000-000095050000}"/>
    <cellStyle name="Normal 3 5 5 2 4 2" xfId="6900" xr:uid="{00000000-0005-0000-0000-000095050000}"/>
    <cellStyle name="Normal 3 5 5 2 5" xfId="4899" xr:uid="{00000000-0005-0000-0000-000095050000}"/>
    <cellStyle name="Normal 3 5 5 3" xfId="923" xr:uid="{00000000-0005-0000-0000-000098050000}"/>
    <cellStyle name="Normal 3 5 5 3 2" xfId="1925" xr:uid="{00000000-0005-0000-0000-000099050000}"/>
    <cellStyle name="Normal 3 5 5 3 2 2" xfId="4147" xr:uid="{00000000-0005-0000-0000-00009A050000}"/>
    <cellStyle name="Normal 3 5 5 3 2 2 2" xfId="8147" xr:uid="{00000000-0005-0000-0000-00009A050000}"/>
    <cellStyle name="Normal 3 5 5 3 2 3" xfId="6146" xr:uid="{00000000-0005-0000-0000-00009A050000}"/>
    <cellStyle name="Normal 3 5 5 3 3" xfId="3149" xr:uid="{00000000-0005-0000-0000-000099050000}"/>
    <cellStyle name="Normal 3 5 5 3 3 2" xfId="7148" xr:uid="{00000000-0005-0000-0000-000099050000}"/>
    <cellStyle name="Normal 3 5 5 3 4" xfId="5147" xr:uid="{00000000-0005-0000-0000-000099050000}"/>
    <cellStyle name="Normal 3 5 5 4" xfId="1429" xr:uid="{00000000-0005-0000-0000-00009A050000}"/>
    <cellStyle name="Normal 3 5 5 4 2" xfId="3651" xr:uid="{00000000-0005-0000-0000-00009B050000}"/>
    <cellStyle name="Normal 3 5 5 4 2 2" xfId="7651" xr:uid="{00000000-0005-0000-0000-00009B050000}"/>
    <cellStyle name="Normal 3 5 5 4 3" xfId="5650" xr:uid="{00000000-0005-0000-0000-00009B050000}"/>
    <cellStyle name="Normal 3 5 5 5" xfId="2655" xr:uid="{00000000-0005-0000-0000-000094050000}"/>
    <cellStyle name="Normal 3 5 5 5 2" xfId="6652" xr:uid="{00000000-0005-0000-0000-000094050000}"/>
    <cellStyle name="Normal 3 5 5 6" xfId="4651" xr:uid="{00000000-0005-0000-0000-000094050000}"/>
    <cellStyle name="Normal 3 5 6" xfId="493" xr:uid="{00000000-0005-0000-0000-00009B050000}"/>
    <cellStyle name="Normal 3 5 6 2" xfId="740" xr:uid="{00000000-0005-0000-0000-00009C050000}"/>
    <cellStyle name="Normal 3 5 6 2 2" xfId="1237" xr:uid="{00000000-0005-0000-0000-00009D050000}"/>
    <cellStyle name="Normal 3 5 6 2 2 2" xfId="2239" xr:uid="{00000000-0005-0000-0000-00009E050000}"/>
    <cellStyle name="Normal 3 5 6 2 2 2 2" xfId="4461" xr:uid="{00000000-0005-0000-0000-00009F050000}"/>
    <cellStyle name="Normal 3 5 6 2 2 2 2 2" xfId="8461" xr:uid="{00000000-0005-0000-0000-00009F050000}"/>
    <cellStyle name="Normal 3 5 6 2 2 2 3" xfId="6460" xr:uid="{00000000-0005-0000-0000-00009F050000}"/>
    <cellStyle name="Normal 3 5 6 2 2 3" xfId="3463" xr:uid="{00000000-0005-0000-0000-00009E050000}"/>
    <cellStyle name="Normal 3 5 6 2 2 3 2" xfId="7462" xr:uid="{00000000-0005-0000-0000-00009E050000}"/>
    <cellStyle name="Normal 3 5 6 2 2 4" xfId="5461" xr:uid="{00000000-0005-0000-0000-00009E050000}"/>
    <cellStyle name="Normal 3 5 6 2 3" xfId="1743" xr:uid="{00000000-0005-0000-0000-00009F050000}"/>
    <cellStyle name="Normal 3 5 6 2 3 2" xfId="3965" xr:uid="{00000000-0005-0000-0000-0000A0050000}"/>
    <cellStyle name="Normal 3 5 6 2 3 2 2" xfId="7965" xr:uid="{00000000-0005-0000-0000-0000A0050000}"/>
    <cellStyle name="Normal 3 5 6 2 3 3" xfId="5964" xr:uid="{00000000-0005-0000-0000-0000A0050000}"/>
    <cellStyle name="Normal 3 5 6 2 4" xfId="2967" xr:uid="{00000000-0005-0000-0000-00009D050000}"/>
    <cellStyle name="Normal 3 5 6 2 4 2" xfId="6966" xr:uid="{00000000-0005-0000-0000-00009D050000}"/>
    <cellStyle name="Normal 3 5 6 2 5" xfId="4965" xr:uid="{00000000-0005-0000-0000-00009D050000}"/>
    <cellStyle name="Normal 3 5 6 3" xfId="989" xr:uid="{00000000-0005-0000-0000-0000A0050000}"/>
    <cellStyle name="Normal 3 5 6 3 2" xfId="1991" xr:uid="{00000000-0005-0000-0000-0000A1050000}"/>
    <cellStyle name="Normal 3 5 6 3 2 2" xfId="4213" xr:uid="{00000000-0005-0000-0000-0000A2050000}"/>
    <cellStyle name="Normal 3 5 6 3 2 2 2" xfId="8213" xr:uid="{00000000-0005-0000-0000-0000A2050000}"/>
    <cellStyle name="Normal 3 5 6 3 2 3" xfId="6212" xr:uid="{00000000-0005-0000-0000-0000A2050000}"/>
    <cellStyle name="Normal 3 5 6 3 3" xfId="3215" xr:uid="{00000000-0005-0000-0000-0000A1050000}"/>
    <cellStyle name="Normal 3 5 6 3 3 2" xfId="7214" xr:uid="{00000000-0005-0000-0000-0000A1050000}"/>
    <cellStyle name="Normal 3 5 6 3 4" xfId="5213" xr:uid="{00000000-0005-0000-0000-0000A1050000}"/>
    <cellStyle name="Normal 3 5 6 4" xfId="1495" xr:uid="{00000000-0005-0000-0000-0000A2050000}"/>
    <cellStyle name="Normal 3 5 6 4 2" xfId="3717" xr:uid="{00000000-0005-0000-0000-0000A3050000}"/>
    <cellStyle name="Normal 3 5 6 4 2 2" xfId="7717" xr:uid="{00000000-0005-0000-0000-0000A3050000}"/>
    <cellStyle name="Normal 3 5 6 4 3" xfId="5716" xr:uid="{00000000-0005-0000-0000-0000A3050000}"/>
    <cellStyle name="Normal 3 5 6 5" xfId="2720" xr:uid="{00000000-0005-0000-0000-00009C050000}"/>
    <cellStyle name="Normal 3 5 6 5 2" xfId="6718" xr:uid="{00000000-0005-0000-0000-00009C050000}"/>
    <cellStyle name="Normal 3 5 6 6" xfId="4717" xr:uid="{00000000-0005-0000-0000-00009C050000}"/>
    <cellStyle name="Normal 3 5 7" xfId="513" xr:uid="{00000000-0005-0000-0000-0000A3050000}"/>
    <cellStyle name="Normal 3 5 7 2" xfId="760" xr:uid="{00000000-0005-0000-0000-0000A4050000}"/>
    <cellStyle name="Normal 3 5 7 2 2" xfId="1258" xr:uid="{00000000-0005-0000-0000-0000A5050000}"/>
    <cellStyle name="Normal 3 5 7 2 2 2" xfId="2260" xr:uid="{00000000-0005-0000-0000-0000A6050000}"/>
    <cellStyle name="Normal 3 5 7 2 2 2 2" xfId="4482" xr:uid="{00000000-0005-0000-0000-0000A7050000}"/>
    <cellStyle name="Normal 3 5 7 2 2 2 2 2" xfId="8482" xr:uid="{00000000-0005-0000-0000-0000A7050000}"/>
    <cellStyle name="Normal 3 5 7 2 2 2 3" xfId="6481" xr:uid="{00000000-0005-0000-0000-0000A7050000}"/>
    <cellStyle name="Normal 3 5 7 2 2 3" xfId="3484" xr:uid="{00000000-0005-0000-0000-0000A6050000}"/>
    <cellStyle name="Normal 3 5 7 2 2 3 2" xfId="7483" xr:uid="{00000000-0005-0000-0000-0000A6050000}"/>
    <cellStyle name="Normal 3 5 7 2 2 4" xfId="5482" xr:uid="{00000000-0005-0000-0000-0000A6050000}"/>
    <cellStyle name="Normal 3 5 7 2 3" xfId="1764" xr:uid="{00000000-0005-0000-0000-0000A7050000}"/>
    <cellStyle name="Normal 3 5 7 2 3 2" xfId="3986" xr:uid="{00000000-0005-0000-0000-0000A8050000}"/>
    <cellStyle name="Normal 3 5 7 2 3 2 2" xfId="7986" xr:uid="{00000000-0005-0000-0000-0000A8050000}"/>
    <cellStyle name="Normal 3 5 7 2 3 3" xfId="5985" xr:uid="{00000000-0005-0000-0000-0000A8050000}"/>
    <cellStyle name="Normal 3 5 7 2 4" xfId="2988" xr:uid="{00000000-0005-0000-0000-0000A5050000}"/>
    <cellStyle name="Normal 3 5 7 2 4 2" xfId="6987" xr:uid="{00000000-0005-0000-0000-0000A5050000}"/>
    <cellStyle name="Normal 3 5 7 2 5" xfId="4986" xr:uid="{00000000-0005-0000-0000-0000A5050000}"/>
    <cellStyle name="Normal 3 5 7 3" xfId="1010" xr:uid="{00000000-0005-0000-0000-0000A8050000}"/>
    <cellStyle name="Normal 3 5 7 3 2" xfId="2012" xr:uid="{00000000-0005-0000-0000-0000A9050000}"/>
    <cellStyle name="Normal 3 5 7 3 2 2" xfId="4234" xr:uid="{00000000-0005-0000-0000-0000AA050000}"/>
    <cellStyle name="Normal 3 5 7 3 2 2 2" xfId="8234" xr:uid="{00000000-0005-0000-0000-0000AA050000}"/>
    <cellStyle name="Normal 3 5 7 3 2 3" xfId="6233" xr:uid="{00000000-0005-0000-0000-0000AA050000}"/>
    <cellStyle name="Normal 3 5 7 3 3" xfId="3236" xr:uid="{00000000-0005-0000-0000-0000A9050000}"/>
    <cellStyle name="Normal 3 5 7 3 3 2" xfId="7235" xr:uid="{00000000-0005-0000-0000-0000A9050000}"/>
    <cellStyle name="Normal 3 5 7 3 4" xfId="5234" xr:uid="{00000000-0005-0000-0000-0000A9050000}"/>
    <cellStyle name="Normal 3 5 7 4" xfId="1516" xr:uid="{00000000-0005-0000-0000-0000AA050000}"/>
    <cellStyle name="Normal 3 5 7 4 2" xfId="3738" xr:uid="{00000000-0005-0000-0000-0000AB050000}"/>
    <cellStyle name="Normal 3 5 7 4 2 2" xfId="7738" xr:uid="{00000000-0005-0000-0000-0000AB050000}"/>
    <cellStyle name="Normal 3 5 7 4 3" xfId="5737" xr:uid="{00000000-0005-0000-0000-0000AB050000}"/>
    <cellStyle name="Normal 3 5 7 5" xfId="2741" xr:uid="{00000000-0005-0000-0000-0000A4050000}"/>
    <cellStyle name="Normal 3 5 7 5 2" xfId="6739" xr:uid="{00000000-0005-0000-0000-0000A4050000}"/>
    <cellStyle name="Normal 3 5 7 6" xfId="4738" xr:uid="{00000000-0005-0000-0000-0000A4050000}"/>
    <cellStyle name="Normal 3 5 8" xfId="559" xr:uid="{00000000-0005-0000-0000-0000AB050000}"/>
    <cellStyle name="Normal 3 5 8 2" xfId="1057" xr:uid="{00000000-0005-0000-0000-0000AC050000}"/>
    <cellStyle name="Normal 3 5 8 2 2" xfId="2059" xr:uid="{00000000-0005-0000-0000-0000AD050000}"/>
    <cellStyle name="Normal 3 5 8 2 2 2" xfId="4281" xr:uid="{00000000-0005-0000-0000-0000AE050000}"/>
    <cellStyle name="Normal 3 5 8 2 2 2 2" xfId="8281" xr:uid="{00000000-0005-0000-0000-0000AE050000}"/>
    <cellStyle name="Normal 3 5 8 2 2 3" xfId="6280" xr:uid="{00000000-0005-0000-0000-0000AE050000}"/>
    <cellStyle name="Normal 3 5 8 2 3" xfId="3283" xr:uid="{00000000-0005-0000-0000-0000AD050000}"/>
    <cellStyle name="Normal 3 5 8 2 3 2" xfId="7282" xr:uid="{00000000-0005-0000-0000-0000AD050000}"/>
    <cellStyle name="Normal 3 5 8 2 4" xfId="5281" xr:uid="{00000000-0005-0000-0000-0000AD050000}"/>
    <cellStyle name="Normal 3 5 8 3" xfId="1563" xr:uid="{00000000-0005-0000-0000-0000AE050000}"/>
    <cellStyle name="Normal 3 5 8 3 2" xfId="3785" xr:uid="{00000000-0005-0000-0000-0000AF050000}"/>
    <cellStyle name="Normal 3 5 8 3 2 2" xfId="7785" xr:uid="{00000000-0005-0000-0000-0000AF050000}"/>
    <cellStyle name="Normal 3 5 8 3 3" xfId="5784" xr:uid="{00000000-0005-0000-0000-0000AF050000}"/>
    <cellStyle name="Normal 3 5 8 4" xfId="2788" xr:uid="{00000000-0005-0000-0000-0000AC050000}"/>
    <cellStyle name="Normal 3 5 8 4 2" xfId="6786" xr:uid="{00000000-0005-0000-0000-0000AC050000}"/>
    <cellStyle name="Normal 3 5 8 5" xfId="4785" xr:uid="{00000000-0005-0000-0000-0000AC050000}"/>
    <cellStyle name="Normal 3 5 9" xfId="809" xr:uid="{00000000-0005-0000-0000-0000AF050000}"/>
    <cellStyle name="Normal 3 5 9 2" xfId="1811" xr:uid="{00000000-0005-0000-0000-0000B0050000}"/>
    <cellStyle name="Normal 3 5 9 2 2" xfId="4033" xr:uid="{00000000-0005-0000-0000-0000B1050000}"/>
    <cellStyle name="Normal 3 5 9 2 2 2" xfId="8033" xr:uid="{00000000-0005-0000-0000-0000B1050000}"/>
    <cellStyle name="Normal 3 5 9 2 3" xfId="6032" xr:uid="{00000000-0005-0000-0000-0000B1050000}"/>
    <cellStyle name="Normal 3 5 9 3" xfId="3035" xr:uid="{00000000-0005-0000-0000-0000B0050000}"/>
    <cellStyle name="Normal 3 5 9 3 2" xfId="7034" xr:uid="{00000000-0005-0000-0000-0000B0050000}"/>
    <cellStyle name="Normal 3 5 9 4" xfId="5033" xr:uid="{00000000-0005-0000-0000-0000B0050000}"/>
    <cellStyle name="Normal 3 6" xfId="334" xr:uid="{00000000-0005-0000-0000-0000B1050000}"/>
    <cellStyle name="Normal 3 6 2" xfId="395" xr:uid="{00000000-0005-0000-0000-0000B2050000}"/>
    <cellStyle name="Normal 3 6 2 2" xfId="642" xr:uid="{00000000-0005-0000-0000-0000B3050000}"/>
    <cellStyle name="Normal 3 6 2 2 2" xfId="1139" xr:uid="{00000000-0005-0000-0000-0000B4050000}"/>
    <cellStyle name="Normal 3 6 2 2 2 2" xfId="2141" xr:uid="{00000000-0005-0000-0000-0000B5050000}"/>
    <cellStyle name="Normal 3 6 2 2 2 2 2" xfId="4363" xr:uid="{00000000-0005-0000-0000-0000B6050000}"/>
    <cellStyle name="Normal 3 6 2 2 2 2 2 2" xfId="8363" xr:uid="{00000000-0005-0000-0000-0000B6050000}"/>
    <cellStyle name="Normal 3 6 2 2 2 2 3" xfId="6362" xr:uid="{00000000-0005-0000-0000-0000B6050000}"/>
    <cellStyle name="Normal 3 6 2 2 2 3" xfId="3365" xr:uid="{00000000-0005-0000-0000-0000B5050000}"/>
    <cellStyle name="Normal 3 6 2 2 2 3 2" xfId="7364" xr:uid="{00000000-0005-0000-0000-0000B5050000}"/>
    <cellStyle name="Normal 3 6 2 2 2 4" xfId="5363" xr:uid="{00000000-0005-0000-0000-0000B5050000}"/>
    <cellStyle name="Normal 3 6 2 2 3" xfId="1645" xr:uid="{00000000-0005-0000-0000-0000B6050000}"/>
    <cellStyle name="Normal 3 6 2 2 3 2" xfId="3867" xr:uid="{00000000-0005-0000-0000-0000B7050000}"/>
    <cellStyle name="Normal 3 6 2 2 3 2 2" xfId="7867" xr:uid="{00000000-0005-0000-0000-0000B7050000}"/>
    <cellStyle name="Normal 3 6 2 2 3 3" xfId="5866" xr:uid="{00000000-0005-0000-0000-0000B7050000}"/>
    <cellStyle name="Normal 3 6 2 2 4" xfId="2869" xr:uid="{00000000-0005-0000-0000-0000B4050000}"/>
    <cellStyle name="Normal 3 6 2 2 4 2" xfId="6868" xr:uid="{00000000-0005-0000-0000-0000B4050000}"/>
    <cellStyle name="Normal 3 6 2 2 5" xfId="4867" xr:uid="{00000000-0005-0000-0000-0000B4050000}"/>
    <cellStyle name="Normal 3 6 2 3" xfId="891" xr:uid="{00000000-0005-0000-0000-0000B7050000}"/>
    <cellStyle name="Normal 3 6 2 3 2" xfId="1893" xr:uid="{00000000-0005-0000-0000-0000B8050000}"/>
    <cellStyle name="Normal 3 6 2 3 2 2" xfId="4115" xr:uid="{00000000-0005-0000-0000-0000B9050000}"/>
    <cellStyle name="Normal 3 6 2 3 2 2 2" xfId="8115" xr:uid="{00000000-0005-0000-0000-0000B9050000}"/>
    <cellStyle name="Normal 3 6 2 3 2 3" xfId="6114" xr:uid="{00000000-0005-0000-0000-0000B9050000}"/>
    <cellStyle name="Normal 3 6 2 3 3" xfId="3117" xr:uid="{00000000-0005-0000-0000-0000B8050000}"/>
    <cellStyle name="Normal 3 6 2 3 3 2" xfId="7116" xr:uid="{00000000-0005-0000-0000-0000B8050000}"/>
    <cellStyle name="Normal 3 6 2 3 4" xfId="5115" xr:uid="{00000000-0005-0000-0000-0000B8050000}"/>
    <cellStyle name="Normal 3 6 2 4" xfId="1397" xr:uid="{00000000-0005-0000-0000-0000B9050000}"/>
    <cellStyle name="Normal 3 6 2 4 2" xfId="3619" xr:uid="{00000000-0005-0000-0000-0000BA050000}"/>
    <cellStyle name="Normal 3 6 2 4 2 2" xfId="7619" xr:uid="{00000000-0005-0000-0000-0000BA050000}"/>
    <cellStyle name="Normal 3 6 2 4 3" xfId="5618" xr:uid="{00000000-0005-0000-0000-0000BA050000}"/>
    <cellStyle name="Normal 3 6 2 5" xfId="2628" xr:uid="{00000000-0005-0000-0000-0000B3050000}"/>
    <cellStyle name="Normal 3 6 2 5 2" xfId="6620" xr:uid="{00000000-0005-0000-0000-0000B3050000}"/>
    <cellStyle name="Normal 3 6 2 6" xfId="4619" xr:uid="{00000000-0005-0000-0000-0000B3050000}"/>
    <cellStyle name="Normal 3 6 3" xfId="441" xr:uid="{00000000-0005-0000-0000-0000BA050000}"/>
    <cellStyle name="Normal 3 6 3 2" xfId="688" xr:uid="{00000000-0005-0000-0000-0000BB050000}"/>
    <cellStyle name="Normal 3 6 3 2 2" xfId="1185" xr:uid="{00000000-0005-0000-0000-0000BC050000}"/>
    <cellStyle name="Normal 3 6 3 2 2 2" xfId="2187" xr:uid="{00000000-0005-0000-0000-0000BD050000}"/>
    <cellStyle name="Normal 3 6 3 2 2 2 2" xfId="4409" xr:uid="{00000000-0005-0000-0000-0000BE050000}"/>
    <cellStyle name="Normal 3 6 3 2 2 2 2 2" xfId="8409" xr:uid="{00000000-0005-0000-0000-0000BE050000}"/>
    <cellStyle name="Normal 3 6 3 2 2 2 3" xfId="6408" xr:uid="{00000000-0005-0000-0000-0000BE050000}"/>
    <cellStyle name="Normal 3 6 3 2 2 3" xfId="3411" xr:uid="{00000000-0005-0000-0000-0000BD050000}"/>
    <cellStyle name="Normal 3 6 3 2 2 3 2" xfId="7410" xr:uid="{00000000-0005-0000-0000-0000BD050000}"/>
    <cellStyle name="Normal 3 6 3 2 2 4" xfId="5409" xr:uid="{00000000-0005-0000-0000-0000BD050000}"/>
    <cellStyle name="Normal 3 6 3 2 3" xfId="1691" xr:uid="{00000000-0005-0000-0000-0000BE050000}"/>
    <cellStyle name="Normal 3 6 3 2 3 2" xfId="3913" xr:uid="{00000000-0005-0000-0000-0000BF050000}"/>
    <cellStyle name="Normal 3 6 3 2 3 2 2" xfId="7913" xr:uid="{00000000-0005-0000-0000-0000BF050000}"/>
    <cellStyle name="Normal 3 6 3 2 3 3" xfId="5912" xr:uid="{00000000-0005-0000-0000-0000BF050000}"/>
    <cellStyle name="Normal 3 6 3 2 4" xfId="2915" xr:uid="{00000000-0005-0000-0000-0000BC050000}"/>
    <cellStyle name="Normal 3 6 3 2 4 2" xfId="6914" xr:uid="{00000000-0005-0000-0000-0000BC050000}"/>
    <cellStyle name="Normal 3 6 3 2 5" xfId="4913" xr:uid="{00000000-0005-0000-0000-0000BC050000}"/>
    <cellStyle name="Normal 3 6 3 3" xfId="937" xr:uid="{00000000-0005-0000-0000-0000BF050000}"/>
    <cellStyle name="Normal 3 6 3 3 2" xfId="1939" xr:uid="{00000000-0005-0000-0000-0000C0050000}"/>
    <cellStyle name="Normal 3 6 3 3 2 2" xfId="4161" xr:uid="{00000000-0005-0000-0000-0000C1050000}"/>
    <cellStyle name="Normal 3 6 3 3 2 2 2" xfId="8161" xr:uid="{00000000-0005-0000-0000-0000C1050000}"/>
    <cellStyle name="Normal 3 6 3 3 2 3" xfId="6160" xr:uid="{00000000-0005-0000-0000-0000C1050000}"/>
    <cellStyle name="Normal 3 6 3 3 3" xfId="3163" xr:uid="{00000000-0005-0000-0000-0000C0050000}"/>
    <cellStyle name="Normal 3 6 3 3 3 2" xfId="7162" xr:uid="{00000000-0005-0000-0000-0000C0050000}"/>
    <cellStyle name="Normal 3 6 3 3 4" xfId="5161" xr:uid="{00000000-0005-0000-0000-0000C0050000}"/>
    <cellStyle name="Normal 3 6 3 4" xfId="1443" xr:uid="{00000000-0005-0000-0000-0000C1050000}"/>
    <cellStyle name="Normal 3 6 3 4 2" xfId="3665" xr:uid="{00000000-0005-0000-0000-0000C2050000}"/>
    <cellStyle name="Normal 3 6 3 4 2 2" xfId="7665" xr:uid="{00000000-0005-0000-0000-0000C2050000}"/>
    <cellStyle name="Normal 3 6 3 4 3" xfId="5664" xr:uid="{00000000-0005-0000-0000-0000C2050000}"/>
    <cellStyle name="Normal 3 6 3 5" xfId="2668" xr:uid="{00000000-0005-0000-0000-0000BB050000}"/>
    <cellStyle name="Normal 3 6 3 5 2" xfId="6666" xr:uid="{00000000-0005-0000-0000-0000BB050000}"/>
    <cellStyle name="Normal 3 6 3 6" xfId="4665" xr:uid="{00000000-0005-0000-0000-0000BB050000}"/>
    <cellStyle name="Normal 3 6 4" xfId="527" xr:uid="{00000000-0005-0000-0000-0000C2050000}"/>
    <cellStyle name="Normal 3 6 4 2" xfId="774" xr:uid="{00000000-0005-0000-0000-0000C3050000}"/>
    <cellStyle name="Normal 3 6 4 2 2" xfId="1272" xr:uid="{00000000-0005-0000-0000-0000C4050000}"/>
    <cellStyle name="Normal 3 6 4 2 2 2" xfId="2274" xr:uid="{00000000-0005-0000-0000-0000C5050000}"/>
    <cellStyle name="Normal 3 6 4 2 2 2 2" xfId="4496" xr:uid="{00000000-0005-0000-0000-0000C6050000}"/>
    <cellStyle name="Normal 3 6 4 2 2 2 2 2" xfId="8496" xr:uid="{00000000-0005-0000-0000-0000C6050000}"/>
    <cellStyle name="Normal 3 6 4 2 2 2 3" xfId="6495" xr:uid="{00000000-0005-0000-0000-0000C6050000}"/>
    <cellStyle name="Normal 3 6 4 2 2 3" xfId="3498" xr:uid="{00000000-0005-0000-0000-0000C5050000}"/>
    <cellStyle name="Normal 3 6 4 2 2 3 2" xfId="7497" xr:uid="{00000000-0005-0000-0000-0000C5050000}"/>
    <cellStyle name="Normal 3 6 4 2 2 4" xfId="5496" xr:uid="{00000000-0005-0000-0000-0000C5050000}"/>
    <cellStyle name="Normal 3 6 4 2 3" xfId="1778" xr:uid="{00000000-0005-0000-0000-0000C6050000}"/>
    <cellStyle name="Normal 3 6 4 2 3 2" xfId="4000" xr:uid="{00000000-0005-0000-0000-0000C7050000}"/>
    <cellStyle name="Normal 3 6 4 2 3 2 2" xfId="8000" xr:uid="{00000000-0005-0000-0000-0000C7050000}"/>
    <cellStyle name="Normal 3 6 4 2 3 3" xfId="5999" xr:uid="{00000000-0005-0000-0000-0000C7050000}"/>
    <cellStyle name="Normal 3 6 4 2 4" xfId="3002" xr:uid="{00000000-0005-0000-0000-0000C4050000}"/>
    <cellStyle name="Normal 3 6 4 2 4 2" xfId="7001" xr:uid="{00000000-0005-0000-0000-0000C4050000}"/>
    <cellStyle name="Normal 3 6 4 2 5" xfId="5000" xr:uid="{00000000-0005-0000-0000-0000C4050000}"/>
    <cellStyle name="Normal 3 6 4 3" xfId="1024" xr:uid="{00000000-0005-0000-0000-0000C7050000}"/>
    <cellStyle name="Normal 3 6 4 3 2" xfId="2026" xr:uid="{00000000-0005-0000-0000-0000C8050000}"/>
    <cellStyle name="Normal 3 6 4 3 2 2" xfId="4248" xr:uid="{00000000-0005-0000-0000-0000C9050000}"/>
    <cellStyle name="Normal 3 6 4 3 2 2 2" xfId="8248" xr:uid="{00000000-0005-0000-0000-0000C9050000}"/>
    <cellStyle name="Normal 3 6 4 3 2 3" xfId="6247" xr:uid="{00000000-0005-0000-0000-0000C9050000}"/>
    <cellStyle name="Normal 3 6 4 3 3" xfId="3250" xr:uid="{00000000-0005-0000-0000-0000C8050000}"/>
    <cellStyle name="Normal 3 6 4 3 3 2" xfId="7249" xr:uid="{00000000-0005-0000-0000-0000C8050000}"/>
    <cellStyle name="Normal 3 6 4 3 4" xfId="5248" xr:uid="{00000000-0005-0000-0000-0000C8050000}"/>
    <cellStyle name="Normal 3 6 4 4" xfId="1530" xr:uid="{00000000-0005-0000-0000-0000C9050000}"/>
    <cellStyle name="Normal 3 6 4 4 2" xfId="3752" xr:uid="{00000000-0005-0000-0000-0000CA050000}"/>
    <cellStyle name="Normal 3 6 4 4 2 2" xfId="7752" xr:uid="{00000000-0005-0000-0000-0000CA050000}"/>
    <cellStyle name="Normal 3 6 4 4 3" xfId="5751" xr:uid="{00000000-0005-0000-0000-0000CA050000}"/>
    <cellStyle name="Normal 3 6 4 5" xfId="2755" xr:uid="{00000000-0005-0000-0000-0000C3050000}"/>
    <cellStyle name="Normal 3 6 4 5 2" xfId="6753" xr:uid="{00000000-0005-0000-0000-0000C3050000}"/>
    <cellStyle name="Normal 3 6 4 6" xfId="4752" xr:uid="{00000000-0005-0000-0000-0000C3050000}"/>
    <cellStyle name="Normal 3 6 5" xfId="573" xr:uid="{00000000-0005-0000-0000-0000CA050000}"/>
    <cellStyle name="Normal 3 6 5 2" xfId="1071" xr:uid="{00000000-0005-0000-0000-0000CB050000}"/>
    <cellStyle name="Normal 3 6 5 2 2" xfId="2073" xr:uid="{00000000-0005-0000-0000-0000CC050000}"/>
    <cellStyle name="Normal 3 6 5 2 2 2" xfId="4295" xr:uid="{00000000-0005-0000-0000-0000CD050000}"/>
    <cellStyle name="Normal 3 6 5 2 2 2 2" xfId="8295" xr:uid="{00000000-0005-0000-0000-0000CD050000}"/>
    <cellStyle name="Normal 3 6 5 2 2 3" xfId="6294" xr:uid="{00000000-0005-0000-0000-0000CD050000}"/>
    <cellStyle name="Normal 3 6 5 2 3" xfId="3297" xr:uid="{00000000-0005-0000-0000-0000CC050000}"/>
    <cellStyle name="Normal 3 6 5 2 3 2" xfId="7296" xr:uid="{00000000-0005-0000-0000-0000CC050000}"/>
    <cellStyle name="Normal 3 6 5 2 4" xfId="5295" xr:uid="{00000000-0005-0000-0000-0000CC050000}"/>
    <cellStyle name="Normal 3 6 5 3" xfId="1577" xr:uid="{00000000-0005-0000-0000-0000CD050000}"/>
    <cellStyle name="Normal 3 6 5 3 2" xfId="3799" xr:uid="{00000000-0005-0000-0000-0000CE050000}"/>
    <cellStyle name="Normal 3 6 5 3 2 2" xfId="7799" xr:uid="{00000000-0005-0000-0000-0000CE050000}"/>
    <cellStyle name="Normal 3 6 5 3 3" xfId="5798" xr:uid="{00000000-0005-0000-0000-0000CE050000}"/>
    <cellStyle name="Normal 3 6 5 4" xfId="2802" xr:uid="{00000000-0005-0000-0000-0000CB050000}"/>
    <cellStyle name="Normal 3 6 5 4 2" xfId="6800" xr:uid="{00000000-0005-0000-0000-0000CB050000}"/>
    <cellStyle name="Normal 3 6 5 5" xfId="4799" xr:uid="{00000000-0005-0000-0000-0000CB050000}"/>
    <cellStyle name="Normal 3 6 6" xfId="823" xr:uid="{00000000-0005-0000-0000-0000CE050000}"/>
    <cellStyle name="Normal 3 6 6 2" xfId="1825" xr:uid="{00000000-0005-0000-0000-0000CF050000}"/>
    <cellStyle name="Normal 3 6 6 2 2" xfId="4047" xr:uid="{00000000-0005-0000-0000-0000D0050000}"/>
    <cellStyle name="Normal 3 6 6 2 2 2" xfId="8047" xr:uid="{00000000-0005-0000-0000-0000D0050000}"/>
    <cellStyle name="Normal 3 6 6 2 3" xfId="6046" xr:uid="{00000000-0005-0000-0000-0000D0050000}"/>
    <cellStyle name="Normal 3 6 6 3" xfId="3049" xr:uid="{00000000-0005-0000-0000-0000CF050000}"/>
    <cellStyle name="Normal 3 6 6 3 2" xfId="7048" xr:uid="{00000000-0005-0000-0000-0000CF050000}"/>
    <cellStyle name="Normal 3 6 6 4" xfId="5047" xr:uid="{00000000-0005-0000-0000-0000CF050000}"/>
    <cellStyle name="Normal 3 6 7" xfId="1329" xr:uid="{00000000-0005-0000-0000-0000D0050000}"/>
    <cellStyle name="Normal 3 6 7 2" xfId="3551" xr:uid="{00000000-0005-0000-0000-0000D1050000}"/>
    <cellStyle name="Normal 3 6 7 2 2" xfId="7551" xr:uid="{00000000-0005-0000-0000-0000D1050000}"/>
    <cellStyle name="Normal 3 6 7 3" xfId="5550" xr:uid="{00000000-0005-0000-0000-0000D1050000}"/>
    <cellStyle name="Normal 3 6 8" xfId="2564" xr:uid="{00000000-0005-0000-0000-0000B2050000}"/>
    <cellStyle name="Normal 3 6 8 2" xfId="6552" xr:uid="{00000000-0005-0000-0000-0000B2050000}"/>
    <cellStyle name="Normal 3 6 9" xfId="4551" xr:uid="{00000000-0005-0000-0000-0000B2050000}"/>
    <cellStyle name="Normal 3 7" xfId="352" xr:uid="{00000000-0005-0000-0000-0000D1050000}"/>
    <cellStyle name="Normal 3 7 2" xfId="463" xr:uid="{00000000-0005-0000-0000-0000D2050000}"/>
    <cellStyle name="Normal 3 7 2 2" xfId="710" xr:uid="{00000000-0005-0000-0000-0000D3050000}"/>
    <cellStyle name="Normal 3 7 2 2 2" xfId="1207" xr:uid="{00000000-0005-0000-0000-0000D4050000}"/>
    <cellStyle name="Normal 3 7 2 2 2 2" xfId="2209" xr:uid="{00000000-0005-0000-0000-0000D5050000}"/>
    <cellStyle name="Normal 3 7 2 2 2 2 2" xfId="4431" xr:uid="{00000000-0005-0000-0000-0000D6050000}"/>
    <cellStyle name="Normal 3 7 2 2 2 2 2 2" xfId="8431" xr:uid="{00000000-0005-0000-0000-0000D6050000}"/>
    <cellStyle name="Normal 3 7 2 2 2 2 3" xfId="6430" xr:uid="{00000000-0005-0000-0000-0000D6050000}"/>
    <cellStyle name="Normal 3 7 2 2 2 3" xfId="3433" xr:uid="{00000000-0005-0000-0000-0000D5050000}"/>
    <cellStyle name="Normal 3 7 2 2 2 3 2" xfId="7432" xr:uid="{00000000-0005-0000-0000-0000D5050000}"/>
    <cellStyle name="Normal 3 7 2 2 2 4" xfId="5431" xr:uid="{00000000-0005-0000-0000-0000D5050000}"/>
    <cellStyle name="Normal 3 7 2 2 3" xfId="1713" xr:uid="{00000000-0005-0000-0000-0000D6050000}"/>
    <cellStyle name="Normal 3 7 2 2 3 2" xfId="3935" xr:uid="{00000000-0005-0000-0000-0000D7050000}"/>
    <cellStyle name="Normal 3 7 2 2 3 2 2" xfId="7935" xr:uid="{00000000-0005-0000-0000-0000D7050000}"/>
    <cellStyle name="Normal 3 7 2 2 3 3" xfId="5934" xr:uid="{00000000-0005-0000-0000-0000D7050000}"/>
    <cellStyle name="Normal 3 7 2 2 4" xfId="2937" xr:uid="{00000000-0005-0000-0000-0000D4050000}"/>
    <cellStyle name="Normal 3 7 2 2 4 2" xfId="6936" xr:uid="{00000000-0005-0000-0000-0000D4050000}"/>
    <cellStyle name="Normal 3 7 2 2 5" xfId="4935" xr:uid="{00000000-0005-0000-0000-0000D4050000}"/>
    <cellStyle name="Normal 3 7 2 3" xfId="959" xr:uid="{00000000-0005-0000-0000-0000D7050000}"/>
    <cellStyle name="Normal 3 7 2 3 2" xfId="1961" xr:uid="{00000000-0005-0000-0000-0000D8050000}"/>
    <cellStyle name="Normal 3 7 2 3 2 2" xfId="4183" xr:uid="{00000000-0005-0000-0000-0000D9050000}"/>
    <cellStyle name="Normal 3 7 2 3 2 2 2" xfId="8183" xr:uid="{00000000-0005-0000-0000-0000D9050000}"/>
    <cellStyle name="Normal 3 7 2 3 2 3" xfId="6182" xr:uid="{00000000-0005-0000-0000-0000D9050000}"/>
    <cellStyle name="Normal 3 7 2 3 3" xfId="3185" xr:uid="{00000000-0005-0000-0000-0000D8050000}"/>
    <cellStyle name="Normal 3 7 2 3 3 2" xfId="7184" xr:uid="{00000000-0005-0000-0000-0000D8050000}"/>
    <cellStyle name="Normal 3 7 2 3 4" xfId="5183" xr:uid="{00000000-0005-0000-0000-0000D8050000}"/>
    <cellStyle name="Normal 3 7 2 4" xfId="1465" xr:uid="{00000000-0005-0000-0000-0000D9050000}"/>
    <cellStyle name="Normal 3 7 2 4 2" xfId="3687" xr:uid="{00000000-0005-0000-0000-0000DA050000}"/>
    <cellStyle name="Normal 3 7 2 4 2 2" xfId="7687" xr:uid="{00000000-0005-0000-0000-0000DA050000}"/>
    <cellStyle name="Normal 3 7 2 4 3" xfId="5686" xr:uid="{00000000-0005-0000-0000-0000DA050000}"/>
    <cellStyle name="Normal 3 7 2 5" xfId="2690" xr:uid="{00000000-0005-0000-0000-0000D3050000}"/>
    <cellStyle name="Normal 3 7 2 5 2" xfId="6688" xr:uid="{00000000-0005-0000-0000-0000D3050000}"/>
    <cellStyle name="Normal 3 7 2 6" xfId="4687" xr:uid="{00000000-0005-0000-0000-0000D3050000}"/>
    <cellStyle name="Normal 3 7 3" xfId="595" xr:uid="{00000000-0005-0000-0000-0000DA050000}"/>
    <cellStyle name="Normal 3 7 3 2" xfId="1093" xr:uid="{00000000-0005-0000-0000-0000DB050000}"/>
    <cellStyle name="Normal 3 7 3 2 2" xfId="2095" xr:uid="{00000000-0005-0000-0000-0000DC050000}"/>
    <cellStyle name="Normal 3 7 3 2 2 2" xfId="4317" xr:uid="{00000000-0005-0000-0000-0000DD050000}"/>
    <cellStyle name="Normal 3 7 3 2 2 2 2" xfId="8317" xr:uid="{00000000-0005-0000-0000-0000DD050000}"/>
    <cellStyle name="Normal 3 7 3 2 2 3" xfId="6316" xr:uid="{00000000-0005-0000-0000-0000DD050000}"/>
    <cellStyle name="Normal 3 7 3 2 3" xfId="3319" xr:uid="{00000000-0005-0000-0000-0000DC050000}"/>
    <cellStyle name="Normal 3 7 3 2 3 2" xfId="7318" xr:uid="{00000000-0005-0000-0000-0000DC050000}"/>
    <cellStyle name="Normal 3 7 3 2 4" xfId="5317" xr:uid="{00000000-0005-0000-0000-0000DC050000}"/>
    <cellStyle name="Normal 3 7 3 3" xfId="1599" xr:uid="{00000000-0005-0000-0000-0000DD050000}"/>
    <cellStyle name="Normal 3 7 3 3 2" xfId="3821" xr:uid="{00000000-0005-0000-0000-0000DE050000}"/>
    <cellStyle name="Normal 3 7 3 3 2 2" xfId="7821" xr:uid="{00000000-0005-0000-0000-0000DE050000}"/>
    <cellStyle name="Normal 3 7 3 3 3" xfId="5820" xr:uid="{00000000-0005-0000-0000-0000DE050000}"/>
    <cellStyle name="Normal 3 7 3 4" xfId="2824" xr:uid="{00000000-0005-0000-0000-0000DB050000}"/>
    <cellStyle name="Normal 3 7 3 4 2" xfId="6822" xr:uid="{00000000-0005-0000-0000-0000DB050000}"/>
    <cellStyle name="Normal 3 7 3 5" xfId="4821" xr:uid="{00000000-0005-0000-0000-0000DB050000}"/>
    <cellStyle name="Normal 3 7 4" xfId="845" xr:uid="{00000000-0005-0000-0000-0000DE050000}"/>
    <cellStyle name="Normal 3 7 4 2" xfId="1847" xr:uid="{00000000-0005-0000-0000-0000DF050000}"/>
    <cellStyle name="Normal 3 7 4 2 2" xfId="4069" xr:uid="{00000000-0005-0000-0000-0000E0050000}"/>
    <cellStyle name="Normal 3 7 4 2 2 2" xfId="8069" xr:uid="{00000000-0005-0000-0000-0000E0050000}"/>
    <cellStyle name="Normal 3 7 4 2 3" xfId="6068" xr:uid="{00000000-0005-0000-0000-0000E0050000}"/>
    <cellStyle name="Normal 3 7 4 3" xfId="3071" xr:uid="{00000000-0005-0000-0000-0000DF050000}"/>
    <cellStyle name="Normal 3 7 4 3 2" xfId="7070" xr:uid="{00000000-0005-0000-0000-0000DF050000}"/>
    <cellStyle name="Normal 3 7 4 4" xfId="5069" xr:uid="{00000000-0005-0000-0000-0000DF050000}"/>
    <cellStyle name="Normal 3 7 5" xfId="1351" xr:uid="{00000000-0005-0000-0000-0000E0050000}"/>
    <cellStyle name="Normal 3 7 5 2" xfId="3573" xr:uid="{00000000-0005-0000-0000-0000E1050000}"/>
    <cellStyle name="Normal 3 7 5 2 2" xfId="7573" xr:uid="{00000000-0005-0000-0000-0000E1050000}"/>
    <cellStyle name="Normal 3 7 5 3" xfId="5572" xr:uid="{00000000-0005-0000-0000-0000E1050000}"/>
    <cellStyle name="Normal 3 7 6" xfId="2585" xr:uid="{00000000-0005-0000-0000-0000D2050000}"/>
    <cellStyle name="Normal 3 7 6 2" xfId="6574" xr:uid="{00000000-0005-0000-0000-0000D2050000}"/>
    <cellStyle name="Normal 3 7 7" xfId="4573" xr:uid="{00000000-0005-0000-0000-0000D2050000}"/>
    <cellStyle name="Normal 3 8" xfId="372" xr:uid="{00000000-0005-0000-0000-0000E1050000}"/>
    <cellStyle name="Normal 3 8 2" xfId="618" xr:uid="{00000000-0005-0000-0000-0000E2050000}"/>
    <cellStyle name="Normal 3 8 2 2" xfId="1115" xr:uid="{00000000-0005-0000-0000-0000E3050000}"/>
    <cellStyle name="Normal 3 8 2 2 2" xfId="2117" xr:uid="{00000000-0005-0000-0000-0000E4050000}"/>
    <cellStyle name="Normal 3 8 2 2 2 2" xfId="4339" xr:uid="{00000000-0005-0000-0000-0000E5050000}"/>
    <cellStyle name="Normal 3 8 2 2 2 2 2" xfId="8339" xr:uid="{00000000-0005-0000-0000-0000E5050000}"/>
    <cellStyle name="Normal 3 8 2 2 2 3" xfId="6338" xr:uid="{00000000-0005-0000-0000-0000E5050000}"/>
    <cellStyle name="Normal 3 8 2 2 3" xfId="3341" xr:uid="{00000000-0005-0000-0000-0000E4050000}"/>
    <cellStyle name="Normal 3 8 2 2 3 2" xfId="7340" xr:uid="{00000000-0005-0000-0000-0000E4050000}"/>
    <cellStyle name="Normal 3 8 2 2 4" xfId="5339" xr:uid="{00000000-0005-0000-0000-0000E4050000}"/>
    <cellStyle name="Normal 3 8 2 3" xfId="1621" xr:uid="{00000000-0005-0000-0000-0000E5050000}"/>
    <cellStyle name="Normal 3 8 2 3 2" xfId="3843" xr:uid="{00000000-0005-0000-0000-0000E6050000}"/>
    <cellStyle name="Normal 3 8 2 3 2 2" xfId="7843" xr:uid="{00000000-0005-0000-0000-0000E6050000}"/>
    <cellStyle name="Normal 3 8 2 3 3" xfId="5842" xr:uid="{00000000-0005-0000-0000-0000E6050000}"/>
    <cellStyle name="Normal 3 8 2 4" xfId="2845" xr:uid="{00000000-0005-0000-0000-0000E3050000}"/>
    <cellStyle name="Normal 3 8 2 4 2" xfId="6844" xr:uid="{00000000-0005-0000-0000-0000E3050000}"/>
    <cellStyle name="Normal 3 8 2 5" xfId="4843" xr:uid="{00000000-0005-0000-0000-0000E3050000}"/>
    <cellStyle name="Normal 3 8 3" xfId="867" xr:uid="{00000000-0005-0000-0000-0000E6050000}"/>
    <cellStyle name="Normal 3 8 3 2" xfId="1869" xr:uid="{00000000-0005-0000-0000-0000E7050000}"/>
    <cellStyle name="Normal 3 8 3 2 2" xfId="4091" xr:uid="{00000000-0005-0000-0000-0000E8050000}"/>
    <cellStyle name="Normal 3 8 3 2 2 2" xfId="8091" xr:uid="{00000000-0005-0000-0000-0000E8050000}"/>
    <cellStyle name="Normal 3 8 3 2 3" xfId="6090" xr:uid="{00000000-0005-0000-0000-0000E8050000}"/>
    <cellStyle name="Normal 3 8 3 3" xfId="3093" xr:uid="{00000000-0005-0000-0000-0000E7050000}"/>
    <cellStyle name="Normal 3 8 3 3 2" xfId="7092" xr:uid="{00000000-0005-0000-0000-0000E7050000}"/>
    <cellStyle name="Normal 3 8 3 4" xfId="5091" xr:uid="{00000000-0005-0000-0000-0000E7050000}"/>
    <cellStyle name="Normal 3 8 4" xfId="1373" xr:uid="{00000000-0005-0000-0000-0000E8050000}"/>
    <cellStyle name="Normal 3 8 4 2" xfId="3595" xr:uid="{00000000-0005-0000-0000-0000E9050000}"/>
    <cellStyle name="Normal 3 8 4 2 2" xfId="7595" xr:uid="{00000000-0005-0000-0000-0000E9050000}"/>
    <cellStyle name="Normal 3 8 4 3" xfId="5594" xr:uid="{00000000-0005-0000-0000-0000E9050000}"/>
    <cellStyle name="Normal 3 8 5" xfId="2606" xr:uid="{00000000-0005-0000-0000-0000E2050000}"/>
    <cellStyle name="Normal 3 8 5 2" xfId="6596" xr:uid="{00000000-0005-0000-0000-0000E2050000}"/>
    <cellStyle name="Normal 3 8 6" xfId="4595" xr:uid="{00000000-0005-0000-0000-0000E2050000}"/>
    <cellStyle name="Normal 3 9" xfId="417" xr:uid="{00000000-0005-0000-0000-0000E9050000}"/>
    <cellStyle name="Normal 3 9 2" xfId="664" xr:uid="{00000000-0005-0000-0000-0000EA050000}"/>
    <cellStyle name="Normal 3 9 2 2" xfId="1161" xr:uid="{00000000-0005-0000-0000-0000EB050000}"/>
    <cellStyle name="Normal 3 9 2 2 2" xfId="2163" xr:uid="{00000000-0005-0000-0000-0000EC050000}"/>
    <cellStyle name="Normal 3 9 2 2 2 2" xfId="4385" xr:uid="{00000000-0005-0000-0000-0000ED050000}"/>
    <cellStyle name="Normal 3 9 2 2 2 2 2" xfId="8385" xr:uid="{00000000-0005-0000-0000-0000ED050000}"/>
    <cellStyle name="Normal 3 9 2 2 2 3" xfId="6384" xr:uid="{00000000-0005-0000-0000-0000ED050000}"/>
    <cellStyle name="Normal 3 9 2 2 3" xfId="3387" xr:uid="{00000000-0005-0000-0000-0000EC050000}"/>
    <cellStyle name="Normal 3 9 2 2 3 2" xfId="7386" xr:uid="{00000000-0005-0000-0000-0000EC050000}"/>
    <cellStyle name="Normal 3 9 2 2 4" xfId="5385" xr:uid="{00000000-0005-0000-0000-0000EC050000}"/>
    <cellStyle name="Normal 3 9 2 3" xfId="1667" xr:uid="{00000000-0005-0000-0000-0000ED050000}"/>
    <cellStyle name="Normal 3 9 2 3 2" xfId="3889" xr:uid="{00000000-0005-0000-0000-0000EE050000}"/>
    <cellStyle name="Normal 3 9 2 3 2 2" xfId="7889" xr:uid="{00000000-0005-0000-0000-0000EE050000}"/>
    <cellStyle name="Normal 3 9 2 3 3" xfId="5888" xr:uid="{00000000-0005-0000-0000-0000EE050000}"/>
    <cellStyle name="Normal 3 9 2 4" xfId="2891" xr:uid="{00000000-0005-0000-0000-0000EB050000}"/>
    <cellStyle name="Normal 3 9 2 4 2" xfId="6890" xr:uid="{00000000-0005-0000-0000-0000EB050000}"/>
    <cellStyle name="Normal 3 9 2 5" xfId="4889" xr:uid="{00000000-0005-0000-0000-0000EB050000}"/>
    <cellStyle name="Normal 3 9 3" xfId="913" xr:uid="{00000000-0005-0000-0000-0000EE050000}"/>
    <cellStyle name="Normal 3 9 3 2" xfId="1915" xr:uid="{00000000-0005-0000-0000-0000EF050000}"/>
    <cellStyle name="Normal 3 9 3 2 2" xfId="4137" xr:uid="{00000000-0005-0000-0000-0000F0050000}"/>
    <cellStyle name="Normal 3 9 3 2 2 2" xfId="8137" xr:uid="{00000000-0005-0000-0000-0000F0050000}"/>
    <cellStyle name="Normal 3 9 3 2 3" xfId="6136" xr:uid="{00000000-0005-0000-0000-0000F0050000}"/>
    <cellStyle name="Normal 3 9 3 3" xfId="3139" xr:uid="{00000000-0005-0000-0000-0000EF050000}"/>
    <cellStyle name="Normal 3 9 3 3 2" xfId="7138" xr:uid="{00000000-0005-0000-0000-0000EF050000}"/>
    <cellStyle name="Normal 3 9 3 4" xfId="5137" xr:uid="{00000000-0005-0000-0000-0000EF050000}"/>
    <cellStyle name="Normal 3 9 4" xfId="1419" xr:uid="{00000000-0005-0000-0000-0000F0050000}"/>
    <cellStyle name="Normal 3 9 4 2" xfId="3641" xr:uid="{00000000-0005-0000-0000-0000F1050000}"/>
    <cellStyle name="Normal 3 9 4 2 2" xfId="7641" xr:uid="{00000000-0005-0000-0000-0000F1050000}"/>
    <cellStyle name="Normal 3 9 4 3" xfId="5640" xr:uid="{00000000-0005-0000-0000-0000F1050000}"/>
    <cellStyle name="Normal 3 9 5" xfId="2645" xr:uid="{00000000-0005-0000-0000-0000EA050000}"/>
    <cellStyle name="Normal 3 9 5 2" xfId="6642" xr:uid="{00000000-0005-0000-0000-0000EA050000}"/>
    <cellStyle name="Normal 3 9 6" xfId="4641" xr:uid="{00000000-0005-0000-0000-0000EA050000}"/>
    <cellStyle name="Normal 30" xfId="227" xr:uid="{00000000-0005-0000-0000-000063010000}"/>
    <cellStyle name="Normal 31" xfId="2305" xr:uid="{00000000-0005-0000-0000-00002E090000}"/>
    <cellStyle name="Normal 32" xfId="2308" xr:uid="{00000000-0005-0000-0000-000030090000}"/>
    <cellStyle name="Normal 33" xfId="2320" xr:uid="{00000000-0005-0000-0000-000056090000}"/>
    <cellStyle name="Normal 34" xfId="2352" xr:uid="{00000000-0005-0000-0000-00005D090000}"/>
    <cellStyle name="Normal 35" xfId="2363" xr:uid="{00000000-0005-0000-0000-000066090000}"/>
    <cellStyle name="Normal 36" xfId="2406" xr:uid="{00000000-0005-0000-0000-00008C090000}"/>
    <cellStyle name="Normal 37" xfId="2404" xr:uid="{00000000-0005-0000-0000-00008E090000}"/>
    <cellStyle name="Normal 38" xfId="2398" xr:uid="{00000000-0005-0000-0000-000090090000}"/>
    <cellStyle name="Normal 39" xfId="2434" xr:uid="{00000000-0005-0000-0000-0000AC090000}"/>
    <cellStyle name="Normal 4" xfId="28" xr:uid="{00000000-0005-0000-0000-000036000000}"/>
    <cellStyle name="Normal 4 10" xfId="322" xr:uid="{00000000-0005-0000-0000-0000F2050000}"/>
    <cellStyle name="Normal 4 10 2" xfId="1313" xr:uid="{00000000-0005-0000-0000-0000F3050000}"/>
    <cellStyle name="Normal 4 10 2 2" xfId="3535" xr:uid="{00000000-0005-0000-0000-0000F4050000}"/>
    <cellStyle name="Normal 4 10 2 2 2" xfId="7535" xr:uid="{00000000-0005-0000-0000-0000F4050000}"/>
    <cellStyle name="Normal 4 10 2 3" xfId="5534" xr:uid="{00000000-0005-0000-0000-0000F4050000}"/>
    <cellStyle name="Normal 4 10 3" xfId="2549" xr:uid="{00000000-0005-0000-0000-0000F3050000}"/>
    <cellStyle name="Normal 4 10 3 2" xfId="6536" xr:uid="{00000000-0005-0000-0000-0000F3050000}"/>
    <cellStyle name="Normal 4 10 4" xfId="4535" xr:uid="{00000000-0005-0000-0000-0000F3050000}"/>
    <cellStyle name="Normal 4 11" xfId="807" xr:uid="{00000000-0005-0000-0000-0000F4050000}"/>
    <cellStyle name="Normal 4 11 2" xfId="1809" xr:uid="{00000000-0005-0000-0000-0000F5050000}"/>
    <cellStyle name="Normal 4 11 2 2" xfId="4031" xr:uid="{00000000-0005-0000-0000-0000F6050000}"/>
    <cellStyle name="Normal 4 11 2 2 2" xfId="8031" xr:uid="{00000000-0005-0000-0000-0000F6050000}"/>
    <cellStyle name="Normal 4 11 2 3" xfId="6030" xr:uid="{00000000-0005-0000-0000-0000F6050000}"/>
    <cellStyle name="Normal 4 11 3" xfId="3033" xr:uid="{00000000-0005-0000-0000-0000F5050000}"/>
    <cellStyle name="Normal 4 11 3 2" xfId="7032" xr:uid="{00000000-0005-0000-0000-0000F5050000}"/>
    <cellStyle name="Normal 4 11 4" xfId="5031" xr:uid="{00000000-0005-0000-0000-0000F5050000}"/>
    <cellStyle name="Normal 4 12" xfId="1301" xr:uid="{00000000-0005-0000-0000-0000F6050000}"/>
    <cellStyle name="Normal 4 12 2" xfId="3523" xr:uid="{00000000-0005-0000-0000-0000F7050000}"/>
    <cellStyle name="Normal 4 12 2 2" xfId="7523" xr:uid="{00000000-0005-0000-0000-0000F7050000}"/>
    <cellStyle name="Normal 4 12 3" xfId="5522" xr:uid="{00000000-0005-0000-0000-0000F7050000}"/>
    <cellStyle name="Normal 4 13" xfId="2539" xr:uid="{00000000-0005-0000-0000-0000F2050000}"/>
    <cellStyle name="Normal 4 13 2" xfId="6523" xr:uid="{00000000-0005-0000-0000-0000F2050000}"/>
    <cellStyle name="Normal 4 14" xfId="4523" xr:uid="{00000000-0005-0000-0000-0000F2050000}"/>
    <cellStyle name="Normal 4 2" xfId="29" xr:uid="{00000000-0005-0000-0000-000037000000}"/>
    <cellStyle name="Normal 4 2 10" xfId="1323" xr:uid="{00000000-0005-0000-0000-0000F8050000}"/>
    <cellStyle name="Normal 4 2 10 2" xfId="3545" xr:uid="{00000000-0005-0000-0000-0000F9050000}"/>
    <cellStyle name="Normal 4 2 10 2 2" xfId="7545" xr:uid="{00000000-0005-0000-0000-0000F9050000}"/>
    <cellStyle name="Normal 4 2 10 3" xfId="5544" xr:uid="{00000000-0005-0000-0000-0000F9050000}"/>
    <cellStyle name="Normal 4 2 11" xfId="2328" xr:uid="{00000000-0005-0000-0000-000020000000}"/>
    <cellStyle name="Normal 4 2 11 2" xfId="6546" xr:uid="{00000000-0005-0000-0000-0000F8050000}"/>
    <cellStyle name="Normal 4 2 11 3" xfId="2558" xr:uid="{00000000-0005-0000-0000-0000F8050000}"/>
    <cellStyle name="Normal 4 2 12" xfId="4545" xr:uid="{00000000-0005-0000-0000-0000F8050000}"/>
    <cellStyle name="Normal 4 2 2" xfId="258" xr:uid="{00000000-0005-0000-0000-000065000000}"/>
    <cellStyle name="Normal 4 2 2 2" xfId="413" xr:uid="{00000000-0005-0000-0000-0000FA050000}"/>
    <cellStyle name="Normal 4 2 2 2 2" xfId="660" xr:uid="{00000000-0005-0000-0000-0000FB050000}"/>
    <cellStyle name="Normal 4 2 2 2 2 2" xfId="1157" xr:uid="{00000000-0005-0000-0000-0000FC050000}"/>
    <cellStyle name="Normal 4 2 2 2 2 2 2" xfId="2159" xr:uid="{00000000-0005-0000-0000-0000FD050000}"/>
    <cellStyle name="Normal 4 2 2 2 2 2 2 2" xfId="4381" xr:uid="{00000000-0005-0000-0000-0000FE050000}"/>
    <cellStyle name="Normal 4 2 2 2 2 2 2 2 2" xfId="8381" xr:uid="{00000000-0005-0000-0000-0000FE050000}"/>
    <cellStyle name="Normal 4 2 2 2 2 2 2 3" xfId="6380" xr:uid="{00000000-0005-0000-0000-0000FE050000}"/>
    <cellStyle name="Normal 4 2 2 2 2 2 3" xfId="3383" xr:uid="{00000000-0005-0000-0000-0000FD050000}"/>
    <cellStyle name="Normal 4 2 2 2 2 2 3 2" xfId="7382" xr:uid="{00000000-0005-0000-0000-0000FD050000}"/>
    <cellStyle name="Normal 4 2 2 2 2 2 4" xfId="5381" xr:uid="{00000000-0005-0000-0000-0000FD050000}"/>
    <cellStyle name="Normal 4 2 2 2 2 3" xfId="1663" xr:uid="{00000000-0005-0000-0000-0000FE050000}"/>
    <cellStyle name="Normal 4 2 2 2 2 3 2" xfId="3885" xr:uid="{00000000-0005-0000-0000-0000FF050000}"/>
    <cellStyle name="Normal 4 2 2 2 2 3 2 2" xfId="7885" xr:uid="{00000000-0005-0000-0000-0000FF050000}"/>
    <cellStyle name="Normal 4 2 2 2 2 3 3" xfId="5884" xr:uid="{00000000-0005-0000-0000-0000FF050000}"/>
    <cellStyle name="Normal 4 2 2 2 2 4" xfId="2887" xr:uid="{00000000-0005-0000-0000-0000FC050000}"/>
    <cellStyle name="Normal 4 2 2 2 2 4 2" xfId="6886" xr:uid="{00000000-0005-0000-0000-0000FC050000}"/>
    <cellStyle name="Normal 4 2 2 2 2 5" xfId="4885" xr:uid="{00000000-0005-0000-0000-0000FC050000}"/>
    <cellStyle name="Normal 4 2 2 2 3" xfId="909" xr:uid="{00000000-0005-0000-0000-0000FF050000}"/>
    <cellStyle name="Normal 4 2 2 2 3 2" xfId="1911" xr:uid="{00000000-0005-0000-0000-000000060000}"/>
    <cellStyle name="Normal 4 2 2 2 3 2 2" xfId="4133" xr:uid="{00000000-0005-0000-0000-000001060000}"/>
    <cellStyle name="Normal 4 2 2 2 3 2 2 2" xfId="8133" xr:uid="{00000000-0005-0000-0000-000001060000}"/>
    <cellStyle name="Normal 4 2 2 2 3 2 3" xfId="6132" xr:uid="{00000000-0005-0000-0000-000001060000}"/>
    <cellStyle name="Normal 4 2 2 2 3 3" xfId="3135" xr:uid="{00000000-0005-0000-0000-000000060000}"/>
    <cellStyle name="Normal 4 2 2 2 3 3 2" xfId="7134" xr:uid="{00000000-0005-0000-0000-000000060000}"/>
    <cellStyle name="Normal 4 2 2 2 3 4" xfId="5133" xr:uid="{00000000-0005-0000-0000-000000060000}"/>
    <cellStyle name="Normal 4 2 2 2 4" xfId="1415" xr:uid="{00000000-0005-0000-0000-000001060000}"/>
    <cellStyle name="Normal 4 2 2 2 4 2" xfId="3637" xr:uid="{00000000-0005-0000-0000-000002060000}"/>
    <cellStyle name="Normal 4 2 2 2 4 2 2" xfId="7637" xr:uid="{00000000-0005-0000-0000-000002060000}"/>
    <cellStyle name="Normal 4 2 2 2 4 3" xfId="5636" xr:uid="{00000000-0005-0000-0000-000002060000}"/>
    <cellStyle name="Normal 4 2 2 2 5" xfId="2644" xr:uid="{00000000-0005-0000-0000-0000FB050000}"/>
    <cellStyle name="Normal 4 2 2 2 5 2" xfId="6638" xr:uid="{00000000-0005-0000-0000-0000FB050000}"/>
    <cellStyle name="Normal 4 2 2 2 6" xfId="4637" xr:uid="{00000000-0005-0000-0000-0000FB050000}"/>
    <cellStyle name="Normal 4 2 2 3" xfId="459" xr:uid="{00000000-0005-0000-0000-000002060000}"/>
    <cellStyle name="Normal 4 2 2 3 2" xfId="706" xr:uid="{00000000-0005-0000-0000-000003060000}"/>
    <cellStyle name="Normal 4 2 2 3 2 2" xfId="1203" xr:uid="{00000000-0005-0000-0000-000004060000}"/>
    <cellStyle name="Normal 4 2 2 3 2 2 2" xfId="2205" xr:uid="{00000000-0005-0000-0000-000005060000}"/>
    <cellStyle name="Normal 4 2 2 3 2 2 2 2" xfId="4427" xr:uid="{00000000-0005-0000-0000-000006060000}"/>
    <cellStyle name="Normal 4 2 2 3 2 2 2 2 2" xfId="8427" xr:uid="{00000000-0005-0000-0000-000006060000}"/>
    <cellStyle name="Normal 4 2 2 3 2 2 2 3" xfId="6426" xr:uid="{00000000-0005-0000-0000-000006060000}"/>
    <cellStyle name="Normal 4 2 2 3 2 2 3" xfId="3429" xr:uid="{00000000-0005-0000-0000-000005060000}"/>
    <cellStyle name="Normal 4 2 2 3 2 2 3 2" xfId="7428" xr:uid="{00000000-0005-0000-0000-000005060000}"/>
    <cellStyle name="Normal 4 2 2 3 2 2 4" xfId="5427" xr:uid="{00000000-0005-0000-0000-000005060000}"/>
    <cellStyle name="Normal 4 2 2 3 2 3" xfId="1709" xr:uid="{00000000-0005-0000-0000-000006060000}"/>
    <cellStyle name="Normal 4 2 2 3 2 3 2" xfId="3931" xr:uid="{00000000-0005-0000-0000-000007060000}"/>
    <cellStyle name="Normal 4 2 2 3 2 3 2 2" xfId="7931" xr:uid="{00000000-0005-0000-0000-000007060000}"/>
    <cellStyle name="Normal 4 2 2 3 2 3 3" xfId="5930" xr:uid="{00000000-0005-0000-0000-000007060000}"/>
    <cellStyle name="Normal 4 2 2 3 2 4" xfId="2933" xr:uid="{00000000-0005-0000-0000-000004060000}"/>
    <cellStyle name="Normal 4 2 2 3 2 4 2" xfId="6932" xr:uid="{00000000-0005-0000-0000-000004060000}"/>
    <cellStyle name="Normal 4 2 2 3 2 5" xfId="4931" xr:uid="{00000000-0005-0000-0000-000004060000}"/>
    <cellStyle name="Normal 4 2 2 3 3" xfId="955" xr:uid="{00000000-0005-0000-0000-000007060000}"/>
    <cellStyle name="Normal 4 2 2 3 3 2" xfId="1957" xr:uid="{00000000-0005-0000-0000-000008060000}"/>
    <cellStyle name="Normal 4 2 2 3 3 2 2" xfId="4179" xr:uid="{00000000-0005-0000-0000-000009060000}"/>
    <cellStyle name="Normal 4 2 2 3 3 2 2 2" xfId="8179" xr:uid="{00000000-0005-0000-0000-000009060000}"/>
    <cellStyle name="Normal 4 2 2 3 3 2 3" xfId="6178" xr:uid="{00000000-0005-0000-0000-000009060000}"/>
    <cellStyle name="Normal 4 2 2 3 3 3" xfId="3181" xr:uid="{00000000-0005-0000-0000-000008060000}"/>
    <cellStyle name="Normal 4 2 2 3 3 3 2" xfId="7180" xr:uid="{00000000-0005-0000-0000-000008060000}"/>
    <cellStyle name="Normal 4 2 2 3 3 4" xfId="5179" xr:uid="{00000000-0005-0000-0000-000008060000}"/>
    <cellStyle name="Normal 4 2 2 3 4" xfId="1461" xr:uid="{00000000-0005-0000-0000-000009060000}"/>
    <cellStyle name="Normal 4 2 2 3 4 2" xfId="3683" xr:uid="{00000000-0005-0000-0000-00000A060000}"/>
    <cellStyle name="Normal 4 2 2 3 4 2 2" xfId="7683" xr:uid="{00000000-0005-0000-0000-00000A060000}"/>
    <cellStyle name="Normal 4 2 2 3 4 3" xfId="5682" xr:uid="{00000000-0005-0000-0000-00000A060000}"/>
    <cellStyle name="Normal 4 2 2 3 5" xfId="2686" xr:uid="{00000000-0005-0000-0000-000003060000}"/>
    <cellStyle name="Normal 4 2 2 3 5 2" xfId="6684" xr:uid="{00000000-0005-0000-0000-000003060000}"/>
    <cellStyle name="Normal 4 2 2 3 6" xfId="4683" xr:uid="{00000000-0005-0000-0000-000003060000}"/>
    <cellStyle name="Normal 4 2 2 4" xfId="545" xr:uid="{00000000-0005-0000-0000-00000A060000}"/>
    <cellStyle name="Normal 4 2 2 4 2" xfId="792" xr:uid="{00000000-0005-0000-0000-00000B060000}"/>
    <cellStyle name="Normal 4 2 2 4 2 2" xfId="1290" xr:uid="{00000000-0005-0000-0000-00000C060000}"/>
    <cellStyle name="Normal 4 2 2 4 2 2 2" xfId="2292" xr:uid="{00000000-0005-0000-0000-00000D060000}"/>
    <cellStyle name="Normal 4 2 2 4 2 2 2 2" xfId="4514" xr:uid="{00000000-0005-0000-0000-00000E060000}"/>
    <cellStyle name="Normal 4 2 2 4 2 2 2 2 2" xfId="8514" xr:uid="{00000000-0005-0000-0000-00000E060000}"/>
    <cellStyle name="Normal 4 2 2 4 2 2 2 3" xfId="6513" xr:uid="{00000000-0005-0000-0000-00000E060000}"/>
    <cellStyle name="Normal 4 2 2 4 2 2 3" xfId="3516" xr:uid="{00000000-0005-0000-0000-00000D060000}"/>
    <cellStyle name="Normal 4 2 2 4 2 2 3 2" xfId="7515" xr:uid="{00000000-0005-0000-0000-00000D060000}"/>
    <cellStyle name="Normal 4 2 2 4 2 2 4" xfId="5514" xr:uid="{00000000-0005-0000-0000-00000D060000}"/>
    <cellStyle name="Normal 4 2 2 4 2 3" xfId="1796" xr:uid="{00000000-0005-0000-0000-00000E060000}"/>
    <cellStyle name="Normal 4 2 2 4 2 3 2" xfId="4018" xr:uid="{00000000-0005-0000-0000-00000F060000}"/>
    <cellStyle name="Normal 4 2 2 4 2 3 2 2" xfId="8018" xr:uid="{00000000-0005-0000-0000-00000F060000}"/>
    <cellStyle name="Normal 4 2 2 4 2 3 3" xfId="6017" xr:uid="{00000000-0005-0000-0000-00000F060000}"/>
    <cellStyle name="Normal 4 2 2 4 2 4" xfId="3020" xr:uid="{00000000-0005-0000-0000-00000C060000}"/>
    <cellStyle name="Normal 4 2 2 4 2 4 2" xfId="7019" xr:uid="{00000000-0005-0000-0000-00000C060000}"/>
    <cellStyle name="Normal 4 2 2 4 2 5" xfId="5018" xr:uid="{00000000-0005-0000-0000-00000C060000}"/>
    <cellStyle name="Normal 4 2 2 4 3" xfId="1042" xr:uid="{00000000-0005-0000-0000-00000F060000}"/>
    <cellStyle name="Normal 4 2 2 4 3 2" xfId="2044" xr:uid="{00000000-0005-0000-0000-000010060000}"/>
    <cellStyle name="Normal 4 2 2 4 3 2 2" xfId="4266" xr:uid="{00000000-0005-0000-0000-000011060000}"/>
    <cellStyle name="Normal 4 2 2 4 3 2 2 2" xfId="8266" xr:uid="{00000000-0005-0000-0000-000011060000}"/>
    <cellStyle name="Normal 4 2 2 4 3 2 3" xfId="6265" xr:uid="{00000000-0005-0000-0000-000011060000}"/>
    <cellStyle name="Normal 4 2 2 4 3 3" xfId="3268" xr:uid="{00000000-0005-0000-0000-000010060000}"/>
    <cellStyle name="Normal 4 2 2 4 3 3 2" xfId="7267" xr:uid="{00000000-0005-0000-0000-000010060000}"/>
    <cellStyle name="Normal 4 2 2 4 3 4" xfId="5266" xr:uid="{00000000-0005-0000-0000-000010060000}"/>
    <cellStyle name="Normal 4 2 2 4 4" xfId="1548" xr:uid="{00000000-0005-0000-0000-000011060000}"/>
    <cellStyle name="Normal 4 2 2 4 4 2" xfId="3770" xr:uid="{00000000-0005-0000-0000-000012060000}"/>
    <cellStyle name="Normal 4 2 2 4 4 2 2" xfId="7770" xr:uid="{00000000-0005-0000-0000-000012060000}"/>
    <cellStyle name="Normal 4 2 2 4 4 3" xfId="5769" xr:uid="{00000000-0005-0000-0000-000012060000}"/>
    <cellStyle name="Normal 4 2 2 4 5" xfId="2773" xr:uid="{00000000-0005-0000-0000-00000B060000}"/>
    <cellStyle name="Normal 4 2 2 4 5 2" xfId="6771" xr:uid="{00000000-0005-0000-0000-00000B060000}"/>
    <cellStyle name="Normal 4 2 2 4 6" xfId="4770" xr:uid="{00000000-0005-0000-0000-00000B060000}"/>
    <cellStyle name="Normal 4 2 2 5" xfId="591" xr:uid="{00000000-0005-0000-0000-000012060000}"/>
    <cellStyle name="Normal 4 2 2 5 2" xfId="1089" xr:uid="{00000000-0005-0000-0000-000013060000}"/>
    <cellStyle name="Normal 4 2 2 5 2 2" xfId="2091" xr:uid="{00000000-0005-0000-0000-000014060000}"/>
    <cellStyle name="Normal 4 2 2 5 2 2 2" xfId="4313" xr:uid="{00000000-0005-0000-0000-000015060000}"/>
    <cellStyle name="Normal 4 2 2 5 2 2 2 2" xfId="8313" xr:uid="{00000000-0005-0000-0000-000015060000}"/>
    <cellStyle name="Normal 4 2 2 5 2 2 3" xfId="6312" xr:uid="{00000000-0005-0000-0000-000015060000}"/>
    <cellStyle name="Normal 4 2 2 5 2 3" xfId="3315" xr:uid="{00000000-0005-0000-0000-000014060000}"/>
    <cellStyle name="Normal 4 2 2 5 2 3 2" xfId="7314" xr:uid="{00000000-0005-0000-0000-000014060000}"/>
    <cellStyle name="Normal 4 2 2 5 2 4" xfId="5313" xr:uid="{00000000-0005-0000-0000-000014060000}"/>
    <cellStyle name="Normal 4 2 2 5 3" xfId="1595" xr:uid="{00000000-0005-0000-0000-000015060000}"/>
    <cellStyle name="Normal 4 2 2 5 3 2" xfId="3817" xr:uid="{00000000-0005-0000-0000-000016060000}"/>
    <cellStyle name="Normal 4 2 2 5 3 2 2" xfId="7817" xr:uid="{00000000-0005-0000-0000-000016060000}"/>
    <cellStyle name="Normal 4 2 2 5 3 3" xfId="5816" xr:uid="{00000000-0005-0000-0000-000016060000}"/>
    <cellStyle name="Normal 4 2 2 5 4" xfId="2820" xr:uid="{00000000-0005-0000-0000-000013060000}"/>
    <cellStyle name="Normal 4 2 2 5 4 2" xfId="6818" xr:uid="{00000000-0005-0000-0000-000013060000}"/>
    <cellStyle name="Normal 4 2 2 5 5" xfId="4817" xr:uid="{00000000-0005-0000-0000-000013060000}"/>
    <cellStyle name="Normal 4 2 2 6" xfId="841" xr:uid="{00000000-0005-0000-0000-000016060000}"/>
    <cellStyle name="Normal 4 2 2 6 2" xfId="1843" xr:uid="{00000000-0005-0000-0000-000017060000}"/>
    <cellStyle name="Normal 4 2 2 6 2 2" xfId="4065" xr:uid="{00000000-0005-0000-0000-000018060000}"/>
    <cellStyle name="Normal 4 2 2 6 2 2 2" xfId="8065" xr:uid="{00000000-0005-0000-0000-000018060000}"/>
    <cellStyle name="Normal 4 2 2 6 2 3" xfId="6064" xr:uid="{00000000-0005-0000-0000-000018060000}"/>
    <cellStyle name="Normal 4 2 2 6 3" xfId="3067" xr:uid="{00000000-0005-0000-0000-000017060000}"/>
    <cellStyle name="Normal 4 2 2 6 3 2" xfId="7066" xr:uid="{00000000-0005-0000-0000-000017060000}"/>
    <cellStyle name="Normal 4 2 2 6 4" xfId="5065" xr:uid="{00000000-0005-0000-0000-000017060000}"/>
    <cellStyle name="Normal 4 2 2 7" xfId="1347" xr:uid="{00000000-0005-0000-0000-000018060000}"/>
    <cellStyle name="Normal 4 2 2 7 2" xfId="3569" xr:uid="{00000000-0005-0000-0000-000019060000}"/>
    <cellStyle name="Normal 4 2 2 7 2 2" xfId="7569" xr:uid="{00000000-0005-0000-0000-000019060000}"/>
    <cellStyle name="Normal 4 2 2 7 3" xfId="5568" xr:uid="{00000000-0005-0000-0000-000019060000}"/>
    <cellStyle name="Normal 4 2 2 8" xfId="2581" xr:uid="{00000000-0005-0000-0000-0000FA050000}"/>
    <cellStyle name="Normal 4 2 2 8 2" xfId="6570" xr:uid="{00000000-0005-0000-0000-0000FA050000}"/>
    <cellStyle name="Normal 4 2 2 9" xfId="4569" xr:uid="{00000000-0005-0000-0000-0000FA050000}"/>
    <cellStyle name="Normal 4 2 3" xfId="257" xr:uid="{00000000-0005-0000-0000-000064000000}"/>
    <cellStyle name="Normal 4 2 3 2" xfId="481" xr:uid="{00000000-0005-0000-0000-00001A060000}"/>
    <cellStyle name="Normal 4 2 3 2 2" xfId="728" xr:uid="{00000000-0005-0000-0000-00001B060000}"/>
    <cellStyle name="Normal 4 2 3 2 2 2" xfId="1225" xr:uid="{00000000-0005-0000-0000-00001C060000}"/>
    <cellStyle name="Normal 4 2 3 2 2 2 2" xfId="2227" xr:uid="{00000000-0005-0000-0000-00001D060000}"/>
    <cellStyle name="Normal 4 2 3 2 2 2 2 2" xfId="4449" xr:uid="{00000000-0005-0000-0000-00001E060000}"/>
    <cellStyle name="Normal 4 2 3 2 2 2 2 2 2" xfId="8449" xr:uid="{00000000-0005-0000-0000-00001E060000}"/>
    <cellStyle name="Normal 4 2 3 2 2 2 2 3" xfId="6448" xr:uid="{00000000-0005-0000-0000-00001E060000}"/>
    <cellStyle name="Normal 4 2 3 2 2 2 3" xfId="3451" xr:uid="{00000000-0005-0000-0000-00001D060000}"/>
    <cellStyle name="Normal 4 2 3 2 2 2 3 2" xfId="7450" xr:uid="{00000000-0005-0000-0000-00001D060000}"/>
    <cellStyle name="Normal 4 2 3 2 2 2 4" xfId="5449" xr:uid="{00000000-0005-0000-0000-00001D060000}"/>
    <cellStyle name="Normal 4 2 3 2 2 3" xfId="1731" xr:uid="{00000000-0005-0000-0000-00001E060000}"/>
    <cellStyle name="Normal 4 2 3 2 2 3 2" xfId="3953" xr:uid="{00000000-0005-0000-0000-00001F060000}"/>
    <cellStyle name="Normal 4 2 3 2 2 3 2 2" xfId="7953" xr:uid="{00000000-0005-0000-0000-00001F060000}"/>
    <cellStyle name="Normal 4 2 3 2 2 3 3" xfId="5952" xr:uid="{00000000-0005-0000-0000-00001F060000}"/>
    <cellStyle name="Normal 4 2 3 2 2 4" xfId="2955" xr:uid="{00000000-0005-0000-0000-00001C060000}"/>
    <cellStyle name="Normal 4 2 3 2 2 4 2" xfId="6954" xr:uid="{00000000-0005-0000-0000-00001C060000}"/>
    <cellStyle name="Normal 4 2 3 2 2 5" xfId="4953" xr:uid="{00000000-0005-0000-0000-00001C060000}"/>
    <cellStyle name="Normal 4 2 3 2 3" xfId="977" xr:uid="{00000000-0005-0000-0000-00001F060000}"/>
    <cellStyle name="Normal 4 2 3 2 3 2" xfId="1979" xr:uid="{00000000-0005-0000-0000-000020060000}"/>
    <cellStyle name="Normal 4 2 3 2 3 2 2" xfId="4201" xr:uid="{00000000-0005-0000-0000-000021060000}"/>
    <cellStyle name="Normal 4 2 3 2 3 2 2 2" xfId="8201" xr:uid="{00000000-0005-0000-0000-000021060000}"/>
    <cellStyle name="Normal 4 2 3 2 3 2 3" xfId="6200" xr:uid="{00000000-0005-0000-0000-000021060000}"/>
    <cellStyle name="Normal 4 2 3 2 3 3" xfId="3203" xr:uid="{00000000-0005-0000-0000-000020060000}"/>
    <cellStyle name="Normal 4 2 3 2 3 3 2" xfId="7202" xr:uid="{00000000-0005-0000-0000-000020060000}"/>
    <cellStyle name="Normal 4 2 3 2 3 4" xfId="5201" xr:uid="{00000000-0005-0000-0000-000020060000}"/>
    <cellStyle name="Normal 4 2 3 2 4" xfId="1483" xr:uid="{00000000-0005-0000-0000-000021060000}"/>
    <cellStyle name="Normal 4 2 3 2 4 2" xfId="3705" xr:uid="{00000000-0005-0000-0000-000022060000}"/>
    <cellStyle name="Normal 4 2 3 2 4 2 2" xfId="7705" xr:uid="{00000000-0005-0000-0000-000022060000}"/>
    <cellStyle name="Normal 4 2 3 2 4 3" xfId="5704" xr:uid="{00000000-0005-0000-0000-000022060000}"/>
    <cellStyle name="Normal 4 2 3 2 5" xfId="2708" xr:uid="{00000000-0005-0000-0000-00001B060000}"/>
    <cellStyle name="Normal 4 2 3 2 5 2" xfId="6706" xr:uid="{00000000-0005-0000-0000-00001B060000}"/>
    <cellStyle name="Normal 4 2 3 2 6" xfId="4705" xr:uid="{00000000-0005-0000-0000-00001B060000}"/>
    <cellStyle name="Normal 4 2 3 3" xfId="613" xr:uid="{00000000-0005-0000-0000-000022060000}"/>
    <cellStyle name="Normal 4 2 3 3 2" xfId="1111" xr:uid="{00000000-0005-0000-0000-000023060000}"/>
    <cellStyle name="Normal 4 2 3 3 2 2" xfId="2113" xr:uid="{00000000-0005-0000-0000-000024060000}"/>
    <cellStyle name="Normal 4 2 3 3 2 2 2" xfId="4335" xr:uid="{00000000-0005-0000-0000-000025060000}"/>
    <cellStyle name="Normal 4 2 3 3 2 2 2 2" xfId="8335" xr:uid="{00000000-0005-0000-0000-000025060000}"/>
    <cellStyle name="Normal 4 2 3 3 2 2 3" xfId="6334" xr:uid="{00000000-0005-0000-0000-000025060000}"/>
    <cellStyle name="Normal 4 2 3 3 2 3" xfId="3337" xr:uid="{00000000-0005-0000-0000-000024060000}"/>
    <cellStyle name="Normal 4 2 3 3 2 3 2" xfId="7336" xr:uid="{00000000-0005-0000-0000-000024060000}"/>
    <cellStyle name="Normal 4 2 3 3 2 4" xfId="5335" xr:uid="{00000000-0005-0000-0000-000024060000}"/>
    <cellStyle name="Normal 4 2 3 3 3" xfId="1617" xr:uid="{00000000-0005-0000-0000-000025060000}"/>
    <cellStyle name="Normal 4 2 3 3 3 2" xfId="3839" xr:uid="{00000000-0005-0000-0000-000026060000}"/>
    <cellStyle name="Normal 4 2 3 3 3 2 2" xfId="7839" xr:uid="{00000000-0005-0000-0000-000026060000}"/>
    <cellStyle name="Normal 4 2 3 3 3 3" xfId="5838" xr:uid="{00000000-0005-0000-0000-000026060000}"/>
    <cellStyle name="Normal 4 2 3 3 4" xfId="2842" xr:uid="{00000000-0005-0000-0000-000023060000}"/>
    <cellStyle name="Normal 4 2 3 3 4 2" xfId="6840" xr:uid="{00000000-0005-0000-0000-000023060000}"/>
    <cellStyle name="Normal 4 2 3 3 5" xfId="4839" xr:uid="{00000000-0005-0000-0000-000023060000}"/>
    <cellStyle name="Normal 4 2 3 4" xfId="863" xr:uid="{00000000-0005-0000-0000-000026060000}"/>
    <cellStyle name="Normal 4 2 3 4 2" xfId="1865" xr:uid="{00000000-0005-0000-0000-000027060000}"/>
    <cellStyle name="Normal 4 2 3 4 2 2" xfId="4087" xr:uid="{00000000-0005-0000-0000-000028060000}"/>
    <cellStyle name="Normal 4 2 3 4 2 2 2" xfId="8087" xr:uid="{00000000-0005-0000-0000-000028060000}"/>
    <cellStyle name="Normal 4 2 3 4 2 3" xfId="6086" xr:uid="{00000000-0005-0000-0000-000028060000}"/>
    <cellStyle name="Normal 4 2 3 4 3" xfId="3089" xr:uid="{00000000-0005-0000-0000-000027060000}"/>
    <cellStyle name="Normal 4 2 3 4 3 2" xfId="7088" xr:uid="{00000000-0005-0000-0000-000027060000}"/>
    <cellStyle name="Normal 4 2 3 4 4" xfId="5087" xr:uid="{00000000-0005-0000-0000-000027060000}"/>
    <cellStyle name="Normal 4 2 3 5" xfId="1369" xr:uid="{00000000-0005-0000-0000-000028060000}"/>
    <cellStyle name="Normal 4 2 3 5 2" xfId="3591" xr:uid="{00000000-0005-0000-0000-000029060000}"/>
    <cellStyle name="Normal 4 2 3 5 2 2" xfId="7591" xr:uid="{00000000-0005-0000-0000-000029060000}"/>
    <cellStyle name="Normal 4 2 3 5 3" xfId="5590" xr:uid="{00000000-0005-0000-0000-000029060000}"/>
    <cellStyle name="Normal 4 2 3 6" xfId="369" xr:uid="{00000000-0005-0000-0000-000019060000}"/>
    <cellStyle name="Normal 4 2 3 6 2" xfId="6592" xr:uid="{00000000-0005-0000-0000-00001A060000}"/>
    <cellStyle name="Normal 4 2 3 7" xfId="4591" xr:uid="{00000000-0005-0000-0000-00001A060000}"/>
    <cellStyle name="Normal 4 2 4" xfId="390" xr:uid="{00000000-0005-0000-0000-000029060000}"/>
    <cellStyle name="Normal 4 2 4 2" xfId="636" xr:uid="{00000000-0005-0000-0000-00002A060000}"/>
    <cellStyle name="Normal 4 2 4 2 2" xfId="1133" xr:uid="{00000000-0005-0000-0000-00002B060000}"/>
    <cellStyle name="Normal 4 2 4 2 2 2" xfId="2135" xr:uid="{00000000-0005-0000-0000-00002C060000}"/>
    <cellStyle name="Normal 4 2 4 2 2 2 2" xfId="4357" xr:uid="{00000000-0005-0000-0000-00002D060000}"/>
    <cellStyle name="Normal 4 2 4 2 2 2 2 2" xfId="8357" xr:uid="{00000000-0005-0000-0000-00002D060000}"/>
    <cellStyle name="Normal 4 2 4 2 2 2 3" xfId="6356" xr:uid="{00000000-0005-0000-0000-00002D060000}"/>
    <cellStyle name="Normal 4 2 4 2 2 3" xfId="3359" xr:uid="{00000000-0005-0000-0000-00002C060000}"/>
    <cellStyle name="Normal 4 2 4 2 2 3 2" xfId="7358" xr:uid="{00000000-0005-0000-0000-00002C060000}"/>
    <cellStyle name="Normal 4 2 4 2 2 4" xfId="5357" xr:uid="{00000000-0005-0000-0000-00002C060000}"/>
    <cellStyle name="Normal 4 2 4 2 3" xfId="1639" xr:uid="{00000000-0005-0000-0000-00002D060000}"/>
    <cellStyle name="Normal 4 2 4 2 3 2" xfId="3861" xr:uid="{00000000-0005-0000-0000-00002E060000}"/>
    <cellStyle name="Normal 4 2 4 2 3 2 2" xfId="7861" xr:uid="{00000000-0005-0000-0000-00002E060000}"/>
    <cellStyle name="Normal 4 2 4 2 3 3" xfId="5860" xr:uid="{00000000-0005-0000-0000-00002E060000}"/>
    <cellStyle name="Normal 4 2 4 2 4" xfId="2863" xr:uid="{00000000-0005-0000-0000-00002B060000}"/>
    <cellStyle name="Normal 4 2 4 2 4 2" xfId="6862" xr:uid="{00000000-0005-0000-0000-00002B060000}"/>
    <cellStyle name="Normal 4 2 4 2 5" xfId="4861" xr:uid="{00000000-0005-0000-0000-00002B060000}"/>
    <cellStyle name="Normal 4 2 4 3" xfId="885" xr:uid="{00000000-0005-0000-0000-00002E060000}"/>
    <cellStyle name="Normal 4 2 4 3 2" xfId="1887" xr:uid="{00000000-0005-0000-0000-00002F060000}"/>
    <cellStyle name="Normal 4 2 4 3 2 2" xfId="4109" xr:uid="{00000000-0005-0000-0000-000030060000}"/>
    <cellStyle name="Normal 4 2 4 3 2 2 2" xfId="8109" xr:uid="{00000000-0005-0000-0000-000030060000}"/>
    <cellStyle name="Normal 4 2 4 3 2 3" xfId="6108" xr:uid="{00000000-0005-0000-0000-000030060000}"/>
    <cellStyle name="Normal 4 2 4 3 3" xfId="3111" xr:uid="{00000000-0005-0000-0000-00002F060000}"/>
    <cellStyle name="Normal 4 2 4 3 3 2" xfId="7110" xr:uid="{00000000-0005-0000-0000-00002F060000}"/>
    <cellStyle name="Normal 4 2 4 3 4" xfId="5109" xr:uid="{00000000-0005-0000-0000-00002F060000}"/>
    <cellStyle name="Normal 4 2 4 4" xfId="1391" xr:uid="{00000000-0005-0000-0000-000030060000}"/>
    <cellStyle name="Normal 4 2 4 4 2" xfId="3613" xr:uid="{00000000-0005-0000-0000-000031060000}"/>
    <cellStyle name="Normal 4 2 4 4 2 2" xfId="7613" xr:uid="{00000000-0005-0000-0000-000031060000}"/>
    <cellStyle name="Normal 4 2 4 4 3" xfId="5612" xr:uid="{00000000-0005-0000-0000-000031060000}"/>
    <cellStyle name="Normal 4 2 4 5" xfId="2623" xr:uid="{00000000-0005-0000-0000-00002A060000}"/>
    <cellStyle name="Normal 4 2 4 5 2" xfId="6614" xr:uid="{00000000-0005-0000-0000-00002A060000}"/>
    <cellStyle name="Normal 4 2 4 6" xfId="4613" xr:uid="{00000000-0005-0000-0000-00002A060000}"/>
    <cellStyle name="Normal 4 2 5" xfId="435" xr:uid="{00000000-0005-0000-0000-000031060000}"/>
    <cellStyle name="Normal 4 2 5 2" xfId="682" xr:uid="{00000000-0005-0000-0000-000032060000}"/>
    <cellStyle name="Normal 4 2 5 2 2" xfId="1179" xr:uid="{00000000-0005-0000-0000-000033060000}"/>
    <cellStyle name="Normal 4 2 5 2 2 2" xfId="2181" xr:uid="{00000000-0005-0000-0000-000034060000}"/>
    <cellStyle name="Normal 4 2 5 2 2 2 2" xfId="4403" xr:uid="{00000000-0005-0000-0000-000035060000}"/>
    <cellStyle name="Normal 4 2 5 2 2 2 2 2" xfId="8403" xr:uid="{00000000-0005-0000-0000-000035060000}"/>
    <cellStyle name="Normal 4 2 5 2 2 2 3" xfId="6402" xr:uid="{00000000-0005-0000-0000-000035060000}"/>
    <cellStyle name="Normal 4 2 5 2 2 3" xfId="3405" xr:uid="{00000000-0005-0000-0000-000034060000}"/>
    <cellStyle name="Normal 4 2 5 2 2 3 2" xfId="7404" xr:uid="{00000000-0005-0000-0000-000034060000}"/>
    <cellStyle name="Normal 4 2 5 2 2 4" xfId="5403" xr:uid="{00000000-0005-0000-0000-000034060000}"/>
    <cellStyle name="Normal 4 2 5 2 3" xfId="1685" xr:uid="{00000000-0005-0000-0000-000035060000}"/>
    <cellStyle name="Normal 4 2 5 2 3 2" xfId="3907" xr:uid="{00000000-0005-0000-0000-000036060000}"/>
    <cellStyle name="Normal 4 2 5 2 3 2 2" xfId="7907" xr:uid="{00000000-0005-0000-0000-000036060000}"/>
    <cellStyle name="Normal 4 2 5 2 3 3" xfId="5906" xr:uid="{00000000-0005-0000-0000-000036060000}"/>
    <cellStyle name="Normal 4 2 5 2 4" xfId="2909" xr:uid="{00000000-0005-0000-0000-000033060000}"/>
    <cellStyle name="Normal 4 2 5 2 4 2" xfId="6908" xr:uid="{00000000-0005-0000-0000-000033060000}"/>
    <cellStyle name="Normal 4 2 5 2 5" xfId="4907" xr:uid="{00000000-0005-0000-0000-000033060000}"/>
    <cellStyle name="Normal 4 2 5 3" xfId="931" xr:uid="{00000000-0005-0000-0000-000036060000}"/>
    <cellStyle name="Normal 4 2 5 3 2" xfId="1933" xr:uid="{00000000-0005-0000-0000-000037060000}"/>
    <cellStyle name="Normal 4 2 5 3 2 2" xfId="4155" xr:uid="{00000000-0005-0000-0000-000038060000}"/>
    <cellStyle name="Normal 4 2 5 3 2 2 2" xfId="8155" xr:uid="{00000000-0005-0000-0000-000038060000}"/>
    <cellStyle name="Normal 4 2 5 3 2 3" xfId="6154" xr:uid="{00000000-0005-0000-0000-000038060000}"/>
    <cellStyle name="Normal 4 2 5 3 3" xfId="3157" xr:uid="{00000000-0005-0000-0000-000037060000}"/>
    <cellStyle name="Normal 4 2 5 3 3 2" xfId="7156" xr:uid="{00000000-0005-0000-0000-000037060000}"/>
    <cellStyle name="Normal 4 2 5 3 4" xfId="5155" xr:uid="{00000000-0005-0000-0000-000037060000}"/>
    <cellStyle name="Normal 4 2 5 4" xfId="1437" xr:uid="{00000000-0005-0000-0000-000038060000}"/>
    <cellStyle name="Normal 4 2 5 4 2" xfId="3659" xr:uid="{00000000-0005-0000-0000-000039060000}"/>
    <cellStyle name="Normal 4 2 5 4 2 2" xfId="7659" xr:uid="{00000000-0005-0000-0000-000039060000}"/>
    <cellStyle name="Normal 4 2 5 4 3" xfId="5658" xr:uid="{00000000-0005-0000-0000-000039060000}"/>
    <cellStyle name="Normal 4 2 5 5" xfId="2663" xr:uid="{00000000-0005-0000-0000-000032060000}"/>
    <cellStyle name="Normal 4 2 5 5 2" xfId="6660" xr:uid="{00000000-0005-0000-0000-000032060000}"/>
    <cellStyle name="Normal 4 2 5 6" xfId="4659" xr:uid="{00000000-0005-0000-0000-000032060000}"/>
    <cellStyle name="Normal 4 2 6" xfId="501" xr:uid="{00000000-0005-0000-0000-000039060000}"/>
    <cellStyle name="Normal 4 2 6 2" xfId="748" xr:uid="{00000000-0005-0000-0000-00003A060000}"/>
    <cellStyle name="Normal 4 2 6 2 2" xfId="1245" xr:uid="{00000000-0005-0000-0000-00003B060000}"/>
    <cellStyle name="Normal 4 2 6 2 2 2" xfId="2247" xr:uid="{00000000-0005-0000-0000-00003C060000}"/>
    <cellStyle name="Normal 4 2 6 2 2 2 2" xfId="4469" xr:uid="{00000000-0005-0000-0000-00003D060000}"/>
    <cellStyle name="Normal 4 2 6 2 2 2 2 2" xfId="8469" xr:uid="{00000000-0005-0000-0000-00003D060000}"/>
    <cellStyle name="Normal 4 2 6 2 2 2 3" xfId="6468" xr:uid="{00000000-0005-0000-0000-00003D060000}"/>
    <cellStyle name="Normal 4 2 6 2 2 3" xfId="3471" xr:uid="{00000000-0005-0000-0000-00003C060000}"/>
    <cellStyle name="Normal 4 2 6 2 2 3 2" xfId="7470" xr:uid="{00000000-0005-0000-0000-00003C060000}"/>
    <cellStyle name="Normal 4 2 6 2 2 4" xfId="5469" xr:uid="{00000000-0005-0000-0000-00003C060000}"/>
    <cellStyle name="Normal 4 2 6 2 3" xfId="1751" xr:uid="{00000000-0005-0000-0000-00003D060000}"/>
    <cellStyle name="Normal 4 2 6 2 3 2" xfId="3973" xr:uid="{00000000-0005-0000-0000-00003E060000}"/>
    <cellStyle name="Normal 4 2 6 2 3 2 2" xfId="7973" xr:uid="{00000000-0005-0000-0000-00003E060000}"/>
    <cellStyle name="Normal 4 2 6 2 3 3" xfId="5972" xr:uid="{00000000-0005-0000-0000-00003E060000}"/>
    <cellStyle name="Normal 4 2 6 2 4" xfId="2975" xr:uid="{00000000-0005-0000-0000-00003B060000}"/>
    <cellStyle name="Normal 4 2 6 2 4 2" xfId="6974" xr:uid="{00000000-0005-0000-0000-00003B060000}"/>
    <cellStyle name="Normal 4 2 6 2 5" xfId="4973" xr:uid="{00000000-0005-0000-0000-00003B060000}"/>
    <cellStyle name="Normal 4 2 6 3" xfId="997" xr:uid="{00000000-0005-0000-0000-00003E060000}"/>
    <cellStyle name="Normal 4 2 6 3 2" xfId="1999" xr:uid="{00000000-0005-0000-0000-00003F060000}"/>
    <cellStyle name="Normal 4 2 6 3 2 2" xfId="4221" xr:uid="{00000000-0005-0000-0000-000040060000}"/>
    <cellStyle name="Normal 4 2 6 3 2 2 2" xfId="8221" xr:uid="{00000000-0005-0000-0000-000040060000}"/>
    <cellStyle name="Normal 4 2 6 3 2 3" xfId="6220" xr:uid="{00000000-0005-0000-0000-000040060000}"/>
    <cellStyle name="Normal 4 2 6 3 3" xfId="3223" xr:uid="{00000000-0005-0000-0000-00003F060000}"/>
    <cellStyle name="Normal 4 2 6 3 3 2" xfId="7222" xr:uid="{00000000-0005-0000-0000-00003F060000}"/>
    <cellStyle name="Normal 4 2 6 3 4" xfId="5221" xr:uid="{00000000-0005-0000-0000-00003F060000}"/>
    <cellStyle name="Normal 4 2 6 4" xfId="1503" xr:uid="{00000000-0005-0000-0000-000040060000}"/>
    <cellStyle name="Normal 4 2 6 4 2" xfId="3725" xr:uid="{00000000-0005-0000-0000-000041060000}"/>
    <cellStyle name="Normal 4 2 6 4 2 2" xfId="7725" xr:uid="{00000000-0005-0000-0000-000041060000}"/>
    <cellStyle name="Normal 4 2 6 4 3" xfId="5724" xr:uid="{00000000-0005-0000-0000-000041060000}"/>
    <cellStyle name="Normal 4 2 6 5" xfId="2728" xr:uid="{00000000-0005-0000-0000-00003A060000}"/>
    <cellStyle name="Normal 4 2 6 5 2" xfId="6726" xr:uid="{00000000-0005-0000-0000-00003A060000}"/>
    <cellStyle name="Normal 4 2 6 6" xfId="4725" xr:uid="{00000000-0005-0000-0000-00003A060000}"/>
    <cellStyle name="Normal 4 2 7" xfId="521" xr:uid="{00000000-0005-0000-0000-000041060000}"/>
    <cellStyle name="Normal 4 2 7 2" xfId="768" xr:uid="{00000000-0005-0000-0000-000042060000}"/>
    <cellStyle name="Normal 4 2 7 2 2" xfId="1266" xr:uid="{00000000-0005-0000-0000-000043060000}"/>
    <cellStyle name="Normal 4 2 7 2 2 2" xfId="2268" xr:uid="{00000000-0005-0000-0000-000044060000}"/>
    <cellStyle name="Normal 4 2 7 2 2 2 2" xfId="4490" xr:uid="{00000000-0005-0000-0000-000045060000}"/>
    <cellStyle name="Normal 4 2 7 2 2 2 2 2" xfId="8490" xr:uid="{00000000-0005-0000-0000-000045060000}"/>
    <cellStyle name="Normal 4 2 7 2 2 2 3" xfId="6489" xr:uid="{00000000-0005-0000-0000-000045060000}"/>
    <cellStyle name="Normal 4 2 7 2 2 3" xfId="3492" xr:uid="{00000000-0005-0000-0000-000044060000}"/>
    <cellStyle name="Normal 4 2 7 2 2 3 2" xfId="7491" xr:uid="{00000000-0005-0000-0000-000044060000}"/>
    <cellStyle name="Normal 4 2 7 2 2 4" xfId="5490" xr:uid="{00000000-0005-0000-0000-000044060000}"/>
    <cellStyle name="Normal 4 2 7 2 3" xfId="1772" xr:uid="{00000000-0005-0000-0000-000045060000}"/>
    <cellStyle name="Normal 4 2 7 2 3 2" xfId="3994" xr:uid="{00000000-0005-0000-0000-000046060000}"/>
    <cellStyle name="Normal 4 2 7 2 3 2 2" xfId="7994" xr:uid="{00000000-0005-0000-0000-000046060000}"/>
    <cellStyle name="Normal 4 2 7 2 3 3" xfId="5993" xr:uid="{00000000-0005-0000-0000-000046060000}"/>
    <cellStyle name="Normal 4 2 7 2 4" xfId="2996" xr:uid="{00000000-0005-0000-0000-000043060000}"/>
    <cellStyle name="Normal 4 2 7 2 4 2" xfId="6995" xr:uid="{00000000-0005-0000-0000-000043060000}"/>
    <cellStyle name="Normal 4 2 7 2 5" xfId="4994" xr:uid="{00000000-0005-0000-0000-000043060000}"/>
    <cellStyle name="Normal 4 2 7 3" xfId="1018" xr:uid="{00000000-0005-0000-0000-000046060000}"/>
    <cellStyle name="Normal 4 2 7 3 2" xfId="2020" xr:uid="{00000000-0005-0000-0000-000047060000}"/>
    <cellStyle name="Normal 4 2 7 3 2 2" xfId="4242" xr:uid="{00000000-0005-0000-0000-000048060000}"/>
    <cellStyle name="Normal 4 2 7 3 2 2 2" xfId="8242" xr:uid="{00000000-0005-0000-0000-000048060000}"/>
    <cellStyle name="Normal 4 2 7 3 2 3" xfId="6241" xr:uid="{00000000-0005-0000-0000-000048060000}"/>
    <cellStyle name="Normal 4 2 7 3 3" xfId="3244" xr:uid="{00000000-0005-0000-0000-000047060000}"/>
    <cellStyle name="Normal 4 2 7 3 3 2" xfId="7243" xr:uid="{00000000-0005-0000-0000-000047060000}"/>
    <cellStyle name="Normal 4 2 7 3 4" xfId="5242" xr:uid="{00000000-0005-0000-0000-000047060000}"/>
    <cellStyle name="Normal 4 2 7 4" xfId="1524" xr:uid="{00000000-0005-0000-0000-000048060000}"/>
    <cellStyle name="Normal 4 2 7 4 2" xfId="3746" xr:uid="{00000000-0005-0000-0000-000049060000}"/>
    <cellStyle name="Normal 4 2 7 4 2 2" xfId="7746" xr:uid="{00000000-0005-0000-0000-000049060000}"/>
    <cellStyle name="Normal 4 2 7 4 3" xfId="5745" xr:uid="{00000000-0005-0000-0000-000049060000}"/>
    <cellStyle name="Normal 4 2 7 5" xfId="2749" xr:uid="{00000000-0005-0000-0000-000042060000}"/>
    <cellStyle name="Normal 4 2 7 5 2" xfId="6747" xr:uid="{00000000-0005-0000-0000-000042060000}"/>
    <cellStyle name="Normal 4 2 7 6" xfId="4746" xr:uid="{00000000-0005-0000-0000-000042060000}"/>
    <cellStyle name="Normal 4 2 8" xfId="567" xr:uid="{00000000-0005-0000-0000-000049060000}"/>
    <cellStyle name="Normal 4 2 8 2" xfId="1065" xr:uid="{00000000-0005-0000-0000-00004A060000}"/>
    <cellStyle name="Normal 4 2 8 2 2" xfId="2067" xr:uid="{00000000-0005-0000-0000-00004B060000}"/>
    <cellStyle name="Normal 4 2 8 2 2 2" xfId="4289" xr:uid="{00000000-0005-0000-0000-00004C060000}"/>
    <cellStyle name="Normal 4 2 8 2 2 2 2" xfId="8289" xr:uid="{00000000-0005-0000-0000-00004C060000}"/>
    <cellStyle name="Normal 4 2 8 2 2 3" xfId="6288" xr:uid="{00000000-0005-0000-0000-00004C060000}"/>
    <cellStyle name="Normal 4 2 8 2 3" xfId="3291" xr:uid="{00000000-0005-0000-0000-00004B060000}"/>
    <cellStyle name="Normal 4 2 8 2 3 2" xfId="7290" xr:uid="{00000000-0005-0000-0000-00004B060000}"/>
    <cellStyle name="Normal 4 2 8 2 4" xfId="5289" xr:uid="{00000000-0005-0000-0000-00004B060000}"/>
    <cellStyle name="Normal 4 2 8 3" xfId="1571" xr:uid="{00000000-0005-0000-0000-00004C060000}"/>
    <cellStyle name="Normal 4 2 8 3 2" xfId="3793" xr:uid="{00000000-0005-0000-0000-00004D060000}"/>
    <cellStyle name="Normal 4 2 8 3 2 2" xfId="7793" xr:uid="{00000000-0005-0000-0000-00004D060000}"/>
    <cellStyle name="Normal 4 2 8 3 3" xfId="5792" xr:uid="{00000000-0005-0000-0000-00004D060000}"/>
    <cellStyle name="Normal 4 2 8 4" xfId="2796" xr:uid="{00000000-0005-0000-0000-00004A060000}"/>
    <cellStyle name="Normal 4 2 8 4 2" xfId="6794" xr:uid="{00000000-0005-0000-0000-00004A060000}"/>
    <cellStyle name="Normal 4 2 8 5" xfId="4793" xr:uid="{00000000-0005-0000-0000-00004A060000}"/>
    <cellStyle name="Normal 4 2 9" xfId="817" xr:uid="{00000000-0005-0000-0000-00004D060000}"/>
    <cellStyle name="Normal 4 2 9 2" xfId="1819" xr:uid="{00000000-0005-0000-0000-00004E060000}"/>
    <cellStyle name="Normal 4 2 9 2 2" xfId="4041" xr:uid="{00000000-0005-0000-0000-00004F060000}"/>
    <cellStyle name="Normal 4 2 9 2 2 2" xfId="8041" xr:uid="{00000000-0005-0000-0000-00004F060000}"/>
    <cellStyle name="Normal 4 2 9 2 3" xfId="6040" xr:uid="{00000000-0005-0000-0000-00004F060000}"/>
    <cellStyle name="Normal 4 2 9 3" xfId="3043" xr:uid="{00000000-0005-0000-0000-00004E060000}"/>
    <cellStyle name="Normal 4 2 9 3 2" xfId="7042" xr:uid="{00000000-0005-0000-0000-00004E060000}"/>
    <cellStyle name="Normal 4 2 9 4" xfId="5041" xr:uid="{00000000-0005-0000-0000-00004E060000}"/>
    <cellStyle name="Normal 4 3" xfId="30" xr:uid="{00000000-0005-0000-0000-000038000000}"/>
    <cellStyle name="Normal 4 3 2" xfId="259" xr:uid="{00000000-0005-0000-0000-000066000000}"/>
    <cellStyle name="Normal 4 3 2 2" xfId="650" xr:uid="{00000000-0005-0000-0000-000051060000}"/>
    <cellStyle name="Normal 4 3 2 2 2" xfId="1147" xr:uid="{00000000-0005-0000-0000-000052060000}"/>
    <cellStyle name="Normal 4 3 2 2 2 2" xfId="2149" xr:uid="{00000000-0005-0000-0000-000053060000}"/>
    <cellStyle name="Normal 4 3 2 2 2 2 2" xfId="4371" xr:uid="{00000000-0005-0000-0000-000054060000}"/>
    <cellStyle name="Normal 4 3 2 2 2 2 2 2" xfId="8371" xr:uid="{00000000-0005-0000-0000-000054060000}"/>
    <cellStyle name="Normal 4 3 2 2 2 2 3" xfId="6370" xr:uid="{00000000-0005-0000-0000-000054060000}"/>
    <cellStyle name="Normal 4 3 2 2 2 3" xfId="3373" xr:uid="{00000000-0005-0000-0000-000053060000}"/>
    <cellStyle name="Normal 4 3 2 2 2 3 2" xfId="7372" xr:uid="{00000000-0005-0000-0000-000053060000}"/>
    <cellStyle name="Normal 4 3 2 2 2 4" xfId="5371" xr:uid="{00000000-0005-0000-0000-000053060000}"/>
    <cellStyle name="Normal 4 3 2 2 3" xfId="1653" xr:uid="{00000000-0005-0000-0000-000054060000}"/>
    <cellStyle name="Normal 4 3 2 2 3 2" xfId="3875" xr:uid="{00000000-0005-0000-0000-000055060000}"/>
    <cellStyle name="Normal 4 3 2 2 3 2 2" xfId="7875" xr:uid="{00000000-0005-0000-0000-000055060000}"/>
    <cellStyle name="Normal 4 3 2 2 3 3" xfId="5874" xr:uid="{00000000-0005-0000-0000-000055060000}"/>
    <cellStyle name="Normal 4 3 2 2 4" xfId="2877" xr:uid="{00000000-0005-0000-0000-000052060000}"/>
    <cellStyle name="Normal 4 3 2 2 4 2" xfId="6876" xr:uid="{00000000-0005-0000-0000-000052060000}"/>
    <cellStyle name="Normal 4 3 2 2 5" xfId="4875" xr:uid="{00000000-0005-0000-0000-000052060000}"/>
    <cellStyle name="Normal 4 3 2 3" xfId="899" xr:uid="{00000000-0005-0000-0000-000055060000}"/>
    <cellStyle name="Normal 4 3 2 3 2" xfId="1901" xr:uid="{00000000-0005-0000-0000-000056060000}"/>
    <cellStyle name="Normal 4 3 2 3 2 2" xfId="4123" xr:uid="{00000000-0005-0000-0000-000057060000}"/>
    <cellStyle name="Normal 4 3 2 3 2 2 2" xfId="8123" xr:uid="{00000000-0005-0000-0000-000057060000}"/>
    <cellStyle name="Normal 4 3 2 3 2 3" xfId="6122" xr:uid="{00000000-0005-0000-0000-000057060000}"/>
    <cellStyle name="Normal 4 3 2 3 3" xfId="3125" xr:uid="{00000000-0005-0000-0000-000056060000}"/>
    <cellStyle name="Normal 4 3 2 3 3 2" xfId="7124" xr:uid="{00000000-0005-0000-0000-000056060000}"/>
    <cellStyle name="Normal 4 3 2 3 4" xfId="5123" xr:uid="{00000000-0005-0000-0000-000056060000}"/>
    <cellStyle name="Normal 4 3 2 4" xfId="1405" xr:uid="{00000000-0005-0000-0000-000057060000}"/>
    <cellStyle name="Normal 4 3 2 4 2" xfId="3627" xr:uid="{00000000-0005-0000-0000-000058060000}"/>
    <cellStyle name="Normal 4 3 2 4 2 2" xfId="7627" xr:uid="{00000000-0005-0000-0000-000058060000}"/>
    <cellStyle name="Normal 4 3 2 4 3" xfId="5626" xr:uid="{00000000-0005-0000-0000-000058060000}"/>
    <cellStyle name="Normal 4 3 2 5" xfId="403" xr:uid="{00000000-0005-0000-0000-000050060000}"/>
    <cellStyle name="Normal 4 3 2 5 2" xfId="6628" xr:uid="{00000000-0005-0000-0000-000051060000}"/>
    <cellStyle name="Normal 4 3 2 6" xfId="4627" xr:uid="{00000000-0005-0000-0000-000051060000}"/>
    <cellStyle name="Normal 4 3 3" xfId="449" xr:uid="{00000000-0005-0000-0000-000058060000}"/>
    <cellStyle name="Normal 4 3 3 2" xfId="696" xr:uid="{00000000-0005-0000-0000-000059060000}"/>
    <cellStyle name="Normal 4 3 3 2 2" xfId="1193" xr:uid="{00000000-0005-0000-0000-00005A060000}"/>
    <cellStyle name="Normal 4 3 3 2 2 2" xfId="2195" xr:uid="{00000000-0005-0000-0000-00005B060000}"/>
    <cellStyle name="Normal 4 3 3 2 2 2 2" xfId="4417" xr:uid="{00000000-0005-0000-0000-00005C060000}"/>
    <cellStyle name="Normal 4 3 3 2 2 2 2 2" xfId="8417" xr:uid="{00000000-0005-0000-0000-00005C060000}"/>
    <cellStyle name="Normal 4 3 3 2 2 2 3" xfId="6416" xr:uid="{00000000-0005-0000-0000-00005C060000}"/>
    <cellStyle name="Normal 4 3 3 2 2 3" xfId="3419" xr:uid="{00000000-0005-0000-0000-00005B060000}"/>
    <cellStyle name="Normal 4 3 3 2 2 3 2" xfId="7418" xr:uid="{00000000-0005-0000-0000-00005B060000}"/>
    <cellStyle name="Normal 4 3 3 2 2 4" xfId="5417" xr:uid="{00000000-0005-0000-0000-00005B060000}"/>
    <cellStyle name="Normal 4 3 3 2 3" xfId="1699" xr:uid="{00000000-0005-0000-0000-00005C060000}"/>
    <cellStyle name="Normal 4 3 3 2 3 2" xfId="3921" xr:uid="{00000000-0005-0000-0000-00005D060000}"/>
    <cellStyle name="Normal 4 3 3 2 3 2 2" xfId="7921" xr:uid="{00000000-0005-0000-0000-00005D060000}"/>
    <cellStyle name="Normal 4 3 3 2 3 3" xfId="5920" xr:uid="{00000000-0005-0000-0000-00005D060000}"/>
    <cellStyle name="Normal 4 3 3 2 4" xfId="2923" xr:uid="{00000000-0005-0000-0000-00005A060000}"/>
    <cellStyle name="Normal 4 3 3 2 4 2" xfId="6922" xr:uid="{00000000-0005-0000-0000-00005A060000}"/>
    <cellStyle name="Normal 4 3 3 2 5" xfId="4921" xr:uid="{00000000-0005-0000-0000-00005A060000}"/>
    <cellStyle name="Normal 4 3 3 3" xfId="945" xr:uid="{00000000-0005-0000-0000-00005D060000}"/>
    <cellStyle name="Normal 4 3 3 3 2" xfId="1947" xr:uid="{00000000-0005-0000-0000-00005E060000}"/>
    <cellStyle name="Normal 4 3 3 3 2 2" xfId="4169" xr:uid="{00000000-0005-0000-0000-00005F060000}"/>
    <cellStyle name="Normal 4 3 3 3 2 2 2" xfId="8169" xr:uid="{00000000-0005-0000-0000-00005F060000}"/>
    <cellStyle name="Normal 4 3 3 3 2 3" xfId="6168" xr:uid="{00000000-0005-0000-0000-00005F060000}"/>
    <cellStyle name="Normal 4 3 3 3 3" xfId="3171" xr:uid="{00000000-0005-0000-0000-00005E060000}"/>
    <cellStyle name="Normal 4 3 3 3 3 2" xfId="7170" xr:uid="{00000000-0005-0000-0000-00005E060000}"/>
    <cellStyle name="Normal 4 3 3 3 4" xfId="5169" xr:uid="{00000000-0005-0000-0000-00005E060000}"/>
    <cellStyle name="Normal 4 3 3 4" xfId="1451" xr:uid="{00000000-0005-0000-0000-00005F060000}"/>
    <cellStyle name="Normal 4 3 3 4 2" xfId="3673" xr:uid="{00000000-0005-0000-0000-000060060000}"/>
    <cellStyle name="Normal 4 3 3 4 2 2" xfId="7673" xr:uid="{00000000-0005-0000-0000-000060060000}"/>
    <cellStyle name="Normal 4 3 3 4 3" xfId="5672" xr:uid="{00000000-0005-0000-0000-000060060000}"/>
    <cellStyle name="Normal 4 3 3 5" xfId="2676" xr:uid="{00000000-0005-0000-0000-000059060000}"/>
    <cellStyle name="Normal 4 3 3 5 2" xfId="6674" xr:uid="{00000000-0005-0000-0000-000059060000}"/>
    <cellStyle name="Normal 4 3 3 6" xfId="4673" xr:uid="{00000000-0005-0000-0000-000059060000}"/>
    <cellStyle name="Normal 4 3 4" xfId="535" xr:uid="{00000000-0005-0000-0000-000060060000}"/>
    <cellStyle name="Normal 4 3 4 2" xfId="782" xr:uid="{00000000-0005-0000-0000-000061060000}"/>
    <cellStyle name="Normal 4 3 4 2 2" xfId="1280" xr:uid="{00000000-0005-0000-0000-000062060000}"/>
    <cellStyle name="Normal 4 3 4 2 2 2" xfId="2282" xr:uid="{00000000-0005-0000-0000-000063060000}"/>
    <cellStyle name="Normal 4 3 4 2 2 2 2" xfId="4504" xr:uid="{00000000-0005-0000-0000-000064060000}"/>
    <cellStyle name="Normal 4 3 4 2 2 2 2 2" xfId="8504" xr:uid="{00000000-0005-0000-0000-000064060000}"/>
    <cellStyle name="Normal 4 3 4 2 2 2 3" xfId="6503" xr:uid="{00000000-0005-0000-0000-000064060000}"/>
    <cellStyle name="Normal 4 3 4 2 2 3" xfId="3506" xr:uid="{00000000-0005-0000-0000-000063060000}"/>
    <cellStyle name="Normal 4 3 4 2 2 3 2" xfId="7505" xr:uid="{00000000-0005-0000-0000-000063060000}"/>
    <cellStyle name="Normal 4 3 4 2 2 4" xfId="5504" xr:uid="{00000000-0005-0000-0000-000063060000}"/>
    <cellStyle name="Normal 4 3 4 2 3" xfId="1786" xr:uid="{00000000-0005-0000-0000-000064060000}"/>
    <cellStyle name="Normal 4 3 4 2 3 2" xfId="4008" xr:uid="{00000000-0005-0000-0000-000065060000}"/>
    <cellStyle name="Normal 4 3 4 2 3 2 2" xfId="8008" xr:uid="{00000000-0005-0000-0000-000065060000}"/>
    <cellStyle name="Normal 4 3 4 2 3 3" xfId="6007" xr:uid="{00000000-0005-0000-0000-000065060000}"/>
    <cellStyle name="Normal 4 3 4 2 4" xfId="3010" xr:uid="{00000000-0005-0000-0000-000062060000}"/>
    <cellStyle name="Normal 4 3 4 2 4 2" xfId="7009" xr:uid="{00000000-0005-0000-0000-000062060000}"/>
    <cellStyle name="Normal 4 3 4 2 5" xfId="5008" xr:uid="{00000000-0005-0000-0000-000062060000}"/>
    <cellStyle name="Normal 4 3 4 3" xfId="1032" xr:uid="{00000000-0005-0000-0000-000065060000}"/>
    <cellStyle name="Normal 4 3 4 3 2" xfId="2034" xr:uid="{00000000-0005-0000-0000-000066060000}"/>
    <cellStyle name="Normal 4 3 4 3 2 2" xfId="4256" xr:uid="{00000000-0005-0000-0000-000067060000}"/>
    <cellStyle name="Normal 4 3 4 3 2 2 2" xfId="8256" xr:uid="{00000000-0005-0000-0000-000067060000}"/>
    <cellStyle name="Normal 4 3 4 3 2 3" xfId="6255" xr:uid="{00000000-0005-0000-0000-000067060000}"/>
    <cellStyle name="Normal 4 3 4 3 3" xfId="3258" xr:uid="{00000000-0005-0000-0000-000066060000}"/>
    <cellStyle name="Normal 4 3 4 3 3 2" xfId="7257" xr:uid="{00000000-0005-0000-0000-000066060000}"/>
    <cellStyle name="Normal 4 3 4 3 4" xfId="5256" xr:uid="{00000000-0005-0000-0000-000066060000}"/>
    <cellStyle name="Normal 4 3 4 4" xfId="1538" xr:uid="{00000000-0005-0000-0000-000067060000}"/>
    <cellStyle name="Normal 4 3 4 4 2" xfId="3760" xr:uid="{00000000-0005-0000-0000-000068060000}"/>
    <cellStyle name="Normal 4 3 4 4 2 2" xfId="7760" xr:uid="{00000000-0005-0000-0000-000068060000}"/>
    <cellStyle name="Normal 4 3 4 4 3" xfId="5759" xr:uid="{00000000-0005-0000-0000-000068060000}"/>
    <cellStyle name="Normal 4 3 4 5" xfId="2763" xr:uid="{00000000-0005-0000-0000-000061060000}"/>
    <cellStyle name="Normal 4 3 4 5 2" xfId="6761" xr:uid="{00000000-0005-0000-0000-000061060000}"/>
    <cellStyle name="Normal 4 3 4 6" xfId="4760" xr:uid="{00000000-0005-0000-0000-000061060000}"/>
    <cellStyle name="Normal 4 3 5" xfId="581" xr:uid="{00000000-0005-0000-0000-000068060000}"/>
    <cellStyle name="Normal 4 3 5 2" xfId="1079" xr:uid="{00000000-0005-0000-0000-000069060000}"/>
    <cellStyle name="Normal 4 3 5 2 2" xfId="2081" xr:uid="{00000000-0005-0000-0000-00006A060000}"/>
    <cellStyle name="Normal 4 3 5 2 2 2" xfId="4303" xr:uid="{00000000-0005-0000-0000-00006B060000}"/>
    <cellStyle name="Normal 4 3 5 2 2 2 2" xfId="8303" xr:uid="{00000000-0005-0000-0000-00006B060000}"/>
    <cellStyle name="Normal 4 3 5 2 2 3" xfId="6302" xr:uid="{00000000-0005-0000-0000-00006B060000}"/>
    <cellStyle name="Normal 4 3 5 2 3" xfId="3305" xr:uid="{00000000-0005-0000-0000-00006A060000}"/>
    <cellStyle name="Normal 4 3 5 2 3 2" xfId="7304" xr:uid="{00000000-0005-0000-0000-00006A060000}"/>
    <cellStyle name="Normal 4 3 5 2 4" xfId="5303" xr:uid="{00000000-0005-0000-0000-00006A060000}"/>
    <cellStyle name="Normal 4 3 5 3" xfId="1585" xr:uid="{00000000-0005-0000-0000-00006B060000}"/>
    <cellStyle name="Normal 4 3 5 3 2" xfId="3807" xr:uid="{00000000-0005-0000-0000-00006C060000}"/>
    <cellStyle name="Normal 4 3 5 3 2 2" xfId="7807" xr:uid="{00000000-0005-0000-0000-00006C060000}"/>
    <cellStyle name="Normal 4 3 5 3 3" xfId="5806" xr:uid="{00000000-0005-0000-0000-00006C060000}"/>
    <cellStyle name="Normal 4 3 5 4" xfId="2810" xr:uid="{00000000-0005-0000-0000-000069060000}"/>
    <cellStyle name="Normal 4 3 5 4 2" xfId="6808" xr:uid="{00000000-0005-0000-0000-000069060000}"/>
    <cellStyle name="Normal 4 3 5 5" xfId="4807" xr:uid="{00000000-0005-0000-0000-000069060000}"/>
    <cellStyle name="Normal 4 3 6" xfId="831" xr:uid="{00000000-0005-0000-0000-00006C060000}"/>
    <cellStyle name="Normal 4 3 6 2" xfId="1833" xr:uid="{00000000-0005-0000-0000-00006D060000}"/>
    <cellStyle name="Normal 4 3 6 2 2" xfId="4055" xr:uid="{00000000-0005-0000-0000-00006E060000}"/>
    <cellStyle name="Normal 4 3 6 2 2 2" xfId="8055" xr:uid="{00000000-0005-0000-0000-00006E060000}"/>
    <cellStyle name="Normal 4 3 6 2 3" xfId="6054" xr:uid="{00000000-0005-0000-0000-00006E060000}"/>
    <cellStyle name="Normal 4 3 6 3" xfId="3057" xr:uid="{00000000-0005-0000-0000-00006D060000}"/>
    <cellStyle name="Normal 4 3 6 3 2" xfId="7056" xr:uid="{00000000-0005-0000-0000-00006D060000}"/>
    <cellStyle name="Normal 4 3 6 4" xfId="5055" xr:uid="{00000000-0005-0000-0000-00006D060000}"/>
    <cellStyle name="Normal 4 3 7" xfId="1337" xr:uid="{00000000-0005-0000-0000-00006E060000}"/>
    <cellStyle name="Normal 4 3 7 2" xfId="3559" xr:uid="{00000000-0005-0000-0000-00006F060000}"/>
    <cellStyle name="Normal 4 3 7 2 2" xfId="7559" xr:uid="{00000000-0005-0000-0000-00006F060000}"/>
    <cellStyle name="Normal 4 3 7 3" xfId="5558" xr:uid="{00000000-0005-0000-0000-00006F060000}"/>
    <cellStyle name="Normal 4 3 8" xfId="342" xr:uid="{00000000-0005-0000-0000-00004F060000}"/>
    <cellStyle name="Normal 4 3 8 2" xfId="6560" xr:uid="{00000000-0005-0000-0000-000050060000}"/>
    <cellStyle name="Normal 4 3 9" xfId="4559" xr:uid="{00000000-0005-0000-0000-000050060000}"/>
    <cellStyle name="Normal 4 4" xfId="260" xr:uid="{00000000-0005-0000-0000-000067000000}"/>
    <cellStyle name="Normal 4 4 2" xfId="471" xr:uid="{00000000-0005-0000-0000-000070060000}"/>
    <cellStyle name="Normal 4 4 2 2" xfId="718" xr:uid="{00000000-0005-0000-0000-000071060000}"/>
    <cellStyle name="Normal 4 4 2 2 2" xfId="1215" xr:uid="{00000000-0005-0000-0000-000072060000}"/>
    <cellStyle name="Normal 4 4 2 2 2 2" xfId="2217" xr:uid="{00000000-0005-0000-0000-000073060000}"/>
    <cellStyle name="Normal 4 4 2 2 2 2 2" xfId="4439" xr:uid="{00000000-0005-0000-0000-000074060000}"/>
    <cellStyle name="Normal 4 4 2 2 2 2 2 2" xfId="8439" xr:uid="{00000000-0005-0000-0000-000074060000}"/>
    <cellStyle name="Normal 4 4 2 2 2 2 3" xfId="6438" xr:uid="{00000000-0005-0000-0000-000074060000}"/>
    <cellStyle name="Normal 4 4 2 2 2 3" xfId="3441" xr:uid="{00000000-0005-0000-0000-000073060000}"/>
    <cellStyle name="Normal 4 4 2 2 2 3 2" xfId="7440" xr:uid="{00000000-0005-0000-0000-000073060000}"/>
    <cellStyle name="Normal 4 4 2 2 2 4" xfId="5439" xr:uid="{00000000-0005-0000-0000-000073060000}"/>
    <cellStyle name="Normal 4 4 2 2 3" xfId="1721" xr:uid="{00000000-0005-0000-0000-000074060000}"/>
    <cellStyle name="Normal 4 4 2 2 3 2" xfId="3943" xr:uid="{00000000-0005-0000-0000-000075060000}"/>
    <cellStyle name="Normal 4 4 2 2 3 2 2" xfId="7943" xr:uid="{00000000-0005-0000-0000-000075060000}"/>
    <cellStyle name="Normal 4 4 2 2 3 3" xfId="5942" xr:uid="{00000000-0005-0000-0000-000075060000}"/>
    <cellStyle name="Normal 4 4 2 2 4" xfId="2945" xr:uid="{00000000-0005-0000-0000-000072060000}"/>
    <cellStyle name="Normal 4 4 2 2 4 2" xfId="6944" xr:uid="{00000000-0005-0000-0000-000072060000}"/>
    <cellStyle name="Normal 4 4 2 2 5" xfId="4943" xr:uid="{00000000-0005-0000-0000-000072060000}"/>
    <cellStyle name="Normal 4 4 2 3" xfId="967" xr:uid="{00000000-0005-0000-0000-000075060000}"/>
    <cellStyle name="Normal 4 4 2 3 2" xfId="1969" xr:uid="{00000000-0005-0000-0000-000076060000}"/>
    <cellStyle name="Normal 4 4 2 3 2 2" xfId="4191" xr:uid="{00000000-0005-0000-0000-000077060000}"/>
    <cellStyle name="Normal 4 4 2 3 2 2 2" xfId="8191" xr:uid="{00000000-0005-0000-0000-000077060000}"/>
    <cellStyle name="Normal 4 4 2 3 2 3" xfId="6190" xr:uid="{00000000-0005-0000-0000-000077060000}"/>
    <cellStyle name="Normal 4 4 2 3 3" xfId="3193" xr:uid="{00000000-0005-0000-0000-000076060000}"/>
    <cellStyle name="Normal 4 4 2 3 3 2" xfId="7192" xr:uid="{00000000-0005-0000-0000-000076060000}"/>
    <cellStyle name="Normal 4 4 2 3 4" xfId="5191" xr:uid="{00000000-0005-0000-0000-000076060000}"/>
    <cellStyle name="Normal 4 4 2 4" xfId="1473" xr:uid="{00000000-0005-0000-0000-000077060000}"/>
    <cellStyle name="Normal 4 4 2 4 2" xfId="3695" xr:uid="{00000000-0005-0000-0000-000078060000}"/>
    <cellStyle name="Normal 4 4 2 4 2 2" xfId="7695" xr:uid="{00000000-0005-0000-0000-000078060000}"/>
    <cellStyle name="Normal 4 4 2 4 3" xfId="5694" xr:uid="{00000000-0005-0000-0000-000078060000}"/>
    <cellStyle name="Normal 4 4 2 5" xfId="2698" xr:uid="{00000000-0005-0000-0000-000071060000}"/>
    <cellStyle name="Normal 4 4 2 5 2" xfId="6696" xr:uid="{00000000-0005-0000-0000-000071060000}"/>
    <cellStyle name="Normal 4 4 2 6" xfId="4695" xr:uid="{00000000-0005-0000-0000-000071060000}"/>
    <cellStyle name="Normal 4 4 3" xfId="603" xr:uid="{00000000-0005-0000-0000-000078060000}"/>
    <cellStyle name="Normal 4 4 3 2" xfId="1101" xr:uid="{00000000-0005-0000-0000-000079060000}"/>
    <cellStyle name="Normal 4 4 3 2 2" xfId="2103" xr:uid="{00000000-0005-0000-0000-00007A060000}"/>
    <cellStyle name="Normal 4 4 3 2 2 2" xfId="4325" xr:uid="{00000000-0005-0000-0000-00007B060000}"/>
    <cellStyle name="Normal 4 4 3 2 2 2 2" xfId="8325" xr:uid="{00000000-0005-0000-0000-00007B060000}"/>
    <cellStyle name="Normal 4 4 3 2 2 3" xfId="6324" xr:uid="{00000000-0005-0000-0000-00007B060000}"/>
    <cellStyle name="Normal 4 4 3 2 3" xfId="3327" xr:uid="{00000000-0005-0000-0000-00007A060000}"/>
    <cellStyle name="Normal 4 4 3 2 3 2" xfId="7326" xr:uid="{00000000-0005-0000-0000-00007A060000}"/>
    <cellStyle name="Normal 4 4 3 2 4" xfId="5325" xr:uid="{00000000-0005-0000-0000-00007A060000}"/>
    <cellStyle name="Normal 4 4 3 3" xfId="1607" xr:uid="{00000000-0005-0000-0000-00007B060000}"/>
    <cellStyle name="Normal 4 4 3 3 2" xfId="3829" xr:uid="{00000000-0005-0000-0000-00007C060000}"/>
    <cellStyle name="Normal 4 4 3 3 2 2" xfId="7829" xr:uid="{00000000-0005-0000-0000-00007C060000}"/>
    <cellStyle name="Normal 4 4 3 3 3" xfId="5828" xr:uid="{00000000-0005-0000-0000-00007C060000}"/>
    <cellStyle name="Normal 4 4 3 4" xfId="2832" xr:uid="{00000000-0005-0000-0000-000079060000}"/>
    <cellStyle name="Normal 4 4 3 4 2" xfId="6830" xr:uid="{00000000-0005-0000-0000-000079060000}"/>
    <cellStyle name="Normal 4 4 3 5" xfId="4829" xr:uid="{00000000-0005-0000-0000-000079060000}"/>
    <cellStyle name="Normal 4 4 4" xfId="853" xr:uid="{00000000-0005-0000-0000-00007C060000}"/>
    <cellStyle name="Normal 4 4 4 2" xfId="1855" xr:uid="{00000000-0005-0000-0000-00007D060000}"/>
    <cellStyle name="Normal 4 4 4 2 2" xfId="4077" xr:uid="{00000000-0005-0000-0000-00007E060000}"/>
    <cellStyle name="Normal 4 4 4 2 2 2" xfId="8077" xr:uid="{00000000-0005-0000-0000-00007E060000}"/>
    <cellStyle name="Normal 4 4 4 2 3" xfId="6076" xr:uid="{00000000-0005-0000-0000-00007E060000}"/>
    <cellStyle name="Normal 4 4 4 3" xfId="3079" xr:uid="{00000000-0005-0000-0000-00007D060000}"/>
    <cellStyle name="Normal 4 4 4 3 2" xfId="7078" xr:uid="{00000000-0005-0000-0000-00007D060000}"/>
    <cellStyle name="Normal 4 4 4 4" xfId="5077" xr:uid="{00000000-0005-0000-0000-00007D060000}"/>
    <cellStyle name="Normal 4 4 5" xfId="1359" xr:uid="{00000000-0005-0000-0000-00007E060000}"/>
    <cellStyle name="Normal 4 4 5 2" xfId="3581" xr:uid="{00000000-0005-0000-0000-00007F060000}"/>
    <cellStyle name="Normal 4 4 5 2 2" xfId="7581" xr:uid="{00000000-0005-0000-0000-00007F060000}"/>
    <cellStyle name="Normal 4 4 5 3" xfId="5580" xr:uid="{00000000-0005-0000-0000-00007F060000}"/>
    <cellStyle name="Normal 4 4 6" xfId="2593" xr:uid="{00000000-0005-0000-0000-000070060000}"/>
    <cellStyle name="Normal 4 4 6 2" xfId="6582" xr:uid="{00000000-0005-0000-0000-000070060000}"/>
    <cellStyle name="Normal 4 4 7" xfId="4581" xr:uid="{00000000-0005-0000-0000-000070060000}"/>
    <cellStyle name="Normal 4 5" xfId="256" xr:uid="{00000000-0005-0000-0000-000063000000}"/>
    <cellStyle name="Normal 4 5 2" xfId="626" xr:uid="{00000000-0005-0000-0000-000080060000}"/>
    <cellStyle name="Normal 4 5 2 2" xfId="1123" xr:uid="{00000000-0005-0000-0000-000081060000}"/>
    <cellStyle name="Normal 4 5 2 2 2" xfId="2125" xr:uid="{00000000-0005-0000-0000-000082060000}"/>
    <cellStyle name="Normal 4 5 2 2 2 2" xfId="4347" xr:uid="{00000000-0005-0000-0000-000083060000}"/>
    <cellStyle name="Normal 4 5 2 2 2 2 2" xfId="8347" xr:uid="{00000000-0005-0000-0000-000083060000}"/>
    <cellStyle name="Normal 4 5 2 2 2 3" xfId="6346" xr:uid="{00000000-0005-0000-0000-000083060000}"/>
    <cellStyle name="Normal 4 5 2 2 3" xfId="3349" xr:uid="{00000000-0005-0000-0000-000082060000}"/>
    <cellStyle name="Normal 4 5 2 2 3 2" xfId="7348" xr:uid="{00000000-0005-0000-0000-000082060000}"/>
    <cellStyle name="Normal 4 5 2 2 4" xfId="5347" xr:uid="{00000000-0005-0000-0000-000082060000}"/>
    <cellStyle name="Normal 4 5 2 3" xfId="1629" xr:uid="{00000000-0005-0000-0000-000083060000}"/>
    <cellStyle name="Normal 4 5 2 3 2" xfId="3851" xr:uid="{00000000-0005-0000-0000-000084060000}"/>
    <cellStyle name="Normal 4 5 2 3 2 2" xfId="7851" xr:uid="{00000000-0005-0000-0000-000084060000}"/>
    <cellStyle name="Normal 4 5 2 3 3" xfId="5850" xr:uid="{00000000-0005-0000-0000-000084060000}"/>
    <cellStyle name="Normal 4 5 2 4" xfId="2853" xr:uid="{00000000-0005-0000-0000-000081060000}"/>
    <cellStyle name="Normal 4 5 2 4 2" xfId="6852" xr:uid="{00000000-0005-0000-0000-000081060000}"/>
    <cellStyle name="Normal 4 5 2 5" xfId="4851" xr:uid="{00000000-0005-0000-0000-000081060000}"/>
    <cellStyle name="Normal 4 5 3" xfId="875" xr:uid="{00000000-0005-0000-0000-000084060000}"/>
    <cellStyle name="Normal 4 5 3 2" xfId="1877" xr:uid="{00000000-0005-0000-0000-000085060000}"/>
    <cellStyle name="Normal 4 5 3 2 2" xfId="4099" xr:uid="{00000000-0005-0000-0000-000086060000}"/>
    <cellStyle name="Normal 4 5 3 2 2 2" xfId="8099" xr:uid="{00000000-0005-0000-0000-000086060000}"/>
    <cellStyle name="Normal 4 5 3 2 3" xfId="6098" xr:uid="{00000000-0005-0000-0000-000086060000}"/>
    <cellStyle name="Normal 4 5 3 3" xfId="3101" xr:uid="{00000000-0005-0000-0000-000085060000}"/>
    <cellStyle name="Normal 4 5 3 3 2" xfId="7100" xr:uid="{00000000-0005-0000-0000-000085060000}"/>
    <cellStyle name="Normal 4 5 3 4" xfId="5099" xr:uid="{00000000-0005-0000-0000-000085060000}"/>
    <cellStyle name="Normal 4 5 4" xfId="1381" xr:uid="{00000000-0005-0000-0000-000086060000}"/>
    <cellStyle name="Normal 4 5 4 2" xfId="3603" xr:uid="{00000000-0005-0000-0000-000087060000}"/>
    <cellStyle name="Normal 4 5 4 2 2" xfId="7603" xr:uid="{00000000-0005-0000-0000-000087060000}"/>
    <cellStyle name="Normal 4 5 4 3" xfId="5602" xr:uid="{00000000-0005-0000-0000-000087060000}"/>
    <cellStyle name="Normal 4 5 5" xfId="380" xr:uid="{00000000-0005-0000-0000-00007F060000}"/>
    <cellStyle name="Normal 4 5 5 2" xfId="6604" xr:uid="{00000000-0005-0000-0000-000080060000}"/>
    <cellStyle name="Normal 4 5 6" xfId="4603" xr:uid="{00000000-0005-0000-0000-000080060000}"/>
    <cellStyle name="Normal 4 6" xfId="425" xr:uid="{00000000-0005-0000-0000-000087060000}"/>
    <cellStyle name="Normal 4 6 2" xfId="672" xr:uid="{00000000-0005-0000-0000-000088060000}"/>
    <cellStyle name="Normal 4 6 2 2" xfId="1169" xr:uid="{00000000-0005-0000-0000-000089060000}"/>
    <cellStyle name="Normal 4 6 2 2 2" xfId="2171" xr:uid="{00000000-0005-0000-0000-00008A060000}"/>
    <cellStyle name="Normal 4 6 2 2 2 2" xfId="4393" xr:uid="{00000000-0005-0000-0000-00008B060000}"/>
    <cellStyle name="Normal 4 6 2 2 2 2 2" xfId="8393" xr:uid="{00000000-0005-0000-0000-00008B060000}"/>
    <cellStyle name="Normal 4 6 2 2 2 3" xfId="6392" xr:uid="{00000000-0005-0000-0000-00008B060000}"/>
    <cellStyle name="Normal 4 6 2 2 3" xfId="3395" xr:uid="{00000000-0005-0000-0000-00008A060000}"/>
    <cellStyle name="Normal 4 6 2 2 3 2" xfId="7394" xr:uid="{00000000-0005-0000-0000-00008A060000}"/>
    <cellStyle name="Normal 4 6 2 2 4" xfId="5393" xr:uid="{00000000-0005-0000-0000-00008A060000}"/>
    <cellStyle name="Normal 4 6 2 3" xfId="1675" xr:uid="{00000000-0005-0000-0000-00008B060000}"/>
    <cellStyle name="Normal 4 6 2 3 2" xfId="3897" xr:uid="{00000000-0005-0000-0000-00008C060000}"/>
    <cellStyle name="Normal 4 6 2 3 2 2" xfId="7897" xr:uid="{00000000-0005-0000-0000-00008C060000}"/>
    <cellStyle name="Normal 4 6 2 3 3" xfId="5896" xr:uid="{00000000-0005-0000-0000-00008C060000}"/>
    <cellStyle name="Normal 4 6 2 4" xfId="2899" xr:uid="{00000000-0005-0000-0000-000089060000}"/>
    <cellStyle name="Normal 4 6 2 4 2" xfId="6898" xr:uid="{00000000-0005-0000-0000-000089060000}"/>
    <cellStyle name="Normal 4 6 2 5" xfId="4897" xr:uid="{00000000-0005-0000-0000-000089060000}"/>
    <cellStyle name="Normal 4 6 3" xfId="921" xr:uid="{00000000-0005-0000-0000-00008C060000}"/>
    <cellStyle name="Normal 4 6 3 2" xfId="1923" xr:uid="{00000000-0005-0000-0000-00008D060000}"/>
    <cellStyle name="Normal 4 6 3 2 2" xfId="4145" xr:uid="{00000000-0005-0000-0000-00008E060000}"/>
    <cellStyle name="Normal 4 6 3 2 2 2" xfId="8145" xr:uid="{00000000-0005-0000-0000-00008E060000}"/>
    <cellStyle name="Normal 4 6 3 2 3" xfId="6144" xr:uid="{00000000-0005-0000-0000-00008E060000}"/>
    <cellStyle name="Normal 4 6 3 3" xfId="3147" xr:uid="{00000000-0005-0000-0000-00008D060000}"/>
    <cellStyle name="Normal 4 6 3 3 2" xfId="7146" xr:uid="{00000000-0005-0000-0000-00008D060000}"/>
    <cellStyle name="Normal 4 6 3 4" xfId="5145" xr:uid="{00000000-0005-0000-0000-00008D060000}"/>
    <cellStyle name="Normal 4 6 4" xfId="1427" xr:uid="{00000000-0005-0000-0000-00008E060000}"/>
    <cellStyle name="Normal 4 6 4 2" xfId="3649" xr:uid="{00000000-0005-0000-0000-00008F060000}"/>
    <cellStyle name="Normal 4 6 4 2 2" xfId="7649" xr:uid="{00000000-0005-0000-0000-00008F060000}"/>
    <cellStyle name="Normal 4 6 4 3" xfId="5648" xr:uid="{00000000-0005-0000-0000-00008F060000}"/>
    <cellStyle name="Normal 4 6 5" xfId="2653" xr:uid="{00000000-0005-0000-0000-000088060000}"/>
    <cellStyle name="Normal 4 6 5 2" xfId="6650" xr:uid="{00000000-0005-0000-0000-000088060000}"/>
    <cellStyle name="Normal 4 6 6" xfId="4649" xr:uid="{00000000-0005-0000-0000-000088060000}"/>
    <cellStyle name="Normal 4 7" xfId="491" xr:uid="{00000000-0005-0000-0000-00008F060000}"/>
    <cellStyle name="Normal 4 7 2" xfId="738" xr:uid="{00000000-0005-0000-0000-000090060000}"/>
    <cellStyle name="Normal 4 7 2 2" xfId="1235" xr:uid="{00000000-0005-0000-0000-000091060000}"/>
    <cellStyle name="Normal 4 7 2 2 2" xfId="2237" xr:uid="{00000000-0005-0000-0000-000092060000}"/>
    <cellStyle name="Normal 4 7 2 2 2 2" xfId="4459" xr:uid="{00000000-0005-0000-0000-000093060000}"/>
    <cellStyle name="Normal 4 7 2 2 2 2 2" xfId="8459" xr:uid="{00000000-0005-0000-0000-000093060000}"/>
    <cellStyle name="Normal 4 7 2 2 2 3" xfId="6458" xr:uid="{00000000-0005-0000-0000-000093060000}"/>
    <cellStyle name="Normal 4 7 2 2 3" xfId="3461" xr:uid="{00000000-0005-0000-0000-000092060000}"/>
    <cellStyle name="Normal 4 7 2 2 3 2" xfId="7460" xr:uid="{00000000-0005-0000-0000-000092060000}"/>
    <cellStyle name="Normal 4 7 2 2 4" xfId="5459" xr:uid="{00000000-0005-0000-0000-000092060000}"/>
    <cellStyle name="Normal 4 7 2 3" xfId="1741" xr:uid="{00000000-0005-0000-0000-000093060000}"/>
    <cellStyle name="Normal 4 7 2 3 2" xfId="3963" xr:uid="{00000000-0005-0000-0000-000094060000}"/>
    <cellStyle name="Normal 4 7 2 3 2 2" xfId="7963" xr:uid="{00000000-0005-0000-0000-000094060000}"/>
    <cellStyle name="Normal 4 7 2 3 3" xfId="5962" xr:uid="{00000000-0005-0000-0000-000094060000}"/>
    <cellStyle name="Normal 4 7 2 4" xfId="2965" xr:uid="{00000000-0005-0000-0000-000091060000}"/>
    <cellStyle name="Normal 4 7 2 4 2" xfId="6964" xr:uid="{00000000-0005-0000-0000-000091060000}"/>
    <cellStyle name="Normal 4 7 2 5" xfId="4963" xr:uid="{00000000-0005-0000-0000-000091060000}"/>
    <cellStyle name="Normal 4 7 3" xfId="987" xr:uid="{00000000-0005-0000-0000-000094060000}"/>
    <cellStyle name="Normal 4 7 3 2" xfId="1989" xr:uid="{00000000-0005-0000-0000-000095060000}"/>
    <cellStyle name="Normal 4 7 3 2 2" xfId="4211" xr:uid="{00000000-0005-0000-0000-000096060000}"/>
    <cellStyle name="Normal 4 7 3 2 2 2" xfId="8211" xr:uid="{00000000-0005-0000-0000-000096060000}"/>
    <cellStyle name="Normal 4 7 3 2 3" xfId="6210" xr:uid="{00000000-0005-0000-0000-000096060000}"/>
    <cellStyle name="Normal 4 7 3 3" xfId="3213" xr:uid="{00000000-0005-0000-0000-000095060000}"/>
    <cellStyle name="Normal 4 7 3 3 2" xfId="7212" xr:uid="{00000000-0005-0000-0000-000095060000}"/>
    <cellStyle name="Normal 4 7 3 4" xfId="5211" xr:uid="{00000000-0005-0000-0000-000095060000}"/>
    <cellStyle name="Normal 4 7 4" xfId="1493" xr:uid="{00000000-0005-0000-0000-000096060000}"/>
    <cellStyle name="Normal 4 7 4 2" xfId="3715" xr:uid="{00000000-0005-0000-0000-000097060000}"/>
    <cellStyle name="Normal 4 7 4 2 2" xfId="7715" xr:uid="{00000000-0005-0000-0000-000097060000}"/>
    <cellStyle name="Normal 4 7 4 3" xfId="5714" xr:uid="{00000000-0005-0000-0000-000097060000}"/>
    <cellStyle name="Normal 4 7 5" xfId="2718" xr:uid="{00000000-0005-0000-0000-000090060000}"/>
    <cellStyle name="Normal 4 7 5 2" xfId="6716" xr:uid="{00000000-0005-0000-0000-000090060000}"/>
    <cellStyle name="Normal 4 7 6" xfId="4715" xr:uid="{00000000-0005-0000-0000-000090060000}"/>
    <cellStyle name="Normal 4 8" xfId="511" xr:uid="{00000000-0005-0000-0000-000097060000}"/>
    <cellStyle name="Normal 4 8 2" xfId="758" xr:uid="{00000000-0005-0000-0000-000098060000}"/>
    <cellStyle name="Normal 4 8 2 2" xfId="1256" xr:uid="{00000000-0005-0000-0000-000099060000}"/>
    <cellStyle name="Normal 4 8 2 2 2" xfId="2258" xr:uid="{00000000-0005-0000-0000-00009A060000}"/>
    <cellStyle name="Normal 4 8 2 2 2 2" xfId="4480" xr:uid="{00000000-0005-0000-0000-00009B060000}"/>
    <cellStyle name="Normal 4 8 2 2 2 2 2" xfId="8480" xr:uid="{00000000-0005-0000-0000-00009B060000}"/>
    <cellStyle name="Normal 4 8 2 2 2 3" xfId="6479" xr:uid="{00000000-0005-0000-0000-00009B060000}"/>
    <cellStyle name="Normal 4 8 2 2 3" xfId="3482" xr:uid="{00000000-0005-0000-0000-00009A060000}"/>
    <cellStyle name="Normal 4 8 2 2 3 2" xfId="7481" xr:uid="{00000000-0005-0000-0000-00009A060000}"/>
    <cellStyle name="Normal 4 8 2 2 4" xfId="5480" xr:uid="{00000000-0005-0000-0000-00009A060000}"/>
    <cellStyle name="Normal 4 8 2 3" xfId="1762" xr:uid="{00000000-0005-0000-0000-00009B060000}"/>
    <cellStyle name="Normal 4 8 2 3 2" xfId="3984" xr:uid="{00000000-0005-0000-0000-00009C060000}"/>
    <cellStyle name="Normal 4 8 2 3 2 2" xfId="7984" xr:uid="{00000000-0005-0000-0000-00009C060000}"/>
    <cellStyle name="Normal 4 8 2 3 3" xfId="5983" xr:uid="{00000000-0005-0000-0000-00009C060000}"/>
    <cellStyle name="Normal 4 8 2 4" xfId="2986" xr:uid="{00000000-0005-0000-0000-000099060000}"/>
    <cellStyle name="Normal 4 8 2 4 2" xfId="6985" xr:uid="{00000000-0005-0000-0000-000099060000}"/>
    <cellStyle name="Normal 4 8 2 5" xfId="4984" xr:uid="{00000000-0005-0000-0000-000099060000}"/>
    <cellStyle name="Normal 4 8 3" xfId="1008" xr:uid="{00000000-0005-0000-0000-00009C060000}"/>
    <cellStyle name="Normal 4 8 3 2" xfId="2010" xr:uid="{00000000-0005-0000-0000-00009D060000}"/>
    <cellStyle name="Normal 4 8 3 2 2" xfId="4232" xr:uid="{00000000-0005-0000-0000-00009E060000}"/>
    <cellStyle name="Normal 4 8 3 2 2 2" xfId="8232" xr:uid="{00000000-0005-0000-0000-00009E060000}"/>
    <cellStyle name="Normal 4 8 3 2 3" xfId="6231" xr:uid="{00000000-0005-0000-0000-00009E060000}"/>
    <cellStyle name="Normal 4 8 3 3" xfId="3234" xr:uid="{00000000-0005-0000-0000-00009D060000}"/>
    <cellStyle name="Normal 4 8 3 3 2" xfId="7233" xr:uid="{00000000-0005-0000-0000-00009D060000}"/>
    <cellStyle name="Normal 4 8 3 4" xfId="5232" xr:uid="{00000000-0005-0000-0000-00009D060000}"/>
    <cellStyle name="Normal 4 8 4" xfId="1514" xr:uid="{00000000-0005-0000-0000-00009E060000}"/>
    <cellStyle name="Normal 4 8 4 2" xfId="3736" xr:uid="{00000000-0005-0000-0000-00009F060000}"/>
    <cellStyle name="Normal 4 8 4 2 2" xfId="7736" xr:uid="{00000000-0005-0000-0000-00009F060000}"/>
    <cellStyle name="Normal 4 8 4 3" xfId="5735" xr:uid="{00000000-0005-0000-0000-00009F060000}"/>
    <cellStyle name="Normal 4 8 5" xfId="2739" xr:uid="{00000000-0005-0000-0000-000098060000}"/>
    <cellStyle name="Normal 4 8 5 2" xfId="6737" xr:uid="{00000000-0005-0000-0000-000098060000}"/>
    <cellStyle name="Normal 4 8 6" xfId="4736" xr:uid="{00000000-0005-0000-0000-000098060000}"/>
    <cellStyle name="Normal 4 9" xfId="557" xr:uid="{00000000-0005-0000-0000-00009F060000}"/>
    <cellStyle name="Normal 4 9 2" xfId="1055" xr:uid="{00000000-0005-0000-0000-0000A0060000}"/>
    <cellStyle name="Normal 4 9 2 2" xfId="2057" xr:uid="{00000000-0005-0000-0000-0000A1060000}"/>
    <cellStyle name="Normal 4 9 2 2 2" xfId="4279" xr:uid="{00000000-0005-0000-0000-0000A2060000}"/>
    <cellStyle name="Normal 4 9 2 2 2 2" xfId="8279" xr:uid="{00000000-0005-0000-0000-0000A2060000}"/>
    <cellStyle name="Normal 4 9 2 2 3" xfId="6278" xr:uid="{00000000-0005-0000-0000-0000A2060000}"/>
    <cellStyle name="Normal 4 9 2 3" xfId="3281" xr:uid="{00000000-0005-0000-0000-0000A1060000}"/>
    <cellStyle name="Normal 4 9 2 3 2" xfId="7280" xr:uid="{00000000-0005-0000-0000-0000A1060000}"/>
    <cellStyle name="Normal 4 9 2 4" xfId="5279" xr:uid="{00000000-0005-0000-0000-0000A1060000}"/>
    <cellStyle name="Normal 4 9 3" xfId="1561" xr:uid="{00000000-0005-0000-0000-0000A2060000}"/>
    <cellStyle name="Normal 4 9 3 2" xfId="3783" xr:uid="{00000000-0005-0000-0000-0000A3060000}"/>
    <cellStyle name="Normal 4 9 3 2 2" xfId="7783" xr:uid="{00000000-0005-0000-0000-0000A3060000}"/>
    <cellStyle name="Normal 4 9 3 3" xfId="5782" xr:uid="{00000000-0005-0000-0000-0000A3060000}"/>
    <cellStyle name="Normal 4 9 4" xfId="2786" xr:uid="{00000000-0005-0000-0000-0000A0060000}"/>
    <cellStyle name="Normal 4 9 4 2" xfId="6784" xr:uid="{00000000-0005-0000-0000-0000A0060000}"/>
    <cellStyle name="Normal 4 9 5" xfId="4783" xr:uid="{00000000-0005-0000-0000-0000A0060000}"/>
    <cellStyle name="Normal 40" xfId="2444" xr:uid="{00000000-0005-0000-0000-0000AE090000}"/>
    <cellStyle name="Normal 41" xfId="2445" xr:uid="{00000000-0005-0000-0000-0000B0090000}"/>
    <cellStyle name="Normal 42" xfId="2443" xr:uid="{00000000-0005-0000-0000-0000B2090000}"/>
    <cellStyle name="Normal 43" xfId="2435" xr:uid="{00000000-0005-0000-0000-0000B4090000}"/>
    <cellStyle name="Normal 44" xfId="2432" xr:uid="{00000000-0005-0000-0000-0000B6090000}"/>
    <cellStyle name="Normal 45" xfId="2439" xr:uid="{00000000-0005-0000-0000-0000BA090000}"/>
    <cellStyle name="Normal 451" xfId="1298" xr:uid="{00000000-0005-0000-0000-0000A3060000}"/>
    <cellStyle name="Normal 451 2" xfId="2298" xr:uid="{00000000-0005-0000-0000-0000A4060000}"/>
    <cellStyle name="Normal 451 2 2" xfId="4519" xr:uid="{00000000-0005-0000-0000-0000A5060000}"/>
    <cellStyle name="Normal 451 2 2 2" xfId="8519" xr:uid="{00000000-0005-0000-0000-0000A5060000}"/>
    <cellStyle name="Normal 451 2 3" xfId="6519" xr:uid="{00000000-0005-0000-0000-0000A5060000}"/>
    <cellStyle name="Normal 451 3" xfId="3521" xr:uid="{00000000-0005-0000-0000-0000A4060000}"/>
    <cellStyle name="Normal 451 3 2" xfId="7520" xr:uid="{00000000-0005-0000-0000-0000A4060000}"/>
    <cellStyle name="Normal 451 4" xfId="5519" xr:uid="{00000000-0005-0000-0000-0000A4060000}"/>
    <cellStyle name="Normal 46" xfId="2438" xr:uid="{00000000-0005-0000-0000-0000BC090000}"/>
    <cellStyle name="Normal 47" xfId="2451" xr:uid="{00000000-0005-0000-0000-0000C0090000}"/>
    <cellStyle name="Normal 48" xfId="2455" xr:uid="{00000000-0005-0000-0000-0000C2090000}"/>
    <cellStyle name="Normal 49" xfId="2460" xr:uid="{00000000-0005-0000-0000-0000C4090000}"/>
    <cellStyle name="Normal 5" xfId="31" xr:uid="{00000000-0005-0000-0000-000039000000}"/>
    <cellStyle name="Normal 5 10" xfId="808" xr:uid="{00000000-0005-0000-0000-0000A6060000}"/>
    <cellStyle name="Normal 5 10 2" xfId="1810" xr:uid="{00000000-0005-0000-0000-0000A7060000}"/>
    <cellStyle name="Normal 5 10 2 2" xfId="4032" xr:uid="{00000000-0005-0000-0000-0000A8060000}"/>
    <cellStyle name="Normal 5 10 2 2 2" xfId="8032" xr:uid="{00000000-0005-0000-0000-0000A8060000}"/>
    <cellStyle name="Normal 5 10 2 3" xfId="6031" xr:uid="{00000000-0005-0000-0000-0000A8060000}"/>
    <cellStyle name="Normal 5 10 3" xfId="3034" xr:uid="{00000000-0005-0000-0000-0000A7060000}"/>
    <cellStyle name="Normal 5 10 3 2" xfId="7033" xr:uid="{00000000-0005-0000-0000-0000A7060000}"/>
    <cellStyle name="Normal 5 10 4" xfId="5032" xr:uid="{00000000-0005-0000-0000-0000A7060000}"/>
    <cellStyle name="Normal 5 11" xfId="1302" xr:uid="{00000000-0005-0000-0000-0000A8060000}"/>
    <cellStyle name="Normal 5 11 2" xfId="3524" xr:uid="{00000000-0005-0000-0000-0000A9060000}"/>
    <cellStyle name="Normal 5 11 2 2" xfId="7524" xr:uid="{00000000-0005-0000-0000-0000A9060000}"/>
    <cellStyle name="Normal 5 11 3" xfId="5523" xr:uid="{00000000-0005-0000-0000-0000A9060000}"/>
    <cellStyle name="Normal 5 12" xfId="2324" xr:uid="{00000000-0005-0000-0000-000022000000}"/>
    <cellStyle name="Normal 5 12 2" xfId="6524" xr:uid="{00000000-0005-0000-0000-0000A6060000}"/>
    <cellStyle name="Normal 5 12 3" xfId="2540" xr:uid="{00000000-0005-0000-0000-0000A6060000}"/>
    <cellStyle name="Normal 5 13" xfId="4524" xr:uid="{00000000-0005-0000-0000-0000A6060000}"/>
    <cellStyle name="Normal 5 2" xfId="122" xr:uid="{00000000-0005-0000-0000-00003A000000}"/>
    <cellStyle name="Normal 5 2 2" xfId="261" xr:uid="{00000000-0005-0000-0000-000069000000}"/>
    <cellStyle name="Normal 5 2 2 2" xfId="651" xr:uid="{00000000-0005-0000-0000-0000AB060000}"/>
    <cellStyle name="Normal 5 2 2 2 2" xfId="1148" xr:uid="{00000000-0005-0000-0000-0000AC060000}"/>
    <cellStyle name="Normal 5 2 2 2 2 2" xfId="2150" xr:uid="{00000000-0005-0000-0000-0000AD060000}"/>
    <cellStyle name="Normal 5 2 2 2 2 2 2" xfId="4372" xr:uid="{00000000-0005-0000-0000-0000AE060000}"/>
    <cellStyle name="Normal 5 2 2 2 2 2 2 2" xfId="8372" xr:uid="{00000000-0005-0000-0000-0000AE060000}"/>
    <cellStyle name="Normal 5 2 2 2 2 2 3" xfId="6371" xr:uid="{00000000-0005-0000-0000-0000AE060000}"/>
    <cellStyle name="Normal 5 2 2 2 2 3" xfId="3374" xr:uid="{00000000-0005-0000-0000-0000AD060000}"/>
    <cellStyle name="Normal 5 2 2 2 2 3 2" xfId="7373" xr:uid="{00000000-0005-0000-0000-0000AD060000}"/>
    <cellStyle name="Normal 5 2 2 2 2 4" xfId="5372" xr:uid="{00000000-0005-0000-0000-0000AD060000}"/>
    <cellStyle name="Normal 5 2 2 2 3" xfId="1654" xr:uid="{00000000-0005-0000-0000-0000AE060000}"/>
    <cellStyle name="Normal 5 2 2 2 3 2" xfId="3876" xr:uid="{00000000-0005-0000-0000-0000AF060000}"/>
    <cellStyle name="Normal 5 2 2 2 3 2 2" xfId="7876" xr:uid="{00000000-0005-0000-0000-0000AF060000}"/>
    <cellStyle name="Normal 5 2 2 2 3 3" xfId="5875" xr:uid="{00000000-0005-0000-0000-0000AF060000}"/>
    <cellStyle name="Normal 5 2 2 2 4" xfId="2878" xr:uid="{00000000-0005-0000-0000-0000AC060000}"/>
    <cellStyle name="Normal 5 2 2 2 4 2" xfId="6877" xr:uid="{00000000-0005-0000-0000-0000AC060000}"/>
    <cellStyle name="Normal 5 2 2 2 5" xfId="4876" xr:uid="{00000000-0005-0000-0000-0000AC060000}"/>
    <cellStyle name="Normal 5 2 2 3" xfId="900" xr:uid="{00000000-0005-0000-0000-0000AF060000}"/>
    <cellStyle name="Normal 5 2 2 3 2" xfId="1902" xr:uid="{00000000-0005-0000-0000-0000B0060000}"/>
    <cellStyle name="Normal 5 2 2 3 2 2" xfId="4124" xr:uid="{00000000-0005-0000-0000-0000B1060000}"/>
    <cellStyle name="Normal 5 2 2 3 2 2 2" xfId="8124" xr:uid="{00000000-0005-0000-0000-0000B1060000}"/>
    <cellStyle name="Normal 5 2 2 3 2 3" xfId="6123" xr:uid="{00000000-0005-0000-0000-0000B1060000}"/>
    <cellStyle name="Normal 5 2 2 3 3" xfId="3126" xr:uid="{00000000-0005-0000-0000-0000B0060000}"/>
    <cellStyle name="Normal 5 2 2 3 3 2" xfId="7125" xr:uid="{00000000-0005-0000-0000-0000B0060000}"/>
    <cellStyle name="Normal 5 2 2 3 4" xfId="5124" xr:uid="{00000000-0005-0000-0000-0000B0060000}"/>
    <cellStyle name="Normal 5 2 2 4" xfId="1406" xr:uid="{00000000-0005-0000-0000-0000B1060000}"/>
    <cellStyle name="Normal 5 2 2 4 2" xfId="3628" xr:uid="{00000000-0005-0000-0000-0000B2060000}"/>
    <cellStyle name="Normal 5 2 2 4 2 2" xfId="7628" xr:uid="{00000000-0005-0000-0000-0000B2060000}"/>
    <cellStyle name="Normal 5 2 2 4 3" xfId="5627" xr:uid="{00000000-0005-0000-0000-0000B2060000}"/>
    <cellStyle name="Normal 5 2 2 5" xfId="404" xr:uid="{00000000-0005-0000-0000-0000AA060000}"/>
    <cellStyle name="Normal 5 2 2 5 2" xfId="6629" xr:uid="{00000000-0005-0000-0000-0000AB060000}"/>
    <cellStyle name="Normal 5 2 2 6" xfId="4628" xr:uid="{00000000-0005-0000-0000-0000AB060000}"/>
    <cellStyle name="Normal 5 2 3" xfId="450" xr:uid="{00000000-0005-0000-0000-0000B2060000}"/>
    <cellStyle name="Normal 5 2 3 2" xfId="697" xr:uid="{00000000-0005-0000-0000-0000B3060000}"/>
    <cellStyle name="Normal 5 2 3 2 2" xfId="1194" xr:uid="{00000000-0005-0000-0000-0000B4060000}"/>
    <cellStyle name="Normal 5 2 3 2 2 2" xfId="2196" xr:uid="{00000000-0005-0000-0000-0000B5060000}"/>
    <cellStyle name="Normal 5 2 3 2 2 2 2" xfId="4418" xr:uid="{00000000-0005-0000-0000-0000B6060000}"/>
    <cellStyle name="Normal 5 2 3 2 2 2 2 2" xfId="8418" xr:uid="{00000000-0005-0000-0000-0000B6060000}"/>
    <cellStyle name="Normal 5 2 3 2 2 2 3" xfId="6417" xr:uid="{00000000-0005-0000-0000-0000B6060000}"/>
    <cellStyle name="Normal 5 2 3 2 2 3" xfId="3420" xr:uid="{00000000-0005-0000-0000-0000B5060000}"/>
    <cellStyle name="Normal 5 2 3 2 2 3 2" xfId="7419" xr:uid="{00000000-0005-0000-0000-0000B5060000}"/>
    <cellStyle name="Normal 5 2 3 2 2 4" xfId="5418" xr:uid="{00000000-0005-0000-0000-0000B5060000}"/>
    <cellStyle name="Normal 5 2 3 2 3" xfId="1700" xr:uid="{00000000-0005-0000-0000-0000B6060000}"/>
    <cellStyle name="Normal 5 2 3 2 3 2" xfId="3922" xr:uid="{00000000-0005-0000-0000-0000B7060000}"/>
    <cellStyle name="Normal 5 2 3 2 3 2 2" xfId="7922" xr:uid="{00000000-0005-0000-0000-0000B7060000}"/>
    <cellStyle name="Normal 5 2 3 2 3 3" xfId="5921" xr:uid="{00000000-0005-0000-0000-0000B7060000}"/>
    <cellStyle name="Normal 5 2 3 2 4" xfId="2924" xr:uid="{00000000-0005-0000-0000-0000B4060000}"/>
    <cellStyle name="Normal 5 2 3 2 4 2" xfId="6923" xr:uid="{00000000-0005-0000-0000-0000B4060000}"/>
    <cellStyle name="Normal 5 2 3 2 5" xfId="4922" xr:uid="{00000000-0005-0000-0000-0000B4060000}"/>
    <cellStyle name="Normal 5 2 3 3" xfId="946" xr:uid="{00000000-0005-0000-0000-0000B7060000}"/>
    <cellStyle name="Normal 5 2 3 3 2" xfId="1948" xr:uid="{00000000-0005-0000-0000-0000B8060000}"/>
    <cellStyle name="Normal 5 2 3 3 2 2" xfId="4170" xr:uid="{00000000-0005-0000-0000-0000B9060000}"/>
    <cellStyle name="Normal 5 2 3 3 2 2 2" xfId="8170" xr:uid="{00000000-0005-0000-0000-0000B9060000}"/>
    <cellStyle name="Normal 5 2 3 3 2 3" xfId="6169" xr:uid="{00000000-0005-0000-0000-0000B9060000}"/>
    <cellStyle name="Normal 5 2 3 3 3" xfId="3172" xr:uid="{00000000-0005-0000-0000-0000B8060000}"/>
    <cellStyle name="Normal 5 2 3 3 3 2" xfId="7171" xr:uid="{00000000-0005-0000-0000-0000B8060000}"/>
    <cellStyle name="Normal 5 2 3 3 4" xfId="5170" xr:uid="{00000000-0005-0000-0000-0000B8060000}"/>
    <cellStyle name="Normal 5 2 3 4" xfId="1452" xr:uid="{00000000-0005-0000-0000-0000B9060000}"/>
    <cellStyle name="Normal 5 2 3 4 2" xfId="3674" xr:uid="{00000000-0005-0000-0000-0000BA060000}"/>
    <cellStyle name="Normal 5 2 3 4 2 2" xfId="7674" xr:uid="{00000000-0005-0000-0000-0000BA060000}"/>
    <cellStyle name="Normal 5 2 3 4 3" xfId="5673" xr:uid="{00000000-0005-0000-0000-0000BA060000}"/>
    <cellStyle name="Normal 5 2 3 5" xfId="2677" xr:uid="{00000000-0005-0000-0000-0000B3060000}"/>
    <cellStyle name="Normal 5 2 3 5 2" xfId="6675" xr:uid="{00000000-0005-0000-0000-0000B3060000}"/>
    <cellStyle name="Normal 5 2 3 6" xfId="4674" xr:uid="{00000000-0005-0000-0000-0000B3060000}"/>
    <cellStyle name="Normal 5 2 4" xfId="536" xr:uid="{00000000-0005-0000-0000-0000BA060000}"/>
    <cellStyle name="Normal 5 2 4 2" xfId="783" xr:uid="{00000000-0005-0000-0000-0000BB060000}"/>
    <cellStyle name="Normal 5 2 4 2 2" xfId="1281" xr:uid="{00000000-0005-0000-0000-0000BC060000}"/>
    <cellStyle name="Normal 5 2 4 2 2 2" xfId="2283" xr:uid="{00000000-0005-0000-0000-0000BD060000}"/>
    <cellStyle name="Normal 5 2 4 2 2 2 2" xfId="4505" xr:uid="{00000000-0005-0000-0000-0000BE060000}"/>
    <cellStyle name="Normal 5 2 4 2 2 2 2 2" xfId="8505" xr:uid="{00000000-0005-0000-0000-0000BE060000}"/>
    <cellStyle name="Normal 5 2 4 2 2 2 3" xfId="6504" xr:uid="{00000000-0005-0000-0000-0000BE060000}"/>
    <cellStyle name="Normal 5 2 4 2 2 3" xfId="3507" xr:uid="{00000000-0005-0000-0000-0000BD060000}"/>
    <cellStyle name="Normal 5 2 4 2 2 3 2" xfId="7506" xr:uid="{00000000-0005-0000-0000-0000BD060000}"/>
    <cellStyle name="Normal 5 2 4 2 2 4" xfId="5505" xr:uid="{00000000-0005-0000-0000-0000BD060000}"/>
    <cellStyle name="Normal 5 2 4 2 3" xfId="1787" xr:uid="{00000000-0005-0000-0000-0000BE060000}"/>
    <cellStyle name="Normal 5 2 4 2 3 2" xfId="4009" xr:uid="{00000000-0005-0000-0000-0000BF060000}"/>
    <cellStyle name="Normal 5 2 4 2 3 2 2" xfId="8009" xr:uid="{00000000-0005-0000-0000-0000BF060000}"/>
    <cellStyle name="Normal 5 2 4 2 3 3" xfId="6008" xr:uid="{00000000-0005-0000-0000-0000BF060000}"/>
    <cellStyle name="Normal 5 2 4 2 4" xfId="3011" xr:uid="{00000000-0005-0000-0000-0000BC060000}"/>
    <cellStyle name="Normal 5 2 4 2 4 2" xfId="7010" xr:uid="{00000000-0005-0000-0000-0000BC060000}"/>
    <cellStyle name="Normal 5 2 4 2 5" xfId="5009" xr:uid="{00000000-0005-0000-0000-0000BC060000}"/>
    <cellStyle name="Normal 5 2 4 3" xfId="1033" xr:uid="{00000000-0005-0000-0000-0000BF060000}"/>
    <cellStyle name="Normal 5 2 4 3 2" xfId="2035" xr:uid="{00000000-0005-0000-0000-0000C0060000}"/>
    <cellStyle name="Normal 5 2 4 3 2 2" xfId="4257" xr:uid="{00000000-0005-0000-0000-0000C1060000}"/>
    <cellStyle name="Normal 5 2 4 3 2 2 2" xfId="8257" xr:uid="{00000000-0005-0000-0000-0000C1060000}"/>
    <cellStyle name="Normal 5 2 4 3 2 3" xfId="6256" xr:uid="{00000000-0005-0000-0000-0000C1060000}"/>
    <cellStyle name="Normal 5 2 4 3 3" xfId="3259" xr:uid="{00000000-0005-0000-0000-0000C0060000}"/>
    <cellStyle name="Normal 5 2 4 3 3 2" xfId="7258" xr:uid="{00000000-0005-0000-0000-0000C0060000}"/>
    <cellStyle name="Normal 5 2 4 3 4" xfId="5257" xr:uid="{00000000-0005-0000-0000-0000C0060000}"/>
    <cellStyle name="Normal 5 2 4 4" xfId="1539" xr:uid="{00000000-0005-0000-0000-0000C1060000}"/>
    <cellStyle name="Normal 5 2 4 4 2" xfId="3761" xr:uid="{00000000-0005-0000-0000-0000C2060000}"/>
    <cellStyle name="Normal 5 2 4 4 2 2" xfId="7761" xr:uid="{00000000-0005-0000-0000-0000C2060000}"/>
    <cellStyle name="Normal 5 2 4 4 3" xfId="5760" xr:uid="{00000000-0005-0000-0000-0000C2060000}"/>
    <cellStyle name="Normal 5 2 4 5" xfId="2764" xr:uid="{00000000-0005-0000-0000-0000BB060000}"/>
    <cellStyle name="Normal 5 2 4 5 2" xfId="6762" xr:uid="{00000000-0005-0000-0000-0000BB060000}"/>
    <cellStyle name="Normal 5 2 4 6" xfId="4761" xr:uid="{00000000-0005-0000-0000-0000BB060000}"/>
    <cellStyle name="Normal 5 2 5" xfId="582" xr:uid="{00000000-0005-0000-0000-0000C2060000}"/>
    <cellStyle name="Normal 5 2 5 2" xfId="1080" xr:uid="{00000000-0005-0000-0000-0000C3060000}"/>
    <cellStyle name="Normal 5 2 5 2 2" xfId="2082" xr:uid="{00000000-0005-0000-0000-0000C4060000}"/>
    <cellStyle name="Normal 5 2 5 2 2 2" xfId="4304" xr:uid="{00000000-0005-0000-0000-0000C5060000}"/>
    <cellStyle name="Normal 5 2 5 2 2 2 2" xfId="8304" xr:uid="{00000000-0005-0000-0000-0000C5060000}"/>
    <cellStyle name="Normal 5 2 5 2 2 3" xfId="6303" xr:uid="{00000000-0005-0000-0000-0000C5060000}"/>
    <cellStyle name="Normal 5 2 5 2 3" xfId="3306" xr:uid="{00000000-0005-0000-0000-0000C4060000}"/>
    <cellStyle name="Normal 5 2 5 2 3 2" xfId="7305" xr:uid="{00000000-0005-0000-0000-0000C4060000}"/>
    <cellStyle name="Normal 5 2 5 2 4" xfId="5304" xr:uid="{00000000-0005-0000-0000-0000C4060000}"/>
    <cellStyle name="Normal 5 2 5 3" xfId="1586" xr:uid="{00000000-0005-0000-0000-0000C5060000}"/>
    <cellStyle name="Normal 5 2 5 3 2" xfId="3808" xr:uid="{00000000-0005-0000-0000-0000C6060000}"/>
    <cellStyle name="Normal 5 2 5 3 2 2" xfId="7808" xr:uid="{00000000-0005-0000-0000-0000C6060000}"/>
    <cellStyle name="Normal 5 2 5 3 3" xfId="5807" xr:uid="{00000000-0005-0000-0000-0000C6060000}"/>
    <cellStyle name="Normal 5 2 5 4" xfId="2811" xr:uid="{00000000-0005-0000-0000-0000C3060000}"/>
    <cellStyle name="Normal 5 2 5 4 2" xfId="6809" xr:uid="{00000000-0005-0000-0000-0000C3060000}"/>
    <cellStyle name="Normal 5 2 5 5" xfId="4808" xr:uid="{00000000-0005-0000-0000-0000C3060000}"/>
    <cellStyle name="Normal 5 2 6" xfId="832" xr:uid="{00000000-0005-0000-0000-0000C6060000}"/>
    <cellStyle name="Normal 5 2 6 2" xfId="1834" xr:uid="{00000000-0005-0000-0000-0000C7060000}"/>
    <cellStyle name="Normal 5 2 6 2 2" xfId="4056" xr:uid="{00000000-0005-0000-0000-0000C8060000}"/>
    <cellStyle name="Normal 5 2 6 2 2 2" xfId="8056" xr:uid="{00000000-0005-0000-0000-0000C8060000}"/>
    <cellStyle name="Normal 5 2 6 2 3" xfId="6055" xr:uid="{00000000-0005-0000-0000-0000C8060000}"/>
    <cellStyle name="Normal 5 2 6 3" xfId="3058" xr:uid="{00000000-0005-0000-0000-0000C7060000}"/>
    <cellStyle name="Normal 5 2 6 3 2" xfId="7057" xr:uid="{00000000-0005-0000-0000-0000C7060000}"/>
    <cellStyle name="Normal 5 2 6 4" xfId="5056" xr:uid="{00000000-0005-0000-0000-0000C7060000}"/>
    <cellStyle name="Normal 5 2 7" xfId="1338" xr:uid="{00000000-0005-0000-0000-0000C8060000}"/>
    <cellStyle name="Normal 5 2 7 2" xfId="3560" xr:uid="{00000000-0005-0000-0000-0000C9060000}"/>
    <cellStyle name="Normal 5 2 7 2 2" xfId="7560" xr:uid="{00000000-0005-0000-0000-0000C9060000}"/>
    <cellStyle name="Normal 5 2 7 3" xfId="5559" xr:uid="{00000000-0005-0000-0000-0000C9060000}"/>
    <cellStyle name="Normal 5 2 8" xfId="2572" xr:uid="{00000000-0005-0000-0000-0000AA060000}"/>
    <cellStyle name="Normal 5 2 8 2" xfId="6561" xr:uid="{00000000-0005-0000-0000-0000AA060000}"/>
    <cellStyle name="Normal 5 2 9" xfId="4560" xr:uid="{00000000-0005-0000-0000-0000AA060000}"/>
    <cellStyle name="Normal 5 3" xfId="360" xr:uid="{00000000-0005-0000-0000-0000C9060000}"/>
    <cellStyle name="Normal 5 3 2" xfId="472" xr:uid="{00000000-0005-0000-0000-0000CA060000}"/>
    <cellStyle name="Normal 5 3 2 2" xfId="719" xr:uid="{00000000-0005-0000-0000-0000CB060000}"/>
    <cellStyle name="Normal 5 3 2 2 2" xfId="1216" xr:uid="{00000000-0005-0000-0000-0000CC060000}"/>
    <cellStyle name="Normal 5 3 2 2 2 2" xfId="2218" xr:uid="{00000000-0005-0000-0000-0000CD060000}"/>
    <cellStyle name="Normal 5 3 2 2 2 2 2" xfId="4440" xr:uid="{00000000-0005-0000-0000-0000CE060000}"/>
    <cellStyle name="Normal 5 3 2 2 2 2 2 2" xfId="8440" xr:uid="{00000000-0005-0000-0000-0000CE060000}"/>
    <cellStyle name="Normal 5 3 2 2 2 2 3" xfId="6439" xr:uid="{00000000-0005-0000-0000-0000CE060000}"/>
    <cellStyle name="Normal 5 3 2 2 2 3" xfId="3442" xr:uid="{00000000-0005-0000-0000-0000CD060000}"/>
    <cellStyle name="Normal 5 3 2 2 2 3 2" xfId="7441" xr:uid="{00000000-0005-0000-0000-0000CD060000}"/>
    <cellStyle name="Normal 5 3 2 2 2 4" xfId="5440" xr:uid="{00000000-0005-0000-0000-0000CD060000}"/>
    <cellStyle name="Normal 5 3 2 2 3" xfId="1722" xr:uid="{00000000-0005-0000-0000-0000CE060000}"/>
    <cellStyle name="Normal 5 3 2 2 3 2" xfId="3944" xr:uid="{00000000-0005-0000-0000-0000CF060000}"/>
    <cellStyle name="Normal 5 3 2 2 3 2 2" xfId="7944" xr:uid="{00000000-0005-0000-0000-0000CF060000}"/>
    <cellStyle name="Normal 5 3 2 2 3 3" xfId="5943" xr:uid="{00000000-0005-0000-0000-0000CF060000}"/>
    <cellStyle name="Normal 5 3 2 2 4" xfId="2946" xr:uid="{00000000-0005-0000-0000-0000CC060000}"/>
    <cellStyle name="Normal 5 3 2 2 4 2" xfId="6945" xr:uid="{00000000-0005-0000-0000-0000CC060000}"/>
    <cellStyle name="Normal 5 3 2 2 5" xfId="4944" xr:uid="{00000000-0005-0000-0000-0000CC060000}"/>
    <cellStyle name="Normal 5 3 2 3" xfId="968" xr:uid="{00000000-0005-0000-0000-0000CF060000}"/>
    <cellStyle name="Normal 5 3 2 3 2" xfId="1970" xr:uid="{00000000-0005-0000-0000-0000D0060000}"/>
    <cellStyle name="Normal 5 3 2 3 2 2" xfId="4192" xr:uid="{00000000-0005-0000-0000-0000D1060000}"/>
    <cellStyle name="Normal 5 3 2 3 2 2 2" xfId="8192" xr:uid="{00000000-0005-0000-0000-0000D1060000}"/>
    <cellStyle name="Normal 5 3 2 3 2 3" xfId="6191" xr:uid="{00000000-0005-0000-0000-0000D1060000}"/>
    <cellStyle name="Normal 5 3 2 3 3" xfId="3194" xr:uid="{00000000-0005-0000-0000-0000D0060000}"/>
    <cellStyle name="Normal 5 3 2 3 3 2" xfId="7193" xr:uid="{00000000-0005-0000-0000-0000D0060000}"/>
    <cellStyle name="Normal 5 3 2 3 4" xfId="5192" xr:uid="{00000000-0005-0000-0000-0000D0060000}"/>
    <cellStyle name="Normal 5 3 2 4" xfId="1474" xr:uid="{00000000-0005-0000-0000-0000D1060000}"/>
    <cellStyle name="Normal 5 3 2 4 2" xfId="3696" xr:uid="{00000000-0005-0000-0000-0000D2060000}"/>
    <cellStyle name="Normal 5 3 2 4 2 2" xfId="7696" xr:uid="{00000000-0005-0000-0000-0000D2060000}"/>
    <cellStyle name="Normal 5 3 2 4 3" xfId="5695" xr:uid="{00000000-0005-0000-0000-0000D2060000}"/>
    <cellStyle name="Normal 5 3 2 5" xfId="2699" xr:uid="{00000000-0005-0000-0000-0000CB060000}"/>
    <cellStyle name="Normal 5 3 2 5 2" xfId="6697" xr:uid="{00000000-0005-0000-0000-0000CB060000}"/>
    <cellStyle name="Normal 5 3 2 6" xfId="4696" xr:uid="{00000000-0005-0000-0000-0000CB060000}"/>
    <cellStyle name="Normal 5 3 3" xfId="604" xr:uid="{00000000-0005-0000-0000-0000D2060000}"/>
    <cellStyle name="Normal 5 3 3 2" xfId="1102" xr:uid="{00000000-0005-0000-0000-0000D3060000}"/>
    <cellStyle name="Normal 5 3 3 2 2" xfId="2104" xr:uid="{00000000-0005-0000-0000-0000D4060000}"/>
    <cellStyle name="Normal 5 3 3 2 2 2" xfId="4326" xr:uid="{00000000-0005-0000-0000-0000D5060000}"/>
    <cellStyle name="Normal 5 3 3 2 2 2 2" xfId="8326" xr:uid="{00000000-0005-0000-0000-0000D5060000}"/>
    <cellStyle name="Normal 5 3 3 2 2 3" xfId="6325" xr:uid="{00000000-0005-0000-0000-0000D5060000}"/>
    <cellStyle name="Normal 5 3 3 2 3" xfId="3328" xr:uid="{00000000-0005-0000-0000-0000D4060000}"/>
    <cellStyle name="Normal 5 3 3 2 3 2" xfId="7327" xr:uid="{00000000-0005-0000-0000-0000D4060000}"/>
    <cellStyle name="Normal 5 3 3 2 4" xfId="5326" xr:uid="{00000000-0005-0000-0000-0000D4060000}"/>
    <cellStyle name="Normal 5 3 3 3" xfId="1608" xr:uid="{00000000-0005-0000-0000-0000D5060000}"/>
    <cellStyle name="Normal 5 3 3 3 2" xfId="3830" xr:uid="{00000000-0005-0000-0000-0000D6060000}"/>
    <cellStyle name="Normal 5 3 3 3 2 2" xfId="7830" xr:uid="{00000000-0005-0000-0000-0000D6060000}"/>
    <cellStyle name="Normal 5 3 3 3 3" xfId="5829" xr:uid="{00000000-0005-0000-0000-0000D6060000}"/>
    <cellStyle name="Normal 5 3 3 4" xfId="2833" xr:uid="{00000000-0005-0000-0000-0000D3060000}"/>
    <cellStyle name="Normal 5 3 3 4 2" xfId="6831" xr:uid="{00000000-0005-0000-0000-0000D3060000}"/>
    <cellStyle name="Normal 5 3 3 5" xfId="4830" xr:uid="{00000000-0005-0000-0000-0000D3060000}"/>
    <cellStyle name="Normal 5 3 4" xfId="854" xr:uid="{00000000-0005-0000-0000-0000D6060000}"/>
    <cellStyle name="Normal 5 3 4 2" xfId="1856" xr:uid="{00000000-0005-0000-0000-0000D7060000}"/>
    <cellStyle name="Normal 5 3 4 2 2" xfId="4078" xr:uid="{00000000-0005-0000-0000-0000D8060000}"/>
    <cellStyle name="Normal 5 3 4 2 2 2" xfId="8078" xr:uid="{00000000-0005-0000-0000-0000D8060000}"/>
    <cellStyle name="Normal 5 3 4 2 3" xfId="6077" xr:uid="{00000000-0005-0000-0000-0000D8060000}"/>
    <cellStyle name="Normal 5 3 4 3" xfId="3080" xr:uid="{00000000-0005-0000-0000-0000D7060000}"/>
    <cellStyle name="Normal 5 3 4 3 2" xfId="7079" xr:uid="{00000000-0005-0000-0000-0000D7060000}"/>
    <cellStyle name="Normal 5 3 4 4" xfId="5078" xr:uid="{00000000-0005-0000-0000-0000D7060000}"/>
    <cellStyle name="Normal 5 3 5" xfId="1360" xr:uid="{00000000-0005-0000-0000-0000D8060000}"/>
    <cellStyle name="Normal 5 3 5 2" xfId="3582" xr:uid="{00000000-0005-0000-0000-0000D9060000}"/>
    <cellStyle name="Normal 5 3 5 2 2" xfId="7582" xr:uid="{00000000-0005-0000-0000-0000D9060000}"/>
    <cellStyle name="Normal 5 3 5 3" xfId="5581" xr:uid="{00000000-0005-0000-0000-0000D9060000}"/>
    <cellStyle name="Normal 5 3 6" xfId="2594" xr:uid="{00000000-0005-0000-0000-0000CA060000}"/>
    <cellStyle name="Normal 5 3 6 2" xfId="6583" xr:uid="{00000000-0005-0000-0000-0000CA060000}"/>
    <cellStyle name="Normal 5 3 7" xfId="4582" xr:uid="{00000000-0005-0000-0000-0000CA060000}"/>
    <cellStyle name="Normal 5 4" xfId="381" xr:uid="{00000000-0005-0000-0000-0000D9060000}"/>
    <cellStyle name="Normal 5 4 2" xfId="627" xr:uid="{00000000-0005-0000-0000-0000DA060000}"/>
    <cellStyle name="Normal 5 4 2 2" xfId="1124" xr:uid="{00000000-0005-0000-0000-0000DB060000}"/>
    <cellStyle name="Normal 5 4 2 2 2" xfId="2126" xr:uid="{00000000-0005-0000-0000-0000DC060000}"/>
    <cellStyle name="Normal 5 4 2 2 2 2" xfId="4348" xr:uid="{00000000-0005-0000-0000-0000DD060000}"/>
    <cellStyle name="Normal 5 4 2 2 2 2 2" xfId="8348" xr:uid="{00000000-0005-0000-0000-0000DD060000}"/>
    <cellStyle name="Normal 5 4 2 2 2 3" xfId="6347" xr:uid="{00000000-0005-0000-0000-0000DD060000}"/>
    <cellStyle name="Normal 5 4 2 2 3" xfId="3350" xr:uid="{00000000-0005-0000-0000-0000DC060000}"/>
    <cellStyle name="Normal 5 4 2 2 3 2" xfId="7349" xr:uid="{00000000-0005-0000-0000-0000DC060000}"/>
    <cellStyle name="Normal 5 4 2 2 4" xfId="5348" xr:uid="{00000000-0005-0000-0000-0000DC060000}"/>
    <cellStyle name="Normal 5 4 2 3" xfId="1630" xr:uid="{00000000-0005-0000-0000-0000DD060000}"/>
    <cellStyle name="Normal 5 4 2 3 2" xfId="3852" xr:uid="{00000000-0005-0000-0000-0000DE060000}"/>
    <cellStyle name="Normal 5 4 2 3 2 2" xfId="7852" xr:uid="{00000000-0005-0000-0000-0000DE060000}"/>
    <cellStyle name="Normal 5 4 2 3 3" xfId="5851" xr:uid="{00000000-0005-0000-0000-0000DE060000}"/>
    <cellStyle name="Normal 5 4 2 4" xfId="2854" xr:uid="{00000000-0005-0000-0000-0000DB060000}"/>
    <cellStyle name="Normal 5 4 2 4 2" xfId="6853" xr:uid="{00000000-0005-0000-0000-0000DB060000}"/>
    <cellStyle name="Normal 5 4 2 5" xfId="4852" xr:uid="{00000000-0005-0000-0000-0000DB060000}"/>
    <cellStyle name="Normal 5 4 3" xfId="876" xr:uid="{00000000-0005-0000-0000-0000DE060000}"/>
    <cellStyle name="Normal 5 4 3 2" xfId="1878" xr:uid="{00000000-0005-0000-0000-0000DF060000}"/>
    <cellStyle name="Normal 5 4 3 2 2" xfId="4100" xr:uid="{00000000-0005-0000-0000-0000E0060000}"/>
    <cellStyle name="Normal 5 4 3 2 2 2" xfId="8100" xr:uid="{00000000-0005-0000-0000-0000E0060000}"/>
    <cellStyle name="Normal 5 4 3 2 3" xfId="6099" xr:uid="{00000000-0005-0000-0000-0000E0060000}"/>
    <cellStyle name="Normal 5 4 3 3" xfId="3102" xr:uid="{00000000-0005-0000-0000-0000DF060000}"/>
    <cellStyle name="Normal 5 4 3 3 2" xfId="7101" xr:uid="{00000000-0005-0000-0000-0000DF060000}"/>
    <cellStyle name="Normal 5 4 3 4" xfId="5100" xr:uid="{00000000-0005-0000-0000-0000DF060000}"/>
    <cellStyle name="Normal 5 4 4" xfId="1382" xr:uid="{00000000-0005-0000-0000-0000E0060000}"/>
    <cellStyle name="Normal 5 4 4 2" xfId="3604" xr:uid="{00000000-0005-0000-0000-0000E1060000}"/>
    <cellStyle name="Normal 5 4 4 2 2" xfId="7604" xr:uid="{00000000-0005-0000-0000-0000E1060000}"/>
    <cellStyle name="Normal 5 4 4 3" xfId="5603" xr:uid="{00000000-0005-0000-0000-0000E1060000}"/>
    <cellStyle name="Normal 5 4 5" xfId="2614" xr:uid="{00000000-0005-0000-0000-0000DA060000}"/>
    <cellStyle name="Normal 5 4 5 2" xfId="6605" xr:uid="{00000000-0005-0000-0000-0000DA060000}"/>
    <cellStyle name="Normal 5 4 6" xfId="4604" xr:uid="{00000000-0005-0000-0000-0000DA060000}"/>
    <cellStyle name="Normal 5 5" xfId="426" xr:uid="{00000000-0005-0000-0000-0000E1060000}"/>
    <cellStyle name="Normal 5 5 2" xfId="673" xr:uid="{00000000-0005-0000-0000-0000E2060000}"/>
    <cellStyle name="Normal 5 5 2 2" xfId="1170" xr:uid="{00000000-0005-0000-0000-0000E3060000}"/>
    <cellStyle name="Normal 5 5 2 2 2" xfId="2172" xr:uid="{00000000-0005-0000-0000-0000E4060000}"/>
    <cellStyle name="Normal 5 5 2 2 2 2" xfId="4394" xr:uid="{00000000-0005-0000-0000-0000E5060000}"/>
    <cellStyle name="Normal 5 5 2 2 2 2 2" xfId="8394" xr:uid="{00000000-0005-0000-0000-0000E5060000}"/>
    <cellStyle name="Normal 5 5 2 2 2 3" xfId="6393" xr:uid="{00000000-0005-0000-0000-0000E5060000}"/>
    <cellStyle name="Normal 5 5 2 2 3" xfId="3396" xr:uid="{00000000-0005-0000-0000-0000E4060000}"/>
    <cellStyle name="Normal 5 5 2 2 3 2" xfId="7395" xr:uid="{00000000-0005-0000-0000-0000E4060000}"/>
    <cellStyle name="Normal 5 5 2 2 4" xfId="5394" xr:uid="{00000000-0005-0000-0000-0000E4060000}"/>
    <cellStyle name="Normal 5 5 2 3" xfId="1676" xr:uid="{00000000-0005-0000-0000-0000E5060000}"/>
    <cellStyle name="Normal 5 5 2 3 2" xfId="3898" xr:uid="{00000000-0005-0000-0000-0000E6060000}"/>
    <cellStyle name="Normal 5 5 2 3 2 2" xfId="7898" xr:uid="{00000000-0005-0000-0000-0000E6060000}"/>
    <cellStyle name="Normal 5 5 2 3 3" xfId="5897" xr:uid="{00000000-0005-0000-0000-0000E6060000}"/>
    <cellStyle name="Normal 5 5 2 4" xfId="2900" xr:uid="{00000000-0005-0000-0000-0000E3060000}"/>
    <cellStyle name="Normal 5 5 2 4 2" xfId="6899" xr:uid="{00000000-0005-0000-0000-0000E3060000}"/>
    <cellStyle name="Normal 5 5 2 5" xfId="4898" xr:uid="{00000000-0005-0000-0000-0000E3060000}"/>
    <cellStyle name="Normal 5 5 3" xfId="922" xr:uid="{00000000-0005-0000-0000-0000E6060000}"/>
    <cellStyle name="Normal 5 5 3 2" xfId="1924" xr:uid="{00000000-0005-0000-0000-0000E7060000}"/>
    <cellStyle name="Normal 5 5 3 2 2" xfId="4146" xr:uid="{00000000-0005-0000-0000-0000E8060000}"/>
    <cellStyle name="Normal 5 5 3 2 2 2" xfId="8146" xr:uid="{00000000-0005-0000-0000-0000E8060000}"/>
    <cellStyle name="Normal 5 5 3 2 3" xfId="6145" xr:uid="{00000000-0005-0000-0000-0000E8060000}"/>
    <cellStyle name="Normal 5 5 3 3" xfId="3148" xr:uid="{00000000-0005-0000-0000-0000E7060000}"/>
    <cellStyle name="Normal 5 5 3 3 2" xfId="7147" xr:uid="{00000000-0005-0000-0000-0000E7060000}"/>
    <cellStyle name="Normal 5 5 3 4" xfId="5146" xr:uid="{00000000-0005-0000-0000-0000E7060000}"/>
    <cellStyle name="Normal 5 5 4" xfId="1428" xr:uid="{00000000-0005-0000-0000-0000E8060000}"/>
    <cellStyle name="Normal 5 5 4 2" xfId="3650" xr:uid="{00000000-0005-0000-0000-0000E9060000}"/>
    <cellStyle name="Normal 5 5 4 2 2" xfId="7650" xr:uid="{00000000-0005-0000-0000-0000E9060000}"/>
    <cellStyle name="Normal 5 5 4 3" xfId="5649" xr:uid="{00000000-0005-0000-0000-0000E9060000}"/>
    <cellStyle name="Normal 5 5 5" xfId="2654" xr:uid="{00000000-0005-0000-0000-0000E2060000}"/>
    <cellStyle name="Normal 5 5 5 2" xfId="6651" xr:uid="{00000000-0005-0000-0000-0000E2060000}"/>
    <cellStyle name="Normal 5 5 6" xfId="4650" xr:uid="{00000000-0005-0000-0000-0000E2060000}"/>
    <cellStyle name="Normal 5 6" xfId="492" xr:uid="{00000000-0005-0000-0000-0000E9060000}"/>
    <cellStyle name="Normal 5 6 2" xfId="739" xr:uid="{00000000-0005-0000-0000-0000EA060000}"/>
    <cellStyle name="Normal 5 6 2 2" xfId="1236" xr:uid="{00000000-0005-0000-0000-0000EB060000}"/>
    <cellStyle name="Normal 5 6 2 2 2" xfId="2238" xr:uid="{00000000-0005-0000-0000-0000EC060000}"/>
    <cellStyle name="Normal 5 6 2 2 2 2" xfId="4460" xr:uid="{00000000-0005-0000-0000-0000ED060000}"/>
    <cellStyle name="Normal 5 6 2 2 2 2 2" xfId="8460" xr:uid="{00000000-0005-0000-0000-0000ED060000}"/>
    <cellStyle name="Normal 5 6 2 2 2 3" xfId="6459" xr:uid="{00000000-0005-0000-0000-0000ED060000}"/>
    <cellStyle name="Normal 5 6 2 2 3" xfId="3462" xr:uid="{00000000-0005-0000-0000-0000EC060000}"/>
    <cellStyle name="Normal 5 6 2 2 3 2" xfId="7461" xr:uid="{00000000-0005-0000-0000-0000EC060000}"/>
    <cellStyle name="Normal 5 6 2 2 4" xfId="5460" xr:uid="{00000000-0005-0000-0000-0000EC060000}"/>
    <cellStyle name="Normal 5 6 2 3" xfId="1742" xr:uid="{00000000-0005-0000-0000-0000ED060000}"/>
    <cellStyle name="Normal 5 6 2 3 2" xfId="3964" xr:uid="{00000000-0005-0000-0000-0000EE060000}"/>
    <cellStyle name="Normal 5 6 2 3 2 2" xfId="7964" xr:uid="{00000000-0005-0000-0000-0000EE060000}"/>
    <cellStyle name="Normal 5 6 2 3 3" xfId="5963" xr:uid="{00000000-0005-0000-0000-0000EE060000}"/>
    <cellStyle name="Normal 5 6 2 4" xfId="2966" xr:uid="{00000000-0005-0000-0000-0000EB060000}"/>
    <cellStyle name="Normal 5 6 2 4 2" xfId="6965" xr:uid="{00000000-0005-0000-0000-0000EB060000}"/>
    <cellStyle name="Normal 5 6 2 5" xfId="4964" xr:uid="{00000000-0005-0000-0000-0000EB060000}"/>
    <cellStyle name="Normal 5 6 3" xfId="988" xr:uid="{00000000-0005-0000-0000-0000EE060000}"/>
    <cellStyle name="Normal 5 6 3 2" xfId="1990" xr:uid="{00000000-0005-0000-0000-0000EF060000}"/>
    <cellStyle name="Normal 5 6 3 2 2" xfId="4212" xr:uid="{00000000-0005-0000-0000-0000F0060000}"/>
    <cellStyle name="Normal 5 6 3 2 2 2" xfId="8212" xr:uid="{00000000-0005-0000-0000-0000F0060000}"/>
    <cellStyle name="Normal 5 6 3 2 3" xfId="6211" xr:uid="{00000000-0005-0000-0000-0000F0060000}"/>
    <cellStyle name="Normal 5 6 3 3" xfId="3214" xr:uid="{00000000-0005-0000-0000-0000EF060000}"/>
    <cellStyle name="Normal 5 6 3 3 2" xfId="7213" xr:uid="{00000000-0005-0000-0000-0000EF060000}"/>
    <cellStyle name="Normal 5 6 3 4" xfId="5212" xr:uid="{00000000-0005-0000-0000-0000EF060000}"/>
    <cellStyle name="Normal 5 6 4" xfId="1494" xr:uid="{00000000-0005-0000-0000-0000F0060000}"/>
    <cellStyle name="Normal 5 6 4 2" xfId="3716" xr:uid="{00000000-0005-0000-0000-0000F1060000}"/>
    <cellStyle name="Normal 5 6 4 2 2" xfId="7716" xr:uid="{00000000-0005-0000-0000-0000F1060000}"/>
    <cellStyle name="Normal 5 6 4 3" xfId="5715" xr:uid="{00000000-0005-0000-0000-0000F1060000}"/>
    <cellStyle name="Normal 5 6 5" xfId="2719" xr:uid="{00000000-0005-0000-0000-0000EA060000}"/>
    <cellStyle name="Normal 5 6 5 2" xfId="6717" xr:uid="{00000000-0005-0000-0000-0000EA060000}"/>
    <cellStyle name="Normal 5 6 6" xfId="4716" xr:uid="{00000000-0005-0000-0000-0000EA060000}"/>
    <cellStyle name="Normal 5 7" xfId="512" xr:uid="{00000000-0005-0000-0000-0000F1060000}"/>
    <cellStyle name="Normal 5 7 2" xfId="759" xr:uid="{00000000-0005-0000-0000-0000F2060000}"/>
    <cellStyle name="Normal 5 7 2 2" xfId="1257" xr:uid="{00000000-0005-0000-0000-0000F3060000}"/>
    <cellStyle name="Normal 5 7 2 2 2" xfId="2259" xr:uid="{00000000-0005-0000-0000-0000F4060000}"/>
    <cellStyle name="Normal 5 7 2 2 2 2" xfId="4481" xr:uid="{00000000-0005-0000-0000-0000F5060000}"/>
    <cellStyle name="Normal 5 7 2 2 2 2 2" xfId="8481" xr:uid="{00000000-0005-0000-0000-0000F5060000}"/>
    <cellStyle name="Normal 5 7 2 2 2 3" xfId="6480" xr:uid="{00000000-0005-0000-0000-0000F5060000}"/>
    <cellStyle name="Normal 5 7 2 2 3" xfId="3483" xr:uid="{00000000-0005-0000-0000-0000F4060000}"/>
    <cellStyle name="Normal 5 7 2 2 3 2" xfId="7482" xr:uid="{00000000-0005-0000-0000-0000F4060000}"/>
    <cellStyle name="Normal 5 7 2 2 4" xfId="5481" xr:uid="{00000000-0005-0000-0000-0000F4060000}"/>
    <cellStyle name="Normal 5 7 2 3" xfId="1763" xr:uid="{00000000-0005-0000-0000-0000F5060000}"/>
    <cellStyle name="Normal 5 7 2 3 2" xfId="3985" xr:uid="{00000000-0005-0000-0000-0000F6060000}"/>
    <cellStyle name="Normal 5 7 2 3 2 2" xfId="7985" xr:uid="{00000000-0005-0000-0000-0000F6060000}"/>
    <cellStyle name="Normal 5 7 2 3 3" xfId="5984" xr:uid="{00000000-0005-0000-0000-0000F6060000}"/>
    <cellStyle name="Normal 5 7 2 4" xfId="2987" xr:uid="{00000000-0005-0000-0000-0000F3060000}"/>
    <cellStyle name="Normal 5 7 2 4 2" xfId="6986" xr:uid="{00000000-0005-0000-0000-0000F3060000}"/>
    <cellStyle name="Normal 5 7 2 5" xfId="4985" xr:uid="{00000000-0005-0000-0000-0000F3060000}"/>
    <cellStyle name="Normal 5 7 3" xfId="1009" xr:uid="{00000000-0005-0000-0000-0000F6060000}"/>
    <cellStyle name="Normal 5 7 3 2" xfId="2011" xr:uid="{00000000-0005-0000-0000-0000F7060000}"/>
    <cellStyle name="Normal 5 7 3 2 2" xfId="4233" xr:uid="{00000000-0005-0000-0000-0000F8060000}"/>
    <cellStyle name="Normal 5 7 3 2 2 2" xfId="8233" xr:uid="{00000000-0005-0000-0000-0000F8060000}"/>
    <cellStyle name="Normal 5 7 3 2 3" xfId="6232" xr:uid="{00000000-0005-0000-0000-0000F8060000}"/>
    <cellStyle name="Normal 5 7 3 3" xfId="3235" xr:uid="{00000000-0005-0000-0000-0000F7060000}"/>
    <cellStyle name="Normal 5 7 3 3 2" xfId="7234" xr:uid="{00000000-0005-0000-0000-0000F7060000}"/>
    <cellStyle name="Normal 5 7 3 4" xfId="5233" xr:uid="{00000000-0005-0000-0000-0000F7060000}"/>
    <cellStyle name="Normal 5 7 4" xfId="1515" xr:uid="{00000000-0005-0000-0000-0000F8060000}"/>
    <cellStyle name="Normal 5 7 4 2" xfId="3737" xr:uid="{00000000-0005-0000-0000-0000F9060000}"/>
    <cellStyle name="Normal 5 7 4 2 2" xfId="7737" xr:uid="{00000000-0005-0000-0000-0000F9060000}"/>
    <cellStyle name="Normal 5 7 4 3" xfId="5736" xr:uid="{00000000-0005-0000-0000-0000F9060000}"/>
    <cellStyle name="Normal 5 7 5" xfId="2740" xr:uid="{00000000-0005-0000-0000-0000F2060000}"/>
    <cellStyle name="Normal 5 7 5 2" xfId="6738" xr:uid="{00000000-0005-0000-0000-0000F2060000}"/>
    <cellStyle name="Normal 5 7 6" xfId="4737" xr:uid="{00000000-0005-0000-0000-0000F2060000}"/>
    <cellStyle name="Normal 5 8" xfId="558" xr:uid="{00000000-0005-0000-0000-0000F9060000}"/>
    <cellStyle name="Normal 5 8 2" xfId="1056" xr:uid="{00000000-0005-0000-0000-0000FA060000}"/>
    <cellStyle name="Normal 5 8 2 2" xfId="2058" xr:uid="{00000000-0005-0000-0000-0000FB060000}"/>
    <cellStyle name="Normal 5 8 2 2 2" xfId="4280" xr:uid="{00000000-0005-0000-0000-0000FC060000}"/>
    <cellStyle name="Normal 5 8 2 2 2 2" xfId="8280" xr:uid="{00000000-0005-0000-0000-0000FC060000}"/>
    <cellStyle name="Normal 5 8 2 2 3" xfId="6279" xr:uid="{00000000-0005-0000-0000-0000FC060000}"/>
    <cellStyle name="Normal 5 8 2 3" xfId="3282" xr:uid="{00000000-0005-0000-0000-0000FB060000}"/>
    <cellStyle name="Normal 5 8 2 3 2" xfId="7281" xr:uid="{00000000-0005-0000-0000-0000FB060000}"/>
    <cellStyle name="Normal 5 8 2 4" xfId="5280" xr:uid="{00000000-0005-0000-0000-0000FB060000}"/>
    <cellStyle name="Normal 5 8 3" xfId="1562" xr:uid="{00000000-0005-0000-0000-0000FC060000}"/>
    <cellStyle name="Normal 5 8 3 2" xfId="3784" xr:uid="{00000000-0005-0000-0000-0000FD060000}"/>
    <cellStyle name="Normal 5 8 3 2 2" xfId="7784" xr:uid="{00000000-0005-0000-0000-0000FD060000}"/>
    <cellStyle name="Normal 5 8 3 3" xfId="5783" xr:uid="{00000000-0005-0000-0000-0000FD060000}"/>
    <cellStyle name="Normal 5 8 4" xfId="2787" xr:uid="{00000000-0005-0000-0000-0000FA060000}"/>
    <cellStyle name="Normal 5 8 4 2" xfId="6785" xr:uid="{00000000-0005-0000-0000-0000FA060000}"/>
    <cellStyle name="Normal 5 8 5" xfId="4784" xr:uid="{00000000-0005-0000-0000-0000FA060000}"/>
    <cellStyle name="Normal 5 9" xfId="323" xr:uid="{00000000-0005-0000-0000-0000FD060000}"/>
    <cellStyle name="Normal 5 9 2" xfId="1314" xr:uid="{00000000-0005-0000-0000-0000FE060000}"/>
    <cellStyle name="Normal 5 9 2 2" xfId="3536" xr:uid="{00000000-0005-0000-0000-0000FF060000}"/>
    <cellStyle name="Normal 5 9 2 2 2" xfId="7536" xr:uid="{00000000-0005-0000-0000-0000FF060000}"/>
    <cellStyle name="Normal 5 9 2 3" xfId="5535" xr:uid="{00000000-0005-0000-0000-0000FF060000}"/>
    <cellStyle name="Normal 5 9 3" xfId="2550" xr:uid="{00000000-0005-0000-0000-0000FE060000}"/>
    <cellStyle name="Normal 5 9 3 2" xfId="6537" xr:uid="{00000000-0005-0000-0000-0000FE060000}"/>
    <cellStyle name="Normal 5 9 4" xfId="4536" xr:uid="{00000000-0005-0000-0000-0000FE060000}"/>
    <cellStyle name="Normal 50" xfId="2456" xr:uid="{00000000-0005-0000-0000-0000C6090000}"/>
    <cellStyle name="Normal 51" xfId="2509" xr:uid="{00000000-0005-0000-0000-0000F8090000}"/>
    <cellStyle name="Normal 52" xfId="2512" xr:uid="{00000000-0005-0000-0000-0000FA090000}"/>
    <cellStyle name="Normal 53" xfId="2518" xr:uid="{00000000-0005-0000-0000-0000010A0000}"/>
    <cellStyle name="Normal 54" xfId="2519" xr:uid="{00000000-0005-0000-0000-0000030A0000}"/>
    <cellStyle name="Normal 55" xfId="2522" xr:uid="{00000000-0005-0000-0000-0000050A0000}"/>
    <cellStyle name="Normal 6" xfId="32" xr:uid="{00000000-0005-0000-0000-00003B000000}"/>
    <cellStyle name="Normal 6 2" xfId="123" xr:uid="{00000000-0005-0000-0000-00003C000000}"/>
    <cellStyle name="Normal 6 2 2" xfId="262" xr:uid="{00000000-0005-0000-0000-00006B000000}"/>
    <cellStyle name="Normal 6 2 3" xfId="324" xr:uid="{00000000-0005-0000-0000-000000070000}"/>
    <cellStyle name="Normal 6 3" xfId="1303" xr:uid="{00000000-0005-0000-0000-000001070000}"/>
    <cellStyle name="Normal 6 3 2" xfId="3525" xr:uid="{00000000-0005-0000-0000-000002070000}"/>
    <cellStyle name="Normal 6 3 2 2" xfId="7525" xr:uid="{00000000-0005-0000-0000-000002070000}"/>
    <cellStyle name="Normal 6 3 3" xfId="5524" xr:uid="{00000000-0005-0000-0000-000002070000}"/>
    <cellStyle name="Normal 6 4" xfId="2541" xr:uid="{00000000-0005-0000-0000-000000070000}"/>
    <cellStyle name="Normal 6 4 2" xfId="6525" xr:uid="{00000000-0005-0000-0000-000000070000}"/>
    <cellStyle name="Normal 6 5" xfId="4525" xr:uid="{00000000-0005-0000-0000-000000070000}"/>
    <cellStyle name="Normal 7" xfId="33" xr:uid="{00000000-0005-0000-0000-00003D000000}"/>
    <cellStyle name="Normal 7 10" xfId="818" xr:uid="{00000000-0005-0000-0000-000003070000}"/>
    <cellStyle name="Normal 7 10 2" xfId="1820" xr:uid="{00000000-0005-0000-0000-000004070000}"/>
    <cellStyle name="Normal 7 10 2 2" xfId="4042" xr:uid="{00000000-0005-0000-0000-000005070000}"/>
    <cellStyle name="Normal 7 10 2 2 2" xfId="8042" xr:uid="{00000000-0005-0000-0000-000005070000}"/>
    <cellStyle name="Normal 7 10 2 3" xfId="6041" xr:uid="{00000000-0005-0000-0000-000005070000}"/>
    <cellStyle name="Normal 7 10 3" xfId="3044" xr:uid="{00000000-0005-0000-0000-000004070000}"/>
    <cellStyle name="Normal 7 10 3 2" xfId="7043" xr:uid="{00000000-0005-0000-0000-000004070000}"/>
    <cellStyle name="Normal 7 10 4" xfId="5042" xr:uid="{00000000-0005-0000-0000-000004070000}"/>
    <cellStyle name="Normal 7 11" xfId="1304" xr:uid="{00000000-0005-0000-0000-000005070000}"/>
    <cellStyle name="Normal 7 11 2" xfId="3526" xr:uid="{00000000-0005-0000-0000-000006070000}"/>
    <cellStyle name="Normal 7 11 2 2" xfId="7526" xr:uid="{00000000-0005-0000-0000-000006070000}"/>
    <cellStyle name="Normal 7 11 3" xfId="5525" xr:uid="{00000000-0005-0000-0000-000006070000}"/>
    <cellStyle name="Normal 7 12" xfId="2542" xr:uid="{00000000-0005-0000-0000-000003070000}"/>
    <cellStyle name="Normal 7 12 2" xfId="6526" xr:uid="{00000000-0005-0000-0000-000003070000}"/>
    <cellStyle name="Normal 7 13" xfId="4526" xr:uid="{00000000-0005-0000-0000-000003070000}"/>
    <cellStyle name="Normal 7 2" xfId="124" xr:uid="{00000000-0005-0000-0000-00003E000000}"/>
    <cellStyle name="Normal 7 2 2" xfId="263" xr:uid="{00000000-0005-0000-0000-00006D000000}"/>
    <cellStyle name="Normal 7 2 2 2" xfId="661" xr:uid="{00000000-0005-0000-0000-000008070000}"/>
    <cellStyle name="Normal 7 2 2 2 2" xfId="1158" xr:uid="{00000000-0005-0000-0000-000009070000}"/>
    <cellStyle name="Normal 7 2 2 2 2 2" xfId="2160" xr:uid="{00000000-0005-0000-0000-00000A070000}"/>
    <cellStyle name="Normal 7 2 2 2 2 2 2" xfId="4382" xr:uid="{00000000-0005-0000-0000-00000B070000}"/>
    <cellStyle name="Normal 7 2 2 2 2 2 2 2" xfId="8382" xr:uid="{00000000-0005-0000-0000-00000B070000}"/>
    <cellStyle name="Normal 7 2 2 2 2 2 3" xfId="6381" xr:uid="{00000000-0005-0000-0000-00000B070000}"/>
    <cellStyle name="Normal 7 2 2 2 2 3" xfId="3384" xr:uid="{00000000-0005-0000-0000-00000A070000}"/>
    <cellStyle name="Normal 7 2 2 2 2 3 2" xfId="7383" xr:uid="{00000000-0005-0000-0000-00000A070000}"/>
    <cellStyle name="Normal 7 2 2 2 2 4" xfId="5382" xr:uid="{00000000-0005-0000-0000-00000A070000}"/>
    <cellStyle name="Normal 7 2 2 2 3" xfId="1664" xr:uid="{00000000-0005-0000-0000-00000B070000}"/>
    <cellStyle name="Normal 7 2 2 2 3 2" xfId="3886" xr:uid="{00000000-0005-0000-0000-00000C070000}"/>
    <cellStyle name="Normal 7 2 2 2 3 2 2" xfId="7886" xr:uid="{00000000-0005-0000-0000-00000C070000}"/>
    <cellStyle name="Normal 7 2 2 2 3 3" xfId="5885" xr:uid="{00000000-0005-0000-0000-00000C070000}"/>
    <cellStyle name="Normal 7 2 2 2 4" xfId="2888" xr:uid="{00000000-0005-0000-0000-000009070000}"/>
    <cellStyle name="Normal 7 2 2 2 4 2" xfId="6887" xr:uid="{00000000-0005-0000-0000-000009070000}"/>
    <cellStyle name="Normal 7 2 2 2 5" xfId="4886" xr:uid="{00000000-0005-0000-0000-000009070000}"/>
    <cellStyle name="Normal 7 2 2 3" xfId="910" xr:uid="{00000000-0005-0000-0000-00000C070000}"/>
    <cellStyle name="Normal 7 2 2 3 2" xfId="1912" xr:uid="{00000000-0005-0000-0000-00000D070000}"/>
    <cellStyle name="Normal 7 2 2 3 2 2" xfId="4134" xr:uid="{00000000-0005-0000-0000-00000E070000}"/>
    <cellStyle name="Normal 7 2 2 3 2 2 2" xfId="8134" xr:uid="{00000000-0005-0000-0000-00000E070000}"/>
    <cellStyle name="Normal 7 2 2 3 2 3" xfId="6133" xr:uid="{00000000-0005-0000-0000-00000E070000}"/>
    <cellStyle name="Normal 7 2 2 3 3" xfId="3136" xr:uid="{00000000-0005-0000-0000-00000D070000}"/>
    <cellStyle name="Normal 7 2 2 3 3 2" xfId="7135" xr:uid="{00000000-0005-0000-0000-00000D070000}"/>
    <cellStyle name="Normal 7 2 2 3 4" xfId="5134" xr:uid="{00000000-0005-0000-0000-00000D070000}"/>
    <cellStyle name="Normal 7 2 2 4" xfId="1416" xr:uid="{00000000-0005-0000-0000-00000E070000}"/>
    <cellStyle name="Normal 7 2 2 4 2" xfId="3638" xr:uid="{00000000-0005-0000-0000-00000F070000}"/>
    <cellStyle name="Normal 7 2 2 4 2 2" xfId="7638" xr:uid="{00000000-0005-0000-0000-00000F070000}"/>
    <cellStyle name="Normal 7 2 2 4 3" xfId="5637" xr:uid="{00000000-0005-0000-0000-00000F070000}"/>
    <cellStyle name="Normal 7 2 2 5" xfId="414" xr:uid="{00000000-0005-0000-0000-000007070000}"/>
    <cellStyle name="Normal 7 2 2 5 2" xfId="6639" xr:uid="{00000000-0005-0000-0000-000008070000}"/>
    <cellStyle name="Normal 7 2 2 6" xfId="4638" xr:uid="{00000000-0005-0000-0000-000008070000}"/>
    <cellStyle name="Normal 7 2 3" xfId="460" xr:uid="{00000000-0005-0000-0000-00000F070000}"/>
    <cellStyle name="Normal 7 2 3 2" xfId="707" xr:uid="{00000000-0005-0000-0000-000010070000}"/>
    <cellStyle name="Normal 7 2 3 2 2" xfId="1204" xr:uid="{00000000-0005-0000-0000-000011070000}"/>
    <cellStyle name="Normal 7 2 3 2 2 2" xfId="2206" xr:uid="{00000000-0005-0000-0000-000012070000}"/>
    <cellStyle name="Normal 7 2 3 2 2 2 2" xfId="4428" xr:uid="{00000000-0005-0000-0000-000013070000}"/>
    <cellStyle name="Normal 7 2 3 2 2 2 2 2" xfId="8428" xr:uid="{00000000-0005-0000-0000-000013070000}"/>
    <cellStyle name="Normal 7 2 3 2 2 2 3" xfId="6427" xr:uid="{00000000-0005-0000-0000-000013070000}"/>
    <cellStyle name="Normal 7 2 3 2 2 3" xfId="3430" xr:uid="{00000000-0005-0000-0000-000012070000}"/>
    <cellStyle name="Normal 7 2 3 2 2 3 2" xfId="7429" xr:uid="{00000000-0005-0000-0000-000012070000}"/>
    <cellStyle name="Normal 7 2 3 2 2 4" xfId="5428" xr:uid="{00000000-0005-0000-0000-000012070000}"/>
    <cellStyle name="Normal 7 2 3 2 3" xfId="1710" xr:uid="{00000000-0005-0000-0000-000013070000}"/>
    <cellStyle name="Normal 7 2 3 2 3 2" xfId="3932" xr:uid="{00000000-0005-0000-0000-000014070000}"/>
    <cellStyle name="Normal 7 2 3 2 3 2 2" xfId="7932" xr:uid="{00000000-0005-0000-0000-000014070000}"/>
    <cellStyle name="Normal 7 2 3 2 3 3" xfId="5931" xr:uid="{00000000-0005-0000-0000-000014070000}"/>
    <cellStyle name="Normal 7 2 3 2 4" xfId="2934" xr:uid="{00000000-0005-0000-0000-000011070000}"/>
    <cellStyle name="Normal 7 2 3 2 4 2" xfId="6933" xr:uid="{00000000-0005-0000-0000-000011070000}"/>
    <cellStyle name="Normal 7 2 3 2 5" xfId="4932" xr:uid="{00000000-0005-0000-0000-000011070000}"/>
    <cellStyle name="Normal 7 2 3 3" xfId="956" xr:uid="{00000000-0005-0000-0000-000014070000}"/>
    <cellStyle name="Normal 7 2 3 3 2" xfId="1958" xr:uid="{00000000-0005-0000-0000-000015070000}"/>
    <cellStyle name="Normal 7 2 3 3 2 2" xfId="4180" xr:uid="{00000000-0005-0000-0000-000016070000}"/>
    <cellStyle name="Normal 7 2 3 3 2 2 2" xfId="8180" xr:uid="{00000000-0005-0000-0000-000016070000}"/>
    <cellStyle name="Normal 7 2 3 3 2 3" xfId="6179" xr:uid="{00000000-0005-0000-0000-000016070000}"/>
    <cellStyle name="Normal 7 2 3 3 3" xfId="3182" xr:uid="{00000000-0005-0000-0000-000015070000}"/>
    <cellStyle name="Normal 7 2 3 3 3 2" xfId="7181" xr:uid="{00000000-0005-0000-0000-000015070000}"/>
    <cellStyle name="Normal 7 2 3 3 4" xfId="5180" xr:uid="{00000000-0005-0000-0000-000015070000}"/>
    <cellStyle name="Normal 7 2 3 4" xfId="1462" xr:uid="{00000000-0005-0000-0000-000016070000}"/>
    <cellStyle name="Normal 7 2 3 4 2" xfId="3684" xr:uid="{00000000-0005-0000-0000-000017070000}"/>
    <cellStyle name="Normal 7 2 3 4 2 2" xfId="7684" xr:uid="{00000000-0005-0000-0000-000017070000}"/>
    <cellStyle name="Normal 7 2 3 4 3" xfId="5683" xr:uid="{00000000-0005-0000-0000-000017070000}"/>
    <cellStyle name="Normal 7 2 3 5" xfId="2687" xr:uid="{00000000-0005-0000-0000-000010070000}"/>
    <cellStyle name="Normal 7 2 3 5 2" xfId="6685" xr:uid="{00000000-0005-0000-0000-000010070000}"/>
    <cellStyle name="Normal 7 2 3 6" xfId="4684" xr:uid="{00000000-0005-0000-0000-000010070000}"/>
    <cellStyle name="Normal 7 2 4" xfId="546" xr:uid="{00000000-0005-0000-0000-000017070000}"/>
    <cellStyle name="Normal 7 2 4 2" xfId="793" xr:uid="{00000000-0005-0000-0000-000018070000}"/>
    <cellStyle name="Normal 7 2 4 2 2" xfId="1291" xr:uid="{00000000-0005-0000-0000-000019070000}"/>
    <cellStyle name="Normal 7 2 4 2 2 2" xfId="2293" xr:uid="{00000000-0005-0000-0000-00001A070000}"/>
    <cellStyle name="Normal 7 2 4 2 2 2 2" xfId="4515" xr:uid="{00000000-0005-0000-0000-00001B070000}"/>
    <cellStyle name="Normal 7 2 4 2 2 2 2 2" xfId="8515" xr:uid="{00000000-0005-0000-0000-00001B070000}"/>
    <cellStyle name="Normal 7 2 4 2 2 2 3" xfId="6514" xr:uid="{00000000-0005-0000-0000-00001B070000}"/>
    <cellStyle name="Normal 7 2 4 2 2 3" xfId="3517" xr:uid="{00000000-0005-0000-0000-00001A070000}"/>
    <cellStyle name="Normal 7 2 4 2 2 3 2" xfId="7516" xr:uid="{00000000-0005-0000-0000-00001A070000}"/>
    <cellStyle name="Normal 7 2 4 2 2 4" xfId="5515" xr:uid="{00000000-0005-0000-0000-00001A070000}"/>
    <cellStyle name="Normal 7 2 4 2 3" xfId="1797" xr:uid="{00000000-0005-0000-0000-00001B070000}"/>
    <cellStyle name="Normal 7 2 4 2 3 2" xfId="4019" xr:uid="{00000000-0005-0000-0000-00001C070000}"/>
    <cellStyle name="Normal 7 2 4 2 3 2 2" xfId="8019" xr:uid="{00000000-0005-0000-0000-00001C070000}"/>
    <cellStyle name="Normal 7 2 4 2 3 3" xfId="6018" xr:uid="{00000000-0005-0000-0000-00001C070000}"/>
    <cellStyle name="Normal 7 2 4 2 4" xfId="3021" xr:uid="{00000000-0005-0000-0000-000019070000}"/>
    <cellStyle name="Normal 7 2 4 2 4 2" xfId="7020" xr:uid="{00000000-0005-0000-0000-000019070000}"/>
    <cellStyle name="Normal 7 2 4 2 5" xfId="5019" xr:uid="{00000000-0005-0000-0000-000019070000}"/>
    <cellStyle name="Normal 7 2 4 3" xfId="1043" xr:uid="{00000000-0005-0000-0000-00001C070000}"/>
    <cellStyle name="Normal 7 2 4 3 2" xfId="2045" xr:uid="{00000000-0005-0000-0000-00001D070000}"/>
    <cellStyle name="Normal 7 2 4 3 2 2" xfId="4267" xr:uid="{00000000-0005-0000-0000-00001E070000}"/>
    <cellStyle name="Normal 7 2 4 3 2 2 2" xfId="8267" xr:uid="{00000000-0005-0000-0000-00001E070000}"/>
    <cellStyle name="Normal 7 2 4 3 2 3" xfId="6266" xr:uid="{00000000-0005-0000-0000-00001E070000}"/>
    <cellStyle name="Normal 7 2 4 3 3" xfId="3269" xr:uid="{00000000-0005-0000-0000-00001D070000}"/>
    <cellStyle name="Normal 7 2 4 3 3 2" xfId="7268" xr:uid="{00000000-0005-0000-0000-00001D070000}"/>
    <cellStyle name="Normal 7 2 4 3 4" xfId="5267" xr:uid="{00000000-0005-0000-0000-00001D070000}"/>
    <cellStyle name="Normal 7 2 4 4" xfId="1549" xr:uid="{00000000-0005-0000-0000-00001E070000}"/>
    <cellStyle name="Normal 7 2 4 4 2" xfId="3771" xr:uid="{00000000-0005-0000-0000-00001F070000}"/>
    <cellStyle name="Normal 7 2 4 4 2 2" xfId="7771" xr:uid="{00000000-0005-0000-0000-00001F070000}"/>
    <cellStyle name="Normal 7 2 4 4 3" xfId="5770" xr:uid="{00000000-0005-0000-0000-00001F070000}"/>
    <cellStyle name="Normal 7 2 4 5" xfId="2774" xr:uid="{00000000-0005-0000-0000-000018070000}"/>
    <cellStyle name="Normal 7 2 4 5 2" xfId="6772" xr:uid="{00000000-0005-0000-0000-000018070000}"/>
    <cellStyle name="Normal 7 2 4 6" xfId="4771" xr:uid="{00000000-0005-0000-0000-000018070000}"/>
    <cellStyle name="Normal 7 2 5" xfId="592" xr:uid="{00000000-0005-0000-0000-00001F070000}"/>
    <cellStyle name="Normal 7 2 5 2" xfId="1090" xr:uid="{00000000-0005-0000-0000-000020070000}"/>
    <cellStyle name="Normal 7 2 5 2 2" xfId="2092" xr:uid="{00000000-0005-0000-0000-000021070000}"/>
    <cellStyle name="Normal 7 2 5 2 2 2" xfId="4314" xr:uid="{00000000-0005-0000-0000-000022070000}"/>
    <cellStyle name="Normal 7 2 5 2 2 2 2" xfId="8314" xr:uid="{00000000-0005-0000-0000-000022070000}"/>
    <cellStyle name="Normal 7 2 5 2 2 3" xfId="6313" xr:uid="{00000000-0005-0000-0000-000022070000}"/>
    <cellStyle name="Normal 7 2 5 2 3" xfId="3316" xr:uid="{00000000-0005-0000-0000-000021070000}"/>
    <cellStyle name="Normal 7 2 5 2 3 2" xfId="7315" xr:uid="{00000000-0005-0000-0000-000021070000}"/>
    <cellStyle name="Normal 7 2 5 2 4" xfId="5314" xr:uid="{00000000-0005-0000-0000-000021070000}"/>
    <cellStyle name="Normal 7 2 5 3" xfId="1596" xr:uid="{00000000-0005-0000-0000-000022070000}"/>
    <cellStyle name="Normal 7 2 5 3 2" xfId="3818" xr:uid="{00000000-0005-0000-0000-000023070000}"/>
    <cellStyle name="Normal 7 2 5 3 2 2" xfId="7818" xr:uid="{00000000-0005-0000-0000-000023070000}"/>
    <cellStyle name="Normal 7 2 5 3 3" xfId="5817" xr:uid="{00000000-0005-0000-0000-000023070000}"/>
    <cellStyle name="Normal 7 2 5 4" xfId="2821" xr:uid="{00000000-0005-0000-0000-000020070000}"/>
    <cellStyle name="Normal 7 2 5 4 2" xfId="6819" xr:uid="{00000000-0005-0000-0000-000020070000}"/>
    <cellStyle name="Normal 7 2 5 5" xfId="4818" xr:uid="{00000000-0005-0000-0000-000020070000}"/>
    <cellStyle name="Normal 7 2 6" xfId="842" xr:uid="{00000000-0005-0000-0000-000023070000}"/>
    <cellStyle name="Normal 7 2 6 2" xfId="1844" xr:uid="{00000000-0005-0000-0000-000024070000}"/>
    <cellStyle name="Normal 7 2 6 2 2" xfId="4066" xr:uid="{00000000-0005-0000-0000-000025070000}"/>
    <cellStyle name="Normal 7 2 6 2 2 2" xfId="8066" xr:uid="{00000000-0005-0000-0000-000025070000}"/>
    <cellStyle name="Normal 7 2 6 2 3" xfId="6065" xr:uid="{00000000-0005-0000-0000-000025070000}"/>
    <cellStyle name="Normal 7 2 6 3" xfId="3068" xr:uid="{00000000-0005-0000-0000-000024070000}"/>
    <cellStyle name="Normal 7 2 6 3 2" xfId="7067" xr:uid="{00000000-0005-0000-0000-000024070000}"/>
    <cellStyle name="Normal 7 2 6 4" xfId="5066" xr:uid="{00000000-0005-0000-0000-000024070000}"/>
    <cellStyle name="Normal 7 2 7" xfId="1348" xr:uid="{00000000-0005-0000-0000-000025070000}"/>
    <cellStyle name="Normal 7 2 7 2" xfId="3570" xr:uid="{00000000-0005-0000-0000-000026070000}"/>
    <cellStyle name="Normal 7 2 7 2 2" xfId="7570" xr:uid="{00000000-0005-0000-0000-000026070000}"/>
    <cellStyle name="Normal 7 2 7 3" xfId="5569" xr:uid="{00000000-0005-0000-0000-000026070000}"/>
    <cellStyle name="Normal 7 2 8" xfId="2582" xr:uid="{00000000-0005-0000-0000-000007070000}"/>
    <cellStyle name="Normal 7 2 8 2" xfId="6571" xr:uid="{00000000-0005-0000-0000-000007070000}"/>
    <cellStyle name="Normal 7 2 9" xfId="4570" xr:uid="{00000000-0005-0000-0000-000007070000}"/>
    <cellStyle name="Normal 7 3" xfId="370" xr:uid="{00000000-0005-0000-0000-000026070000}"/>
    <cellStyle name="Normal 7 3 2" xfId="482" xr:uid="{00000000-0005-0000-0000-000027070000}"/>
    <cellStyle name="Normal 7 3 2 2" xfId="729" xr:uid="{00000000-0005-0000-0000-000028070000}"/>
    <cellStyle name="Normal 7 3 2 2 2" xfId="1226" xr:uid="{00000000-0005-0000-0000-000029070000}"/>
    <cellStyle name="Normal 7 3 2 2 2 2" xfId="2228" xr:uid="{00000000-0005-0000-0000-00002A070000}"/>
    <cellStyle name="Normal 7 3 2 2 2 2 2" xfId="4450" xr:uid="{00000000-0005-0000-0000-00002B070000}"/>
    <cellStyle name="Normal 7 3 2 2 2 2 2 2" xfId="8450" xr:uid="{00000000-0005-0000-0000-00002B070000}"/>
    <cellStyle name="Normal 7 3 2 2 2 2 3" xfId="6449" xr:uid="{00000000-0005-0000-0000-00002B070000}"/>
    <cellStyle name="Normal 7 3 2 2 2 3" xfId="3452" xr:uid="{00000000-0005-0000-0000-00002A070000}"/>
    <cellStyle name="Normal 7 3 2 2 2 3 2" xfId="7451" xr:uid="{00000000-0005-0000-0000-00002A070000}"/>
    <cellStyle name="Normal 7 3 2 2 2 4" xfId="5450" xr:uid="{00000000-0005-0000-0000-00002A070000}"/>
    <cellStyle name="Normal 7 3 2 2 3" xfId="1732" xr:uid="{00000000-0005-0000-0000-00002B070000}"/>
    <cellStyle name="Normal 7 3 2 2 3 2" xfId="3954" xr:uid="{00000000-0005-0000-0000-00002C070000}"/>
    <cellStyle name="Normal 7 3 2 2 3 2 2" xfId="7954" xr:uid="{00000000-0005-0000-0000-00002C070000}"/>
    <cellStyle name="Normal 7 3 2 2 3 3" xfId="5953" xr:uid="{00000000-0005-0000-0000-00002C070000}"/>
    <cellStyle name="Normal 7 3 2 2 4" xfId="2956" xr:uid="{00000000-0005-0000-0000-000029070000}"/>
    <cellStyle name="Normal 7 3 2 2 4 2" xfId="6955" xr:uid="{00000000-0005-0000-0000-000029070000}"/>
    <cellStyle name="Normal 7 3 2 2 5" xfId="4954" xr:uid="{00000000-0005-0000-0000-000029070000}"/>
    <cellStyle name="Normal 7 3 2 3" xfId="978" xr:uid="{00000000-0005-0000-0000-00002C070000}"/>
    <cellStyle name="Normal 7 3 2 3 2" xfId="1980" xr:uid="{00000000-0005-0000-0000-00002D070000}"/>
    <cellStyle name="Normal 7 3 2 3 2 2" xfId="4202" xr:uid="{00000000-0005-0000-0000-00002E070000}"/>
    <cellStyle name="Normal 7 3 2 3 2 2 2" xfId="8202" xr:uid="{00000000-0005-0000-0000-00002E070000}"/>
    <cellStyle name="Normal 7 3 2 3 2 3" xfId="6201" xr:uid="{00000000-0005-0000-0000-00002E070000}"/>
    <cellStyle name="Normal 7 3 2 3 3" xfId="3204" xr:uid="{00000000-0005-0000-0000-00002D070000}"/>
    <cellStyle name="Normal 7 3 2 3 3 2" xfId="7203" xr:uid="{00000000-0005-0000-0000-00002D070000}"/>
    <cellStyle name="Normal 7 3 2 3 4" xfId="5202" xr:uid="{00000000-0005-0000-0000-00002D070000}"/>
    <cellStyle name="Normal 7 3 2 4" xfId="1484" xr:uid="{00000000-0005-0000-0000-00002E070000}"/>
    <cellStyle name="Normal 7 3 2 4 2" xfId="3706" xr:uid="{00000000-0005-0000-0000-00002F070000}"/>
    <cellStyle name="Normal 7 3 2 4 2 2" xfId="7706" xr:uid="{00000000-0005-0000-0000-00002F070000}"/>
    <cellStyle name="Normal 7 3 2 4 3" xfId="5705" xr:uid="{00000000-0005-0000-0000-00002F070000}"/>
    <cellStyle name="Normal 7 3 2 5" xfId="2709" xr:uid="{00000000-0005-0000-0000-000028070000}"/>
    <cellStyle name="Normal 7 3 2 5 2" xfId="6707" xr:uid="{00000000-0005-0000-0000-000028070000}"/>
    <cellStyle name="Normal 7 3 2 6" xfId="4706" xr:uid="{00000000-0005-0000-0000-000028070000}"/>
    <cellStyle name="Normal 7 3 3" xfId="614" xr:uid="{00000000-0005-0000-0000-00002F070000}"/>
    <cellStyle name="Normal 7 3 3 2" xfId="1112" xr:uid="{00000000-0005-0000-0000-000030070000}"/>
    <cellStyle name="Normal 7 3 3 2 2" xfId="2114" xr:uid="{00000000-0005-0000-0000-000031070000}"/>
    <cellStyle name="Normal 7 3 3 2 2 2" xfId="4336" xr:uid="{00000000-0005-0000-0000-000032070000}"/>
    <cellStyle name="Normal 7 3 3 2 2 2 2" xfId="8336" xr:uid="{00000000-0005-0000-0000-000032070000}"/>
    <cellStyle name="Normal 7 3 3 2 2 3" xfId="6335" xr:uid="{00000000-0005-0000-0000-000032070000}"/>
    <cellStyle name="Normal 7 3 3 2 3" xfId="3338" xr:uid="{00000000-0005-0000-0000-000031070000}"/>
    <cellStyle name="Normal 7 3 3 2 3 2" xfId="7337" xr:uid="{00000000-0005-0000-0000-000031070000}"/>
    <cellStyle name="Normal 7 3 3 2 4" xfId="5336" xr:uid="{00000000-0005-0000-0000-000031070000}"/>
    <cellStyle name="Normal 7 3 3 3" xfId="1618" xr:uid="{00000000-0005-0000-0000-000032070000}"/>
    <cellStyle name="Normal 7 3 3 3 2" xfId="3840" xr:uid="{00000000-0005-0000-0000-000033070000}"/>
    <cellStyle name="Normal 7 3 3 3 2 2" xfId="7840" xr:uid="{00000000-0005-0000-0000-000033070000}"/>
    <cellStyle name="Normal 7 3 3 3 3" xfId="5839" xr:uid="{00000000-0005-0000-0000-000033070000}"/>
    <cellStyle name="Normal 7 3 3 4" xfId="2843" xr:uid="{00000000-0005-0000-0000-000030070000}"/>
    <cellStyle name="Normal 7 3 3 4 2" xfId="6841" xr:uid="{00000000-0005-0000-0000-000030070000}"/>
    <cellStyle name="Normal 7 3 3 5" xfId="4840" xr:uid="{00000000-0005-0000-0000-000030070000}"/>
    <cellStyle name="Normal 7 3 4" xfId="864" xr:uid="{00000000-0005-0000-0000-000033070000}"/>
    <cellStyle name="Normal 7 3 4 2" xfId="1866" xr:uid="{00000000-0005-0000-0000-000034070000}"/>
    <cellStyle name="Normal 7 3 4 2 2" xfId="4088" xr:uid="{00000000-0005-0000-0000-000035070000}"/>
    <cellStyle name="Normal 7 3 4 2 2 2" xfId="8088" xr:uid="{00000000-0005-0000-0000-000035070000}"/>
    <cellStyle name="Normal 7 3 4 2 3" xfId="6087" xr:uid="{00000000-0005-0000-0000-000035070000}"/>
    <cellStyle name="Normal 7 3 4 3" xfId="3090" xr:uid="{00000000-0005-0000-0000-000034070000}"/>
    <cellStyle name="Normal 7 3 4 3 2" xfId="7089" xr:uid="{00000000-0005-0000-0000-000034070000}"/>
    <cellStyle name="Normal 7 3 4 4" xfId="5088" xr:uid="{00000000-0005-0000-0000-000034070000}"/>
    <cellStyle name="Normal 7 3 5" xfId="1370" xr:uid="{00000000-0005-0000-0000-000035070000}"/>
    <cellStyle name="Normal 7 3 5 2" xfId="3592" xr:uid="{00000000-0005-0000-0000-000036070000}"/>
    <cellStyle name="Normal 7 3 5 2 2" xfId="7592" xr:uid="{00000000-0005-0000-0000-000036070000}"/>
    <cellStyle name="Normal 7 3 5 3" xfId="5591" xr:uid="{00000000-0005-0000-0000-000036070000}"/>
    <cellStyle name="Normal 7 3 6" xfId="2603" xr:uid="{00000000-0005-0000-0000-000027070000}"/>
    <cellStyle name="Normal 7 3 6 2" xfId="6593" xr:uid="{00000000-0005-0000-0000-000027070000}"/>
    <cellStyle name="Normal 7 3 7" xfId="4592" xr:uid="{00000000-0005-0000-0000-000027070000}"/>
    <cellStyle name="Normal 7 4" xfId="391" xr:uid="{00000000-0005-0000-0000-000036070000}"/>
    <cellStyle name="Normal 7 4 2" xfId="637" xr:uid="{00000000-0005-0000-0000-000037070000}"/>
    <cellStyle name="Normal 7 4 2 2" xfId="1134" xr:uid="{00000000-0005-0000-0000-000038070000}"/>
    <cellStyle name="Normal 7 4 2 2 2" xfId="2136" xr:uid="{00000000-0005-0000-0000-000039070000}"/>
    <cellStyle name="Normal 7 4 2 2 2 2" xfId="4358" xr:uid="{00000000-0005-0000-0000-00003A070000}"/>
    <cellStyle name="Normal 7 4 2 2 2 2 2" xfId="8358" xr:uid="{00000000-0005-0000-0000-00003A070000}"/>
    <cellStyle name="Normal 7 4 2 2 2 3" xfId="6357" xr:uid="{00000000-0005-0000-0000-00003A070000}"/>
    <cellStyle name="Normal 7 4 2 2 3" xfId="3360" xr:uid="{00000000-0005-0000-0000-000039070000}"/>
    <cellStyle name="Normal 7 4 2 2 3 2" xfId="7359" xr:uid="{00000000-0005-0000-0000-000039070000}"/>
    <cellStyle name="Normal 7 4 2 2 4" xfId="5358" xr:uid="{00000000-0005-0000-0000-000039070000}"/>
    <cellStyle name="Normal 7 4 2 3" xfId="1640" xr:uid="{00000000-0005-0000-0000-00003A070000}"/>
    <cellStyle name="Normal 7 4 2 3 2" xfId="3862" xr:uid="{00000000-0005-0000-0000-00003B070000}"/>
    <cellStyle name="Normal 7 4 2 3 2 2" xfId="7862" xr:uid="{00000000-0005-0000-0000-00003B070000}"/>
    <cellStyle name="Normal 7 4 2 3 3" xfId="5861" xr:uid="{00000000-0005-0000-0000-00003B070000}"/>
    <cellStyle name="Normal 7 4 2 4" xfId="2864" xr:uid="{00000000-0005-0000-0000-000038070000}"/>
    <cellStyle name="Normal 7 4 2 4 2" xfId="6863" xr:uid="{00000000-0005-0000-0000-000038070000}"/>
    <cellStyle name="Normal 7 4 2 5" xfId="4862" xr:uid="{00000000-0005-0000-0000-000038070000}"/>
    <cellStyle name="Normal 7 4 3" xfId="886" xr:uid="{00000000-0005-0000-0000-00003B070000}"/>
    <cellStyle name="Normal 7 4 3 2" xfId="1888" xr:uid="{00000000-0005-0000-0000-00003C070000}"/>
    <cellStyle name="Normal 7 4 3 2 2" xfId="4110" xr:uid="{00000000-0005-0000-0000-00003D070000}"/>
    <cellStyle name="Normal 7 4 3 2 2 2" xfId="8110" xr:uid="{00000000-0005-0000-0000-00003D070000}"/>
    <cellStyle name="Normal 7 4 3 2 3" xfId="6109" xr:uid="{00000000-0005-0000-0000-00003D070000}"/>
    <cellStyle name="Normal 7 4 3 3" xfId="3112" xr:uid="{00000000-0005-0000-0000-00003C070000}"/>
    <cellStyle name="Normal 7 4 3 3 2" xfId="7111" xr:uid="{00000000-0005-0000-0000-00003C070000}"/>
    <cellStyle name="Normal 7 4 3 4" xfId="5110" xr:uid="{00000000-0005-0000-0000-00003C070000}"/>
    <cellStyle name="Normal 7 4 4" xfId="1392" xr:uid="{00000000-0005-0000-0000-00003D070000}"/>
    <cellStyle name="Normal 7 4 4 2" xfId="3614" xr:uid="{00000000-0005-0000-0000-00003E070000}"/>
    <cellStyle name="Normal 7 4 4 2 2" xfId="7614" xr:uid="{00000000-0005-0000-0000-00003E070000}"/>
    <cellStyle name="Normal 7 4 4 3" xfId="5613" xr:uid="{00000000-0005-0000-0000-00003E070000}"/>
    <cellStyle name="Normal 7 4 5" xfId="2624" xr:uid="{00000000-0005-0000-0000-000037070000}"/>
    <cellStyle name="Normal 7 4 5 2" xfId="6615" xr:uid="{00000000-0005-0000-0000-000037070000}"/>
    <cellStyle name="Normal 7 4 6" xfId="4614" xr:uid="{00000000-0005-0000-0000-000037070000}"/>
    <cellStyle name="Normal 7 5" xfId="436" xr:uid="{00000000-0005-0000-0000-00003E070000}"/>
    <cellStyle name="Normal 7 5 2" xfId="683" xr:uid="{00000000-0005-0000-0000-00003F070000}"/>
    <cellStyle name="Normal 7 5 2 2" xfId="1180" xr:uid="{00000000-0005-0000-0000-000040070000}"/>
    <cellStyle name="Normal 7 5 2 2 2" xfId="2182" xr:uid="{00000000-0005-0000-0000-000041070000}"/>
    <cellStyle name="Normal 7 5 2 2 2 2" xfId="4404" xr:uid="{00000000-0005-0000-0000-000042070000}"/>
    <cellStyle name="Normal 7 5 2 2 2 2 2" xfId="8404" xr:uid="{00000000-0005-0000-0000-000042070000}"/>
    <cellStyle name="Normal 7 5 2 2 2 3" xfId="6403" xr:uid="{00000000-0005-0000-0000-000042070000}"/>
    <cellStyle name="Normal 7 5 2 2 3" xfId="3406" xr:uid="{00000000-0005-0000-0000-000041070000}"/>
    <cellStyle name="Normal 7 5 2 2 3 2" xfId="7405" xr:uid="{00000000-0005-0000-0000-000041070000}"/>
    <cellStyle name="Normal 7 5 2 2 4" xfId="5404" xr:uid="{00000000-0005-0000-0000-000041070000}"/>
    <cellStyle name="Normal 7 5 2 3" xfId="1686" xr:uid="{00000000-0005-0000-0000-000042070000}"/>
    <cellStyle name="Normal 7 5 2 3 2" xfId="3908" xr:uid="{00000000-0005-0000-0000-000043070000}"/>
    <cellStyle name="Normal 7 5 2 3 2 2" xfId="7908" xr:uid="{00000000-0005-0000-0000-000043070000}"/>
    <cellStyle name="Normal 7 5 2 3 3" xfId="5907" xr:uid="{00000000-0005-0000-0000-000043070000}"/>
    <cellStyle name="Normal 7 5 2 4" xfId="2910" xr:uid="{00000000-0005-0000-0000-000040070000}"/>
    <cellStyle name="Normal 7 5 2 4 2" xfId="6909" xr:uid="{00000000-0005-0000-0000-000040070000}"/>
    <cellStyle name="Normal 7 5 2 5" xfId="4908" xr:uid="{00000000-0005-0000-0000-000040070000}"/>
    <cellStyle name="Normal 7 5 3" xfId="932" xr:uid="{00000000-0005-0000-0000-000043070000}"/>
    <cellStyle name="Normal 7 5 3 2" xfId="1934" xr:uid="{00000000-0005-0000-0000-000044070000}"/>
    <cellStyle name="Normal 7 5 3 2 2" xfId="4156" xr:uid="{00000000-0005-0000-0000-000045070000}"/>
    <cellStyle name="Normal 7 5 3 2 2 2" xfId="8156" xr:uid="{00000000-0005-0000-0000-000045070000}"/>
    <cellStyle name="Normal 7 5 3 2 3" xfId="6155" xr:uid="{00000000-0005-0000-0000-000045070000}"/>
    <cellStyle name="Normal 7 5 3 3" xfId="3158" xr:uid="{00000000-0005-0000-0000-000044070000}"/>
    <cellStyle name="Normal 7 5 3 3 2" xfId="7157" xr:uid="{00000000-0005-0000-0000-000044070000}"/>
    <cellStyle name="Normal 7 5 3 4" xfId="5156" xr:uid="{00000000-0005-0000-0000-000044070000}"/>
    <cellStyle name="Normal 7 5 4" xfId="1438" xr:uid="{00000000-0005-0000-0000-000045070000}"/>
    <cellStyle name="Normal 7 5 4 2" xfId="3660" xr:uid="{00000000-0005-0000-0000-000046070000}"/>
    <cellStyle name="Normal 7 5 4 2 2" xfId="7660" xr:uid="{00000000-0005-0000-0000-000046070000}"/>
    <cellStyle name="Normal 7 5 4 3" xfId="5659" xr:uid="{00000000-0005-0000-0000-000046070000}"/>
    <cellStyle name="Normal 7 5 5" xfId="2664" xr:uid="{00000000-0005-0000-0000-00003F070000}"/>
    <cellStyle name="Normal 7 5 5 2" xfId="6661" xr:uid="{00000000-0005-0000-0000-00003F070000}"/>
    <cellStyle name="Normal 7 5 6" xfId="4660" xr:uid="{00000000-0005-0000-0000-00003F070000}"/>
    <cellStyle name="Normal 7 6" xfId="502" xr:uid="{00000000-0005-0000-0000-000046070000}"/>
    <cellStyle name="Normal 7 6 2" xfId="749" xr:uid="{00000000-0005-0000-0000-000047070000}"/>
    <cellStyle name="Normal 7 6 2 2" xfId="1246" xr:uid="{00000000-0005-0000-0000-000048070000}"/>
    <cellStyle name="Normal 7 6 2 2 2" xfId="2248" xr:uid="{00000000-0005-0000-0000-000049070000}"/>
    <cellStyle name="Normal 7 6 2 2 2 2" xfId="4470" xr:uid="{00000000-0005-0000-0000-00004A070000}"/>
    <cellStyle name="Normal 7 6 2 2 2 2 2" xfId="8470" xr:uid="{00000000-0005-0000-0000-00004A070000}"/>
    <cellStyle name="Normal 7 6 2 2 2 3" xfId="6469" xr:uid="{00000000-0005-0000-0000-00004A070000}"/>
    <cellStyle name="Normal 7 6 2 2 3" xfId="3472" xr:uid="{00000000-0005-0000-0000-000049070000}"/>
    <cellStyle name="Normal 7 6 2 2 3 2" xfId="7471" xr:uid="{00000000-0005-0000-0000-000049070000}"/>
    <cellStyle name="Normal 7 6 2 2 4" xfId="5470" xr:uid="{00000000-0005-0000-0000-000049070000}"/>
    <cellStyle name="Normal 7 6 2 3" xfId="1752" xr:uid="{00000000-0005-0000-0000-00004A070000}"/>
    <cellStyle name="Normal 7 6 2 3 2" xfId="3974" xr:uid="{00000000-0005-0000-0000-00004B070000}"/>
    <cellStyle name="Normal 7 6 2 3 2 2" xfId="7974" xr:uid="{00000000-0005-0000-0000-00004B070000}"/>
    <cellStyle name="Normal 7 6 2 3 3" xfId="5973" xr:uid="{00000000-0005-0000-0000-00004B070000}"/>
    <cellStyle name="Normal 7 6 2 4" xfId="2976" xr:uid="{00000000-0005-0000-0000-000048070000}"/>
    <cellStyle name="Normal 7 6 2 4 2" xfId="6975" xr:uid="{00000000-0005-0000-0000-000048070000}"/>
    <cellStyle name="Normal 7 6 2 5" xfId="4974" xr:uid="{00000000-0005-0000-0000-000048070000}"/>
    <cellStyle name="Normal 7 6 3" xfId="998" xr:uid="{00000000-0005-0000-0000-00004B070000}"/>
    <cellStyle name="Normal 7 6 3 2" xfId="2000" xr:uid="{00000000-0005-0000-0000-00004C070000}"/>
    <cellStyle name="Normal 7 6 3 2 2" xfId="4222" xr:uid="{00000000-0005-0000-0000-00004D070000}"/>
    <cellStyle name="Normal 7 6 3 2 2 2" xfId="8222" xr:uid="{00000000-0005-0000-0000-00004D070000}"/>
    <cellStyle name="Normal 7 6 3 2 3" xfId="6221" xr:uid="{00000000-0005-0000-0000-00004D070000}"/>
    <cellStyle name="Normal 7 6 3 3" xfId="3224" xr:uid="{00000000-0005-0000-0000-00004C070000}"/>
    <cellStyle name="Normal 7 6 3 3 2" xfId="7223" xr:uid="{00000000-0005-0000-0000-00004C070000}"/>
    <cellStyle name="Normal 7 6 3 4" xfId="5222" xr:uid="{00000000-0005-0000-0000-00004C070000}"/>
    <cellStyle name="Normal 7 6 4" xfId="1504" xr:uid="{00000000-0005-0000-0000-00004D070000}"/>
    <cellStyle name="Normal 7 6 4 2" xfId="3726" xr:uid="{00000000-0005-0000-0000-00004E070000}"/>
    <cellStyle name="Normal 7 6 4 2 2" xfId="7726" xr:uid="{00000000-0005-0000-0000-00004E070000}"/>
    <cellStyle name="Normal 7 6 4 3" xfId="5725" xr:uid="{00000000-0005-0000-0000-00004E070000}"/>
    <cellStyle name="Normal 7 6 5" xfId="2729" xr:uid="{00000000-0005-0000-0000-000047070000}"/>
    <cellStyle name="Normal 7 6 5 2" xfId="6727" xr:uid="{00000000-0005-0000-0000-000047070000}"/>
    <cellStyle name="Normal 7 6 6" xfId="4726" xr:uid="{00000000-0005-0000-0000-000047070000}"/>
    <cellStyle name="Normal 7 7" xfId="522" xr:uid="{00000000-0005-0000-0000-00004E070000}"/>
    <cellStyle name="Normal 7 7 2" xfId="769" xr:uid="{00000000-0005-0000-0000-00004F070000}"/>
    <cellStyle name="Normal 7 7 2 2" xfId="1267" xr:uid="{00000000-0005-0000-0000-000050070000}"/>
    <cellStyle name="Normal 7 7 2 2 2" xfId="2269" xr:uid="{00000000-0005-0000-0000-000051070000}"/>
    <cellStyle name="Normal 7 7 2 2 2 2" xfId="4491" xr:uid="{00000000-0005-0000-0000-000052070000}"/>
    <cellStyle name="Normal 7 7 2 2 2 2 2" xfId="8491" xr:uid="{00000000-0005-0000-0000-000052070000}"/>
    <cellStyle name="Normal 7 7 2 2 2 3" xfId="6490" xr:uid="{00000000-0005-0000-0000-000052070000}"/>
    <cellStyle name="Normal 7 7 2 2 3" xfId="3493" xr:uid="{00000000-0005-0000-0000-000051070000}"/>
    <cellStyle name="Normal 7 7 2 2 3 2" xfId="7492" xr:uid="{00000000-0005-0000-0000-000051070000}"/>
    <cellStyle name="Normal 7 7 2 2 4" xfId="5491" xr:uid="{00000000-0005-0000-0000-000051070000}"/>
    <cellStyle name="Normal 7 7 2 3" xfId="1773" xr:uid="{00000000-0005-0000-0000-000052070000}"/>
    <cellStyle name="Normal 7 7 2 3 2" xfId="3995" xr:uid="{00000000-0005-0000-0000-000053070000}"/>
    <cellStyle name="Normal 7 7 2 3 2 2" xfId="7995" xr:uid="{00000000-0005-0000-0000-000053070000}"/>
    <cellStyle name="Normal 7 7 2 3 3" xfId="5994" xr:uid="{00000000-0005-0000-0000-000053070000}"/>
    <cellStyle name="Normal 7 7 2 4" xfId="2997" xr:uid="{00000000-0005-0000-0000-000050070000}"/>
    <cellStyle name="Normal 7 7 2 4 2" xfId="6996" xr:uid="{00000000-0005-0000-0000-000050070000}"/>
    <cellStyle name="Normal 7 7 2 5" xfId="4995" xr:uid="{00000000-0005-0000-0000-000050070000}"/>
    <cellStyle name="Normal 7 7 3" xfId="1019" xr:uid="{00000000-0005-0000-0000-000053070000}"/>
    <cellStyle name="Normal 7 7 3 2" xfId="2021" xr:uid="{00000000-0005-0000-0000-000054070000}"/>
    <cellStyle name="Normal 7 7 3 2 2" xfId="4243" xr:uid="{00000000-0005-0000-0000-000055070000}"/>
    <cellStyle name="Normal 7 7 3 2 2 2" xfId="8243" xr:uid="{00000000-0005-0000-0000-000055070000}"/>
    <cellStyle name="Normal 7 7 3 2 3" xfId="6242" xr:uid="{00000000-0005-0000-0000-000055070000}"/>
    <cellStyle name="Normal 7 7 3 3" xfId="3245" xr:uid="{00000000-0005-0000-0000-000054070000}"/>
    <cellStyle name="Normal 7 7 3 3 2" xfId="7244" xr:uid="{00000000-0005-0000-0000-000054070000}"/>
    <cellStyle name="Normal 7 7 3 4" xfId="5243" xr:uid="{00000000-0005-0000-0000-000054070000}"/>
    <cellStyle name="Normal 7 7 4" xfId="1525" xr:uid="{00000000-0005-0000-0000-000055070000}"/>
    <cellStyle name="Normal 7 7 4 2" xfId="3747" xr:uid="{00000000-0005-0000-0000-000056070000}"/>
    <cellStyle name="Normal 7 7 4 2 2" xfId="7747" xr:uid="{00000000-0005-0000-0000-000056070000}"/>
    <cellStyle name="Normal 7 7 4 3" xfId="5746" xr:uid="{00000000-0005-0000-0000-000056070000}"/>
    <cellStyle name="Normal 7 7 5" xfId="2750" xr:uid="{00000000-0005-0000-0000-00004F070000}"/>
    <cellStyle name="Normal 7 7 5 2" xfId="6748" xr:uid="{00000000-0005-0000-0000-00004F070000}"/>
    <cellStyle name="Normal 7 7 6" xfId="4747" xr:uid="{00000000-0005-0000-0000-00004F070000}"/>
    <cellStyle name="Normal 7 8" xfId="568" xr:uid="{00000000-0005-0000-0000-000056070000}"/>
    <cellStyle name="Normal 7 8 2" xfId="1066" xr:uid="{00000000-0005-0000-0000-000057070000}"/>
    <cellStyle name="Normal 7 8 2 2" xfId="2068" xr:uid="{00000000-0005-0000-0000-000058070000}"/>
    <cellStyle name="Normal 7 8 2 2 2" xfId="4290" xr:uid="{00000000-0005-0000-0000-000059070000}"/>
    <cellStyle name="Normal 7 8 2 2 2 2" xfId="8290" xr:uid="{00000000-0005-0000-0000-000059070000}"/>
    <cellStyle name="Normal 7 8 2 2 3" xfId="6289" xr:uid="{00000000-0005-0000-0000-000059070000}"/>
    <cellStyle name="Normal 7 8 2 3" xfId="3292" xr:uid="{00000000-0005-0000-0000-000058070000}"/>
    <cellStyle name="Normal 7 8 2 3 2" xfId="7291" xr:uid="{00000000-0005-0000-0000-000058070000}"/>
    <cellStyle name="Normal 7 8 2 4" xfId="5290" xr:uid="{00000000-0005-0000-0000-000058070000}"/>
    <cellStyle name="Normal 7 8 3" xfId="1572" xr:uid="{00000000-0005-0000-0000-000059070000}"/>
    <cellStyle name="Normal 7 8 3 2" xfId="3794" xr:uid="{00000000-0005-0000-0000-00005A070000}"/>
    <cellStyle name="Normal 7 8 3 2 2" xfId="7794" xr:uid="{00000000-0005-0000-0000-00005A070000}"/>
    <cellStyle name="Normal 7 8 3 3" xfId="5793" xr:uid="{00000000-0005-0000-0000-00005A070000}"/>
    <cellStyle name="Normal 7 8 4" xfId="2797" xr:uid="{00000000-0005-0000-0000-000057070000}"/>
    <cellStyle name="Normal 7 8 4 2" xfId="6795" xr:uid="{00000000-0005-0000-0000-000057070000}"/>
    <cellStyle name="Normal 7 8 5" xfId="4794" xr:uid="{00000000-0005-0000-0000-000057070000}"/>
    <cellStyle name="Normal 7 9" xfId="333" xr:uid="{00000000-0005-0000-0000-00005A070000}"/>
    <cellStyle name="Normal 7 9 2" xfId="1324" xr:uid="{00000000-0005-0000-0000-00005B070000}"/>
    <cellStyle name="Normal 7 9 2 2" xfId="3546" xr:uid="{00000000-0005-0000-0000-00005C070000}"/>
    <cellStyle name="Normal 7 9 2 2 2" xfId="7546" xr:uid="{00000000-0005-0000-0000-00005C070000}"/>
    <cellStyle name="Normal 7 9 2 3" xfId="5545" xr:uid="{00000000-0005-0000-0000-00005C070000}"/>
    <cellStyle name="Normal 7 9 3" xfId="2559" xr:uid="{00000000-0005-0000-0000-00005B070000}"/>
    <cellStyle name="Normal 7 9 3 2" xfId="6547" xr:uid="{00000000-0005-0000-0000-00005B070000}"/>
    <cellStyle name="Normal 7 9 4" xfId="4546" xr:uid="{00000000-0005-0000-0000-00005B070000}"/>
    <cellStyle name="Normal 8" xfId="34" xr:uid="{00000000-0005-0000-0000-00003F000000}"/>
    <cellStyle name="Normal 8 10" xfId="4547" xr:uid="{00000000-0005-0000-0000-00005D070000}"/>
    <cellStyle name="Normal 8 2" xfId="125" xr:uid="{00000000-0005-0000-0000-000040000000}"/>
    <cellStyle name="Normal 8 2 2" xfId="264" xr:uid="{00000000-0005-0000-0000-00006F000000}"/>
    <cellStyle name="Normal 8 2 2 2" xfId="662" xr:uid="{00000000-0005-0000-0000-00005F070000}"/>
    <cellStyle name="Normal 8 2 2 2 2" xfId="1159" xr:uid="{00000000-0005-0000-0000-000060070000}"/>
    <cellStyle name="Normal 8 2 2 2 2 2" xfId="2161" xr:uid="{00000000-0005-0000-0000-000061070000}"/>
    <cellStyle name="Normal 8 2 2 2 2 2 2" xfId="4383" xr:uid="{00000000-0005-0000-0000-000062070000}"/>
    <cellStyle name="Normal 8 2 2 2 2 2 2 2" xfId="8383" xr:uid="{00000000-0005-0000-0000-000062070000}"/>
    <cellStyle name="Normal 8 2 2 2 2 2 3" xfId="6382" xr:uid="{00000000-0005-0000-0000-000062070000}"/>
    <cellStyle name="Normal 8 2 2 2 2 3" xfId="3385" xr:uid="{00000000-0005-0000-0000-000061070000}"/>
    <cellStyle name="Normal 8 2 2 2 2 3 2" xfId="7384" xr:uid="{00000000-0005-0000-0000-000061070000}"/>
    <cellStyle name="Normal 8 2 2 2 2 4" xfId="5383" xr:uid="{00000000-0005-0000-0000-000061070000}"/>
    <cellStyle name="Normal 8 2 2 2 3" xfId="1665" xr:uid="{00000000-0005-0000-0000-000062070000}"/>
    <cellStyle name="Normal 8 2 2 2 3 2" xfId="3887" xr:uid="{00000000-0005-0000-0000-000063070000}"/>
    <cellStyle name="Normal 8 2 2 2 3 2 2" xfId="7887" xr:uid="{00000000-0005-0000-0000-000063070000}"/>
    <cellStyle name="Normal 8 2 2 2 3 3" xfId="5886" xr:uid="{00000000-0005-0000-0000-000063070000}"/>
    <cellStyle name="Normal 8 2 2 2 4" xfId="2889" xr:uid="{00000000-0005-0000-0000-000060070000}"/>
    <cellStyle name="Normal 8 2 2 2 4 2" xfId="6888" xr:uid="{00000000-0005-0000-0000-000060070000}"/>
    <cellStyle name="Normal 8 2 2 2 5" xfId="4887" xr:uid="{00000000-0005-0000-0000-000060070000}"/>
    <cellStyle name="Normal 8 2 2 3" xfId="911" xr:uid="{00000000-0005-0000-0000-000063070000}"/>
    <cellStyle name="Normal 8 2 2 3 2" xfId="1913" xr:uid="{00000000-0005-0000-0000-000064070000}"/>
    <cellStyle name="Normal 8 2 2 3 2 2" xfId="4135" xr:uid="{00000000-0005-0000-0000-000065070000}"/>
    <cellStyle name="Normal 8 2 2 3 2 2 2" xfId="8135" xr:uid="{00000000-0005-0000-0000-000065070000}"/>
    <cellStyle name="Normal 8 2 2 3 2 3" xfId="6134" xr:uid="{00000000-0005-0000-0000-000065070000}"/>
    <cellStyle name="Normal 8 2 2 3 3" xfId="3137" xr:uid="{00000000-0005-0000-0000-000064070000}"/>
    <cellStyle name="Normal 8 2 2 3 3 2" xfId="7136" xr:uid="{00000000-0005-0000-0000-000064070000}"/>
    <cellStyle name="Normal 8 2 2 3 4" xfId="5135" xr:uid="{00000000-0005-0000-0000-000064070000}"/>
    <cellStyle name="Normal 8 2 2 4" xfId="1417" xr:uid="{00000000-0005-0000-0000-000065070000}"/>
    <cellStyle name="Normal 8 2 2 4 2" xfId="3639" xr:uid="{00000000-0005-0000-0000-000066070000}"/>
    <cellStyle name="Normal 8 2 2 4 2 2" xfId="7639" xr:uid="{00000000-0005-0000-0000-000066070000}"/>
    <cellStyle name="Normal 8 2 2 4 3" xfId="5638" xr:uid="{00000000-0005-0000-0000-000066070000}"/>
    <cellStyle name="Normal 8 2 2 5" xfId="415" xr:uid="{00000000-0005-0000-0000-00005E070000}"/>
    <cellStyle name="Normal 8 2 2 5 2" xfId="6640" xr:uid="{00000000-0005-0000-0000-00005F070000}"/>
    <cellStyle name="Normal 8 2 2 6" xfId="4639" xr:uid="{00000000-0005-0000-0000-00005F070000}"/>
    <cellStyle name="Normal 8 2 3" xfId="461" xr:uid="{00000000-0005-0000-0000-000066070000}"/>
    <cellStyle name="Normal 8 2 3 2" xfId="708" xr:uid="{00000000-0005-0000-0000-000067070000}"/>
    <cellStyle name="Normal 8 2 3 2 2" xfId="1205" xr:uid="{00000000-0005-0000-0000-000068070000}"/>
    <cellStyle name="Normal 8 2 3 2 2 2" xfId="2207" xr:uid="{00000000-0005-0000-0000-000069070000}"/>
    <cellStyle name="Normal 8 2 3 2 2 2 2" xfId="4429" xr:uid="{00000000-0005-0000-0000-00006A070000}"/>
    <cellStyle name="Normal 8 2 3 2 2 2 2 2" xfId="8429" xr:uid="{00000000-0005-0000-0000-00006A070000}"/>
    <cellStyle name="Normal 8 2 3 2 2 2 3" xfId="6428" xr:uid="{00000000-0005-0000-0000-00006A070000}"/>
    <cellStyle name="Normal 8 2 3 2 2 3" xfId="3431" xr:uid="{00000000-0005-0000-0000-000069070000}"/>
    <cellStyle name="Normal 8 2 3 2 2 3 2" xfId="7430" xr:uid="{00000000-0005-0000-0000-000069070000}"/>
    <cellStyle name="Normal 8 2 3 2 2 4" xfId="5429" xr:uid="{00000000-0005-0000-0000-000069070000}"/>
    <cellStyle name="Normal 8 2 3 2 3" xfId="1711" xr:uid="{00000000-0005-0000-0000-00006A070000}"/>
    <cellStyle name="Normal 8 2 3 2 3 2" xfId="3933" xr:uid="{00000000-0005-0000-0000-00006B070000}"/>
    <cellStyle name="Normal 8 2 3 2 3 2 2" xfId="7933" xr:uid="{00000000-0005-0000-0000-00006B070000}"/>
    <cellStyle name="Normal 8 2 3 2 3 3" xfId="5932" xr:uid="{00000000-0005-0000-0000-00006B070000}"/>
    <cellStyle name="Normal 8 2 3 2 4" xfId="2935" xr:uid="{00000000-0005-0000-0000-000068070000}"/>
    <cellStyle name="Normal 8 2 3 2 4 2" xfId="6934" xr:uid="{00000000-0005-0000-0000-000068070000}"/>
    <cellStyle name="Normal 8 2 3 2 5" xfId="4933" xr:uid="{00000000-0005-0000-0000-000068070000}"/>
    <cellStyle name="Normal 8 2 3 3" xfId="957" xr:uid="{00000000-0005-0000-0000-00006B070000}"/>
    <cellStyle name="Normal 8 2 3 3 2" xfId="1959" xr:uid="{00000000-0005-0000-0000-00006C070000}"/>
    <cellStyle name="Normal 8 2 3 3 2 2" xfId="4181" xr:uid="{00000000-0005-0000-0000-00006D070000}"/>
    <cellStyle name="Normal 8 2 3 3 2 2 2" xfId="8181" xr:uid="{00000000-0005-0000-0000-00006D070000}"/>
    <cellStyle name="Normal 8 2 3 3 2 3" xfId="6180" xr:uid="{00000000-0005-0000-0000-00006D070000}"/>
    <cellStyle name="Normal 8 2 3 3 3" xfId="3183" xr:uid="{00000000-0005-0000-0000-00006C070000}"/>
    <cellStyle name="Normal 8 2 3 3 3 2" xfId="7182" xr:uid="{00000000-0005-0000-0000-00006C070000}"/>
    <cellStyle name="Normal 8 2 3 3 4" xfId="5181" xr:uid="{00000000-0005-0000-0000-00006C070000}"/>
    <cellStyle name="Normal 8 2 3 4" xfId="1463" xr:uid="{00000000-0005-0000-0000-00006D070000}"/>
    <cellStyle name="Normal 8 2 3 4 2" xfId="3685" xr:uid="{00000000-0005-0000-0000-00006E070000}"/>
    <cellStyle name="Normal 8 2 3 4 2 2" xfId="7685" xr:uid="{00000000-0005-0000-0000-00006E070000}"/>
    <cellStyle name="Normal 8 2 3 4 3" xfId="5684" xr:uid="{00000000-0005-0000-0000-00006E070000}"/>
    <cellStyle name="Normal 8 2 3 5" xfId="2688" xr:uid="{00000000-0005-0000-0000-000067070000}"/>
    <cellStyle name="Normal 8 2 3 5 2" xfId="6686" xr:uid="{00000000-0005-0000-0000-000067070000}"/>
    <cellStyle name="Normal 8 2 3 6" xfId="4685" xr:uid="{00000000-0005-0000-0000-000067070000}"/>
    <cellStyle name="Normal 8 2 4" xfId="547" xr:uid="{00000000-0005-0000-0000-00006E070000}"/>
    <cellStyle name="Normal 8 2 4 2" xfId="794" xr:uid="{00000000-0005-0000-0000-00006F070000}"/>
    <cellStyle name="Normal 8 2 4 2 2" xfId="1292" xr:uid="{00000000-0005-0000-0000-000070070000}"/>
    <cellStyle name="Normal 8 2 4 2 2 2" xfId="2294" xr:uid="{00000000-0005-0000-0000-000071070000}"/>
    <cellStyle name="Normal 8 2 4 2 2 2 2" xfId="4516" xr:uid="{00000000-0005-0000-0000-000072070000}"/>
    <cellStyle name="Normal 8 2 4 2 2 2 2 2" xfId="8516" xr:uid="{00000000-0005-0000-0000-000072070000}"/>
    <cellStyle name="Normal 8 2 4 2 2 2 3" xfId="6515" xr:uid="{00000000-0005-0000-0000-000072070000}"/>
    <cellStyle name="Normal 8 2 4 2 2 3" xfId="3518" xr:uid="{00000000-0005-0000-0000-000071070000}"/>
    <cellStyle name="Normal 8 2 4 2 2 3 2" xfId="7517" xr:uid="{00000000-0005-0000-0000-000071070000}"/>
    <cellStyle name="Normal 8 2 4 2 2 4" xfId="5516" xr:uid="{00000000-0005-0000-0000-000071070000}"/>
    <cellStyle name="Normal 8 2 4 2 3" xfId="1798" xr:uid="{00000000-0005-0000-0000-000072070000}"/>
    <cellStyle name="Normal 8 2 4 2 3 2" xfId="4020" xr:uid="{00000000-0005-0000-0000-000073070000}"/>
    <cellStyle name="Normal 8 2 4 2 3 2 2" xfId="8020" xr:uid="{00000000-0005-0000-0000-000073070000}"/>
    <cellStyle name="Normal 8 2 4 2 3 3" xfId="6019" xr:uid="{00000000-0005-0000-0000-000073070000}"/>
    <cellStyle name="Normal 8 2 4 2 4" xfId="3022" xr:uid="{00000000-0005-0000-0000-000070070000}"/>
    <cellStyle name="Normal 8 2 4 2 4 2" xfId="7021" xr:uid="{00000000-0005-0000-0000-000070070000}"/>
    <cellStyle name="Normal 8 2 4 2 5" xfId="5020" xr:uid="{00000000-0005-0000-0000-000070070000}"/>
    <cellStyle name="Normal 8 2 4 3" xfId="1044" xr:uid="{00000000-0005-0000-0000-000073070000}"/>
    <cellStyle name="Normal 8 2 4 3 2" xfId="2046" xr:uid="{00000000-0005-0000-0000-000074070000}"/>
    <cellStyle name="Normal 8 2 4 3 2 2" xfId="4268" xr:uid="{00000000-0005-0000-0000-000075070000}"/>
    <cellStyle name="Normal 8 2 4 3 2 2 2" xfId="8268" xr:uid="{00000000-0005-0000-0000-000075070000}"/>
    <cellStyle name="Normal 8 2 4 3 2 3" xfId="6267" xr:uid="{00000000-0005-0000-0000-000075070000}"/>
    <cellStyle name="Normal 8 2 4 3 3" xfId="3270" xr:uid="{00000000-0005-0000-0000-000074070000}"/>
    <cellStyle name="Normal 8 2 4 3 3 2" xfId="7269" xr:uid="{00000000-0005-0000-0000-000074070000}"/>
    <cellStyle name="Normal 8 2 4 3 4" xfId="5268" xr:uid="{00000000-0005-0000-0000-000074070000}"/>
    <cellStyle name="Normal 8 2 4 4" xfId="1550" xr:uid="{00000000-0005-0000-0000-000075070000}"/>
    <cellStyle name="Normal 8 2 4 4 2" xfId="3772" xr:uid="{00000000-0005-0000-0000-000076070000}"/>
    <cellStyle name="Normal 8 2 4 4 2 2" xfId="7772" xr:uid="{00000000-0005-0000-0000-000076070000}"/>
    <cellStyle name="Normal 8 2 4 4 3" xfId="5771" xr:uid="{00000000-0005-0000-0000-000076070000}"/>
    <cellStyle name="Normal 8 2 4 5" xfId="2775" xr:uid="{00000000-0005-0000-0000-00006F070000}"/>
    <cellStyle name="Normal 8 2 4 5 2" xfId="6773" xr:uid="{00000000-0005-0000-0000-00006F070000}"/>
    <cellStyle name="Normal 8 2 4 6" xfId="4772" xr:uid="{00000000-0005-0000-0000-00006F070000}"/>
    <cellStyle name="Normal 8 2 5" xfId="593" xr:uid="{00000000-0005-0000-0000-000076070000}"/>
    <cellStyle name="Normal 8 2 5 2" xfId="1091" xr:uid="{00000000-0005-0000-0000-000077070000}"/>
    <cellStyle name="Normal 8 2 5 2 2" xfId="2093" xr:uid="{00000000-0005-0000-0000-000078070000}"/>
    <cellStyle name="Normal 8 2 5 2 2 2" xfId="4315" xr:uid="{00000000-0005-0000-0000-000079070000}"/>
    <cellStyle name="Normal 8 2 5 2 2 2 2" xfId="8315" xr:uid="{00000000-0005-0000-0000-000079070000}"/>
    <cellStyle name="Normal 8 2 5 2 2 3" xfId="6314" xr:uid="{00000000-0005-0000-0000-000079070000}"/>
    <cellStyle name="Normal 8 2 5 2 3" xfId="3317" xr:uid="{00000000-0005-0000-0000-000078070000}"/>
    <cellStyle name="Normal 8 2 5 2 3 2" xfId="7316" xr:uid="{00000000-0005-0000-0000-000078070000}"/>
    <cellStyle name="Normal 8 2 5 2 4" xfId="5315" xr:uid="{00000000-0005-0000-0000-000078070000}"/>
    <cellStyle name="Normal 8 2 5 3" xfId="1597" xr:uid="{00000000-0005-0000-0000-000079070000}"/>
    <cellStyle name="Normal 8 2 5 3 2" xfId="3819" xr:uid="{00000000-0005-0000-0000-00007A070000}"/>
    <cellStyle name="Normal 8 2 5 3 2 2" xfId="7819" xr:uid="{00000000-0005-0000-0000-00007A070000}"/>
    <cellStyle name="Normal 8 2 5 3 3" xfId="5818" xr:uid="{00000000-0005-0000-0000-00007A070000}"/>
    <cellStyle name="Normal 8 2 5 4" xfId="2822" xr:uid="{00000000-0005-0000-0000-000077070000}"/>
    <cellStyle name="Normal 8 2 5 4 2" xfId="6820" xr:uid="{00000000-0005-0000-0000-000077070000}"/>
    <cellStyle name="Normal 8 2 5 5" xfId="4819" xr:uid="{00000000-0005-0000-0000-000077070000}"/>
    <cellStyle name="Normal 8 2 6" xfId="843" xr:uid="{00000000-0005-0000-0000-00007A070000}"/>
    <cellStyle name="Normal 8 2 6 2" xfId="1845" xr:uid="{00000000-0005-0000-0000-00007B070000}"/>
    <cellStyle name="Normal 8 2 6 2 2" xfId="4067" xr:uid="{00000000-0005-0000-0000-00007C070000}"/>
    <cellStyle name="Normal 8 2 6 2 2 2" xfId="8067" xr:uid="{00000000-0005-0000-0000-00007C070000}"/>
    <cellStyle name="Normal 8 2 6 2 3" xfId="6066" xr:uid="{00000000-0005-0000-0000-00007C070000}"/>
    <cellStyle name="Normal 8 2 6 3" xfId="3069" xr:uid="{00000000-0005-0000-0000-00007B070000}"/>
    <cellStyle name="Normal 8 2 6 3 2" xfId="7068" xr:uid="{00000000-0005-0000-0000-00007B070000}"/>
    <cellStyle name="Normal 8 2 6 4" xfId="5067" xr:uid="{00000000-0005-0000-0000-00007B070000}"/>
    <cellStyle name="Normal 8 2 7" xfId="1349" xr:uid="{00000000-0005-0000-0000-00007C070000}"/>
    <cellStyle name="Normal 8 2 7 2" xfId="3571" xr:uid="{00000000-0005-0000-0000-00007D070000}"/>
    <cellStyle name="Normal 8 2 7 2 2" xfId="7571" xr:uid="{00000000-0005-0000-0000-00007D070000}"/>
    <cellStyle name="Normal 8 2 7 3" xfId="5570" xr:uid="{00000000-0005-0000-0000-00007D070000}"/>
    <cellStyle name="Normal 8 2 8" xfId="2583" xr:uid="{00000000-0005-0000-0000-00005E070000}"/>
    <cellStyle name="Normal 8 2 8 2" xfId="6572" xr:uid="{00000000-0005-0000-0000-00005E070000}"/>
    <cellStyle name="Normal 8 2 9" xfId="4571" xr:uid="{00000000-0005-0000-0000-00005E070000}"/>
    <cellStyle name="Normal 8 3" xfId="392" xr:uid="{00000000-0005-0000-0000-00007D070000}"/>
    <cellStyle name="Normal 8 3 2" xfId="638" xr:uid="{00000000-0005-0000-0000-00007E070000}"/>
    <cellStyle name="Normal 8 3 2 2" xfId="1135" xr:uid="{00000000-0005-0000-0000-00007F070000}"/>
    <cellStyle name="Normal 8 3 2 2 2" xfId="2137" xr:uid="{00000000-0005-0000-0000-000080070000}"/>
    <cellStyle name="Normal 8 3 2 2 2 2" xfId="4359" xr:uid="{00000000-0005-0000-0000-000081070000}"/>
    <cellStyle name="Normal 8 3 2 2 2 2 2" xfId="8359" xr:uid="{00000000-0005-0000-0000-000081070000}"/>
    <cellStyle name="Normal 8 3 2 2 2 3" xfId="6358" xr:uid="{00000000-0005-0000-0000-000081070000}"/>
    <cellStyle name="Normal 8 3 2 2 3" xfId="3361" xr:uid="{00000000-0005-0000-0000-000080070000}"/>
    <cellStyle name="Normal 8 3 2 2 3 2" xfId="7360" xr:uid="{00000000-0005-0000-0000-000080070000}"/>
    <cellStyle name="Normal 8 3 2 2 4" xfId="5359" xr:uid="{00000000-0005-0000-0000-000080070000}"/>
    <cellStyle name="Normal 8 3 2 3" xfId="1641" xr:uid="{00000000-0005-0000-0000-000081070000}"/>
    <cellStyle name="Normal 8 3 2 3 2" xfId="3863" xr:uid="{00000000-0005-0000-0000-000082070000}"/>
    <cellStyle name="Normal 8 3 2 3 2 2" xfId="7863" xr:uid="{00000000-0005-0000-0000-000082070000}"/>
    <cellStyle name="Normal 8 3 2 3 3" xfId="5862" xr:uid="{00000000-0005-0000-0000-000082070000}"/>
    <cellStyle name="Normal 8 3 2 4" xfId="2865" xr:uid="{00000000-0005-0000-0000-00007F070000}"/>
    <cellStyle name="Normal 8 3 2 4 2" xfId="6864" xr:uid="{00000000-0005-0000-0000-00007F070000}"/>
    <cellStyle name="Normal 8 3 2 5" xfId="4863" xr:uid="{00000000-0005-0000-0000-00007F070000}"/>
    <cellStyle name="Normal 8 3 3" xfId="887" xr:uid="{00000000-0005-0000-0000-000082070000}"/>
    <cellStyle name="Normal 8 3 3 2" xfId="1889" xr:uid="{00000000-0005-0000-0000-000083070000}"/>
    <cellStyle name="Normal 8 3 3 2 2" xfId="4111" xr:uid="{00000000-0005-0000-0000-000084070000}"/>
    <cellStyle name="Normal 8 3 3 2 2 2" xfId="8111" xr:uid="{00000000-0005-0000-0000-000084070000}"/>
    <cellStyle name="Normal 8 3 3 2 3" xfId="6110" xr:uid="{00000000-0005-0000-0000-000084070000}"/>
    <cellStyle name="Normal 8 3 3 3" xfId="3113" xr:uid="{00000000-0005-0000-0000-000083070000}"/>
    <cellStyle name="Normal 8 3 3 3 2" xfId="7112" xr:uid="{00000000-0005-0000-0000-000083070000}"/>
    <cellStyle name="Normal 8 3 3 4" xfId="5111" xr:uid="{00000000-0005-0000-0000-000083070000}"/>
    <cellStyle name="Normal 8 3 4" xfId="1393" xr:uid="{00000000-0005-0000-0000-000084070000}"/>
    <cellStyle name="Normal 8 3 4 2" xfId="3615" xr:uid="{00000000-0005-0000-0000-000085070000}"/>
    <cellStyle name="Normal 8 3 4 2 2" xfId="7615" xr:uid="{00000000-0005-0000-0000-000085070000}"/>
    <cellStyle name="Normal 8 3 4 3" xfId="5614" xr:uid="{00000000-0005-0000-0000-000085070000}"/>
    <cellStyle name="Normal 8 3 5" xfId="2625" xr:uid="{00000000-0005-0000-0000-00007E070000}"/>
    <cellStyle name="Normal 8 3 5 2" xfId="6616" xr:uid="{00000000-0005-0000-0000-00007E070000}"/>
    <cellStyle name="Normal 8 3 6" xfId="4615" xr:uid="{00000000-0005-0000-0000-00007E070000}"/>
    <cellStyle name="Normal 8 4" xfId="437" xr:uid="{00000000-0005-0000-0000-000085070000}"/>
    <cellStyle name="Normal 8 4 2" xfId="684" xr:uid="{00000000-0005-0000-0000-000086070000}"/>
    <cellStyle name="Normal 8 4 2 2" xfId="1181" xr:uid="{00000000-0005-0000-0000-000087070000}"/>
    <cellStyle name="Normal 8 4 2 2 2" xfId="2183" xr:uid="{00000000-0005-0000-0000-000088070000}"/>
    <cellStyle name="Normal 8 4 2 2 2 2" xfId="4405" xr:uid="{00000000-0005-0000-0000-000089070000}"/>
    <cellStyle name="Normal 8 4 2 2 2 2 2" xfId="8405" xr:uid="{00000000-0005-0000-0000-000089070000}"/>
    <cellStyle name="Normal 8 4 2 2 2 3" xfId="6404" xr:uid="{00000000-0005-0000-0000-000089070000}"/>
    <cellStyle name="Normal 8 4 2 2 3" xfId="3407" xr:uid="{00000000-0005-0000-0000-000088070000}"/>
    <cellStyle name="Normal 8 4 2 2 3 2" xfId="7406" xr:uid="{00000000-0005-0000-0000-000088070000}"/>
    <cellStyle name="Normal 8 4 2 2 4" xfId="5405" xr:uid="{00000000-0005-0000-0000-000088070000}"/>
    <cellStyle name="Normal 8 4 2 3" xfId="1687" xr:uid="{00000000-0005-0000-0000-000089070000}"/>
    <cellStyle name="Normal 8 4 2 3 2" xfId="3909" xr:uid="{00000000-0005-0000-0000-00008A070000}"/>
    <cellStyle name="Normal 8 4 2 3 2 2" xfId="7909" xr:uid="{00000000-0005-0000-0000-00008A070000}"/>
    <cellStyle name="Normal 8 4 2 3 3" xfId="5908" xr:uid="{00000000-0005-0000-0000-00008A070000}"/>
    <cellStyle name="Normal 8 4 2 4" xfId="2911" xr:uid="{00000000-0005-0000-0000-000087070000}"/>
    <cellStyle name="Normal 8 4 2 4 2" xfId="6910" xr:uid="{00000000-0005-0000-0000-000087070000}"/>
    <cellStyle name="Normal 8 4 2 5" xfId="4909" xr:uid="{00000000-0005-0000-0000-000087070000}"/>
    <cellStyle name="Normal 8 4 3" xfId="933" xr:uid="{00000000-0005-0000-0000-00008A070000}"/>
    <cellStyle name="Normal 8 4 3 2" xfId="1935" xr:uid="{00000000-0005-0000-0000-00008B070000}"/>
    <cellStyle name="Normal 8 4 3 2 2" xfId="4157" xr:uid="{00000000-0005-0000-0000-00008C070000}"/>
    <cellStyle name="Normal 8 4 3 2 2 2" xfId="8157" xr:uid="{00000000-0005-0000-0000-00008C070000}"/>
    <cellStyle name="Normal 8 4 3 2 3" xfId="6156" xr:uid="{00000000-0005-0000-0000-00008C070000}"/>
    <cellStyle name="Normal 8 4 3 3" xfId="3159" xr:uid="{00000000-0005-0000-0000-00008B070000}"/>
    <cellStyle name="Normal 8 4 3 3 2" xfId="7158" xr:uid="{00000000-0005-0000-0000-00008B070000}"/>
    <cellStyle name="Normal 8 4 3 4" xfId="5157" xr:uid="{00000000-0005-0000-0000-00008B070000}"/>
    <cellStyle name="Normal 8 4 4" xfId="1439" xr:uid="{00000000-0005-0000-0000-00008C070000}"/>
    <cellStyle name="Normal 8 4 4 2" xfId="3661" xr:uid="{00000000-0005-0000-0000-00008D070000}"/>
    <cellStyle name="Normal 8 4 4 2 2" xfId="7661" xr:uid="{00000000-0005-0000-0000-00008D070000}"/>
    <cellStyle name="Normal 8 4 4 3" xfId="5660" xr:uid="{00000000-0005-0000-0000-00008D070000}"/>
    <cellStyle name="Normal 8 4 5" xfId="2665" xr:uid="{00000000-0005-0000-0000-000086070000}"/>
    <cellStyle name="Normal 8 4 5 2" xfId="6662" xr:uid="{00000000-0005-0000-0000-000086070000}"/>
    <cellStyle name="Normal 8 4 6" xfId="4661" xr:uid="{00000000-0005-0000-0000-000086070000}"/>
    <cellStyle name="Normal 8 5" xfId="523" xr:uid="{00000000-0005-0000-0000-00008D070000}"/>
    <cellStyle name="Normal 8 5 2" xfId="770" xr:uid="{00000000-0005-0000-0000-00008E070000}"/>
    <cellStyle name="Normal 8 5 2 2" xfId="1268" xr:uid="{00000000-0005-0000-0000-00008F070000}"/>
    <cellStyle name="Normal 8 5 2 2 2" xfId="2270" xr:uid="{00000000-0005-0000-0000-000090070000}"/>
    <cellStyle name="Normal 8 5 2 2 2 2" xfId="4492" xr:uid="{00000000-0005-0000-0000-000091070000}"/>
    <cellStyle name="Normal 8 5 2 2 2 2 2" xfId="8492" xr:uid="{00000000-0005-0000-0000-000091070000}"/>
    <cellStyle name="Normal 8 5 2 2 2 3" xfId="6491" xr:uid="{00000000-0005-0000-0000-000091070000}"/>
    <cellStyle name="Normal 8 5 2 2 3" xfId="3494" xr:uid="{00000000-0005-0000-0000-000090070000}"/>
    <cellStyle name="Normal 8 5 2 2 3 2" xfId="7493" xr:uid="{00000000-0005-0000-0000-000090070000}"/>
    <cellStyle name="Normal 8 5 2 2 4" xfId="5492" xr:uid="{00000000-0005-0000-0000-000090070000}"/>
    <cellStyle name="Normal 8 5 2 3" xfId="1774" xr:uid="{00000000-0005-0000-0000-000091070000}"/>
    <cellStyle name="Normal 8 5 2 3 2" xfId="3996" xr:uid="{00000000-0005-0000-0000-000092070000}"/>
    <cellStyle name="Normal 8 5 2 3 2 2" xfId="7996" xr:uid="{00000000-0005-0000-0000-000092070000}"/>
    <cellStyle name="Normal 8 5 2 3 3" xfId="5995" xr:uid="{00000000-0005-0000-0000-000092070000}"/>
    <cellStyle name="Normal 8 5 2 4" xfId="2998" xr:uid="{00000000-0005-0000-0000-00008F070000}"/>
    <cellStyle name="Normal 8 5 2 4 2" xfId="6997" xr:uid="{00000000-0005-0000-0000-00008F070000}"/>
    <cellStyle name="Normal 8 5 2 5" xfId="4996" xr:uid="{00000000-0005-0000-0000-00008F070000}"/>
    <cellStyle name="Normal 8 5 3" xfId="1020" xr:uid="{00000000-0005-0000-0000-000092070000}"/>
    <cellStyle name="Normal 8 5 3 2" xfId="2022" xr:uid="{00000000-0005-0000-0000-000093070000}"/>
    <cellStyle name="Normal 8 5 3 2 2" xfId="4244" xr:uid="{00000000-0005-0000-0000-000094070000}"/>
    <cellStyle name="Normal 8 5 3 2 2 2" xfId="8244" xr:uid="{00000000-0005-0000-0000-000094070000}"/>
    <cellStyle name="Normal 8 5 3 2 3" xfId="6243" xr:uid="{00000000-0005-0000-0000-000094070000}"/>
    <cellStyle name="Normal 8 5 3 3" xfId="3246" xr:uid="{00000000-0005-0000-0000-000093070000}"/>
    <cellStyle name="Normal 8 5 3 3 2" xfId="7245" xr:uid="{00000000-0005-0000-0000-000093070000}"/>
    <cellStyle name="Normal 8 5 3 4" xfId="5244" xr:uid="{00000000-0005-0000-0000-000093070000}"/>
    <cellStyle name="Normal 8 5 4" xfId="1526" xr:uid="{00000000-0005-0000-0000-000094070000}"/>
    <cellStyle name="Normal 8 5 4 2" xfId="3748" xr:uid="{00000000-0005-0000-0000-000095070000}"/>
    <cellStyle name="Normal 8 5 4 2 2" xfId="7748" xr:uid="{00000000-0005-0000-0000-000095070000}"/>
    <cellStyle name="Normal 8 5 4 3" xfId="5747" xr:uid="{00000000-0005-0000-0000-000095070000}"/>
    <cellStyle name="Normal 8 5 5" xfId="2751" xr:uid="{00000000-0005-0000-0000-00008E070000}"/>
    <cellStyle name="Normal 8 5 5 2" xfId="6749" xr:uid="{00000000-0005-0000-0000-00008E070000}"/>
    <cellStyle name="Normal 8 5 6" xfId="4748" xr:uid="{00000000-0005-0000-0000-00008E070000}"/>
    <cellStyle name="Normal 8 6" xfId="569" xr:uid="{00000000-0005-0000-0000-000095070000}"/>
    <cellStyle name="Normal 8 6 2" xfId="1067" xr:uid="{00000000-0005-0000-0000-000096070000}"/>
    <cellStyle name="Normal 8 6 2 2" xfId="2069" xr:uid="{00000000-0005-0000-0000-000097070000}"/>
    <cellStyle name="Normal 8 6 2 2 2" xfId="4291" xr:uid="{00000000-0005-0000-0000-000098070000}"/>
    <cellStyle name="Normal 8 6 2 2 2 2" xfId="8291" xr:uid="{00000000-0005-0000-0000-000098070000}"/>
    <cellStyle name="Normal 8 6 2 2 3" xfId="6290" xr:uid="{00000000-0005-0000-0000-000098070000}"/>
    <cellStyle name="Normal 8 6 2 3" xfId="3293" xr:uid="{00000000-0005-0000-0000-000097070000}"/>
    <cellStyle name="Normal 8 6 2 3 2" xfId="7292" xr:uid="{00000000-0005-0000-0000-000097070000}"/>
    <cellStyle name="Normal 8 6 2 4" xfId="5291" xr:uid="{00000000-0005-0000-0000-000097070000}"/>
    <cellStyle name="Normal 8 6 3" xfId="1573" xr:uid="{00000000-0005-0000-0000-000098070000}"/>
    <cellStyle name="Normal 8 6 3 2" xfId="3795" xr:uid="{00000000-0005-0000-0000-000099070000}"/>
    <cellStyle name="Normal 8 6 3 2 2" xfId="7795" xr:uid="{00000000-0005-0000-0000-000099070000}"/>
    <cellStyle name="Normal 8 6 3 3" xfId="5794" xr:uid="{00000000-0005-0000-0000-000099070000}"/>
    <cellStyle name="Normal 8 6 4" xfId="2798" xr:uid="{00000000-0005-0000-0000-000096070000}"/>
    <cellStyle name="Normal 8 6 4 2" xfId="6796" xr:uid="{00000000-0005-0000-0000-000096070000}"/>
    <cellStyle name="Normal 8 6 5" xfId="4795" xr:uid="{00000000-0005-0000-0000-000096070000}"/>
    <cellStyle name="Normal 8 7" xfId="819" xr:uid="{00000000-0005-0000-0000-000099070000}"/>
    <cellStyle name="Normal 8 7 2" xfId="1821" xr:uid="{00000000-0005-0000-0000-00009A070000}"/>
    <cellStyle name="Normal 8 7 2 2" xfId="4043" xr:uid="{00000000-0005-0000-0000-00009B070000}"/>
    <cellStyle name="Normal 8 7 2 2 2" xfId="8043" xr:uid="{00000000-0005-0000-0000-00009B070000}"/>
    <cellStyle name="Normal 8 7 2 3" xfId="6042" xr:uid="{00000000-0005-0000-0000-00009B070000}"/>
    <cellStyle name="Normal 8 7 3" xfId="3045" xr:uid="{00000000-0005-0000-0000-00009A070000}"/>
    <cellStyle name="Normal 8 7 3 2" xfId="7044" xr:uid="{00000000-0005-0000-0000-00009A070000}"/>
    <cellStyle name="Normal 8 7 4" xfId="5043" xr:uid="{00000000-0005-0000-0000-00009A070000}"/>
    <cellStyle name="Normal 8 8" xfId="1325" xr:uid="{00000000-0005-0000-0000-00009B070000}"/>
    <cellStyle name="Normal 8 8 2" xfId="3547" xr:uid="{00000000-0005-0000-0000-00009C070000}"/>
    <cellStyle name="Normal 8 8 2 2" xfId="7547" xr:uid="{00000000-0005-0000-0000-00009C070000}"/>
    <cellStyle name="Normal 8 8 3" xfId="5546" xr:uid="{00000000-0005-0000-0000-00009C070000}"/>
    <cellStyle name="Normal 8 9" xfId="2560" xr:uid="{00000000-0005-0000-0000-00005D070000}"/>
    <cellStyle name="Normal 8 9 2" xfId="6548" xr:uid="{00000000-0005-0000-0000-00005D070000}"/>
    <cellStyle name="Normal 9" xfId="35" xr:uid="{00000000-0005-0000-0000-000041000000}"/>
    <cellStyle name="Normal 9 10" xfId="4548" xr:uid="{00000000-0005-0000-0000-00009D070000}"/>
    <cellStyle name="Normal 9 2" xfId="126" xr:uid="{00000000-0005-0000-0000-000042000000}"/>
    <cellStyle name="Normal 9 2 2" xfId="265" xr:uid="{00000000-0005-0000-0000-000071000000}"/>
    <cellStyle name="Normal 9 2 2 2" xfId="663" xr:uid="{00000000-0005-0000-0000-00009F070000}"/>
    <cellStyle name="Normal 9 2 2 2 2" xfId="1160" xr:uid="{00000000-0005-0000-0000-0000A0070000}"/>
    <cellStyle name="Normal 9 2 2 2 2 2" xfId="2162" xr:uid="{00000000-0005-0000-0000-0000A1070000}"/>
    <cellStyle name="Normal 9 2 2 2 2 2 2" xfId="4384" xr:uid="{00000000-0005-0000-0000-0000A2070000}"/>
    <cellStyle name="Normal 9 2 2 2 2 2 2 2" xfId="8384" xr:uid="{00000000-0005-0000-0000-0000A2070000}"/>
    <cellStyle name="Normal 9 2 2 2 2 2 3" xfId="6383" xr:uid="{00000000-0005-0000-0000-0000A2070000}"/>
    <cellStyle name="Normal 9 2 2 2 2 3" xfId="3386" xr:uid="{00000000-0005-0000-0000-0000A1070000}"/>
    <cellStyle name="Normal 9 2 2 2 2 3 2" xfId="7385" xr:uid="{00000000-0005-0000-0000-0000A1070000}"/>
    <cellStyle name="Normal 9 2 2 2 2 4" xfId="5384" xr:uid="{00000000-0005-0000-0000-0000A1070000}"/>
    <cellStyle name="Normal 9 2 2 2 3" xfId="1666" xr:uid="{00000000-0005-0000-0000-0000A2070000}"/>
    <cellStyle name="Normal 9 2 2 2 3 2" xfId="3888" xr:uid="{00000000-0005-0000-0000-0000A3070000}"/>
    <cellStyle name="Normal 9 2 2 2 3 2 2" xfId="7888" xr:uid="{00000000-0005-0000-0000-0000A3070000}"/>
    <cellStyle name="Normal 9 2 2 2 3 3" xfId="5887" xr:uid="{00000000-0005-0000-0000-0000A3070000}"/>
    <cellStyle name="Normal 9 2 2 2 4" xfId="2890" xr:uid="{00000000-0005-0000-0000-0000A0070000}"/>
    <cellStyle name="Normal 9 2 2 2 4 2" xfId="6889" xr:uid="{00000000-0005-0000-0000-0000A0070000}"/>
    <cellStyle name="Normal 9 2 2 2 5" xfId="4888" xr:uid="{00000000-0005-0000-0000-0000A0070000}"/>
    <cellStyle name="Normal 9 2 2 3" xfId="912" xr:uid="{00000000-0005-0000-0000-0000A3070000}"/>
    <cellStyle name="Normal 9 2 2 3 2" xfId="1914" xr:uid="{00000000-0005-0000-0000-0000A4070000}"/>
    <cellStyle name="Normal 9 2 2 3 2 2" xfId="4136" xr:uid="{00000000-0005-0000-0000-0000A5070000}"/>
    <cellStyle name="Normal 9 2 2 3 2 2 2" xfId="8136" xr:uid="{00000000-0005-0000-0000-0000A5070000}"/>
    <cellStyle name="Normal 9 2 2 3 2 3" xfId="6135" xr:uid="{00000000-0005-0000-0000-0000A5070000}"/>
    <cellStyle name="Normal 9 2 2 3 3" xfId="3138" xr:uid="{00000000-0005-0000-0000-0000A4070000}"/>
    <cellStyle name="Normal 9 2 2 3 3 2" xfId="7137" xr:uid="{00000000-0005-0000-0000-0000A4070000}"/>
    <cellStyle name="Normal 9 2 2 3 4" xfId="5136" xr:uid="{00000000-0005-0000-0000-0000A4070000}"/>
    <cellStyle name="Normal 9 2 2 4" xfId="1418" xr:uid="{00000000-0005-0000-0000-0000A5070000}"/>
    <cellStyle name="Normal 9 2 2 4 2" xfId="3640" xr:uid="{00000000-0005-0000-0000-0000A6070000}"/>
    <cellStyle name="Normal 9 2 2 4 2 2" xfId="7640" xr:uid="{00000000-0005-0000-0000-0000A6070000}"/>
    <cellStyle name="Normal 9 2 2 4 3" xfId="5639" xr:uid="{00000000-0005-0000-0000-0000A6070000}"/>
    <cellStyle name="Normal 9 2 2 5" xfId="416" xr:uid="{00000000-0005-0000-0000-00009E070000}"/>
    <cellStyle name="Normal 9 2 2 5 2" xfId="6641" xr:uid="{00000000-0005-0000-0000-00009F070000}"/>
    <cellStyle name="Normal 9 2 2 6" xfId="4640" xr:uid="{00000000-0005-0000-0000-00009F070000}"/>
    <cellStyle name="Normal 9 2 3" xfId="462" xr:uid="{00000000-0005-0000-0000-0000A6070000}"/>
    <cellStyle name="Normal 9 2 3 2" xfId="709" xr:uid="{00000000-0005-0000-0000-0000A7070000}"/>
    <cellStyle name="Normal 9 2 3 2 2" xfId="1206" xr:uid="{00000000-0005-0000-0000-0000A8070000}"/>
    <cellStyle name="Normal 9 2 3 2 2 2" xfId="2208" xr:uid="{00000000-0005-0000-0000-0000A9070000}"/>
    <cellStyle name="Normal 9 2 3 2 2 2 2" xfId="4430" xr:uid="{00000000-0005-0000-0000-0000AA070000}"/>
    <cellStyle name="Normal 9 2 3 2 2 2 2 2" xfId="8430" xr:uid="{00000000-0005-0000-0000-0000AA070000}"/>
    <cellStyle name="Normal 9 2 3 2 2 2 3" xfId="6429" xr:uid="{00000000-0005-0000-0000-0000AA070000}"/>
    <cellStyle name="Normal 9 2 3 2 2 3" xfId="3432" xr:uid="{00000000-0005-0000-0000-0000A9070000}"/>
    <cellStyle name="Normal 9 2 3 2 2 3 2" xfId="7431" xr:uid="{00000000-0005-0000-0000-0000A9070000}"/>
    <cellStyle name="Normal 9 2 3 2 2 4" xfId="5430" xr:uid="{00000000-0005-0000-0000-0000A9070000}"/>
    <cellStyle name="Normal 9 2 3 2 3" xfId="1712" xr:uid="{00000000-0005-0000-0000-0000AA070000}"/>
    <cellStyle name="Normal 9 2 3 2 3 2" xfId="3934" xr:uid="{00000000-0005-0000-0000-0000AB070000}"/>
    <cellStyle name="Normal 9 2 3 2 3 2 2" xfId="7934" xr:uid="{00000000-0005-0000-0000-0000AB070000}"/>
    <cellStyle name="Normal 9 2 3 2 3 3" xfId="5933" xr:uid="{00000000-0005-0000-0000-0000AB070000}"/>
    <cellStyle name="Normal 9 2 3 2 4" xfId="2936" xr:uid="{00000000-0005-0000-0000-0000A8070000}"/>
    <cellStyle name="Normal 9 2 3 2 4 2" xfId="6935" xr:uid="{00000000-0005-0000-0000-0000A8070000}"/>
    <cellStyle name="Normal 9 2 3 2 5" xfId="4934" xr:uid="{00000000-0005-0000-0000-0000A8070000}"/>
    <cellStyle name="Normal 9 2 3 3" xfId="958" xr:uid="{00000000-0005-0000-0000-0000AB070000}"/>
    <cellStyle name="Normal 9 2 3 3 2" xfId="1960" xr:uid="{00000000-0005-0000-0000-0000AC070000}"/>
    <cellStyle name="Normal 9 2 3 3 2 2" xfId="4182" xr:uid="{00000000-0005-0000-0000-0000AD070000}"/>
    <cellStyle name="Normal 9 2 3 3 2 2 2" xfId="8182" xr:uid="{00000000-0005-0000-0000-0000AD070000}"/>
    <cellStyle name="Normal 9 2 3 3 2 3" xfId="6181" xr:uid="{00000000-0005-0000-0000-0000AD070000}"/>
    <cellStyle name="Normal 9 2 3 3 3" xfId="3184" xr:uid="{00000000-0005-0000-0000-0000AC070000}"/>
    <cellStyle name="Normal 9 2 3 3 3 2" xfId="7183" xr:uid="{00000000-0005-0000-0000-0000AC070000}"/>
    <cellStyle name="Normal 9 2 3 3 4" xfId="5182" xr:uid="{00000000-0005-0000-0000-0000AC070000}"/>
    <cellStyle name="Normal 9 2 3 4" xfId="1464" xr:uid="{00000000-0005-0000-0000-0000AD070000}"/>
    <cellStyle name="Normal 9 2 3 4 2" xfId="3686" xr:uid="{00000000-0005-0000-0000-0000AE070000}"/>
    <cellStyle name="Normal 9 2 3 4 2 2" xfId="7686" xr:uid="{00000000-0005-0000-0000-0000AE070000}"/>
    <cellStyle name="Normal 9 2 3 4 3" xfId="5685" xr:uid="{00000000-0005-0000-0000-0000AE070000}"/>
    <cellStyle name="Normal 9 2 3 5" xfId="2689" xr:uid="{00000000-0005-0000-0000-0000A7070000}"/>
    <cellStyle name="Normal 9 2 3 5 2" xfId="6687" xr:uid="{00000000-0005-0000-0000-0000A7070000}"/>
    <cellStyle name="Normal 9 2 3 6" xfId="4686" xr:uid="{00000000-0005-0000-0000-0000A7070000}"/>
    <cellStyle name="Normal 9 2 4" xfId="548" xr:uid="{00000000-0005-0000-0000-0000AE070000}"/>
    <cellStyle name="Normal 9 2 4 2" xfId="795" xr:uid="{00000000-0005-0000-0000-0000AF070000}"/>
    <cellStyle name="Normal 9 2 4 2 2" xfId="1293" xr:uid="{00000000-0005-0000-0000-0000B0070000}"/>
    <cellStyle name="Normal 9 2 4 2 2 2" xfId="2295" xr:uid="{00000000-0005-0000-0000-0000B1070000}"/>
    <cellStyle name="Normal 9 2 4 2 2 2 2" xfId="4517" xr:uid="{00000000-0005-0000-0000-0000B2070000}"/>
    <cellStyle name="Normal 9 2 4 2 2 2 2 2" xfId="8517" xr:uid="{00000000-0005-0000-0000-0000B2070000}"/>
    <cellStyle name="Normal 9 2 4 2 2 2 3" xfId="6516" xr:uid="{00000000-0005-0000-0000-0000B2070000}"/>
    <cellStyle name="Normal 9 2 4 2 2 3" xfId="3519" xr:uid="{00000000-0005-0000-0000-0000B1070000}"/>
    <cellStyle name="Normal 9 2 4 2 2 3 2" xfId="7518" xr:uid="{00000000-0005-0000-0000-0000B1070000}"/>
    <cellStyle name="Normal 9 2 4 2 2 4" xfId="5517" xr:uid="{00000000-0005-0000-0000-0000B1070000}"/>
    <cellStyle name="Normal 9 2 4 2 3" xfId="1799" xr:uid="{00000000-0005-0000-0000-0000B2070000}"/>
    <cellStyle name="Normal 9 2 4 2 3 2" xfId="4021" xr:uid="{00000000-0005-0000-0000-0000B3070000}"/>
    <cellStyle name="Normal 9 2 4 2 3 2 2" xfId="8021" xr:uid="{00000000-0005-0000-0000-0000B3070000}"/>
    <cellStyle name="Normal 9 2 4 2 3 3" xfId="6020" xr:uid="{00000000-0005-0000-0000-0000B3070000}"/>
    <cellStyle name="Normal 9 2 4 2 4" xfId="3023" xr:uid="{00000000-0005-0000-0000-0000B0070000}"/>
    <cellStyle name="Normal 9 2 4 2 4 2" xfId="7022" xr:uid="{00000000-0005-0000-0000-0000B0070000}"/>
    <cellStyle name="Normal 9 2 4 2 5" xfId="5021" xr:uid="{00000000-0005-0000-0000-0000B0070000}"/>
    <cellStyle name="Normal 9 2 4 3" xfId="1045" xr:uid="{00000000-0005-0000-0000-0000B3070000}"/>
    <cellStyle name="Normal 9 2 4 3 2" xfId="2047" xr:uid="{00000000-0005-0000-0000-0000B4070000}"/>
    <cellStyle name="Normal 9 2 4 3 2 2" xfId="4269" xr:uid="{00000000-0005-0000-0000-0000B5070000}"/>
    <cellStyle name="Normal 9 2 4 3 2 2 2" xfId="8269" xr:uid="{00000000-0005-0000-0000-0000B5070000}"/>
    <cellStyle name="Normal 9 2 4 3 2 3" xfId="6268" xr:uid="{00000000-0005-0000-0000-0000B5070000}"/>
    <cellStyle name="Normal 9 2 4 3 3" xfId="3271" xr:uid="{00000000-0005-0000-0000-0000B4070000}"/>
    <cellStyle name="Normal 9 2 4 3 3 2" xfId="7270" xr:uid="{00000000-0005-0000-0000-0000B4070000}"/>
    <cellStyle name="Normal 9 2 4 3 4" xfId="5269" xr:uid="{00000000-0005-0000-0000-0000B4070000}"/>
    <cellStyle name="Normal 9 2 4 4" xfId="1551" xr:uid="{00000000-0005-0000-0000-0000B5070000}"/>
    <cellStyle name="Normal 9 2 4 4 2" xfId="3773" xr:uid="{00000000-0005-0000-0000-0000B6070000}"/>
    <cellStyle name="Normal 9 2 4 4 2 2" xfId="7773" xr:uid="{00000000-0005-0000-0000-0000B6070000}"/>
    <cellStyle name="Normal 9 2 4 4 3" xfId="5772" xr:uid="{00000000-0005-0000-0000-0000B6070000}"/>
    <cellStyle name="Normal 9 2 4 5" xfId="2776" xr:uid="{00000000-0005-0000-0000-0000AF070000}"/>
    <cellStyle name="Normal 9 2 4 5 2" xfId="6774" xr:uid="{00000000-0005-0000-0000-0000AF070000}"/>
    <cellStyle name="Normal 9 2 4 6" xfId="4773" xr:uid="{00000000-0005-0000-0000-0000AF070000}"/>
    <cellStyle name="Normal 9 2 5" xfId="594" xr:uid="{00000000-0005-0000-0000-0000B6070000}"/>
    <cellStyle name="Normal 9 2 5 2" xfId="1092" xr:uid="{00000000-0005-0000-0000-0000B7070000}"/>
    <cellStyle name="Normal 9 2 5 2 2" xfId="2094" xr:uid="{00000000-0005-0000-0000-0000B8070000}"/>
    <cellStyle name="Normal 9 2 5 2 2 2" xfId="4316" xr:uid="{00000000-0005-0000-0000-0000B9070000}"/>
    <cellStyle name="Normal 9 2 5 2 2 2 2" xfId="8316" xr:uid="{00000000-0005-0000-0000-0000B9070000}"/>
    <cellStyle name="Normal 9 2 5 2 2 3" xfId="6315" xr:uid="{00000000-0005-0000-0000-0000B9070000}"/>
    <cellStyle name="Normal 9 2 5 2 3" xfId="3318" xr:uid="{00000000-0005-0000-0000-0000B8070000}"/>
    <cellStyle name="Normal 9 2 5 2 3 2" xfId="7317" xr:uid="{00000000-0005-0000-0000-0000B8070000}"/>
    <cellStyle name="Normal 9 2 5 2 4" xfId="5316" xr:uid="{00000000-0005-0000-0000-0000B8070000}"/>
    <cellStyle name="Normal 9 2 5 3" xfId="1598" xr:uid="{00000000-0005-0000-0000-0000B9070000}"/>
    <cellStyle name="Normal 9 2 5 3 2" xfId="3820" xr:uid="{00000000-0005-0000-0000-0000BA070000}"/>
    <cellStyle name="Normal 9 2 5 3 2 2" xfId="7820" xr:uid="{00000000-0005-0000-0000-0000BA070000}"/>
    <cellStyle name="Normal 9 2 5 3 3" xfId="5819" xr:uid="{00000000-0005-0000-0000-0000BA070000}"/>
    <cellStyle name="Normal 9 2 5 4" xfId="2823" xr:uid="{00000000-0005-0000-0000-0000B7070000}"/>
    <cellStyle name="Normal 9 2 5 4 2" xfId="6821" xr:uid="{00000000-0005-0000-0000-0000B7070000}"/>
    <cellStyle name="Normal 9 2 5 5" xfId="4820" xr:uid="{00000000-0005-0000-0000-0000B7070000}"/>
    <cellStyle name="Normal 9 2 6" xfId="844" xr:uid="{00000000-0005-0000-0000-0000BA070000}"/>
    <cellStyle name="Normal 9 2 6 2" xfId="1846" xr:uid="{00000000-0005-0000-0000-0000BB070000}"/>
    <cellStyle name="Normal 9 2 6 2 2" xfId="4068" xr:uid="{00000000-0005-0000-0000-0000BC070000}"/>
    <cellStyle name="Normal 9 2 6 2 2 2" xfId="8068" xr:uid="{00000000-0005-0000-0000-0000BC070000}"/>
    <cellStyle name="Normal 9 2 6 2 3" xfId="6067" xr:uid="{00000000-0005-0000-0000-0000BC070000}"/>
    <cellStyle name="Normal 9 2 6 3" xfId="3070" xr:uid="{00000000-0005-0000-0000-0000BB070000}"/>
    <cellStyle name="Normal 9 2 6 3 2" xfId="7069" xr:uid="{00000000-0005-0000-0000-0000BB070000}"/>
    <cellStyle name="Normal 9 2 6 4" xfId="5068" xr:uid="{00000000-0005-0000-0000-0000BB070000}"/>
    <cellStyle name="Normal 9 2 7" xfId="1350" xr:uid="{00000000-0005-0000-0000-0000BC070000}"/>
    <cellStyle name="Normal 9 2 7 2" xfId="3572" xr:uid="{00000000-0005-0000-0000-0000BD070000}"/>
    <cellStyle name="Normal 9 2 7 2 2" xfId="7572" xr:uid="{00000000-0005-0000-0000-0000BD070000}"/>
    <cellStyle name="Normal 9 2 7 3" xfId="5571" xr:uid="{00000000-0005-0000-0000-0000BD070000}"/>
    <cellStyle name="Normal 9 2 8" xfId="2584" xr:uid="{00000000-0005-0000-0000-00009E070000}"/>
    <cellStyle name="Normal 9 2 8 2" xfId="6573" xr:uid="{00000000-0005-0000-0000-00009E070000}"/>
    <cellStyle name="Normal 9 2 9" xfId="4572" xr:uid="{00000000-0005-0000-0000-00009E070000}"/>
    <cellStyle name="Normal 9 3" xfId="393" xr:uid="{00000000-0005-0000-0000-0000BD070000}"/>
    <cellStyle name="Normal 9 3 2" xfId="639" xr:uid="{00000000-0005-0000-0000-0000BE070000}"/>
    <cellStyle name="Normal 9 3 2 2" xfId="1136" xr:uid="{00000000-0005-0000-0000-0000BF070000}"/>
    <cellStyle name="Normal 9 3 2 2 2" xfId="2138" xr:uid="{00000000-0005-0000-0000-0000C0070000}"/>
    <cellStyle name="Normal 9 3 2 2 2 2" xfId="4360" xr:uid="{00000000-0005-0000-0000-0000C1070000}"/>
    <cellStyle name="Normal 9 3 2 2 2 2 2" xfId="8360" xr:uid="{00000000-0005-0000-0000-0000C1070000}"/>
    <cellStyle name="Normal 9 3 2 2 2 3" xfId="6359" xr:uid="{00000000-0005-0000-0000-0000C1070000}"/>
    <cellStyle name="Normal 9 3 2 2 3" xfId="3362" xr:uid="{00000000-0005-0000-0000-0000C0070000}"/>
    <cellStyle name="Normal 9 3 2 2 3 2" xfId="7361" xr:uid="{00000000-0005-0000-0000-0000C0070000}"/>
    <cellStyle name="Normal 9 3 2 2 4" xfId="5360" xr:uid="{00000000-0005-0000-0000-0000C0070000}"/>
    <cellStyle name="Normal 9 3 2 3" xfId="1642" xr:uid="{00000000-0005-0000-0000-0000C1070000}"/>
    <cellStyle name="Normal 9 3 2 3 2" xfId="3864" xr:uid="{00000000-0005-0000-0000-0000C2070000}"/>
    <cellStyle name="Normal 9 3 2 3 2 2" xfId="7864" xr:uid="{00000000-0005-0000-0000-0000C2070000}"/>
    <cellStyle name="Normal 9 3 2 3 3" xfId="5863" xr:uid="{00000000-0005-0000-0000-0000C2070000}"/>
    <cellStyle name="Normal 9 3 2 4" xfId="2866" xr:uid="{00000000-0005-0000-0000-0000BF070000}"/>
    <cellStyle name="Normal 9 3 2 4 2" xfId="6865" xr:uid="{00000000-0005-0000-0000-0000BF070000}"/>
    <cellStyle name="Normal 9 3 2 5" xfId="4864" xr:uid="{00000000-0005-0000-0000-0000BF070000}"/>
    <cellStyle name="Normal 9 3 3" xfId="888" xr:uid="{00000000-0005-0000-0000-0000C2070000}"/>
    <cellStyle name="Normal 9 3 3 2" xfId="1890" xr:uid="{00000000-0005-0000-0000-0000C3070000}"/>
    <cellStyle name="Normal 9 3 3 2 2" xfId="4112" xr:uid="{00000000-0005-0000-0000-0000C4070000}"/>
    <cellStyle name="Normal 9 3 3 2 2 2" xfId="8112" xr:uid="{00000000-0005-0000-0000-0000C4070000}"/>
    <cellStyle name="Normal 9 3 3 2 3" xfId="6111" xr:uid="{00000000-0005-0000-0000-0000C4070000}"/>
    <cellStyle name="Normal 9 3 3 3" xfId="3114" xr:uid="{00000000-0005-0000-0000-0000C3070000}"/>
    <cellStyle name="Normal 9 3 3 3 2" xfId="7113" xr:uid="{00000000-0005-0000-0000-0000C3070000}"/>
    <cellStyle name="Normal 9 3 3 4" xfId="5112" xr:uid="{00000000-0005-0000-0000-0000C3070000}"/>
    <cellStyle name="Normal 9 3 4" xfId="1394" xr:uid="{00000000-0005-0000-0000-0000C4070000}"/>
    <cellStyle name="Normal 9 3 4 2" xfId="3616" xr:uid="{00000000-0005-0000-0000-0000C5070000}"/>
    <cellStyle name="Normal 9 3 4 2 2" xfId="7616" xr:uid="{00000000-0005-0000-0000-0000C5070000}"/>
    <cellStyle name="Normal 9 3 4 3" xfId="5615" xr:uid="{00000000-0005-0000-0000-0000C5070000}"/>
    <cellStyle name="Normal 9 3 5" xfId="2626" xr:uid="{00000000-0005-0000-0000-0000BE070000}"/>
    <cellStyle name="Normal 9 3 5 2" xfId="6617" xr:uid="{00000000-0005-0000-0000-0000BE070000}"/>
    <cellStyle name="Normal 9 3 6" xfId="4616" xr:uid="{00000000-0005-0000-0000-0000BE070000}"/>
    <cellStyle name="Normal 9 4" xfId="438" xr:uid="{00000000-0005-0000-0000-0000C5070000}"/>
    <cellStyle name="Normal 9 4 2" xfId="685" xr:uid="{00000000-0005-0000-0000-0000C6070000}"/>
    <cellStyle name="Normal 9 4 2 2" xfId="1182" xr:uid="{00000000-0005-0000-0000-0000C7070000}"/>
    <cellStyle name="Normal 9 4 2 2 2" xfId="2184" xr:uid="{00000000-0005-0000-0000-0000C8070000}"/>
    <cellStyle name="Normal 9 4 2 2 2 2" xfId="4406" xr:uid="{00000000-0005-0000-0000-0000C9070000}"/>
    <cellStyle name="Normal 9 4 2 2 2 2 2" xfId="8406" xr:uid="{00000000-0005-0000-0000-0000C9070000}"/>
    <cellStyle name="Normal 9 4 2 2 2 3" xfId="6405" xr:uid="{00000000-0005-0000-0000-0000C9070000}"/>
    <cellStyle name="Normal 9 4 2 2 3" xfId="3408" xr:uid="{00000000-0005-0000-0000-0000C8070000}"/>
    <cellStyle name="Normal 9 4 2 2 3 2" xfId="7407" xr:uid="{00000000-0005-0000-0000-0000C8070000}"/>
    <cellStyle name="Normal 9 4 2 2 4" xfId="5406" xr:uid="{00000000-0005-0000-0000-0000C8070000}"/>
    <cellStyle name="Normal 9 4 2 3" xfId="1688" xr:uid="{00000000-0005-0000-0000-0000C9070000}"/>
    <cellStyle name="Normal 9 4 2 3 2" xfId="3910" xr:uid="{00000000-0005-0000-0000-0000CA070000}"/>
    <cellStyle name="Normal 9 4 2 3 2 2" xfId="7910" xr:uid="{00000000-0005-0000-0000-0000CA070000}"/>
    <cellStyle name="Normal 9 4 2 3 3" xfId="5909" xr:uid="{00000000-0005-0000-0000-0000CA070000}"/>
    <cellStyle name="Normal 9 4 2 4" xfId="2912" xr:uid="{00000000-0005-0000-0000-0000C7070000}"/>
    <cellStyle name="Normal 9 4 2 4 2" xfId="6911" xr:uid="{00000000-0005-0000-0000-0000C7070000}"/>
    <cellStyle name="Normal 9 4 2 5" xfId="4910" xr:uid="{00000000-0005-0000-0000-0000C7070000}"/>
    <cellStyle name="Normal 9 4 3" xfId="934" xr:uid="{00000000-0005-0000-0000-0000CA070000}"/>
    <cellStyle name="Normal 9 4 3 2" xfId="1936" xr:uid="{00000000-0005-0000-0000-0000CB070000}"/>
    <cellStyle name="Normal 9 4 3 2 2" xfId="4158" xr:uid="{00000000-0005-0000-0000-0000CC070000}"/>
    <cellStyle name="Normal 9 4 3 2 2 2" xfId="8158" xr:uid="{00000000-0005-0000-0000-0000CC070000}"/>
    <cellStyle name="Normal 9 4 3 2 3" xfId="6157" xr:uid="{00000000-0005-0000-0000-0000CC070000}"/>
    <cellStyle name="Normal 9 4 3 3" xfId="3160" xr:uid="{00000000-0005-0000-0000-0000CB070000}"/>
    <cellStyle name="Normal 9 4 3 3 2" xfId="7159" xr:uid="{00000000-0005-0000-0000-0000CB070000}"/>
    <cellStyle name="Normal 9 4 3 4" xfId="5158" xr:uid="{00000000-0005-0000-0000-0000CB070000}"/>
    <cellStyle name="Normal 9 4 4" xfId="1440" xr:uid="{00000000-0005-0000-0000-0000CC070000}"/>
    <cellStyle name="Normal 9 4 4 2" xfId="3662" xr:uid="{00000000-0005-0000-0000-0000CD070000}"/>
    <cellStyle name="Normal 9 4 4 2 2" xfId="7662" xr:uid="{00000000-0005-0000-0000-0000CD070000}"/>
    <cellStyle name="Normal 9 4 4 3" xfId="5661" xr:uid="{00000000-0005-0000-0000-0000CD070000}"/>
    <cellStyle name="Normal 9 4 5" xfId="2666" xr:uid="{00000000-0005-0000-0000-0000C6070000}"/>
    <cellStyle name="Normal 9 4 5 2" xfId="6663" xr:uid="{00000000-0005-0000-0000-0000C6070000}"/>
    <cellStyle name="Normal 9 4 6" xfId="4662" xr:uid="{00000000-0005-0000-0000-0000C6070000}"/>
    <cellStyle name="Normal 9 5" xfId="524" xr:uid="{00000000-0005-0000-0000-0000CD070000}"/>
    <cellStyle name="Normal 9 5 2" xfId="771" xr:uid="{00000000-0005-0000-0000-0000CE070000}"/>
    <cellStyle name="Normal 9 5 2 2" xfId="1269" xr:uid="{00000000-0005-0000-0000-0000CF070000}"/>
    <cellStyle name="Normal 9 5 2 2 2" xfId="2271" xr:uid="{00000000-0005-0000-0000-0000D0070000}"/>
    <cellStyle name="Normal 9 5 2 2 2 2" xfId="4493" xr:uid="{00000000-0005-0000-0000-0000D1070000}"/>
    <cellStyle name="Normal 9 5 2 2 2 2 2" xfId="8493" xr:uid="{00000000-0005-0000-0000-0000D1070000}"/>
    <cellStyle name="Normal 9 5 2 2 2 3" xfId="6492" xr:uid="{00000000-0005-0000-0000-0000D1070000}"/>
    <cellStyle name="Normal 9 5 2 2 3" xfId="3495" xr:uid="{00000000-0005-0000-0000-0000D0070000}"/>
    <cellStyle name="Normal 9 5 2 2 3 2" xfId="7494" xr:uid="{00000000-0005-0000-0000-0000D0070000}"/>
    <cellStyle name="Normal 9 5 2 2 4" xfId="5493" xr:uid="{00000000-0005-0000-0000-0000D0070000}"/>
    <cellStyle name="Normal 9 5 2 3" xfId="1775" xr:uid="{00000000-0005-0000-0000-0000D1070000}"/>
    <cellStyle name="Normal 9 5 2 3 2" xfId="3997" xr:uid="{00000000-0005-0000-0000-0000D2070000}"/>
    <cellStyle name="Normal 9 5 2 3 2 2" xfId="7997" xr:uid="{00000000-0005-0000-0000-0000D2070000}"/>
    <cellStyle name="Normal 9 5 2 3 3" xfId="5996" xr:uid="{00000000-0005-0000-0000-0000D2070000}"/>
    <cellStyle name="Normal 9 5 2 4" xfId="2999" xr:uid="{00000000-0005-0000-0000-0000CF070000}"/>
    <cellStyle name="Normal 9 5 2 4 2" xfId="6998" xr:uid="{00000000-0005-0000-0000-0000CF070000}"/>
    <cellStyle name="Normal 9 5 2 5" xfId="4997" xr:uid="{00000000-0005-0000-0000-0000CF070000}"/>
    <cellStyle name="Normal 9 5 3" xfId="1021" xr:uid="{00000000-0005-0000-0000-0000D2070000}"/>
    <cellStyle name="Normal 9 5 3 2" xfId="2023" xr:uid="{00000000-0005-0000-0000-0000D3070000}"/>
    <cellStyle name="Normal 9 5 3 2 2" xfId="4245" xr:uid="{00000000-0005-0000-0000-0000D4070000}"/>
    <cellStyle name="Normal 9 5 3 2 2 2" xfId="8245" xr:uid="{00000000-0005-0000-0000-0000D4070000}"/>
    <cellStyle name="Normal 9 5 3 2 3" xfId="6244" xr:uid="{00000000-0005-0000-0000-0000D4070000}"/>
    <cellStyle name="Normal 9 5 3 3" xfId="3247" xr:uid="{00000000-0005-0000-0000-0000D3070000}"/>
    <cellStyle name="Normal 9 5 3 3 2" xfId="7246" xr:uid="{00000000-0005-0000-0000-0000D3070000}"/>
    <cellStyle name="Normal 9 5 3 4" xfId="5245" xr:uid="{00000000-0005-0000-0000-0000D3070000}"/>
    <cellStyle name="Normal 9 5 4" xfId="1527" xr:uid="{00000000-0005-0000-0000-0000D4070000}"/>
    <cellStyle name="Normal 9 5 4 2" xfId="3749" xr:uid="{00000000-0005-0000-0000-0000D5070000}"/>
    <cellStyle name="Normal 9 5 4 2 2" xfId="7749" xr:uid="{00000000-0005-0000-0000-0000D5070000}"/>
    <cellStyle name="Normal 9 5 4 3" xfId="5748" xr:uid="{00000000-0005-0000-0000-0000D5070000}"/>
    <cellStyle name="Normal 9 5 5" xfId="2752" xr:uid="{00000000-0005-0000-0000-0000CE070000}"/>
    <cellStyle name="Normal 9 5 5 2" xfId="6750" xr:uid="{00000000-0005-0000-0000-0000CE070000}"/>
    <cellStyle name="Normal 9 5 6" xfId="4749" xr:uid="{00000000-0005-0000-0000-0000CE070000}"/>
    <cellStyle name="Normal 9 6" xfId="570" xr:uid="{00000000-0005-0000-0000-0000D5070000}"/>
    <cellStyle name="Normal 9 6 2" xfId="1068" xr:uid="{00000000-0005-0000-0000-0000D6070000}"/>
    <cellStyle name="Normal 9 6 2 2" xfId="2070" xr:uid="{00000000-0005-0000-0000-0000D7070000}"/>
    <cellStyle name="Normal 9 6 2 2 2" xfId="4292" xr:uid="{00000000-0005-0000-0000-0000D8070000}"/>
    <cellStyle name="Normal 9 6 2 2 2 2" xfId="8292" xr:uid="{00000000-0005-0000-0000-0000D8070000}"/>
    <cellStyle name="Normal 9 6 2 2 3" xfId="6291" xr:uid="{00000000-0005-0000-0000-0000D8070000}"/>
    <cellStyle name="Normal 9 6 2 3" xfId="3294" xr:uid="{00000000-0005-0000-0000-0000D7070000}"/>
    <cellStyle name="Normal 9 6 2 3 2" xfId="7293" xr:uid="{00000000-0005-0000-0000-0000D7070000}"/>
    <cellStyle name="Normal 9 6 2 4" xfId="5292" xr:uid="{00000000-0005-0000-0000-0000D7070000}"/>
    <cellStyle name="Normal 9 6 3" xfId="1574" xr:uid="{00000000-0005-0000-0000-0000D8070000}"/>
    <cellStyle name="Normal 9 6 3 2" xfId="3796" xr:uid="{00000000-0005-0000-0000-0000D9070000}"/>
    <cellStyle name="Normal 9 6 3 2 2" xfId="7796" xr:uid="{00000000-0005-0000-0000-0000D9070000}"/>
    <cellStyle name="Normal 9 6 3 3" xfId="5795" xr:uid="{00000000-0005-0000-0000-0000D9070000}"/>
    <cellStyle name="Normal 9 6 4" xfId="2799" xr:uid="{00000000-0005-0000-0000-0000D6070000}"/>
    <cellStyle name="Normal 9 6 4 2" xfId="6797" xr:uid="{00000000-0005-0000-0000-0000D6070000}"/>
    <cellStyle name="Normal 9 6 5" xfId="4796" xr:uid="{00000000-0005-0000-0000-0000D6070000}"/>
    <cellStyle name="Normal 9 7" xfId="820" xr:uid="{00000000-0005-0000-0000-0000D9070000}"/>
    <cellStyle name="Normal 9 7 2" xfId="1822" xr:uid="{00000000-0005-0000-0000-0000DA070000}"/>
    <cellStyle name="Normal 9 7 2 2" xfId="4044" xr:uid="{00000000-0005-0000-0000-0000DB070000}"/>
    <cellStyle name="Normal 9 7 2 2 2" xfId="8044" xr:uid="{00000000-0005-0000-0000-0000DB070000}"/>
    <cellStyle name="Normal 9 7 2 3" xfId="6043" xr:uid="{00000000-0005-0000-0000-0000DB070000}"/>
    <cellStyle name="Normal 9 7 3" xfId="3046" xr:uid="{00000000-0005-0000-0000-0000DA070000}"/>
    <cellStyle name="Normal 9 7 3 2" xfId="7045" xr:uid="{00000000-0005-0000-0000-0000DA070000}"/>
    <cellStyle name="Normal 9 7 4" xfId="5044" xr:uid="{00000000-0005-0000-0000-0000DA070000}"/>
    <cellStyle name="Normal 9 8" xfId="1326" xr:uid="{00000000-0005-0000-0000-0000DB070000}"/>
    <cellStyle name="Normal 9 8 2" xfId="3548" xr:uid="{00000000-0005-0000-0000-0000DC070000}"/>
    <cellStyle name="Normal 9 8 2 2" xfId="7548" xr:uid="{00000000-0005-0000-0000-0000DC070000}"/>
    <cellStyle name="Normal 9 8 3" xfId="5547" xr:uid="{00000000-0005-0000-0000-0000DC070000}"/>
    <cellStyle name="Normal 9 9" xfId="2561" xr:uid="{00000000-0005-0000-0000-00009D070000}"/>
    <cellStyle name="Normal 9 9 2" xfId="6549" xr:uid="{00000000-0005-0000-0000-00009D070000}"/>
    <cellStyle name="Notas 10" xfId="36" xr:uid="{00000000-0005-0000-0000-000043000000}"/>
    <cellStyle name="Notas 10 2" xfId="37" xr:uid="{00000000-0005-0000-0000-000044000000}"/>
    <cellStyle name="Notas 11" xfId="38" xr:uid="{00000000-0005-0000-0000-000045000000}"/>
    <cellStyle name="Notas 11 2" xfId="39" xr:uid="{00000000-0005-0000-0000-000046000000}"/>
    <cellStyle name="Notas 12" xfId="40" xr:uid="{00000000-0005-0000-0000-000047000000}"/>
    <cellStyle name="Notas 12 2" xfId="41" xr:uid="{00000000-0005-0000-0000-000048000000}"/>
    <cellStyle name="Notas 13" xfId="42" xr:uid="{00000000-0005-0000-0000-000049000000}"/>
    <cellStyle name="Notas 13 2" xfId="43" xr:uid="{00000000-0005-0000-0000-00004A000000}"/>
    <cellStyle name="Notas 14" xfId="44" xr:uid="{00000000-0005-0000-0000-00004B000000}"/>
    <cellStyle name="Notas 14 2" xfId="45" xr:uid="{00000000-0005-0000-0000-00004C000000}"/>
    <cellStyle name="Notas 15" xfId="46" xr:uid="{00000000-0005-0000-0000-00004D000000}"/>
    <cellStyle name="Notas 15 2" xfId="47" xr:uid="{00000000-0005-0000-0000-00004E000000}"/>
    <cellStyle name="Notas 16" xfId="48" xr:uid="{00000000-0005-0000-0000-00004F000000}"/>
    <cellStyle name="Notas 16 2" xfId="49" xr:uid="{00000000-0005-0000-0000-000050000000}"/>
    <cellStyle name="Notas 17" xfId="50" xr:uid="{00000000-0005-0000-0000-000051000000}"/>
    <cellStyle name="Notas 17 2" xfId="51" xr:uid="{00000000-0005-0000-0000-000052000000}"/>
    <cellStyle name="Notas 18" xfId="52" xr:uid="{00000000-0005-0000-0000-000053000000}"/>
    <cellStyle name="Notas 18 2" xfId="53" xr:uid="{00000000-0005-0000-0000-000054000000}"/>
    <cellStyle name="Notas 19" xfId="54" xr:uid="{00000000-0005-0000-0000-000055000000}"/>
    <cellStyle name="Notas 19 2" xfId="55" xr:uid="{00000000-0005-0000-0000-000056000000}"/>
    <cellStyle name="Notas 2 2" xfId="56" xr:uid="{00000000-0005-0000-0000-000057000000}"/>
    <cellStyle name="Notas 2 3" xfId="57" xr:uid="{00000000-0005-0000-0000-000058000000}"/>
    <cellStyle name="Notas 20" xfId="58" xr:uid="{00000000-0005-0000-0000-000059000000}"/>
    <cellStyle name="Notas 20 2" xfId="59" xr:uid="{00000000-0005-0000-0000-00005A000000}"/>
    <cellStyle name="Notas 21" xfId="60" xr:uid="{00000000-0005-0000-0000-00005B000000}"/>
    <cellStyle name="Notas 21 2" xfId="61" xr:uid="{00000000-0005-0000-0000-00005C000000}"/>
    <cellStyle name="Notas 22" xfId="62" xr:uid="{00000000-0005-0000-0000-00005D000000}"/>
    <cellStyle name="Notas 22 2" xfId="63" xr:uid="{00000000-0005-0000-0000-00005E000000}"/>
    <cellStyle name="Notas 23" xfId="64" xr:uid="{00000000-0005-0000-0000-00005F000000}"/>
    <cellStyle name="Notas 23 2" xfId="65" xr:uid="{00000000-0005-0000-0000-000060000000}"/>
    <cellStyle name="Notas 24" xfId="66" xr:uid="{00000000-0005-0000-0000-000061000000}"/>
    <cellStyle name="Notas 24 2" xfId="67" xr:uid="{00000000-0005-0000-0000-000062000000}"/>
    <cellStyle name="Notas 25" xfId="68" xr:uid="{00000000-0005-0000-0000-000063000000}"/>
    <cellStyle name="Notas 25 2" xfId="69" xr:uid="{00000000-0005-0000-0000-000064000000}"/>
    <cellStyle name="Notas 26" xfId="70" xr:uid="{00000000-0005-0000-0000-000065000000}"/>
    <cellStyle name="Notas 3 2" xfId="71" xr:uid="{00000000-0005-0000-0000-000066000000}"/>
    <cellStyle name="Notas 3 3" xfId="72" xr:uid="{00000000-0005-0000-0000-000067000000}"/>
    <cellStyle name="Notas 4 2" xfId="73" xr:uid="{00000000-0005-0000-0000-000068000000}"/>
    <cellStyle name="Notas 4 3" xfId="74" xr:uid="{00000000-0005-0000-0000-000069000000}"/>
    <cellStyle name="Notas 5 2" xfId="75" xr:uid="{00000000-0005-0000-0000-00006A000000}"/>
    <cellStyle name="Notas 5 3" xfId="76" xr:uid="{00000000-0005-0000-0000-00006B000000}"/>
    <cellStyle name="Notas 5 4" xfId="77" xr:uid="{00000000-0005-0000-0000-00006C000000}"/>
    <cellStyle name="Notas 5 4 2" xfId="78" xr:uid="{00000000-0005-0000-0000-00006D000000}"/>
    <cellStyle name="Notas 6 2" xfId="79" xr:uid="{00000000-0005-0000-0000-00006E000000}"/>
    <cellStyle name="Notas 6 3" xfId="80" xr:uid="{00000000-0005-0000-0000-00006F000000}"/>
    <cellStyle name="Notas 6 4" xfId="81" xr:uid="{00000000-0005-0000-0000-000070000000}"/>
    <cellStyle name="Notas 6 4 2" xfId="82" xr:uid="{00000000-0005-0000-0000-000071000000}"/>
    <cellStyle name="Notas 7 2" xfId="83" xr:uid="{00000000-0005-0000-0000-000072000000}"/>
    <cellStyle name="Notas 7 3" xfId="84" xr:uid="{00000000-0005-0000-0000-000073000000}"/>
    <cellStyle name="Notas 7 4" xfId="85" xr:uid="{00000000-0005-0000-0000-000074000000}"/>
    <cellStyle name="Notas 7 4 2" xfId="86" xr:uid="{00000000-0005-0000-0000-000075000000}"/>
    <cellStyle name="Notas 8 2" xfId="87" xr:uid="{00000000-0005-0000-0000-000076000000}"/>
    <cellStyle name="Notas 8 3" xfId="88" xr:uid="{00000000-0005-0000-0000-000077000000}"/>
    <cellStyle name="Notas 8 4" xfId="89" xr:uid="{00000000-0005-0000-0000-000078000000}"/>
    <cellStyle name="Notas 8 4 2" xfId="90" xr:uid="{00000000-0005-0000-0000-000079000000}"/>
    <cellStyle name="Notas 9" xfId="91" xr:uid="{00000000-0005-0000-0000-00007A000000}"/>
    <cellStyle name="Notas 9 2" xfId="92" xr:uid="{00000000-0005-0000-0000-00007B000000}"/>
    <cellStyle name="Note" xfId="266" xr:uid="{00000000-0005-0000-0000-000072000000}"/>
    <cellStyle name="Output" xfId="267" xr:uid="{00000000-0005-0000-0000-000073000000}"/>
    <cellStyle name="Porcentaje" xfId="2364" builtinId="5"/>
    <cellStyle name="Porcentaje 2" xfId="93" xr:uid="{00000000-0005-0000-0000-00007C000000}"/>
    <cellStyle name="Porcentaje 2 2" xfId="268" xr:uid="{00000000-0005-0000-0000-000075000000}"/>
    <cellStyle name="Porcentaje 2 3" xfId="2327" xr:uid="{00000000-0005-0000-0000-000026000000}"/>
    <cellStyle name="Porcentaje 3" xfId="94" xr:uid="{00000000-0005-0000-0000-00007D000000}"/>
    <cellStyle name="Porcentaje 4" xfId="95" xr:uid="{00000000-0005-0000-0000-00007E000000}"/>
    <cellStyle name="Porcentaje 4 2" xfId="96" xr:uid="{00000000-0005-0000-0000-00007F000000}"/>
    <cellStyle name="Porcentaje 5" xfId="97" xr:uid="{00000000-0005-0000-0000-000080000000}"/>
    <cellStyle name="Porcentaje 5 2" xfId="98" xr:uid="{00000000-0005-0000-0000-000081000000}"/>
    <cellStyle name="Porcentaje 6" xfId="99" xr:uid="{00000000-0005-0000-0000-000082000000}"/>
    <cellStyle name="Porcentaje 7" xfId="100" xr:uid="{00000000-0005-0000-0000-000083000000}"/>
    <cellStyle name="Porcentual 2" xfId="101" xr:uid="{00000000-0005-0000-0000-000084000000}"/>
    <cellStyle name="Porcentual 2 10" xfId="269" xr:uid="{00000000-0005-0000-0000-000076000000}"/>
    <cellStyle name="Porcentual 2 11" xfId="270" xr:uid="{00000000-0005-0000-0000-000077000000}"/>
    <cellStyle name="Porcentual 2 12" xfId="271" xr:uid="{00000000-0005-0000-0000-000078000000}"/>
    <cellStyle name="Porcentual 2 13" xfId="272" xr:uid="{00000000-0005-0000-0000-000079000000}"/>
    <cellStyle name="Porcentual 2 2" xfId="102" xr:uid="{00000000-0005-0000-0000-000085000000}"/>
    <cellStyle name="Porcentual 2 2 2" xfId="274" xr:uid="{00000000-0005-0000-0000-00007B000000}"/>
    <cellStyle name="Porcentual 2 2 3" xfId="275" xr:uid="{00000000-0005-0000-0000-00007C000000}"/>
    <cellStyle name="Porcentual 2 2 4" xfId="276" xr:uid="{00000000-0005-0000-0000-00007D000000}"/>
    <cellStyle name="Porcentual 2 2 5" xfId="277" xr:uid="{00000000-0005-0000-0000-00007E000000}"/>
    <cellStyle name="Porcentual 2 2 6" xfId="278" xr:uid="{00000000-0005-0000-0000-00007F000000}"/>
    <cellStyle name="Porcentual 2 2 7" xfId="273" xr:uid="{00000000-0005-0000-0000-00007A000000}"/>
    <cellStyle name="Porcentual 2 3" xfId="103" xr:uid="{00000000-0005-0000-0000-000086000000}"/>
    <cellStyle name="Porcentual 2 3 2" xfId="279" xr:uid="{00000000-0005-0000-0000-000081000000}"/>
    <cellStyle name="Porcentual 2 4" xfId="104" xr:uid="{00000000-0005-0000-0000-000087000000}"/>
    <cellStyle name="Porcentual 2 4 2" xfId="280" xr:uid="{00000000-0005-0000-0000-000083000000}"/>
    <cellStyle name="Porcentual 2 5" xfId="281" xr:uid="{00000000-0005-0000-0000-000084000000}"/>
    <cellStyle name="Porcentual 2 5 2" xfId="282" xr:uid="{00000000-0005-0000-0000-000085000000}"/>
    <cellStyle name="Porcentual 2 6" xfId="283" xr:uid="{00000000-0005-0000-0000-000086000000}"/>
    <cellStyle name="Porcentual 2 6 2" xfId="284" xr:uid="{00000000-0005-0000-0000-000087000000}"/>
    <cellStyle name="Porcentual 2 7" xfId="285" xr:uid="{00000000-0005-0000-0000-000088000000}"/>
    <cellStyle name="Porcentual 2 7 2" xfId="286" xr:uid="{00000000-0005-0000-0000-000089000000}"/>
    <cellStyle name="Porcentual 2 8" xfId="287" xr:uid="{00000000-0005-0000-0000-00008A000000}"/>
    <cellStyle name="Porcentual 2 9" xfId="288" xr:uid="{00000000-0005-0000-0000-00008B000000}"/>
    <cellStyle name="Porcentual 20 2" xfId="289" xr:uid="{00000000-0005-0000-0000-00008C000000}"/>
    <cellStyle name="Porcentual 21 2" xfId="290" xr:uid="{00000000-0005-0000-0000-00008D000000}"/>
    <cellStyle name="Porcentual 22" xfId="291" xr:uid="{00000000-0005-0000-0000-00008E000000}"/>
    <cellStyle name="Porcentual 22 2" xfId="292" xr:uid="{00000000-0005-0000-0000-00008F000000}"/>
    <cellStyle name="Porcentual 3" xfId="105" xr:uid="{00000000-0005-0000-0000-000088000000}"/>
    <cellStyle name="Porcentual 3 2" xfId="106" xr:uid="{00000000-0005-0000-0000-000089000000}"/>
    <cellStyle name="Porcentual 3 2 2" xfId="107" xr:uid="{00000000-0005-0000-0000-00008A000000}"/>
    <cellStyle name="Porcentual 3 2 3" xfId="108" xr:uid="{00000000-0005-0000-0000-00008B000000}"/>
    <cellStyle name="Porcentual 3 2 4" xfId="294" xr:uid="{00000000-0005-0000-0000-000091000000}"/>
    <cellStyle name="Porcentual 3 3" xfId="109" xr:uid="{00000000-0005-0000-0000-00008C000000}"/>
    <cellStyle name="Porcentual 3 4" xfId="110" xr:uid="{00000000-0005-0000-0000-00008D000000}"/>
    <cellStyle name="Porcentual 3 4 2" xfId="296" xr:uid="{00000000-0005-0000-0000-000094000000}"/>
    <cellStyle name="Porcentual 3 4 3" xfId="295" xr:uid="{00000000-0005-0000-0000-000093000000}"/>
    <cellStyle name="Porcentual 3 5" xfId="297" xr:uid="{00000000-0005-0000-0000-000095000000}"/>
    <cellStyle name="Porcentual 3 6" xfId="293" xr:uid="{00000000-0005-0000-0000-000090000000}"/>
    <cellStyle name="Porcentual 4" xfId="111" xr:uid="{00000000-0005-0000-0000-00008E000000}"/>
    <cellStyle name="Porcentual 4 2" xfId="112" xr:uid="{00000000-0005-0000-0000-00008F000000}"/>
    <cellStyle name="Porcentual 4 3" xfId="298" xr:uid="{00000000-0005-0000-0000-000096000000}"/>
    <cellStyle name="Porcentual 5" xfId="113" xr:uid="{00000000-0005-0000-0000-000090000000}"/>
    <cellStyle name="Porcentual 5 2" xfId="114" xr:uid="{00000000-0005-0000-0000-000091000000}"/>
    <cellStyle name="Porcentual 5 2 2" xfId="301" xr:uid="{00000000-0005-0000-0000-000099000000}"/>
    <cellStyle name="Porcentual 5 2 3" xfId="300" xr:uid="{00000000-0005-0000-0000-000098000000}"/>
    <cellStyle name="Porcentual 5 3" xfId="115" xr:uid="{00000000-0005-0000-0000-000092000000}"/>
    <cellStyle name="Porcentual 5 3 2" xfId="302" xr:uid="{00000000-0005-0000-0000-00009A000000}"/>
    <cellStyle name="Porcentual 5 4" xfId="299" xr:uid="{00000000-0005-0000-0000-000097000000}"/>
    <cellStyle name="Porcentual 8" xfId="116" xr:uid="{00000000-0005-0000-0000-000093000000}"/>
    <cellStyle name="Punto0" xfId="303" xr:uid="{00000000-0005-0000-0000-00009B000000}"/>
    <cellStyle name="Punto0 - Estilo6" xfId="304" xr:uid="{00000000-0005-0000-0000-00009C000000}"/>
    <cellStyle name="Right" xfId="305" xr:uid="{00000000-0005-0000-0000-00009D000000}"/>
    <cellStyle name="Subtotal_right" xfId="306" xr:uid="{00000000-0005-0000-0000-00009E000000}"/>
    <cellStyle name="Title" xfId="307" xr:uid="{00000000-0005-0000-0000-00009F000000}"/>
    <cellStyle name="Warning Text" xfId="308" xr:uid="{00000000-0005-0000-0000-0000A0000000}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9" formatCode="&quot;$&quot;\ #,##0"/>
      <fill>
        <patternFill patternType="solid">
          <fgColor indexed="64"/>
          <bgColor theme="1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0" formatCode="General"/>
      <fill>
        <patternFill patternType="solid">
          <fgColor indexed="64"/>
          <bgColor theme="1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6" formatCode="_-&quot;$&quot;\ * #,##0_-;\-&quot;$&quot;\ * #,##0_-;_-&quot;$&quot;\ * &quot;-&quot;??_-;_-@_-"/>
      <fill>
        <patternFill patternType="solid">
          <fgColor indexed="64"/>
          <bgColor theme="1" tint="-0.249977111117893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6" formatCode="_-&quot;$&quot;\ * #,##0_-;\-&quot;$&quot;\ * #,##0_-;_-&quot;$&quot;\ * &quot;-&quot;??_-;_-@_-"/>
      <fill>
        <patternFill patternType="solid">
          <fgColor indexed="64"/>
          <bgColor theme="1" tint="-0.249977111117893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6" formatCode="_-&quot;$&quot;\ * #,##0_-;\-&quot;$&quot;\ * #,##0_-;_-&quot;$&quot;\ * &quot;-&quot;??_-;_-@_-"/>
      <fill>
        <patternFill patternType="solid">
          <fgColor indexed="64"/>
          <bgColor theme="1" tint="-0.249977111117893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6" formatCode="_-&quot;$&quot;\ * #,##0_-;\-&quot;$&quot;\ * #,##0_-;_-&quot;$&quot;\ * &quot;-&quot;??_-;_-@_-"/>
      <fill>
        <patternFill patternType="solid">
          <fgColor indexed="64"/>
          <bgColor theme="1" tint="-0.249977111117893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6" formatCode="_-&quot;$&quot;\ * #,##0_-;\-&quot;$&quot;\ * #,##0_-;_-&quot;$&quot;\ * &quot;-&quot;??_-;_-@_-"/>
      <fill>
        <patternFill patternType="solid">
          <fgColor indexed="64"/>
          <bgColor theme="1" tint="-0.249977111117893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fill>
        <patternFill patternType="solid">
          <fgColor indexed="64"/>
          <bgColor theme="1" tint="-0.249977111117893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fill>
        <patternFill patternType="solid">
          <fgColor indexed="64"/>
          <bgColor theme="1" tint="-0.249977111117893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fill>
        <patternFill patternType="solid">
          <fgColor indexed="64"/>
          <bgColor theme="1" tint="-0.249977111117893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fill>
        <patternFill patternType="solid">
          <fgColor indexed="64"/>
          <bgColor theme="1" tint="-0.249977111117893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fill>
        <patternFill patternType="solid">
          <fgColor indexed="64"/>
          <bgColor theme="1" tint="-0.249977111117893"/>
        </patternFill>
      </fill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7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8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83" formatCode="_(* #,##0.00_);_(* \(#,##0.00\);_(* &quot;-&quot;_);_(@_)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Arial"/>
        <family val="2"/>
        <scheme val="minor"/>
      </font>
      <fill>
        <patternFill patternType="solid"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color theme="0"/>
        <name val="Arial Narrow"/>
        <family val="2"/>
        <scheme val="none"/>
      </font>
      <fill>
        <patternFill>
          <bgColor theme="1" tint="-0.249977111117893"/>
        </patternFill>
      </fill>
    </dxf>
    <dxf>
      <font>
        <strike val="0"/>
        <outline val="0"/>
        <shadow val="0"/>
        <u val="none"/>
        <vertAlign val="baseline"/>
        <color theme="0"/>
        <name val="Arial Narrow"/>
        <family val="2"/>
        <scheme val="none"/>
      </font>
      <fill>
        <patternFill>
          <bgColor theme="1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4" formatCode="_(* #,##0_);_(* \(#,##0\);_(* &quot;-&quot;??_);_(@_)"/>
      <fill>
        <patternFill patternType="solid">
          <bgColor theme="1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4" formatCode="_(* #,##0_);_(* \(#,##0\);_(* &quot;-&quot;??_);_(@_)"/>
      <fill>
        <patternFill patternType="solid">
          <fgColor indexed="64"/>
          <bgColor theme="1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4" formatCode="_(* #,##0_);_(* \(#,##0\);_(* &quot;-&quot;??_);_(@_)"/>
      <fill>
        <patternFill patternType="solid">
          <fgColor indexed="64"/>
          <bgColor theme="1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4" formatCode="_(* #,##0_);_(* \(#,##0\);_(* &quot;-&quot;??_);_(@_)"/>
      <fill>
        <patternFill patternType="solid">
          <fgColor indexed="64"/>
          <bgColor theme="1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4" formatCode="_(* #,##0_);_(* \(#,##0\);_(* &quot;-&quot;??_);_(@_)"/>
      <fill>
        <patternFill patternType="solid">
          <fgColor indexed="64"/>
          <bgColor theme="1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4" formatCode="_(* #,##0_);_(* \(#,##0\);_(* &quot;-&quot;??_);_(@_)"/>
      <fill>
        <patternFill>
          <bgColor theme="1" tint="-0.249977111117893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4" formatCode="_(* #,##0_);_(* \(#,##0\);_(* &quot;-&quot;??_);_(@_)"/>
      <fill>
        <patternFill patternType="solid">
          <fgColor theme="4" tint="0.79998168889431442"/>
          <bgColor theme="1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4" formatCode="_(* #,##0_);_(* \(#,##0\);_(* &quot;-&quot;??_);_(@_)"/>
      <fill>
        <patternFill patternType="solid">
          <fgColor theme="4" tint="0.79998168889431442"/>
          <bgColor theme="1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fill>
        <patternFill patternType="solid">
          <bgColor theme="1" tint="-0.249977111117893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family val="2"/>
        <scheme val="none"/>
      </font>
      <numFmt numFmtId="176" formatCode="_-&quot;$&quot;\ * #,##0_-;\-&quot;$&quot;\ * #,##0_-;_-&quot;$&quot;\ * &quot;-&quot;??_-;_-@_-"/>
      <fill>
        <patternFill>
          <bgColor theme="1" tint="-0.249977111117893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color theme="0"/>
        <name val="Arial Narrow"/>
        <family val="2"/>
        <scheme val="none"/>
      </font>
      <numFmt numFmtId="176" formatCode="_-&quot;$&quot;\ * #,##0_-;\-&quot;$&quot;\ * #,##0_-;_-&quot;$&quot;\ * &quot;-&quot;??_-;_-@_-"/>
      <fill>
        <patternFill>
          <bgColor theme="1" tint="-0.249977111117893"/>
        </patternFill>
      </fill>
    </dxf>
    <dxf>
      <border>
        <bottom style="thin">
          <color theme="0"/>
        </bottom>
      </border>
    </dxf>
    <dxf>
      <font>
        <strike val="0"/>
        <outline val="0"/>
        <shadow val="0"/>
        <u val="none"/>
        <vertAlign val="baseline"/>
        <color theme="0"/>
        <name val="Arial Narrow"/>
        <family val="2"/>
        <scheme val="none"/>
      </font>
      <fill>
        <patternFill>
          <bgColor theme="1" tint="-0.249977111117893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4</xdr:row>
          <xdr:rowOff>180975</xdr:rowOff>
        </xdr:from>
        <xdr:to>
          <xdr:col>0</xdr:col>
          <xdr:colOff>1495425</xdr:colOff>
          <xdr:row>8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9</xdr:row>
          <xdr:rowOff>47625</xdr:rowOff>
        </xdr:from>
        <xdr:to>
          <xdr:col>0</xdr:col>
          <xdr:colOff>1504950</xdr:colOff>
          <xdr:row>12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Grabar y Enviar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000-000000000000}" autoFormatId="16" applyNumberFormats="0" applyBorderFormats="0" applyFontFormats="0" applyPatternFormats="0" applyAlignmentFormats="0" applyWidthHeightFormats="0">
  <queryTableRefresh nextId="5">
    <queryTableFields count="2">
      <queryTableField id="2" name="Codigo_Fdo" tableColumnId="2"/>
      <queryTableField id="4" name="Aportes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UYEHUE MesaInversiones TransaccionesIIF" connectionId="3" xr16:uid="{00000000-0016-0000-0100-000001000000}" autoFormatId="16" applyNumberFormats="0" applyBorderFormats="0" applyFontFormats="0" applyPatternFormats="0" applyAlignmentFormats="0" applyWidthHeightFormats="0">
  <queryTableRefresh nextId="27">
    <queryTableFields count="19">
      <queryTableField id="1" name="Fecha" tableColumnId="1"/>
      <queryTableField id="2" name="V" tableColumnId="2"/>
      <queryTableField id="3" name="OpV" tableColumnId="3"/>
      <queryTableField id="4" name="C" tableColumnId="4"/>
      <queryTableField id="5" name="OpC" tableColumnId="5"/>
      <queryTableField id="6" name="Rte" tableColumnId="6"/>
      <queryTableField id="7" name="Folio" tableColumnId="7"/>
      <queryTableField id="8" name="Instrumento" tableColumnId="8"/>
      <queryTableField id="10" name="Liq" tableColumnId="10"/>
      <queryTableField id="11" name="D" tableColumnId="11"/>
      <queryTableField id="13" name="Moneda" tableColumnId="13"/>
      <queryTableField id="17" name="Vende" tableColumnId="17"/>
      <queryTableField id="18" name="Compra" tableColumnId="18"/>
      <queryTableField id="21" name="Cantidad" tableColumnId="9"/>
      <queryTableField id="22" name="Plazo" tableColumnId="12"/>
      <queryTableField id="23" name="Duration" tableColumnId="14"/>
      <queryTableField id="24" name="Precio" tableColumnId="15"/>
      <queryTableField id="25" name="Tir" tableColumnId="16"/>
      <queryTableField id="26" name="Monto" tableColumnId="1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UYEHUE MesaInversiones TransaccionesIIF" connectionId="2" xr16:uid="{00000000-0016-0000-0200-000002000000}" autoFormatId="16" applyNumberFormats="0" applyBorderFormats="0" applyFontFormats="0" applyPatternFormats="0" applyAlignmentFormats="0" applyWidthHeightFormats="0">
  <queryTableRefresh nextId="35">
    <queryTableFields count="20">
      <queryTableField id="1" name="Fecha" tableColumnId="1"/>
      <queryTableField id="2" name="V" tableColumnId="2"/>
      <queryTableField id="3" name="OpV" tableColumnId="3"/>
      <queryTableField id="4" name="C" tableColumnId="4"/>
      <queryTableField id="5" name="OpC" tableColumnId="5"/>
      <queryTableField id="6" name="Rte" tableColumnId="6"/>
      <queryTableField id="7" name="Folio" tableColumnId="7"/>
      <queryTableField id="8" name="Instrumento" tableColumnId="8"/>
      <queryTableField id="10" name="Liq" tableColumnId="10"/>
      <queryTableField id="11" name="D" tableColumnId="11"/>
      <queryTableField id="13" name="Moneda" tableColumnId="13"/>
      <queryTableField id="17" name="Vende" tableColumnId="17"/>
      <queryTableField id="18" name="Compra" tableColumnId="18"/>
      <queryTableField id="27" name="Emisor" tableColumnId="9"/>
      <queryTableField id="28" name="Rescate" tableColumnId="12"/>
      <queryTableField id="29" name="Dias" tableColumnId="14"/>
      <queryTableField id="30" name="tasa" tableColumnId="15"/>
      <queryTableField id="31" name="Captacion" tableColumnId="16"/>
      <queryTableField id="32" name="NemotecnicoSinFecha" tableColumnId="19"/>
      <queryTableField id="33" name="Nemotecnico" tableColumnId="2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4:K13" totalsRowCount="1" headerRowDxfId="46" dataDxfId="44" totalsRowDxfId="42" headerRowBorderDxfId="45" tableBorderDxfId="43" totalsRowBorderDxfId="41">
  <autoFilter ref="B4:K12" xr:uid="{00000000-0009-0000-0100-000002000000}"/>
  <tableColumns count="10">
    <tableColumn id="1" xr3:uid="{00000000-0010-0000-0000-000001000000}" name="Fondo" totalsRowLabel="Total" dataDxfId="40" totalsRowDxfId="23"/>
    <tableColumn id="2" xr3:uid="{00000000-0010-0000-0000-000002000000}" name="Saldo Inicial" dataDxfId="39" totalsRowDxfId="22" dataCellStyle="Millares 11"/>
    <tableColumn id="5" xr3:uid="{00000000-0010-0000-0000-000005000000}" name="Ingresos" dataDxfId="38" totalsRowDxfId="21" dataCellStyle="Millares 11"/>
    <tableColumn id="6" xr3:uid="{00000000-0010-0000-0000-000006000000}" name="Egresos" dataDxfId="37" totalsRowDxfId="20" dataCellStyle="Millares 11"/>
    <tableColumn id="8" xr3:uid="{00000000-0010-0000-0000-000008000000}" name="Aportes" dataDxfId="36" totalsRowDxfId="19" dataCellStyle="Millares"/>
    <tableColumn id="3" xr3:uid="{00000000-0010-0000-0000-000003000000}" name="Compras PH" totalsRowFunction="custom" dataDxfId="35" totalsRowDxfId="18" dataCellStyle="Millares">
      <calculatedColumnFormula>SUMIFS(SubidosIRF!$S:$S,SubidosIRF!$M:$M,B5,SubidosIRF!I:I,"PH")+SUMIFS(SubidosIIF!$R:$R,SubidosIIF!$M:$M,$B5,SubidosIIF!$I:$I,"PH")+SUMIFS(SubidosIRF!$S:$S,SubidosIRF!$M:$M,B5,SubidosIRF!I:I,"PHOD")+SUMIFS(SubidosIIF!$R:$R,SubidosIIF!$M:$M,$B5,SubidosIIF!$I:$I,"PHOD")</calculatedColumnFormula>
      <totalsRowFormula>+SUM(Tabla2[Compras PH])</totalsRowFormula>
    </tableColumn>
    <tableColumn id="4" xr3:uid="{00000000-0010-0000-0000-000004000000}" name="Ventas PH" totalsRowFunction="custom" totalsRowDxfId="17" dataCellStyle="Millares">
      <calculatedColumnFormula>SUMIFS(SubidosIRF!$S:$S,SubidosIRF!$L:$L,Tabla2[[#This Row],[Fondo]],SubidosIRF!I:I,"PH")+SUMIFS(SubidosIIF!$R:$R,SubidosIIF!$L:$L,ResumenFondos!B5,SubidosIIF!I:I,"PH")+SUMIFS(SubidosIRF!$S:$S,SubidosIRF!$L:$L,Tabla2[[#This Row],[Fondo]],SubidosIRF!I:I,"PHOD")+SUMIFS(SubidosIIF!$R:$R,SubidosIIF!$L:$L,ResumenFondos!B5,SubidosIIF!I:I,"PHOD")</calculatedColumnFormula>
      <totalsRowFormula>+SUM(Tabla2[Ventas PH])</totalsRowFormula>
    </tableColumn>
    <tableColumn id="11" xr3:uid="{00000000-0010-0000-0000-00000B000000}" name="Compras PM" totalsRowFunction="custom" dataDxfId="34" totalsRowDxfId="16" dataCellStyle="Millares">
      <calculatedColumnFormula>SUMIFS(SubidosIRF!$S:$S,SubidosIRF!$M:$M,B5,SubidosIRF!I:I,"PM")+SUMIFS(SubidosIIF!$R:$R,SubidosIIF!$M:$M,$B5,SubidosIIF!$I:$I,"PM")+SUMIFS(SubidosIRF!$S:$S,SubidosIRF!$M:$M,B5,SubidosIRF!I:I,"PMOD")+SUMIFS(SubidosIIF!$R:$R,SubidosIIF!$M:$M,$B5,SubidosIIF!$I:$I,"PMOD")</calculatedColumnFormula>
      <totalsRowFormula>SUM(Tabla2[Compras PM])</totalsRowFormula>
    </tableColumn>
    <tableColumn id="12" xr3:uid="{00000000-0010-0000-0000-00000C000000}" name="Ventas PM" totalsRowFunction="custom" dataDxfId="33" totalsRowDxfId="15" dataCellStyle="Millares">
      <calculatedColumnFormula>SUMIFS(SubidosIRF!$S:$S,SubidosIRF!$L:$L,Tabla2[[#This Row],[Fondo]],SubidosIRF!$I:$I,"PM")+SUMIFS(SubidosIIF!$R:$R,SubidosIIF!$L:$L,ResumenFondos!B5,SubidosIIF!$I:$I,"PM")+SUMIFS(SubidosIRF!$S:$S,SubidosIRF!$L:$L,Tabla2[[#This Row],[Fondo]],SubidosIRF!$I:$I,"PMOD")+SUMIFS(SubidosIIF!$R:$R,SubidosIIF!$L:$L,ResumenFondos!B5,SubidosIIF!$I:$I,"PMOD")</calculatedColumnFormula>
      <totalsRowFormula>SUM(Tabla2[Ventas PM])</totalsRowFormula>
    </tableColumn>
    <tableColumn id="9" xr3:uid="{00000000-0010-0000-0000-000009000000}" name="Caja Final PH" totalsRowFunction="custom" dataDxfId="32" totalsRowDxfId="14" dataCellStyle="Millares">
      <calculatedColumnFormula>+Tabla2[[#This Row],[Saldo Inicial]]+Tabla2[[#This Row],[Ingresos]]-Tabla2[[#This Row],[Egresos]]+Tabla2[[#This Row],[Aportes]]-Tabla2[[#This Row],[Compras PH]]+Tabla2[[#This Row],[Ventas PH]]</calculatedColumnFormula>
      <totalsRowFormula>SUM(Tabla2[Caja Final PH])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8C535-9F70-45D5-B709-355EAAB56050}" name="Aportes" displayName="Aportes" ref="G26:H30" tableType="queryTable" totalsRowShown="0" headerRowDxfId="31" dataDxfId="30">
  <autoFilter ref="G26:H30" xr:uid="{85871780-614B-4434-BF1B-5B34114736DD}"/>
  <tableColumns count="2">
    <tableColumn id="2" xr3:uid="{719A78AC-6107-4DCC-9D7A-994AE4692302}" uniqueName="2" name="Codigo_Fdo" queryTableFieldId="2" dataDxfId="1"/>
    <tableColumn id="4" xr3:uid="{D61EB41C-0D51-4B91-9CA0-D5CB692CBB47}" uniqueName="4" name="Aportes" queryTableFieldId="4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a_PUYEHUE_MesaInversiones_TransaccionesIIF" displayName="Tabla_PUYEHUE_MesaInversiones_TransaccionesIIF" ref="A2:S3" tableType="queryTable" insertRow="1" totalsRowShown="0">
  <tableColumns count="19">
    <tableColumn id="1" xr3:uid="{00000000-0010-0000-0100-000001000000}" uniqueName="1" name="Fecha" queryTableFieldId="1"/>
    <tableColumn id="2" xr3:uid="{00000000-0010-0000-0100-000002000000}" uniqueName="2" name="V" queryTableFieldId="2"/>
    <tableColumn id="3" xr3:uid="{00000000-0010-0000-0100-000003000000}" uniqueName="3" name="OpV" queryTableFieldId="3"/>
    <tableColumn id="4" xr3:uid="{00000000-0010-0000-0100-000004000000}" uniqueName="4" name="C" queryTableFieldId="4"/>
    <tableColumn id="5" xr3:uid="{00000000-0010-0000-0100-000005000000}" uniqueName="5" name="OpC" queryTableFieldId="5"/>
    <tableColumn id="6" xr3:uid="{00000000-0010-0000-0100-000006000000}" uniqueName="6" name="Rte" queryTableFieldId="6"/>
    <tableColumn id="7" xr3:uid="{00000000-0010-0000-0100-000007000000}" uniqueName="7" name="Folio" queryTableFieldId="7"/>
    <tableColumn id="8" xr3:uid="{00000000-0010-0000-0100-000008000000}" uniqueName="8" name="Instrumento" queryTableFieldId="8"/>
    <tableColumn id="10" xr3:uid="{00000000-0010-0000-0100-00000A000000}" uniqueName="10" name="Liq" queryTableFieldId="10"/>
    <tableColumn id="11" xr3:uid="{00000000-0010-0000-0100-00000B000000}" uniqueName="11" name="D" queryTableFieldId="11"/>
    <tableColumn id="13" xr3:uid="{00000000-0010-0000-0100-00000D000000}" uniqueName="13" name="Moneda" queryTableFieldId="13"/>
    <tableColumn id="17" xr3:uid="{00000000-0010-0000-0100-000011000000}" uniqueName="17" name="Vende" queryTableFieldId="17"/>
    <tableColumn id="18" xr3:uid="{00000000-0010-0000-0100-000012000000}" uniqueName="18" name="Compra" queryTableFieldId="18"/>
    <tableColumn id="9" xr3:uid="{00000000-0010-0000-0100-000009000000}" uniqueName="9" name="Cantidad" queryTableFieldId="21" dataDxfId="28" dataCellStyle="Millares [0]"/>
    <tableColumn id="12" xr3:uid="{00000000-0010-0000-0100-00000C000000}" uniqueName="12" name="Plazo" queryTableFieldId="22" dataDxfId="27"/>
    <tableColumn id="14" xr3:uid="{00000000-0010-0000-0100-00000E000000}" uniqueName="14" name="Duration" queryTableFieldId="23"/>
    <tableColumn id="15" xr3:uid="{00000000-0010-0000-0100-00000F000000}" uniqueName="15" name="Precio" queryTableFieldId="24"/>
    <tableColumn id="16" xr3:uid="{00000000-0010-0000-0100-000010000000}" uniqueName="16" name="Tir" queryTableFieldId="25"/>
    <tableColumn id="19" xr3:uid="{00000000-0010-0000-0100-000013000000}" uniqueName="19" name="Monto" queryTableFieldId="26" dataDxfId="26" dataCellStyle="Millares [0]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PUYEHUE_MesaInversiones_TransaccionesIIF2" displayName="Tabla_PUYEHUE_MesaInversiones_TransaccionesIIF2" ref="A2:T3" tableType="queryTable" insertRow="1" totalsRowShown="0" dataDxfId="29">
  <autoFilter ref="A2:T3" xr:uid="{D9ACABBF-73F1-49AD-A3E2-FA0BE7CED409}"/>
  <sortState ref="A3:T3">
    <sortCondition ref="M2:M3"/>
  </sortState>
  <tableColumns count="20">
    <tableColumn id="1" xr3:uid="{00000000-0010-0000-0200-000001000000}" uniqueName="1" name="Fecha" queryTableFieldId="1"/>
    <tableColumn id="2" xr3:uid="{00000000-0010-0000-0200-000002000000}" uniqueName="2" name="V" queryTableFieldId="2"/>
    <tableColumn id="3" xr3:uid="{00000000-0010-0000-0200-000003000000}" uniqueName="3" name="OpV" queryTableFieldId="3"/>
    <tableColumn id="4" xr3:uid="{00000000-0010-0000-0200-000004000000}" uniqueName="4" name="C" queryTableFieldId="4"/>
    <tableColumn id="5" xr3:uid="{00000000-0010-0000-0200-000005000000}" uniqueName="5" name="OpC" queryTableFieldId="5"/>
    <tableColumn id="6" xr3:uid="{00000000-0010-0000-0200-000006000000}" uniqueName="6" name="Rte" queryTableFieldId="6"/>
    <tableColumn id="7" xr3:uid="{00000000-0010-0000-0200-000007000000}" uniqueName="7" name="Folio" queryTableFieldId="7"/>
    <tableColumn id="8" xr3:uid="{00000000-0010-0000-0200-000008000000}" uniqueName="8" name="Instrumento" queryTableFieldId="8"/>
    <tableColumn id="10" xr3:uid="{00000000-0010-0000-0200-00000A000000}" uniqueName="10" name="Liq" queryTableFieldId="10"/>
    <tableColumn id="11" xr3:uid="{00000000-0010-0000-0200-00000B000000}" uniqueName="11" name="D" queryTableFieldId="11"/>
    <tableColumn id="13" xr3:uid="{00000000-0010-0000-0200-00000D000000}" uniqueName="13" name="Moneda" queryTableFieldId="13"/>
    <tableColumn id="17" xr3:uid="{00000000-0010-0000-0200-000011000000}" uniqueName="17" name="Vende" queryTableFieldId="17"/>
    <tableColumn id="18" xr3:uid="{00000000-0010-0000-0200-000012000000}" uniqueName="18" name="Compra" queryTableFieldId="18"/>
    <tableColumn id="9" xr3:uid="{00000000-0010-0000-0200-000009000000}" uniqueName="9" name="Emisor" queryTableFieldId="27"/>
    <tableColumn id="12" xr3:uid="{00000000-0010-0000-0200-00000C000000}" uniqueName="12" name="Rescate" queryTableFieldId="28" dataDxfId="25" dataCellStyle="Millares"/>
    <tableColumn id="14" xr3:uid="{00000000-0010-0000-0200-00000E000000}" uniqueName="14" name="Dias" queryTableFieldId="29"/>
    <tableColumn id="15" xr3:uid="{00000000-0010-0000-0200-00000F000000}" uniqueName="15" name="tasa" queryTableFieldId="30"/>
    <tableColumn id="16" xr3:uid="{00000000-0010-0000-0200-000010000000}" uniqueName="16" name="Captacion" queryTableFieldId="31" dataDxfId="24" dataCellStyle="Millares"/>
    <tableColumn id="19" xr3:uid="{00000000-0010-0000-0200-000013000000}" uniqueName="19" name="NemotecnicoSinFecha" queryTableFieldId="32"/>
    <tableColumn id="20" xr3:uid="{00000000-0010-0000-0200-000014000000}" uniqueName="20" name="Nemotecnico" queryTableFieldId="3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S56"/>
  <sheetViews>
    <sheetView showGridLines="0" tabSelected="1" defaultGridColor="0" colorId="9" zoomScale="70" zoomScaleNormal="70" workbookViewId="0">
      <selection activeCell="L34" sqref="L34"/>
    </sheetView>
  </sheetViews>
  <sheetFormatPr baseColWidth="10" defaultColWidth="11.375" defaultRowHeight="16.5"/>
  <cols>
    <col min="1" max="1" width="24.5" style="10" customWidth="1"/>
    <col min="2" max="2" width="21.75" style="10" customWidth="1"/>
    <col min="3" max="3" width="16.5" style="10" bestFit="1" customWidth="1"/>
    <col min="4" max="5" width="14.625" style="10" bestFit="1" customWidth="1"/>
    <col min="6" max="6" width="16.75" style="10" customWidth="1"/>
    <col min="7" max="7" width="13.5" style="10" bestFit="1" customWidth="1"/>
    <col min="8" max="8" width="14.625" style="10" bestFit="1" customWidth="1"/>
    <col min="9" max="9" width="18" style="10" bestFit="1" customWidth="1"/>
    <col min="10" max="10" width="20" style="10" bestFit="1" customWidth="1"/>
    <col min="11" max="11" width="19.625" style="10" bestFit="1" customWidth="1"/>
    <col min="12" max="12" width="17.25" style="10" customWidth="1"/>
    <col min="13" max="13" width="17.375" style="10" customWidth="1"/>
    <col min="14" max="14" width="22.875" style="10" customWidth="1"/>
    <col min="15" max="15" width="20.375" style="10" customWidth="1"/>
    <col min="16" max="16" width="16.75" style="10" customWidth="1"/>
    <col min="17" max="17" width="11.375" style="10"/>
    <col min="18" max="18" width="13.5" style="10" customWidth="1"/>
    <col min="19" max="16384" width="11.375" style="10"/>
  </cols>
  <sheetData>
    <row r="1" spans="1:18">
      <c r="F1" s="11"/>
      <c r="G1" s="12"/>
      <c r="H1" s="12"/>
      <c r="I1" s="12"/>
      <c r="J1" s="12"/>
      <c r="K1" s="12"/>
    </row>
    <row r="2" spans="1:18">
      <c r="F2" s="11"/>
    </row>
    <row r="3" spans="1:18" ht="45" customHeight="1">
      <c r="A3" s="13"/>
      <c r="B3" s="14" t="s">
        <v>20</v>
      </c>
      <c r="C3" s="14"/>
      <c r="D3" s="14"/>
      <c r="E3" s="14"/>
      <c r="F3" s="14"/>
      <c r="G3" s="14"/>
      <c r="H3" s="14"/>
      <c r="I3" s="14"/>
      <c r="J3" s="14"/>
      <c r="K3" s="14"/>
    </row>
    <row r="4" spans="1:18">
      <c r="A4" s="15"/>
      <c r="B4" s="16" t="s">
        <v>15</v>
      </c>
      <c r="C4" s="17" t="s">
        <v>37</v>
      </c>
      <c r="D4" s="17" t="s">
        <v>38</v>
      </c>
      <c r="E4" s="17" t="s">
        <v>39</v>
      </c>
      <c r="F4" s="17" t="s">
        <v>41</v>
      </c>
      <c r="G4" s="17" t="s">
        <v>40</v>
      </c>
      <c r="H4" s="17" t="s">
        <v>43</v>
      </c>
      <c r="I4" s="17" t="s">
        <v>45</v>
      </c>
      <c r="J4" s="17" t="s">
        <v>46</v>
      </c>
      <c r="K4" s="18" t="s">
        <v>42</v>
      </c>
      <c r="M4" s="19"/>
    </row>
    <row r="5" spans="1:18">
      <c r="B5" s="20" t="s">
        <v>22</v>
      </c>
      <c r="C5" s="21">
        <v>87588681</v>
      </c>
      <c r="D5" s="22">
        <v>500000000</v>
      </c>
      <c r="E5" s="22">
        <v>4856476390</v>
      </c>
      <c r="F5" s="26"/>
      <c r="G5" s="23">
        <f>SUMIFS(SubidosIRF!$S:$S,SubidosIRF!$M:$M,B5,SubidosIRF!I:I,"PH")+SUMIFS(SubidosIIF!$R:$R,SubidosIIF!$M:$M,$B5,SubidosIIF!$I:$I,"PH")+SUMIFS(SubidosIRF!$S:$S,SubidosIRF!$M:$M,B5,SubidosIRF!I:I,"PHOD")+SUMIFS(SubidosIIF!$R:$R,SubidosIIF!$M:$M,$B5,SubidosIIF!$I:$I,"PHOD")</f>
        <v>0</v>
      </c>
      <c r="H5" s="23">
        <f>SUMIFS(SubidosIRF!$S:$S,SubidosIRF!$L:$L,Tabla2[[#This Row],[Fondo]],SubidosIRF!I:I,"PH")+SUMIFS(SubidosIIF!$R:$R,SubidosIIF!$L:$L,ResumenFondos!B5,SubidosIIF!I:I,"PH")+SUMIFS(SubidosIRF!$S:$S,SubidosIRF!$L:$L,Tabla2[[#This Row],[Fondo]],SubidosIRF!I:I,"PHOD")+SUMIFS(SubidosIIF!$R:$R,SubidosIIF!$L:$L,ResumenFondos!B5,SubidosIIF!I:I,"PHOD")</f>
        <v>0</v>
      </c>
      <c r="I5" s="23">
        <f>SUMIFS(SubidosIRF!$S:$S,SubidosIRF!$M:$M,B5,SubidosIRF!I:I,"PM")+SUMIFS(SubidosIIF!$R:$R,SubidosIIF!$M:$M,$B5,SubidosIIF!$I:$I,"PM")+SUMIFS(SubidosIRF!$S:$S,SubidosIRF!$M:$M,B5,SubidosIRF!I:I,"PMOD")+SUMIFS(SubidosIIF!$R:$R,SubidosIIF!$M:$M,$B5,SubidosIIF!$I:$I,"PMOD")</f>
        <v>0</v>
      </c>
      <c r="J5" s="23">
        <f>SUMIFS(SubidosIRF!$S:$S,SubidosIRF!$L:$L,Tabla2[[#This Row],[Fondo]],SubidosIRF!$I:$I,"PM")+SUMIFS(SubidosIIF!$R:$R,SubidosIIF!$L:$L,ResumenFondos!B5,SubidosIIF!$I:$I,"PM")+SUMIFS(SubidosIRF!$S:$S,SubidosIRF!$L:$L,Tabla2[[#This Row],[Fondo]],SubidosIRF!$I:$I,"PMOD")+SUMIFS(SubidosIIF!$R:$R,SubidosIIF!$L:$L,ResumenFondos!B5,SubidosIIF!$I:$I,"PMOD")</f>
        <v>0</v>
      </c>
      <c r="K5" s="24">
        <f>+Tabla2[[#This Row],[Saldo Inicial]]+Tabla2[[#This Row],[Ingresos]]-Tabla2[[#This Row],[Egresos]]+Tabla2[[#This Row],[Aportes]]-Tabla2[[#This Row],[Compras PH]]+Tabla2[[#This Row],[Ventas PH]]</f>
        <v>-4268887709</v>
      </c>
      <c r="L5" s="19"/>
      <c r="M5" s="19"/>
      <c r="N5" s="19"/>
    </row>
    <row r="6" spans="1:18">
      <c r="B6" s="20" t="s">
        <v>24</v>
      </c>
      <c r="C6" s="23">
        <v>62891218.990000002</v>
      </c>
      <c r="D6" s="22">
        <v>0</v>
      </c>
      <c r="E6" s="22">
        <v>158383437</v>
      </c>
      <c r="F6" s="23"/>
      <c r="G6" s="23">
        <f>SUMIFS(SubidosIRF!$S:$S,SubidosIRF!$M:$M,B6,SubidosIRF!I:I,"PH")+SUMIFS(SubidosIIF!$R:$R,SubidosIIF!$M:$M,$B6,SubidosIIF!$I:$I,"PH")+SUMIFS(SubidosIRF!$S:$S,SubidosIRF!$M:$M,B6,SubidosIRF!I:I,"PHOD")+SUMIFS(SubidosIIF!$R:$R,SubidosIIF!$M:$M,$B6,SubidosIIF!$I:$I,"PHOD")</f>
        <v>0</v>
      </c>
      <c r="H6" s="23">
        <f>SUMIFS(SubidosIRF!$S:$S,SubidosIRF!$L:$L,Tabla2[[#This Row],[Fondo]],SubidosIRF!I:I,"PH")+SUMIFS(SubidosIIF!$R:$R,SubidosIIF!$L:$L,ResumenFondos!B6,SubidosIIF!I:I,"PH")+SUMIFS(SubidosIRF!$S:$S,SubidosIRF!$L:$L,Tabla2[[#This Row],[Fondo]],SubidosIRF!I:I,"PHOD")+SUMIFS(SubidosIIF!$R:$R,SubidosIIF!$L:$L,ResumenFondos!B6,SubidosIIF!I:I,"PHOD")</f>
        <v>0</v>
      </c>
      <c r="I6" s="23">
        <f>SUMIFS(SubidosIRF!$S:$S,SubidosIRF!$M:$M,B6,SubidosIRF!I:I,"PM")+SUMIFS(SubidosIIF!$R:$R,SubidosIIF!$M:$M,$B6,SubidosIIF!$I:$I,"PM")+SUMIFS(SubidosIRF!$S:$S,SubidosIRF!$M:$M,B6,SubidosIRF!I:I,"PMOD")+SUMIFS(SubidosIIF!$R:$R,SubidosIIF!$M:$M,$B6,SubidosIIF!$I:$I,"PMOD")</f>
        <v>0</v>
      </c>
      <c r="J6" s="23">
        <f>SUMIFS(SubidosIRF!$S:$S,SubidosIRF!$L:$L,Tabla2[[#This Row],[Fondo]],SubidosIRF!$I:$I,"PM")+SUMIFS(SubidosIIF!$R:$R,SubidosIIF!$L:$L,ResumenFondos!B6,SubidosIIF!$I:$I,"PM")+SUMIFS(SubidosIRF!$S:$S,SubidosIRF!$L:$L,Tabla2[[#This Row],[Fondo]],SubidosIRF!$I:$I,"PMOD")+SUMIFS(SubidosIIF!$R:$R,SubidosIIF!$L:$L,ResumenFondos!B6,SubidosIIF!$I:$I,"PMOD")</f>
        <v>0</v>
      </c>
      <c r="K6" s="24">
        <f>+Tabla2[[#This Row],[Saldo Inicial]]+Tabla2[[#This Row],[Ingresos]]-Tabla2[[#This Row],[Egresos]]+Tabla2[[#This Row],[Aportes]]-Tabla2[[#This Row],[Compras PH]]+Tabla2[[#This Row],[Ventas PH]]</f>
        <v>-95492218.00999999</v>
      </c>
      <c r="L6" s="19"/>
      <c r="M6" s="19"/>
      <c r="N6" s="19"/>
    </row>
    <row r="7" spans="1:18">
      <c r="B7" s="20" t="s">
        <v>25</v>
      </c>
      <c r="C7" s="21">
        <v>21362323</v>
      </c>
      <c r="D7" s="22">
        <v>283940</v>
      </c>
      <c r="E7" s="22">
        <v>168396953</v>
      </c>
      <c r="F7" s="41"/>
      <c r="G7" s="23">
        <f>SUMIFS(SubidosIRF!$S:$S,SubidosIRF!$M:$M,B7,SubidosIRF!I:I,"PH")+SUMIFS(SubidosIIF!$R:$R,SubidosIIF!$M:$M,$B7,SubidosIIF!$I:$I,"PH")+SUMIFS(SubidosIRF!$S:$S,SubidosIRF!$M:$M,B7,SubidosIRF!I:I,"PHOD")+SUMIFS(SubidosIIF!$R:$R,SubidosIIF!$M:$M,$B7,SubidosIIF!$I:$I,"PHOD")</f>
        <v>0</v>
      </c>
      <c r="H7" s="23">
        <f>SUMIFS(SubidosIRF!$S:$S,SubidosIRF!$L:$L,Tabla2[[#This Row],[Fondo]],SubidosIRF!I:I,"PH")+SUMIFS(SubidosIIF!$R:$R,SubidosIIF!$L:$L,ResumenFondos!B7,SubidosIIF!I:I,"PH")+SUMIFS(SubidosIRF!$S:$S,SubidosIRF!$L:$L,Tabla2[[#This Row],[Fondo]],SubidosIRF!I:I,"PHOD")+SUMIFS(SubidosIIF!$R:$R,SubidosIIF!$L:$L,ResumenFondos!B7,SubidosIIF!I:I,"PHOD")</f>
        <v>0</v>
      </c>
      <c r="I7" s="23">
        <f>SUMIFS(SubidosIRF!$S:$S,SubidosIRF!$M:$M,B7,SubidosIRF!I:I,"PM")+SUMIFS(SubidosIIF!$R:$R,SubidosIIF!$M:$M,$B7,SubidosIIF!$I:$I,"PM")+SUMIFS(SubidosIRF!$S:$S,SubidosIRF!$M:$M,B7,SubidosIRF!I:I,"PMOD")+SUMIFS(SubidosIIF!$R:$R,SubidosIIF!$M:$M,$B7,SubidosIIF!$I:$I,"PMOD")</f>
        <v>0</v>
      </c>
      <c r="J7" s="23">
        <f>SUMIFS(SubidosIRF!$S:$S,SubidosIRF!$L:$L,Tabla2[[#This Row],[Fondo]],SubidosIRF!$I:$I,"PM")+SUMIFS(SubidosIIF!$R:$R,SubidosIIF!$L:$L,ResumenFondos!B7,SubidosIIF!$I:$I,"PM")+SUMIFS(SubidosIRF!$S:$S,SubidosIRF!$L:$L,Tabla2[[#This Row],[Fondo]],SubidosIRF!$I:$I,"PMOD")+SUMIFS(SubidosIIF!$R:$R,SubidosIIF!$L:$L,ResumenFondos!B7,SubidosIIF!$I:$I,"PMOD")</f>
        <v>0</v>
      </c>
      <c r="K7" s="24">
        <f>+Tabla2[[#This Row],[Saldo Inicial]]+Tabla2[[#This Row],[Ingresos]]-Tabla2[[#This Row],[Egresos]]+Tabla2[[#This Row],[Aportes]]-Tabla2[[#This Row],[Compras PH]]+Tabla2[[#This Row],[Ventas PH]]</f>
        <v>-146750690</v>
      </c>
      <c r="L7" s="59"/>
      <c r="M7" s="19"/>
      <c r="N7" s="19"/>
    </row>
    <row r="8" spans="1:18">
      <c r="B8" s="20" t="s">
        <v>26</v>
      </c>
      <c r="C8" s="23">
        <v>29201163</v>
      </c>
      <c r="D8" s="22">
        <v>0</v>
      </c>
      <c r="E8" s="22">
        <v>0</v>
      </c>
      <c r="F8" s="23"/>
      <c r="G8" s="23">
        <f>SUMIFS(SubidosIRF!$S:$S,SubidosIRF!$M:$M,B8,SubidosIRF!I:I,"PH")+SUMIFS(SubidosIIF!$R:$R,SubidosIIF!$M:$M,$B8,SubidosIIF!$I:$I,"PH")+SUMIFS(SubidosIRF!$S:$S,SubidosIRF!$M:$M,B8,SubidosIRF!I:I,"PHOD")+SUMIFS(SubidosIIF!$R:$R,SubidosIIF!$M:$M,$B8,SubidosIIF!$I:$I,"PHOD")</f>
        <v>0</v>
      </c>
      <c r="H8" s="23">
        <f>SUMIFS(SubidosIRF!$S:$S,SubidosIRF!$L:$L,Tabla2[[#This Row],[Fondo]],SubidosIRF!I:I,"PH")+SUMIFS(SubidosIIF!$R:$R,SubidosIIF!$L:$L,ResumenFondos!B8,SubidosIIF!I:I,"PH")+SUMIFS(SubidosIRF!$S:$S,SubidosIRF!$L:$L,Tabla2[[#This Row],[Fondo]],SubidosIRF!I:I,"PHOD")+SUMIFS(SubidosIIF!$R:$R,SubidosIIF!$L:$L,ResumenFondos!B8,SubidosIIF!I:I,"PHOD")</f>
        <v>0</v>
      </c>
      <c r="I8" s="23">
        <f>SUMIFS(SubidosIRF!$S:$S,SubidosIRF!$M:$M,B8,SubidosIRF!I:I,"PM")+SUMIFS(SubidosIIF!$R:$R,SubidosIIF!$M:$M,$B8,SubidosIIF!$I:$I,"PM")+SUMIFS(SubidosIRF!$S:$S,SubidosIRF!$M:$M,B8,SubidosIRF!I:I,"PMOD")+SUMIFS(SubidosIIF!$R:$R,SubidosIIF!$M:$M,$B8,SubidosIIF!$I:$I,"PMOD")</f>
        <v>0</v>
      </c>
      <c r="J8" s="23">
        <f>SUMIFS(SubidosIRF!$S:$S,SubidosIRF!$L:$L,Tabla2[[#This Row],[Fondo]],SubidosIRF!$I:$I,"PM")+SUMIFS(SubidosIIF!$R:$R,SubidosIIF!$L:$L,ResumenFondos!B8,SubidosIIF!$I:$I,"PM")+SUMIFS(SubidosIRF!$S:$S,SubidosIRF!$L:$L,Tabla2[[#This Row],[Fondo]],SubidosIRF!$I:$I,"PMOD")+SUMIFS(SubidosIIF!$R:$R,SubidosIIF!$L:$L,ResumenFondos!B8,SubidosIIF!$I:$I,"PMOD")</f>
        <v>0</v>
      </c>
      <c r="K8" s="24">
        <f>+Tabla2[[#This Row],[Saldo Inicial]]+Tabla2[[#This Row],[Ingresos]]-Tabla2[[#This Row],[Egresos]]+Tabla2[[#This Row],[Aportes]]-Tabla2[[#This Row],[Compras PH]]+Tabla2[[#This Row],[Ventas PH]]</f>
        <v>29201163</v>
      </c>
      <c r="L8" s="19"/>
      <c r="M8" s="19"/>
      <c r="N8" s="19"/>
    </row>
    <row r="9" spans="1:18">
      <c r="B9" s="20" t="s">
        <v>47</v>
      </c>
      <c r="C9" s="23">
        <v>9327378</v>
      </c>
      <c r="D9" s="22">
        <v>0</v>
      </c>
      <c r="E9" s="22">
        <v>31669137.706815999</v>
      </c>
      <c r="F9" s="23"/>
      <c r="G9" s="23">
        <f>SUMIFS(SubidosIRF!$S:$S,SubidosIRF!$M:$M,B9,SubidosIRF!I:I,"PH")+SUMIFS(SubidosIIF!$R:$R,SubidosIIF!$M:$M,$B9,SubidosIIF!$I:$I,"PH")+SUMIFS(SubidosIRF!$S:$S,SubidosIRF!$M:$M,B9,SubidosIRF!I:I,"PHOD")+SUMIFS(SubidosIIF!$R:$R,SubidosIIF!$M:$M,$B9,SubidosIIF!$I:$I,"PHOD")</f>
        <v>0</v>
      </c>
      <c r="H9" s="23">
        <f>SUMIFS(SubidosIRF!$S:$S,SubidosIRF!$L:$L,Tabla2[[#This Row],[Fondo]],SubidosIRF!I:I,"PH")+SUMIFS(SubidosIIF!$R:$R,SubidosIIF!$L:$L,ResumenFondos!B9,SubidosIIF!I:I,"PH")+SUMIFS(SubidosIRF!$S:$S,SubidosIRF!$L:$L,Tabla2[[#This Row],[Fondo]],SubidosIRF!I:I,"PHOD")+SUMIFS(SubidosIIF!$R:$R,SubidosIIF!$L:$L,ResumenFondos!B9,SubidosIIF!I:I,"PHOD")</f>
        <v>0</v>
      </c>
      <c r="I9" s="23">
        <f>SUMIFS(SubidosIRF!$S:$S,SubidosIRF!$M:$M,B9,SubidosIRF!I:I,"PM")+SUMIFS(SubidosIIF!$R:$R,SubidosIIF!$M:$M,$B9,SubidosIIF!$I:$I,"PM")+SUMIFS(SubidosIRF!$S:$S,SubidosIRF!$M:$M,B9,SubidosIRF!I:I,"PMOD")+SUMIFS(SubidosIIF!$R:$R,SubidosIIF!$M:$M,$B9,SubidosIIF!$I:$I,"PMOD")</f>
        <v>0</v>
      </c>
      <c r="J9" s="23">
        <f>SUMIFS(SubidosIRF!$S:$S,SubidosIRF!$L:$L,Tabla2[[#This Row],[Fondo]],SubidosIRF!$I:$I,"PM")+SUMIFS(SubidosIIF!$R:$R,SubidosIIF!$L:$L,ResumenFondos!B9,SubidosIIF!$I:$I,"PM")+SUMIFS(SubidosIRF!$S:$S,SubidosIRF!$L:$L,Tabla2[[#This Row],[Fondo]],SubidosIRF!$I:$I,"PMOD")+SUMIFS(SubidosIIF!$R:$R,SubidosIIF!$L:$L,ResumenFondos!B9,SubidosIIF!$I:$I,"PMOD")</f>
        <v>0</v>
      </c>
      <c r="K9" s="24">
        <f>+Tabla2[[#This Row],[Saldo Inicial]]+Tabla2[[#This Row],[Ingresos]]-Tabla2[[#This Row],[Egresos]]+Tabla2[[#This Row],[Aportes]]-Tabla2[[#This Row],[Compras PH]]+Tabla2[[#This Row],[Ventas PH]]</f>
        <v>-22341759.706815999</v>
      </c>
      <c r="L9" s="19"/>
      <c r="M9" s="19"/>
      <c r="N9" s="19"/>
    </row>
    <row r="10" spans="1:18">
      <c r="B10" s="20" t="s">
        <v>27</v>
      </c>
      <c r="C10" s="21">
        <v>25354171</v>
      </c>
      <c r="D10" s="22">
        <v>753106846</v>
      </c>
      <c r="E10" s="22">
        <v>2676245</v>
      </c>
      <c r="F10" s="23"/>
      <c r="G10" s="23">
        <f>SUMIFS(SubidosIRF!$S:$S,SubidosIRF!$M:$M,B10,SubidosIRF!I:I,"PH")+SUMIFS(SubidosIIF!$R:$R,SubidosIIF!$M:$M,$B10,SubidosIIF!$I:$I,"PH")+SUMIFS(SubidosIRF!$S:$S,SubidosIRF!$M:$M,B10,SubidosIRF!I:I,"PHOD")+SUMIFS(SubidosIIF!$R:$R,SubidosIIF!$M:$M,$B10,SubidosIIF!$I:$I,"PHOD")</f>
        <v>0</v>
      </c>
      <c r="H10" s="23">
        <f>SUMIFS(SubidosIRF!$S:$S,SubidosIRF!$L:$L,Tabla2[[#This Row],[Fondo]],SubidosIRF!I:I,"PH")+SUMIFS(SubidosIIF!$R:$R,SubidosIIF!$L:$L,ResumenFondos!B10,SubidosIIF!I:I,"PH")+SUMIFS(SubidosIRF!$S:$S,SubidosIRF!$L:$L,Tabla2[[#This Row],[Fondo]],SubidosIRF!I:I,"PHOD")+SUMIFS(SubidosIIF!$R:$R,SubidosIIF!$L:$L,ResumenFondos!B10,SubidosIIF!I:I,"PHOD")</f>
        <v>0</v>
      </c>
      <c r="I10" s="23">
        <f>SUMIFS(SubidosIRF!$S:$S,SubidosIRF!$M:$M,B10,SubidosIRF!I:I,"PM")+SUMIFS(SubidosIIF!$R:$R,SubidosIIF!$M:$M,$B10,SubidosIIF!$I:$I,"PM")+SUMIFS(SubidosIRF!$S:$S,SubidosIRF!$M:$M,B10,SubidosIRF!I:I,"PMOD")+SUMIFS(SubidosIIF!$R:$R,SubidosIIF!$M:$M,$B10,SubidosIIF!$I:$I,"PMOD")</f>
        <v>0</v>
      </c>
      <c r="J10" s="23">
        <f>SUMIFS(SubidosIRF!$S:$S,SubidosIRF!$L:$L,Tabla2[[#This Row],[Fondo]],SubidosIRF!$I:$I,"PM")+SUMIFS(SubidosIIF!$R:$R,SubidosIIF!$L:$L,ResumenFondos!B10,SubidosIIF!$I:$I,"PM")+SUMIFS(SubidosIRF!$S:$S,SubidosIRF!$L:$L,Tabla2[[#This Row],[Fondo]],SubidosIRF!$I:$I,"PMOD")+SUMIFS(SubidosIIF!$R:$R,SubidosIIF!$L:$L,ResumenFondos!B10,SubidosIIF!$I:$I,"PMOD")</f>
        <v>0</v>
      </c>
      <c r="K10" s="24">
        <f>+Tabla2[[#This Row],[Saldo Inicial]]+Tabla2[[#This Row],[Ingresos]]-Tabla2[[#This Row],[Egresos]]+Tabla2[[#This Row],[Aportes]]-Tabla2[[#This Row],[Compras PH]]+Tabla2[[#This Row],[Ventas PH]]</f>
        <v>775784772</v>
      </c>
      <c r="L10" s="25"/>
      <c r="M10" s="19"/>
      <c r="N10" s="19"/>
    </row>
    <row r="11" spans="1:18">
      <c r="B11" s="20" t="s">
        <v>28</v>
      </c>
      <c r="C11" s="23">
        <v>13948159</v>
      </c>
      <c r="D11" s="22">
        <v>1558127651</v>
      </c>
      <c r="E11" s="22">
        <v>3424360</v>
      </c>
      <c r="F11" s="23"/>
      <c r="G11" s="23">
        <f>SUMIFS(SubidosIRF!$S:$S,SubidosIRF!$M:$M,B11,SubidosIRF!I:I,"PH")+SUMIFS(SubidosIIF!$R:$R,SubidosIIF!$M:$M,$B11,SubidosIIF!$I:$I,"PH")+SUMIFS(SubidosIRF!$S:$S,SubidosIRF!$M:$M,B11,SubidosIRF!I:I,"PHOD")+SUMIFS(SubidosIIF!$R:$R,SubidosIIF!$M:$M,$B11,SubidosIIF!$I:$I,"PHOD")</f>
        <v>0</v>
      </c>
      <c r="H11" s="23">
        <f>SUMIFS(SubidosIRF!$S:$S,SubidosIRF!$L:$L,Tabla2[[#This Row],[Fondo]],SubidosIRF!I:I,"PH")+SUMIFS(SubidosIIF!$R:$R,SubidosIIF!$L:$L,ResumenFondos!B11,SubidosIIF!I:I,"PH")+SUMIFS(SubidosIRF!$S:$S,SubidosIRF!$L:$L,Tabla2[[#This Row],[Fondo]],SubidosIRF!I:I,"PHOD")+SUMIFS(SubidosIIF!$R:$R,SubidosIIF!$L:$L,ResumenFondos!B11,SubidosIIF!I:I,"PHOD")</f>
        <v>0</v>
      </c>
      <c r="I11" s="23">
        <f>SUMIFS(SubidosIRF!$S:$S,SubidosIRF!$M:$M,B11,SubidosIRF!I:I,"PM")+SUMIFS(SubidosIIF!$R:$R,SubidosIIF!$M:$M,$B11,SubidosIIF!$I:$I,"PM")+SUMIFS(SubidosIRF!$S:$S,SubidosIRF!$M:$M,B11,SubidosIRF!I:I,"PMOD")+SUMIFS(SubidosIIF!$R:$R,SubidosIIF!$M:$M,$B11,SubidosIIF!$I:$I,"PMOD")</f>
        <v>0</v>
      </c>
      <c r="J11" s="23">
        <f>SUMIFS(SubidosIRF!$S:$S,SubidosIRF!$L:$L,Tabla2[[#This Row],[Fondo]],SubidosIRF!$I:$I,"PM")+SUMIFS(SubidosIIF!$R:$R,SubidosIIF!$L:$L,ResumenFondos!B11,SubidosIIF!$I:$I,"PM")+SUMIFS(SubidosIRF!$S:$S,SubidosIRF!$L:$L,Tabla2[[#This Row],[Fondo]],SubidosIRF!$I:$I,"PMOD")+SUMIFS(SubidosIIF!$R:$R,SubidosIIF!$L:$L,ResumenFondos!B11,SubidosIIF!$I:$I,"PMOD")</f>
        <v>0</v>
      </c>
      <c r="K11" s="24">
        <f>+Tabla2[[#This Row],[Saldo Inicial]]+Tabla2[[#This Row],[Ingresos]]-Tabla2[[#This Row],[Egresos]]+Tabla2[[#This Row],[Aportes]]-Tabla2[[#This Row],[Compras PH]]+Tabla2[[#This Row],[Ventas PH]]</f>
        <v>1568651450</v>
      </c>
      <c r="L11" s="26"/>
      <c r="M11" s="19"/>
      <c r="N11" s="19"/>
    </row>
    <row r="12" spans="1:18">
      <c r="B12" s="20" t="s">
        <v>29</v>
      </c>
      <c r="C12" s="21">
        <v>8165486</v>
      </c>
      <c r="D12" s="22">
        <v>11986596</v>
      </c>
      <c r="E12" s="22">
        <v>520025235.96799999</v>
      </c>
      <c r="F12" s="23"/>
      <c r="G12" s="23">
        <f>SUMIFS(SubidosIRF!$S:$S,SubidosIRF!$M:$M,B12,SubidosIRF!I:I,"PH")+SUMIFS(SubidosIIF!$R:$R,SubidosIIF!$M:$M,$B12,SubidosIIF!$I:$I,"PH")+SUMIFS(SubidosIRF!$S:$S,SubidosIRF!$M:$M,B12,SubidosIRF!I:I,"PHOD")+SUMIFS(SubidosIIF!$R:$R,SubidosIIF!$M:$M,$B12,SubidosIIF!$I:$I,"PHOD")</f>
        <v>0</v>
      </c>
      <c r="H12" s="23">
        <f>SUMIFS(SubidosIRF!$S:$S,SubidosIRF!$L:$L,Tabla2[[#This Row],[Fondo]],SubidosIRF!I:I,"PH")+SUMIFS(SubidosIIF!$R:$R,SubidosIIF!$L:$L,ResumenFondos!B12,SubidosIIF!I:I,"PH")+SUMIFS(SubidosIRF!$S:$S,SubidosIRF!$L:$L,Tabla2[[#This Row],[Fondo]],SubidosIRF!I:I,"PHOD")+SUMIFS(SubidosIIF!$R:$R,SubidosIIF!$L:$L,ResumenFondos!B12,SubidosIIF!I:I,"PHOD")</f>
        <v>0</v>
      </c>
      <c r="I12" s="23">
        <f>SUMIFS(SubidosIRF!$S:$S,SubidosIRF!$M:$M,B12,SubidosIRF!I:I,"PM")+SUMIFS(SubidosIIF!$R:$R,SubidosIIF!$M:$M,$B12,SubidosIIF!$I:$I,"PM")+SUMIFS(SubidosIRF!$S:$S,SubidosIRF!$M:$M,B12,SubidosIRF!I:I,"PMOD")+SUMIFS(SubidosIIF!$R:$R,SubidosIIF!$M:$M,$B12,SubidosIIF!$I:$I,"PMOD")</f>
        <v>0</v>
      </c>
      <c r="J12" s="23">
        <f>SUMIFS(SubidosIRF!$S:$S,SubidosIRF!$L:$L,Tabla2[[#This Row],[Fondo]],SubidosIRF!$I:$I,"PM")+SUMIFS(SubidosIIF!$R:$R,SubidosIIF!$L:$L,ResumenFondos!B12,SubidosIIF!$I:$I,"PM")+SUMIFS(SubidosIRF!$S:$S,SubidosIRF!$L:$L,Tabla2[[#This Row],[Fondo]],SubidosIRF!$I:$I,"PMOD")+SUMIFS(SubidosIIF!$R:$R,SubidosIIF!$L:$L,ResumenFondos!B12,SubidosIIF!$I:$I,"PMOD")</f>
        <v>0</v>
      </c>
      <c r="K12" s="24">
        <f>+Tabla2[[#This Row],[Saldo Inicial]]+Tabla2[[#This Row],[Ingresos]]-Tabla2[[#This Row],[Egresos]]+Tabla2[[#This Row],[Aportes]]-Tabla2[[#This Row],[Compras PH]]+Tabla2[[#This Row],[Ventas PH]]</f>
        <v>-499873153.96799999</v>
      </c>
      <c r="L12" s="19"/>
      <c r="M12" s="19"/>
      <c r="N12" s="19"/>
    </row>
    <row r="13" spans="1:18">
      <c r="B13" s="27" t="s">
        <v>48</v>
      </c>
      <c r="C13" s="28"/>
      <c r="D13" s="28"/>
      <c r="E13" s="28"/>
      <c r="F13" s="28"/>
      <c r="G13" s="29">
        <f>+SUM(Tabla2[Compras PH])</f>
        <v>0</v>
      </c>
      <c r="H13" s="29">
        <f>+SUM(Tabla2[Ventas PH])</f>
        <v>0</v>
      </c>
      <c r="I13" s="29">
        <f>SUM(Tabla2[Compras PM])</f>
        <v>0</v>
      </c>
      <c r="J13" s="29">
        <f>SUM(Tabla2[Ventas PM])</f>
        <v>0</v>
      </c>
      <c r="K13" s="29">
        <f>SUM(Tabla2[Caja Final PH])</f>
        <v>-2659708145.6848159</v>
      </c>
      <c r="L13" s="26"/>
    </row>
    <row r="14" spans="1:18">
      <c r="F14" s="26"/>
      <c r="M14" s="19"/>
    </row>
    <row r="15" spans="1:18" ht="20.25">
      <c r="B15" s="14" t="s">
        <v>44</v>
      </c>
      <c r="M15" s="19"/>
      <c r="R15" s="25"/>
    </row>
    <row r="16" spans="1:18">
      <c r="B16" s="30" t="s">
        <v>15</v>
      </c>
      <c r="C16" s="30" t="s">
        <v>37</v>
      </c>
      <c r="D16" s="30" t="s">
        <v>38</v>
      </c>
      <c r="E16" s="30" t="s">
        <v>39</v>
      </c>
      <c r="F16" s="30" t="s">
        <v>41</v>
      </c>
      <c r="G16" s="30" t="s">
        <v>40</v>
      </c>
      <c r="H16" s="30" t="s">
        <v>43</v>
      </c>
      <c r="I16" s="30"/>
      <c r="J16" s="30" t="s">
        <v>45</v>
      </c>
      <c r="K16" s="30" t="s">
        <v>46</v>
      </c>
      <c r="L16" s="30" t="s">
        <v>42</v>
      </c>
      <c r="M16" s="31" t="s">
        <v>49</v>
      </c>
      <c r="N16" s="31" t="s">
        <v>50</v>
      </c>
    </row>
    <row r="17" spans="1:18">
      <c r="B17" s="30"/>
      <c r="C17" s="21">
        <v>4653638</v>
      </c>
      <c r="D17" s="21">
        <v>0</v>
      </c>
      <c r="E17" s="22">
        <v>0</v>
      </c>
      <c r="F17" s="42"/>
      <c r="G17" s="23">
        <f>SUMIFS(SubidosIRF!$S:$S,SubidosIRF!$M:$M,B17,SubidosIRF!I:I,"PH")+SUMIFS(SubidosIIF!$R:$R,SubidosIIF!$M:$M,$B17,SubidosIIF!$I:$I,"PH")+SUMIFS(SubidosIRF!$S:$S,SubidosIRF!$M:$M,B17,SubidosIRF!I:I,"PHOD")+SUMIFS(SubidosIIF!$R:$R,SubidosIIF!$M:$M,$B17,SubidosIIF!$I:$I,"PHOD")</f>
        <v>0</v>
      </c>
      <c r="H17" s="23">
        <f>SUMIFS(SubidosIRF!$S:$S,SubidosIRF!$L:$L,Tabla2[[#This Row],[Fondo]],SubidosIRF!I:I,"PH")+SUMIFS(SubidosIIF!$R:$R,SubidosIIF!$L:$L,ResumenFondos!B17,SubidosIIF!I:I,"PH")+SUMIFS(SubidosIRF!$S:$S,SubidosIRF!$L:$L,Tabla2[[#This Row],[Fondo]],SubidosIRF!I:I,"PHOD")+SUMIFS(SubidosIIF!$R:$R,SubidosIIF!$L:$L,ResumenFondos!B17,SubidosIIF!I:I,"PHOD")</f>
        <v>0</v>
      </c>
      <c r="I17" s="23"/>
      <c r="J17" s="23">
        <f>SUMIFS(SubidosIRF!$S:$S,SubidosIRF!$M:$M,B17,SubidosIRF!I:I,"PM")+SUMIFS(SubidosIIF!$R:$R,SubidosIIF!$M:$M,$B17,SubidosIIF!$I:$I,"PM")+SUMIFS(SubidosIRF!$S:$S,SubidosIRF!$M:$M,B17,SubidosIRF!I:I,"PMOD")+SUMIFS(SubidosIIF!$R:$R,SubidosIIF!$M:$M,$B17,SubidosIIF!$I:$I,"PMOD")</f>
        <v>0</v>
      </c>
      <c r="K17" s="23">
        <f>SUMIFS(SubidosIRF!$S:$S,SubidosIRF!$L:$L,Tabla2[[#This Row],[Fondo]],SubidosIRF!$I:$I,"PM")+SUMIFS(SubidosIIF!$R:$R,SubidosIIF!$L:$L,ResumenFondos!B17,SubidosIIF!$I:$I,"PM")+SUMIFS(SubidosIRF!$S:$S,SubidosIRF!$L:$L,Tabla2[[#This Row],[Fondo]],SubidosIRF!$I:$I,"PMOD")+SUMIFS(SubidosIIF!$R:$R,SubidosIIF!$L:$L,ResumenFondos!B17,SubidosIIF!$I:$I,"PMOD")</f>
        <v>0</v>
      </c>
      <c r="L17" s="23">
        <f>C17+D17+F17-G17+H17-E17</f>
        <v>4653638</v>
      </c>
      <c r="O17" s="32"/>
      <c r="R17" s="25"/>
    </row>
    <row r="18" spans="1:18">
      <c r="B18" s="30" t="s">
        <v>23</v>
      </c>
      <c r="C18" s="23">
        <v>472998.47</v>
      </c>
      <c r="D18" s="23">
        <f>2800000-1500000</f>
        <v>1300000</v>
      </c>
      <c r="E18" s="22">
        <v>18706</v>
      </c>
      <c r="F18" s="42"/>
      <c r="G18" s="23">
        <f>SUMIFS(SubidosIRF!$S:$S,SubidosIRF!$M:$M,B18,SubidosIRF!I:I,"PH")+SUMIFS(SubidosIIF!$R:$R,SubidosIIF!$M:$M,$B18,SubidosIIF!$I:$I,"PH")+SUMIFS(SubidosIRF!$S:$S,SubidosIRF!$M:$M,B18,SubidosIRF!I:I,"PHOD")+SUMIFS(SubidosIIF!$R:$R,SubidosIIF!$M:$M,$B18,SubidosIIF!$I:$I,"PHOD")</f>
        <v>0</v>
      </c>
      <c r="H18" s="23">
        <f>SUMIFS(SubidosIRF!$S:$S,SubidosIRF!$L:$L,Tabla2[[#This Row],[Fondo]],SubidosIRF!I:I,"PH")+SUMIFS(SubidosIIF!$R:$R,SubidosIIF!$L:$L,ResumenFondos!B18,SubidosIIF!I:I,"PH")+SUMIFS(SubidosIRF!$S:$S,SubidosIRF!$L:$L,Tabla2[[#This Row],[Fondo]],SubidosIRF!I:I,"PHOD")+SUMIFS(SubidosIIF!$R:$R,SubidosIIF!$L:$L,ResumenFondos!B18,SubidosIIF!I:I,"PHOD")</f>
        <v>0</v>
      </c>
      <c r="I18" s="23"/>
      <c r="J18" s="23">
        <f>SUMIFS(SubidosIRF!$S:$S,SubidosIRF!$M:$M,B18,SubidosIRF!I:I,"PM")+SUMIFS(SubidosIIF!$R:$R,SubidosIIF!$M:$M,$B18,SubidosIIF!$I:$I,"PM")+SUMIFS(SubidosIRF!$S:$S,SubidosIRF!$M:$M,B18,SubidosIRF!I:I,"PMOD")+SUMIFS(SubidosIIF!$R:$R,SubidosIIF!$M:$M,$B18,SubidosIIF!$I:$I,"PMOD")</f>
        <v>0</v>
      </c>
      <c r="K18" s="23">
        <f>SUMIFS(SubidosIRF!$S:$S,SubidosIRF!$L:$L,Tabla2[[#This Row],[Fondo]],SubidosIRF!$I:$I,"PM")+SUMIFS(SubidosIIF!$R:$R,SubidosIIF!$L:$L,ResumenFondos!B18,SubidosIIF!$I:$I,"PM")+SUMIFS(SubidosIRF!$S:$S,SubidosIRF!$L:$L,Tabla2[[#This Row],[Fondo]],SubidosIRF!$I:$I,"PMOD")+SUMIFS(SubidosIIF!$R:$R,SubidosIIF!$L:$L,ResumenFondos!B18,SubidosIIF!$I:$I,"PMOD")</f>
        <v>0</v>
      </c>
      <c r="L18" s="40">
        <f>C18+D18+F18-G18+H18-E18</f>
        <v>1754292.47</v>
      </c>
      <c r="M18" s="23">
        <f>+SUMIFS(SubidosIIF!R:R,SubidosIIF!M:M,"M_MARKET",SubidosIIF!K:K,"CH$")</f>
        <v>0</v>
      </c>
      <c r="N18" s="33"/>
      <c r="O18" s="32">
        <f>+L18*644</f>
        <v>1129764350.6800001</v>
      </c>
    </row>
    <row r="19" spans="1:18" ht="17.25" thickBot="1">
      <c r="B19" s="28"/>
      <c r="C19" s="47">
        <v>55801.09</v>
      </c>
      <c r="D19" s="21">
        <v>0</v>
      </c>
      <c r="E19" s="21">
        <v>0</v>
      </c>
      <c r="F19" s="42"/>
      <c r="G19" s="23">
        <f>SUMIFS(SubidosIRF!$S:$S,SubidosIRF!$M:$M,B19,SubidosIRF!I:I,"PH")+SUMIFS(SubidosIIF!$R:$R,SubidosIIF!$M:$M,$B19,SubidosIIF!$I:$I,"PH")+SUMIFS(SubidosIRF!$S:$S,SubidosIRF!$M:$M,B19,SubidosIRF!I:I,"PHOD")+SUMIFS(SubidosIIF!$R:$R,SubidosIIF!$M:$M,$B19,SubidosIIF!$I:$I,"PHOD")</f>
        <v>0</v>
      </c>
      <c r="H19" s="55">
        <f>SUMIFS(SubidosIRF!$S:$S,SubidosIRF!$L:$L,Tabla2[[#This Row],[Fondo]],SubidosIRF!I:I,"PH")+SUMIFS(SubidosIIF!$R:$R,SubidosIIF!$L:$L,ResumenFondos!B19,SubidosIIF!I:I,"PH")+SUMIFS(SubidosIRF!$S:$S,SubidosIRF!$L:$L,Tabla2[[#This Row],[Fondo]],SubidosIRF!I:I,"PHOD")+SUMIFS(SubidosIIF!$R:$R,SubidosIIF!$L:$L,ResumenFondos!B19,SubidosIIF!I:I,"PHOD")</f>
        <v>0</v>
      </c>
      <c r="I19" s="55"/>
      <c r="J19" s="55">
        <f>SUMIFS(SubidosIRF!$S:$S,SubidosIRF!$M:$M,B19,SubidosIRF!I:I,"PM")+SUMIFS(SubidosIIF!$R:$R,SubidosIIF!$M:$M,$B19,SubidosIIF!$I:$I,"PM")+SUMIFS(SubidosIRF!$S:$S,SubidosIRF!$M:$M,B19,SubidosIRF!I:I,"PMOD")+SUMIFS(SubidosIIF!$R:$R,SubidosIIF!$M:$M,$B19,SubidosIIF!$I:$I,"PMOD")</f>
        <v>0</v>
      </c>
      <c r="K19" s="55">
        <f>SUMIFS(SubidosIRF!$S:$S,SubidosIRF!$L:$L,Tabla2[[#This Row],[Fondo]],SubidosIRF!$I:$I,"PM")+SUMIFS(SubidosIIF!$R:$R,SubidosIIF!$L:$L,ResumenFondos!B19,SubidosIIF!$I:$I,"PM")+SUMIFS(SubidosIRF!$S:$S,SubidosIRF!$L:$L,Tabla2[[#This Row],[Fondo]],SubidosIRF!$I:$I,"PMOD")+SUMIFS(SubidosIIF!$R:$R,SubidosIIF!$L:$L,ResumenFondos!B19,SubidosIIF!$I:$I,"PMOD")</f>
        <v>0</v>
      </c>
      <c r="L19" s="55">
        <f>C19+D19+F19-G19+H19-E19</f>
        <v>55801.09</v>
      </c>
      <c r="N19" s="26"/>
      <c r="O19" s="25"/>
    </row>
    <row r="20" spans="1:18">
      <c r="B20" s="51"/>
      <c r="C20" s="56"/>
      <c r="D20" s="56"/>
      <c r="E20" s="48"/>
      <c r="F20" s="49"/>
      <c r="G20" s="23">
        <f>SUMIFS(SubidosIRF!$S:$S,SubidosIRF!$M:$M,B20,SubidosIRF!I:I,"PH")+SUMIFS(SubidosIIF!$R:$R,SubidosIIF!$M:$M,$B20,SubidosIIF!$I:$I,"PH")+SUMIFS(SubidosIRF!$S:$S,SubidosIRF!$M:$M,B20,SubidosIRF!I:I,"PHOD")+SUMIFS(SubidosIIF!$R:$R,SubidosIIF!$M:$M,$B20,SubidosIIF!$I:$I,"PHOD")</f>
        <v>0</v>
      </c>
      <c r="H20" s="56"/>
      <c r="I20" s="56"/>
      <c r="J20" s="56"/>
      <c r="K20" s="56"/>
      <c r="L20" s="53">
        <f>+C20+D20-E20+F20</f>
        <v>0</v>
      </c>
      <c r="O20" s="35"/>
      <c r="R20" s="25"/>
    </row>
    <row r="21" spans="1:18" ht="17.25" thickBot="1">
      <c r="B21" s="54" t="s">
        <v>52</v>
      </c>
      <c r="C21" s="52">
        <v>16970.78</v>
      </c>
      <c r="D21" s="52"/>
      <c r="E21" s="52">
        <v>5402.57</v>
      </c>
      <c r="F21" s="52"/>
      <c r="G21" s="23">
        <f>SUMIFS(SubidosIRF!$S:$S,SubidosIRF!$M:$M,B21,SubidosIRF!I:I,"PH")+SUMIFS(SubidosIIF!$R:$R,SubidosIIF!$M:$M,$B21,SubidosIIF!$I:$I,"PH")+SUMIFS(SubidosIRF!$S:$S,SubidosIRF!$M:$M,B21,SubidosIRF!I:I,"PHOD")+SUMIFS(SubidosIIF!$R:$R,SubidosIIF!$M:$M,$B21,SubidosIIF!$I:$I,"PHOD")</f>
        <v>0</v>
      </c>
      <c r="H21" s="52"/>
      <c r="I21" s="52"/>
      <c r="J21" s="52"/>
      <c r="K21" s="52"/>
      <c r="L21" s="50">
        <f>C21+D21+F21-G21+H21-E21</f>
        <v>11568.21</v>
      </c>
      <c r="O21" s="35"/>
      <c r="R21" s="25"/>
    </row>
    <row r="22" spans="1:18">
      <c r="D22" s="34"/>
      <c r="E22" s="34"/>
      <c r="G22" s="25"/>
      <c r="H22" s="25"/>
      <c r="I22" s="44"/>
      <c r="K22" s="46"/>
      <c r="L22" s="26"/>
      <c r="O22" s="35"/>
      <c r="R22" s="25"/>
    </row>
    <row r="23" spans="1:18">
      <c r="D23" s="34"/>
      <c r="E23" s="34"/>
      <c r="H23" s="41"/>
      <c r="I23" s="43"/>
      <c r="J23" s="43"/>
      <c r="K23" s="43"/>
      <c r="L23" s="43"/>
      <c r="M23" s="43"/>
      <c r="O23" s="35"/>
      <c r="R23" s="25"/>
    </row>
    <row r="24" spans="1:18">
      <c r="A24" s="25"/>
      <c r="B24" s="25"/>
      <c r="C24" s="25"/>
      <c r="D24" s="36"/>
      <c r="E24" s="25"/>
      <c r="H24" s="41"/>
      <c r="J24" s="43"/>
      <c r="K24" s="60"/>
      <c r="L24" s="43"/>
      <c r="M24" s="43"/>
    </row>
    <row r="25" spans="1:18">
      <c r="A25" s="25"/>
      <c r="B25" s="25"/>
      <c r="C25" s="25"/>
      <c r="D25" s="35"/>
      <c r="E25" s="36"/>
      <c r="F25" s="36"/>
      <c r="G25" s="36"/>
      <c r="H25" s="41"/>
      <c r="J25" s="46"/>
      <c r="K25" s="58"/>
      <c r="L25" s="43"/>
      <c r="M25" s="25"/>
    </row>
    <row r="26" spans="1:18">
      <c r="A26" s="25"/>
      <c r="B26" s="25"/>
      <c r="C26" s="25"/>
      <c r="D26" s="46"/>
      <c r="E26" s="36"/>
      <c r="F26" s="36"/>
      <c r="G26" s="10" t="s">
        <v>51</v>
      </c>
      <c r="H26" s="41" t="s">
        <v>41</v>
      </c>
      <c r="J26" s="62"/>
      <c r="K26" s="62"/>
      <c r="M26" s="25"/>
    </row>
    <row r="27" spans="1:18">
      <c r="A27" s="25"/>
      <c r="B27" s="25"/>
      <c r="C27" s="25"/>
      <c r="D27" s="36"/>
      <c r="E27" s="36"/>
      <c r="F27" s="37"/>
      <c r="G27" s="38" t="s">
        <v>55</v>
      </c>
      <c r="H27" s="41">
        <v>296925944</v>
      </c>
      <c r="J27" s="25"/>
      <c r="K27" s="19"/>
    </row>
    <row r="28" spans="1:18">
      <c r="A28" s="25"/>
      <c r="B28" s="25"/>
      <c r="C28" s="25"/>
      <c r="E28" s="43"/>
      <c r="F28" s="37"/>
      <c r="G28" s="38" t="s">
        <v>56</v>
      </c>
      <c r="H28" s="41">
        <v>1182582</v>
      </c>
      <c r="I28" s="43"/>
      <c r="J28" s="25"/>
      <c r="K28" s="26"/>
    </row>
    <row r="29" spans="1:18">
      <c r="A29" s="25"/>
      <c r="B29" s="25"/>
      <c r="C29" s="25"/>
      <c r="D29" s="25"/>
      <c r="E29" s="39"/>
      <c r="F29" s="37"/>
      <c r="G29" s="38" t="s">
        <v>53</v>
      </c>
      <c r="H29" s="41">
        <v>2010025453</v>
      </c>
      <c r="I29" s="43"/>
      <c r="J29" s="61"/>
      <c r="K29" s="25"/>
      <c r="L29" s="25"/>
    </row>
    <row r="30" spans="1:18">
      <c r="A30" s="25"/>
      <c r="B30" s="25"/>
      <c r="C30" s="25"/>
      <c r="E30" s="25"/>
      <c r="F30" s="26"/>
      <c r="G30" s="38" t="s">
        <v>54</v>
      </c>
      <c r="H30" s="41">
        <v>35616779</v>
      </c>
      <c r="I30" s="43"/>
      <c r="J30" s="25"/>
      <c r="K30" s="36"/>
    </row>
    <row r="31" spans="1:18">
      <c r="A31" s="25"/>
      <c r="B31" s="25"/>
      <c r="C31" s="25"/>
      <c r="E31" s="25"/>
      <c r="F31" s="26"/>
      <c r="G31" s="25"/>
      <c r="H31" s="41"/>
      <c r="I31" s="43"/>
      <c r="J31" s="25"/>
      <c r="K31" s="25"/>
    </row>
    <row r="32" spans="1:18">
      <c r="A32" s="25"/>
      <c r="B32" s="25"/>
      <c r="C32" s="25"/>
      <c r="D32" s="25"/>
      <c r="E32" s="25"/>
      <c r="F32" s="25"/>
      <c r="G32" s="43"/>
      <c r="H32" s="43"/>
      <c r="I32" s="37"/>
      <c r="K32" s="25"/>
      <c r="L32" s="25"/>
    </row>
    <row r="33" spans="1:19">
      <c r="A33" s="25"/>
      <c r="B33" s="25"/>
      <c r="C33" s="25"/>
      <c r="D33" s="25"/>
      <c r="E33" s="43"/>
      <c r="F33" s="25"/>
      <c r="G33" s="43"/>
      <c r="H33" s="43"/>
      <c r="I33" s="37"/>
      <c r="J33" s="25"/>
      <c r="K33" s="25"/>
      <c r="L33" s="25">
        <v>69000000000</v>
      </c>
      <c r="M33" s="25"/>
    </row>
    <row r="34" spans="1:19">
      <c r="A34" s="25"/>
      <c r="B34" s="25"/>
      <c r="C34" s="25"/>
      <c r="D34" s="25"/>
      <c r="E34" s="43"/>
      <c r="F34" s="37"/>
      <c r="G34" s="37"/>
      <c r="H34" s="43"/>
      <c r="I34" s="25"/>
      <c r="L34" s="59">
        <f>+L33*1.5%</f>
        <v>1035000000</v>
      </c>
    </row>
    <row r="35" spans="1:19">
      <c r="A35" s="25"/>
      <c r="B35" s="25"/>
      <c r="C35" s="25"/>
      <c r="D35" s="37"/>
      <c r="E35" s="43"/>
      <c r="F35" s="43"/>
      <c r="G35" s="25"/>
      <c r="H35" s="25"/>
      <c r="I35" s="25"/>
    </row>
    <row r="36" spans="1:19">
      <c r="A36" s="25"/>
      <c r="B36" s="25"/>
      <c r="C36" s="25"/>
      <c r="D36" s="25"/>
      <c r="E36" s="43"/>
      <c r="F36" s="43"/>
      <c r="G36" s="25"/>
      <c r="H36" s="37"/>
      <c r="I36" s="37"/>
    </row>
    <row r="37" spans="1:19">
      <c r="A37" s="25"/>
      <c r="B37" s="25"/>
      <c r="C37" s="25"/>
      <c r="D37" s="25"/>
      <c r="E37" s="43"/>
      <c r="F37" s="43"/>
      <c r="G37" s="43"/>
      <c r="H37" s="37"/>
      <c r="I37" s="37"/>
      <c r="J37" s="37"/>
    </row>
    <row r="38" spans="1:19">
      <c r="A38" s="25"/>
      <c r="B38" s="25"/>
      <c r="C38" s="25"/>
      <c r="D38" s="25"/>
      <c r="E38" s="43"/>
      <c r="F38" s="43"/>
      <c r="G38" s="43"/>
      <c r="H38" s="45"/>
      <c r="I38" s="43"/>
      <c r="J38" s="37"/>
      <c r="K38" s="37"/>
      <c r="M38" s="37"/>
    </row>
    <row r="39" spans="1:19">
      <c r="A39" s="25"/>
      <c r="B39" s="25"/>
      <c r="C39" s="25"/>
      <c r="D39" s="25"/>
      <c r="E39" s="43"/>
      <c r="G39" s="43"/>
      <c r="H39" s="43"/>
      <c r="I39" s="43"/>
      <c r="J39" s="37"/>
      <c r="K39" s="37"/>
      <c r="L39" s="37"/>
    </row>
    <row r="40" spans="1:19">
      <c r="A40" s="25"/>
      <c r="B40" s="25"/>
      <c r="C40" s="25"/>
      <c r="D40" s="25"/>
      <c r="E40" s="43"/>
      <c r="F40" s="43"/>
      <c r="G40" s="43"/>
      <c r="H40" s="43"/>
      <c r="I40" s="43"/>
      <c r="J40" s="37"/>
      <c r="K40" s="37"/>
      <c r="L40" s="37"/>
      <c r="M40" s="37"/>
      <c r="N40" s="37"/>
      <c r="O40" s="37"/>
    </row>
    <row r="41" spans="1:19">
      <c r="A41" s="25"/>
      <c r="B41" s="25"/>
      <c r="C41" s="25"/>
      <c r="D41" s="25"/>
      <c r="E41" s="43"/>
      <c r="F41" s="43"/>
      <c r="I41" s="43"/>
      <c r="J41" s="37"/>
      <c r="K41" s="37"/>
      <c r="L41" s="37"/>
      <c r="M41" s="37"/>
      <c r="N41" s="37"/>
      <c r="O41" s="37"/>
    </row>
    <row r="42" spans="1:19">
      <c r="A42" s="25"/>
      <c r="B42" s="25"/>
      <c r="C42" s="25"/>
      <c r="E42" s="25"/>
      <c r="F42" s="25"/>
      <c r="J42" s="37"/>
      <c r="K42" s="37"/>
      <c r="L42" s="37"/>
      <c r="M42" s="37"/>
      <c r="N42" s="37"/>
      <c r="O42" s="37"/>
      <c r="P42" s="37"/>
    </row>
    <row r="43" spans="1:19">
      <c r="A43" s="25"/>
      <c r="B43" s="25"/>
      <c r="C43" s="25"/>
      <c r="E43" s="25"/>
      <c r="F43" s="25"/>
      <c r="G43" s="41"/>
      <c r="J43" s="37"/>
      <c r="K43" s="37"/>
      <c r="L43" s="37"/>
      <c r="M43" s="37"/>
      <c r="N43" s="37"/>
      <c r="O43" s="37"/>
      <c r="P43" s="37"/>
    </row>
    <row r="44" spans="1:19">
      <c r="A44" s="25"/>
      <c r="B44" s="25"/>
      <c r="C44" s="25"/>
      <c r="E44" s="25"/>
      <c r="H44" s="41"/>
      <c r="J44" s="37"/>
      <c r="K44" s="37"/>
      <c r="L44" s="37"/>
      <c r="N44" s="37"/>
      <c r="O44" s="37"/>
      <c r="P44" s="37"/>
      <c r="Q44" s="37"/>
      <c r="R44" s="37"/>
    </row>
    <row r="45" spans="1:19">
      <c r="A45" s="25"/>
      <c r="B45" s="25"/>
      <c r="C45" s="25"/>
      <c r="H45" s="41"/>
      <c r="J45" s="37"/>
      <c r="K45" s="37"/>
      <c r="L45" s="37"/>
      <c r="N45" s="37"/>
      <c r="O45" s="37"/>
      <c r="P45" s="37"/>
      <c r="Q45" s="37"/>
      <c r="R45" s="37"/>
    </row>
    <row r="46" spans="1:19">
      <c r="A46" s="25"/>
      <c r="B46" s="25"/>
      <c r="C46" s="25"/>
      <c r="H46" s="41"/>
      <c r="J46" s="37"/>
      <c r="K46" s="37"/>
      <c r="L46" s="37"/>
      <c r="O46" s="37"/>
      <c r="P46" s="37"/>
      <c r="Q46" s="37"/>
      <c r="R46" s="37"/>
      <c r="S46" s="37"/>
    </row>
    <row r="47" spans="1:19">
      <c r="A47" s="25"/>
      <c r="B47" s="25"/>
      <c r="C47" s="25"/>
      <c r="H47" s="41"/>
      <c r="J47" s="37"/>
      <c r="K47" s="37"/>
      <c r="L47" s="37"/>
      <c r="O47" s="37"/>
      <c r="P47" s="37"/>
      <c r="Q47" s="37"/>
      <c r="R47" s="37"/>
      <c r="S47" s="37"/>
    </row>
    <row r="48" spans="1:19">
      <c r="A48" s="25"/>
      <c r="B48" s="25"/>
      <c r="C48" s="25"/>
      <c r="H48" s="41"/>
      <c r="J48" s="37"/>
      <c r="K48" s="37"/>
      <c r="L48" s="37"/>
      <c r="O48" s="37"/>
      <c r="P48" s="37"/>
      <c r="Q48" s="37"/>
      <c r="R48" s="37"/>
      <c r="S48" s="37"/>
    </row>
    <row r="49" spans="1:19">
      <c r="A49" s="25"/>
      <c r="B49" s="25"/>
      <c r="C49" s="25"/>
      <c r="J49" s="37"/>
      <c r="K49" s="37"/>
      <c r="L49" s="37"/>
      <c r="O49" s="37"/>
      <c r="P49" s="37"/>
      <c r="Q49" s="37"/>
      <c r="R49" s="37"/>
      <c r="S49" s="37"/>
    </row>
    <row r="50" spans="1:19">
      <c r="A50" s="25"/>
      <c r="B50" s="25"/>
      <c r="C50" s="25"/>
      <c r="O50" s="37"/>
      <c r="P50" s="37"/>
      <c r="Q50" s="37"/>
      <c r="R50" s="37"/>
      <c r="S50" s="37"/>
    </row>
    <row r="51" spans="1:19">
      <c r="O51" s="37"/>
      <c r="P51" s="37"/>
      <c r="Q51" s="37"/>
      <c r="R51" s="37"/>
      <c r="S51" s="37"/>
    </row>
    <row r="52" spans="1:19">
      <c r="O52" s="37"/>
      <c r="P52" s="37"/>
      <c r="Q52" s="37"/>
      <c r="R52" s="37"/>
      <c r="S52" s="37"/>
    </row>
    <row r="53" spans="1:19">
      <c r="O53" s="37"/>
      <c r="P53" s="37"/>
      <c r="Q53" s="37"/>
      <c r="R53" s="37"/>
      <c r="S53" s="37"/>
    </row>
    <row r="54" spans="1:19">
      <c r="O54" s="37"/>
      <c r="P54" s="37"/>
      <c r="Q54" s="37"/>
      <c r="R54" s="37"/>
      <c r="S54" s="37"/>
    </row>
    <row r="55" spans="1:19">
      <c r="O55" s="37"/>
      <c r="P55" s="37"/>
      <c r="Q55" s="37"/>
      <c r="R55" s="37"/>
      <c r="S55" s="37"/>
    </row>
    <row r="56" spans="1:19">
      <c r="O56" s="37"/>
      <c r="P56" s="37"/>
      <c r="Q56" s="37"/>
      <c r="R56" s="37"/>
      <c r="S56" s="37"/>
    </row>
  </sheetData>
  <conditionalFormatting sqref="K5:K12">
    <cfRule type="cellIs" dxfId="13" priority="11" operator="greaterThan">
      <formula>100000000</formula>
    </cfRule>
    <cfRule type="cellIs" dxfId="12" priority="12" operator="between">
      <formula>100000000</formula>
      <formula>0</formula>
    </cfRule>
    <cfRule type="cellIs" dxfId="11" priority="15" operator="lessThan">
      <formula>0</formula>
    </cfRule>
  </conditionalFormatting>
  <conditionalFormatting sqref="L17:L19">
    <cfRule type="cellIs" dxfId="10" priority="7" operator="greaterThan">
      <formula>100000000</formula>
    </cfRule>
    <cfRule type="cellIs" dxfId="9" priority="8" operator="between">
      <formula>100000000</formula>
      <formula>0</formula>
    </cfRule>
    <cfRule type="cellIs" dxfId="8" priority="9" operator="lessThan">
      <formula>0</formula>
    </cfRule>
  </conditionalFormatting>
  <conditionalFormatting sqref="L20">
    <cfRule type="cellIs" dxfId="7" priority="4" operator="greaterThan">
      <formula>100000000</formula>
    </cfRule>
    <cfRule type="cellIs" dxfId="6" priority="5" operator="between">
      <formula>100000000</formula>
      <formula>0</formula>
    </cfRule>
    <cfRule type="cellIs" dxfId="5" priority="6" operator="lessThan">
      <formula>0</formula>
    </cfRule>
  </conditionalFormatting>
  <conditionalFormatting sqref="L21">
    <cfRule type="cellIs" dxfId="4" priority="1" operator="greaterThan">
      <formula>100000000</formula>
    </cfRule>
    <cfRule type="cellIs" dxfId="3" priority="2" operator="between">
      <formula>100000000</formula>
      <formula>0</formula>
    </cfRule>
    <cfRule type="cellIs" dxfId="2" priority="3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ctualizarYaSubidos">
                <anchor moveWithCells="1" sizeWithCells="1">
                  <from>
                    <xdr:col>0</xdr:col>
                    <xdr:colOff>85725</xdr:colOff>
                    <xdr:row>4</xdr:row>
                    <xdr:rowOff>180975</xdr:rowOff>
                  </from>
                  <to>
                    <xdr:col>0</xdr:col>
                    <xdr:colOff>1495425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GrabarEnviar">
                <anchor moveWithCells="1" sizeWithCells="1">
                  <from>
                    <xdr:col>0</xdr:col>
                    <xdr:colOff>95250</xdr:colOff>
                    <xdr:row>9</xdr:row>
                    <xdr:rowOff>47625</xdr:rowOff>
                  </from>
                  <to>
                    <xdr:col>0</xdr:col>
                    <xdr:colOff>1504950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/>
  <dimension ref="A2:U374"/>
  <sheetViews>
    <sheetView workbookViewId="0">
      <selection activeCell="C3" sqref="C3"/>
    </sheetView>
  </sheetViews>
  <sheetFormatPr baseColWidth="10" defaultRowHeight="14.25"/>
  <cols>
    <col min="1" max="1" width="6.25" bestFit="1" customWidth="1"/>
    <col min="2" max="2" width="2" bestFit="1" customWidth="1"/>
    <col min="3" max="3" width="4.625" bestFit="1" customWidth="1"/>
    <col min="4" max="4" width="2.25" bestFit="1" customWidth="1"/>
    <col min="5" max="5" width="4.875" bestFit="1" customWidth="1"/>
    <col min="6" max="6" width="4" bestFit="1" customWidth="1"/>
    <col min="7" max="7" width="5.25" bestFit="1" customWidth="1"/>
    <col min="8" max="8" width="11.5" bestFit="1" customWidth="1"/>
    <col min="9" max="9" width="3.625" bestFit="1" customWidth="1"/>
    <col min="10" max="10" width="2.25" customWidth="1"/>
    <col min="11" max="11" width="8" bestFit="1" customWidth="1"/>
    <col min="12" max="12" width="6.5" bestFit="1" customWidth="1"/>
    <col min="13" max="13" width="7.75" bestFit="1" customWidth="1"/>
    <col min="14" max="14" width="8.75" bestFit="1" customWidth="1"/>
    <col min="15" max="15" width="5.75" bestFit="1" customWidth="1"/>
    <col min="16" max="16" width="8.5" bestFit="1" customWidth="1"/>
    <col min="17" max="17" width="6.625" bestFit="1" customWidth="1"/>
    <col min="18" max="18" width="3.375" bestFit="1" customWidth="1"/>
    <col min="19" max="19" width="6.5" bestFit="1" customWidth="1"/>
    <col min="20" max="20" width="6.875" customWidth="1"/>
    <col min="21" max="21" width="16.5" customWidth="1"/>
    <col min="22" max="22" width="11.875" customWidth="1"/>
    <col min="23" max="23" width="11.375" customWidth="1"/>
    <col min="24" max="24" width="10.875" customWidth="1"/>
    <col min="25" max="25" width="20.25" customWidth="1"/>
    <col min="26" max="26" width="13.25" customWidth="1"/>
  </cols>
  <sheetData>
    <row r="2" spans="1:21">
      <c r="A2" t="s">
        <v>12</v>
      </c>
      <c r="B2" t="s">
        <v>0</v>
      </c>
      <c r="C2" t="s">
        <v>13</v>
      </c>
      <c r="D2" t="s">
        <v>1</v>
      </c>
      <c r="E2" t="s">
        <v>14</v>
      </c>
      <c r="F2" t="s">
        <v>2</v>
      </c>
      <c r="G2" t="s">
        <v>3</v>
      </c>
      <c r="H2" t="s">
        <v>4</v>
      </c>
      <c r="I2" t="s">
        <v>9</v>
      </c>
      <c r="J2" t="s">
        <v>5</v>
      </c>
      <c r="K2" t="s">
        <v>6</v>
      </c>
      <c r="L2" t="s">
        <v>8</v>
      </c>
      <c r="M2" t="s">
        <v>7</v>
      </c>
      <c r="N2" t="s">
        <v>10</v>
      </c>
      <c r="O2" t="s">
        <v>11</v>
      </c>
      <c r="P2" t="s">
        <v>16</v>
      </c>
      <c r="Q2" t="s">
        <v>17</v>
      </c>
      <c r="R2" t="s">
        <v>18</v>
      </c>
      <c r="S2" t="s">
        <v>19</v>
      </c>
    </row>
    <row r="3" spans="1:21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4"/>
      <c r="O3" s="57"/>
      <c r="P3" s="63"/>
      <c r="Q3" s="63"/>
      <c r="R3" s="63"/>
      <c r="S3" s="65"/>
    </row>
    <row r="4" spans="1:21">
      <c r="O4" s="5"/>
      <c r="S4" s="6"/>
      <c r="U4" s="7"/>
    </row>
    <row r="5" spans="1:21">
      <c r="O5" s="5"/>
      <c r="S5" s="6"/>
    </row>
    <row r="6" spans="1:21">
      <c r="O6" s="5"/>
      <c r="S6" s="6"/>
    </row>
    <row r="7" spans="1:21">
      <c r="O7" s="5"/>
      <c r="S7" s="6"/>
    </row>
    <row r="8" spans="1:21">
      <c r="O8" s="5"/>
      <c r="S8" s="6"/>
    </row>
    <row r="9" spans="1:21">
      <c r="O9" s="5"/>
      <c r="S9" s="6"/>
    </row>
    <row r="10" spans="1:21">
      <c r="O10" s="5"/>
      <c r="S10" s="6"/>
    </row>
    <row r="11" spans="1:21">
      <c r="O11" s="5"/>
      <c r="S11" s="6"/>
    </row>
    <row r="12" spans="1:21">
      <c r="O12" s="5"/>
      <c r="S12" s="6"/>
    </row>
    <row r="13" spans="1:21">
      <c r="O13" s="5"/>
      <c r="S13" s="6"/>
    </row>
    <row r="14" spans="1:21">
      <c r="O14" s="5"/>
      <c r="S14" s="6"/>
    </row>
    <row r="15" spans="1:21">
      <c r="O15" s="5"/>
      <c r="S15" s="6"/>
    </row>
    <row r="16" spans="1:21">
      <c r="O16" s="5"/>
      <c r="S16" s="6"/>
    </row>
    <row r="17" spans="15:19">
      <c r="O17" s="5"/>
      <c r="S17" s="6"/>
    </row>
    <row r="18" spans="15:19">
      <c r="O18" s="5"/>
      <c r="S18" s="6"/>
    </row>
    <row r="19" spans="15:19">
      <c r="O19" s="5"/>
      <c r="S19" s="6"/>
    </row>
    <row r="20" spans="15:19">
      <c r="O20" s="5"/>
      <c r="S20" s="6"/>
    </row>
    <row r="21" spans="15:19">
      <c r="O21" s="5"/>
      <c r="S21" s="6"/>
    </row>
    <row r="22" spans="15:19">
      <c r="O22" s="5"/>
      <c r="S22" s="6"/>
    </row>
    <row r="23" spans="15:19">
      <c r="O23" s="5"/>
      <c r="S23" s="6"/>
    </row>
    <row r="24" spans="15:19">
      <c r="O24" s="5"/>
      <c r="S24" s="6"/>
    </row>
    <row r="25" spans="15:19">
      <c r="O25" s="5"/>
      <c r="S25" s="6"/>
    </row>
    <row r="26" spans="15:19">
      <c r="O26" s="5"/>
      <c r="S26" s="6"/>
    </row>
    <row r="27" spans="15:19">
      <c r="O27" s="5"/>
      <c r="S27" s="6"/>
    </row>
    <row r="28" spans="15:19">
      <c r="O28" s="5"/>
      <c r="S28" s="6"/>
    </row>
    <row r="29" spans="15:19">
      <c r="O29" s="5"/>
      <c r="S29" s="6"/>
    </row>
    <row r="30" spans="15:19">
      <c r="O30" s="5"/>
      <c r="S30" s="6"/>
    </row>
    <row r="31" spans="15:19">
      <c r="O31" s="5"/>
      <c r="S31" s="6"/>
    </row>
    <row r="32" spans="15:19">
      <c r="O32" s="5"/>
      <c r="S32" s="6"/>
    </row>
    <row r="33" spans="15:19">
      <c r="O33" s="5"/>
      <c r="S33" s="6"/>
    </row>
    <row r="34" spans="15:19">
      <c r="O34" s="5"/>
      <c r="S34" s="6"/>
    </row>
    <row r="35" spans="15:19">
      <c r="O35" s="5"/>
      <c r="S35" s="6"/>
    </row>
    <row r="36" spans="15:19">
      <c r="O36" s="5"/>
      <c r="S36" s="6"/>
    </row>
    <row r="37" spans="15:19">
      <c r="O37" s="5"/>
      <c r="S37" s="6"/>
    </row>
    <row r="38" spans="15:19">
      <c r="O38" s="5"/>
      <c r="S38" s="6"/>
    </row>
    <row r="39" spans="15:19">
      <c r="O39" s="5"/>
      <c r="S39" s="6"/>
    </row>
    <row r="40" spans="15:19">
      <c r="O40" s="5"/>
      <c r="S40" s="6"/>
    </row>
    <row r="41" spans="15:19">
      <c r="O41" s="5"/>
      <c r="S41" s="6"/>
    </row>
    <row r="42" spans="15:19">
      <c r="O42" s="5"/>
      <c r="S42" s="6"/>
    </row>
    <row r="43" spans="15:19">
      <c r="O43" s="5"/>
      <c r="S43" s="6"/>
    </row>
    <row r="44" spans="15:19">
      <c r="O44" s="5"/>
      <c r="S44" s="6"/>
    </row>
    <row r="45" spans="15:19">
      <c r="O45" s="5"/>
      <c r="S45" s="6"/>
    </row>
    <row r="46" spans="15:19">
      <c r="O46" s="5"/>
      <c r="S46" s="6"/>
    </row>
    <row r="47" spans="15:19">
      <c r="O47" s="5"/>
      <c r="S47" s="6"/>
    </row>
    <row r="48" spans="15:19">
      <c r="O48" s="5"/>
      <c r="S48" s="6"/>
    </row>
    <row r="49" spans="15:19">
      <c r="O49" s="5"/>
      <c r="S49" s="6"/>
    </row>
    <row r="50" spans="15:19">
      <c r="O50" s="5"/>
      <c r="S50" s="6"/>
    </row>
    <row r="51" spans="15:19">
      <c r="O51" s="5"/>
      <c r="S51" s="6"/>
    </row>
    <row r="52" spans="15:19">
      <c r="O52" s="5"/>
      <c r="S52" s="6"/>
    </row>
    <row r="53" spans="15:19">
      <c r="O53" s="5"/>
      <c r="S53" s="6"/>
    </row>
    <row r="54" spans="15:19">
      <c r="O54" s="5"/>
      <c r="S54" s="6"/>
    </row>
    <row r="55" spans="15:19">
      <c r="O55" s="5"/>
      <c r="S55" s="6"/>
    </row>
    <row r="56" spans="15:19">
      <c r="O56" s="5"/>
      <c r="S56" s="6"/>
    </row>
    <row r="57" spans="15:19">
      <c r="O57" s="5"/>
      <c r="S57" s="6"/>
    </row>
    <row r="58" spans="15:19">
      <c r="O58" s="5"/>
      <c r="S58" s="6"/>
    </row>
    <row r="59" spans="15:19">
      <c r="O59" s="5"/>
      <c r="S59" s="6"/>
    </row>
    <row r="60" spans="15:19">
      <c r="O60" s="5"/>
      <c r="S60" s="6"/>
    </row>
    <row r="61" spans="15:19">
      <c r="O61" s="5"/>
      <c r="S61" s="6"/>
    </row>
    <row r="62" spans="15:19">
      <c r="O62" s="5"/>
      <c r="S62" s="6"/>
    </row>
    <row r="63" spans="15:19">
      <c r="O63" s="5"/>
      <c r="S63" s="6"/>
    </row>
    <row r="64" spans="15:19">
      <c r="O64" s="5"/>
      <c r="S64" s="6"/>
    </row>
    <row r="65" spans="15:19">
      <c r="O65" s="5"/>
      <c r="S65" s="6"/>
    </row>
    <row r="66" spans="15:19">
      <c r="O66" s="5"/>
      <c r="S66" s="6"/>
    </row>
    <row r="67" spans="15:19">
      <c r="O67" s="5"/>
      <c r="S67" s="6"/>
    </row>
    <row r="68" spans="15:19">
      <c r="O68" s="5"/>
      <c r="S68" s="6"/>
    </row>
    <row r="69" spans="15:19">
      <c r="O69" s="5"/>
      <c r="S69" s="6"/>
    </row>
    <row r="70" spans="15:19">
      <c r="O70" s="5"/>
      <c r="S70" s="6"/>
    </row>
    <row r="71" spans="15:19">
      <c r="O71" s="5"/>
      <c r="S71" s="6"/>
    </row>
    <row r="72" spans="15:19">
      <c r="O72" s="5"/>
      <c r="S72" s="6"/>
    </row>
    <row r="73" spans="15:19">
      <c r="O73" s="5"/>
      <c r="S73" s="6"/>
    </row>
    <row r="74" spans="15:19">
      <c r="O74" s="5"/>
      <c r="S74" s="6"/>
    </row>
    <row r="75" spans="15:19">
      <c r="O75" s="5"/>
      <c r="S75" s="6"/>
    </row>
    <row r="76" spans="15:19">
      <c r="O76" s="5"/>
      <c r="S76" s="6"/>
    </row>
    <row r="77" spans="15:19">
      <c r="O77" s="5"/>
      <c r="S77" s="6"/>
    </row>
    <row r="78" spans="15:19">
      <c r="O78" s="5"/>
      <c r="S78" s="6"/>
    </row>
    <row r="79" spans="15:19">
      <c r="O79" s="5"/>
      <c r="S79" s="6"/>
    </row>
    <row r="80" spans="15:19">
      <c r="O80" s="5"/>
      <c r="S80" s="6"/>
    </row>
    <row r="81" spans="15:19">
      <c r="O81" s="5"/>
      <c r="S81" s="6"/>
    </row>
    <row r="82" spans="15:19">
      <c r="O82" s="5"/>
      <c r="S82" s="6"/>
    </row>
    <row r="83" spans="15:19">
      <c r="O83" s="5"/>
      <c r="S83" s="6"/>
    </row>
    <row r="84" spans="15:19">
      <c r="O84" s="5"/>
      <c r="S84" s="6"/>
    </row>
    <row r="85" spans="15:19">
      <c r="O85" s="5"/>
      <c r="S85" s="6"/>
    </row>
    <row r="86" spans="15:19">
      <c r="O86" s="5"/>
      <c r="S86" s="6"/>
    </row>
    <row r="87" spans="15:19">
      <c r="O87" s="5"/>
      <c r="S87" s="6"/>
    </row>
    <row r="88" spans="15:19">
      <c r="O88" s="5"/>
      <c r="S88" s="6"/>
    </row>
    <row r="89" spans="15:19">
      <c r="O89" s="5"/>
      <c r="S89" s="6"/>
    </row>
    <row r="90" spans="15:19">
      <c r="O90" s="5"/>
      <c r="S90" s="6"/>
    </row>
    <row r="91" spans="15:19">
      <c r="O91" s="5"/>
      <c r="S91" s="6"/>
    </row>
    <row r="92" spans="15:19">
      <c r="O92" s="5"/>
      <c r="S92" s="6"/>
    </row>
    <row r="93" spans="15:19">
      <c r="O93" s="5"/>
      <c r="S93" s="6"/>
    </row>
    <row r="94" spans="15:19">
      <c r="O94" s="5"/>
      <c r="S94" s="6"/>
    </row>
    <row r="95" spans="15:19">
      <c r="O95" s="5"/>
      <c r="S95" s="6"/>
    </row>
    <row r="96" spans="15:19">
      <c r="O96" s="5"/>
      <c r="S96" s="6"/>
    </row>
    <row r="97" spans="15:19">
      <c r="O97" s="5"/>
      <c r="S97" s="6"/>
    </row>
    <row r="98" spans="15:19">
      <c r="O98" s="5"/>
      <c r="S98" s="6"/>
    </row>
    <row r="99" spans="15:19">
      <c r="O99" s="5"/>
      <c r="S99" s="6"/>
    </row>
    <row r="100" spans="15:19">
      <c r="O100" s="5"/>
      <c r="S100" s="6"/>
    </row>
    <row r="101" spans="15:19">
      <c r="O101" s="5"/>
      <c r="S101" s="6"/>
    </row>
    <row r="102" spans="15:19">
      <c r="O102" s="5"/>
      <c r="S102" s="6"/>
    </row>
    <row r="103" spans="15:19">
      <c r="O103" s="5"/>
      <c r="S103" s="6"/>
    </row>
    <row r="104" spans="15:19">
      <c r="O104" s="5"/>
      <c r="S104" s="6"/>
    </row>
    <row r="105" spans="15:19">
      <c r="O105" s="5"/>
      <c r="S105" s="6"/>
    </row>
    <row r="106" spans="15:19">
      <c r="O106" s="5"/>
      <c r="S106" s="6"/>
    </row>
    <row r="107" spans="15:19">
      <c r="O107" s="5"/>
      <c r="S107" s="6"/>
    </row>
    <row r="108" spans="15:19">
      <c r="O108" s="5"/>
      <c r="S108" s="6"/>
    </row>
    <row r="109" spans="15:19">
      <c r="O109" s="5"/>
      <c r="S109" s="6"/>
    </row>
    <row r="110" spans="15:19">
      <c r="O110" s="5"/>
      <c r="S110" s="6"/>
    </row>
    <row r="111" spans="15:19">
      <c r="O111" s="5"/>
      <c r="S111" s="6"/>
    </row>
    <row r="112" spans="15:19">
      <c r="O112" s="5"/>
      <c r="S112" s="6"/>
    </row>
    <row r="113" spans="15:19">
      <c r="O113" s="5"/>
      <c r="S113" s="6"/>
    </row>
    <row r="114" spans="15:19">
      <c r="O114" s="5"/>
      <c r="S114" s="6"/>
    </row>
    <row r="115" spans="15:19">
      <c r="O115" s="5"/>
      <c r="S115" s="6"/>
    </row>
    <row r="116" spans="15:19">
      <c r="O116" s="5"/>
      <c r="S116" s="6"/>
    </row>
    <row r="117" spans="15:19">
      <c r="O117" s="5"/>
      <c r="S117" s="6"/>
    </row>
    <row r="118" spans="15:19">
      <c r="O118" s="5"/>
      <c r="S118" s="6"/>
    </row>
    <row r="119" spans="15:19">
      <c r="O119" s="5"/>
      <c r="S119" s="6"/>
    </row>
    <row r="120" spans="15:19">
      <c r="O120" s="5"/>
      <c r="S120" s="6"/>
    </row>
    <row r="121" spans="15:19">
      <c r="O121" s="5"/>
      <c r="S121" s="6"/>
    </row>
    <row r="122" spans="15:19">
      <c r="O122" s="5"/>
      <c r="S122" s="6"/>
    </row>
    <row r="123" spans="15:19">
      <c r="O123" s="5"/>
      <c r="S123" s="6"/>
    </row>
    <row r="124" spans="15:19">
      <c r="O124" s="5"/>
      <c r="S124" s="6"/>
    </row>
    <row r="125" spans="15:19">
      <c r="O125" s="5"/>
      <c r="S125" s="6"/>
    </row>
    <row r="126" spans="15:19">
      <c r="O126" s="5"/>
      <c r="S126" s="6"/>
    </row>
    <row r="127" spans="15:19">
      <c r="O127" s="5"/>
      <c r="S127" s="6"/>
    </row>
    <row r="128" spans="15:19">
      <c r="O128" s="5"/>
      <c r="S128" s="6"/>
    </row>
    <row r="129" spans="15:19">
      <c r="O129" s="5"/>
      <c r="S129" s="6"/>
    </row>
    <row r="130" spans="15:19">
      <c r="O130" s="5"/>
      <c r="S130" s="6"/>
    </row>
    <row r="131" spans="15:19">
      <c r="O131" s="5"/>
      <c r="S131" s="6"/>
    </row>
    <row r="132" spans="15:19">
      <c r="O132" s="5"/>
      <c r="S132" s="6"/>
    </row>
    <row r="133" spans="15:19">
      <c r="O133" s="5"/>
      <c r="S133" s="6"/>
    </row>
    <row r="134" spans="15:19">
      <c r="O134" s="5"/>
      <c r="S134" s="6"/>
    </row>
    <row r="135" spans="15:19">
      <c r="O135" s="5"/>
      <c r="S135" s="6"/>
    </row>
    <row r="136" spans="15:19">
      <c r="O136" s="5"/>
      <c r="S136" s="6"/>
    </row>
    <row r="137" spans="15:19">
      <c r="O137" s="5"/>
      <c r="S137" s="6"/>
    </row>
    <row r="138" spans="15:19">
      <c r="O138" s="5"/>
      <c r="S138" s="6"/>
    </row>
    <row r="139" spans="15:19">
      <c r="O139" s="5"/>
      <c r="S139" s="6"/>
    </row>
    <row r="140" spans="15:19">
      <c r="O140" s="5"/>
      <c r="S140" s="6"/>
    </row>
    <row r="141" spans="15:19">
      <c r="O141" s="5"/>
      <c r="S141" s="6"/>
    </row>
    <row r="142" spans="15:19">
      <c r="O142" s="5"/>
      <c r="S142" s="6"/>
    </row>
    <row r="143" spans="15:19">
      <c r="O143" s="5"/>
      <c r="S143" s="6"/>
    </row>
    <row r="144" spans="15:19">
      <c r="O144" s="5"/>
      <c r="S144" s="6"/>
    </row>
    <row r="145" spans="15:19">
      <c r="O145" s="5"/>
      <c r="S145" s="6"/>
    </row>
    <row r="146" spans="15:19">
      <c r="O146" s="5"/>
      <c r="S146" s="6"/>
    </row>
    <row r="147" spans="15:19">
      <c r="O147" s="5"/>
      <c r="S147" s="6"/>
    </row>
    <row r="148" spans="15:19">
      <c r="O148" s="5"/>
      <c r="S148" s="6"/>
    </row>
    <row r="149" spans="15:19">
      <c r="O149" s="5"/>
      <c r="S149" s="6"/>
    </row>
    <row r="150" spans="15:19">
      <c r="O150" s="5"/>
      <c r="S150" s="6"/>
    </row>
    <row r="151" spans="15:19">
      <c r="O151" s="5"/>
      <c r="S151" s="6"/>
    </row>
    <row r="152" spans="15:19">
      <c r="O152" s="5"/>
      <c r="S152" s="6"/>
    </row>
    <row r="153" spans="15:19">
      <c r="O153" s="5"/>
      <c r="S153" s="6"/>
    </row>
    <row r="154" spans="15:19">
      <c r="O154" s="5"/>
      <c r="S154" s="6"/>
    </row>
    <row r="155" spans="15:19">
      <c r="O155" s="5"/>
      <c r="S155" s="6"/>
    </row>
    <row r="156" spans="15:19">
      <c r="O156" s="5"/>
      <c r="S156" s="6"/>
    </row>
    <row r="157" spans="15:19">
      <c r="O157" s="5"/>
      <c r="S157" s="6"/>
    </row>
    <row r="158" spans="15:19">
      <c r="O158" s="5"/>
      <c r="S158" s="6"/>
    </row>
    <row r="159" spans="15:19">
      <c r="O159" s="5"/>
      <c r="S159" s="6"/>
    </row>
    <row r="160" spans="15:19">
      <c r="O160" s="5"/>
      <c r="S160" s="6"/>
    </row>
    <row r="161" spans="15:19">
      <c r="O161" s="5"/>
      <c r="S161" s="6"/>
    </row>
    <row r="162" spans="15:19">
      <c r="O162" s="5"/>
      <c r="S162" s="6"/>
    </row>
    <row r="163" spans="15:19">
      <c r="O163" s="5"/>
      <c r="S163" s="6"/>
    </row>
    <row r="164" spans="15:19">
      <c r="O164" s="5"/>
      <c r="S164" s="6"/>
    </row>
    <row r="165" spans="15:19">
      <c r="O165" s="5"/>
      <c r="S165" s="6"/>
    </row>
    <row r="166" spans="15:19">
      <c r="O166" s="5"/>
      <c r="S166" s="6"/>
    </row>
    <row r="167" spans="15:19">
      <c r="O167" s="5"/>
      <c r="S167" s="6"/>
    </row>
    <row r="168" spans="15:19">
      <c r="O168" s="5"/>
      <c r="S168" s="6"/>
    </row>
    <row r="169" spans="15:19">
      <c r="O169" s="5"/>
      <c r="S169" s="6"/>
    </row>
    <row r="170" spans="15:19">
      <c r="O170" s="5"/>
      <c r="S170" s="6"/>
    </row>
    <row r="171" spans="15:19">
      <c r="O171" s="5"/>
      <c r="S171" s="6"/>
    </row>
    <row r="172" spans="15:19">
      <c r="O172" s="5"/>
      <c r="S172" s="6"/>
    </row>
    <row r="173" spans="15:19">
      <c r="O173" s="5"/>
      <c r="S173" s="6"/>
    </row>
    <row r="174" spans="15:19">
      <c r="O174" s="5"/>
      <c r="S174" s="6"/>
    </row>
    <row r="175" spans="15:19">
      <c r="O175" s="5"/>
      <c r="S175" s="6"/>
    </row>
    <row r="176" spans="15:19">
      <c r="O176" s="5"/>
      <c r="S176" s="6"/>
    </row>
    <row r="177" spans="15:19">
      <c r="O177" s="5"/>
      <c r="S177" s="6"/>
    </row>
    <row r="178" spans="15:19">
      <c r="O178" s="5"/>
      <c r="S178" s="6"/>
    </row>
    <row r="179" spans="15:19">
      <c r="O179" s="5"/>
      <c r="S179" s="6"/>
    </row>
    <row r="180" spans="15:19">
      <c r="O180" s="5"/>
      <c r="S180" s="6"/>
    </row>
    <row r="181" spans="15:19">
      <c r="O181" s="5"/>
      <c r="S181" s="6"/>
    </row>
    <row r="182" spans="15:19">
      <c r="O182" s="5"/>
      <c r="S182" s="6"/>
    </row>
    <row r="183" spans="15:19">
      <c r="O183" s="5"/>
      <c r="S183" s="6"/>
    </row>
    <row r="184" spans="15:19">
      <c r="O184" s="5"/>
      <c r="S184" s="6"/>
    </row>
    <row r="185" spans="15:19">
      <c r="O185" s="5"/>
      <c r="S185" s="6"/>
    </row>
    <row r="186" spans="15:19">
      <c r="O186" s="5"/>
      <c r="S186" s="6"/>
    </row>
    <row r="187" spans="15:19">
      <c r="O187" s="5"/>
      <c r="S187" s="6"/>
    </row>
    <row r="188" spans="15:19">
      <c r="O188" s="5"/>
      <c r="S188" s="6"/>
    </row>
    <row r="189" spans="15:19">
      <c r="O189" s="5"/>
      <c r="S189" s="6"/>
    </row>
    <row r="190" spans="15:19">
      <c r="O190" s="5"/>
      <c r="S190" s="6"/>
    </row>
    <row r="191" spans="15:19">
      <c r="O191" s="5"/>
      <c r="S191" s="6"/>
    </row>
    <row r="192" spans="15:19">
      <c r="O192" s="5"/>
      <c r="S192" s="6"/>
    </row>
    <row r="193" spans="15:19">
      <c r="O193" s="5"/>
      <c r="S193" s="6"/>
    </row>
    <row r="194" spans="15:19">
      <c r="O194" s="5"/>
      <c r="S194" s="6"/>
    </row>
    <row r="195" spans="15:19">
      <c r="O195" s="5"/>
      <c r="S195" s="6"/>
    </row>
    <row r="196" spans="15:19">
      <c r="O196" s="5"/>
      <c r="S196" s="6"/>
    </row>
    <row r="197" spans="15:19">
      <c r="O197" s="5"/>
      <c r="S197" s="6"/>
    </row>
    <row r="198" spans="15:19">
      <c r="O198" s="5"/>
      <c r="S198" s="6"/>
    </row>
    <row r="199" spans="15:19">
      <c r="O199" s="5"/>
      <c r="S199" s="6"/>
    </row>
    <row r="200" spans="15:19">
      <c r="O200" s="5"/>
      <c r="S200" s="6"/>
    </row>
    <row r="201" spans="15:19">
      <c r="O201" s="5"/>
      <c r="S201" s="6"/>
    </row>
    <row r="202" spans="15:19">
      <c r="O202" s="5"/>
      <c r="S202" s="6"/>
    </row>
    <row r="203" spans="15:19">
      <c r="O203" s="5"/>
      <c r="S203" s="6"/>
    </row>
    <row r="204" spans="15:19">
      <c r="O204" s="5"/>
      <c r="S204" s="6"/>
    </row>
    <row r="205" spans="15:19">
      <c r="O205" s="5"/>
      <c r="S205" s="6"/>
    </row>
    <row r="206" spans="15:19">
      <c r="O206" s="5"/>
      <c r="S206" s="6"/>
    </row>
    <row r="207" spans="15:19">
      <c r="O207" s="5"/>
      <c r="S207" s="6"/>
    </row>
    <row r="208" spans="15:19">
      <c r="O208" s="5"/>
      <c r="S208" s="6"/>
    </row>
    <row r="209" spans="15:19">
      <c r="O209" s="5"/>
      <c r="S209" s="6"/>
    </row>
    <row r="210" spans="15:19">
      <c r="O210" s="5"/>
      <c r="S210" s="6"/>
    </row>
    <row r="211" spans="15:19">
      <c r="O211" s="5"/>
      <c r="S211" s="6"/>
    </row>
    <row r="212" spans="15:19">
      <c r="O212" s="5"/>
      <c r="S212" s="6"/>
    </row>
    <row r="213" spans="15:19">
      <c r="O213" s="5"/>
      <c r="S213" s="6"/>
    </row>
    <row r="214" spans="15:19">
      <c r="O214" s="5"/>
      <c r="S214" s="6"/>
    </row>
    <row r="215" spans="15:19">
      <c r="O215" s="5"/>
      <c r="S215" s="6"/>
    </row>
    <row r="216" spans="15:19">
      <c r="O216" s="5"/>
      <c r="S216" s="6"/>
    </row>
    <row r="217" spans="15:19">
      <c r="O217" s="5"/>
      <c r="S217" s="6"/>
    </row>
    <row r="218" spans="15:19">
      <c r="O218" s="5"/>
      <c r="S218" s="6"/>
    </row>
    <row r="219" spans="15:19">
      <c r="O219" s="5"/>
      <c r="S219" s="6"/>
    </row>
    <row r="220" spans="15:19">
      <c r="O220" s="5"/>
      <c r="S220" s="6"/>
    </row>
    <row r="221" spans="15:19">
      <c r="O221" s="5"/>
      <c r="S221" s="6"/>
    </row>
    <row r="222" spans="15:19">
      <c r="O222" s="5"/>
      <c r="S222" s="6"/>
    </row>
    <row r="223" spans="15:19">
      <c r="O223" s="5"/>
      <c r="S223" s="6"/>
    </row>
    <row r="224" spans="15:19">
      <c r="O224" s="5"/>
      <c r="S224" s="6"/>
    </row>
    <row r="225" spans="15:19">
      <c r="O225" s="5"/>
      <c r="S225" s="6"/>
    </row>
    <row r="226" spans="15:19">
      <c r="O226" s="5"/>
      <c r="S226" s="6"/>
    </row>
    <row r="227" spans="15:19">
      <c r="O227" s="5"/>
      <c r="S227" s="6"/>
    </row>
    <row r="228" spans="15:19">
      <c r="O228" s="5"/>
      <c r="S228" s="6"/>
    </row>
    <row r="229" spans="15:19">
      <c r="O229" s="5"/>
      <c r="S229" s="6"/>
    </row>
    <row r="230" spans="15:19">
      <c r="O230" s="5"/>
      <c r="S230" s="6"/>
    </row>
    <row r="231" spans="15:19">
      <c r="O231" s="5"/>
      <c r="S231" s="6"/>
    </row>
    <row r="232" spans="15:19">
      <c r="O232" s="5"/>
      <c r="S232" s="6"/>
    </row>
    <row r="233" spans="15:19">
      <c r="O233" s="5"/>
      <c r="S233" s="6"/>
    </row>
    <row r="234" spans="15:19">
      <c r="O234" s="5"/>
      <c r="S234" s="6"/>
    </row>
    <row r="235" spans="15:19">
      <c r="O235" s="5"/>
      <c r="S235" s="6"/>
    </row>
    <row r="236" spans="15:19">
      <c r="O236" s="5"/>
      <c r="S236" s="6"/>
    </row>
    <row r="237" spans="15:19">
      <c r="O237" s="5"/>
      <c r="S237" s="6"/>
    </row>
    <row r="238" spans="15:19">
      <c r="O238" s="5"/>
      <c r="S238" s="6"/>
    </row>
    <row r="239" spans="15:19">
      <c r="O239" s="5"/>
      <c r="S239" s="6"/>
    </row>
    <row r="240" spans="15:19">
      <c r="O240" s="5"/>
      <c r="S240" s="6"/>
    </row>
    <row r="241" spans="15:19">
      <c r="O241" s="5"/>
      <c r="S241" s="6"/>
    </row>
    <row r="242" spans="15:19">
      <c r="O242" s="5"/>
      <c r="S242" s="6"/>
    </row>
    <row r="243" spans="15:19">
      <c r="O243" s="5"/>
      <c r="S243" s="6"/>
    </row>
    <row r="244" spans="15:19">
      <c r="O244" s="5"/>
      <c r="S244" s="6"/>
    </row>
    <row r="245" spans="15:19">
      <c r="O245" s="5"/>
      <c r="S245" s="6"/>
    </row>
    <row r="246" spans="15:19">
      <c r="O246" s="5"/>
      <c r="S246" s="6"/>
    </row>
    <row r="247" spans="15:19">
      <c r="O247" s="5"/>
      <c r="S247" s="6"/>
    </row>
    <row r="248" spans="15:19">
      <c r="O248" s="5"/>
      <c r="S248" s="6"/>
    </row>
    <row r="249" spans="15:19">
      <c r="O249" s="5"/>
      <c r="S249" s="6"/>
    </row>
    <row r="250" spans="15:19">
      <c r="O250" s="5"/>
      <c r="S250" s="6"/>
    </row>
    <row r="251" spans="15:19">
      <c r="O251" s="5"/>
      <c r="S251" s="6"/>
    </row>
    <row r="252" spans="15:19">
      <c r="O252" s="5"/>
      <c r="S252" s="6"/>
    </row>
    <row r="253" spans="15:19">
      <c r="O253" s="5"/>
      <c r="S253" s="6"/>
    </row>
    <row r="254" spans="15:19">
      <c r="O254" s="5"/>
      <c r="S254" s="6"/>
    </row>
    <row r="255" spans="15:19">
      <c r="O255" s="5"/>
      <c r="S255" s="6"/>
    </row>
    <row r="256" spans="15:19">
      <c r="O256" s="5"/>
      <c r="S256" s="6"/>
    </row>
    <row r="257" spans="15:19">
      <c r="O257" s="5"/>
      <c r="S257" s="6"/>
    </row>
    <row r="258" spans="15:19">
      <c r="O258" s="5"/>
      <c r="S258" s="6"/>
    </row>
    <row r="259" spans="15:19">
      <c r="O259" s="5"/>
      <c r="S259" s="6"/>
    </row>
    <row r="260" spans="15:19">
      <c r="O260" s="5"/>
      <c r="S260" s="6"/>
    </row>
    <row r="261" spans="15:19">
      <c r="O261" s="5"/>
      <c r="S261" s="6"/>
    </row>
    <row r="262" spans="15:19">
      <c r="O262" s="5"/>
      <c r="S262" s="6"/>
    </row>
    <row r="263" spans="15:19">
      <c r="O263" s="5"/>
      <c r="S263" s="6"/>
    </row>
    <row r="264" spans="15:19">
      <c r="O264" s="5"/>
      <c r="S264" s="6"/>
    </row>
    <row r="265" spans="15:19">
      <c r="O265" s="5"/>
      <c r="S265" s="6"/>
    </row>
    <row r="266" spans="15:19">
      <c r="O266" s="5"/>
      <c r="S266" s="6"/>
    </row>
    <row r="267" spans="15:19">
      <c r="O267" s="5"/>
      <c r="S267" s="6"/>
    </row>
    <row r="268" spans="15:19">
      <c r="O268" s="5"/>
      <c r="S268" s="6"/>
    </row>
    <row r="269" spans="15:19">
      <c r="O269" s="5"/>
      <c r="S269" s="6"/>
    </row>
    <row r="270" spans="15:19">
      <c r="O270" s="5"/>
      <c r="S270" s="6"/>
    </row>
    <row r="271" spans="15:19">
      <c r="O271" s="5"/>
      <c r="S271" s="6"/>
    </row>
    <row r="272" spans="15:19">
      <c r="O272" s="5"/>
      <c r="S272" s="6"/>
    </row>
    <row r="273" spans="15:19">
      <c r="O273" s="5"/>
      <c r="S273" s="6"/>
    </row>
    <row r="274" spans="15:19">
      <c r="O274" s="5"/>
      <c r="S274" s="6"/>
    </row>
    <row r="275" spans="15:19">
      <c r="O275" s="5"/>
      <c r="S275" s="6"/>
    </row>
    <row r="276" spans="15:19">
      <c r="O276" s="5"/>
      <c r="S276" s="6"/>
    </row>
    <row r="277" spans="15:19">
      <c r="O277" s="5"/>
      <c r="S277" s="6"/>
    </row>
    <row r="278" spans="15:19">
      <c r="O278" s="5"/>
      <c r="S278" s="6"/>
    </row>
    <row r="279" spans="15:19">
      <c r="O279" s="5"/>
      <c r="S279" s="6"/>
    </row>
    <row r="280" spans="15:19">
      <c r="O280" s="5"/>
      <c r="S280" s="6"/>
    </row>
    <row r="281" spans="15:19">
      <c r="O281" s="5"/>
      <c r="S281" s="6"/>
    </row>
    <row r="282" spans="15:19">
      <c r="O282" s="5"/>
      <c r="S282" s="6"/>
    </row>
    <row r="283" spans="15:19">
      <c r="O283" s="5"/>
      <c r="S283" s="6"/>
    </row>
    <row r="284" spans="15:19">
      <c r="O284" s="5"/>
      <c r="S284" s="6"/>
    </row>
    <row r="285" spans="15:19">
      <c r="O285" s="5"/>
      <c r="S285" s="6"/>
    </row>
    <row r="286" spans="15:19">
      <c r="O286" s="5"/>
      <c r="S286" s="6"/>
    </row>
    <row r="287" spans="15:19">
      <c r="O287" s="5"/>
      <c r="S287" s="6"/>
    </row>
    <row r="288" spans="15:19">
      <c r="O288" s="5"/>
      <c r="S288" s="6"/>
    </row>
    <row r="289" spans="15:19">
      <c r="O289" s="5"/>
      <c r="S289" s="6"/>
    </row>
    <row r="290" spans="15:19">
      <c r="O290" s="5"/>
      <c r="S290" s="6"/>
    </row>
    <row r="291" spans="15:19">
      <c r="O291" s="5"/>
      <c r="S291" s="6"/>
    </row>
    <row r="292" spans="15:19">
      <c r="O292" s="5"/>
      <c r="S292" s="6"/>
    </row>
    <row r="293" spans="15:19">
      <c r="O293" s="5"/>
      <c r="S293" s="6"/>
    </row>
    <row r="294" spans="15:19">
      <c r="O294" s="5"/>
      <c r="S294" s="6"/>
    </row>
    <row r="295" spans="15:19">
      <c r="O295" s="5"/>
      <c r="S295" s="6"/>
    </row>
    <row r="296" spans="15:19">
      <c r="O296" s="5"/>
      <c r="S296" s="6"/>
    </row>
    <row r="297" spans="15:19">
      <c r="O297" s="5"/>
      <c r="S297" s="6"/>
    </row>
    <row r="298" spans="15:19">
      <c r="O298" s="5"/>
      <c r="S298" s="6"/>
    </row>
    <row r="299" spans="15:19">
      <c r="O299" s="5"/>
      <c r="S299" s="6"/>
    </row>
    <row r="300" spans="15:19">
      <c r="O300" s="5"/>
      <c r="S300" s="6"/>
    </row>
    <row r="301" spans="15:19">
      <c r="O301" s="5"/>
      <c r="S301" s="6"/>
    </row>
    <row r="302" spans="15:19">
      <c r="O302" s="5"/>
      <c r="S302" s="6"/>
    </row>
    <row r="303" spans="15:19">
      <c r="O303" s="5"/>
      <c r="S303" s="6"/>
    </row>
    <row r="304" spans="15:19">
      <c r="O304" s="5"/>
      <c r="S304" s="6"/>
    </row>
    <row r="305" spans="15:19">
      <c r="O305" s="5"/>
      <c r="S305" s="6"/>
    </row>
    <row r="306" spans="15:19">
      <c r="O306" s="5"/>
      <c r="S306" s="6"/>
    </row>
    <row r="307" spans="15:19">
      <c r="O307" s="5"/>
      <c r="S307" s="6"/>
    </row>
    <row r="308" spans="15:19">
      <c r="O308" s="5"/>
      <c r="S308" s="6"/>
    </row>
    <row r="309" spans="15:19">
      <c r="O309" s="5"/>
      <c r="S309" s="6"/>
    </row>
    <row r="310" spans="15:19">
      <c r="O310" s="5"/>
      <c r="S310" s="6"/>
    </row>
    <row r="311" spans="15:19">
      <c r="O311" s="5"/>
      <c r="S311" s="6"/>
    </row>
    <row r="312" spans="15:19">
      <c r="O312" s="5"/>
      <c r="S312" s="6"/>
    </row>
    <row r="313" spans="15:19">
      <c r="O313" s="5"/>
      <c r="S313" s="6"/>
    </row>
    <row r="314" spans="15:19">
      <c r="O314" s="5"/>
      <c r="S314" s="6"/>
    </row>
    <row r="315" spans="15:19">
      <c r="O315" s="5"/>
      <c r="S315" s="6"/>
    </row>
    <row r="316" spans="15:19">
      <c r="O316" s="5"/>
      <c r="S316" s="6"/>
    </row>
    <row r="317" spans="15:19">
      <c r="O317" s="5"/>
      <c r="S317" s="6"/>
    </row>
    <row r="318" spans="15:19">
      <c r="O318" s="5"/>
      <c r="S318" s="6"/>
    </row>
    <row r="319" spans="15:19">
      <c r="O319" s="5"/>
      <c r="S319" s="6"/>
    </row>
    <row r="320" spans="15:19">
      <c r="O320" s="5"/>
      <c r="S320" s="6"/>
    </row>
    <row r="321" spans="15:19">
      <c r="O321" s="5"/>
      <c r="S321" s="6"/>
    </row>
    <row r="322" spans="15:19">
      <c r="O322" s="5"/>
      <c r="S322" s="6"/>
    </row>
    <row r="323" spans="15:19">
      <c r="O323" s="5"/>
      <c r="S323" s="6"/>
    </row>
    <row r="324" spans="15:19">
      <c r="O324" s="5"/>
      <c r="S324" s="6"/>
    </row>
    <row r="325" spans="15:19">
      <c r="O325" s="5"/>
      <c r="S325" s="6"/>
    </row>
    <row r="326" spans="15:19">
      <c r="O326" s="5"/>
      <c r="S326" s="6"/>
    </row>
    <row r="327" spans="15:19">
      <c r="O327" s="5"/>
      <c r="S327" s="6"/>
    </row>
    <row r="328" spans="15:19">
      <c r="O328" s="5"/>
      <c r="S328" s="6"/>
    </row>
    <row r="329" spans="15:19">
      <c r="O329" s="5"/>
      <c r="S329" s="6"/>
    </row>
    <row r="330" spans="15:19">
      <c r="O330" s="5"/>
      <c r="S330" s="6"/>
    </row>
    <row r="331" spans="15:19">
      <c r="O331" s="5"/>
      <c r="S331" s="6"/>
    </row>
    <row r="332" spans="15:19">
      <c r="O332" s="5"/>
      <c r="S332" s="6"/>
    </row>
    <row r="333" spans="15:19">
      <c r="O333" s="5"/>
      <c r="S333" s="6"/>
    </row>
    <row r="334" spans="15:19">
      <c r="O334" s="5"/>
      <c r="S334" s="6"/>
    </row>
    <row r="335" spans="15:19">
      <c r="O335" s="5"/>
      <c r="S335" s="6"/>
    </row>
    <row r="336" spans="15:19">
      <c r="O336" s="5"/>
      <c r="S336" s="6"/>
    </row>
    <row r="337" spans="15:19">
      <c r="O337" s="5"/>
      <c r="S337" s="6"/>
    </row>
    <row r="338" spans="15:19">
      <c r="O338" s="5"/>
      <c r="S338" s="6"/>
    </row>
    <row r="339" spans="15:19">
      <c r="O339" s="5"/>
      <c r="S339" s="6"/>
    </row>
    <row r="340" spans="15:19">
      <c r="O340" s="5"/>
      <c r="S340" s="6"/>
    </row>
    <row r="341" spans="15:19">
      <c r="O341" s="5"/>
      <c r="S341" s="6"/>
    </row>
    <row r="342" spans="15:19">
      <c r="O342" s="5"/>
      <c r="S342" s="6"/>
    </row>
    <row r="343" spans="15:19">
      <c r="O343" s="5"/>
      <c r="S343" s="6"/>
    </row>
    <row r="344" spans="15:19">
      <c r="O344" s="5"/>
      <c r="S344" s="6"/>
    </row>
    <row r="345" spans="15:19">
      <c r="O345" s="5"/>
      <c r="S345" s="6"/>
    </row>
    <row r="346" spans="15:19">
      <c r="O346" s="5"/>
      <c r="S346" s="6"/>
    </row>
    <row r="347" spans="15:19">
      <c r="O347" s="5"/>
      <c r="S347" s="6"/>
    </row>
    <row r="348" spans="15:19">
      <c r="O348" s="5"/>
      <c r="S348" s="6"/>
    </row>
    <row r="349" spans="15:19">
      <c r="O349" s="5"/>
      <c r="S349" s="6"/>
    </row>
    <row r="350" spans="15:19">
      <c r="O350" s="5"/>
      <c r="S350" s="6"/>
    </row>
    <row r="351" spans="15:19">
      <c r="O351" s="5"/>
      <c r="S351" s="6"/>
    </row>
    <row r="352" spans="15:19">
      <c r="O352" s="5"/>
      <c r="S352" s="6"/>
    </row>
    <row r="353" spans="15:19">
      <c r="O353" s="5"/>
      <c r="S353" s="6"/>
    </row>
    <row r="354" spans="15:19">
      <c r="O354" s="5"/>
      <c r="S354" s="6"/>
    </row>
    <row r="355" spans="15:19">
      <c r="O355" s="5"/>
      <c r="S355" s="6"/>
    </row>
    <row r="356" spans="15:19">
      <c r="O356" s="5"/>
      <c r="S356" s="6"/>
    </row>
    <row r="357" spans="15:19">
      <c r="O357" s="5"/>
      <c r="S357" s="6"/>
    </row>
    <row r="358" spans="15:19">
      <c r="O358" s="5"/>
      <c r="S358" s="6"/>
    </row>
    <row r="359" spans="15:19">
      <c r="O359" s="5"/>
      <c r="S359" s="6"/>
    </row>
    <row r="360" spans="15:19">
      <c r="O360" s="5"/>
      <c r="S360" s="6"/>
    </row>
    <row r="361" spans="15:19">
      <c r="O361" s="5"/>
      <c r="S361" s="6"/>
    </row>
    <row r="362" spans="15:19">
      <c r="O362" s="5"/>
      <c r="S362" s="6"/>
    </row>
    <row r="363" spans="15:19">
      <c r="O363" s="5"/>
      <c r="S363" s="6"/>
    </row>
    <row r="364" spans="15:19">
      <c r="O364" s="5"/>
      <c r="S364" s="6"/>
    </row>
    <row r="365" spans="15:19">
      <c r="O365" s="5"/>
      <c r="S365" s="6"/>
    </row>
    <row r="366" spans="15:19">
      <c r="O366" s="5"/>
      <c r="S366" s="6"/>
    </row>
    <row r="367" spans="15:19">
      <c r="O367" s="5"/>
      <c r="S367" s="6"/>
    </row>
    <row r="368" spans="15:19">
      <c r="O368" s="5"/>
      <c r="S368" s="6"/>
    </row>
    <row r="369" spans="15:19">
      <c r="O369" s="5"/>
      <c r="S369" s="6"/>
    </row>
    <row r="370" spans="15:19">
      <c r="O370" s="5"/>
      <c r="S370" s="6"/>
    </row>
    <row r="371" spans="15:19">
      <c r="O371" s="5"/>
      <c r="S371" s="6"/>
    </row>
    <row r="372" spans="15:19">
      <c r="O372" s="5"/>
      <c r="S372" s="6"/>
    </row>
    <row r="373" spans="15:19">
      <c r="O373" s="5"/>
      <c r="S373" s="6"/>
    </row>
    <row r="374" spans="15:19">
      <c r="O374" s="5"/>
      <c r="S374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2:T10"/>
  <sheetViews>
    <sheetView workbookViewId="0">
      <selection activeCell="C3" sqref="C3"/>
    </sheetView>
  </sheetViews>
  <sheetFormatPr baseColWidth="10" defaultRowHeight="14.25"/>
  <cols>
    <col min="1" max="1" width="8.25" bestFit="1" customWidth="1"/>
    <col min="2" max="2" width="4" bestFit="1" customWidth="1"/>
    <col min="3" max="3" width="6.625" bestFit="1" customWidth="1"/>
    <col min="4" max="4" width="4.25" bestFit="1" customWidth="1"/>
    <col min="5" max="5" width="6.875" customWidth="1"/>
    <col min="6" max="6" width="6" bestFit="1" customWidth="1"/>
    <col min="7" max="7" width="7.25" bestFit="1" customWidth="1"/>
    <col min="8" max="8" width="13.5" bestFit="1" customWidth="1"/>
    <col min="9" max="9" width="5.625" bestFit="1" customWidth="1"/>
    <col min="10" max="10" width="4.25" bestFit="1" customWidth="1"/>
    <col min="11" max="11" width="10" bestFit="1" customWidth="1"/>
    <col min="12" max="12" width="8.5" bestFit="1" customWidth="1"/>
    <col min="13" max="13" width="9.75" bestFit="1" customWidth="1"/>
    <col min="14" max="14" width="9" bestFit="1" customWidth="1"/>
    <col min="15" max="15" width="11.375" style="9" bestFit="1" customWidth="1"/>
    <col min="16" max="16" width="6.75" bestFit="1" customWidth="1"/>
    <col min="17" max="17" width="6.5" bestFit="1" customWidth="1"/>
    <col min="18" max="18" width="13" style="4" bestFit="1" customWidth="1"/>
    <col min="19" max="19" width="22.875" bestFit="1" customWidth="1"/>
    <col min="20" max="20" width="14.5" bestFit="1" customWidth="1"/>
    <col min="21" max="21" width="10.375" customWidth="1"/>
    <col min="22" max="22" width="9.625" customWidth="1"/>
    <col min="23" max="23" width="7.75" customWidth="1"/>
    <col min="24" max="24" width="4.875" customWidth="1"/>
    <col min="25" max="25" width="8.75" customWidth="1"/>
    <col min="26" max="26" width="6.125" customWidth="1"/>
    <col min="27" max="27" width="6" customWidth="1"/>
    <col min="28" max="28" width="10.5" customWidth="1"/>
    <col min="29" max="29" width="11.375" customWidth="1"/>
    <col min="30" max="30" width="10.875" customWidth="1"/>
    <col min="31" max="31" width="20.25" customWidth="1"/>
    <col min="32" max="32" width="13.25" customWidth="1"/>
  </cols>
  <sheetData>
    <row r="2" spans="1:20">
      <c r="A2" t="s">
        <v>12</v>
      </c>
      <c r="B2" t="s">
        <v>0</v>
      </c>
      <c r="C2" t="s">
        <v>13</v>
      </c>
      <c r="D2" t="s">
        <v>1</v>
      </c>
      <c r="E2" t="s">
        <v>14</v>
      </c>
      <c r="F2" t="s">
        <v>2</v>
      </c>
      <c r="G2" t="s">
        <v>3</v>
      </c>
      <c r="H2" t="s">
        <v>4</v>
      </c>
      <c r="I2" t="s">
        <v>9</v>
      </c>
      <c r="J2" t="s">
        <v>5</v>
      </c>
      <c r="K2" t="s">
        <v>6</v>
      </c>
      <c r="L2" t="s">
        <v>8</v>
      </c>
      <c r="M2" t="s">
        <v>7</v>
      </c>
      <c r="N2" t="s">
        <v>30</v>
      </c>
      <c r="O2" s="9" t="s">
        <v>31</v>
      </c>
      <c r="P2" t="s">
        <v>32</v>
      </c>
      <c r="Q2" t="s">
        <v>33</v>
      </c>
      <c r="R2" s="4" t="s">
        <v>34</v>
      </c>
      <c r="S2" t="s">
        <v>35</v>
      </c>
      <c r="T2" t="s">
        <v>36</v>
      </c>
    </row>
    <row r="3" spans="1:20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P3" s="63"/>
      <c r="Q3" s="63"/>
      <c r="R3" s="8"/>
      <c r="S3" s="63"/>
      <c r="T3" s="63"/>
    </row>
    <row r="10" spans="1:20">
      <c r="L10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A34"/>
  <sheetViews>
    <sheetView workbookViewId="0">
      <selection activeCell="A2" sqref="A2:A34"/>
    </sheetView>
  </sheetViews>
  <sheetFormatPr baseColWidth="10" defaultRowHeight="12"/>
  <cols>
    <col min="1" max="1" width="8.875" style="3" customWidth="1"/>
    <col min="2" max="16384" width="11" style="3"/>
  </cols>
  <sheetData>
    <row r="1" spans="1:1">
      <c r="A1" s="1" t="s">
        <v>21</v>
      </c>
    </row>
    <row r="2" spans="1:1">
      <c r="A2" s="2">
        <v>41275</v>
      </c>
    </row>
    <row r="3" spans="1:1">
      <c r="A3" s="2">
        <v>41362</v>
      </c>
    </row>
    <row r="4" spans="1:1">
      <c r="A4" s="2">
        <v>41363</v>
      </c>
    </row>
    <row r="5" spans="1:1">
      <c r="A5" s="2">
        <v>41395</v>
      </c>
    </row>
    <row r="6" spans="1:1">
      <c r="A6" s="2">
        <v>41415</v>
      </c>
    </row>
    <row r="7" spans="1:1">
      <c r="A7" s="2">
        <v>41454</v>
      </c>
    </row>
    <row r="8" spans="1:1">
      <c r="A8" s="2">
        <v>41471</v>
      </c>
    </row>
    <row r="9" spans="1:1">
      <c r="A9" s="2">
        <v>41501</v>
      </c>
    </row>
    <row r="10" spans="1:1">
      <c r="A10" s="2">
        <v>41535</v>
      </c>
    </row>
    <row r="11" spans="1:1">
      <c r="A11" s="2">
        <v>41536</v>
      </c>
    </row>
    <row r="12" spans="1:1">
      <c r="A12" s="2">
        <v>41537</v>
      </c>
    </row>
    <row r="13" spans="1:1">
      <c r="A13" s="2">
        <v>41559</v>
      </c>
    </row>
    <row r="14" spans="1:1">
      <c r="A14" s="2">
        <v>41578</v>
      </c>
    </row>
    <row r="15" spans="1:1">
      <c r="A15" s="2">
        <v>41579</v>
      </c>
    </row>
    <row r="16" spans="1:1">
      <c r="A16" s="2">
        <v>41616</v>
      </c>
    </row>
    <row r="17" spans="1:1">
      <c r="A17" s="2">
        <v>41633</v>
      </c>
    </row>
    <row r="18" spans="1:1">
      <c r="A18" s="2">
        <v>41639</v>
      </c>
    </row>
    <row r="19" spans="1:1">
      <c r="A19" s="2">
        <v>41640</v>
      </c>
    </row>
    <row r="20" spans="1:1">
      <c r="A20" s="2">
        <v>41747</v>
      </c>
    </row>
    <row r="21" spans="1:1">
      <c r="A21" s="2">
        <v>41748</v>
      </c>
    </row>
    <row r="22" spans="1:1">
      <c r="A22" s="2">
        <v>41760</v>
      </c>
    </row>
    <row r="23" spans="1:1">
      <c r="A23" s="2">
        <v>41780</v>
      </c>
    </row>
    <row r="24" spans="1:1">
      <c r="A24" s="2">
        <v>41819</v>
      </c>
    </row>
    <row r="25" spans="1:1">
      <c r="A25" s="2">
        <v>41836</v>
      </c>
    </row>
    <row r="26" spans="1:1">
      <c r="A26" s="2">
        <v>41866</v>
      </c>
    </row>
    <row r="27" spans="1:1">
      <c r="A27" s="2">
        <v>41900</v>
      </c>
    </row>
    <row r="28" spans="1:1">
      <c r="A28" s="2">
        <v>41901</v>
      </c>
    </row>
    <row r="29" spans="1:1">
      <c r="A29" s="2">
        <v>41924</v>
      </c>
    </row>
    <row r="30" spans="1:1">
      <c r="A30" s="2">
        <v>41943</v>
      </c>
    </row>
    <row r="31" spans="1:1">
      <c r="A31" s="2">
        <v>41944</v>
      </c>
    </row>
    <row r="32" spans="1:1">
      <c r="A32" s="2">
        <v>41981</v>
      </c>
    </row>
    <row r="33" spans="1:1">
      <c r="A33" s="2">
        <v>41998</v>
      </c>
    </row>
    <row r="34" spans="1:1">
      <c r="A34" s="2">
        <v>42004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9848FD-0112-4086-B5B1-6926A36675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ResumenFondos</vt:lpstr>
      <vt:lpstr>SubidosIRF</vt:lpstr>
      <vt:lpstr>SubidosIIF</vt:lpstr>
      <vt:lpstr>Feriados</vt:lpstr>
      <vt:lpstr>FeriadosBCS</vt:lpstr>
    </vt:vector>
  </TitlesOfParts>
  <Company>Banco Itaú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CJAG7136</dc:creator>
  <cp:lastModifiedBy>Diego Posch Ponce</cp:lastModifiedBy>
  <cp:lastPrinted>2016-11-16T14:36:12Z</cp:lastPrinted>
  <dcterms:created xsi:type="dcterms:W3CDTF">2012-03-27T21:22:26Z</dcterms:created>
  <dcterms:modified xsi:type="dcterms:W3CDTF">2018-04-30T14:35:46Z</dcterms:modified>
</cp:coreProperties>
</file>
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Operacion\"/>
    </mc:Choice>
  </mc:AlternateContent>
  <xr:revisionPtr revIDLastSave="0" documentId="13_ncr:1_{B3DAA9BB-EE6A-460B-B849-A431A30BE2D7}" xr6:coauthVersionLast="40" xr6:coauthVersionMax="40" xr10:uidLastSave="{00000000-0000-0000-0000-000000000000}"/>
  <bookViews>
    <workbookView xWindow="-120" yWindow="-120" windowWidth="29040" windowHeight="15840" tabRatio="755" activeTab="7" xr2:uid="{E42231B1-076D-4889-A7C7-6010BF4E6DC2}"/>
  </bookViews>
  <sheets>
    <sheet name="dashboard" sheetId="1" r:id="rId1"/>
    <sheet name="iif_portfolios" sheetId="3" r:id="rId2"/>
    <sheet name="spread_portfolios" sheetId="7" r:id="rId3"/>
    <sheet name="full_portfolios" sheetId="5" r:id="rId4"/>
    <sheet name="grouped_portfolios" sheetId="9" r:id="rId5"/>
    <sheet name="full_portfolios_recursive" sheetId="13" r:id="rId6"/>
    <sheet name="leverage" sheetId="18" r:id="rId7"/>
    <sheet name="allocation" sheetId="11" r:id="rId8"/>
    <sheet name="LEBACS" sheetId="19" r:id="rId9"/>
    <sheet name="LETES" sheetId="20" r:id="rId10"/>
    <sheet name="query_iif_portfolios" sheetId="2" r:id="rId11"/>
    <sheet name="query_full_portfolios" sheetId="6" r:id="rId12"/>
    <sheet name="query_spread_portfolios" sheetId="8" r:id="rId13"/>
    <sheet name="query_grouped_portfolios" sheetId="10" r:id="rId14"/>
    <sheet name="query_full_portfolios_recursive" sheetId="12" r:id="rId15"/>
    <sheet name="query_leverage" sheetId="17" r:id="rId16"/>
  </sheets>
  <functionGroups builtInGroupCount="19"/>
  <definedNames>
    <definedName name="_xlnm._FilterDatabase" localSheetId="3" hidden="1">full_portfolios!$A$1:$M$244</definedName>
    <definedName name="_xlnm._FilterDatabase" localSheetId="5" hidden="1">full_portfolios_recursive!$A$1:$H$590</definedName>
    <definedName name="_xlnm._FilterDatabase" localSheetId="4" hidden="1">grouped_portfolios!$A$1:$E$211</definedName>
    <definedName name="_xlnm._FilterDatabase" localSheetId="1" hidden="1">iif_portfolios!$A$1:$P$105</definedName>
    <definedName name="_xlnm._FilterDatabase" localSheetId="2" hidden="1">spread_portfolios!$A$1:$N$136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11" l="1"/>
  <c r="L52" i="11" l="1"/>
  <c r="L51" i="11"/>
  <c r="P48" i="11"/>
  <c r="Q46" i="11"/>
  <c r="R39" i="11"/>
  <c r="R38" i="11"/>
  <c r="K41" i="11"/>
  <c r="K42" i="11" s="1"/>
  <c r="P47" i="11" s="1"/>
  <c r="Q47" i="11" s="1"/>
  <c r="P46" i="11"/>
  <c r="P39" i="11"/>
  <c r="P37" i="11"/>
  <c r="P35" i="11"/>
  <c r="F4" i="20" l="1"/>
  <c r="C4" i="20"/>
  <c r="F6" i="20" l="1"/>
  <c r="J6" i="20"/>
  <c r="J5" i="20" s="1"/>
  <c r="F7" i="20" l="1"/>
  <c r="G28" i="11"/>
  <c r="C3" i="19"/>
  <c r="B3" i="19" l="1"/>
  <c r="D3" i="19"/>
  <c r="G37" i="11"/>
  <c r="G40" i="11" l="1"/>
  <c r="C40" i="11" l="1"/>
  <c r="O15" i="11" l="1"/>
  <c r="D12" i="1" l="1"/>
  <c r="D13" i="1"/>
  <c r="D14" i="1"/>
  <c r="D15" i="1"/>
  <c r="D16" i="1"/>
  <c r="D17" i="1"/>
  <c r="D18" i="1"/>
  <c r="D11" i="1"/>
  <c r="N11" i="1"/>
  <c r="C2" i="19"/>
  <c r="D2" i="19" l="1"/>
  <c r="B2" i="19"/>
  <c r="D19" i="1"/>
  <c r="G35" i="11" l="1"/>
  <c r="G42" i="11" s="1"/>
  <c r="H41" i="11" s="1"/>
  <c r="C74" i="11"/>
  <c r="C78" i="11" s="1"/>
  <c r="G74" i="11"/>
  <c r="G78" i="11" s="1"/>
  <c r="C35" i="11"/>
  <c r="C42" i="11" s="1"/>
  <c r="C41" i="11" s="1"/>
  <c r="G17" i="1"/>
  <c r="G15" i="1"/>
  <c r="G13" i="1"/>
  <c r="G11" i="1"/>
  <c r="F17" i="1"/>
  <c r="F15" i="1"/>
  <c r="F13" i="1"/>
  <c r="F11" i="1"/>
  <c r="G43" i="11" l="1"/>
  <c r="G44" i="11" s="1"/>
  <c r="G46" i="11" s="1"/>
  <c r="G45" i="11"/>
  <c r="C83" i="11"/>
  <c r="C79" i="11"/>
  <c r="C80" i="11"/>
  <c r="C81" i="11" s="1"/>
  <c r="C82" i="11" s="1"/>
  <c r="G83" i="11"/>
  <c r="G80" i="11"/>
  <c r="G81" i="11" s="1"/>
  <c r="G82" i="11" s="1"/>
  <c r="G79" i="11"/>
  <c r="G19" i="1"/>
  <c r="F19" i="1"/>
  <c r="M16" i="11" l="1"/>
  <c r="P16" i="11" s="1"/>
  <c r="M15" i="11"/>
  <c r="P15" i="11" s="1"/>
  <c r="R16" i="11" l="1"/>
  <c r="S16" i="11" s="1"/>
  <c r="T16" i="11" s="1"/>
  <c r="R15" i="11"/>
  <c r="F8" i="11"/>
  <c r="F18" i="11" s="1"/>
  <c r="J8" i="11"/>
  <c r="J18" i="11" s="1"/>
  <c r="J9" i="11"/>
  <c r="J19" i="11" s="1"/>
  <c r="J10" i="11"/>
  <c r="J20" i="11" s="1"/>
  <c r="J11" i="11"/>
  <c r="J21" i="11" s="1"/>
  <c r="J7" i="11"/>
  <c r="J17" i="11" s="1"/>
  <c r="I11" i="11"/>
  <c r="I21" i="11" s="1"/>
  <c r="H11" i="11"/>
  <c r="H21" i="11" s="1"/>
  <c r="I10" i="11"/>
  <c r="I20" i="11" s="1"/>
  <c r="H10" i="11"/>
  <c r="H20" i="11" s="1"/>
  <c r="I9" i="11"/>
  <c r="I19" i="11" s="1"/>
  <c r="H9" i="11"/>
  <c r="H19" i="11" s="1"/>
  <c r="I8" i="11"/>
  <c r="I18" i="11" s="1"/>
  <c r="H8" i="11"/>
  <c r="H18" i="11" s="1"/>
  <c r="I7" i="11"/>
  <c r="I17" i="11" s="1"/>
  <c r="H7" i="11"/>
  <c r="H17" i="11" s="1"/>
  <c r="G11" i="11"/>
  <c r="G21" i="11" s="1"/>
  <c r="F11" i="11"/>
  <c r="F21" i="11" s="1"/>
  <c r="G10" i="11"/>
  <c r="G20" i="11" s="1"/>
  <c r="F10" i="11"/>
  <c r="F20" i="11" s="1"/>
  <c r="G9" i="11"/>
  <c r="G19" i="11" s="1"/>
  <c r="F9" i="11"/>
  <c r="F19" i="11" s="1"/>
  <c r="G8" i="11"/>
  <c r="G18" i="11" s="1"/>
  <c r="G7" i="11"/>
  <c r="G17" i="11" s="1"/>
  <c r="F7" i="11"/>
  <c r="F17" i="11" s="1"/>
  <c r="E8" i="11"/>
  <c r="E18" i="11" s="1"/>
  <c r="E9" i="11"/>
  <c r="E19" i="11" s="1"/>
  <c r="E10" i="11"/>
  <c r="E20" i="11" s="1"/>
  <c r="E11" i="11"/>
  <c r="E21" i="11" s="1"/>
  <c r="E7" i="11"/>
  <c r="E17" i="11" s="1"/>
  <c r="D8" i="11"/>
  <c r="D18" i="11" s="1"/>
  <c r="D9" i="11"/>
  <c r="D19" i="11" s="1"/>
  <c r="D10" i="11"/>
  <c r="D20" i="11" s="1"/>
  <c r="D11" i="11"/>
  <c r="D21" i="11" s="1"/>
  <c r="D7" i="11"/>
  <c r="D17" i="11" s="1"/>
  <c r="N17" i="1"/>
  <c r="M17" i="1"/>
  <c r="L17" i="1"/>
  <c r="K17" i="1"/>
  <c r="J17" i="1"/>
  <c r="I17" i="1"/>
  <c r="H17" i="1"/>
  <c r="N15" i="1"/>
  <c r="M15" i="1"/>
  <c r="L15" i="1"/>
  <c r="K15" i="1"/>
  <c r="J15" i="1"/>
  <c r="I15" i="1"/>
  <c r="H15" i="1"/>
  <c r="N13" i="1"/>
  <c r="M13" i="1"/>
  <c r="L13" i="1"/>
  <c r="K13" i="1"/>
  <c r="J13" i="1"/>
  <c r="I13" i="1"/>
  <c r="H13" i="1"/>
  <c r="M11" i="1"/>
  <c r="L11" i="1"/>
  <c r="K11" i="1"/>
  <c r="J11" i="1"/>
  <c r="I11" i="1"/>
  <c r="H11" i="1"/>
  <c r="E13" i="1"/>
  <c r="E15" i="1"/>
  <c r="E17" i="1"/>
  <c r="E11" i="1"/>
  <c r="S15" i="11" l="1"/>
  <c r="T15" i="11" s="1"/>
  <c r="E19" i="1"/>
  <c r="H19" i="1"/>
  <c r="I19" i="1"/>
  <c r="J19" i="1"/>
  <c r="K19" i="1"/>
  <c r="L19" i="1"/>
  <c r="M19" i="1"/>
  <c r="N19" i="1"/>
  <c r="C43" i="11" l="1"/>
  <c r="C44" i="11" s="1"/>
  <c r="C45" i="11"/>
  <c r="C46" i="11" l="1"/>
</calcChain>
</file>

<file path=xl/sharedStrings.xml><?xml version="1.0" encoding="utf-8"?>
<sst xmlns="http://schemas.openxmlformats.org/spreadsheetml/2006/main" count="6582" uniqueCount="879">
  <si>
    <t>select fecha,ltrim(rtrim(codigo_fdo))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Weight, Tasa_Compra/100 as tasa_compra, duration, Tasa/100 as tasa
from ZHIS_Carteras_Main
where fecha = 'autodate' and codigo_fdo in ('MACRO 1.5', 'MACRO CLP3', 'RENTA', 'IMT E-PLUS')
order by codigo_fdo, monto desc</t>
  </si>
  <si>
    <t>select fecha, 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DATEDIFF(day,CONVERT(date, SYSDATETIME()),Fec_Vcto) as dias, Weight, Tasa_Compra/100 as tasa_compra, Tasa/12/100 as tasa, duration, Tasa/100 as tasa_anual
from ZHIS_Carteras_Main
where fecha = 'autodate' and codigo_fdo in ('MACRO 1.5', 'MACRO CLP3', 'RENTA', 'IMT E-PLUS') and Tipo_Instrumento = 'deposito'
order by codigo_fdo, fec_vcto asc</t>
  </si>
  <si>
    <t xml:space="preserve">
select zhis_carteras_main.fecha, ltrim(rtrim(codigo_fdo)) as codigo_fdo, ltrim(rtrim(codigo_emi)) as codigo_emi, ltrim(rtrim(ZHIS_Carteras_main.codigo_ins)) as codigo_ins,zhis_carteras_main.moneda, cast(nominal as float) as nominal, cast(monto as float) as monto, cast(monto/1000000 as int) as monto_MM, Weight, Tasa_Compra/100 as tasa_compra, zhis_carteras_main.duration, tasa/100 as tasa, spread, spread_carry
from ZHIS_Carteras_Main
where zhis_carteras_main.fecha = 'autodate' and  codigo_fdo in ('MACRO 1.5', 'MACRO CLP3', 'RENTA', 'IMT E-PLUS') and Tipo_Instrumento = 'bono corporativo'
order by codigo_fdo, spread, spread_carry</t>
  </si>
  <si>
    <t>fecha</t>
  </si>
  <si>
    <t>codigo_fdo</t>
  </si>
  <si>
    <t>codigo_emi</t>
  </si>
  <si>
    <t>codigo_ins</t>
  </si>
  <si>
    <t>nominal</t>
  </si>
  <si>
    <t>nominal_mm</t>
  </si>
  <si>
    <t>monto</t>
  </si>
  <si>
    <t>monto_MM</t>
  </si>
  <si>
    <t>fec_vcto</t>
  </si>
  <si>
    <t>dias</t>
  </si>
  <si>
    <t>Weight</t>
  </si>
  <si>
    <t>tasa_compra</t>
  </si>
  <si>
    <t>tasa</t>
  </si>
  <si>
    <t>duration</t>
  </si>
  <si>
    <t>tasa_anual</t>
  </si>
  <si>
    <t>IMT E-PLUS</t>
  </si>
  <si>
    <t>INTERNACIO</t>
  </si>
  <si>
    <t>PAGARE NR</t>
  </si>
  <si>
    <t>SCOTIABANK</t>
  </si>
  <si>
    <t>MACRO 1.5</t>
  </si>
  <si>
    <t>BCI</t>
  </si>
  <si>
    <t>BBVA</t>
  </si>
  <si>
    <t>BICE</t>
  </si>
  <si>
    <t>RIPLEY</t>
  </si>
  <si>
    <t>FALABELLA</t>
  </si>
  <si>
    <t>MACRO CLP3</t>
  </si>
  <si>
    <t>SECURITY</t>
  </si>
  <si>
    <t>RENTA</t>
  </si>
  <si>
    <t>ESTADO</t>
  </si>
  <si>
    <t>SPREADCORP</t>
  </si>
  <si>
    <t>CFI7275IM</t>
  </si>
  <si>
    <t xml:space="preserve">          </t>
  </si>
  <si>
    <t>BTU</t>
  </si>
  <si>
    <t>BTU0150326</t>
  </si>
  <si>
    <t>2026-03-01</t>
  </si>
  <si>
    <t>BTP</t>
  </si>
  <si>
    <t>BTP0500335</t>
  </si>
  <si>
    <t>2035-03-01</t>
  </si>
  <si>
    <t>BTU0200335</t>
  </si>
  <si>
    <t>BTU0300144</t>
  </si>
  <si>
    <t>BTP0450321</t>
  </si>
  <si>
    <t>2021-03-01</t>
  </si>
  <si>
    <t>BTP0450326</t>
  </si>
  <si>
    <t>BBCREDITO</t>
  </si>
  <si>
    <t>CG VIDA</t>
  </si>
  <si>
    <t>BCGVI-B</t>
  </si>
  <si>
    <t>2031-03-15</t>
  </si>
  <si>
    <t>BBSECURITY</t>
  </si>
  <si>
    <t>BBRIPLEY</t>
  </si>
  <si>
    <t>BRPL-A0414</t>
  </si>
  <si>
    <t>2019-04-01</t>
  </si>
  <si>
    <t>BBCORPBANC</t>
  </si>
  <si>
    <t>UCOR-V0808</t>
  </si>
  <si>
    <t>SOUTHWATER</t>
  </si>
  <si>
    <t>BSWTR-E</t>
  </si>
  <si>
    <t>2034-09-08</t>
  </si>
  <si>
    <t>FALAB.SACI</t>
  </si>
  <si>
    <t>BFALA-Q</t>
  </si>
  <si>
    <t>2021-11-25</t>
  </si>
  <si>
    <t>BBINTERNAC</t>
  </si>
  <si>
    <t>UINT-D0111</t>
  </si>
  <si>
    <t>AUTOVESNOR</t>
  </si>
  <si>
    <t>BAVNO-A1</t>
  </si>
  <si>
    <t>2028-12-15</t>
  </si>
  <si>
    <t>BANMEDICA</t>
  </si>
  <si>
    <t>BBANM-Q</t>
  </si>
  <si>
    <t>2023-12-01</t>
  </si>
  <si>
    <t>RIPLEYCORP</t>
  </si>
  <si>
    <t>BRPLC-D</t>
  </si>
  <si>
    <t>2021-10-15</t>
  </si>
  <si>
    <t>BTP0600143</t>
  </si>
  <si>
    <t>BRPLC-F</t>
  </si>
  <si>
    <t>LEAS FORUM</t>
  </si>
  <si>
    <t>BFORU-BA</t>
  </si>
  <si>
    <t>BINT-G0617</t>
  </si>
  <si>
    <t>2022-06-01</t>
  </si>
  <si>
    <t>2020-04-01</t>
  </si>
  <si>
    <t>SOQUIMICH</t>
  </si>
  <si>
    <t>CAP</t>
  </si>
  <si>
    <t>BCAPS-G</t>
  </si>
  <si>
    <t>2021-07-01</t>
  </si>
  <si>
    <t>LTM</t>
  </si>
  <si>
    <t>BLATM-A</t>
  </si>
  <si>
    <t>LOS ANDES</t>
  </si>
  <si>
    <t>CENCOSUD</t>
  </si>
  <si>
    <t>SM SAAM</t>
  </si>
  <si>
    <t>BCAJ-O0816</t>
  </si>
  <si>
    <t>2020-02-01</t>
  </si>
  <si>
    <t>BTU0150321</t>
  </si>
  <si>
    <t>BCAJ-U0517</t>
  </si>
  <si>
    <t>2024-05-05</t>
  </si>
  <si>
    <t>QUINENCO</t>
  </si>
  <si>
    <t>BQUIN-C</t>
  </si>
  <si>
    <t>CONSOR FIN</t>
  </si>
  <si>
    <t>BCFSA-B</t>
  </si>
  <si>
    <t>BFORU-BF</t>
  </si>
  <si>
    <t>2022-03-01</t>
  </si>
  <si>
    <t>FACTORLINE</t>
  </si>
  <si>
    <t>BFLIN-I</t>
  </si>
  <si>
    <t>2021-04-01</t>
  </si>
  <si>
    <t>BBANM-D</t>
  </si>
  <si>
    <t>2029-05-02</t>
  </si>
  <si>
    <t>BBCONSORC</t>
  </si>
  <si>
    <t>UCNO-A1011</t>
  </si>
  <si>
    <t>BBSANT-CHI</t>
  </si>
  <si>
    <t>2021-01-01</t>
  </si>
  <si>
    <t>2020-07-01</t>
  </si>
  <si>
    <t>BBFALABELL</t>
  </si>
  <si>
    <t>BBBVA</t>
  </si>
  <si>
    <t>DEUDA CORP</t>
  </si>
  <si>
    <t>CFI9251IM</t>
  </si>
  <si>
    <t>BCP0600322</t>
  </si>
  <si>
    <t>2020-01-01</t>
  </si>
  <si>
    <t>SANT-CHILE</t>
  </si>
  <si>
    <t>SANT0920</t>
  </si>
  <si>
    <t>2020-09-22</t>
  </si>
  <si>
    <t>BOSTONSEC</t>
  </si>
  <si>
    <t>BBOTS-P1A</t>
  </si>
  <si>
    <t>2022-11-25</t>
  </si>
  <si>
    <t>BVL</t>
  </si>
  <si>
    <t>BVL2CX0625</t>
  </si>
  <si>
    <t>2025-06-05</t>
  </si>
  <si>
    <t>BVL2CW0629</t>
  </si>
  <si>
    <t>2029-06-05</t>
  </si>
  <si>
    <t>BVL2CW0928</t>
  </si>
  <si>
    <t>2028-09-05</t>
  </si>
  <si>
    <t>BVL2BV0925</t>
  </si>
  <si>
    <t>2025-09-05</t>
  </si>
  <si>
    <t>CERO</t>
  </si>
  <si>
    <t>CERO010320</t>
  </si>
  <si>
    <t>2020-03-01</t>
  </si>
  <si>
    <t>BCENC-N</t>
  </si>
  <si>
    <t>2030-05-28</t>
  </si>
  <si>
    <t>BCFSA-C</t>
  </si>
  <si>
    <t>2022-05-15</t>
  </si>
  <si>
    <t>ENAEX</t>
  </si>
  <si>
    <t>BENAE-A</t>
  </si>
  <si>
    <t>2025-09-01</t>
  </si>
  <si>
    <t>BRPL-K0315</t>
  </si>
  <si>
    <t>AGROSUPER</t>
  </si>
  <si>
    <t>BAGRS-D</t>
  </si>
  <si>
    <t>2032-09-01</t>
  </si>
  <si>
    <t>AUTONORTE</t>
  </si>
  <si>
    <t>BANOR-B2</t>
  </si>
  <si>
    <t>2024-12-30</t>
  </si>
  <si>
    <t>ARAUCO</t>
  </si>
  <si>
    <t>BARAU-S</t>
  </si>
  <si>
    <t>2026-11-15</t>
  </si>
  <si>
    <t>BFORU-AT</t>
  </si>
  <si>
    <t>2019-06-25</t>
  </si>
  <si>
    <t>BFORU-AX</t>
  </si>
  <si>
    <t>BBANM-I</t>
  </si>
  <si>
    <t>2020-04-10</t>
  </si>
  <si>
    <t>BCAPS-H</t>
  </si>
  <si>
    <t>2021-09-01</t>
  </si>
  <si>
    <t>SECURITSEC</t>
  </si>
  <si>
    <t>BSECS-12A3</t>
  </si>
  <si>
    <t>2026-04-01</t>
  </si>
  <si>
    <t>BBCHILE</t>
  </si>
  <si>
    <t>UCHID10402</t>
  </si>
  <si>
    <t>TANNER SF</t>
  </si>
  <si>
    <t>BTANN-S</t>
  </si>
  <si>
    <t>2019-12-15</t>
  </si>
  <si>
    <t>TELEFONOS</t>
  </si>
  <si>
    <t>BCTCH-Q</t>
  </si>
  <si>
    <t>2019-03-14</t>
  </si>
  <si>
    <t>BBOTS-P2D</t>
  </si>
  <si>
    <t>2024-01-25</t>
  </si>
  <si>
    <t>BBOTS-P3F</t>
  </si>
  <si>
    <t>2024-11-25</t>
  </si>
  <si>
    <t>SAESA</t>
  </si>
  <si>
    <t>DESARROLLO</t>
  </si>
  <si>
    <t>DES4020707</t>
  </si>
  <si>
    <t>2027-07-01</t>
  </si>
  <si>
    <t>EST4170105</t>
  </si>
  <si>
    <t>2025-01-01</t>
  </si>
  <si>
    <t>EST2070108</t>
  </si>
  <si>
    <t>2038-01-01</t>
  </si>
  <si>
    <t>DES45F0105</t>
  </si>
  <si>
    <t>2030-01-01</t>
  </si>
  <si>
    <t>DES4820106</t>
  </si>
  <si>
    <t>2026-01-01</t>
  </si>
  <si>
    <t>BOSTON</t>
  </si>
  <si>
    <t>BOT45B0106</t>
  </si>
  <si>
    <t>FAL62V0102</t>
  </si>
  <si>
    <t>2022-01-01</t>
  </si>
  <si>
    <t>METRO</t>
  </si>
  <si>
    <t>BMETR-K</t>
  </si>
  <si>
    <t>2032-09-15</t>
  </si>
  <si>
    <t>FAL48Q0106</t>
  </si>
  <si>
    <t>EST2070107</t>
  </si>
  <si>
    <t>2037-01-01</t>
  </si>
  <si>
    <t>FAL48Q0605</t>
  </si>
  <si>
    <t>2020-06-01</t>
  </si>
  <si>
    <t>ABNE200101</t>
  </si>
  <si>
    <t>RPLG0E0105</t>
  </si>
  <si>
    <t>CHILE</t>
  </si>
  <si>
    <t>CHI0210103</t>
  </si>
  <si>
    <t>2023-01-01</t>
  </si>
  <si>
    <t>ABNA200101</t>
  </si>
  <si>
    <t>DES4820107</t>
  </si>
  <si>
    <t>2027-01-01</t>
  </si>
  <si>
    <t>Total</t>
  </si>
  <si>
    <t>select Codigo_Fdo, Nombre_Emisor, sum(Weight) as Weight, sum(monto) as mkt_val, max(codigo_ins) as rep_ins
from ZHIS_Carteras_Recursive
where fecha = 'autodate' and codigo_fdo in ('MACRO 1.5', 'MACRO CLP3', 'RENTA', 'IMT E-PLUS')
GROUP BY Codigo_Fdo, Nombre_Emisor
Order by sum(Weight) desc</t>
  </si>
  <si>
    <t>CFIRENTAS</t>
  </si>
  <si>
    <t>BINDE-A</t>
  </si>
  <si>
    <t>2021-07-15</t>
  </si>
  <si>
    <t>EMB ANDINA</t>
  </si>
  <si>
    <t>BANDI-C</t>
  </si>
  <si>
    <t>2020-08-16</t>
  </si>
  <si>
    <t>BBESTADO</t>
  </si>
  <si>
    <t>TECNOCONTR</t>
  </si>
  <si>
    <t>BCOSJ-A</t>
  </si>
  <si>
    <t>2021-06-30</t>
  </si>
  <si>
    <t>BSTDSE0614</t>
  </si>
  <si>
    <t>2019-06-01</t>
  </si>
  <si>
    <t>BBITAU</t>
  </si>
  <si>
    <t>2023-10-01</t>
  </si>
  <si>
    <t>BBBVJ51113</t>
  </si>
  <si>
    <t>2019-05-01</t>
  </si>
  <si>
    <t>BCAJ-J1215</t>
  </si>
  <si>
    <t>BSTDP20115</t>
  </si>
  <si>
    <t>PLAZA S.A.</t>
  </si>
  <si>
    <t>BPLZA-M</t>
  </si>
  <si>
    <t>2020-08-15</t>
  </si>
  <si>
    <t>ENLASA</t>
  </si>
  <si>
    <t>BENGE-B</t>
  </si>
  <si>
    <t>2023-11-15</t>
  </si>
  <si>
    <t>BSECB30614</t>
  </si>
  <si>
    <t>BCNO-H0414</t>
  </si>
  <si>
    <t>BFORU-AZ</t>
  </si>
  <si>
    <t>2020-08-01</t>
  </si>
  <si>
    <t>BFORU-BH</t>
  </si>
  <si>
    <t>2022-07-01</t>
  </si>
  <si>
    <t>BSAES-I</t>
  </si>
  <si>
    <t>2019-09-20</t>
  </si>
  <si>
    <t>CONCHATORO</t>
  </si>
  <si>
    <t>BSECB40615</t>
  </si>
  <si>
    <t>moneda</t>
  </si>
  <si>
    <t>spread</t>
  </si>
  <si>
    <t>spread_carry</t>
  </si>
  <si>
    <t xml:space="preserve">$         </t>
  </si>
  <si>
    <t xml:space="preserve">UF        </t>
  </si>
  <si>
    <t>Codigo_Fdo</t>
  </si>
  <si>
    <t>Nombre_Emisor</t>
  </si>
  <si>
    <t>mkt_val</t>
  </si>
  <si>
    <t>rep_ins</t>
  </si>
  <si>
    <t xml:space="preserve">MACRO 1.5 </t>
  </si>
  <si>
    <t xml:space="preserve">RENTA     </t>
  </si>
  <si>
    <t>Banco Central de Chile</t>
  </si>
  <si>
    <t>Banco Ripley</t>
  </si>
  <si>
    <t xml:space="preserve">PAGARE NR </t>
  </si>
  <si>
    <t>Banco Security</t>
  </si>
  <si>
    <t>USECJ31013</t>
  </si>
  <si>
    <t xml:space="preserve">BCI       </t>
  </si>
  <si>
    <t>Cencosud S.A.</t>
  </si>
  <si>
    <t>UBCIS21205</t>
  </si>
  <si>
    <t>Itau/Corpbanca</t>
  </si>
  <si>
    <t>Banco BBVA</t>
  </si>
  <si>
    <t>Banco Internacional</t>
  </si>
  <si>
    <t>Caja Los Andes</t>
  </si>
  <si>
    <t>BCAJ-V0917</t>
  </si>
  <si>
    <t>Forum Servicios Financieros S.A.</t>
  </si>
  <si>
    <t>Ripley Chile S.A.</t>
  </si>
  <si>
    <t xml:space="preserve">BRPLY-E   </t>
  </si>
  <si>
    <t>Banco Falabella</t>
  </si>
  <si>
    <t>Banco Santander</t>
  </si>
  <si>
    <t>Banco Consorcio</t>
  </si>
  <si>
    <t xml:space="preserve">SANT0920  </t>
  </si>
  <si>
    <t>Corpgroup Vida Chile</t>
  </si>
  <si>
    <t xml:space="preserve">BCGVI-B   </t>
  </si>
  <si>
    <t>Banmedica</t>
  </si>
  <si>
    <t xml:space="preserve">BBANM-Q   </t>
  </si>
  <si>
    <t>Inversiones Southwater Ltda</t>
  </si>
  <si>
    <t>LATAM</t>
  </si>
  <si>
    <t>SQM S.A.</t>
  </si>
  <si>
    <t>Soc. Conc. Vespucio Norte Express S.A.</t>
  </si>
  <si>
    <t xml:space="preserve">BAVNO-A1  </t>
  </si>
  <si>
    <t xml:space="preserve">FALABELLA SACI </t>
  </si>
  <si>
    <t xml:space="preserve">BFALA-Q   </t>
  </si>
  <si>
    <t xml:space="preserve">CAP       </t>
  </si>
  <si>
    <t xml:space="preserve">BCAPS-H   </t>
  </si>
  <si>
    <t>Agrosuper</t>
  </si>
  <si>
    <t>Celulosa Arauco y Constitución</t>
  </si>
  <si>
    <t>Consorcio Financiera</t>
  </si>
  <si>
    <t>Banco de Chile</t>
  </si>
  <si>
    <t xml:space="preserve">BENAE-A   </t>
  </si>
  <si>
    <t>Sociedad Matriz SAAM S.A.</t>
  </si>
  <si>
    <t>Banco Estado</t>
  </si>
  <si>
    <t>UBBVH90607</t>
  </si>
  <si>
    <t>Soc. Conc. Costanera Norte S.A.</t>
  </si>
  <si>
    <t xml:space="preserve">BANOR-B2  </t>
  </si>
  <si>
    <t>Quiñenco S.A.</t>
  </si>
  <si>
    <t>Tanner</t>
  </si>
  <si>
    <t>Factoring Security S.A.</t>
  </si>
  <si>
    <t>Scotiabank</t>
  </si>
  <si>
    <t>SMU S.A.</t>
  </si>
  <si>
    <t>Ministerio VYU</t>
  </si>
  <si>
    <t>Transelec S.A.</t>
  </si>
  <si>
    <t>Empresas Copec S.A.</t>
  </si>
  <si>
    <t xml:space="preserve">BECOP-H   </t>
  </si>
  <si>
    <t>Factorline S.A.</t>
  </si>
  <si>
    <t xml:space="preserve">BFLIN-I   </t>
  </si>
  <si>
    <t>EF Securitizadora S.A.</t>
  </si>
  <si>
    <t xml:space="preserve">BBOTS-P1A </t>
  </si>
  <si>
    <t>Fondo de Inversion Independencia Rentas Inmobiliarias</t>
  </si>
  <si>
    <t xml:space="preserve">BINDE-A   </t>
  </si>
  <si>
    <t>Masisa</t>
  </si>
  <si>
    <t>Sigdo Koppers S.A.</t>
  </si>
  <si>
    <t xml:space="preserve">BSKSA-E   </t>
  </si>
  <si>
    <t>Sociedad de Rentas Comerciales S.A.</t>
  </si>
  <si>
    <t xml:space="preserve">BRENT-C   </t>
  </si>
  <si>
    <t>Universidad de Concepción</t>
  </si>
  <si>
    <t>LATAIR0920</t>
  </si>
  <si>
    <t>Inversiones Security Securitizadora</t>
  </si>
  <si>
    <t>Caja Los Héroes</t>
  </si>
  <si>
    <t>BHER-M0117</t>
  </si>
  <si>
    <t>San José Tecnocontrol</t>
  </si>
  <si>
    <t xml:space="preserve">BCOSJ-A   </t>
  </si>
  <si>
    <t>Empresas Navieras S.A.</t>
  </si>
  <si>
    <t xml:space="preserve">BNAVI-A   </t>
  </si>
  <si>
    <t>Watts</t>
  </si>
  <si>
    <t xml:space="preserve">BWATT-L   </t>
  </si>
  <si>
    <t>Empresas Carozzi S.A.</t>
  </si>
  <si>
    <t>Ruta del Maipo Soc. Conc.</t>
  </si>
  <si>
    <t>Salfa Corp.</t>
  </si>
  <si>
    <t>Plaza S.A.</t>
  </si>
  <si>
    <t xml:space="preserve">BPLZA-M   </t>
  </si>
  <si>
    <t>CTC S.A.</t>
  </si>
  <si>
    <t xml:space="preserve">BCTCH-Q   </t>
  </si>
  <si>
    <t>GeoPark</t>
  </si>
  <si>
    <t>GEOPAR0924</t>
  </si>
  <si>
    <t>Soc. Conc. Autopista Central S.A.</t>
  </si>
  <si>
    <t xml:space="preserve">BACEN-A1  </t>
  </si>
  <si>
    <t>GNL Quintero S.A.</t>
  </si>
  <si>
    <t>GNLQCI0729</t>
  </si>
  <si>
    <t>Gasco</t>
  </si>
  <si>
    <t xml:space="preserve">BBOTS-P3F </t>
  </si>
  <si>
    <t>Banchile Securitizadora</t>
  </si>
  <si>
    <t>BCHIS-P18A</t>
  </si>
  <si>
    <t>Red Salud</t>
  </si>
  <si>
    <t xml:space="preserve">BREDS-E   </t>
  </si>
  <si>
    <t>Santander Consumer Finance</t>
  </si>
  <si>
    <t>Distribuidora de Electrividad del Sur</t>
  </si>
  <si>
    <t xml:space="preserve">BIELC-D   </t>
  </si>
  <si>
    <t>Soc. Concesionaria Melipilla S.A.</t>
  </si>
  <si>
    <t xml:space="preserve">BMELI-A   </t>
  </si>
  <si>
    <t>ENLASA S.A.</t>
  </si>
  <si>
    <t xml:space="preserve">BENGE-B   </t>
  </si>
  <si>
    <t>VTR</t>
  </si>
  <si>
    <t>LBTYA 0124</t>
  </si>
  <si>
    <t>Contempora</t>
  </si>
  <si>
    <t xml:space="preserve">CFIAMERIS </t>
  </si>
  <si>
    <t>SAESA S.A.</t>
  </si>
  <si>
    <t>Embotelladora Andina S.A.</t>
  </si>
  <si>
    <t xml:space="preserve">BANDI-C   </t>
  </si>
  <si>
    <t>Cía. General de Electricidad S.A.</t>
  </si>
  <si>
    <t xml:space="preserve">BCGEI-I   </t>
  </si>
  <si>
    <t>Concha y Toro</t>
  </si>
  <si>
    <t xml:space="preserve">BCTOR-K   </t>
  </si>
  <si>
    <t>LAS CONDES</t>
  </si>
  <si>
    <t>Aguas Andina S.A.</t>
  </si>
  <si>
    <t xml:space="preserve">BAGUA-R   </t>
  </si>
  <si>
    <t>Emp. de Transporte de Pasajeros Metro S.A.</t>
  </si>
  <si>
    <t>Santa Rita S.A.</t>
  </si>
  <si>
    <t xml:space="preserve">BRITA-F   </t>
  </si>
  <si>
    <t>Banco Edwards Citi</t>
  </si>
  <si>
    <t>UEDWA60899</t>
  </si>
  <si>
    <t>Parque Arauco S.A.</t>
  </si>
  <si>
    <t>Soc. Nac. Oleoductos</t>
  </si>
  <si>
    <t xml:space="preserve">BSONA-C   </t>
  </si>
  <si>
    <t xml:space="preserve">MOLYMET   </t>
  </si>
  <si>
    <t xml:space="preserve">BMOLY-C   </t>
  </si>
  <si>
    <t>Gobierno de Chile</t>
  </si>
  <si>
    <t xml:space="preserve">BMASI-L   </t>
  </si>
  <si>
    <t>Bono Corporativo</t>
  </si>
  <si>
    <t>Bono de Gobierno</t>
  </si>
  <si>
    <t>Deposito</t>
  </si>
  <si>
    <t>UDECONCE</t>
  </si>
  <si>
    <t>BTANN-Z</t>
  </si>
  <si>
    <t>BSECZ10715</t>
  </si>
  <si>
    <t>Otros</t>
  </si>
  <si>
    <t>$</t>
  </si>
  <si>
    <t>UF</t>
  </si>
  <si>
    <t>select fecha,ltrim(rtrim(codigo_fdo)) as codigo_fdo, ltrim(rtrim(codigo_emi)) as codigo_emi, ltrim(rtrim(ZHIS_Carteras_recursive.codigo_ins)) as codigo_ins, ltrim(rtrim(moneda)) as moneda, ltrim(rtrim(tipo_instrumento)) as tipo_instrumento, duration, Weight as weight
from ZHIS_Carteras_Recursive
where fecha = 'autodate' and codigo_fdo in ('MACRO 1.5', 'MACRO CLP3', 'RENTA', 'IMT E-PLUS')
order by codigo_fdo, monto desc</t>
  </si>
  <si>
    <t>CASH</t>
  </si>
  <si>
    <t>FUND</t>
  </si>
  <si>
    <t>Weights</t>
  </si>
  <si>
    <t>Trade</t>
  </si>
  <si>
    <t xml:space="preserve">BFSEC-E   </t>
  </si>
  <si>
    <t xml:space="preserve">BARAU-S   </t>
  </si>
  <si>
    <t>Lebacs</t>
  </si>
  <si>
    <t>Price</t>
  </si>
  <si>
    <t>Nominal</t>
  </si>
  <si>
    <t>Cash ARS</t>
  </si>
  <si>
    <t>Mkt Val</t>
  </si>
  <si>
    <t>Check</t>
  </si>
  <si>
    <t>Tasa</t>
  </si>
  <si>
    <t>Δ price</t>
  </si>
  <si>
    <t>Δ cash</t>
  </si>
  <si>
    <t>Lebac</t>
  </si>
  <si>
    <t>Monto USD</t>
  </si>
  <si>
    <t>FX USDARS</t>
  </si>
  <si>
    <t>Vencimiento</t>
  </si>
  <si>
    <t xml:space="preserve">HITES     </t>
  </si>
  <si>
    <t xml:space="preserve">BHITS-C   </t>
  </si>
  <si>
    <t>BTP0450221</t>
  </si>
  <si>
    <t>BSAAM-B</t>
  </si>
  <si>
    <t xml:space="preserve">BMETR-K   </t>
  </si>
  <si>
    <t>2021-12-15</t>
  </si>
  <si>
    <t>2021-07-05</t>
  </si>
  <si>
    <t>Trade Size</t>
  </si>
  <si>
    <t>AUM</t>
  </si>
  <si>
    <t>Leverage</t>
  </si>
  <si>
    <t>Equity</t>
  </si>
  <si>
    <t>Vol</t>
  </si>
  <si>
    <t>Allocation</t>
  </si>
  <si>
    <t xml:space="preserve">
    SELECT 'autodate' as Fecha,
         ltrim(rtrim(pc.codigo_fdo)) as codigo_fdo,
               CASE 
                 WHEN LEFT(pc.codigo_cta, 1) = 1 THEN 
                 pc.[debe_01] + pc.[debe_02] + pc.[debe_03] 
               + pc.[debe_04] + pc.[debe_05] + pc.[debe_06] 
               + pc.[debe_07] + pc.[debe_08] + pc.[debe_09] 
               + pc.[debe_10] + pc.[debe_11] + pc.[debe_12] - pc.[haber_01] - 
                 pc.[haber_02] 
                                                      - pc.[haber_03] - 
                 pc.[haber_04] - 
                 pc.[haber_05] - pc.[haber_06] - pc.[haber_07] - pc.[haber_08] - 
                 pc.[haber_09] 
               - pc.[haber_10] - pc.[haber_11] - pc.[haber_12] 
                 ELSE pc.[haber_01] + pc.[haber_02] + pc.[haber_03] 
                      + pc.[haber_04] + pc.[haber_05] + pc.[haber_06] 
                      + pc.[haber_07] + pc.[haber_08] + pc.[haber_09] 
                      + pc.[haber_10] + pc.[haber_11] + pc.[haber_12] - 
                      pc.[debe_01] - 
                      pc.[debe_02] 
                             - pc.[debe_03] - pc.[debe_04] - pc.[debe_05] - 
                      pc.[debe_06] - 
                             pc.[debe_07] - pc.[debe_08] - pc.[debe_09] - 
                      pc.[debe_10] 
                      - 
                      pc.[debe_11] - pc.[debe_12] 
               END AS balance 
        FROM   [BCS11384].[BDPFM2].dbo.fm_plan_cuentas pc, 
               fondosir f 
        WHERE  periodo = LEFT('autodate', 4) 
               AND f.codigo_fdo = pc.codigo_fdo COLLATE database_default 
               AND f.codigo_fdo IN ('MACRO CLP3', 'MACRO 1.5', 'IMT E-PLUS', 'RENTA')
               AND F.info_invest = 1 
               AND pc.codigo_cta IN (  '201010100','201010060')</t>
  </si>
  <si>
    <t>CONSORCIO</t>
  </si>
  <si>
    <t>Vivo Corp</t>
  </si>
  <si>
    <t xml:space="preserve">BVIVO-C   </t>
  </si>
  <si>
    <t>VIVOCORP</t>
  </si>
  <si>
    <t>BVIVO-C</t>
  </si>
  <si>
    <t>BITAAI0415</t>
  </si>
  <si>
    <t>Id</t>
  </si>
  <si>
    <t>Nombre</t>
  </si>
  <si>
    <t>MATURITY</t>
  </si>
  <si>
    <t>Status</t>
  </si>
  <si>
    <t>mes numero</t>
  </si>
  <si>
    <t>mes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</si>
  <si>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</si>
  <si>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</si>
  <si>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</si>
  <si>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</si>
  <si>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</si>
  <si>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</si>
  <si>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</si>
  <si>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</si>
  <si>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</si>
  <si>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</si>
  <si>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</si>
  <si>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</si>
  <si>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BVIVO-B</t>
  </si>
  <si>
    <t>2023-01-05</t>
  </si>
  <si>
    <t>BUDC-B</t>
  </si>
  <si>
    <t>2025-12-10</t>
  </si>
  <si>
    <t xml:space="preserve">BUDC-B    </t>
  </si>
  <si>
    <t>2044-01-01</t>
  </si>
  <si>
    <t>2033-08-01</t>
  </si>
  <si>
    <t>2032-01-15</t>
  </si>
  <si>
    <t>2037-10-15</t>
  </si>
  <si>
    <t>2032-12-01</t>
  </si>
  <si>
    <t>2034-04-01</t>
  </si>
  <si>
    <t>UCORBF0710</t>
  </si>
  <si>
    <t>2032-07-01</t>
  </si>
  <si>
    <t>2031-10-15</t>
  </si>
  <si>
    <t>MBONO</t>
  </si>
  <si>
    <t>MBONO 0529</t>
  </si>
  <si>
    <t>2029-05-31</t>
  </si>
  <si>
    <t>MBONO05/31</t>
  </si>
  <si>
    <t>2031-05-29</t>
  </si>
  <si>
    <t>MBONO 1142</t>
  </si>
  <si>
    <t>2042-11-13</t>
  </si>
  <si>
    <t>BFAL-E0615</t>
  </si>
  <si>
    <t>2040-06-30</t>
  </si>
  <si>
    <t xml:space="preserve">BQUIN-C   </t>
  </si>
  <si>
    <t>Gobierno de Mexico</t>
  </si>
  <si>
    <t>SANTANDER</t>
  </si>
  <si>
    <t>2039-01-05</t>
  </si>
  <si>
    <t>Colbún S.A.</t>
  </si>
  <si>
    <t xml:space="preserve">BCOLB-F   </t>
  </si>
  <si>
    <t>Caja La Araucana</t>
  </si>
  <si>
    <t xml:space="preserve">BCCAR-B   </t>
  </si>
  <si>
    <t>tipo_instrumento</t>
  </si>
  <si>
    <t>weight</t>
  </si>
  <si>
    <t>RENTAS</t>
  </si>
  <si>
    <t>BRENT-C</t>
  </si>
  <si>
    <t>BUDC-A</t>
  </si>
  <si>
    <t>RIPLEY S.A</t>
  </si>
  <si>
    <t>BRPLY-E</t>
  </si>
  <si>
    <t>WATTS</t>
  </si>
  <si>
    <t>BWATT-L</t>
  </si>
  <si>
    <t>NAVIERA</t>
  </si>
  <si>
    <t>BNAVI-A</t>
  </si>
  <si>
    <t>NTRANSELEC</t>
  </si>
  <si>
    <t>BNTRA-D</t>
  </si>
  <si>
    <t>GEOPARK</t>
  </si>
  <si>
    <t>MASISA</t>
  </si>
  <si>
    <t>BMASI-L</t>
  </si>
  <si>
    <t>AUTOMAIPO</t>
  </si>
  <si>
    <t>SMU</t>
  </si>
  <si>
    <t>BCSMU-K</t>
  </si>
  <si>
    <t>SALFACORP</t>
  </si>
  <si>
    <t>HITES</t>
  </si>
  <si>
    <t>BHITS-C</t>
  </si>
  <si>
    <t>BCSMU-G</t>
  </si>
  <si>
    <t>MX</t>
  </si>
  <si>
    <t>SK</t>
  </si>
  <si>
    <t>BSKSA-E</t>
  </si>
  <si>
    <t>LOS HEROES</t>
  </si>
  <si>
    <t>BTANN-U</t>
  </si>
  <si>
    <t>BLATM-B</t>
  </si>
  <si>
    <t>Factura</t>
  </si>
  <si>
    <t>EM.CAROZZI</t>
  </si>
  <si>
    <t>BEMCA-P</t>
  </si>
  <si>
    <t>GASCO</t>
  </si>
  <si>
    <t>BGASC-D</t>
  </si>
  <si>
    <t>BANCHILSEC</t>
  </si>
  <si>
    <t>RED SALUD</t>
  </si>
  <si>
    <t>BREDS-E</t>
  </si>
  <si>
    <t>BCSMU-P</t>
  </si>
  <si>
    <t>USECJ20312</t>
  </si>
  <si>
    <t>FIP AMERIS</t>
  </si>
  <si>
    <t>CFIAMERIS</t>
  </si>
  <si>
    <t>Cuota de Fondo</t>
  </si>
  <si>
    <t>BEMCA-J</t>
  </si>
  <si>
    <t>UINT-C0310</t>
  </si>
  <si>
    <t>MELIPILLA</t>
  </si>
  <si>
    <t>BMELI-A</t>
  </si>
  <si>
    <t>BBICE</t>
  </si>
  <si>
    <t>BCAJ-Q0117</t>
  </si>
  <si>
    <t>BSOQU-O</t>
  </si>
  <si>
    <t>FACSECU</t>
  </si>
  <si>
    <t>BFSEC-E</t>
  </si>
  <si>
    <t>VTR FIN</t>
  </si>
  <si>
    <t>BBANM-J</t>
  </si>
  <si>
    <t>BINT-H0617</t>
  </si>
  <si>
    <t>ELECTRICID</t>
  </si>
  <si>
    <t>BCGEI-I</t>
  </si>
  <si>
    <t>UCNO-G0414</t>
  </si>
  <si>
    <t>USECE10506</t>
  </si>
  <si>
    <t>BSKSA-C</t>
  </si>
  <si>
    <t>LATAM AIR</t>
  </si>
  <si>
    <t>BCENC-F</t>
  </si>
  <si>
    <t>BLCON-B</t>
  </si>
  <si>
    <t>BGASC-F2</t>
  </si>
  <si>
    <t>ARAUCANA</t>
  </si>
  <si>
    <t>BCCA-E0115</t>
  </si>
  <si>
    <t>SCCH</t>
  </si>
  <si>
    <t>SANTA RITA</t>
  </si>
  <si>
    <t>BRITA-F</t>
  </si>
  <si>
    <t>BCTOR-K</t>
  </si>
  <si>
    <t>BCCAR-B</t>
  </si>
  <si>
    <t>BEMCA-N</t>
  </si>
  <si>
    <t>BHER-G0914</t>
  </si>
  <si>
    <t>MOLYMET</t>
  </si>
  <si>
    <t>BMOLY-C</t>
  </si>
  <si>
    <t>BMASI-E</t>
  </si>
  <si>
    <t>BSECZ20816</t>
  </si>
  <si>
    <t>BFORU-BJ</t>
  </si>
  <si>
    <t>JUMBO</t>
  </si>
  <si>
    <t>BJUMB-B2</t>
  </si>
  <si>
    <t>BBBVJ71215</t>
  </si>
  <si>
    <t>AUTOCENTRA</t>
  </si>
  <si>
    <t>BACEN-A1</t>
  </si>
  <si>
    <t>COPEC</t>
  </si>
  <si>
    <t>BECOP-H</t>
  </si>
  <si>
    <t>GNLQUINTER</t>
  </si>
  <si>
    <t>BPLZA-C</t>
  </si>
  <si>
    <t>COLBUN</t>
  </si>
  <si>
    <t>BCOLB-F</t>
  </si>
  <si>
    <t>ELECDELSUR</t>
  </si>
  <si>
    <t>BIELC-D</t>
  </si>
  <si>
    <t>UCHIC20100</t>
  </si>
  <si>
    <t>BCORBX0914</t>
  </si>
  <si>
    <t>UBCIF10599</t>
  </si>
  <si>
    <t>BECOP-G</t>
  </si>
  <si>
    <t>BFALA-O</t>
  </si>
  <si>
    <t>BSTDR40915</t>
  </si>
  <si>
    <t>BITAAF0614</t>
  </si>
  <si>
    <t>BFAL-A0510</t>
  </si>
  <si>
    <t>BITA-K0911</t>
  </si>
  <si>
    <t>Letra Hipotecaria</t>
  </si>
  <si>
    <t>BSECK70915</t>
  </si>
  <si>
    <t>BCNO-O1114</t>
  </si>
  <si>
    <t>BBIC480510</t>
  </si>
  <si>
    <t>BSTDP40315</t>
  </si>
  <si>
    <t>AGUAS</t>
  </si>
  <si>
    <t>BAGUA-R</t>
  </si>
  <si>
    <t>BBEDWARDS</t>
  </si>
  <si>
    <t>P.ARAUCO</t>
  </si>
  <si>
    <t>BPARC-L</t>
  </si>
  <si>
    <t>BFAL-F0615</t>
  </si>
  <si>
    <t>SONACOL</t>
  </si>
  <si>
    <t>BSONA-C</t>
  </si>
  <si>
    <t>Fecha</t>
  </si>
  <si>
    <t>balance</t>
  </si>
  <si>
    <t>BREDS-C</t>
  </si>
  <si>
    <t>LICITA</t>
  </si>
  <si>
    <t>Nominales</t>
  </si>
  <si>
    <t>Banco</t>
  </si>
  <si>
    <t>Santander</t>
  </si>
  <si>
    <t>Galicia</t>
  </si>
  <si>
    <t>Lebac 18-Abr</t>
  </si>
  <si>
    <t>Caja</t>
  </si>
  <si>
    <t>Δ cash usd</t>
  </si>
  <si>
    <t>FX</t>
  </si>
  <si>
    <t>Nominales justo</t>
  </si>
  <si>
    <t>Residual esperado</t>
  </si>
  <si>
    <t>Nominales esperados</t>
  </si>
  <si>
    <t>Calcular para que cuando se vaya a la tasa esperada, sobren 500-400k ars.</t>
  </si>
  <si>
    <t>BFORU-BD</t>
  </si>
  <si>
    <t>2019-03-11</t>
  </si>
  <si>
    <t>2023-03-15</t>
  </si>
  <si>
    <t>2019-04-08</t>
  </si>
  <si>
    <t xml:space="preserve">BICE      </t>
  </si>
  <si>
    <t>2043-01-01</t>
  </si>
  <si>
    <t>ESSBIO</t>
  </si>
  <si>
    <t>BESSB-D</t>
  </si>
  <si>
    <t>2029-11-15</t>
  </si>
  <si>
    <t>Empresa de Servicios Sanitarios del Bio-Bio</t>
  </si>
  <si>
    <t xml:space="preserve">BESSB-D   </t>
  </si>
  <si>
    <t xml:space="preserve">BCSMU-T   </t>
  </si>
  <si>
    <t>BCSMU-T</t>
  </si>
  <si>
    <t>2019-05-07</t>
  </si>
  <si>
    <t>BSOQU-P</t>
  </si>
  <si>
    <t>2028-01-15</t>
  </si>
  <si>
    <t>BEMCA-R</t>
  </si>
  <si>
    <t>2025-03-15</t>
  </si>
  <si>
    <t xml:space="preserve">BEMCA-R   </t>
  </si>
  <si>
    <t>BLCON-E</t>
  </si>
  <si>
    <t xml:space="preserve">BLCON-E   </t>
  </si>
  <si>
    <t>CORPBANCA</t>
  </si>
  <si>
    <t>2019-05-10</t>
  </si>
  <si>
    <t>2019-05-14</t>
  </si>
  <si>
    <t>2019-05-06</t>
  </si>
  <si>
    <t>BTU0130323</t>
  </si>
  <si>
    <t>2023-03-01</t>
  </si>
  <si>
    <t>BPARC-P</t>
  </si>
  <si>
    <t>BTANN-AC</t>
  </si>
  <si>
    <t>2022-04-05</t>
  </si>
  <si>
    <t>2021-11-10</t>
  </si>
  <si>
    <t>2022-10-15</t>
  </si>
  <si>
    <t>BCAJAH0418</t>
  </si>
  <si>
    <t xml:space="preserve">BPARC-P   </t>
  </si>
  <si>
    <t>AES Gener S.A.</t>
  </si>
  <si>
    <t>AESGEN0529</t>
  </si>
  <si>
    <t>Credicorp Capital</t>
  </si>
  <si>
    <t>BSALF-P</t>
  </si>
  <si>
    <t>AESGENER</t>
  </si>
  <si>
    <t>FNLUMINA</t>
  </si>
  <si>
    <t>BSOQU-H</t>
  </si>
  <si>
    <t>2019-03-29</t>
  </si>
  <si>
    <t>2019-04-09</t>
  </si>
  <si>
    <t>2019-04-11</t>
  </si>
  <si>
    <t>2019-04-24</t>
  </si>
  <si>
    <t>2019-04-02</t>
  </si>
  <si>
    <t>ACC ESTRAT</t>
  </si>
  <si>
    <t>CFM8397IM</t>
  </si>
  <si>
    <t>2030-01-05</t>
  </si>
  <si>
    <t xml:space="preserve">CFM8397IM </t>
  </si>
  <si>
    <t>Sun Dreams</t>
  </si>
  <si>
    <t xml:space="preserve">BDRMS-D   </t>
  </si>
  <si>
    <t>Pampa Calichera</t>
  </si>
  <si>
    <t xml:space="preserve">BCALI-A   </t>
  </si>
  <si>
    <t>DREAMS</t>
  </si>
  <si>
    <t>BDRMS-D</t>
  </si>
  <si>
    <t>BAMAI-C</t>
  </si>
  <si>
    <t>CALICHERA</t>
  </si>
  <si>
    <t>BCALI-A</t>
  </si>
  <si>
    <t>BCAJAE0418</t>
  </si>
  <si>
    <t>BSALF-G</t>
  </si>
  <si>
    <t>Lebac 15-Ago</t>
  </si>
  <si>
    <t>GALICIA</t>
  </si>
  <si>
    <t>COOPEUCH</t>
  </si>
  <si>
    <t>BTG</t>
  </si>
  <si>
    <t>BSTDU40117</t>
  </si>
  <si>
    <t>2022-01-10</t>
  </si>
  <si>
    <t>BCAJAJ0818</t>
  </si>
  <si>
    <t>2025-08-20</t>
  </si>
  <si>
    <t xml:space="preserve">BSWTR-E   </t>
  </si>
  <si>
    <t xml:space="preserve">BNTRA-D   </t>
  </si>
  <si>
    <t>SAMS</t>
  </si>
  <si>
    <t>INSAMS0419</t>
  </si>
  <si>
    <t>trade1</t>
  </si>
  <si>
    <t>trade2</t>
  </si>
  <si>
    <t>trade3</t>
  </si>
  <si>
    <t>Cantidad [USD]</t>
  </si>
  <si>
    <t>Promedio USDARS</t>
  </si>
  <si>
    <t>AQ4524544 Corp</t>
  </si>
  <si>
    <t>AQ7820840 Corp</t>
  </si>
  <si>
    <t>Lebac 19-Sep</t>
  </si>
  <si>
    <t>LETES</t>
  </si>
  <si>
    <t>LETE</t>
  </si>
  <si>
    <t>LETE 30/11/2018</t>
  </si>
  <si>
    <t>PRECIO</t>
  </si>
  <si>
    <t>TNA MINISTERIO DE FINANZAS</t>
  </si>
  <si>
    <t>LIQUIDACIÓN</t>
  </si>
  <si>
    <t>PRECIO CADA 1.000</t>
  </si>
  <si>
    <t>TNA 365/105</t>
  </si>
  <si>
    <t>TNA 360/103</t>
  </si>
  <si>
    <t>VENCIMIENTO</t>
  </si>
  <si>
    <t>MONTO FINAL</t>
  </si>
  <si>
    <t>TASA</t>
  </si>
  <si>
    <t>Settlement Date</t>
  </si>
  <si>
    <t>Price Lete [100 nom]</t>
  </si>
  <si>
    <t>2019-03-13</t>
  </si>
  <si>
    <t>2019-03-15</t>
  </si>
  <si>
    <t>2019-03-19</t>
  </si>
  <si>
    <t>2019-03-28</t>
  </si>
  <si>
    <t>2019-04-12</t>
  </si>
  <si>
    <t>2019-05-20</t>
  </si>
  <si>
    <t>2019-06-04</t>
  </si>
  <si>
    <t>2019-09-24</t>
  </si>
  <si>
    <t>2019-11-08</t>
  </si>
  <si>
    <t>2019-06-03</t>
  </si>
  <si>
    <t>ITAUCORP</t>
  </si>
  <si>
    <t>2019-06-14</t>
  </si>
  <si>
    <t>2019-06-21</t>
  </si>
  <si>
    <t>2019-07-05</t>
  </si>
  <si>
    <t>2019-07-12</t>
  </si>
  <si>
    <t>2019-08-07</t>
  </si>
  <si>
    <t>2019-08-19</t>
  </si>
  <si>
    <t>2019-09-02</t>
  </si>
  <si>
    <t>2019-09-11</t>
  </si>
  <si>
    <t>2019-10-15</t>
  </si>
  <si>
    <t>2019-10-22</t>
  </si>
  <si>
    <t>2019-10-28</t>
  </si>
  <si>
    <t>2019-11-07</t>
  </si>
  <si>
    <t>2019-11-14</t>
  </si>
  <si>
    <t>2019-11-15</t>
  </si>
  <si>
    <t>2019-11-21</t>
  </si>
  <si>
    <t>2019-11-28</t>
  </si>
  <si>
    <t>2020-01-07</t>
  </si>
  <si>
    <t>2020-01-13</t>
  </si>
  <si>
    <t>2019-03-12</t>
  </si>
  <si>
    <t>2019-03-26</t>
  </si>
  <si>
    <t>2019-04-03</t>
  </si>
  <si>
    <t>2019-06-26</t>
  </si>
  <si>
    <t>2019-08-12</t>
  </si>
  <si>
    <t>2019-08-20</t>
  </si>
  <si>
    <t>2019-08-27</t>
  </si>
  <si>
    <t>2019-10-21</t>
  </si>
  <si>
    <t>2019-11-22</t>
  </si>
  <si>
    <t>2019-11-26</t>
  </si>
  <si>
    <t>2019-11-27</t>
  </si>
  <si>
    <t>2019-05-16</t>
  </si>
  <si>
    <t>2019-05-22</t>
  </si>
  <si>
    <t>2019-07-09</t>
  </si>
  <si>
    <t>2019-07-10</t>
  </si>
  <si>
    <t>2019-08-30</t>
  </si>
  <si>
    <t>2019-11-05</t>
  </si>
  <si>
    <t>2019-11-25</t>
  </si>
  <si>
    <t>2019-12-24</t>
  </si>
  <si>
    <t>2020-01-17</t>
  </si>
  <si>
    <t>2029-06-30</t>
  </si>
  <si>
    <t>CREDICORP</t>
  </si>
  <si>
    <t>CCLACDC</t>
  </si>
  <si>
    <t>BCORAI0710</t>
  </si>
  <si>
    <t>BSOQU-Q</t>
  </si>
  <si>
    <t>2038-06-01</t>
  </si>
  <si>
    <t>spy</t>
  </si>
  <si>
    <t>SPY</t>
  </si>
  <si>
    <t>BCFSA-F</t>
  </si>
  <si>
    <t>2028-05-25</t>
  </si>
  <si>
    <t>BTP0400323</t>
  </si>
  <si>
    <t>BHER-Q0818</t>
  </si>
  <si>
    <t>2024-08-20</t>
  </si>
  <si>
    <t>BFORU-BN</t>
  </si>
  <si>
    <t>2023-10-10</t>
  </si>
  <si>
    <t>2029-08-11</t>
  </si>
  <si>
    <t>2030-04-23</t>
  </si>
  <si>
    <t>BBSCOTIABA</t>
  </si>
  <si>
    <t>BBNS-U0414</t>
  </si>
  <si>
    <t>BTANN-AD</t>
  </si>
  <si>
    <t>2023-08-15</t>
  </si>
  <si>
    <t>2030-05-02</t>
  </si>
  <si>
    <t>BBBVM41113</t>
  </si>
  <si>
    <t>2020-05-01</t>
  </si>
  <si>
    <t>2024-10-15</t>
  </si>
  <si>
    <t>BCAJ-L1215</t>
  </si>
  <si>
    <t>2020-12-01</t>
  </si>
  <si>
    <t>EISA</t>
  </si>
  <si>
    <t>BEISA-A</t>
  </si>
  <si>
    <t>2025-11-01</t>
  </si>
  <si>
    <t>INGEVEC</t>
  </si>
  <si>
    <t>BINGE-B</t>
  </si>
  <si>
    <t>2025-09-10</t>
  </si>
  <si>
    <t>2022-06-30</t>
  </si>
  <si>
    <t>BCTOR-J</t>
  </si>
  <si>
    <t>2020-09-01</t>
  </si>
  <si>
    <t>BESTQ40616</t>
  </si>
  <si>
    <t>2021-06-01</t>
  </si>
  <si>
    <t xml:space="preserve">BCFSA-F   </t>
  </si>
  <si>
    <t xml:space="preserve">BFORU-BN  </t>
  </si>
  <si>
    <t xml:space="preserve">BSOQU-Q   </t>
  </si>
  <si>
    <t>CENSUD0727</t>
  </si>
  <si>
    <t xml:space="preserve">LTMCI0326 </t>
  </si>
  <si>
    <t xml:space="preserve">BAGRS-L   </t>
  </si>
  <si>
    <t>State Street Global Advisors</t>
  </si>
  <si>
    <t xml:space="preserve">SPY       </t>
  </si>
  <si>
    <t>Eisa Constructora</t>
  </si>
  <si>
    <t xml:space="preserve">BEISA-A   </t>
  </si>
  <si>
    <t>INGEVEC S.A.</t>
  </si>
  <si>
    <t xml:space="preserve">BINGE-B   </t>
  </si>
  <si>
    <t xml:space="preserve">BSAAM-B   </t>
  </si>
  <si>
    <t xml:space="preserve">BSALF-S   </t>
  </si>
  <si>
    <t>BSECS-14A2</t>
  </si>
  <si>
    <t xml:space="preserve">ENTEL     </t>
  </si>
  <si>
    <t xml:space="preserve">ENTEL0826 </t>
  </si>
  <si>
    <t xml:space="preserve">BSAES-J   </t>
  </si>
  <si>
    <t xml:space="preserve">BESALCO   </t>
  </si>
  <si>
    <t xml:space="preserve">BBESA-B   </t>
  </si>
  <si>
    <t xml:space="preserve">BAMAI-E   </t>
  </si>
  <si>
    <t xml:space="preserve">CRISTALES </t>
  </si>
  <si>
    <t xml:space="preserve">BCRIS-F   </t>
  </si>
  <si>
    <t xml:space="preserve">BGASC-F2  </t>
  </si>
  <si>
    <t>Servicios Agroindustriales Subsole</t>
  </si>
  <si>
    <t xml:space="preserve">EUROCAP   </t>
  </si>
  <si>
    <t xml:space="preserve">BEURO-I   </t>
  </si>
  <si>
    <t>Movistar</t>
  </si>
  <si>
    <t xml:space="preserve">BTMOV-I   </t>
  </si>
  <si>
    <t>WEG</t>
  </si>
  <si>
    <t xml:space="preserve">CFIWEG-1  </t>
  </si>
  <si>
    <t xml:space="preserve">BPLZA-C   </t>
  </si>
  <si>
    <t>Enersis Chile S.A.</t>
  </si>
  <si>
    <t xml:space="preserve">BENER-B2  </t>
  </si>
  <si>
    <t xml:space="preserve">BMETR-H   </t>
  </si>
  <si>
    <t>US$</t>
  </si>
  <si>
    <t>ETF</t>
  </si>
  <si>
    <t>BESALCO</t>
  </si>
  <si>
    <t>BBESA-B</t>
  </si>
  <si>
    <t>BSALF-S</t>
  </si>
  <si>
    <t>LATAMFIN</t>
  </si>
  <si>
    <t>LTMCI0326</t>
  </si>
  <si>
    <t>EUROCAP</t>
  </si>
  <si>
    <t>BEURO-I</t>
  </si>
  <si>
    <t>BAGRS-L</t>
  </si>
  <si>
    <t>FIP WEG-1</t>
  </si>
  <si>
    <t>CFIWEG-1</t>
  </si>
  <si>
    <t>BAMAI-E</t>
  </si>
  <si>
    <t>BCNO-U0915</t>
  </si>
  <si>
    <t>FNSBLE</t>
  </si>
  <si>
    <t>BMETR-H</t>
  </si>
  <si>
    <t>BRPLC-H</t>
  </si>
  <si>
    <t>ENTEL</t>
  </si>
  <si>
    <t>ENTEL0826</t>
  </si>
  <si>
    <t>BINT-J0318</t>
  </si>
  <si>
    <t>CONATEL</t>
  </si>
  <si>
    <t>BTSUR-K</t>
  </si>
  <si>
    <t>BSAES-J</t>
  </si>
  <si>
    <t>BSTDR10915</t>
  </si>
  <si>
    <t>BCNOAP0318</t>
  </si>
  <si>
    <t>BCHIAK0613</t>
  </si>
  <si>
    <t>CRISTALES</t>
  </si>
  <si>
    <t>BCRIS-F</t>
  </si>
  <si>
    <t>BBNS-L0511</t>
  </si>
  <si>
    <t>BCOOB20609</t>
  </si>
  <si>
    <t>MOVISTAR</t>
  </si>
  <si>
    <t>BTMOV-I</t>
  </si>
  <si>
    <t>BBNS-Y0814</t>
  </si>
  <si>
    <t>ENERSIS</t>
  </si>
  <si>
    <t>BENER-B2</t>
  </si>
  <si>
    <t>BCOOD20514</t>
  </si>
  <si>
    <t>nominales</t>
  </si>
  <si>
    <t>lecap 29/03</t>
  </si>
  <si>
    <t>ventas</t>
  </si>
  <si>
    <t>custodia</t>
  </si>
  <si>
    <t>px</t>
  </si>
  <si>
    <t>ARS VP</t>
  </si>
  <si>
    <t>USD VP</t>
  </si>
  <si>
    <t>PAT</t>
  </si>
  <si>
    <t>Cuotas rescate</t>
  </si>
  <si>
    <t>serie</t>
  </si>
  <si>
    <t>U</t>
  </si>
  <si>
    <t>monto aprox</t>
  </si>
  <si>
    <t>VC</t>
  </si>
  <si>
    <t>Lecap marzo</t>
  </si>
  <si>
    <t>VP ARS</t>
  </si>
  <si>
    <t>VP USD</t>
  </si>
  <si>
    <t>spot</t>
  </si>
  <si>
    <t>BCRA</t>
  </si>
  <si>
    <t>trading</t>
  </si>
  <si>
    <t>2019-03-10</t>
  </si>
  <si>
    <t>2019-10-17</t>
  </si>
  <si>
    <t>BSTDU91118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</si>
</sst>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 * #,##0_ ;_ * \-#,##0_ ;_ * &quot;-&quot;_ ;_ @_ "/>
    <numFmt numFmtId="43" formatCode="_ * #,##0.00_ ;_ * \-#,##0.00_ ;_ * &quot;-&quot;??_ ;_ @_ 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&quot;€&quot;#,##0"/>
    <numFmt numFmtId="167" formatCode="0.0%"/>
    <numFmt numFmtId="168" formatCode="&quot;$&quot;\ #,##0"/>
    <numFmt numFmtId="169" formatCode="_-&quot;$&quot;\ * #,##0_-;\-&quot;$&quot;\ * #,##0_-;_-&quot;$&quot;\ * &quot;-&quot;??_-;_-@_-"/>
    <numFmt numFmtId="171" formatCode="0.000%"/>
    <numFmt numFmtId="172" formatCode="0.000000"/>
    <numFmt numFmtId="173" formatCode="0.000"/>
    <numFmt numFmtId="174" formatCode="_-* #,##0.000000_-;\-* #,##0.000000_-;_-* &quot;-&quot;??_-;_-@_-"/>
    <numFmt numFmtId="175" formatCode="_-* #,##0_-;\-* #,##0_-;_-* &quot;-&quot;??_-;_-@_-"/>
    <numFmt numFmtId="176" formatCode="_-* #,##0.0000000_-;\-* #,##0.0000000_-;_-* &quot;-&quot;??_-;_-@_-"/>
    <numFmt numFmtId="177" formatCode="_-* #,##0.0_-;\-* #,##0.0_-;_-* &quot;-&quot;??_-;_-@_-"/>
    <numFmt numFmtId="178" formatCode="_-* #,##0.00\ _€_-;\-* #,##0.00\ _€_-;_-* &quot;-&quot;??\ _€_-;_-@_-"/>
    <numFmt numFmtId="179" formatCode="0.00000000"/>
    <numFmt numFmtId="180" formatCode="0.0000%"/>
    <numFmt numFmtId="181" formatCode="_ * #,##0.0000_ ;_ * \-#,##0.0000_ ;_ * &quot;-&quot;_ ;_ @_ "/>
  </numFmts>
  <fonts count="13">
    <font>
      <sz val="11"/>
      <color theme="1"/>
      <name val="Arial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Consolas"/>
      <family val="3"/>
    </font>
    <font>
      <sz val="11"/>
      <color theme="0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Formata Regular"/>
    </font>
    <font>
      <sz val="10"/>
      <name val="Formata Regular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5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9"/>
      </right>
      <top/>
      <bottom style="thin">
        <color indexed="64"/>
      </bottom>
      <diagonal/>
    </border>
    <border>
      <left style="thin">
        <color theme="9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5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9" borderId="0" applyNumberFormat="0" applyBorder="0" applyAlignment="0" applyProtection="0"/>
    <xf numFmtId="165" fontId="2" fillId="0" borderId="0" applyFont="0" applyFill="0" applyBorder="0" applyAlignment="0" applyProtection="0"/>
    <xf numFmtId="178" fontId="9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1" fillId="0" borderId="0"/>
    <xf numFmtId="165" fontId="11" fillId="0" borderId="0" applyFont="0" applyFill="0" applyBorder="0" applyAlignment="0" applyProtection="0"/>
    <xf numFmtId="0" fontId="12" fillId="0" borderId="0"/>
    <xf numFmtId="9" fontId="11" fillId="0" borderId="0" applyFont="0" applyFill="0" applyBorder="0" applyAlignment="0" applyProtection="0"/>
    <xf numFmtId="0" fontId="11" fillId="0" borderId="0"/>
    <xf numFmtId="165" fontId="11" fillId="0" borderId="0" applyFont="0" applyFill="0" applyBorder="0" applyAlignment="0" applyProtection="0"/>
    <xf numFmtId="0" fontId="12" fillId="0" borderId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" fillId="0" borderId="0"/>
    <xf numFmtId="165" fontId="10" fillId="0" borderId="0" applyFont="0" applyFill="0" applyBorder="0" applyAlignment="0" applyProtection="0"/>
    <xf numFmtId="178" fontId="2" fillId="0" borderId="0" applyFont="0" applyFill="0" applyBorder="0" applyAlignment="0" applyProtection="0"/>
    <xf numFmtId="0" fontId="10" fillId="0" borderId="0"/>
    <xf numFmtId="178" fontId="9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</cellStyleXfs>
  <cellXfs count="271">
    <xf numFmtId="0" fontId="0" fillId="0" borderId="0" xfId="0"/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6" fontId="0" fillId="0" borderId="0" xfId="1" applyNumberFormat="1" applyFon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167" fontId="3" fillId="2" borderId="2" xfId="2" applyNumberFormat="1" applyFont="1" applyFill="1" applyBorder="1" applyAlignment="1">
      <alignment horizontal="center" vertical="center"/>
    </xf>
    <xf numFmtId="167" fontId="0" fillId="3" borderId="2" xfId="2" applyNumberFormat="1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167" fontId="0" fillId="0" borderId="0" xfId="2" applyNumberFormat="1" applyFont="1" applyAlignment="1">
      <alignment horizontal="center" vertical="center"/>
    </xf>
    <xf numFmtId="10" fontId="3" fillId="2" borderId="2" xfId="2" applyNumberFormat="1" applyFont="1" applyFill="1" applyBorder="1" applyAlignment="1">
      <alignment horizontal="center" vertical="center"/>
    </xf>
    <xf numFmtId="10" fontId="0" fillId="3" borderId="2" xfId="2" applyNumberFormat="1" applyFont="1" applyFill="1" applyBorder="1" applyAlignment="1">
      <alignment horizontal="center" vertical="center"/>
    </xf>
    <xf numFmtId="10" fontId="0" fillId="0" borderId="2" xfId="2" applyNumberFormat="1" applyFont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4" borderId="0" xfId="0" applyFill="1"/>
    <xf numFmtId="2" fontId="0" fillId="0" borderId="0" xfId="2" applyNumberFormat="1" applyFont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0" fontId="0" fillId="5" borderId="8" xfId="2" applyNumberFormat="1" applyFont="1" applyFill="1" applyBorder="1" applyAlignment="1">
      <alignment horizontal="center" vertical="center"/>
    </xf>
    <xf numFmtId="10" fontId="0" fillId="5" borderId="9" xfId="2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0" fillId="0" borderId="8" xfId="2" applyNumberFormat="1" applyFont="1" applyBorder="1" applyAlignment="1">
      <alignment horizontal="center" vertical="center"/>
    </xf>
    <xf numFmtId="10" fontId="0" fillId="0" borderId="9" xfId="2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0" fontId="3" fillId="6" borderId="8" xfId="2" applyNumberFormat="1" applyFont="1" applyFill="1" applyBorder="1" applyAlignment="1">
      <alignment horizontal="center" vertical="center"/>
    </xf>
    <xf numFmtId="10" fontId="3" fillId="6" borderId="9" xfId="2" applyNumberFormat="1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10" fontId="3" fillId="7" borderId="11" xfId="2" applyNumberFormat="1" applyFont="1" applyFill="1" applyBorder="1" applyAlignment="1">
      <alignment horizontal="center" vertical="center"/>
    </xf>
    <xf numFmtId="10" fontId="3" fillId="7" borderId="12" xfId="2" applyNumberFormat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7" fontId="3" fillId="2" borderId="15" xfId="2" applyNumberFormat="1" applyFont="1" applyFill="1" applyBorder="1" applyAlignment="1">
      <alignment horizontal="center" vertical="center"/>
    </xf>
    <xf numFmtId="167" fontId="0" fillId="3" borderId="15" xfId="2" applyNumberFormat="1" applyFont="1" applyFill="1" applyBorder="1" applyAlignment="1">
      <alignment horizontal="center" vertical="center"/>
    </xf>
    <xf numFmtId="167" fontId="0" fillId="0" borderId="1" xfId="2" applyNumberFormat="1" applyFont="1" applyBorder="1" applyAlignment="1">
      <alignment horizontal="center" vertical="center"/>
    </xf>
    <xf numFmtId="167" fontId="0" fillId="3" borderId="1" xfId="2" applyNumberFormat="1" applyFont="1" applyFill="1" applyBorder="1" applyAlignment="1">
      <alignment horizontal="center" vertical="center"/>
    </xf>
    <xf numFmtId="167" fontId="0" fillId="0" borderId="18" xfId="2" applyNumberFormat="1" applyFont="1" applyBorder="1" applyAlignment="1">
      <alignment horizontal="center" vertical="center"/>
    </xf>
    <xf numFmtId="0" fontId="5" fillId="8" borderId="0" xfId="0" applyFont="1" applyFill="1"/>
    <xf numFmtId="14" fontId="5" fillId="8" borderId="0" xfId="0" applyNumberFormat="1" applyFont="1" applyFill="1"/>
    <xf numFmtId="0" fontId="3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10" fontId="0" fillId="0" borderId="0" xfId="2" applyNumberFormat="1" applyFont="1"/>
    <xf numFmtId="167" fontId="5" fillId="8" borderId="0" xfId="2" applyNumberFormat="1" applyFont="1" applyFill="1"/>
    <xf numFmtId="41" fontId="5" fillId="8" borderId="0" xfId="1" applyFont="1" applyFill="1"/>
    <xf numFmtId="168" fontId="0" fillId="0" borderId="0" xfId="0" applyNumberFormat="1" applyAlignment="1">
      <alignment horizontal="center" vertical="center"/>
    </xf>
    <xf numFmtId="169" fontId="0" fillId="0" borderId="0" xfId="3" applyNumberFormat="1" applyFont="1" applyAlignment="1">
      <alignment horizontal="center" vertical="center"/>
    </xf>
    <xf numFmtId="168" fontId="3" fillId="2" borderId="15" xfId="0" applyNumberFormat="1" applyFont="1" applyFill="1" applyBorder="1" applyAlignment="1">
      <alignment horizontal="center" vertical="center"/>
    </xf>
    <xf numFmtId="168" fontId="0" fillId="3" borderId="15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0" fillId="3" borderId="1" xfId="0" applyNumberFormat="1" applyFill="1" applyBorder="1" applyAlignment="1">
      <alignment horizontal="center" vertical="center"/>
    </xf>
    <xf numFmtId="168" fontId="0" fillId="0" borderId="18" xfId="0" applyNumberFormat="1" applyBorder="1" applyAlignment="1">
      <alignment horizontal="center" vertical="center"/>
    </xf>
    <xf numFmtId="168" fontId="0" fillId="0" borderId="0" xfId="1" applyNumberFormat="1" applyFont="1" applyAlignment="1">
      <alignment horizontal="center" vertical="center" wrapText="1"/>
    </xf>
    <xf numFmtId="168" fontId="0" fillId="0" borderId="0" xfId="1" applyNumberFormat="1" applyFont="1" applyAlignment="1">
      <alignment horizontal="center" vertical="center"/>
    </xf>
    <xf numFmtId="0" fontId="6" fillId="9" borderId="20" xfId="4" applyBorder="1"/>
    <xf numFmtId="41" fontId="6" fillId="9" borderId="20" xfId="4" applyNumberFormat="1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7" fontId="0" fillId="0" borderId="0" xfId="2" applyNumberFormat="1" applyFont="1" applyAlignment="1">
      <alignment horizontal="center"/>
    </xf>
    <xf numFmtId="171" fontId="0" fillId="0" borderId="0" xfId="2" applyNumberFormat="1" applyFont="1" applyAlignment="1">
      <alignment horizontal="center" vertical="center"/>
    </xf>
    <xf numFmtId="171" fontId="0" fillId="0" borderId="0" xfId="2" applyNumberFormat="1" applyFont="1"/>
    <xf numFmtId="171" fontId="7" fillId="0" borderId="22" xfId="2" applyNumberFormat="1" applyFont="1" applyBorder="1" applyAlignment="1">
      <alignment horizontal="center" vertical="center"/>
    </xf>
    <xf numFmtId="171" fontId="7" fillId="0" borderId="24" xfId="2" applyNumberFormat="1" applyFont="1" applyBorder="1" applyAlignment="1">
      <alignment horizontal="center" vertical="center"/>
    </xf>
    <xf numFmtId="171" fontId="7" fillId="0" borderId="29" xfId="2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167" fontId="0" fillId="0" borderId="5" xfId="2" applyNumberFormat="1" applyFont="1" applyBorder="1" applyAlignment="1">
      <alignment horizontal="center" vertical="center"/>
    </xf>
    <xf numFmtId="167" fontId="0" fillId="0" borderId="13" xfId="2" applyNumberFormat="1" applyFont="1" applyBorder="1" applyAlignment="1">
      <alignment horizontal="center" vertical="center"/>
    </xf>
    <xf numFmtId="167" fontId="0" fillId="0" borderId="30" xfId="2" applyNumberFormat="1" applyFont="1" applyBorder="1" applyAlignment="1">
      <alignment horizontal="center" vertical="center"/>
    </xf>
    <xf numFmtId="167" fontId="0" fillId="0" borderId="6" xfId="2" applyNumberFormat="1" applyFont="1" applyBorder="1" applyAlignment="1">
      <alignment horizontal="center" vertical="center"/>
    </xf>
    <xf numFmtId="167" fontId="0" fillId="0" borderId="14" xfId="2" applyNumberFormat="1" applyFont="1" applyBorder="1" applyAlignment="1">
      <alignment horizontal="center" vertical="center"/>
    </xf>
    <xf numFmtId="167" fontId="0" fillId="0" borderId="23" xfId="2" applyNumberFormat="1" applyFont="1" applyBorder="1" applyAlignment="1">
      <alignment horizontal="center" vertical="center"/>
    </xf>
    <xf numFmtId="167" fontId="0" fillId="0" borderId="26" xfId="2" applyNumberFormat="1" applyFont="1" applyBorder="1" applyAlignment="1">
      <alignment horizontal="center" vertical="center"/>
    </xf>
    <xf numFmtId="167" fontId="0" fillId="0" borderId="27" xfId="2" applyNumberFormat="1" applyFont="1" applyBorder="1" applyAlignment="1">
      <alignment horizontal="center" vertical="center"/>
    </xf>
    <xf numFmtId="167" fontId="0" fillId="0" borderId="28" xfId="2" applyNumberFormat="1" applyFont="1" applyBorder="1" applyAlignment="1">
      <alignment horizontal="center" vertical="center"/>
    </xf>
    <xf numFmtId="168" fontId="0" fillId="0" borderId="5" xfId="2" applyNumberFormat="1" applyFont="1" applyBorder="1" applyAlignment="1">
      <alignment horizontal="center" vertical="center"/>
    </xf>
    <xf numFmtId="168" fontId="0" fillId="0" borderId="13" xfId="2" applyNumberFormat="1" applyFont="1" applyBorder="1" applyAlignment="1">
      <alignment horizontal="center" vertical="center"/>
    </xf>
    <xf numFmtId="168" fontId="0" fillId="0" borderId="30" xfId="2" applyNumberFormat="1" applyFont="1" applyBorder="1" applyAlignment="1">
      <alignment horizontal="center" vertical="center"/>
    </xf>
    <xf numFmtId="168" fontId="0" fillId="0" borderId="6" xfId="2" applyNumberFormat="1" applyFont="1" applyBorder="1" applyAlignment="1">
      <alignment horizontal="center" vertical="center"/>
    </xf>
    <xf numFmtId="168" fontId="0" fillId="0" borderId="14" xfId="2" applyNumberFormat="1" applyFont="1" applyBorder="1" applyAlignment="1">
      <alignment horizontal="center" vertical="center"/>
    </xf>
    <xf numFmtId="168" fontId="0" fillId="0" borderId="23" xfId="2" applyNumberFormat="1" applyFont="1" applyBorder="1" applyAlignment="1">
      <alignment horizontal="center" vertical="center"/>
    </xf>
    <xf numFmtId="168" fontId="0" fillId="0" borderId="26" xfId="2" applyNumberFormat="1" applyFont="1" applyBorder="1" applyAlignment="1">
      <alignment horizontal="center" vertical="center"/>
    </xf>
    <xf numFmtId="168" fontId="0" fillId="0" borderId="27" xfId="2" applyNumberFormat="1" applyFont="1" applyBorder="1" applyAlignment="1">
      <alignment horizontal="center" vertical="center"/>
    </xf>
    <xf numFmtId="168" fontId="0" fillId="0" borderId="28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171" fontId="7" fillId="0" borderId="30" xfId="2" applyNumberFormat="1" applyFont="1" applyBorder="1" applyAlignment="1">
      <alignment horizontal="center"/>
    </xf>
    <xf numFmtId="169" fontId="3" fillId="7" borderId="11" xfId="3" applyNumberFormat="1" applyFont="1" applyFill="1" applyBorder="1" applyAlignment="1">
      <alignment horizontal="center" vertical="center"/>
    </xf>
    <xf numFmtId="171" fontId="7" fillId="0" borderId="6" xfId="2" applyNumberFormat="1" applyFont="1" applyBorder="1"/>
    <xf numFmtId="171" fontId="7" fillId="0" borderId="5" xfId="2" applyNumberFormat="1" applyFont="1" applyBorder="1"/>
    <xf numFmtId="171" fontId="7" fillId="0" borderId="32" xfId="2" applyNumberFormat="1" applyFont="1" applyBorder="1"/>
    <xf numFmtId="14" fontId="0" fillId="0" borderId="0" xfId="0" applyNumberFormat="1"/>
    <xf numFmtId="175" fontId="3" fillId="6" borderId="8" xfId="5" applyNumberFormat="1" applyFont="1" applyFill="1" applyBorder="1" applyAlignment="1">
      <alignment horizontal="center" vertical="center"/>
    </xf>
    <xf numFmtId="175" fontId="0" fillId="0" borderId="8" xfId="5" applyNumberFormat="1" applyFont="1" applyBorder="1" applyAlignment="1">
      <alignment horizontal="center" vertical="center"/>
    </xf>
    <xf numFmtId="175" fontId="0" fillId="5" borderId="8" xfId="5" applyNumberFormat="1" applyFont="1" applyFill="1" applyBorder="1" applyAlignment="1">
      <alignment horizontal="center" vertical="center"/>
    </xf>
    <xf numFmtId="175" fontId="0" fillId="0" borderId="0" xfId="5" applyNumberFormat="1" applyFont="1" applyAlignment="1">
      <alignment horizontal="center" vertical="center"/>
    </xf>
    <xf numFmtId="3" fontId="0" fillId="0" borderId="0" xfId="0" applyNumberFormat="1"/>
    <xf numFmtId="164" fontId="0" fillId="0" borderId="0" xfId="3" applyFont="1"/>
    <xf numFmtId="3" fontId="5" fillId="8" borderId="0" xfId="0" applyNumberFormat="1" applyFont="1" applyFill="1"/>
    <xf numFmtId="0" fontId="7" fillId="0" borderId="29" xfId="0" applyFont="1" applyBorder="1"/>
    <xf numFmtId="0" fontId="0" fillId="0" borderId="26" xfId="0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77" fontId="0" fillId="0" borderId="0" xfId="5" applyNumberFormat="1" applyFont="1" applyAlignment="1">
      <alignment horizontal="center" vertical="center"/>
    </xf>
    <xf numFmtId="175" fontId="0" fillId="0" borderId="29" xfId="5" applyNumberFormat="1" applyFont="1" applyBorder="1"/>
    <xf numFmtId="175" fontId="0" fillId="0" borderId="34" xfId="5" applyNumberFormat="1" applyFont="1" applyBorder="1" applyAlignment="1">
      <alignment horizontal="center" vertical="center"/>
    </xf>
    <xf numFmtId="175" fontId="0" fillId="0" borderId="35" xfId="5" applyNumberFormat="1" applyFont="1" applyBorder="1" applyAlignment="1">
      <alignment horizontal="center" vertical="center"/>
    </xf>
    <xf numFmtId="177" fontId="0" fillId="0" borderId="35" xfId="5" applyNumberFormat="1" applyFont="1" applyBorder="1" applyAlignment="1">
      <alignment horizontal="center" vertical="center"/>
    </xf>
    <xf numFmtId="175" fontId="0" fillId="0" borderId="36" xfId="5" applyNumberFormat="1" applyFont="1" applyBorder="1" applyAlignment="1">
      <alignment horizontal="center" vertical="center"/>
    </xf>
    <xf numFmtId="175" fontId="0" fillId="0" borderId="37" xfId="5" applyNumberFormat="1" applyFont="1" applyBorder="1" applyAlignment="1">
      <alignment horizontal="center" vertical="center"/>
    </xf>
    <xf numFmtId="175" fontId="0" fillId="0" borderId="38" xfId="5" applyNumberFormat="1" applyFont="1" applyBorder="1" applyAlignment="1">
      <alignment horizontal="center" vertical="center"/>
    </xf>
    <xf numFmtId="175" fontId="0" fillId="0" borderId="39" xfId="5" applyNumberFormat="1" applyFont="1" applyBorder="1" applyAlignment="1">
      <alignment horizontal="center" vertical="center"/>
    </xf>
    <xf numFmtId="175" fontId="0" fillId="0" borderId="31" xfId="5" applyNumberFormat="1" applyFont="1" applyBorder="1" applyAlignment="1">
      <alignment horizontal="center" vertical="center"/>
    </xf>
    <xf numFmtId="177" fontId="0" fillId="0" borderId="31" xfId="5" applyNumberFormat="1" applyFont="1" applyBorder="1" applyAlignment="1">
      <alignment horizontal="center" vertical="center"/>
    </xf>
    <xf numFmtId="175" fontId="0" fillId="0" borderId="40" xfId="5" applyNumberFormat="1" applyFont="1" applyBorder="1" applyAlignment="1">
      <alignment horizontal="center" vertical="center"/>
    </xf>
    <xf numFmtId="175" fontId="0" fillId="0" borderId="0" xfId="5" applyNumberFormat="1" applyFont="1"/>
    <xf numFmtId="167" fontId="0" fillId="0" borderId="0" xfId="2" applyNumberFormat="1" applyFont="1"/>
    <xf numFmtId="0" fontId="3" fillId="13" borderId="0" xfId="0" applyFont="1" applyFill="1" applyAlignment="1">
      <alignment horizontal="center" vertical="center"/>
    </xf>
    <xf numFmtId="0" fontId="3" fillId="13" borderId="42" xfId="0" applyFont="1" applyFill="1" applyBorder="1" applyAlignment="1">
      <alignment horizontal="center" vertical="center"/>
    </xf>
    <xf numFmtId="0" fontId="0" fillId="14" borderId="43" xfId="0" applyFill="1" applyBorder="1" applyAlignment="1">
      <alignment horizontal="center" vertical="center"/>
    </xf>
    <xf numFmtId="0" fontId="0" fillId="14" borderId="44" xfId="0" applyFill="1" applyBorder="1" applyAlignment="1">
      <alignment horizontal="center" vertical="center"/>
    </xf>
    <xf numFmtId="0" fontId="0" fillId="15" borderId="45" xfId="0" applyFill="1" applyBorder="1" applyAlignment="1">
      <alignment horizontal="center" vertical="center"/>
    </xf>
    <xf numFmtId="0" fontId="0" fillId="15" borderId="41" xfId="0" applyFill="1" applyBorder="1" applyAlignment="1">
      <alignment horizontal="center" vertical="center"/>
    </xf>
    <xf numFmtId="0" fontId="0" fillId="14" borderId="45" xfId="0" applyFill="1" applyBorder="1" applyAlignment="1">
      <alignment horizontal="center" vertical="center"/>
    </xf>
    <xf numFmtId="0" fontId="0" fillId="14" borderId="41" xfId="0" applyFill="1" applyBorder="1" applyAlignment="1">
      <alignment horizontal="center" vertical="center"/>
    </xf>
    <xf numFmtId="175" fontId="3" fillId="13" borderId="42" xfId="5" applyNumberFormat="1" applyFont="1" applyFill="1" applyBorder="1" applyAlignment="1">
      <alignment horizontal="center" vertical="center"/>
    </xf>
    <xf numFmtId="175" fontId="0" fillId="14" borderId="44" xfId="5" applyNumberFormat="1" applyFont="1" applyFill="1" applyBorder="1" applyAlignment="1">
      <alignment horizontal="center" vertical="center"/>
    </xf>
    <xf numFmtId="175" fontId="0" fillId="15" borderId="41" xfId="5" applyNumberFormat="1" applyFont="1" applyFill="1" applyBorder="1" applyAlignment="1">
      <alignment horizontal="center" vertical="center"/>
    </xf>
    <xf numFmtId="175" fontId="0" fillId="14" borderId="41" xfId="5" applyNumberFormat="1" applyFont="1" applyFill="1" applyBorder="1" applyAlignment="1">
      <alignment horizontal="center" vertical="center"/>
    </xf>
    <xf numFmtId="165" fontId="0" fillId="0" borderId="0" xfId="0" applyNumberFormat="1"/>
    <xf numFmtId="169" fontId="0" fillId="0" borderId="0" xfId="3" applyNumberFormat="1" applyFont="1"/>
    <xf numFmtId="165" fontId="0" fillId="0" borderId="0" xfId="5" applyFont="1"/>
    <xf numFmtId="175" fontId="2" fillId="12" borderId="0" xfId="5" applyNumberFormat="1" applyFill="1" applyAlignment="1">
      <alignment horizontal="right"/>
    </xf>
    <xf numFmtId="0" fontId="2" fillId="12" borderId="14" xfId="2" applyNumberFormat="1" applyFill="1" applyBorder="1" applyAlignment="1">
      <alignment horizontal="right"/>
    </xf>
    <xf numFmtId="164" fontId="3" fillId="6" borderId="8" xfId="3" applyFont="1" applyFill="1" applyBorder="1" applyAlignment="1">
      <alignment horizontal="center" vertical="center"/>
    </xf>
    <xf numFmtId="164" fontId="0" fillId="0" borderId="8" xfId="3" applyFont="1" applyBorder="1" applyAlignment="1">
      <alignment horizontal="center" vertical="center"/>
    </xf>
    <xf numFmtId="164" fontId="0" fillId="5" borderId="8" xfId="3" applyFont="1" applyFill="1" applyBorder="1" applyAlignment="1">
      <alignment horizontal="center" vertical="center"/>
    </xf>
    <xf numFmtId="164" fontId="0" fillId="0" borderId="0" xfId="3" applyFont="1" applyAlignment="1">
      <alignment horizontal="center" vertical="center" wrapText="1"/>
    </xf>
    <xf numFmtId="164" fontId="0" fillId="0" borderId="0" xfId="3" applyFont="1" applyAlignment="1">
      <alignment horizontal="center" vertical="center"/>
    </xf>
    <xf numFmtId="175" fontId="0" fillId="0" borderId="0" xfId="0" applyNumberFormat="1"/>
    <xf numFmtId="0" fontId="7" fillId="0" borderId="20" xfId="0" applyFont="1" applyBorder="1"/>
    <xf numFmtId="175" fontId="0" fillId="0" borderId="20" xfId="5" applyNumberFormat="1" applyFont="1" applyBorder="1"/>
    <xf numFmtId="165" fontId="0" fillId="0" borderId="20" xfId="5" applyFont="1" applyBorder="1"/>
    <xf numFmtId="4" fontId="0" fillId="0" borderId="0" xfId="0" applyNumberFormat="1"/>
    <xf numFmtId="169" fontId="2" fillId="11" borderId="14" xfId="3" applyNumberFormat="1" applyFill="1" applyBorder="1" applyAlignment="1">
      <alignment horizontal="center"/>
    </xf>
    <xf numFmtId="169" fontId="2" fillId="11" borderId="0" xfId="3" applyNumberFormat="1" applyFill="1" applyAlignment="1">
      <alignment horizontal="center"/>
    </xf>
    <xf numFmtId="165" fontId="2" fillId="11" borderId="14" xfId="5" applyFill="1" applyBorder="1" applyAlignment="1">
      <alignment horizontal="center"/>
    </xf>
    <xf numFmtId="165" fontId="2" fillId="11" borderId="0" xfId="5" applyFill="1" applyAlignment="1">
      <alignment horizontal="center"/>
    </xf>
    <xf numFmtId="165" fontId="2" fillId="0" borderId="33" xfId="5" applyBorder="1" applyAlignment="1">
      <alignment horizontal="right"/>
    </xf>
    <xf numFmtId="165" fontId="2" fillId="0" borderId="31" xfId="5" applyBorder="1" applyAlignment="1">
      <alignment horizontal="right"/>
    </xf>
    <xf numFmtId="176" fontId="2" fillId="11" borderId="14" xfId="5" applyNumberFormat="1" applyFill="1" applyBorder="1" applyAlignment="1">
      <alignment horizontal="center"/>
    </xf>
    <xf numFmtId="176" fontId="2" fillId="11" borderId="0" xfId="5" applyNumberFormat="1" applyFill="1" applyAlignment="1">
      <alignment horizontal="center"/>
    </xf>
    <xf numFmtId="0" fontId="0" fillId="10" borderId="0" xfId="0" applyFill="1" applyAlignment="1">
      <alignment horizontal="center"/>
    </xf>
    <xf numFmtId="171" fontId="0" fillId="0" borderId="0" xfId="2" applyNumberFormat="1" applyFont="1" applyAlignment="1">
      <alignment horizontal="center"/>
    </xf>
    <xf numFmtId="171" fontId="0" fillId="0" borderId="31" xfId="2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7" fillId="0" borderId="0" xfId="0" applyFont="1" applyAlignment="1">
      <alignment horizontal="center"/>
    </xf>
    <xf numFmtId="4" fontId="0" fillId="0" borderId="48" xfId="0" applyNumberFormat="1" applyBorder="1"/>
    <xf numFmtId="0" fontId="0" fillId="0" borderId="48" xfId="0" applyBorder="1" applyAlignment="1">
      <alignment horizontal="center"/>
    </xf>
    <xf numFmtId="0" fontId="0" fillId="0" borderId="48" xfId="0" applyBorder="1"/>
    <xf numFmtId="0" fontId="3" fillId="16" borderId="49" xfId="0" applyFont="1" applyFill="1" applyBorder="1"/>
    <xf numFmtId="14" fontId="0" fillId="0" borderId="50" xfId="0" applyNumberFormat="1" applyBorder="1"/>
    <xf numFmtId="0" fontId="0" fillId="0" borderId="49" xfId="0" applyBorder="1"/>
    <xf numFmtId="4" fontId="0" fillId="0" borderId="50" xfId="0" applyNumberFormat="1" applyBorder="1" applyAlignment="1" applyProtection="1">
      <alignment horizontal="center"/>
      <protection locked="0"/>
    </xf>
    <xf numFmtId="4" fontId="0" fillId="0" borderId="49" xfId="0" applyNumberFormat="1" applyBorder="1"/>
    <xf numFmtId="10" fontId="0" fillId="0" borderId="50" xfId="0" applyNumberFormat="1" applyBorder="1" applyAlignment="1" applyProtection="1">
      <alignment horizontal="center"/>
      <protection locked="0"/>
    </xf>
    <xf numFmtId="0" fontId="0" fillId="17" borderId="49" xfId="0" applyFill="1" applyBorder="1"/>
    <xf numFmtId="4" fontId="0" fillId="17" borderId="50" xfId="0" applyNumberFormat="1" applyFill="1" applyBorder="1" applyAlignment="1">
      <alignment horizontal="center"/>
    </xf>
    <xf numFmtId="4" fontId="0" fillId="17" borderId="49" xfId="0" applyNumberFormat="1" applyFill="1" applyBorder="1"/>
    <xf numFmtId="10" fontId="0" fillId="17" borderId="50" xfId="0" applyNumberFormat="1" applyFill="1" applyBorder="1" applyAlignment="1">
      <alignment horizontal="center"/>
    </xf>
    <xf numFmtId="10" fontId="0" fillId="0" borderId="50" xfId="0" applyNumberFormat="1" applyBorder="1" applyAlignment="1">
      <alignment horizontal="center"/>
    </xf>
    <xf numFmtId="10" fontId="0" fillId="0" borderId="0" xfId="0" applyNumberFormat="1"/>
    <xf numFmtId="10" fontId="0" fillId="18" borderId="51" xfId="0" applyNumberFormat="1" applyFill="1" applyBorder="1"/>
    <xf numFmtId="0" fontId="0" fillId="18" borderId="52" xfId="0" applyFill="1" applyBorder="1"/>
    <xf numFmtId="4" fontId="0" fillId="0" borderId="53" xfId="0" applyNumberFormat="1" applyBorder="1"/>
    <xf numFmtId="4" fontId="0" fillId="17" borderId="51" xfId="0" applyNumberFormat="1" applyFill="1" applyBorder="1"/>
    <xf numFmtId="10" fontId="0" fillId="17" borderId="52" xfId="0" applyNumberFormat="1" applyFill="1" applyBorder="1" applyAlignment="1">
      <alignment horizontal="center"/>
    </xf>
    <xf numFmtId="10" fontId="0" fillId="0" borderId="53" xfId="0" applyNumberFormat="1" applyBorder="1"/>
    <xf numFmtId="0" fontId="0" fillId="0" borderId="53" xfId="0" applyBorder="1"/>
    <xf numFmtId="0" fontId="0" fillId="17" borderId="51" xfId="0" applyFill="1" applyBorder="1"/>
    <xf numFmtId="4" fontId="0" fillId="17" borderId="52" xfId="0" applyNumberFormat="1" applyFill="1" applyBorder="1" applyAlignment="1">
      <alignment horizontal="center"/>
    </xf>
    <xf numFmtId="180" fontId="0" fillId="17" borderId="50" xfId="0" applyNumberFormat="1" applyFill="1" applyBorder="1" applyAlignment="1">
      <alignment horizontal="center"/>
    </xf>
    <xf numFmtId="41" fontId="0" fillId="0" borderId="0" xfId="1" applyFont="1"/>
    <xf numFmtId="41" fontId="0" fillId="0" borderId="0" xfId="0" applyNumberFormat="1"/>
    <xf numFmtId="181" fontId="0" fillId="0" borderId="0" xfId="1" applyNumberFormat="1" applyFont="1"/>
    <xf numFmtId="43" fontId="0" fillId="0" borderId="0" xfId="0" applyNumberFormat="1"/>
    <xf numFmtId="41" fontId="6" fillId="9" borderId="0" xfId="4" applyNumberFormat="1"/>
    <xf numFmtId="3" fontId="5" fillId="8" borderId="4" xfId="0" applyNumberFormat="1" applyFont="1" applyFill="1" applyBorder="1" applyAlignment="1">
      <alignment horizontal="center" vertical="center"/>
    </xf>
    <xf numFmtId="3" fontId="5" fillId="8" borderId="0" xfId="0" applyNumberFormat="1" applyFont="1" applyFill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169" fontId="2" fillId="11" borderId="14" xfId="3" applyNumberFormat="1" applyFill="1" applyBorder="1" applyAlignment="1">
      <alignment horizontal="center"/>
    </xf>
    <xf numFmtId="169" fontId="2" fillId="11" borderId="0" xfId="3" applyNumberFormat="1" applyFill="1" applyAlignment="1">
      <alignment horizontal="center"/>
    </xf>
    <xf numFmtId="165" fontId="2" fillId="11" borderId="14" xfId="5" applyFill="1" applyBorder="1" applyAlignment="1">
      <alignment horizontal="center"/>
    </xf>
    <xf numFmtId="165" fontId="2" fillId="11" borderId="0" xfId="5" applyFill="1" applyAlignment="1">
      <alignment horizontal="center"/>
    </xf>
    <xf numFmtId="176" fontId="2" fillId="11" borderId="14" xfId="5" applyNumberFormat="1" applyFill="1" applyBorder="1" applyAlignment="1">
      <alignment horizontal="center"/>
    </xf>
    <xf numFmtId="176" fontId="2" fillId="11" borderId="0" xfId="5" applyNumberFormat="1" applyFill="1" applyAlignment="1">
      <alignment horizontal="center"/>
    </xf>
    <xf numFmtId="165" fontId="2" fillId="0" borderId="33" xfId="5" applyBorder="1" applyAlignment="1">
      <alignment horizontal="right"/>
    </xf>
    <xf numFmtId="165" fontId="2" fillId="0" borderId="31" xfId="5" applyBorder="1" applyAlignment="1">
      <alignment horizontal="right"/>
    </xf>
    <xf numFmtId="173" fontId="2" fillId="12" borderId="14" xfId="5" applyNumberFormat="1" applyFill="1" applyBorder="1" applyAlignment="1">
      <alignment horizontal="right"/>
    </xf>
    <xf numFmtId="173" fontId="2" fillId="12" borderId="0" xfId="5" applyNumberFormat="1" applyFill="1" applyAlignment="1">
      <alignment horizontal="right"/>
    </xf>
    <xf numFmtId="179" fontId="2" fillId="12" borderId="14" xfId="5" applyNumberFormat="1" applyFill="1" applyBorder="1" applyAlignment="1">
      <alignment horizontal="right"/>
    </xf>
    <xf numFmtId="179" fontId="2" fillId="12" borderId="0" xfId="5" applyNumberFormat="1" applyFill="1" applyAlignment="1">
      <alignment horizontal="right"/>
    </xf>
    <xf numFmtId="175" fontId="2" fillId="12" borderId="14" xfId="5" applyNumberFormat="1" applyFill="1" applyBorder="1" applyAlignment="1">
      <alignment horizontal="right"/>
    </xf>
    <xf numFmtId="175" fontId="2" fillId="12" borderId="0" xfId="5" applyNumberFormat="1" applyFill="1" applyAlignment="1">
      <alignment horizontal="right"/>
    </xf>
    <xf numFmtId="169" fontId="2" fillId="11" borderId="13" xfId="3" applyNumberFormat="1" applyFill="1" applyBorder="1" applyAlignment="1">
      <alignment horizontal="center"/>
    </xf>
    <xf numFmtId="169" fontId="2" fillId="11" borderId="4" xfId="3" applyNumberFormat="1" applyFill="1" applyBorder="1" applyAlignment="1">
      <alignment horizontal="center"/>
    </xf>
    <xf numFmtId="174" fontId="2" fillId="11" borderId="14" xfId="5" applyNumberFormat="1" applyFill="1" applyBorder="1" applyAlignment="1">
      <alignment horizontal="center"/>
    </xf>
    <xf numFmtId="174" fontId="2" fillId="11" borderId="0" xfId="5" applyNumberFormat="1" applyFill="1" applyAlignment="1">
      <alignment horizontal="center"/>
    </xf>
    <xf numFmtId="175" fontId="2" fillId="11" borderId="14" xfId="5" applyNumberFormat="1" applyFill="1" applyBorder="1" applyAlignment="1">
      <alignment horizontal="center"/>
    </xf>
    <xf numFmtId="175" fontId="2" fillId="11" borderId="0" xfId="5" applyNumberFormat="1" applyFill="1" applyAlignment="1">
      <alignment horizontal="center"/>
    </xf>
    <xf numFmtId="171" fontId="8" fillId="0" borderId="25" xfId="2" applyNumberFormat="1" applyFont="1" applyBorder="1" applyAlignment="1">
      <alignment horizontal="center"/>
    </xf>
    <xf numFmtId="175" fontId="7" fillId="12" borderId="0" xfId="5" applyNumberFormat="1" applyFont="1" applyFill="1" applyAlignment="1">
      <alignment horizontal="right" wrapText="1"/>
    </xf>
    <xf numFmtId="175" fontId="7" fillId="12" borderId="0" xfId="5" applyNumberFormat="1" applyFont="1" applyFill="1" applyAlignment="1">
      <alignment horizontal="right"/>
    </xf>
    <xf numFmtId="171" fontId="7" fillId="12" borderId="0" xfId="2" applyNumberFormat="1" applyFont="1" applyFill="1" applyAlignment="1">
      <alignment horizontal="right"/>
    </xf>
    <xf numFmtId="0" fontId="2" fillId="12" borderId="14" xfId="2" applyNumberFormat="1" applyFill="1" applyBorder="1" applyAlignment="1">
      <alignment horizontal="right"/>
    </xf>
    <xf numFmtId="0" fontId="2" fillId="12" borderId="0" xfId="2" applyNumberFormat="1" applyFill="1" applyAlignment="1">
      <alignment horizontal="right"/>
    </xf>
    <xf numFmtId="10" fontId="2" fillId="12" borderId="14" xfId="2" applyNumberFormat="1" applyFill="1" applyBorder="1" applyAlignment="1">
      <alignment horizontal="right"/>
    </xf>
    <xf numFmtId="10" fontId="2" fillId="12" borderId="0" xfId="2" applyNumberFormat="1" applyFill="1" applyAlignment="1">
      <alignment horizontal="right"/>
    </xf>
    <xf numFmtId="175" fontId="2" fillId="12" borderId="27" xfId="5" applyNumberFormat="1" applyFill="1" applyBorder="1" applyAlignment="1">
      <alignment horizontal="right"/>
    </xf>
    <xf numFmtId="175" fontId="2" fillId="12" borderId="25" xfId="5" applyNumberFormat="1" applyFill="1" applyBorder="1" applyAlignment="1">
      <alignment horizontal="right"/>
    </xf>
    <xf numFmtId="172" fontId="2" fillId="11" borderId="13" xfId="3" applyNumberFormat="1" applyFill="1" applyBorder="1" applyAlignment="1">
      <alignment horizontal="right"/>
    </xf>
    <xf numFmtId="172" fontId="2" fillId="11" borderId="4" xfId="3" applyNumberFormat="1" applyFill="1" applyBorder="1" applyAlignment="1">
      <alignment horizontal="right"/>
    </xf>
    <xf numFmtId="0" fontId="7" fillId="0" borderId="24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171" fontId="7" fillId="0" borderId="13" xfId="2" applyNumberFormat="1" applyFont="1" applyBorder="1" applyAlignment="1">
      <alignment horizontal="center"/>
    </xf>
    <xf numFmtId="171" fontId="7" fillId="0" borderId="5" xfId="2" applyNumberFormat="1" applyFont="1" applyBorder="1" applyAlignment="1">
      <alignment horizontal="center"/>
    </xf>
    <xf numFmtId="172" fontId="2" fillId="12" borderId="14" xfId="5" applyNumberFormat="1" applyFill="1" applyBorder="1" applyAlignment="1">
      <alignment horizontal="right"/>
    </xf>
    <xf numFmtId="172" fontId="2" fillId="12" borderId="0" xfId="5" applyNumberFormat="1" applyFill="1" applyAlignment="1">
      <alignment horizontal="right"/>
    </xf>
    <xf numFmtId="10" fontId="0" fillId="12" borderId="14" xfId="2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69" fontId="7" fillId="12" borderId="4" xfId="3" applyNumberFormat="1" applyFont="1" applyFill="1" applyBorder="1" applyAlignment="1">
      <alignment horizontal="right"/>
    </xf>
    <xf numFmtId="169" fontId="2" fillId="11" borderId="14" xfId="3" applyNumberFormat="1" applyFill="1" applyBorder="1" applyAlignment="1">
      <alignment horizontal="right"/>
    </xf>
    <xf numFmtId="169" fontId="2" fillId="11" borderId="0" xfId="3" applyNumberFormat="1" applyFill="1" applyAlignment="1">
      <alignment horizontal="right"/>
    </xf>
    <xf numFmtId="14" fontId="0" fillId="12" borderId="0" xfId="0" applyNumberFormat="1" applyFill="1" applyAlignment="1">
      <alignment horizontal="right"/>
    </xf>
    <xf numFmtId="0" fontId="0" fillId="12" borderId="0" xfId="0" applyFill="1" applyAlignment="1">
      <alignment horizontal="right"/>
    </xf>
    <xf numFmtId="14" fontId="2" fillId="12" borderId="14" xfId="2" applyNumberFormat="1" applyFill="1" applyBorder="1" applyAlignment="1">
      <alignment horizontal="right"/>
    </xf>
    <xf numFmtId="175" fontId="2" fillId="12" borderId="27" xfId="5" applyNumberFormat="1" applyFill="1" applyBorder="1" applyAlignment="1">
      <alignment horizontal="center"/>
    </xf>
    <xf numFmtId="175" fontId="2" fillId="12" borderId="25" xfId="5" applyNumberFormat="1" applyFill="1" applyBorder="1" applyAlignment="1">
      <alignment horizontal="center"/>
    </xf>
    <xf numFmtId="180" fontId="2" fillId="11" borderId="13" xfId="2" applyNumberFormat="1" applyFill="1" applyBorder="1" applyAlignment="1">
      <alignment horizontal="right"/>
    </xf>
    <xf numFmtId="180" fontId="2" fillId="11" borderId="4" xfId="2" applyNumberFormat="1" applyFill="1" applyBorder="1" applyAlignment="1">
      <alignment horizontal="right"/>
    </xf>
    <xf numFmtId="41" fontId="2" fillId="11" borderId="14" xfId="1" applyFill="1" applyBorder="1" applyAlignment="1">
      <alignment horizontal="center"/>
    </xf>
    <xf numFmtId="41" fontId="2" fillId="11" borderId="0" xfId="1" applyFill="1" applyAlignment="1">
      <alignment horizontal="center"/>
    </xf>
    <xf numFmtId="0" fontId="3" fillId="8" borderId="46" xfId="0" applyFont="1" applyFill="1" applyBorder="1" applyAlignment="1">
      <alignment horizontal="center"/>
    </xf>
    <xf numFmtId="0" fontId="3" fillId="8" borderId="47" xfId="0" applyFont="1" applyFill="1" applyBorder="1" applyAlignment="1">
      <alignment horizontal="center"/>
    </xf>
    <xf numFmtId="0" fontId="3" fillId="16" borderId="46" xfId="0" applyFont="1" applyFill="1" applyBorder="1" applyAlignment="1">
      <alignment horizontal="center"/>
    </xf>
    <xf numFmtId="0" fontId="3" fillId="16" borderId="47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wrapText="1"/>
    </xf>
    <xf numFmtId="41" fontId="3" fillId="2" borderId="2" xfId="1" applyFont="1" applyFill="1" applyBorder="1" applyAlignment="1">
      <alignment horizontal="center" vertical="center"/>
    </xf>
    <xf numFmtId="41" fontId="0" fillId="3" borderId="2" xfId="1" applyFont="1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0" xfId="1" applyFont="1" applyAlignment="1">
      <alignment horizontal="center" vertical="center" wrapText="1"/>
    </xf>
    <xf numFmtId="41" fontId="0" fillId="0" borderId="0" xfId="1" applyFont="1" applyAlignment="1">
      <alignment horizontal="center" vertical="center"/>
    </xf>
  </cellXfs>
  <cellStyles count="45">
    <cellStyle name="Diseño" xfId="32" xr:uid="{00000000-0005-0000-0000-000000000000}"/>
    <cellStyle name="Millares" xfId="5" builtinId="3"/>
    <cellStyle name="Millares [0]" xfId="1" builtinId="6"/>
    <cellStyle name="Millares 13 2" xfId="42" xr:uid="{00000000-0005-0000-0000-000003000000}"/>
    <cellStyle name="Millares 13 2 2" xfId="44" xr:uid="{00000000-0005-0000-0000-000004000000}"/>
    <cellStyle name="Millares 2" xfId="7" xr:uid="{00000000-0005-0000-0000-000005000000}"/>
    <cellStyle name="Millares 2 2" xfId="15" xr:uid="{00000000-0005-0000-0000-000006000000}"/>
    <cellStyle name="Millares 2 2 2" xfId="36" xr:uid="{00000000-0005-0000-0000-000007000000}"/>
    <cellStyle name="Millares 2 3" xfId="34" xr:uid="{00000000-0005-0000-0000-000008000000}"/>
    <cellStyle name="Millares 2 4" xfId="27" xr:uid="{00000000-0005-0000-0000-000009000000}"/>
    <cellStyle name="Millares 2 5" xfId="43" xr:uid="{00000000-0005-0000-0000-00000A000000}"/>
    <cellStyle name="Millares 3" xfId="8" xr:uid="{00000000-0005-0000-0000-00000B000000}"/>
    <cellStyle name="Millares 3 2" xfId="24" xr:uid="{00000000-0005-0000-0000-00000C000000}"/>
    <cellStyle name="Millares 3 2 2" xfId="39" xr:uid="{00000000-0005-0000-0000-00000D000000}"/>
    <cellStyle name="Millares 3 3" xfId="35" xr:uid="{00000000-0005-0000-0000-00000E000000}"/>
    <cellStyle name="Millares 3 4" xfId="30" xr:uid="{00000000-0005-0000-0000-00000F000000}"/>
    <cellStyle name="Millares 4" xfId="20" xr:uid="{00000000-0005-0000-0000-000010000000}"/>
    <cellStyle name="Millares 4 2" xfId="38" xr:uid="{00000000-0005-0000-0000-000011000000}"/>
    <cellStyle name="Millares 4 3" xfId="26" xr:uid="{00000000-0005-0000-0000-000012000000}"/>
    <cellStyle name="Millares 5" xfId="33" xr:uid="{00000000-0005-0000-0000-000013000000}"/>
    <cellStyle name="Millares 6" xfId="31" xr:uid="{00000000-0005-0000-0000-000014000000}"/>
    <cellStyle name="Millares 7" xfId="41" xr:uid="{00000000-0005-0000-0000-000015000000}"/>
    <cellStyle name="Millares 8" xfId="6" xr:uid="{00000000-0005-0000-0000-000030000000}"/>
    <cellStyle name="Moneda" xfId="3" builtinId="4"/>
    <cellStyle name="Neutral" xfId="4" builtinId="28"/>
    <cellStyle name="Normal" xfId="0" builtinId="0"/>
    <cellStyle name="Normal 2" xfId="9" xr:uid="{00000000-0005-0000-0000-000017000000}"/>
    <cellStyle name="Normal 2 2" xfId="10" xr:uid="{00000000-0005-0000-0000-000018000000}"/>
    <cellStyle name="Normal 2 3" xfId="14" xr:uid="{00000000-0005-0000-0000-000019000000}"/>
    <cellStyle name="Normal 2 3 2" xfId="25" xr:uid="{00000000-0005-0000-0000-00001A000000}"/>
    <cellStyle name="Normal 2 4" xfId="21" xr:uid="{00000000-0005-0000-0000-00001B000000}"/>
    <cellStyle name="Normal 2_Monedas Bco" xfId="29" xr:uid="{00000000-0005-0000-0000-00001C000000}"/>
    <cellStyle name="Normal 3" xfId="11" xr:uid="{00000000-0005-0000-0000-00001D000000}"/>
    <cellStyle name="Normal 3 2" xfId="17" xr:uid="{00000000-0005-0000-0000-00001E000000}"/>
    <cellStyle name="Normal 4" xfId="16" xr:uid="{00000000-0005-0000-0000-00001F000000}"/>
    <cellStyle name="Normal 4 2" xfId="23" xr:uid="{00000000-0005-0000-0000-000020000000}"/>
    <cellStyle name="Normal 4 3" xfId="37" xr:uid="{00000000-0005-0000-0000-000021000000}"/>
    <cellStyle name="Normal 5" xfId="19" xr:uid="{00000000-0005-0000-0000-000022000000}"/>
    <cellStyle name="Normal 6" xfId="18" xr:uid="{00000000-0005-0000-0000-000023000000}"/>
    <cellStyle name="Normal 7" xfId="40" xr:uid="{00000000-0005-0000-0000-000024000000}"/>
    <cellStyle name="Normal 9" xfId="12" xr:uid="{00000000-0005-0000-0000-000025000000}"/>
    <cellStyle name="Porcentaje" xfId="2" builtinId="5"/>
    <cellStyle name="Porcentaje 2" xfId="22" xr:uid="{00000000-0005-0000-0000-000026000000}"/>
    <cellStyle name="Porcentual 2" xfId="13" xr:uid="{00000000-0005-0000-0000-000027000000}"/>
    <cellStyle name="Porcentual 2 2" xfId="28" xr:uid="{00000000-0005-0000-0000-000028000000}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885825</xdr:colOff>
          <xdr:row>0</xdr:row>
          <xdr:rowOff>133350</xdr:rowOff>
        </xdr:from>
        <xdr:to>
          <xdr:col>7</xdr:col>
          <xdr:colOff>304800</xdr:colOff>
          <xdr:row>5</xdr:row>
          <xdr:rowOff>66675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22B97-4223-4AE4-BF6A-398B4F87FBB3}">
  <sheetPr codeName="Hoja1">
    <tabColor theme="2" tint="0.499984740745262"/>
  </sheetPr>
  <dimension ref="C6:O28"/>
  <sheetViews>
    <sheetView showGridLines="0" topLeftCell="B1" zoomScale="115" zoomScaleNormal="115" workbookViewId="0">
      <selection activeCell="D15" sqref="D15:D16"/>
    </sheetView>
  </sheetViews>
  <sheetFormatPr baseColWidth="10" defaultColWidth="14" defaultRowHeight="14.25"/>
  <cols>
    <col min="1" max="3" width="14" style="53"/>
    <col min="4" max="4" width="17.25" style="53" customWidth="1"/>
    <col min="5" max="16384" width="14" style="53"/>
  </cols>
  <sheetData>
    <row r="6" spans="3:15">
      <c r="H6" s="54"/>
    </row>
    <row r="10" spans="3:15" ht="16.5" customHeight="1">
      <c r="D10" s="55" t="s">
        <v>20</v>
      </c>
      <c r="E10" s="55" t="s">
        <v>43</v>
      </c>
      <c r="F10" s="55" t="s">
        <v>409</v>
      </c>
      <c r="G10" s="55" t="s">
        <v>114</v>
      </c>
      <c r="H10" s="55" t="s">
        <v>45</v>
      </c>
      <c r="I10" s="55" t="s">
        <v>39</v>
      </c>
      <c r="J10" s="55" t="s">
        <v>73</v>
      </c>
      <c r="K10" s="55" t="s">
        <v>91</v>
      </c>
      <c r="L10" s="55" t="s">
        <v>36</v>
      </c>
      <c r="M10" s="55" t="s">
        <v>41</v>
      </c>
      <c r="N10" s="55" t="s">
        <v>42</v>
      </c>
    </row>
    <row r="11" spans="3:15" ht="16.5" customHeight="1">
      <c r="C11" s="206" t="s">
        <v>30</v>
      </c>
      <c r="D11" s="204">
        <f>+SUMIFS(full_portfolios!$E:$E,full_portfolios!$B:$B,dashboard!$C11,full_portfolios!$D:$D,dashboard!D$10)</f>
        <v>8530664910</v>
      </c>
      <c r="E11" s="204">
        <f>+SUMIFS(full_portfolios!$E:$E,full_portfolios!$B:$B,dashboard!$C11,full_portfolios!$D:$D,dashboard!E$10)</f>
        <v>0</v>
      </c>
      <c r="F11" s="204">
        <f>+SUMIFS(full_portfolios!$E:$E,full_portfolios!$B:$B,dashboard!$C11,full_portfolios!$D:$D,dashboard!F$10)</f>
        <v>0</v>
      </c>
      <c r="G11" s="204">
        <f>+SUMIFS(full_portfolios!$E:$E,full_portfolios!$B:$B,dashboard!$C11,full_portfolios!$D:$D,dashboard!G$10)</f>
        <v>0</v>
      </c>
      <c r="H11" s="204">
        <f>+SUMIFS(full_portfolios!$E:$E,full_portfolios!$B:$B,dashboard!$C11,full_portfolios!$D:$D,dashboard!H$10)</f>
        <v>0</v>
      </c>
      <c r="I11" s="204">
        <f>+SUMIFS(full_portfolios!$E:$E,full_portfolios!$B:$B,dashboard!$C11,full_portfolios!$D:$D,dashboard!I$10)</f>
        <v>0</v>
      </c>
      <c r="J11" s="204">
        <f>+SUMIFS(full_portfolios!$E:$E,full_portfolios!$B:$B,dashboard!$C11,full_portfolios!$D:$D,dashboard!J$10)</f>
        <v>0</v>
      </c>
      <c r="K11" s="204">
        <f>+SUMIFS(full_portfolios!$E:$E,full_portfolios!$B:$B,dashboard!$C11,full_portfolios!$D:$D,dashboard!K$10)</f>
        <v>530500</v>
      </c>
      <c r="L11" s="204">
        <f>+SUMIFS(full_portfolios!$E:$E,full_portfolios!$B:$B,dashboard!$C11,full_portfolios!$D:$D,dashboard!L$10)</f>
        <v>106000</v>
      </c>
      <c r="M11" s="204">
        <f>+SUMIFS(full_portfolios!$E:$E,full_portfolios!$B:$B,dashboard!$C11,full_portfolios!$D:$D,dashboard!M$10)</f>
        <v>0</v>
      </c>
      <c r="N11" s="204">
        <f>+SUMIFS(full_portfolios!$E:$E,full_portfolios!$B:$B,dashboard!$C11,full_portfolios!$D:$D,dashboard!N$10)</f>
        <v>0</v>
      </c>
      <c r="O11" s="56"/>
    </row>
    <row r="12" spans="3:15">
      <c r="C12" s="207"/>
      <c r="D12" s="205">
        <f>+SUMIFS(full_portfolios!$E:$E,full_portfolios!$B:$B,dashboard!$C12,full_portfolios!$D:$D,dashboard!D$10)</f>
        <v>0</v>
      </c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56"/>
    </row>
    <row r="13" spans="3:15">
      <c r="C13" s="207" t="s">
        <v>18</v>
      </c>
      <c r="D13" s="205">
        <f>+SUMIFS(full_portfolios!$E:$E,full_portfolios!$B:$B,dashboard!$C13,full_portfolios!$D:$D,dashboard!D$10)</f>
        <v>1690936226</v>
      </c>
      <c r="E13" s="205">
        <f>+SUMIFS(full_portfolios!$E:$E,full_portfolios!$B:$B,dashboard!$C13,full_portfolios!$D:$D,dashboard!E$10)</f>
        <v>0</v>
      </c>
      <c r="F13" s="205">
        <f>+SUMIFS(full_portfolios!$E:$E,full_portfolios!$B:$B,dashboard!$C13,full_portfolios!$D:$D,dashboard!F$10)</f>
        <v>0</v>
      </c>
      <c r="G13" s="205">
        <f>+SUMIFS(full_portfolios!$E:$E,full_portfolios!$B:$B,dashboard!$C13,full_portfolios!$D:$D,dashboard!G$10)</f>
        <v>0</v>
      </c>
      <c r="H13" s="205">
        <f>+SUMIFS(full_portfolios!$E:$E,full_portfolios!$B:$B,dashboard!$C13,full_portfolios!$D:$D,dashboard!H$10)</f>
        <v>0</v>
      </c>
      <c r="I13" s="205">
        <f>+SUMIFS(full_portfolios!$E:$E,full_portfolios!$B:$B,dashboard!$C13,full_portfolios!$D:$D,dashboard!I$10)</f>
        <v>0</v>
      </c>
      <c r="J13" s="205">
        <f>+SUMIFS(full_portfolios!$E:$E,full_portfolios!$B:$B,dashboard!$C13,full_portfolios!$D:$D,dashboard!J$10)</f>
        <v>400000000</v>
      </c>
      <c r="K13" s="205">
        <f>+SUMIFS(full_portfolios!$E:$E,full_portfolios!$B:$B,dashboard!$C13,full_portfolios!$D:$D,dashboard!K$10)</f>
        <v>18000</v>
      </c>
      <c r="L13" s="205">
        <f>+SUMIFS(full_portfolios!$E:$E,full_portfolios!$B:$B,dashboard!$C13,full_portfolios!$D:$D,dashboard!L$10)</f>
        <v>41000</v>
      </c>
      <c r="M13" s="205">
        <f>+SUMIFS(full_portfolios!$E:$E,full_portfolios!$B:$B,dashboard!$C13,full_portfolios!$D:$D,dashboard!M$10)</f>
        <v>41000</v>
      </c>
      <c r="N13" s="205">
        <f>+SUMIFS(full_portfolios!$E:$E,full_portfolios!$B:$B,dashboard!$C13,full_portfolios!$D:$D,dashboard!N$10)</f>
        <v>43000</v>
      </c>
      <c r="O13" s="56"/>
    </row>
    <row r="14" spans="3:15">
      <c r="C14" s="207"/>
      <c r="D14" s="205">
        <f>+SUMIFS(full_portfolios!$E:$E,full_portfolios!$B:$B,dashboard!$C14,full_portfolios!$D:$D,dashboard!D$10)</f>
        <v>0</v>
      </c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56"/>
    </row>
    <row r="15" spans="3:15">
      <c r="C15" s="207" t="s">
        <v>22</v>
      </c>
      <c r="D15" s="205">
        <f>+SUMIFS(full_portfolios!$E:$E,full_portfolios!$B:$B,dashboard!$C15,full_portfolios!$D:$D,dashboard!D$10)</f>
        <v>7526210000</v>
      </c>
      <c r="E15" s="205">
        <f>+SUMIFS(full_portfolios!$E:$E,full_portfolios!$B:$B,dashboard!$C15,full_portfolios!$D:$D,dashboard!E$10)</f>
        <v>0</v>
      </c>
      <c r="F15" s="205">
        <f>+SUMIFS(full_portfolios!$E:$E,full_portfolios!$B:$B,dashboard!$C15,full_portfolios!$D:$D,dashboard!F$10)</f>
        <v>0</v>
      </c>
      <c r="G15" s="205">
        <f>+SUMIFS(full_portfolios!$E:$E,full_portfolios!$B:$B,dashboard!$C15,full_portfolios!$D:$D,dashboard!G$10)</f>
        <v>0</v>
      </c>
      <c r="H15" s="205">
        <f>+SUMIFS(full_portfolios!$E:$E,full_portfolios!$B:$B,dashboard!$C15,full_portfolios!$D:$D,dashboard!H$10)</f>
        <v>0</v>
      </c>
      <c r="I15" s="205">
        <f>+SUMIFS(full_portfolios!$E:$E,full_portfolios!$B:$B,dashboard!$C15,full_portfolios!$D:$D,dashboard!I$10)</f>
        <v>0</v>
      </c>
      <c r="J15" s="205">
        <f>+SUMIFS(full_portfolios!$E:$E,full_portfolios!$B:$B,dashboard!$C15,full_portfolios!$D:$D,dashboard!J$10)</f>
        <v>0</v>
      </c>
      <c r="K15" s="205">
        <f>+SUMIFS(full_portfolios!$E:$E,full_portfolios!$B:$B,dashboard!$C15,full_portfolios!$D:$D,dashboard!K$10)</f>
        <v>26000</v>
      </c>
      <c r="L15" s="205">
        <f>+SUMIFS(full_portfolios!$E:$E,full_portfolios!$B:$B,dashboard!$C15,full_portfolios!$D:$D,dashboard!L$10)</f>
        <v>0</v>
      </c>
      <c r="M15" s="205">
        <f>+SUMIFS(full_portfolios!$E:$E,full_portfolios!$B:$B,dashboard!$C15,full_portfolios!$D:$D,dashboard!M$10)</f>
        <v>0</v>
      </c>
      <c r="N15" s="205">
        <f>+SUMIFS(full_portfolios!$E:$E,full_portfolios!$B:$B,dashboard!$C15,full_portfolios!$D:$D,dashboard!N$10)</f>
        <v>0</v>
      </c>
      <c r="O15" s="56"/>
    </row>
    <row r="16" spans="3:15">
      <c r="C16" s="207"/>
      <c r="D16" s="205">
        <f>+SUMIFS(full_portfolios!$E:$E,full_portfolios!$B:$B,dashboard!$C16,full_portfolios!$D:$D,dashboard!D$10)</f>
        <v>0</v>
      </c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56"/>
    </row>
    <row r="17" spans="3:15">
      <c r="C17" s="207" t="s">
        <v>28</v>
      </c>
      <c r="D17" s="205">
        <f>+SUMIFS(full_portfolios!$E:$E,full_portfolios!$B:$B,dashboard!$C17,full_portfolios!$D:$D,dashboard!D$10)</f>
        <v>8234763733</v>
      </c>
      <c r="E17" s="205">
        <f>+SUMIFS(full_portfolios!$E:$E,full_portfolios!$B:$B,dashboard!$C17,full_portfolios!$D:$D,dashboard!E$10)</f>
        <v>0</v>
      </c>
      <c r="F17" s="205">
        <f>+SUMIFS(full_portfolios!$E:$E,full_portfolios!$B:$B,dashboard!$C17,full_portfolios!$D:$D,dashboard!F$10)</f>
        <v>0</v>
      </c>
      <c r="G17" s="205">
        <f>+SUMIFS(full_portfolios!$E:$E,full_portfolios!$B:$B,dashboard!$C17,full_portfolios!$D:$D,dashboard!G$10)</f>
        <v>0</v>
      </c>
      <c r="H17" s="205">
        <f>+SUMIFS(full_portfolios!$E:$E,full_portfolios!$B:$B,dashboard!$C17,full_portfolios!$D:$D,dashboard!H$10)</f>
        <v>0</v>
      </c>
      <c r="I17" s="205">
        <f>+SUMIFS(full_portfolios!$E:$E,full_portfolios!$B:$B,dashboard!$C17,full_portfolios!$D:$D,dashboard!I$10)</f>
        <v>0</v>
      </c>
      <c r="J17" s="205">
        <f>+SUMIFS(full_portfolios!$E:$E,full_portfolios!$B:$B,dashboard!$C17,full_portfolios!$D:$D,dashboard!J$10)</f>
        <v>0</v>
      </c>
      <c r="K17" s="205">
        <f>+SUMIFS(full_portfolios!$E:$E,full_portfolios!$B:$B,dashboard!$C17,full_portfolios!$D:$D,dashboard!K$10)</f>
        <v>54000</v>
      </c>
      <c r="L17" s="205">
        <f>+SUMIFS(full_portfolios!$E:$E,full_portfolios!$B:$B,dashboard!$C17,full_portfolios!$D:$D,dashboard!L$10)</f>
        <v>0</v>
      </c>
      <c r="M17" s="205">
        <f>+SUMIFS(full_portfolios!$E:$E,full_portfolios!$B:$B,dashboard!$C17,full_portfolios!$D:$D,dashboard!M$10)</f>
        <v>0</v>
      </c>
      <c r="N17" s="205">
        <f>+SUMIFS(full_portfolios!$E:$E,full_portfolios!$B:$B,dashboard!$C17,full_portfolios!$D:$D,dashboard!N$10)</f>
        <v>0</v>
      </c>
      <c r="O17" s="56"/>
    </row>
    <row r="18" spans="3:15">
      <c r="C18" s="207"/>
      <c r="D18" s="205">
        <f>+SUMIFS(full_portfolios!$E:$E,full_portfolios!$B:$B,dashboard!$C18,full_portfolios!$D:$D,dashboard!D$10)</f>
        <v>0</v>
      </c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56"/>
    </row>
    <row r="19" spans="3:15">
      <c r="C19" s="206" t="s">
        <v>205</v>
      </c>
      <c r="D19" s="204">
        <f t="shared" ref="D19:E19" si="0">+SUM(D11:D18)</f>
        <v>25982574869</v>
      </c>
      <c r="E19" s="204">
        <f t="shared" si="0"/>
        <v>0</v>
      </c>
      <c r="F19" s="204">
        <f t="shared" ref="F19:G19" si="1">+SUM(F11:F18)</f>
        <v>0</v>
      </c>
      <c r="G19" s="204">
        <f t="shared" si="1"/>
        <v>0</v>
      </c>
      <c r="H19" s="204">
        <f t="shared" ref="H19:N19" si="2">+SUM(H11:H18)</f>
        <v>0</v>
      </c>
      <c r="I19" s="204">
        <f t="shared" si="2"/>
        <v>0</v>
      </c>
      <c r="J19" s="204">
        <f t="shared" si="2"/>
        <v>400000000</v>
      </c>
      <c r="K19" s="204">
        <f t="shared" si="2"/>
        <v>628500</v>
      </c>
      <c r="L19" s="204">
        <f t="shared" si="2"/>
        <v>147000</v>
      </c>
      <c r="M19" s="204">
        <f t="shared" si="2"/>
        <v>41000</v>
      </c>
      <c r="N19" s="204">
        <f t="shared" si="2"/>
        <v>43000</v>
      </c>
      <c r="O19" s="56"/>
    </row>
    <row r="20" spans="3:15">
      <c r="C20" s="207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</row>
    <row r="21" spans="3:15">
      <c r="D21" s="116"/>
    </row>
    <row r="24" spans="3:15">
      <c r="C24" s="58"/>
      <c r="D24" s="59"/>
      <c r="I24" s="58"/>
      <c r="J24" s="59"/>
    </row>
    <row r="25" spans="3:15">
      <c r="I25" s="58"/>
      <c r="J25" s="59"/>
    </row>
    <row r="26" spans="3:15">
      <c r="L26" s="116"/>
    </row>
    <row r="27" spans="3:15">
      <c r="L27" s="116"/>
    </row>
    <row r="28" spans="3:15">
      <c r="L28" s="116"/>
    </row>
  </sheetData>
  <mergeCells count="60">
    <mergeCell ref="G11:G12"/>
    <mergeCell ref="G13:G14"/>
    <mergeCell ref="G15:G16"/>
    <mergeCell ref="G17:G18"/>
    <mergeCell ref="F11:F12"/>
    <mergeCell ref="F13:F14"/>
    <mergeCell ref="F15:F16"/>
    <mergeCell ref="F17:F18"/>
    <mergeCell ref="C11:C12"/>
    <mergeCell ref="C13:C14"/>
    <mergeCell ref="C15:C16"/>
    <mergeCell ref="C17:C18"/>
    <mergeCell ref="E11:E12"/>
    <mergeCell ref="E13:E14"/>
    <mergeCell ref="E15:E16"/>
    <mergeCell ref="E17:E18"/>
    <mergeCell ref="D11:D12"/>
    <mergeCell ref="D13:D14"/>
    <mergeCell ref="D15:D16"/>
    <mergeCell ref="D17:D18"/>
    <mergeCell ref="N11:N12"/>
    <mergeCell ref="H13:H14"/>
    <mergeCell ref="I13:I14"/>
    <mergeCell ref="J13:J14"/>
    <mergeCell ref="K13:K14"/>
    <mergeCell ref="L13:L14"/>
    <mergeCell ref="M13:M14"/>
    <mergeCell ref="N13:N14"/>
    <mergeCell ref="H11:H12"/>
    <mergeCell ref="I11:I12"/>
    <mergeCell ref="J11:J12"/>
    <mergeCell ref="K11:K12"/>
    <mergeCell ref="L11:L12"/>
    <mergeCell ref="M11:M12"/>
    <mergeCell ref="N15:N16"/>
    <mergeCell ref="H17:H18"/>
    <mergeCell ref="I17:I18"/>
    <mergeCell ref="J17:J18"/>
    <mergeCell ref="K17:K18"/>
    <mergeCell ref="L17:L18"/>
    <mergeCell ref="M17:M18"/>
    <mergeCell ref="N17:N18"/>
    <mergeCell ref="H15:H16"/>
    <mergeCell ref="I15:I16"/>
    <mergeCell ref="J15:J16"/>
    <mergeCell ref="K15:K16"/>
    <mergeCell ref="L15:L16"/>
    <mergeCell ref="M15:M16"/>
    <mergeCell ref="L19:L20"/>
    <mergeCell ref="M19:M20"/>
    <mergeCell ref="N19:N20"/>
    <mergeCell ref="C19:C20"/>
    <mergeCell ref="E19:E20"/>
    <mergeCell ref="H19:H20"/>
    <mergeCell ref="I19:I20"/>
    <mergeCell ref="J19:J20"/>
    <mergeCell ref="K19:K20"/>
    <mergeCell ref="G19:G20"/>
    <mergeCell ref="F19:F20"/>
    <mergeCell ref="D19:D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ón 1">
              <controlPr defaultSize="0" print="0" autoFill="0" autoPict="0" macro="[0]!ThisWorkbook.update_portfolios">
                <anchor moveWithCells="1">
                  <from>
                    <xdr:col>5</xdr:col>
                    <xdr:colOff>885825</xdr:colOff>
                    <xdr:row>0</xdr:row>
                    <xdr:rowOff>133350</xdr:rowOff>
                  </from>
                  <to>
                    <xdr:col>7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C53BA-7D26-4EA7-B183-5C7763D93334}">
  <sheetPr codeName="Hoja3">
    <tabColor theme="3"/>
  </sheetPr>
  <dimension ref="A1:O1077"/>
  <sheetViews>
    <sheetView zoomScaleNormal="100" workbookViewId="0">
      <selection activeCell="K1" sqref="K1:K1048576"/>
    </sheetView>
  </sheetViews>
  <sheetFormatPr baseColWidth="10" defaultColWidth="16" defaultRowHeight="14.25"/>
  <cols>
    <col min="1" max="4" width="16" style="1"/>
    <col min="5" max="5" width="17.75" style="155" bestFit="1" customWidth="1"/>
    <col min="6" max="6" width="16" style="113"/>
    <col min="7" max="7" width="17.75" style="155" bestFit="1" customWidth="1"/>
    <col min="8" max="8" width="16" style="155"/>
    <col min="9" max="10" width="16" style="1"/>
    <col min="11" max="13" width="16" style="21"/>
    <col min="14" max="14" width="16" style="1"/>
    <col min="15" max="15" width="16" style="21"/>
    <col min="16" max="16384" width="16" style="1"/>
  </cols>
  <sheetData>
    <row r="1" spans="1:15" ht="15">
      <c r="A1" s="32" t="s">
        <v>3</v>
      </c>
      <c r="B1" s="33" t="s">
        <v>4</v>
      </c>
      <c r="C1" s="33" t="s">
        <v>5</v>
      </c>
      <c r="D1" s="33" t="s">
        <v>6</v>
      </c>
      <c r="E1" s="151" t="s">
        <v>7</v>
      </c>
      <c r="F1" s="110" t="s">
        <v>8</v>
      </c>
      <c r="G1" s="151" t="s">
        <v>9</v>
      </c>
      <c r="H1" s="151" t="s">
        <v>10</v>
      </c>
      <c r="I1" s="33" t="s">
        <v>11</v>
      </c>
      <c r="J1" s="33" t="s">
        <v>12</v>
      </c>
      <c r="K1" s="34" t="s">
        <v>13</v>
      </c>
      <c r="L1" s="34" t="s">
        <v>14</v>
      </c>
      <c r="M1" s="34" t="s">
        <v>15</v>
      </c>
      <c r="N1" s="33" t="s">
        <v>16</v>
      </c>
      <c r="O1" s="35" t="s">
        <v>17</v>
      </c>
    </row>
    <row r="2" spans="1:15">
      <c r="A2" s="28" t="s">
        <v>876</v>
      </c>
      <c r="B2" s="29" t="s">
        <v>18</v>
      </c>
      <c r="C2" s="29" t="s">
        <v>24</v>
      </c>
      <c r="D2" s="29" t="s">
        <v>20</v>
      </c>
      <c r="E2" s="152">
        <v>100000000</v>
      </c>
      <c r="F2" s="111">
        <v>100</v>
      </c>
      <c r="G2" s="152">
        <v>99992001</v>
      </c>
      <c r="H2" s="152">
        <v>99</v>
      </c>
      <c r="I2" s="29" t="s">
        <v>605</v>
      </c>
      <c r="J2" s="29">
        <v>0</v>
      </c>
      <c r="K2" s="30">
        <v>4.2079999999999999E-3</v>
      </c>
      <c r="L2" s="30">
        <v>2.5000000000000001E-3</v>
      </c>
      <c r="M2" s="30">
        <v>2.3999999999999998E-3</v>
      </c>
      <c r="N2" s="29">
        <v>0</v>
      </c>
      <c r="O2" s="31">
        <v>2.8799999999999999E-2</v>
      </c>
    </row>
    <row r="3" spans="1:15">
      <c r="A3" s="24" t="s">
        <v>876</v>
      </c>
      <c r="B3" s="25" t="s">
        <v>18</v>
      </c>
      <c r="C3" s="25" t="s">
        <v>470</v>
      </c>
      <c r="D3" s="25" t="s">
        <v>20</v>
      </c>
      <c r="E3" s="153">
        <v>300000000</v>
      </c>
      <c r="F3" s="112">
        <v>300</v>
      </c>
      <c r="G3" s="153">
        <v>299977002</v>
      </c>
      <c r="H3" s="153">
        <v>299</v>
      </c>
      <c r="I3" s="25" t="s">
        <v>605</v>
      </c>
      <c r="J3" s="25">
        <v>0</v>
      </c>
      <c r="K3" s="26">
        <v>1.2624E-2</v>
      </c>
      <c r="L3" s="26">
        <v>2.3999999999999998E-3</v>
      </c>
      <c r="M3" s="26">
        <v>2.3E-3</v>
      </c>
      <c r="N3" s="25">
        <v>0</v>
      </c>
      <c r="O3" s="27">
        <v>2.76E-2</v>
      </c>
    </row>
    <row r="4" spans="1:15">
      <c r="A4" s="28" t="s">
        <v>876</v>
      </c>
      <c r="B4" s="29" t="s">
        <v>18</v>
      </c>
      <c r="C4" s="29" t="s">
        <v>23</v>
      </c>
      <c r="D4" s="29" t="s">
        <v>20</v>
      </c>
      <c r="E4" s="152">
        <v>50000000</v>
      </c>
      <c r="F4" s="111">
        <v>50</v>
      </c>
      <c r="G4" s="152">
        <v>49988003</v>
      </c>
      <c r="H4" s="152">
        <v>49</v>
      </c>
      <c r="I4" s="29" t="s">
        <v>699</v>
      </c>
      <c r="J4" s="29">
        <v>2</v>
      </c>
      <c r="K4" s="30">
        <v>2.1029999999999998E-3</v>
      </c>
      <c r="L4" s="30">
        <v>2.5000000000000001E-3</v>
      </c>
      <c r="M4" s="30">
        <v>2.3999999999999998E-3</v>
      </c>
      <c r="N4" s="29">
        <v>0.01</v>
      </c>
      <c r="O4" s="31">
        <v>2.8799999999999999E-2</v>
      </c>
    </row>
    <row r="5" spans="1:15">
      <c r="A5" s="24" t="s">
        <v>876</v>
      </c>
      <c r="B5" s="25" t="s">
        <v>18</v>
      </c>
      <c r="C5" s="25" t="s">
        <v>21</v>
      </c>
      <c r="D5" s="25" t="s">
        <v>20</v>
      </c>
      <c r="E5" s="153">
        <v>100000000</v>
      </c>
      <c r="F5" s="112">
        <v>100</v>
      </c>
      <c r="G5" s="153">
        <v>99960016</v>
      </c>
      <c r="H5" s="153">
        <v>99</v>
      </c>
      <c r="I5" s="25" t="s">
        <v>700</v>
      </c>
      <c r="J5" s="25">
        <v>4</v>
      </c>
      <c r="K5" s="26">
        <v>4.2059999999999997E-3</v>
      </c>
      <c r="L5" s="26">
        <v>2.3999999999999998E-3</v>
      </c>
      <c r="M5" s="26">
        <v>2.3999999999999998E-3</v>
      </c>
      <c r="N5" s="25">
        <v>0.01</v>
      </c>
      <c r="O5" s="27">
        <v>2.8799999999999999E-2</v>
      </c>
    </row>
    <row r="6" spans="1:15">
      <c r="A6" s="28" t="s">
        <v>876</v>
      </c>
      <c r="B6" s="29" t="s">
        <v>18</v>
      </c>
      <c r="C6" s="29" t="s">
        <v>421</v>
      </c>
      <c r="D6" s="29" t="s">
        <v>20</v>
      </c>
      <c r="E6" s="152">
        <v>50000000</v>
      </c>
      <c r="F6" s="111">
        <v>50</v>
      </c>
      <c r="G6" s="152">
        <v>49962528</v>
      </c>
      <c r="H6" s="152">
        <v>49</v>
      </c>
      <c r="I6" s="29" t="s">
        <v>701</v>
      </c>
      <c r="J6" s="29">
        <v>8</v>
      </c>
      <c r="K6" s="30">
        <v>2.1020000000000001E-3</v>
      </c>
      <c r="L6" s="30">
        <v>2.3999999999999998E-3</v>
      </c>
      <c r="M6" s="30">
        <v>2.5000000000000001E-3</v>
      </c>
      <c r="N6" s="29">
        <v>0.02</v>
      </c>
      <c r="O6" s="31">
        <v>0.03</v>
      </c>
    </row>
    <row r="7" spans="1:15">
      <c r="A7" s="24" t="s">
        <v>876</v>
      </c>
      <c r="B7" s="25" t="s">
        <v>18</v>
      </c>
      <c r="C7" s="25" t="s">
        <v>625</v>
      </c>
      <c r="D7" s="25" t="s">
        <v>20</v>
      </c>
      <c r="E7" s="153">
        <v>150000000</v>
      </c>
      <c r="F7" s="112">
        <v>150</v>
      </c>
      <c r="G7" s="153">
        <v>149784311</v>
      </c>
      <c r="H7" s="153">
        <v>149</v>
      </c>
      <c r="I7" s="25" t="s">
        <v>702</v>
      </c>
      <c r="J7" s="25">
        <v>17</v>
      </c>
      <c r="K7" s="26">
        <v>6.3029999999999996E-3</v>
      </c>
      <c r="L7" s="26">
        <v>2.5999999999999999E-3</v>
      </c>
      <c r="M7" s="26">
        <v>2.3999999999999998E-3</v>
      </c>
      <c r="N7" s="25">
        <v>0.05</v>
      </c>
      <c r="O7" s="27">
        <v>2.8799999999999999E-2</v>
      </c>
    </row>
    <row r="8" spans="1:15">
      <c r="A8" s="28" t="s">
        <v>876</v>
      </c>
      <c r="B8" s="29" t="s">
        <v>18</v>
      </c>
      <c r="C8" s="29" t="s">
        <v>31</v>
      </c>
      <c r="D8" s="29" t="s">
        <v>20</v>
      </c>
      <c r="E8" s="152">
        <v>50000000</v>
      </c>
      <c r="F8" s="111">
        <v>50</v>
      </c>
      <c r="G8" s="152">
        <v>49862877</v>
      </c>
      <c r="H8" s="152">
        <v>49</v>
      </c>
      <c r="I8" s="29" t="s">
        <v>703</v>
      </c>
      <c r="J8" s="29">
        <v>32</v>
      </c>
      <c r="K8" s="30">
        <v>2.098E-3</v>
      </c>
      <c r="L8" s="30">
        <v>2.5999999999999999E-3</v>
      </c>
      <c r="M8" s="30">
        <v>2.5000000000000001E-3</v>
      </c>
      <c r="N8" s="29">
        <v>0.09</v>
      </c>
      <c r="O8" s="31">
        <v>0.03</v>
      </c>
    </row>
    <row r="9" spans="1:15">
      <c r="A9" s="24" t="s">
        <v>876</v>
      </c>
      <c r="B9" s="25" t="s">
        <v>18</v>
      </c>
      <c r="C9" s="25" t="s">
        <v>29</v>
      </c>
      <c r="D9" s="25" t="s">
        <v>20</v>
      </c>
      <c r="E9" s="153">
        <v>50000000</v>
      </c>
      <c r="F9" s="112">
        <v>50</v>
      </c>
      <c r="G9" s="153">
        <v>49749924</v>
      </c>
      <c r="H9" s="153">
        <v>49</v>
      </c>
      <c r="I9" s="25" t="s">
        <v>617</v>
      </c>
      <c r="J9" s="25">
        <v>57</v>
      </c>
      <c r="K9" s="26">
        <v>2.0929999999999998E-3</v>
      </c>
      <c r="L9" s="26">
        <v>2.5999999999999999E-3</v>
      </c>
      <c r="M9" s="26">
        <v>2.5999999999999999E-3</v>
      </c>
      <c r="N9" s="25">
        <v>0.16</v>
      </c>
      <c r="O9" s="27">
        <v>3.1199999999999999E-2</v>
      </c>
    </row>
    <row r="10" spans="1:15">
      <c r="A10" s="28" t="s">
        <v>876</v>
      </c>
      <c r="B10" s="29" t="s">
        <v>18</v>
      </c>
      <c r="C10" s="29" t="s">
        <v>31</v>
      </c>
      <c r="D10" s="29" t="s">
        <v>20</v>
      </c>
      <c r="E10" s="152">
        <v>100000000</v>
      </c>
      <c r="F10" s="111">
        <v>100</v>
      </c>
      <c r="G10" s="152">
        <v>99388430</v>
      </c>
      <c r="H10" s="152">
        <v>99</v>
      </c>
      <c r="I10" s="29" t="s">
        <v>704</v>
      </c>
      <c r="J10" s="29">
        <v>70</v>
      </c>
      <c r="K10" s="30">
        <v>4.182E-3</v>
      </c>
      <c r="L10" s="30">
        <v>2.5999999999999999E-3</v>
      </c>
      <c r="M10" s="30">
        <v>2.5999999999999999E-3</v>
      </c>
      <c r="N10" s="29">
        <v>0.19</v>
      </c>
      <c r="O10" s="31">
        <v>3.1199999999999999E-2</v>
      </c>
    </row>
    <row r="11" spans="1:15">
      <c r="A11" s="24" t="s">
        <v>876</v>
      </c>
      <c r="B11" s="25" t="s">
        <v>18</v>
      </c>
      <c r="C11" s="25" t="s">
        <v>21</v>
      </c>
      <c r="D11" s="25" t="s">
        <v>20</v>
      </c>
      <c r="E11" s="153">
        <v>50000000</v>
      </c>
      <c r="F11" s="112">
        <v>50</v>
      </c>
      <c r="G11" s="153">
        <v>49630090</v>
      </c>
      <c r="H11" s="153">
        <v>49</v>
      </c>
      <c r="I11" s="25" t="s">
        <v>705</v>
      </c>
      <c r="J11" s="25">
        <v>85</v>
      </c>
      <c r="K11" s="26">
        <v>2.088E-3</v>
      </c>
      <c r="L11" s="26">
        <v>3.0000000000000001E-3</v>
      </c>
      <c r="M11" s="26">
        <v>2.5999999999999999E-3</v>
      </c>
      <c r="N11" s="25">
        <v>0.24</v>
      </c>
      <c r="O11" s="27">
        <v>3.1199999999999999E-2</v>
      </c>
    </row>
    <row r="12" spans="1:15">
      <c r="A12" s="28" t="s">
        <v>876</v>
      </c>
      <c r="B12" s="29" t="s">
        <v>18</v>
      </c>
      <c r="C12" s="29" t="s">
        <v>26</v>
      </c>
      <c r="D12" s="29" t="s">
        <v>20</v>
      </c>
      <c r="E12" s="152">
        <v>200000000</v>
      </c>
      <c r="F12" s="111">
        <v>200</v>
      </c>
      <c r="G12" s="152">
        <v>196243892</v>
      </c>
      <c r="H12" s="152">
        <v>196</v>
      </c>
      <c r="I12" s="29" t="s">
        <v>706</v>
      </c>
      <c r="J12" s="29">
        <v>197</v>
      </c>
      <c r="K12" s="30">
        <v>8.2590000000000007E-3</v>
      </c>
      <c r="L12" s="30">
        <v>3.3E-3</v>
      </c>
      <c r="M12" s="30">
        <v>2.8999999999999998E-3</v>
      </c>
      <c r="N12" s="29">
        <v>0.54</v>
      </c>
      <c r="O12" s="31">
        <v>3.4799999999999998E-2</v>
      </c>
    </row>
    <row r="13" spans="1:15">
      <c r="A13" s="24" t="s">
        <v>876</v>
      </c>
      <c r="B13" s="25" t="s">
        <v>18</v>
      </c>
      <c r="C13" s="25" t="s">
        <v>23</v>
      </c>
      <c r="D13" s="25" t="s">
        <v>20</v>
      </c>
      <c r="E13" s="153">
        <v>490936226</v>
      </c>
      <c r="F13" s="112">
        <v>490</v>
      </c>
      <c r="G13" s="153">
        <v>480048721</v>
      </c>
      <c r="H13" s="153">
        <v>480</v>
      </c>
      <c r="I13" s="25" t="s">
        <v>707</v>
      </c>
      <c r="J13" s="25">
        <v>242</v>
      </c>
      <c r="K13" s="26">
        <v>2.0202999999999999E-2</v>
      </c>
      <c r="L13" s="26">
        <v>3.3E-3</v>
      </c>
      <c r="M13" s="26">
        <v>2.8E-3</v>
      </c>
      <c r="N13" s="25">
        <v>0.67</v>
      </c>
      <c r="O13" s="27">
        <v>3.3599999999999998E-2</v>
      </c>
    </row>
    <row r="14" spans="1:15">
      <c r="A14" s="28" t="s">
        <v>876</v>
      </c>
      <c r="B14" s="29" t="s">
        <v>22</v>
      </c>
      <c r="C14" s="29" t="s">
        <v>29</v>
      </c>
      <c r="D14" s="29" t="s">
        <v>20</v>
      </c>
      <c r="E14" s="152">
        <v>100000000</v>
      </c>
      <c r="F14" s="111">
        <v>100</v>
      </c>
      <c r="G14" s="152">
        <v>99992001</v>
      </c>
      <c r="H14" s="152">
        <v>99</v>
      </c>
      <c r="I14" s="29" t="s">
        <v>605</v>
      </c>
      <c r="J14" s="29">
        <v>0</v>
      </c>
      <c r="K14" s="30">
        <v>1.2315E-2</v>
      </c>
      <c r="L14" s="30">
        <v>2.5000000000000001E-3</v>
      </c>
      <c r="M14" s="30">
        <v>2.3999999999999998E-3</v>
      </c>
      <c r="N14" s="29">
        <v>0</v>
      </c>
      <c r="O14" s="31">
        <v>2.8799999999999999E-2</v>
      </c>
    </row>
    <row r="15" spans="1:15">
      <c r="A15" s="24" t="s">
        <v>876</v>
      </c>
      <c r="B15" s="25" t="s">
        <v>22</v>
      </c>
      <c r="C15" s="25" t="s">
        <v>470</v>
      </c>
      <c r="D15" s="25" t="s">
        <v>20</v>
      </c>
      <c r="E15" s="153">
        <v>120000000</v>
      </c>
      <c r="F15" s="112">
        <v>120</v>
      </c>
      <c r="G15" s="153">
        <v>119990801</v>
      </c>
      <c r="H15" s="153">
        <v>119</v>
      </c>
      <c r="I15" s="25" t="s">
        <v>605</v>
      </c>
      <c r="J15" s="25">
        <v>0</v>
      </c>
      <c r="K15" s="26">
        <v>1.4777999999999999E-2</v>
      </c>
      <c r="L15" s="26">
        <v>2.3999999999999998E-3</v>
      </c>
      <c r="M15" s="26">
        <v>2.3E-3</v>
      </c>
      <c r="N15" s="25">
        <v>0</v>
      </c>
      <c r="O15" s="27">
        <v>2.76E-2</v>
      </c>
    </row>
    <row r="16" spans="1:15">
      <c r="A16" s="28" t="s">
        <v>876</v>
      </c>
      <c r="B16" s="29" t="s">
        <v>22</v>
      </c>
      <c r="C16" s="29" t="s">
        <v>667</v>
      </c>
      <c r="D16" s="29" t="s">
        <v>20</v>
      </c>
      <c r="E16" s="152">
        <v>300000000</v>
      </c>
      <c r="F16" s="111">
        <v>300</v>
      </c>
      <c r="G16" s="152">
        <v>299426100</v>
      </c>
      <c r="H16" s="152">
        <v>299</v>
      </c>
      <c r="I16" s="29" t="s">
        <v>649</v>
      </c>
      <c r="J16" s="29">
        <v>22</v>
      </c>
      <c r="K16" s="30">
        <v>3.6877E-2</v>
      </c>
      <c r="L16" s="30">
        <v>2.5999999999999999E-3</v>
      </c>
      <c r="M16" s="30">
        <v>2.5000000000000001E-3</v>
      </c>
      <c r="N16" s="29">
        <v>0.06</v>
      </c>
      <c r="O16" s="31">
        <v>0.03</v>
      </c>
    </row>
    <row r="17" spans="1:15">
      <c r="A17" s="24" t="s">
        <v>876</v>
      </c>
      <c r="B17" s="25" t="s">
        <v>22</v>
      </c>
      <c r="C17" s="25" t="s">
        <v>21</v>
      </c>
      <c r="D17" s="25" t="s">
        <v>20</v>
      </c>
      <c r="E17" s="153">
        <v>100000000</v>
      </c>
      <c r="F17" s="112">
        <v>100</v>
      </c>
      <c r="G17" s="153">
        <v>99749297</v>
      </c>
      <c r="H17" s="153">
        <v>99</v>
      </c>
      <c r="I17" s="25" t="s">
        <v>607</v>
      </c>
      <c r="J17" s="25">
        <v>28</v>
      </c>
      <c r="K17" s="26">
        <v>1.2285000000000001E-2</v>
      </c>
      <c r="L17" s="26">
        <v>2.7000000000000001E-3</v>
      </c>
      <c r="M17" s="26">
        <v>2.5999999999999999E-3</v>
      </c>
      <c r="N17" s="25">
        <v>0.08</v>
      </c>
      <c r="O17" s="27">
        <v>3.1199999999999999E-2</v>
      </c>
    </row>
    <row r="18" spans="1:15">
      <c r="A18" s="28" t="s">
        <v>876</v>
      </c>
      <c r="B18" s="29" t="s">
        <v>22</v>
      </c>
      <c r="C18" s="29" t="s">
        <v>31</v>
      </c>
      <c r="D18" s="29" t="s">
        <v>20</v>
      </c>
      <c r="E18" s="152">
        <v>100000000</v>
      </c>
      <c r="F18" s="111">
        <v>100</v>
      </c>
      <c r="G18" s="152">
        <v>99734043</v>
      </c>
      <c r="H18" s="152">
        <v>99</v>
      </c>
      <c r="I18" s="29" t="s">
        <v>647</v>
      </c>
      <c r="J18" s="29">
        <v>31</v>
      </c>
      <c r="K18" s="30">
        <v>1.2283000000000001E-2</v>
      </c>
      <c r="L18" s="30">
        <v>2.5999999999999999E-3</v>
      </c>
      <c r="M18" s="30">
        <v>2.5000000000000001E-3</v>
      </c>
      <c r="N18" s="29">
        <v>0.09</v>
      </c>
      <c r="O18" s="31">
        <v>0.03</v>
      </c>
    </row>
    <row r="19" spans="1:15">
      <c r="A19" s="24" t="s">
        <v>876</v>
      </c>
      <c r="B19" s="25" t="s">
        <v>22</v>
      </c>
      <c r="C19" s="25" t="s">
        <v>27</v>
      </c>
      <c r="D19" s="25" t="s">
        <v>20</v>
      </c>
      <c r="E19" s="153">
        <v>160000000</v>
      </c>
      <c r="F19" s="112">
        <v>160</v>
      </c>
      <c r="G19" s="153">
        <v>159378424</v>
      </c>
      <c r="H19" s="153">
        <v>159</v>
      </c>
      <c r="I19" s="25" t="s">
        <v>648</v>
      </c>
      <c r="J19" s="25">
        <v>44</v>
      </c>
      <c r="K19" s="26">
        <v>1.9629000000000001E-2</v>
      </c>
      <c r="L19" s="26">
        <v>2.5999999999999999E-3</v>
      </c>
      <c r="M19" s="26">
        <v>2.5999999999999999E-3</v>
      </c>
      <c r="N19" s="25">
        <v>0.12</v>
      </c>
      <c r="O19" s="27">
        <v>3.1199999999999999E-2</v>
      </c>
    </row>
    <row r="20" spans="1:15">
      <c r="A20" s="28" t="s">
        <v>876</v>
      </c>
      <c r="B20" s="29" t="s">
        <v>22</v>
      </c>
      <c r="C20" s="29" t="s">
        <v>199</v>
      </c>
      <c r="D20" s="29" t="s">
        <v>20</v>
      </c>
      <c r="E20" s="152">
        <v>110000000</v>
      </c>
      <c r="F20" s="111">
        <v>110</v>
      </c>
      <c r="G20" s="152">
        <v>109479970</v>
      </c>
      <c r="H20" s="152">
        <v>109</v>
      </c>
      <c r="I20" s="29" t="s">
        <v>628</v>
      </c>
      <c r="J20" s="29">
        <v>56</v>
      </c>
      <c r="K20" s="30">
        <v>1.3483E-2</v>
      </c>
      <c r="L20" s="30">
        <v>2.5999999999999999E-3</v>
      </c>
      <c r="M20" s="30">
        <v>2.5000000000000001E-3</v>
      </c>
      <c r="N20" s="29">
        <v>0.16</v>
      </c>
      <c r="O20" s="31">
        <v>0.03</v>
      </c>
    </row>
    <row r="21" spans="1:15">
      <c r="A21" s="24" t="s">
        <v>876</v>
      </c>
      <c r="B21" s="25" t="s">
        <v>22</v>
      </c>
      <c r="C21" s="25" t="s">
        <v>199</v>
      </c>
      <c r="D21" s="25" t="s">
        <v>20</v>
      </c>
      <c r="E21" s="153">
        <v>50000000</v>
      </c>
      <c r="F21" s="112">
        <v>50</v>
      </c>
      <c r="G21" s="153">
        <v>49730626</v>
      </c>
      <c r="H21" s="153">
        <v>49</v>
      </c>
      <c r="I21" s="25" t="s">
        <v>627</v>
      </c>
      <c r="J21" s="25">
        <v>64</v>
      </c>
      <c r="K21" s="26">
        <v>6.1240000000000001E-3</v>
      </c>
      <c r="L21" s="26">
        <v>2.7000000000000001E-3</v>
      </c>
      <c r="M21" s="26">
        <v>2.5000000000000001E-3</v>
      </c>
      <c r="N21" s="25">
        <v>0.18</v>
      </c>
      <c r="O21" s="27">
        <v>0.03</v>
      </c>
    </row>
    <row r="22" spans="1:15">
      <c r="A22" s="28" t="s">
        <v>876</v>
      </c>
      <c r="B22" s="29" t="s">
        <v>22</v>
      </c>
      <c r="C22" s="29" t="s">
        <v>31</v>
      </c>
      <c r="D22" s="29" t="s">
        <v>20</v>
      </c>
      <c r="E22" s="152">
        <v>100000000</v>
      </c>
      <c r="F22" s="111">
        <v>100</v>
      </c>
      <c r="G22" s="152">
        <v>99268720</v>
      </c>
      <c r="H22" s="152">
        <v>99</v>
      </c>
      <c r="I22" s="29" t="s">
        <v>708</v>
      </c>
      <c r="J22" s="29">
        <v>84</v>
      </c>
      <c r="K22" s="30">
        <v>1.2226000000000001E-2</v>
      </c>
      <c r="L22" s="30">
        <v>2.7000000000000001E-3</v>
      </c>
      <c r="M22" s="30">
        <v>2.5999999999999999E-3</v>
      </c>
      <c r="N22" s="29">
        <v>0.23</v>
      </c>
      <c r="O22" s="31">
        <v>3.1199999999999999E-2</v>
      </c>
    </row>
    <row r="23" spans="1:15">
      <c r="A23" s="24" t="s">
        <v>876</v>
      </c>
      <c r="B23" s="25" t="s">
        <v>22</v>
      </c>
      <c r="C23" s="25" t="s">
        <v>199</v>
      </c>
      <c r="D23" s="25" t="s">
        <v>20</v>
      </c>
      <c r="E23" s="153">
        <v>6210000</v>
      </c>
      <c r="F23" s="112">
        <v>6</v>
      </c>
      <c r="G23" s="153">
        <v>6164057</v>
      </c>
      <c r="H23" s="153">
        <v>6</v>
      </c>
      <c r="I23" s="25" t="s">
        <v>705</v>
      </c>
      <c r="J23" s="25">
        <v>85</v>
      </c>
      <c r="K23" s="26">
        <v>7.5900000000000002E-4</v>
      </c>
      <c r="L23" s="26">
        <v>3.0000000000000001E-3</v>
      </c>
      <c r="M23" s="26">
        <v>2.5999999999999999E-3</v>
      </c>
      <c r="N23" s="25">
        <v>0.24</v>
      </c>
      <c r="O23" s="27">
        <v>3.1199999999999999E-2</v>
      </c>
    </row>
    <row r="24" spans="1:15">
      <c r="A24" s="28" t="s">
        <v>876</v>
      </c>
      <c r="B24" s="29" t="s">
        <v>22</v>
      </c>
      <c r="C24" s="29" t="s">
        <v>25</v>
      </c>
      <c r="D24" s="29" t="s">
        <v>20</v>
      </c>
      <c r="E24" s="152">
        <v>50000000</v>
      </c>
      <c r="F24" s="111">
        <v>50</v>
      </c>
      <c r="G24" s="152">
        <v>49557616</v>
      </c>
      <c r="H24" s="152">
        <v>49</v>
      </c>
      <c r="I24" s="29" t="s">
        <v>711</v>
      </c>
      <c r="J24" s="29">
        <v>102</v>
      </c>
      <c r="K24" s="30">
        <v>6.1029999999999999E-3</v>
      </c>
      <c r="L24" s="30">
        <v>2.5999999999999999E-3</v>
      </c>
      <c r="M24" s="30">
        <v>2.5999999999999999E-3</v>
      </c>
      <c r="N24" s="29">
        <v>0.28000000000000003</v>
      </c>
      <c r="O24" s="31">
        <v>3.1199999999999999E-2</v>
      </c>
    </row>
    <row r="25" spans="1:15">
      <c r="A25" s="24" t="s">
        <v>876</v>
      </c>
      <c r="B25" s="25" t="s">
        <v>22</v>
      </c>
      <c r="C25" s="25" t="s">
        <v>29</v>
      </c>
      <c r="D25" s="25" t="s">
        <v>20</v>
      </c>
      <c r="E25" s="153">
        <v>350000000</v>
      </c>
      <c r="F25" s="112">
        <v>350</v>
      </c>
      <c r="G25" s="153">
        <v>346352904</v>
      </c>
      <c r="H25" s="153">
        <v>346</v>
      </c>
      <c r="I25" s="25" t="s">
        <v>712</v>
      </c>
      <c r="J25" s="25">
        <v>116</v>
      </c>
      <c r="K25" s="26">
        <v>4.2657E-2</v>
      </c>
      <c r="L25" s="26">
        <v>2.8E-3</v>
      </c>
      <c r="M25" s="26">
        <v>2.7000000000000001E-3</v>
      </c>
      <c r="N25" s="25">
        <v>0.32</v>
      </c>
      <c r="O25" s="27">
        <v>3.2399999999999998E-2</v>
      </c>
    </row>
    <row r="26" spans="1:15">
      <c r="A26" s="28" t="s">
        <v>876</v>
      </c>
      <c r="B26" s="29" t="s">
        <v>22</v>
      </c>
      <c r="C26" s="29" t="s">
        <v>31</v>
      </c>
      <c r="D26" s="29" t="s">
        <v>20</v>
      </c>
      <c r="E26" s="152">
        <v>400000000</v>
      </c>
      <c r="F26" s="111">
        <v>400</v>
      </c>
      <c r="G26" s="152">
        <v>395585268</v>
      </c>
      <c r="H26" s="152">
        <v>395</v>
      </c>
      <c r="I26" s="29" t="s">
        <v>713</v>
      </c>
      <c r="J26" s="29">
        <v>123</v>
      </c>
      <c r="K26" s="30">
        <v>4.8719999999999999E-2</v>
      </c>
      <c r="L26" s="30">
        <v>3.0000000000000001E-3</v>
      </c>
      <c r="M26" s="30">
        <v>2.7000000000000001E-3</v>
      </c>
      <c r="N26" s="29">
        <v>0.34</v>
      </c>
      <c r="O26" s="31">
        <v>3.2399999999999998E-2</v>
      </c>
    </row>
    <row r="27" spans="1:15">
      <c r="A27" s="24" t="s">
        <v>876</v>
      </c>
      <c r="B27" s="25" t="s">
        <v>22</v>
      </c>
      <c r="C27" s="25" t="s">
        <v>31</v>
      </c>
      <c r="D27" s="25" t="s">
        <v>20</v>
      </c>
      <c r="E27" s="153">
        <v>50000000</v>
      </c>
      <c r="F27" s="112">
        <v>50</v>
      </c>
      <c r="G27" s="153">
        <v>49333991</v>
      </c>
      <c r="H27" s="153">
        <v>49</v>
      </c>
      <c r="I27" s="25" t="s">
        <v>714</v>
      </c>
      <c r="J27" s="25">
        <v>149</v>
      </c>
      <c r="K27" s="26">
        <v>6.0759999999999998E-3</v>
      </c>
      <c r="L27" s="26">
        <v>2.8999999999999998E-3</v>
      </c>
      <c r="M27" s="26">
        <v>2.7000000000000001E-3</v>
      </c>
      <c r="N27" s="25">
        <v>0.41</v>
      </c>
      <c r="O27" s="27">
        <v>3.2399999999999998E-2</v>
      </c>
    </row>
    <row r="28" spans="1:15">
      <c r="A28" s="28" t="s">
        <v>876</v>
      </c>
      <c r="B28" s="29" t="s">
        <v>22</v>
      </c>
      <c r="C28" s="29" t="s">
        <v>199</v>
      </c>
      <c r="D28" s="29" t="s">
        <v>20</v>
      </c>
      <c r="E28" s="152">
        <v>50000000</v>
      </c>
      <c r="F28" s="111">
        <v>50</v>
      </c>
      <c r="G28" s="152">
        <v>49358342</v>
      </c>
      <c r="H28" s="152">
        <v>49</v>
      </c>
      <c r="I28" s="29" t="s">
        <v>714</v>
      </c>
      <c r="J28" s="29">
        <v>149</v>
      </c>
      <c r="K28" s="30">
        <v>6.0790000000000002E-3</v>
      </c>
      <c r="L28" s="30">
        <v>3.0999999999999999E-3</v>
      </c>
      <c r="M28" s="30">
        <v>2.5999999999999999E-3</v>
      </c>
      <c r="N28" s="29">
        <v>0.41</v>
      </c>
      <c r="O28" s="31">
        <v>3.1199999999999999E-2</v>
      </c>
    </row>
    <row r="29" spans="1:15">
      <c r="A29" s="24" t="s">
        <v>876</v>
      </c>
      <c r="B29" s="25" t="s">
        <v>22</v>
      </c>
      <c r="C29" s="25" t="s">
        <v>421</v>
      </c>
      <c r="D29" s="25" t="s">
        <v>20</v>
      </c>
      <c r="E29" s="153">
        <v>380000000</v>
      </c>
      <c r="F29" s="112">
        <v>380</v>
      </c>
      <c r="G29" s="153">
        <v>374339979</v>
      </c>
      <c r="H29" s="153">
        <v>374</v>
      </c>
      <c r="I29" s="25" t="s">
        <v>715</v>
      </c>
      <c r="J29" s="25">
        <v>161</v>
      </c>
      <c r="K29" s="26">
        <v>4.6103999999999999E-2</v>
      </c>
      <c r="L29" s="26">
        <v>2.9499999999999999E-3</v>
      </c>
      <c r="M29" s="26">
        <v>2.8E-3</v>
      </c>
      <c r="N29" s="25">
        <v>0.44</v>
      </c>
      <c r="O29" s="27">
        <v>3.3599999999999998E-2</v>
      </c>
    </row>
    <row r="30" spans="1:15">
      <c r="A30" s="28" t="s">
        <v>876</v>
      </c>
      <c r="B30" s="29" t="s">
        <v>22</v>
      </c>
      <c r="C30" s="29" t="s">
        <v>21</v>
      </c>
      <c r="D30" s="29" t="s">
        <v>20</v>
      </c>
      <c r="E30" s="152">
        <v>600000000</v>
      </c>
      <c r="F30" s="111">
        <v>600</v>
      </c>
      <c r="G30" s="152">
        <v>590303285</v>
      </c>
      <c r="H30" s="152">
        <v>590</v>
      </c>
      <c r="I30" s="29" t="s">
        <v>716</v>
      </c>
      <c r="J30" s="29">
        <v>175</v>
      </c>
      <c r="K30" s="30">
        <v>7.2702000000000003E-2</v>
      </c>
      <c r="L30" s="30">
        <v>3.0999999999999999E-3</v>
      </c>
      <c r="M30" s="30">
        <v>2.8E-3</v>
      </c>
      <c r="N30" s="29">
        <v>0.48</v>
      </c>
      <c r="O30" s="31">
        <v>3.3599999999999998E-2</v>
      </c>
    </row>
    <row r="31" spans="1:15">
      <c r="A31" s="24" t="s">
        <v>876</v>
      </c>
      <c r="B31" s="25" t="s">
        <v>22</v>
      </c>
      <c r="C31" s="25" t="s">
        <v>27</v>
      </c>
      <c r="D31" s="25" t="s">
        <v>20</v>
      </c>
      <c r="E31" s="153">
        <v>600000000</v>
      </c>
      <c r="F31" s="112">
        <v>600</v>
      </c>
      <c r="G31" s="153">
        <v>589815846</v>
      </c>
      <c r="H31" s="153">
        <v>589</v>
      </c>
      <c r="I31" s="25" t="s">
        <v>717</v>
      </c>
      <c r="J31" s="25">
        <v>184</v>
      </c>
      <c r="K31" s="26">
        <v>7.2641999999999998E-2</v>
      </c>
      <c r="L31" s="26">
        <v>3.15E-3</v>
      </c>
      <c r="M31" s="26">
        <v>2.8E-3</v>
      </c>
      <c r="N31" s="25">
        <v>0.51</v>
      </c>
      <c r="O31" s="27">
        <v>3.3599999999999998E-2</v>
      </c>
    </row>
    <row r="32" spans="1:15">
      <c r="A32" s="28" t="s">
        <v>876</v>
      </c>
      <c r="B32" s="29" t="s">
        <v>22</v>
      </c>
      <c r="C32" s="29" t="s">
        <v>19</v>
      </c>
      <c r="D32" s="29" t="s">
        <v>20</v>
      </c>
      <c r="E32" s="152">
        <v>100000000</v>
      </c>
      <c r="F32" s="111">
        <v>100</v>
      </c>
      <c r="G32" s="152">
        <v>98243086</v>
      </c>
      <c r="H32" s="152">
        <v>98</v>
      </c>
      <c r="I32" s="29" t="s">
        <v>717</v>
      </c>
      <c r="J32" s="29">
        <v>184</v>
      </c>
      <c r="K32" s="30">
        <v>1.2099E-2</v>
      </c>
      <c r="L32" s="30">
        <v>3.2000000000000002E-3</v>
      </c>
      <c r="M32" s="30">
        <v>2.8999999999999998E-3</v>
      </c>
      <c r="N32" s="29">
        <v>0.51</v>
      </c>
      <c r="O32" s="31">
        <v>3.4799999999999998E-2</v>
      </c>
    </row>
    <row r="33" spans="1:15">
      <c r="A33" s="24" t="s">
        <v>876</v>
      </c>
      <c r="B33" s="25" t="s">
        <v>22</v>
      </c>
      <c r="C33" s="25" t="s">
        <v>26</v>
      </c>
      <c r="D33" s="25" t="s">
        <v>20</v>
      </c>
      <c r="E33" s="153">
        <v>150000000</v>
      </c>
      <c r="F33" s="112">
        <v>150</v>
      </c>
      <c r="G33" s="153">
        <v>146785400</v>
      </c>
      <c r="H33" s="153">
        <v>146</v>
      </c>
      <c r="I33" s="25" t="s">
        <v>718</v>
      </c>
      <c r="J33" s="25">
        <v>218</v>
      </c>
      <c r="K33" s="26">
        <v>1.8078E-2</v>
      </c>
      <c r="L33" s="26">
        <v>3.3999999999999998E-3</v>
      </c>
      <c r="M33" s="26">
        <v>3.0000000000000001E-3</v>
      </c>
      <c r="N33" s="25">
        <v>0.6</v>
      </c>
      <c r="O33" s="27">
        <v>3.5999999999999997E-2</v>
      </c>
    </row>
    <row r="34" spans="1:15">
      <c r="A34" s="28" t="s">
        <v>876</v>
      </c>
      <c r="B34" s="29" t="s">
        <v>22</v>
      </c>
      <c r="C34" s="29" t="s">
        <v>29</v>
      </c>
      <c r="D34" s="29" t="s">
        <v>20</v>
      </c>
      <c r="E34" s="152">
        <v>250000000</v>
      </c>
      <c r="F34" s="111">
        <v>250</v>
      </c>
      <c r="G34" s="152">
        <v>244947549</v>
      </c>
      <c r="H34" s="152">
        <v>244</v>
      </c>
      <c r="I34" s="29" t="s">
        <v>877</v>
      </c>
      <c r="J34" s="29">
        <v>220</v>
      </c>
      <c r="K34" s="30">
        <v>3.0168E-2</v>
      </c>
      <c r="L34" s="30">
        <v>2.8E-3</v>
      </c>
      <c r="M34" s="30">
        <v>2.8E-3</v>
      </c>
      <c r="N34" s="29">
        <v>0.61</v>
      </c>
      <c r="O34" s="31">
        <v>3.3599999999999998E-2</v>
      </c>
    </row>
    <row r="35" spans="1:15">
      <c r="A35" s="24" t="s">
        <v>876</v>
      </c>
      <c r="B35" s="25" t="s">
        <v>22</v>
      </c>
      <c r="C35" s="25" t="s">
        <v>709</v>
      </c>
      <c r="D35" s="25" t="s">
        <v>20</v>
      </c>
      <c r="E35" s="153">
        <v>300000000</v>
      </c>
      <c r="F35" s="112">
        <v>300</v>
      </c>
      <c r="G35" s="153">
        <v>293802721</v>
      </c>
      <c r="H35" s="153">
        <v>293</v>
      </c>
      <c r="I35" s="25" t="s">
        <v>719</v>
      </c>
      <c r="J35" s="25">
        <v>225</v>
      </c>
      <c r="K35" s="26">
        <v>3.6185000000000002E-2</v>
      </c>
      <c r="L35" s="26">
        <v>3.2000000000000002E-3</v>
      </c>
      <c r="M35" s="26">
        <v>2.8E-3</v>
      </c>
      <c r="N35" s="25">
        <v>0.62</v>
      </c>
      <c r="O35" s="27">
        <v>3.3599999999999998E-2</v>
      </c>
    </row>
    <row r="36" spans="1:15">
      <c r="A36" s="28" t="s">
        <v>876</v>
      </c>
      <c r="B36" s="29" t="s">
        <v>22</v>
      </c>
      <c r="C36" s="29" t="s">
        <v>26</v>
      </c>
      <c r="D36" s="29" t="s">
        <v>20</v>
      </c>
      <c r="E36" s="152">
        <v>100000000</v>
      </c>
      <c r="F36" s="111">
        <v>100</v>
      </c>
      <c r="G36" s="152">
        <v>97732604</v>
      </c>
      <c r="H36" s="152">
        <v>97</v>
      </c>
      <c r="I36" s="29" t="s">
        <v>720</v>
      </c>
      <c r="J36" s="29">
        <v>231</v>
      </c>
      <c r="K36" s="30">
        <v>1.2036E-2</v>
      </c>
      <c r="L36" s="30">
        <v>3.2000000000000002E-3</v>
      </c>
      <c r="M36" s="30">
        <v>3.0000000000000001E-3</v>
      </c>
      <c r="N36" s="29">
        <v>0.64</v>
      </c>
      <c r="O36" s="31">
        <v>3.5999999999999997E-2</v>
      </c>
    </row>
    <row r="37" spans="1:15">
      <c r="A37" s="24" t="s">
        <v>876</v>
      </c>
      <c r="B37" s="25" t="s">
        <v>22</v>
      </c>
      <c r="C37" s="25" t="s">
        <v>19</v>
      </c>
      <c r="D37" s="25" t="s">
        <v>20</v>
      </c>
      <c r="E37" s="153">
        <v>500000000</v>
      </c>
      <c r="F37" s="112">
        <v>500</v>
      </c>
      <c r="G37" s="153">
        <v>488185901</v>
      </c>
      <c r="H37" s="153">
        <v>488</v>
      </c>
      <c r="I37" s="25" t="s">
        <v>721</v>
      </c>
      <c r="J37" s="25">
        <v>241</v>
      </c>
      <c r="K37" s="26">
        <v>6.0124999999999998E-2</v>
      </c>
      <c r="L37" s="26">
        <v>3.3999999999999998E-3</v>
      </c>
      <c r="M37" s="26">
        <v>3.0000000000000001E-3</v>
      </c>
      <c r="N37" s="25">
        <v>0.66</v>
      </c>
      <c r="O37" s="27">
        <v>3.5999999999999997E-2</v>
      </c>
    </row>
    <row r="38" spans="1:15">
      <c r="A38" s="28" t="s">
        <v>876</v>
      </c>
      <c r="B38" s="29" t="s">
        <v>22</v>
      </c>
      <c r="C38" s="29" t="s">
        <v>23</v>
      </c>
      <c r="D38" s="29" t="s">
        <v>20</v>
      </c>
      <c r="E38" s="152">
        <v>200000000</v>
      </c>
      <c r="F38" s="111">
        <v>200</v>
      </c>
      <c r="G38" s="152">
        <v>195564595</v>
      </c>
      <c r="H38" s="152">
        <v>195</v>
      </c>
      <c r="I38" s="29" t="s">
        <v>707</v>
      </c>
      <c r="J38" s="29">
        <v>242</v>
      </c>
      <c r="K38" s="30">
        <v>2.4084999999999999E-2</v>
      </c>
      <c r="L38" s="30">
        <v>3.3E-3</v>
      </c>
      <c r="M38" s="30">
        <v>2.8E-3</v>
      </c>
      <c r="N38" s="29">
        <v>0.67</v>
      </c>
      <c r="O38" s="31">
        <v>3.3599999999999998E-2</v>
      </c>
    </row>
    <row r="39" spans="1:15">
      <c r="A39" s="24" t="s">
        <v>876</v>
      </c>
      <c r="B39" s="25" t="s">
        <v>22</v>
      </c>
      <c r="C39" s="25" t="s">
        <v>421</v>
      </c>
      <c r="D39" s="25" t="s">
        <v>20</v>
      </c>
      <c r="E39" s="153">
        <v>600000000</v>
      </c>
      <c r="F39" s="112">
        <v>600</v>
      </c>
      <c r="G39" s="153">
        <v>586229470</v>
      </c>
      <c r="H39" s="153">
        <v>586</v>
      </c>
      <c r="I39" s="25" t="s">
        <v>707</v>
      </c>
      <c r="J39" s="25">
        <v>242</v>
      </c>
      <c r="K39" s="26">
        <v>7.22E-2</v>
      </c>
      <c r="L39" s="26">
        <v>3.3999999999999998E-3</v>
      </c>
      <c r="M39" s="26">
        <v>2.8999999999999998E-3</v>
      </c>
      <c r="N39" s="25">
        <v>0.67</v>
      </c>
      <c r="O39" s="27">
        <v>3.4799999999999998E-2</v>
      </c>
    </row>
    <row r="40" spans="1:15">
      <c r="A40" s="28" t="s">
        <v>876</v>
      </c>
      <c r="B40" s="29" t="s">
        <v>22</v>
      </c>
      <c r="C40" s="29" t="s">
        <v>26</v>
      </c>
      <c r="D40" s="29" t="s">
        <v>20</v>
      </c>
      <c r="E40" s="152">
        <v>300000000</v>
      </c>
      <c r="F40" s="111">
        <v>300</v>
      </c>
      <c r="G40" s="152">
        <v>292711484</v>
      </c>
      <c r="H40" s="152">
        <v>292</v>
      </c>
      <c r="I40" s="29" t="s">
        <v>722</v>
      </c>
      <c r="J40" s="29">
        <v>248</v>
      </c>
      <c r="K40" s="30">
        <v>3.6049999999999999E-2</v>
      </c>
      <c r="L40" s="30">
        <v>3.5000000000000001E-3</v>
      </c>
      <c r="M40" s="30">
        <v>3.0000000000000001E-3</v>
      </c>
      <c r="N40" s="29">
        <v>0.68</v>
      </c>
      <c r="O40" s="31">
        <v>3.5999999999999997E-2</v>
      </c>
    </row>
    <row r="41" spans="1:15">
      <c r="A41" s="24" t="s">
        <v>876</v>
      </c>
      <c r="B41" s="25" t="s">
        <v>22</v>
      </c>
      <c r="C41" s="25" t="s">
        <v>19</v>
      </c>
      <c r="D41" s="25" t="s">
        <v>20</v>
      </c>
      <c r="E41" s="153">
        <v>300000000</v>
      </c>
      <c r="F41" s="112">
        <v>300</v>
      </c>
      <c r="G41" s="153">
        <v>292682927</v>
      </c>
      <c r="H41" s="153">
        <v>292</v>
      </c>
      <c r="I41" s="25" t="s">
        <v>723</v>
      </c>
      <c r="J41" s="25">
        <v>249</v>
      </c>
      <c r="K41" s="26">
        <v>3.6047000000000003E-2</v>
      </c>
      <c r="L41" s="26">
        <v>3.3999999999999998E-3</v>
      </c>
      <c r="M41" s="26">
        <v>3.0000000000000001E-3</v>
      </c>
      <c r="N41" s="25">
        <v>0.68</v>
      </c>
      <c r="O41" s="27">
        <v>3.5999999999999997E-2</v>
      </c>
    </row>
    <row r="42" spans="1:15">
      <c r="A42" s="28" t="s">
        <v>876</v>
      </c>
      <c r="B42" s="29" t="s">
        <v>22</v>
      </c>
      <c r="C42" s="29" t="s">
        <v>23</v>
      </c>
      <c r="D42" s="29" t="s">
        <v>20</v>
      </c>
      <c r="E42" s="152">
        <v>300000000</v>
      </c>
      <c r="F42" s="111">
        <v>300</v>
      </c>
      <c r="G42" s="152">
        <v>292999271</v>
      </c>
      <c r="H42" s="152">
        <v>292</v>
      </c>
      <c r="I42" s="29" t="s">
        <v>724</v>
      </c>
      <c r="J42" s="29">
        <v>255</v>
      </c>
      <c r="K42" s="30">
        <v>3.6086E-2</v>
      </c>
      <c r="L42" s="30">
        <v>3.2000000000000002E-3</v>
      </c>
      <c r="M42" s="30">
        <v>2.8E-3</v>
      </c>
      <c r="N42" s="29">
        <v>0.7</v>
      </c>
      <c r="O42" s="31">
        <v>3.3599999999999998E-2</v>
      </c>
    </row>
    <row r="43" spans="1:15">
      <c r="A43" s="24" t="s">
        <v>876</v>
      </c>
      <c r="B43" s="25" t="s">
        <v>22</v>
      </c>
      <c r="C43" s="25" t="s">
        <v>421</v>
      </c>
      <c r="D43" s="25" t="s">
        <v>20</v>
      </c>
      <c r="E43" s="153">
        <v>100000000</v>
      </c>
      <c r="F43" s="112">
        <v>100</v>
      </c>
      <c r="G43" s="153">
        <v>97585094</v>
      </c>
      <c r="H43" s="153">
        <v>97</v>
      </c>
      <c r="I43" s="25" t="s">
        <v>724</v>
      </c>
      <c r="J43" s="25">
        <v>255</v>
      </c>
      <c r="K43" s="26">
        <v>1.2017999999999999E-2</v>
      </c>
      <c r="L43" s="26">
        <v>3.3999999999999998E-3</v>
      </c>
      <c r="M43" s="26">
        <v>2.8999999999999998E-3</v>
      </c>
      <c r="N43" s="25">
        <v>0.7</v>
      </c>
      <c r="O43" s="27">
        <v>3.4799999999999998E-2</v>
      </c>
    </row>
    <row r="44" spans="1:15">
      <c r="A44" s="28" t="s">
        <v>876</v>
      </c>
      <c r="B44" s="29" t="s">
        <v>22</v>
      </c>
      <c r="C44" s="29" t="s">
        <v>668</v>
      </c>
      <c r="D44" s="29" t="s">
        <v>20</v>
      </c>
      <c r="E44" s="152">
        <v>150000000</v>
      </c>
      <c r="F44" s="111">
        <v>150</v>
      </c>
      <c r="G44" s="152">
        <v>145906827</v>
      </c>
      <c r="H44" s="152">
        <v>145</v>
      </c>
      <c r="I44" s="29" t="s">
        <v>725</v>
      </c>
      <c r="J44" s="29">
        <v>262</v>
      </c>
      <c r="K44" s="30">
        <v>1.797E-2</v>
      </c>
      <c r="L44" s="30">
        <v>3.5000000000000001E-3</v>
      </c>
      <c r="M44" s="30">
        <v>3.2000000000000002E-3</v>
      </c>
      <c r="N44" s="29">
        <v>0.72</v>
      </c>
      <c r="O44" s="31">
        <v>3.8399999999999997E-2</v>
      </c>
    </row>
    <row r="45" spans="1:15">
      <c r="A45" s="24" t="s">
        <v>876</v>
      </c>
      <c r="B45" s="25" t="s">
        <v>22</v>
      </c>
      <c r="C45" s="25" t="s">
        <v>19</v>
      </c>
      <c r="D45" s="25" t="s">
        <v>20</v>
      </c>
      <c r="E45" s="153">
        <v>200000000</v>
      </c>
      <c r="F45" s="112">
        <v>200</v>
      </c>
      <c r="G45" s="153">
        <v>193928111</v>
      </c>
      <c r="H45" s="153">
        <v>193</v>
      </c>
      <c r="I45" s="25" t="s">
        <v>726</v>
      </c>
      <c r="J45" s="25">
        <v>302</v>
      </c>
      <c r="K45" s="26">
        <v>2.3883999999999999E-2</v>
      </c>
      <c r="L45" s="26">
        <v>3.3999999999999998E-3</v>
      </c>
      <c r="M45" s="26">
        <v>3.0999999999999999E-3</v>
      </c>
      <c r="N45" s="25">
        <v>0.83</v>
      </c>
      <c r="O45" s="27">
        <v>3.7199999999999997E-2</v>
      </c>
    </row>
    <row r="46" spans="1:15">
      <c r="A46" s="28" t="s">
        <v>876</v>
      </c>
      <c r="B46" s="29" t="s">
        <v>22</v>
      </c>
      <c r="C46" s="29" t="s">
        <v>199</v>
      </c>
      <c r="D46" s="29" t="s">
        <v>20</v>
      </c>
      <c r="E46" s="152">
        <v>350000000</v>
      </c>
      <c r="F46" s="111">
        <v>350</v>
      </c>
      <c r="G46" s="152">
        <v>339848719</v>
      </c>
      <c r="H46" s="152">
        <v>339</v>
      </c>
      <c r="I46" s="29" t="s">
        <v>727</v>
      </c>
      <c r="J46" s="29">
        <v>308</v>
      </c>
      <c r="K46" s="30">
        <v>4.1855999999999997E-2</v>
      </c>
      <c r="L46" s="30">
        <v>3.3E-3</v>
      </c>
      <c r="M46" s="30">
        <v>2.8999999999999998E-3</v>
      </c>
      <c r="N46" s="29">
        <v>0.85</v>
      </c>
      <c r="O46" s="31">
        <v>3.4799999999999998E-2</v>
      </c>
    </row>
    <row r="47" spans="1:15">
      <c r="A47" s="24" t="s">
        <v>876</v>
      </c>
      <c r="B47" s="25" t="s">
        <v>28</v>
      </c>
      <c r="C47" s="25" t="s">
        <v>625</v>
      </c>
      <c r="D47" s="25" t="s">
        <v>20</v>
      </c>
      <c r="E47" s="153">
        <v>150000000</v>
      </c>
      <c r="F47" s="112">
        <v>150</v>
      </c>
      <c r="G47" s="153">
        <v>149988001</v>
      </c>
      <c r="H47" s="153">
        <v>149</v>
      </c>
      <c r="I47" s="25" t="s">
        <v>605</v>
      </c>
      <c r="J47" s="25">
        <v>0</v>
      </c>
      <c r="K47" s="26">
        <v>1.4713E-2</v>
      </c>
      <c r="L47" s="26">
        <v>2.5000000000000001E-3</v>
      </c>
      <c r="M47" s="26">
        <v>2.3999999999999998E-3</v>
      </c>
      <c r="N47" s="25">
        <v>0</v>
      </c>
      <c r="O47" s="27">
        <v>2.8799999999999999E-2</v>
      </c>
    </row>
    <row r="48" spans="1:15">
      <c r="A48" s="28" t="s">
        <v>876</v>
      </c>
      <c r="B48" s="29" t="s">
        <v>28</v>
      </c>
      <c r="C48" s="29" t="s">
        <v>21</v>
      </c>
      <c r="D48" s="29" t="s">
        <v>20</v>
      </c>
      <c r="E48" s="152">
        <v>50000000</v>
      </c>
      <c r="F48" s="111">
        <v>50</v>
      </c>
      <c r="G48" s="152">
        <v>49992001</v>
      </c>
      <c r="H48" s="152">
        <v>49</v>
      </c>
      <c r="I48" s="29" t="s">
        <v>728</v>
      </c>
      <c r="J48" s="29">
        <v>1</v>
      </c>
      <c r="K48" s="30">
        <v>4.9040000000000004E-3</v>
      </c>
      <c r="L48" s="30">
        <v>2.3999999999999998E-3</v>
      </c>
      <c r="M48" s="30">
        <v>2.3999999999999998E-3</v>
      </c>
      <c r="N48" s="29">
        <v>0.01</v>
      </c>
      <c r="O48" s="31">
        <v>2.8799999999999999E-2</v>
      </c>
    </row>
    <row r="49" spans="1:15">
      <c r="A49" s="24" t="s">
        <v>876</v>
      </c>
      <c r="B49" s="25" t="s">
        <v>28</v>
      </c>
      <c r="C49" s="25" t="s">
        <v>25</v>
      </c>
      <c r="D49" s="25" t="s">
        <v>20</v>
      </c>
      <c r="E49" s="153">
        <v>50000000</v>
      </c>
      <c r="F49" s="112">
        <v>50</v>
      </c>
      <c r="G49" s="153">
        <v>49933422</v>
      </c>
      <c r="H49" s="153">
        <v>49</v>
      </c>
      <c r="I49" s="25" t="s">
        <v>729</v>
      </c>
      <c r="J49" s="25">
        <v>15</v>
      </c>
      <c r="K49" s="26">
        <v>4.8979999999999996E-3</v>
      </c>
      <c r="L49" s="26">
        <v>2.5000000000000001E-3</v>
      </c>
      <c r="M49" s="26">
        <v>2.5000000000000001E-3</v>
      </c>
      <c r="N49" s="25">
        <v>0.04</v>
      </c>
      <c r="O49" s="27">
        <v>0.03</v>
      </c>
    </row>
    <row r="50" spans="1:15">
      <c r="A50" s="28" t="s">
        <v>876</v>
      </c>
      <c r="B50" s="29" t="s">
        <v>28</v>
      </c>
      <c r="C50" s="29" t="s">
        <v>541</v>
      </c>
      <c r="D50" s="29" t="s">
        <v>20</v>
      </c>
      <c r="E50" s="152">
        <v>277000000</v>
      </c>
      <c r="F50" s="111">
        <v>277</v>
      </c>
      <c r="G50" s="152">
        <v>276544623</v>
      </c>
      <c r="H50" s="152">
        <v>276</v>
      </c>
      <c r="I50" s="29" t="s">
        <v>645</v>
      </c>
      <c r="J50" s="29">
        <v>18</v>
      </c>
      <c r="K50" s="30">
        <v>2.7127999999999999E-2</v>
      </c>
      <c r="L50" s="30">
        <v>3.0500000000000002E-3</v>
      </c>
      <c r="M50" s="30">
        <v>2.5999999999999999E-3</v>
      </c>
      <c r="N50" s="29">
        <v>0.05</v>
      </c>
      <c r="O50" s="31">
        <v>3.1199999999999999E-2</v>
      </c>
    </row>
    <row r="51" spans="1:15">
      <c r="A51" s="24" t="s">
        <v>876</v>
      </c>
      <c r="B51" s="25" t="s">
        <v>28</v>
      </c>
      <c r="C51" s="25" t="s">
        <v>19</v>
      </c>
      <c r="D51" s="25" t="s">
        <v>20</v>
      </c>
      <c r="E51" s="153">
        <v>50000000</v>
      </c>
      <c r="F51" s="112">
        <v>50</v>
      </c>
      <c r="G51" s="153">
        <v>49900200</v>
      </c>
      <c r="H51" s="153">
        <v>49</v>
      </c>
      <c r="I51" s="25" t="s">
        <v>730</v>
      </c>
      <c r="J51" s="25">
        <v>23</v>
      </c>
      <c r="K51" s="26">
        <v>4.895E-3</v>
      </c>
      <c r="L51" s="26">
        <v>2.5000000000000001E-3</v>
      </c>
      <c r="M51" s="26">
        <v>2.5000000000000001E-3</v>
      </c>
      <c r="N51" s="25">
        <v>7.0000000000000007E-2</v>
      </c>
      <c r="O51" s="27">
        <v>0.03</v>
      </c>
    </row>
    <row r="52" spans="1:15">
      <c r="A52" s="28" t="s">
        <v>876</v>
      </c>
      <c r="B52" s="29" t="s">
        <v>28</v>
      </c>
      <c r="C52" s="29" t="s">
        <v>31</v>
      </c>
      <c r="D52" s="29" t="s">
        <v>20</v>
      </c>
      <c r="E52" s="152">
        <v>50000000</v>
      </c>
      <c r="F52" s="111">
        <v>50</v>
      </c>
      <c r="G52" s="152">
        <v>49879458</v>
      </c>
      <c r="H52" s="152">
        <v>49</v>
      </c>
      <c r="I52" s="29" t="s">
        <v>607</v>
      </c>
      <c r="J52" s="29">
        <v>28</v>
      </c>
      <c r="K52" s="30">
        <v>4.8929999999999998E-3</v>
      </c>
      <c r="L52" s="30">
        <v>2.5999999999999999E-3</v>
      </c>
      <c r="M52" s="30">
        <v>2.5000000000000001E-3</v>
      </c>
      <c r="N52" s="29">
        <v>0.08</v>
      </c>
      <c r="O52" s="31">
        <v>0.03</v>
      </c>
    </row>
    <row r="53" spans="1:15">
      <c r="A53" s="24" t="s">
        <v>876</v>
      </c>
      <c r="B53" s="25" t="s">
        <v>28</v>
      </c>
      <c r="C53" s="25" t="s">
        <v>25</v>
      </c>
      <c r="D53" s="25" t="s">
        <v>20</v>
      </c>
      <c r="E53" s="153">
        <v>1000000000</v>
      </c>
      <c r="F53" s="112">
        <v>1000</v>
      </c>
      <c r="G53" s="153">
        <v>996115151</v>
      </c>
      <c r="H53" s="153">
        <v>996</v>
      </c>
      <c r="I53" s="25" t="s">
        <v>648</v>
      </c>
      <c r="J53" s="25">
        <v>44</v>
      </c>
      <c r="K53" s="26">
        <v>9.7716999999999998E-2</v>
      </c>
      <c r="L53" s="26">
        <v>2.5999999999999999E-3</v>
      </c>
      <c r="M53" s="26">
        <v>2.5999999999999999E-3</v>
      </c>
      <c r="N53" s="25">
        <v>0.12</v>
      </c>
      <c r="O53" s="27">
        <v>3.1199999999999999E-2</v>
      </c>
    </row>
    <row r="54" spans="1:15">
      <c r="A54" s="28" t="s">
        <v>876</v>
      </c>
      <c r="B54" s="29" t="s">
        <v>28</v>
      </c>
      <c r="C54" s="29" t="s">
        <v>199</v>
      </c>
      <c r="D54" s="29" t="s">
        <v>20</v>
      </c>
      <c r="E54" s="152">
        <v>50000000</v>
      </c>
      <c r="F54" s="111">
        <v>50</v>
      </c>
      <c r="G54" s="152">
        <v>49730626</v>
      </c>
      <c r="H54" s="152">
        <v>49</v>
      </c>
      <c r="I54" s="29" t="s">
        <v>627</v>
      </c>
      <c r="J54" s="29">
        <v>64</v>
      </c>
      <c r="K54" s="30">
        <v>4.8780000000000004E-3</v>
      </c>
      <c r="L54" s="30">
        <v>2.5999999999999999E-3</v>
      </c>
      <c r="M54" s="30">
        <v>2.5000000000000001E-3</v>
      </c>
      <c r="N54" s="29">
        <v>0.18</v>
      </c>
      <c r="O54" s="31">
        <v>0.03</v>
      </c>
    </row>
    <row r="55" spans="1:15">
      <c r="A55" s="24" t="s">
        <v>876</v>
      </c>
      <c r="B55" s="25" t="s">
        <v>28</v>
      </c>
      <c r="C55" s="25" t="s">
        <v>23</v>
      </c>
      <c r="D55" s="25" t="s">
        <v>20</v>
      </c>
      <c r="E55" s="153">
        <v>50000000</v>
      </c>
      <c r="F55" s="112">
        <v>50</v>
      </c>
      <c r="G55" s="153">
        <v>49694215</v>
      </c>
      <c r="H55" s="153">
        <v>49</v>
      </c>
      <c r="I55" s="25" t="s">
        <v>704</v>
      </c>
      <c r="J55" s="25">
        <v>70</v>
      </c>
      <c r="K55" s="26">
        <v>4.8739999999999999E-3</v>
      </c>
      <c r="L55" s="26">
        <v>3.0000000000000001E-3</v>
      </c>
      <c r="M55" s="26">
        <v>2.5999999999999999E-3</v>
      </c>
      <c r="N55" s="25">
        <v>0.19</v>
      </c>
      <c r="O55" s="27">
        <v>3.1199999999999999E-2</v>
      </c>
    </row>
    <row r="56" spans="1:15">
      <c r="A56" s="28" t="s">
        <v>876</v>
      </c>
      <c r="B56" s="29" t="s">
        <v>28</v>
      </c>
      <c r="C56" s="29" t="s">
        <v>19</v>
      </c>
      <c r="D56" s="29" t="s">
        <v>20</v>
      </c>
      <c r="E56" s="152">
        <v>100000000</v>
      </c>
      <c r="F56" s="111">
        <v>100</v>
      </c>
      <c r="G56" s="152">
        <v>99002059</v>
      </c>
      <c r="H56" s="152">
        <v>99</v>
      </c>
      <c r="I56" s="29" t="s">
        <v>731</v>
      </c>
      <c r="J56" s="29">
        <v>107</v>
      </c>
      <c r="K56" s="30">
        <v>9.7109999999999991E-3</v>
      </c>
      <c r="L56" s="30">
        <v>3.0999999999999999E-3</v>
      </c>
      <c r="M56" s="30">
        <v>2.8E-3</v>
      </c>
      <c r="N56" s="29">
        <v>0.3</v>
      </c>
      <c r="O56" s="31">
        <v>3.3599999999999998E-2</v>
      </c>
    </row>
    <row r="57" spans="1:15">
      <c r="A57" s="24" t="s">
        <v>876</v>
      </c>
      <c r="B57" s="25" t="s">
        <v>28</v>
      </c>
      <c r="C57" s="25" t="s">
        <v>29</v>
      </c>
      <c r="D57" s="25" t="s">
        <v>20</v>
      </c>
      <c r="E57" s="153">
        <v>100000000</v>
      </c>
      <c r="F57" s="112">
        <v>100</v>
      </c>
      <c r="G57" s="153">
        <v>98957973</v>
      </c>
      <c r="H57" s="153">
        <v>98</v>
      </c>
      <c r="I57" s="25" t="s">
        <v>712</v>
      </c>
      <c r="J57" s="25">
        <v>116</v>
      </c>
      <c r="K57" s="26">
        <v>9.7070000000000004E-3</v>
      </c>
      <c r="L57" s="26">
        <v>2.8E-3</v>
      </c>
      <c r="M57" s="26">
        <v>2.7000000000000001E-3</v>
      </c>
      <c r="N57" s="25">
        <v>0.32</v>
      </c>
      <c r="O57" s="27">
        <v>3.2399999999999998E-2</v>
      </c>
    </row>
    <row r="58" spans="1:15">
      <c r="A58" s="28" t="s">
        <v>876</v>
      </c>
      <c r="B58" s="29" t="s">
        <v>28</v>
      </c>
      <c r="C58" s="29" t="s">
        <v>31</v>
      </c>
      <c r="D58" s="29" t="s">
        <v>20</v>
      </c>
      <c r="E58" s="152">
        <v>500000000</v>
      </c>
      <c r="F58" s="111">
        <v>500</v>
      </c>
      <c r="G58" s="152">
        <v>493339911</v>
      </c>
      <c r="H58" s="152">
        <v>493</v>
      </c>
      <c r="I58" s="29" t="s">
        <v>714</v>
      </c>
      <c r="J58" s="29">
        <v>149</v>
      </c>
      <c r="K58" s="30">
        <v>4.8396000000000002E-2</v>
      </c>
      <c r="L58" s="30">
        <v>3.0999999999999999E-3</v>
      </c>
      <c r="M58" s="30">
        <v>2.7000000000000001E-3</v>
      </c>
      <c r="N58" s="29">
        <v>0.41</v>
      </c>
      <c r="O58" s="31">
        <v>3.2399999999999998E-2</v>
      </c>
    </row>
    <row r="59" spans="1:15">
      <c r="A59" s="24" t="s">
        <v>876</v>
      </c>
      <c r="B59" s="25" t="s">
        <v>28</v>
      </c>
      <c r="C59" s="25" t="s">
        <v>199</v>
      </c>
      <c r="D59" s="25" t="s">
        <v>20</v>
      </c>
      <c r="E59" s="153">
        <v>150000000</v>
      </c>
      <c r="F59" s="112">
        <v>150</v>
      </c>
      <c r="G59" s="153">
        <v>148075025</v>
      </c>
      <c r="H59" s="153">
        <v>148</v>
      </c>
      <c r="I59" s="25" t="s">
        <v>714</v>
      </c>
      <c r="J59" s="25">
        <v>149</v>
      </c>
      <c r="K59" s="26">
        <v>1.4525E-2</v>
      </c>
      <c r="L59" s="26">
        <v>3.0999999999999999E-3</v>
      </c>
      <c r="M59" s="26">
        <v>2.5999999999999999E-3</v>
      </c>
      <c r="N59" s="25">
        <v>0.41</v>
      </c>
      <c r="O59" s="27">
        <v>3.1199999999999999E-2</v>
      </c>
    </row>
    <row r="60" spans="1:15">
      <c r="A60" s="28" t="s">
        <v>876</v>
      </c>
      <c r="B60" s="29" t="s">
        <v>28</v>
      </c>
      <c r="C60" s="29" t="s">
        <v>23</v>
      </c>
      <c r="D60" s="29" t="s">
        <v>20</v>
      </c>
      <c r="E60" s="152">
        <v>250000000</v>
      </c>
      <c r="F60" s="111">
        <v>250</v>
      </c>
      <c r="G60" s="152">
        <v>246560481</v>
      </c>
      <c r="H60" s="152">
        <v>246</v>
      </c>
      <c r="I60" s="29" t="s">
        <v>732</v>
      </c>
      <c r="J60" s="29">
        <v>154</v>
      </c>
      <c r="K60" s="30">
        <v>2.4187E-2</v>
      </c>
      <c r="L60" s="30">
        <v>2.8999999999999998E-3</v>
      </c>
      <c r="M60" s="30">
        <v>2.7000000000000001E-3</v>
      </c>
      <c r="N60" s="29">
        <v>0.42</v>
      </c>
      <c r="O60" s="31">
        <v>3.2399999999999998E-2</v>
      </c>
    </row>
    <row r="61" spans="1:15">
      <c r="A61" s="24" t="s">
        <v>876</v>
      </c>
      <c r="B61" s="25" t="s">
        <v>28</v>
      </c>
      <c r="C61" s="25" t="s">
        <v>421</v>
      </c>
      <c r="D61" s="25" t="s">
        <v>20</v>
      </c>
      <c r="E61" s="153">
        <v>150000000</v>
      </c>
      <c r="F61" s="112">
        <v>150</v>
      </c>
      <c r="G61" s="153">
        <v>147765781</v>
      </c>
      <c r="H61" s="153">
        <v>147</v>
      </c>
      <c r="I61" s="25" t="s">
        <v>715</v>
      </c>
      <c r="J61" s="25">
        <v>161</v>
      </c>
      <c r="K61" s="26">
        <v>1.4494999999999999E-2</v>
      </c>
      <c r="L61" s="26">
        <v>3.0999999999999999E-3</v>
      </c>
      <c r="M61" s="26">
        <v>2.8E-3</v>
      </c>
      <c r="N61" s="25">
        <v>0.44</v>
      </c>
      <c r="O61" s="27">
        <v>3.3599999999999998E-2</v>
      </c>
    </row>
    <row r="62" spans="1:15">
      <c r="A62" s="28" t="s">
        <v>876</v>
      </c>
      <c r="B62" s="29" t="s">
        <v>28</v>
      </c>
      <c r="C62" s="29" t="s">
        <v>421</v>
      </c>
      <c r="D62" s="29" t="s">
        <v>20</v>
      </c>
      <c r="E62" s="152">
        <v>500000000</v>
      </c>
      <c r="F62" s="111">
        <v>500</v>
      </c>
      <c r="G62" s="152">
        <v>492507322</v>
      </c>
      <c r="H62" s="152">
        <v>492</v>
      </c>
      <c r="I62" s="29" t="s">
        <v>733</v>
      </c>
      <c r="J62" s="29">
        <v>162</v>
      </c>
      <c r="K62" s="30">
        <v>4.8314000000000003E-2</v>
      </c>
      <c r="L62" s="30">
        <v>3.2000000000000002E-3</v>
      </c>
      <c r="M62" s="30">
        <v>2.8E-3</v>
      </c>
      <c r="N62" s="29">
        <v>0.45</v>
      </c>
      <c r="O62" s="31">
        <v>3.3599999999999998E-2</v>
      </c>
    </row>
    <row r="63" spans="1:15">
      <c r="A63" s="24" t="s">
        <v>876</v>
      </c>
      <c r="B63" s="25" t="s">
        <v>28</v>
      </c>
      <c r="C63" s="25" t="s">
        <v>23</v>
      </c>
      <c r="D63" s="25" t="s">
        <v>20</v>
      </c>
      <c r="E63" s="153">
        <v>450000000</v>
      </c>
      <c r="F63" s="112">
        <v>450</v>
      </c>
      <c r="G63" s="153">
        <v>443218753</v>
      </c>
      <c r="H63" s="153">
        <v>443</v>
      </c>
      <c r="I63" s="25" t="s">
        <v>734</v>
      </c>
      <c r="J63" s="25">
        <v>169</v>
      </c>
      <c r="K63" s="26">
        <v>4.3478999999999997E-2</v>
      </c>
      <c r="L63" s="26">
        <v>3.0999999999999999E-3</v>
      </c>
      <c r="M63" s="26">
        <v>2.7000000000000001E-3</v>
      </c>
      <c r="N63" s="25">
        <v>0.47</v>
      </c>
      <c r="O63" s="27">
        <v>3.2399999999999998E-2</v>
      </c>
    </row>
    <row r="64" spans="1:15">
      <c r="A64" s="28" t="s">
        <v>876</v>
      </c>
      <c r="B64" s="29" t="s">
        <v>28</v>
      </c>
      <c r="C64" s="29" t="s">
        <v>21</v>
      </c>
      <c r="D64" s="29" t="s">
        <v>20</v>
      </c>
      <c r="E64" s="152">
        <v>200000000</v>
      </c>
      <c r="F64" s="111">
        <v>200</v>
      </c>
      <c r="G64" s="152">
        <v>196767762</v>
      </c>
      <c r="H64" s="152">
        <v>196</v>
      </c>
      <c r="I64" s="29" t="s">
        <v>716</v>
      </c>
      <c r="J64" s="29">
        <v>175</v>
      </c>
      <c r="K64" s="30">
        <v>1.9302E-2</v>
      </c>
      <c r="L64" s="30">
        <v>3.0999999999999999E-3</v>
      </c>
      <c r="M64" s="30">
        <v>2.8E-3</v>
      </c>
      <c r="N64" s="29">
        <v>0.48</v>
      </c>
      <c r="O64" s="31">
        <v>3.3599999999999998E-2</v>
      </c>
    </row>
    <row r="65" spans="1:15">
      <c r="A65" s="24" t="s">
        <v>876</v>
      </c>
      <c r="B65" s="25" t="s">
        <v>28</v>
      </c>
      <c r="C65" s="25" t="s">
        <v>19</v>
      </c>
      <c r="D65" s="25" t="s">
        <v>20</v>
      </c>
      <c r="E65" s="153">
        <v>200000000</v>
      </c>
      <c r="F65" s="112">
        <v>200</v>
      </c>
      <c r="G65" s="153">
        <v>196486172</v>
      </c>
      <c r="H65" s="153">
        <v>196</v>
      </c>
      <c r="I65" s="25" t="s">
        <v>717</v>
      </c>
      <c r="J65" s="25">
        <v>184</v>
      </c>
      <c r="K65" s="26">
        <v>1.9275E-2</v>
      </c>
      <c r="L65" s="26">
        <v>3.2000000000000002E-3</v>
      </c>
      <c r="M65" s="26">
        <v>2.8999999999999998E-3</v>
      </c>
      <c r="N65" s="25">
        <v>0.51</v>
      </c>
      <c r="O65" s="27">
        <v>3.4799999999999998E-2</v>
      </c>
    </row>
    <row r="66" spans="1:15">
      <c r="A66" s="28" t="s">
        <v>876</v>
      </c>
      <c r="B66" s="29" t="s">
        <v>28</v>
      </c>
      <c r="C66" s="29" t="s">
        <v>26</v>
      </c>
      <c r="D66" s="29" t="s">
        <v>20</v>
      </c>
      <c r="E66" s="152">
        <v>850000000</v>
      </c>
      <c r="F66" s="111">
        <v>850</v>
      </c>
      <c r="G66" s="152">
        <v>831783931</v>
      </c>
      <c r="H66" s="152">
        <v>831</v>
      </c>
      <c r="I66" s="29" t="s">
        <v>718</v>
      </c>
      <c r="J66" s="29">
        <v>218</v>
      </c>
      <c r="K66" s="30">
        <v>8.1597000000000003E-2</v>
      </c>
      <c r="L66" s="30">
        <v>3.3999999999999998E-3</v>
      </c>
      <c r="M66" s="30">
        <v>3.0000000000000001E-3</v>
      </c>
      <c r="N66" s="29">
        <v>0.6</v>
      </c>
      <c r="O66" s="31">
        <v>3.5999999999999997E-2</v>
      </c>
    </row>
    <row r="67" spans="1:15">
      <c r="A67" s="24" t="s">
        <v>876</v>
      </c>
      <c r="B67" s="25" t="s">
        <v>28</v>
      </c>
      <c r="C67" s="25" t="s">
        <v>29</v>
      </c>
      <c r="D67" s="25" t="s">
        <v>20</v>
      </c>
      <c r="E67" s="153">
        <v>100000000</v>
      </c>
      <c r="F67" s="112">
        <v>100</v>
      </c>
      <c r="G67" s="153">
        <v>97943193</v>
      </c>
      <c r="H67" s="153">
        <v>97</v>
      </c>
      <c r="I67" s="25" t="s">
        <v>735</v>
      </c>
      <c r="J67" s="25">
        <v>224</v>
      </c>
      <c r="K67" s="26">
        <v>9.6080000000000002E-3</v>
      </c>
      <c r="L67" s="26">
        <v>2.8E-3</v>
      </c>
      <c r="M67" s="26">
        <v>2.8E-3</v>
      </c>
      <c r="N67" s="25">
        <v>0.62</v>
      </c>
      <c r="O67" s="27">
        <v>3.3599999999999998E-2</v>
      </c>
    </row>
    <row r="68" spans="1:15">
      <c r="A68" s="28" t="s">
        <v>876</v>
      </c>
      <c r="B68" s="29" t="s">
        <v>28</v>
      </c>
      <c r="C68" s="29" t="s">
        <v>709</v>
      </c>
      <c r="D68" s="29" t="s">
        <v>20</v>
      </c>
      <c r="E68" s="152">
        <v>200000000</v>
      </c>
      <c r="F68" s="111">
        <v>200</v>
      </c>
      <c r="G68" s="152">
        <v>195868481</v>
      </c>
      <c r="H68" s="152">
        <v>195</v>
      </c>
      <c r="I68" s="29" t="s">
        <v>719</v>
      </c>
      <c r="J68" s="29">
        <v>225</v>
      </c>
      <c r="K68" s="30">
        <v>1.9213999999999998E-2</v>
      </c>
      <c r="L68" s="30">
        <v>3.2000000000000002E-3</v>
      </c>
      <c r="M68" s="30">
        <v>2.8E-3</v>
      </c>
      <c r="N68" s="29">
        <v>0.62</v>
      </c>
      <c r="O68" s="31">
        <v>3.3599999999999998E-2</v>
      </c>
    </row>
    <row r="69" spans="1:15">
      <c r="A69" s="24" t="s">
        <v>876</v>
      </c>
      <c r="B69" s="25" t="s">
        <v>28</v>
      </c>
      <c r="C69" s="25" t="s">
        <v>19</v>
      </c>
      <c r="D69" s="25" t="s">
        <v>20</v>
      </c>
      <c r="E69" s="153">
        <v>300000000</v>
      </c>
      <c r="F69" s="112">
        <v>300</v>
      </c>
      <c r="G69" s="153">
        <v>292911541</v>
      </c>
      <c r="H69" s="153">
        <v>292</v>
      </c>
      <c r="I69" s="25" t="s">
        <v>721</v>
      </c>
      <c r="J69" s="25">
        <v>241</v>
      </c>
      <c r="K69" s="26">
        <v>2.8733999999999999E-2</v>
      </c>
      <c r="L69" s="26">
        <v>3.3999999999999998E-3</v>
      </c>
      <c r="M69" s="26">
        <v>3.0000000000000001E-3</v>
      </c>
      <c r="N69" s="25">
        <v>0.66</v>
      </c>
      <c r="O69" s="27">
        <v>3.5999999999999997E-2</v>
      </c>
    </row>
    <row r="70" spans="1:15">
      <c r="A70" s="28" t="s">
        <v>876</v>
      </c>
      <c r="B70" s="29" t="s">
        <v>28</v>
      </c>
      <c r="C70" s="29" t="s">
        <v>23</v>
      </c>
      <c r="D70" s="29" t="s">
        <v>20</v>
      </c>
      <c r="E70" s="152">
        <v>200000000</v>
      </c>
      <c r="F70" s="111">
        <v>200</v>
      </c>
      <c r="G70" s="152">
        <v>195564595</v>
      </c>
      <c r="H70" s="152">
        <v>195</v>
      </c>
      <c r="I70" s="29" t="s">
        <v>707</v>
      </c>
      <c r="J70" s="29">
        <v>242</v>
      </c>
      <c r="K70" s="30">
        <v>1.9184E-2</v>
      </c>
      <c r="L70" s="30">
        <v>3.3E-3</v>
      </c>
      <c r="M70" s="30">
        <v>2.8E-3</v>
      </c>
      <c r="N70" s="29">
        <v>0.67</v>
      </c>
      <c r="O70" s="31">
        <v>3.3599999999999998E-2</v>
      </c>
    </row>
    <row r="71" spans="1:15">
      <c r="A71" s="24" t="s">
        <v>876</v>
      </c>
      <c r="B71" s="25" t="s">
        <v>28</v>
      </c>
      <c r="C71" s="25" t="s">
        <v>19</v>
      </c>
      <c r="D71" s="25" t="s">
        <v>20</v>
      </c>
      <c r="E71" s="153">
        <v>300000000</v>
      </c>
      <c r="F71" s="112">
        <v>300</v>
      </c>
      <c r="G71" s="153">
        <v>292682927</v>
      </c>
      <c r="H71" s="153">
        <v>292</v>
      </c>
      <c r="I71" s="25" t="s">
        <v>723</v>
      </c>
      <c r="J71" s="25">
        <v>249</v>
      </c>
      <c r="K71" s="26">
        <v>2.8711E-2</v>
      </c>
      <c r="L71" s="26">
        <v>3.3999999999999998E-3</v>
      </c>
      <c r="M71" s="26">
        <v>3.0000000000000001E-3</v>
      </c>
      <c r="N71" s="25">
        <v>0.68</v>
      </c>
      <c r="O71" s="27">
        <v>3.5999999999999997E-2</v>
      </c>
    </row>
    <row r="72" spans="1:15">
      <c r="A72" s="28" t="s">
        <v>876</v>
      </c>
      <c r="B72" s="29" t="s">
        <v>28</v>
      </c>
      <c r="C72" s="29" t="s">
        <v>199</v>
      </c>
      <c r="D72" s="29" t="s">
        <v>20</v>
      </c>
      <c r="E72" s="152">
        <v>1039040000</v>
      </c>
      <c r="F72" s="111">
        <v>1039</v>
      </c>
      <c r="G72" s="152">
        <v>1014700712</v>
      </c>
      <c r="H72" s="152">
        <v>1014</v>
      </c>
      <c r="I72" s="29" t="s">
        <v>736</v>
      </c>
      <c r="J72" s="29">
        <v>256</v>
      </c>
      <c r="K72" s="30">
        <v>9.9541000000000004E-2</v>
      </c>
      <c r="L72" s="30">
        <v>3.2000000000000002E-3</v>
      </c>
      <c r="M72" s="30">
        <v>2.8E-3</v>
      </c>
      <c r="N72" s="29">
        <v>0.7</v>
      </c>
      <c r="O72" s="31">
        <v>3.3599999999999998E-2</v>
      </c>
    </row>
    <row r="73" spans="1:15">
      <c r="A73" s="24" t="s">
        <v>876</v>
      </c>
      <c r="B73" s="25" t="s">
        <v>28</v>
      </c>
      <c r="C73" s="25" t="s">
        <v>421</v>
      </c>
      <c r="D73" s="25" t="s">
        <v>20</v>
      </c>
      <c r="E73" s="153">
        <v>200000000</v>
      </c>
      <c r="F73" s="112">
        <v>200</v>
      </c>
      <c r="G73" s="153">
        <v>195078178</v>
      </c>
      <c r="H73" s="153">
        <v>195</v>
      </c>
      <c r="I73" s="25" t="s">
        <v>737</v>
      </c>
      <c r="J73" s="25">
        <v>260</v>
      </c>
      <c r="K73" s="26">
        <v>1.9136E-2</v>
      </c>
      <c r="L73" s="26">
        <v>3.3E-3</v>
      </c>
      <c r="M73" s="26">
        <v>2.8999999999999998E-3</v>
      </c>
      <c r="N73" s="25">
        <v>0.72</v>
      </c>
      <c r="O73" s="27">
        <v>3.4799999999999998E-2</v>
      </c>
    </row>
    <row r="74" spans="1:15">
      <c r="A74" s="28" t="s">
        <v>876</v>
      </c>
      <c r="B74" s="29" t="s">
        <v>28</v>
      </c>
      <c r="C74" s="29" t="s">
        <v>421</v>
      </c>
      <c r="D74" s="29" t="s">
        <v>20</v>
      </c>
      <c r="E74" s="152">
        <v>50000000</v>
      </c>
      <c r="F74" s="111">
        <v>50</v>
      </c>
      <c r="G74" s="152">
        <v>48723446</v>
      </c>
      <c r="H74" s="152">
        <v>48</v>
      </c>
      <c r="I74" s="29" t="s">
        <v>738</v>
      </c>
      <c r="J74" s="29">
        <v>261</v>
      </c>
      <c r="K74" s="30">
        <v>4.7790000000000003E-3</v>
      </c>
      <c r="L74" s="30">
        <v>2.8999999999999998E-3</v>
      </c>
      <c r="M74" s="30">
        <v>3.0000000000000001E-3</v>
      </c>
      <c r="N74" s="29">
        <v>0.72</v>
      </c>
      <c r="O74" s="31">
        <v>3.5999999999999997E-2</v>
      </c>
    </row>
    <row r="75" spans="1:15">
      <c r="A75" s="24" t="s">
        <v>876</v>
      </c>
      <c r="B75" s="25" t="s">
        <v>28</v>
      </c>
      <c r="C75" s="25" t="s">
        <v>23</v>
      </c>
      <c r="D75" s="25" t="s">
        <v>20</v>
      </c>
      <c r="E75" s="153">
        <v>168723733</v>
      </c>
      <c r="F75" s="112">
        <v>168</v>
      </c>
      <c r="G75" s="153">
        <v>164681355</v>
      </c>
      <c r="H75" s="153">
        <v>164</v>
      </c>
      <c r="I75" s="25" t="s">
        <v>725</v>
      </c>
      <c r="J75" s="25">
        <v>262</v>
      </c>
      <c r="K75" s="26">
        <v>1.6154999999999999E-2</v>
      </c>
      <c r="L75" s="26">
        <v>3.2000000000000002E-3</v>
      </c>
      <c r="M75" s="26">
        <v>2.8E-3</v>
      </c>
      <c r="N75" s="25">
        <v>0.72</v>
      </c>
      <c r="O75" s="27">
        <v>3.3599999999999998E-2</v>
      </c>
    </row>
    <row r="76" spans="1:15">
      <c r="A76" s="28" t="s">
        <v>876</v>
      </c>
      <c r="B76" s="29" t="s">
        <v>28</v>
      </c>
      <c r="C76" s="29" t="s">
        <v>668</v>
      </c>
      <c r="D76" s="29" t="s">
        <v>20</v>
      </c>
      <c r="E76" s="152">
        <v>150000000</v>
      </c>
      <c r="F76" s="111">
        <v>150</v>
      </c>
      <c r="G76" s="152">
        <v>145906827</v>
      </c>
      <c r="H76" s="152">
        <v>145</v>
      </c>
      <c r="I76" s="29" t="s">
        <v>725</v>
      </c>
      <c r="J76" s="29">
        <v>262</v>
      </c>
      <c r="K76" s="30">
        <v>1.4312999999999999E-2</v>
      </c>
      <c r="L76" s="30">
        <v>3.5000000000000001E-3</v>
      </c>
      <c r="M76" s="30">
        <v>3.2000000000000002E-3</v>
      </c>
      <c r="N76" s="29">
        <v>0.72</v>
      </c>
      <c r="O76" s="31">
        <v>3.8399999999999997E-2</v>
      </c>
    </row>
    <row r="77" spans="1:15">
      <c r="A77" s="24" t="s">
        <v>876</v>
      </c>
      <c r="B77" s="25" t="s">
        <v>28</v>
      </c>
      <c r="C77" s="25" t="s">
        <v>19</v>
      </c>
      <c r="D77" s="25" t="s">
        <v>20</v>
      </c>
      <c r="E77" s="153">
        <v>200000000</v>
      </c>
      <c r="F77" s="112">
        <v>200</v>
      </c>
      <c r="G77" s="153">
        <v>193928111</v>
      </c>
      <c r="H77" s="153">
        <v>193</v>
      </c>
      <c r="I77" s="25" t="s">
        <v>726</v>
      </c>
      <c r="J77" s="25">
        <v>302</v>
      </c>
      <c r="K77" s="26">
        <v>1.9023999999999999E-2</v>
      </c>
      <c r="L77" s="26">
        <v>3.3999999999999998E-3</v>
      </c>
      <c r="M77" s="26">
        <v>3.0999999999999999E-3</v>
      </c>
      <c r="N77" s="25">
        <v>0.83</v>
      </c>
      <c r="O77" s="27">
        <v>3.7199999999999997E-2</v>
      </c>
    </row>
    <row r="78" spans="1:15">
      <c r="A78" s="28" t="s">
        <v>876</v>
      </c>
      <c r="B78" s="29" t="s">
        <v>28</v>
      </c>
      <c r="C78" s="29" t="s">
        <v>199</v>
      </c>
      <c r="D78" s="29" t="s">
        <v>20</v>
      </c>
      <c r="E78" s="152">
        <v>150000000</v>
      </c>
      <c r="F78" s="111">
        <v>150</v>
      </c>
      <c r="G78" s="152">
        <v>145649451</v>
      </c>
      <c r="H78" s="152">
        <v>145</v>
      </c>
      <c r="I78" s="29" t="s">
        <v>727</v>
      </c>
      <c r="J78" s="29">
        <v>308</v>
      </c>
      <c r="K78" s="30">
        <v>1.4288E-2</v>
      </c>
      <c r="L78" s="30">
        <v>3.3E-3</v>
      </c>
      <c r="M78" s="30">
        <v>2.8999999999999998E-3</v>
      </c>
      <c r="N78" s="29">
        <v>0.85</v>
      </c>
      <c r="O78" s="31">
        <v>3.4799999999999998E-2</v>
      </c>
    </row>
    <row r="79" spans="1:15">
      <c r="A79" s="24" t="s">
        <v>876</v>
      </c>
      <c r="B79" s="25" t="s">
        <v>30</v>
      </c>
      <c r="C79" s="25" t="s">
        <v>625</v>
      </c>
      <c r="D79" s="25" t="s">
        <v>20</v>
      </c>
      <c r="E79" s="153">
        <v>50000000</v>
      </c>
      <c r="F79" s="112">
        <v>50</v>
      </c>
      <c r="G79" s="153">
        <v>49996000</v>
      </c>
      <c r="H79" s="153">
        <v>49</v>
      </c>
      <c r="I79" s="25" t="s">
        <v>605</v>
      </c>
      <c r="J79" s="25">
        <v>0</v>
      </c>
      <c r="K79" s="26">
        <v>4.8500000000000003E-4</v>
      </c>
      <c r="L79" s="26">
        <v>2.5000000000000001E-3</v>
      </c>
      <c r="M79" s="26">
        <v>2.3999999999999998E-3</v>
      </c>
      <c r="N79" s="25">
        <v>0</v>
      </c>
      <c r="O79" s="27">
        <v>2.8799999999999999E-2</v>
      </c>
    </row>
    <row r="80" spans="1:15">
      <c r="A80" s="28" t="s">
        <v>876</v>
      </c>
      <c r="B80" s="29" t="s">
        <v>30</v>
      </c>
      <c r="C80" s="29" t="s">
        <v>470</v>
      </c>
      <c r="D80" s="29" t="s">
        <v>20</v>
      </c>
      <c r="E80" s="152">
        <v>350000000</v>
      </c>
      <c r="F80" s="111">
        <v>350</v>
      </c>
      <c r="G80" s="152">
        <v>349973169</v>
      </c>
      <c r="H80" s="152">
        <v>349</v>
      </c>
      <c r="I80" s="29" t="s">
        <v>605</v>
      </c>
      <c r="J80" s="29">
        <v>0</v>
      </c>
      <c r="K80" s="30">
        <v>3.398E-3</v>
      </c>
      <c r="L80" s="30">
        <v>2.3999999999999998E-3</v>
      </c>
      <c r="M80" s="30">
        <v>2.3E-3</v>
      </c>
      <c r="N80" s="29">
        <v>0</v>
      </c>
      <c r="O80" s="31">
        <v>2.76E-2</v>
      </c>
    </row>
    <row r="81" spans="1:15">
      <c r="A81" s="24" t="s">
        <v>876</v>
      </c>
      <c r="B81" s="25" t="s">
        <v>30</v>
      </c>
      <c r="C81" s="25" t="s">
        <v>421</v>
      </c>
      <c r="D81" s="25" t="s">
        <v>20</v>
      </c>
      <c r="E81" s="153">
        <v>250000000</v>
      </c>
      <c r="F81" s="112">
        <v>250</v>
      </c>
      <c r="G81" s="153">
        <v>249958340</v>
      </c>
      <c r="H81" s="153">
        <v>249</v>
      </c>
      <c r="I81" s="25" t="s">
        <v>728</v>
      </c>
      <c r="J81" s="25">
        <v>1</v>
      </c>
      <c r="K81" s="26">
        <v>2.4269999999999999E-3</v>
      </c>
      <c r="L81" s="26">
        <v>2.5999999999999999E-3</v>
      </c>
      <c r="M81" s="26">
        <v>2.5000000000000001E-3</v>
      </c>
      <c r="N81" s="25">
        <v>0.01</v>
      </c>
      <c r="O81" s="27">
        <v>0.03</v>
      </c>
    </row>
    <row r="82" spans="1:15">
      <c r="A82" s="28" t="s">
        <v>876</v>
      </c>
      <c r="B82" s="29" t="s">
        <v>30</v>
      </c>
      <c r="C82" s="29" t="s">
        <v>163</v>
      </c>
      <c r="D82" s="29" t="s">
        <v>20</v>
      </c>
      <c r="E82" s="152">
        <v>750000000</v>
      </c>
      <c r="F82" s="111">
        <v>750</v>
      </c>
      <c r="G82" s="152">
        <v>748921553</v>
      </c>
      <c r="H82" s="152">
        <v>748</v>
      </c>
      <c r="I82" s="29" t="s">
        <v>729</v>
      </c>
      <c r="J82" s="29">
        <v>15</v>
      </c>
      <c r="K82" s="30">
        <v>7.273E-3</v>
      </c>
      <c r="L82" s="30">
        <v>2.8E-3</v>
      </c>
      <c r="M82" s="30">
        <v>2.7000000000000001E-3</v>
      </c>
      <c r="N82" s="29">
        <v>0.04</v>
      </c>
      <c r="O82" s="31">
        <v>3.2399999999999998E-2</v>
      </c>
    </row>
    <row r="83" spans="1:15">
      <c r="A83" s="24" t="s">
        <v>876</v>
      </c>
      <c r="B83" s="25" t="s">
        <v>30</v>
      </c>
      <c r="C83" s="25" t="s">
        <v>667</v>
      </c>
      <c r="D83" s="25" t="s">
        <v>20</v>
      </c>
      <c r="E83" s="153">
        <v>150000000</v>
      </c>
      <c r="F83" s="112">
        <v>150</v>
      </c>
      <c r="G83" s="153">
        <v>149713050</v>
      </c>
      <c r="H83" s="153">
        <v>149</v>
      </c>
      <c r="I83" s="25" t="s">
        <v>649</v>
      </c>
      <c r="J83" s="25">
        <v>22</v>
      </c>
      <c r="K83" s="26">
        <v>1.454E-3</v>
      </c>
      <c r="L83" s="26">
        <v>2.5999999999999999E-3</v>
      </c>
      <c r="M83" s="26">
        <v>2.5000000000000001E-3</v>
      </c>
      <c r="N83" s="25">
        <v>0.06</v>
      </c>
      <c r="O83" s="27">
        <v>0.03</v>
      </c>
    </row>
    <row r="84" spans="1:15">
      <c r="A84" s="28" t="s">
        <v>876</v>
      </c>
      <c r="B84" s="29" t="s">
        <v>30</v>
      </c>
      <c r="C84" s="29" t="s">
        <v>21</v>
      </c>
      <c r="D84" s="29" t="s">
        <v>20</v>
      </c>
      <c r="E84" s="152">
        <v>150000000</v>
      </c>
      <c r="F84" s="111">
        <v>150</v>
      </c>
      <c r="G84" s="152">
        <v>149623945</v>
      </c>
      <c r="H84" s="152">
        <v>149</v>
      </c>
      <c r="I84" s="29" t="s">
        <v>607</v>
      </c>
      <c r="J84" s="29">
        <v>28</v>
      </c>
      <c r="K84" s="30">
        <v>1.4530000000000001E-3</v>
      </c>
      <c r="L84" s="30">
        <v>2.7000000000000001E-3</v>
      </c>
      <c r="M84" s="30">
        <v>2.5999999999999999E-3</v>
      </c>
      <c r="N84" s="29">
        <v>0.08</v>
      </c>
      <c r="O84" s="31">
        <v>3.1199999999999999E-2</v>
      </c>
    </row>
    <row r="85" spans="1:15">
      <c r="A85" s="24" t="s">
        <v>876</v>
      </c>
      <c r="B85" s="25" t="s">
        <v>30</v>
      </c>
      <c r="C85" s="25" t="s">
        <v>23</v>
      </c>
      <c r="D85" s="25" t="s">
        <v>20</v>
      </c>
      <c r="E85" s="153">
        <v>225000000</v>
      </c>
      <c r="F85" s="112">
        <v>225</v>
      </c>
      <c r="G85" s="153">
        <v>224438903</v>
      </c>
      <c r="H85" s="153">
        <v>224</v>
      </c>
      <c r="I85" s="25" t="s">
        <v>646</v>
      </c>
      <c r="J85" s="25">
        <v>29</v>
      </c>
      <c r="K85" s="26">
        <v>2.1789999999999999E-3</v>
      </c>
      <c r="L85" s="26">
        <v>2.5500000000000002E-3</v>
      </c>
      <c r="M85" s="26">
        <v>2.5000000000000001E-3</v>
      </c>
      <c r="N85" s="25">
        <v>0.08</v>
      </c>
      <c r="O85" s="27">
        <v>0.03</v>
      </c>
    </row>
    <row r="86" spans="1:15">
      <c r="A86" s="28" t="s">
        <v>876</v>
      </c>
      <c r="B86" s="29" t="s">
        <v>30</v>
      </c>
      <c r="C86" s="29" t="s">
        <v>31</v>
      </c>
      <c r="D86" s="29" t="s">
        <v>20</v>
      </c>
      <c r="E86" s="152">
        <v>50000000</v>
      </c>
      <c r="F86" s="111">
        <v>50</v>
      </c>
      <c r="G86" s="152">
        <v>49862877</v>
      </c>
      <c r="H86" s="152">
        <v>49</v>
      </c>
      <c r="I86" s="29" t="s">
        <v>703</v>
      </c>
      <c r="J86" s="29">
        <v>32</v>
      </c>
      <c r="K86" s="30">
        <v>4.84E-4</v>
      </c>
      <c r="L86" s="30">
        <v>2.8999999999999998E-3</v>
      </c>
      <c r="M86" s="30">
        <v>2.5000000000000001E-3</v>
      </c>
      <c r="N86" s="29">
        <v>0.09</v>
      </c>
      <c r="O86" s="31">
        <v>0.03</v>
      </c>
    </row>
    <row r="87" spans="1:15">
      <c r="A87" s="24" t="s">
        <v>876</v>
      </c>
      <c r="B87" s="25" t="s">
        <v>30</v>
      </c>
      <c r="C87" s="25" t="s">
        <v>29</v>
      </c>
      <c r="D87" s="25" t="s">
        <v>20</v>
      </c>
      <c r="E87" s="153">
        <v>50000000</v>
      </c>
      <c r="F87" s="112">
        <v>50</v>
      </c>
      <c r="G87" s="153">
        <v>49749924</v>
      </c>
      <c r="H87" s="153">
        <v>49</v>
      </c>
      <c r="I87" s="25" t="s">
        <v>617</v>
      </c>
      <c r="J87" s="25">
        <v>57</v>
      </c>
      <c r="K87" s="26">
        <v>4.8299999999999998E-4</v>
      </c>
      <c r="L87" s="26">
        <v>2.7000000000000001E-3</v>
      </c>
      <c r="M87" s="26">
        <v>2.5999999999999999E-3</v>
      </c>
      <c r="N87" s="25">
        <v>0.16</v>
      </c>
      <c r="O87" s="27">
        <v>3.1199999999999999E-2</v>
      </c>
    </row>
    <row r="88" spans="1:15">
      <c r="A88" s="28" t="s">
        <v>876</v>
      </c>
      <c r="B88" s="29" t="s">
        <v>30</v>
      </c>
      <c r="C88" s="29" t="s">
        <v>23</v>
      </c>
      <c r="D88" s="29" t="s">
        <v>20</v>
      </c>
      <c r="E88" s="152">
        <v>50000000</v>
      </c>
      <c r="F88" s="111">
        <v>50</v>
      </c>
      <c r="G88" s="152">
        <v>49737057</v>
      </c>
      <c r="H88" s="152">
        <v>49</v>
      </c>
      <c r="I88" s="29" t="s">
        <v>626</v>
      </c>
      <c r="J88" s="29">
        <v>60</v>
      </c>
      <c r="K88" s="30">
        <v>4.8299999999999998E-4</v>
      </c>
      <c r="L88" s="30">
        <v>2.5999999999999999E-3</v>
      </c>
      <c r="M88" s="30">
        <v>2.5999999999999999E-3</v>
      </c>
      <c r="N88" s="29">
        <v>0.17</v>
      </c>
      <c r="O88" s="31">
        <v>3.1199999999999999E-2</v>
      </c>
    </row>
    <row r="89" spans="1:15">
      <c r="A89" s="24" t="s">
        <v>876</v>
      </c>
      <c r="B89" s="25" t="s">
        <v>30</v>
      </c>
      <c r="C89" s="25" t="s">
        <v>21</v>
      </c>
      <c r="D89" s="25" t="s">
        <v>20</v>
      </c>
      <c r="E89" s="153">
        <v>92240000</v>
      </c>
      <c r="F89" s="112">
        <v>92</v>
      </c>
      <c r="G89" s="153">
        <v>91707485</v>
      </c>
      <c r="H89" s="153">
        <v>91</v>
      </c>
      <c r="I89" s="25" t="s">
        <v>739</v>
      </c>
      <c r="J89" s="25">
        <v>66</v>
      </c>
      <c r="K89" s="26">
        <v>8.8999999999999995E-4</v>
      </c>
      <c r="L89" s="26">
        <v>3.0000000000000001E-3</v>
      </c>
      <c r="M89" s="26">
        <v>2.5999999999999999E-3</v>
      </c>
      <c r="N89" s="25">
        <v>0.18</v>
      </c>
      <c r="O89" s="27">
        <v>3.1199999999999999E-2</v>
      </c>
    </row>
    <row r="90" spans="1:15">
      <c r="A90" s="28" t="s">
        <v>876</v>
      </c>
      <c r="B90" s="29" t="s">
        <v>30</v>
      </c>
      <c r="C90" s="29" t="s">
        <v>421</v>
      </c>
      <c r="D90" s="29" t="s">
        <v>20</v>
      </c>
      <c r="E90" s="152">
        <v>50000000</v>
      </c>
      <c r="F90" s="111">
        <v>50</v>
      </c>
      <c r="G90" s="152">
        <v>49673644</v>
      </c>
      <c r="H90" s="152">
        <v>49</v>
      </c>
      <c r="I90" s="29" t="s">
        <v>740</v>
      </c>
      <c r="J90" s="29">
        <v>72</v>
      </c>
      <c r="K90" s="30">
        <v>4.8200000000000001E-4</v>
      </c>
      <c r="L90" s="30">
        <v>3.0999999999999999E-3</v>
      </c>
      <c r="M90" s="30">
        <v>2.7000000000000001E-3</v>
      </c>
      <c r="N90" s="29">
        <v>0.2</v>
      </c>
      <c r="O90" s="31">
        <v>3.2399999999999998E-2</v>
      </c>
    </row>
    <row r="91" spans="1:15">
      <c r="A91" s="24" t="s">
        <v>876</v>
      </c>
      <c r="B91" s="25" t="s">
        <v>30</v>
      </c>
      <c r="C91" s="25" t="s">
        <v>709</v>
      </c>
      <c r="D91" s="25" t="s">
        <v>20</v>
      </c>
      <c r="E91" s="153">
        <v>250000000</v>
      </c>
      <c r="F91" s="112">
        <v>250</v>
      </c>
      <c r="G91" s="153">
        <v>247937163</v>
      </c>
      <c r="H91" s="153">
        <v>247</v>
      </c>
      <c r="I91" s="25" t="s">
        <v>710</v>
      </c>
      <c r="J91" s="25">
        <v>95</v>
      </c>
      <c r="K91" s="26">
        <v>2.4069999999999999E-3</v>
      </c>
      <c r="L91" s="26">
        <v>2.5999999999999999E-3</v>
      </c>
      <c r="M91" s="26">
        <v>2.5999999999999999E-3</v>
      </c>
      <c r="N91" s="25">
        <v>0.26</v>
      </c>
      <c r="O91" s="27">
        <v>3.1199999999999999E-2</v>
      </c>
    </row>
    <row r="92" spans="1:15">
      <c r="A92" s="28" t="s">
        <v>876</v>
      </c>
      <c r="B92" s="29" t="s">
        <v>30</v>
      </c>
      <c r="C92" s="29" t="s">
        <v>75</v>
      </c>
      <c r="D92" s="29" t="s">
        <v>20</v>
      </c>
      <c r="E92" s="152">
        <v>400000000</v>
      </c>
      <c r="F92" s="111">
        <v>400</v>
      </c>
      <c r="G92" s="152">
        <v>395831890</v>
      </c>
      <c r="H92" s="152">
        <v>395</v>
      </c>
      <c r="I92" s="29" t="s">
        <v>712</v>
      </c>
      <c r="J92" s="29">
        <v>116</v>
      </c>
      <c r="K92" s="30">
        <v>3.8440000000000002E-3</v>
      </c>
      <c r="L92" s="30">
        <v>2.8E-3</v>
      </c>
      <c r="M92" s="30">
        <v>2.7000000000000001E-3</v>
      </c>
      <c r="N92" s="29">
        <v>0.32</v>
      </c>
      <c r="O92" s="31">
        <v>3.2399999999999998E-2</v>
      </c>
    </row>
    <row r="93" spans="1:15">
      <c r="A93" s="24" t="s">
        <v>876</v>
      </c>
      <c r="B93" s="25" t="s">
        <v>30</v>
      </c>
      <c r="C93" s="25" t="s">
        <v>21</v>
      </c>
      <c r="D93" s="25" t="s">
        <v>20</v>
      </c>
      <c r="E93" s="153">
        <v>150000000</v>
      </c>
      <c r="F93" s="112">
        <v>150</v>
      </c>
      <c r="G93" s="153">
        <v>148384097</v>
      </c>
      <c r="H93" s="153">
        <v>148</v>
      </c>
      <c r="I93" s="25" t="s">
        <v>741</v>
      </c>
      <c r="J93" s="25">
        <v>120</v>
      </c>
      <c r="K93" s="26">
        <v>1.441E-3</v>
      </c>
      <c r="L93" s="26">
        <v>2.7000000000000001E-3</v>
      </c>
      <c r="M93" s="26">
        <v>2.7000000000000001E-3</v>
      </c>
      <c r="N93" s="25">
        <v>0.33</v>
      </c>
      <c r="O93" s="27">
        <v>3.2399999999999998E-2</v>
      </c>
    </row>
    <row r="94" spans="1:15">
      <c r="A94" s="28" t="s">
        <v>876</v>
      </c>
      <c r="B94" s="29" t="s">
        <v>30</v>
      </c>
      <c r="C94" s="29" t="s">
        <v>24</v>
      </c>
      <c r="D94" s="29" t="s">
        <v>20</v>
      </c>
      <c r="E94" s="152">
        <v>245207662</v>
      </c>
      <c r="F94" s="111">
        <v>245</v>
      </c>
      <c r="G94" s="152">
        <v>242544523</v>
      </c>
      <c r="H94" s="152">
        <v>242</v>
      </c>
      <c r="I94" s="29" t="s">
        <v>742</v>
      </c>
      <c r="J94" s="29">
        <v>121</v>
      </c>
      <c r="K94" s="30">
        <v>2.3549999999999999E-3</v>
      </c>
      <c r="L94" s="30">
        <v>2.7000000000000001E-3</v>
      </c>
      <c r="M94" s="30">
        <v>2.7000000000000001E-3</v>
      </c>
      <c r="N94" s="29">
        <v>0.33</v>
      </c>
      <c r="O94" s="31">
        <v>3.2399999999999998E-2</v>
      </c>
    </row>
    <row r="95" spans="1:15">
      <c r="A95" s="24" t="s">
        <v>876</v>
      </c>
      <c r="B95" s="25" t="s">
        <v>30</v>
      </c>
      <c r="C95" s="25" t="s">
        <v>31</v>
      </c>
      <c r="D95" s="25" t="s">
        <v>20</v>
      </c>
      <c r="E95" s="153">
        <v>50000000</v>
      </c>
      <c r="F95" s="112">
        <v>50</v>
      </c>
      <c r="G95" s="153">
        <v>49333991</v>
      </c>
      <c r="H95" s="153">
        <v>49</v>
      </c>
      <c r="I95" s="25" t="s">
        <v>714</v>
      </c>
      <c r="J95" s="25">
        <v>149</v>
      </c>
      <c r="K95" s="26">
        <v>4.7899999999999999E-4</v>
      </c>
      <c r="L95" s="26">
        <v>3.2000000000000002E-3</v>
      </c>
      <c r="M95" s="26">
        <v>2.7000000000000001E-3</v>
      </c>
      <c r="N95" s="25">
        <v>0.41</v>
      </c>
      <c r="O95" s="27">
        <v>3.2399999999999998E-2</v>
      </c>
    </row>
    <row r="96" spans="1:15">
      <c r="A96" s="28" t="s">
        <v>876</v>
      </c>
      <c r="B96" s="29" t="s">
        <v>30</v>
      </c>
      <c r="C96" s="29" t="s">
        <v>21</v>
      </c>
      <c r="D96" s="29" t="s">
        <v>20</v>
      </c>
      <c r="E96" s="152">
        <v>218217248</v>
      </c>
      <c r="F96" s="111">
        <v>218</v>
      </c>
      <c r="G96" s="152">
        <v>214871696</v>
      </c>
      <c r="H96" s="152">
        <v>214</v>
      </c>
      <c r="I96" s="29" t="s">
        <v>743</v>
      </c>
      <c r="J96" s="29">
        <v>172</v>
      </c>
      <c r="K96" s="30">
        <v>2.0860000000000002E-3</v>
      </c>
      <c r="L96" s="30">
        <v>3.2000000000000002E-3</v>
      </c>
      <c r="M96" s="30">
        <v>2.7000000000000001E-3</v>
      </c>
      <c r="N96" s="29">
        <v>0.47</v>
      </c>
      <c r="O96" s="31">
        <v>3.2399999999999998E-2</v>
      </c>
    </row>
    <row r="97" spans="1:15">
      <c r="A97" s="24" t="s">
        <v>876</v>
      </c>
      <c r="B97" s="25" t="s">
        <v>30</v>
      </c>
      <c r="C97" s="25" t="s">
        <v>29</v>
      </c>
      <c r="D97" s="25" t="s">
        <v>20</v>
      </c>
      <c r="E97" s="153">
        <v>1150000000</v>
      </c>
      <c r="F97" s="112">
        <v>1150</v>
      </c>
      <c r="G97" s="153">
        <v>1126346719</v>
      </c>
      <c r="H97" s="153">
        <v>1126</v>
      </c>
      <c r="I97" s="25" t="s">
        <v>735</v>
      </c>
      <c r="J97" s="25">
        <v>224</v>
      </c>
      <c r="K97" s="26">
        <v>1.0939000000000001E-2</v>
      </c>
      <c r="L97" s="26">
        <v>2.8E-3</v>
      </c>
      <c r="M97" s="26">
        <v>2.8E-3</v>
      </c>
      <c r="N97" s="25">
        <v>0.62</v>
      </c>
      <c r="O97" s="27">
        <v>3.3599999999999998E-2</v>
      </c>
    </row>
    <row r="98" spans="1:15">
      <c r="A98" s="28" t="s">
        <v>876</v>
      </c>
      <c r="B98" s="29" t="s">
        <v>30</v>
      </c>
      <c r="C98" s="29" t="s">
        <v>19</v>
      </c>
      <c r="D98" s="29" t="s">
        <v>20</v>
      </c>
      <c r="E98" s="152">
        <v>550000000</v>
      </c>
      <c r="F98" s="111">
        <v>550</v>
      </c>
      <c r="G98" s="152">
        <v>537109375</v>
      </c>
      <c r="H98" s="152">
        <v>537</v>
      </c>
      <c r="I98" s="29" t="s">
        <v>744</v>
      </c>
      <c r="J98" s="29">
        <v>239</v>
      </c>
      <c r="K98" s="30">
        <v>5.2160000000000002E-3</v>
      </c>
      <c r="L98" s="30">
        <v>3.0999999999999999E-3</v>
      </c>
      <c r="M98" s="30">
        <v>3.0000000000000001E-3</v>
      </c>
      <c r="N98" s="29">
        <v>0.66</v>
      </c>
      <c r="O98" s="31">
        <v>3.5999999999999997E-2</v>
      </c>
    </row>
    <row r="99" spans="1:15">
      <c r="A99" s="24" t="s">
        <v>876</v>
      </c>
      <c r="B99" s="25" t="s">
        <v>30</v>
      </c>
      <c r="C99" s="25" t="s">
        <v>26</v>
      </c>
      <c r="D99" s="25" t="s">
        <v>20</v>
      </c>
      <c r="E99" s="153">
        <v>400000000</v>
      </c>
      <c r="F99" s="112">
        <v>400</v>
      </c>
      <c r="G99" s="153">
        <v>390281979</v>
      </c>
      <c r="H99" s="153">
        <v>390</v>
      </c>
      <c r="I99" s="25" t="s">
        <v>722</v>
      </c>
      <c r="J99" s="25">
        <v>248</v>
      </c>
      <c r="K99" s="26">
        <v>3.79E-3</v>
      </c>
      <c r="L99" s="26">
        <v>3.0999999999999999E-3</v>
      </c>
      <c r="M99" s="26">
        <v>3.0000000000000001E-3</v>
      </c>
      <c r="N99" s="25">
        <v>0.68</v>
      </c>
      <c r="O99" s="27">
        <v>3.5999999999999997E-2</v>
      </c>
    </row>
    <row r="100" spans="1:15">
      <c r="A100" s="28" t="s">
        <v>876</v>
      </c>
      <c r="B100" s="29" t="s">
        <v>30</v>
      </c>
      <c r="C100" s="29" t="s">
        <v>668</v>
      </c>
      <c r="D100" s="29" t="s">
        <v>20</v>
      </c>
      <c r="E100" s="152">
        <v>500000000</v>
      </c>
      <c r="F100" s="111">
        <v>500</v>
      </c>
      <c r="G100" s="152">
        <v>486507525</v>
      </c>
      <c r="H100" s="152">
        <v>486</v>
      </c>
      <c r="I100" s="29" t="s">
        <v>745</v>
      </c>
      <c r="J100" s="29">
        <v>259</v>
      </c>
      <c r="K100" s="30">
        <v>4.7239999999999999E-3</v>
      </c>
      <c r="L100" s="30">
        <v>3.5000000000000001E-3</v>
      </c>
      <c r="M100" s="30">
        <v>3.2000000000000002E-3</v>
      </c>
      <c r="N100" s="29">
        <v>0.71</v>
      </c>
      <c r="O100" s="31">
        <v>3.8399999999999997E-2</v>
      </c>
    </row>
    <row r="101" spans="1:15">
      <c r="A101" s="24" t="s">
        <v>876</v>
      </c>
      <c r="B101" s="25" t="s">
        <v>30</v>
      </c>
      <c r="C101" s="25" t="s">
        <v>421</v>
      </c>
      <c r="D101" s="25" t="s">
        <v>20</v>
      </c>
      <c r="E101" s="153">
        <v>800000000</v>
      </c>
      <c r="F101" s="112">
        <v>800</v>
      </c>
      <c r="G101" s="153">
        <v>779575132</v>
      </c>
      <c r="H101" s="153">
        <v>779</v>
      </c>
      <c r="I101" s="25" t="s">
        <v>738</v>
      </c>
      <c r="J101" s="25">
        <v>261</v>
      </c>
      <c r="K101" s="26">
        <v>7.5709999999999996E-3</v>
      </c>
      <c r="L101" s="26">
        <v>3.3999999999999998E-3</v>
      </c>
      <c r="M101" s="26">
        <v>3.0000000000000001E-3</v>
      </c>
      <c r="N101" s="25">
        <v>0.72</v>
      </c>
      <c r="O101" s="27">
        <v>3.5999999999999997E-2</v>
      </c>
    </row>
    <row r="102" spans="1:15">
      <c r="A102" s="28" t="s">
        <v>876</v>
      </c>
      <c r="B102" s="29" t="s">
        <v>30</v>
      </c>
      <c r="C102" s="29" t="s">
        <v>668</v>
      </c>
      <c r="D102" s="29" t="s">
        <v>20</v>
      </c>
      <c r="E102" s="152">
        <v>500000000</v>
      </c>
      <c r="F102" s="111">
        <v>500</v>
      </c>
      <c r="G102" s="152">
        <v>486356090</v>
      </c>
      <c r="H102" s="152">
        <v>486</v>
      </c>
      <c r="I102" s="29" t="s">
        <v>725</v>
      </c>
      <c r="J102" s="29">
        <v>262</v>
      </c>
      <c r="K102" s="30">
        <v>4.7229999999999998E-3</v>
      </c>
      <c r="L102" s="30">
        <v>3.5000000000000001E-3</v>
      </c>
      <c r="M102" s="30">
        <v>3.2000000000000002E-3</v>
      </c>
      <c r="N102" s="29">
        <v>0.72</v>
      </c>
      <c r="O102" s="31">
        <v>3.8399999999999997E-2</v>
      </c>
    </row>
    <row r="103" spans="1:15">
      <c r="A103" s="24" t="s">
        <v>876</v>
      </c>
      <c r="B103" s="25" t="s">
        <v>30</v>
      </c>
      <c r="C103" s="25" t="s">
        <v>27</v>
      </c>
      <c r="D103" s="25" t="s">
        <v>20</v>
      </c>
      <c r="E103" s="153">
        <v>200000000</v>
      </c>
      <c r="F103" s="112">
        <v>200</v>
      </c>
      <c r="G103" s="153">
        <v>194564516</v>
      </c>
      <c r="H103" s="153">
        <v>194</v>
      </c>
      <c r="I103" s="25" t="s">
        <v>746</v>
      </c>
      <c r="J103" s="25">
        <v>288</v>
      </c>
      <c r="K103" s="26">
        <v>1.8890000000000001E-3</v>
      </c>
      <c r="L103" s="26">
        <v>3.0999999999999999E-3</v>
      </c>
      <c r="M103" s="26">
        <v>2.8999999999999998E-3</v>
      </c>
      <c r="N103" s="25">
        <v>0.79</v>
      </c>
      <c r="O103" s="27">
        <v>3.4799999999999998E-2</v>
      </c>
    </row>
    <row r="104" spans="1:15">
      <c r="A104" s="28" t="s">
        <v>876</v>
      </c>
      <c r="B104" s="29" t="s">
        <v>30</v>
      </c>
      <c r="C104" s="29" t="s">
        <v>19</v>
      </c>
      <c r="D104" s="29" t="s">
        <v>20</v>
      </c>
      <c r="E104" s="152">
        <v>200000000</v>
      </c>
      <c r="F104" s="111">
        <v>200</v>
      </c>
      <c r="G104" s="152">
        <v>193928111</v>
      </c>
      <c r="H104" s="152">
        <v>193</v>
      </c>
      <c r="I104" s="29" t="s">
        <v>726</v>
      </c>
      <c r="J104" s="29">
        <v>302</v>
      </c>
      <c r="K104" s="30">
        <v>1.8829999999999999E-3</v>
      </c>
      <c r="L104" s="30">
        <v>3.3999999999999998E-3</v>
      </c>
      <c r="M104" s="30">
        <v>3.0999999999999999E-3</v>
      </c>
      <c r="N104" s="29">
        <v>0.83</v>
      </c>
      <c r="O104" s="31">
        <v>3.7199999999999997E-2</v>
      </c>
    </row>
    <row r="105" spans="1:15">
      <c r="A105" s="24" t="s">
        <v>876</v>
      </c>
      <c r="B105" s="25" t="s">
        <v>30</v>
      </c>
      <c r="C105" s="25" t="s">
        <v>709</v>
      </c>
      <c r="D105" s="25" t="s">
        <v>20</v>
      </c>
      <c r="E105" s="153">
        <v>700000000</v>
      </c>
      <c r="F105" s="112">
        <v>700</v>
      </c>
      <c r="G105" s="153">
        <v>679442340</v>
      </c>
      <c r="H105" s="153">
        <v>679</v>
      </c>
      <c r="I105" s="25" t="s">
        <v>747</v>
      </c>
      <c r="J105" s="25">
        <v>312</v>
      </c>
      <c r="K105" s="26">
        <v>6.5979999999999997E-3</v>
      </c>
      <c r="L105" s="26">
        <v>3.0999999999999999E-3</v>
      </c>
      <c r="M105" s="26">
        <v>2.8999999999999998E-3</v>
      </c>
      <c r="N105" s="25">
        <v>0.86</v>
      </c>
      <c r="O105" s="27">
        <v>3.4799999999999998E-2</v>
      </c>
    </row>
    <row r="106" spans="1:15">
      <c r="A106" s="28"/>
      <c r="B106" s="29"/>
      <c r="C106" s="29"/>
      <c r="D106" s="29"/>
      <c r="E106" s="152"/>
      <c r="F106" s="111"/>
      <c r="G106" s="152"/>
      <c r="H106" s="152"/>
      <c r="I106" s="29"/>
      <c r="J106" s="29"/>
      <c r="K106" s="30"/>
      <c r="L106" s="30"/>
      <c r="M106" s="30"/>
      <c r="N106" s="29"/>
      <c r="O106" s="31"/>
    </row>
    <row r="107" spans="1:15">
      <c r="A107" s="24"/>
      <c r="B107" s="25"/>
      <c r="C107" s="25"/>
      <c r="D107" s="25"/>
      <c r="E107" s="153"/>
      <c r="F107" s="112"/>
      <c r="G107" s="153"/>
      <c r="H107" s="153"/>
      <c r="I107" s="25"/>
      <c r="J107" s="25"/>
      <c r="K107" s="26"/>
      <c r="L107" s="26"/>
      <c r="M107" s="26"/>
      <c r="N107" s="25"/>
      <c r="O107" s="27"/>
    </row>
    <row r="108" spans="1:15">
      <c r="A108" s="28"/>
      <c r="B108" s="29"/>
      <c r="C108" s="29"/>
      <c r="D108" s="29"/>
      <c r="E108" s="152"/>
      <c r="F108" s="111"/>
      <c r="G108" s="152"/>
      <c r="H108" s="152"/>
      <c r="I108" s="29"/>
      <c r="J108" s="29"/>
      <c r="K108" s="30"/>
      <c r="L108" s="30"/>
      <c r="M108" s="30"/>
      <c r="N108" s="29"/>
      <c r="O108" s="31"/>
    </row>
    <row r="109" spans="1:15">
      <c r="A109" s="24"/>
      <c r="B109" s="25"/>
      <c r="C109" s="25"/>
      <c r="D109" s="25"/>
      <c r="E109" s="153"/>
      <c r="F109" s="112"/>
      <c r="G109" s="153"/>
      <c r="H109" s="153"/>
      <c r="I109" s="25"/>
      <c r="J109" s="25"/>
      <c r="K109" s="26"/>
      <c r="L109" s="26"/>
      <c r="M109" s="26"/>
      <c r="N109" s="25"/>
      <c r="O109" s="27"/>
    </row>
    <row r="110" spans="1:15">
      <c r="A110" s="28"/>
      <c r="B110" s="29"/>
      <c r="C110" s="29"/>
      <c r="D110" s="29"/>
      <c r="E110" s="152"/>
      <c r="F110" s="111"/>
      <c r="G110" s="152"/>
      <c r="H110" s="152"/>
      <c r="I110" s="29"/>
      <c r="J110" s="29"/>
      <c r="K110" s="30"/>
      <c r="L110" s="30"/>
      <c r="M110" s="30"/>
      <c r="N110" s="29"/>
      <c r="O110" s="31"/>
    </row>
    <row r="111" spans="1:15">
      <c r="A111" s="24"/>
      <c r="B111" s="25"/>
      <c r="C111" s="25"/>
      <c r="D111" s="25"/>
      <c r="E111" s="153"/>
      <c r="F111" s="112"/>
      <c r="G111" s="153"/>
      <c r="H111" s="153"/>
      <c r="I111" s="25"/>
      <c r="J111" s="25"/>
      <c r="K111" s="26"/>
      <c r="L111" s="26"/>
      <c r="M111" s="26"/>
      <c r="N111" s="25"/>
      <c r="O111" s="27"/>
    </row>
    <row r="112" spans="1:15">
      <c r="A112" s="28"/>
      <c r="B112" s="29"/>
      <c r="C112" s="29"/>
      <c r="D112" s="29"/>
      <c r="E112" s="152"/>
      <c r="F112" s="111"/>
      <c r="G112" s="152"/>
      <c r="H112" s="152"/>
      <c r="I112" s="29"/>
      <c r="J112" s="29"/>
      <c r="K112" s="30"/>
      <c r="L112" s="30"/>
      <c r="M112" s="30"/>
      <c r="N112" s="29"/>
      <c r="O112" s="31"/>
    </row>
    <row r="113" spans="1:15">
      <c r="A113" s="24"/>
      <c r="B113" s="25"/>
      <c r="C113" s="25"/>
      <c r="D113" s="25"/>
      <c r="E113" s="153"/>
      <c r="F113" s="112"/>
      <c r="G113" s="153"/>
      <c r="H113" s="153"/>
      <c r="I113" s="25"/>
      <c r="J113" s="25"/>
      <c r="K113" s="26"/>
      <c r="L113" s="26"/>
      <c r="M113" s="26"/>
      <c r="N113" s="25"/>
      <c r="O113" s="27"/>
    </row>
    <row r="114" spans="1:15">
      <c r="A114" s="28"/>
      <c r="B114" s="29"/>
      <c r="C114" s="29"/>
      <c r="D114" s="29"/>
      <c r="E114" s="152"/>
      <c r="F114" s="111"/>
      <c r="G114" s="152"/>
      <c r="H114" s="152"/>
      <c r="I114" s="29"/>
      <c r="J114" s="29"/>
      <c r="K114" s="30"/>
      <c r="L114" s="30"/>
      <c r="M114" s="30"/>
      <c r="N114" s="29"/>
      <c r="O114" s="31"/>
    </row>
    <row r="115" spans="1:15">
      <c r="A115" s="24"/>
      <c r="B115" s="25"/>
      <c r="C115" s="25"/>
      <c r="D115" s="25"/>
      <c r="E115" s="153"/>
      <c r="F115" s="112"/>
      <c r="G115" s="153"/>
      <c r="H115" s="153"/>
      <c r="I115" s="25"/>
      <c r="J115" s="25"/>
      <c r="K115" s="26"/>
      <c r="L115" s="26"/>
      <c r="M115" s="26"/>
      <c r="N115" s="25"/>
      <c r="O115" s="27"/>
    </row>
    <row r="116" spans="1:15">
      <c r="A116" s="28"/>
      <c r="B116" s="29"/>
      <c r="C116" s="29"/>
      <c r="D116" s="29"/>
      <c r="E116" s="152"/>
      <c r="F116" s="111"/>
      <c r="G116" s="152"/>
      <c r="H116" s="152"/>
      <c r="I116" s="29"/>
      <c r="J116" s="29"/>
      <c r="K116" s="30"/>
      <c r="L116" s="30"/>
      <c r="M116" s="30"/>
      <c r="N116" s="29"/>
      <c r="O116" s="31"/>
    </row>
    <row r="117" spans="1:15">
      <c r="A117" s="24"/>
      <c r="B117" s="25"/>
      <c r="C117" s="25"/>
      <c r="D117" s="25"/>
      <c r="E117" s="153"/>
      <c r="F117" s="112"/>
      <c r="G117" s="153"/>
      <c r="H117" s="153"/>
      <c r="I117" s="25"/>
      <c r="J117" s="25"/>
      <c r="K117" s="26"/>
      <c r="L117" s="26"/>
      <c r="M117" s="26"/>
      <c r="N117" s="25"/>
      <c r="O117" s="27"/>
    </row>
    <row r="118" spans="1:15">
      <c r="A118" s="28"/>
      <c r="B118" s="29"/>
      <c r="C118" s="29"/>
      <c r="D118" s="29"/>
      <c r="E118" s="152"/>
      <c r="F118" s="111"/>
      <c r="G118" s="152"/>
      <c r="H118" s="152"/>
      <c r="I118" s="29"/>
      <c r="J118" s="29"/>
      <c r="K118" s="30"/>
      <c r="L118" s="30"/>
      <c r="M118" s="30"/>
      <c r="N118" s="29"/>
      <c r="O118" s="31"/>
    </row>
    <row r="119" spans="1:15">
      <c r="A119" s="24"/>
      <c r="B119" s="25"/>
      <c r="C119" s="25"/>
      <c r="D119" s="25"/>
      <c r="E119" s="153"/>
      <c r="F119" s="112"/>
      <c r="G119" s="153"/>
      <c r="H119" s="153"/>
      <c r="I119" s="25"/>
      <c r="J119" s="25"/>
      <c r="K119" s="26"/>
      <c r="L119" s="26"/>
      <c r="M119" s="26"/>
      <c r="N119" s="25"/>
      <c r="O119" s="27"/>
    </row>
    <row r="120" spans="1:15">
      <c r="A120" s="28"/>
      <c r="B120" s="29"/>
      <c r="C120" s="29"/>
      <c r="D120" s="29"/>
      <c r="E120" s="152"/>
      <c r="F120" s="111"/>
      <c r="G120" s="152"/>
      <c r="H120" s="152"/>
      <c r="I120" s="29"/>
      <c r="J120" s="29"/>
      <c r="K120" s="30"/>
      <c r="L120" s="30"/>
      <c r="M120" s="30"/>
      <c r="N120" s="29"/>
      <c r="O120" s="31"/>
    </row>
    <row r="121" spans="1:15">
      <c r="A121" s="24"/>
      <c r="B121" s="25"/>
      <c r="C121" s="25"/>
      <c r="D121" s="25"/>
      <c r="E121" s="153"/>
      <c r="F121" s="112"/>
      <c r="G121" s="153"/>
      <c r="H121" s="153"/>
      <c r="I121" s="25"/>
      <c r="J121" s="25"/>
      <c r="K121" s="26"/>
      <c r="L121" s="26"/>
      <c r="M121" s="26"/>
      <c r="N121" s="25"/>
      <c r="O121" s="27"/>
    </row>
    <row r="122" spans="1:15">
      <c r="A122" s="28"/>
      <c r="B122" s="29"/>
      <c r="C122" s="29"/>
      <c r="D122" s="29"/>
      <c r="E122" s="152"/>
      <c r="F122" s="111"/>
      <c r="G122" s="152"/>
      <c r="H122" s="152"/>
      <c r="I122" s="29"/>
      <c r="J122" s="29"/>
      <c r="K122" s="30"/>
      <c r="L122" s="30"/>
      <c r="M122" s="30"/>
      <c r="N122" s="29"/>
      <c r="O122" s="31"/>
    </row>
    <row r="123" spans="1:15">
      <c r="A123" s="24"/>
      <c r="B123" s="25"/>
      <c r="C123" s="25"/>
      <c r="D123" s="25"/>
      <c r="E123" s="153"/>
      <c r="F123" s="112"/>
      <c r="G123" s="153"/>
      <c r="H123" s="153"/>
      <c r="I123" s="25"/>
      <c r="J123" s="25"/>
      <c r="K123" s="26"/>
      <c r="L123" s="26"/>
      <c r="M123" s="26"/>
      <c r="N123" s="25"/>
      <c r="O123" s="27"/>
    </row>
    <row r="124" spans="1:15">
      <c r="A124" s="28"/>
      <c r="B124" s="29"/>
      <c r="C124" s="29"/>
      <c r="D124" s="29"/>
      <c r="E124" s="152"/>
      <c r="F124" s="111"/>
      <c r="G124" s="152"/>
      <c r="H124" s="152"/>
      <c r="I124" s="29"/>
      <c r="J124" s="29"/>
      <c r="K124" s="30"/>
      <c r="L124" s="30"/>
      <c r="M124" s="30"/>
      <c r="N124" s="29"/>
      <c r="O124" s="31"/>
    </row>
    <row r="125" spans="1:15">
      <c r="A125" s="24"/>
      <c r="B125" s="25"/>
      <c r="C125" s="25"/>
      <c r="D125" s="25"/>
      <c r="E125" s="153"/>
      <c r="F125" s="112"/>
      <c r="G125" s="153"/>
      <c r="H125" s="153"/>
      <c r="I125" s="25"/>
      <c r="J125" s="25"/>
      <c r="K125" s="26"/>
      <c r="L125" s="26"/>
      <c r="M125" s="26"/>
      <c r="N125" s="25"/>
      <c r="O125" s="27"/>
    </row>
    <row r="126" spans="1:15">
      <c r="A126" s="28"/>
      <c r="B126" s="29"/>
      <c r="C126" s="29"/>
      <c r="D126" s="29"/>
      <c r="E126" s="152"/>
      <c r="F126" s="111"/>
      <c r="G126" s="152"/>
      <c r="H126" s="152"/>
      <c r="I126" s="29"/>
      <c r="J126" s="29"/>
      <c r="K126" s="30"/>
      <c r="L126" s="30"/>
      <c r="M126" s="30"/>
      <c r="N126" s="29"/>
      <c r="O126" s="31"/>
    </row>
    <row r="127" spans="1:15">
      <c r="A127" s="24"/>
      <c r="B127" s="25"/>
      <c r="C127" s="25"/>
      <c r="D127" s="25"/>
      <c r="E127" s="153"/>
      <c r="F127" s="112"/>
      <c r="G127" s="153"/>
      <c r="H127" s="153"/>
      <c r="I127" s="25"/>
      <c r="J127" s="25"/>
      <c r="K127" s="26"/>
      <c r="L127" s="26"/>
      <c r="M127" s="26"/>
      <c r="N127" s="25"/>
      <c r="O127" s="27"/>
    </row>
    <row r="128" spans="1:15">
      <c r="A128" s="28"/>
      <c r="B128" s="29"/>
      <c r="C128" s="29"/>
      <c r="D128" s="29"/>
      <c r="E128" s="152"/>
      <c r="F128" s="111"/>
      <c r="G128" s="152"/>
      <c r="H128" s="152"/>
      <c r="I128" s="29"/>
      <c r="J128" s="29"/>
      <c r="K128" s="30"/>
      <c r="L128" s="30"/>
      <c r="M128" s="30"/>
      <c r="N128" s="29"/>
      <c r="O128" s="31"/>
    </row>
    <row r="129" spans="1:15">
      <c r="A129" s="24"/>
      <c r="B129" s="25"/>
      <c r="C129" s="25"/>
      <c r="D129" s="25"/>
      <c r="E129" s="153"/>
      <c r="F129" s="112"/>
      <c r="G129" s="153"/>
      <c r="H129" s="153"/>
      <c r="I129" s="25"/>
      <c r="J129" s="25"/>
      <c r="K129" s="26"/>
      <c r="L129" s="26"/>
      <c r="M129" s="26"/>
      <c r="N129" s="25"/>
      <c r="O129" s="27"/>
    </row>
    <row r="130" spans="1:15">
      <c r="A130" s="28"/>
      <c r="B130" s="29"/>
      <c r="C130" s="29"/>
      <c r="D130" s="29"/>
      <c r="E130" s="152"/>
      <c r="F130" s="111"/>
      <c r="G130" s="152"/>
      <c r="H130" s="152"/>
      <c r="I130" s="29"/>
      <c r="J130" s="29"/>
      <c r="K130" s="30"/>
      <c r="L130" s="30"/>
      <c r="M130" s="30"/>
      <c r="N130" s="29"/>
      <c r="O130" s="31"/>
    </row>
    <row r="131" spans="1:15">
      <c r="A131" s="24"/>
      <c r="B131" s="25"/>
      <c r="C131" s="25"/>
      <c r="D131" s="25"/>
      <c r="E131" s="153"/>
      <c r="F131" s="112"/>
      <c r="G131" s="153"/>
      <c r="H131" s="153"/>
      <c r="I131" s="25"/>
      <c r="J131" s="25"/>
      <c r="K131" s="26"/>
      <c r="L131" s="26"/>
      <c r="M131" s="26"/>
      <c r="N131" s="25"/>
      <c r="O131" s="27"/>
    </row>
    <row r="132" spans="1:15">
      <c r="A132" s="28"/>
      <c r="B132" s="29"/>
      <c r="C132" s="29"/>
      <c r="D132" s="29"/>
      <c r="E132" s="152"/>
      <c r="F132" s="111"/>
      <c r="G132" s="152"/>
      <c r="H132" s="152"/>
      <c r="I132" s="29"/>
      <c r="J132" s="29"/>
      <c r="K132" s="30"/>
      <c r="L132" s="30"/>
      <c r="M132" s="30"/>
      <c r="N132" s="29"/>
      <c r="O132" s="31"/>
    </row>
    <row r="133" spans="1:15">
      <c r="A133" s="24"/>
      <c r="B133" s="25"/>
      <c r="C133" s="25"/>
      <c r="D133" s="25"/>
      <c r="E133" s="153"/>
      <c r="F133" s="112"/>
      <c r="G133" s="153"/>
      <c r="H133" s="153"/>
      <c r="I133" s="25"/>
      <c r="J133" s="25"/>
      <c r="K133" s="26"/>
      <c r="L133" s="26"/>
      <c r="M133" s="26"/>
      <c r="N133" s="25"/>
      <c r="O133" s="27"/>
    </row>
    <row r="134" spans="1:15">
      <c r="A134" s="28"/>
      <c r="B134" s="29"/>
      <c r="C134" s="29"/>
      <c r="D134" s="29"/>
      <c r="E134" s="152"/>
      <c r="F134" s="111"/>
      <c r="G134" s="152"/>
      <c r="H134" s="152"/>
      <c r="I134" s="29"/>
      <c r="J134" s="29"/>
      <c r="K134" s="30"/>
      <c r="L134" s="30"/>
      <c r="M134" s="30"/>
      <c r="N134" s="29"/>
      <c r="O134" s="31"/>
    </row>
    <row r="135" spans="1:15">
      <c r="A135" s="24"/>
      <c r="B135" s="25"/>
      <c r="C135" s="25"/>
      <c r="D135" s="25"/>
      <c r="E135" s="153"/>
      <c r="F135" s="112"/>
      <c r="G135" s="153"/>
      <c r="H135" s="153"/>
      <c r="I135" s="25"/>
      <c r="J135" s="25"/>
      <c r="K135" s="26"/>
      <c r="L135" s="26"/>
      <c r="M135" s="26"/>
      <c r="N135" s="25"/>
      <c r="O135" s="27"/>
    </row>
    <row r="136" spans="1:15">
      <c r="A136" s="28"/>
      <c r="B136" s="29"/>
      <c r="C136" s="29"/>
      <c r="D136" s="29"/>
      <c r="E136" s="152"/>
      <c r="F136" s="111"/>
      <c r="G136" s="152"/>
      <c r="H136" s="152"/>
      <c r="I136" s="29"/>
      <c r="J136" s="29"/>
      <c r="K136" s="30"/>
      <c r="L136" s="30"/>
      <c r="M136" s="30"/>
      <c r="N136" s="29"/>
      <c r="O136" s="31"/>
    </row>
    <row r="137" spans="1:15">
      <c r="A137" s="24"/>
      <c r="B137" s="25"/>
      <c r="C137" s="25"/>
      <c r="D137" s="25"/>
      <c r="E137" s="153"/>
      <c r="F137" s="112"/>
      <c r="G137" s="153"/>
      <c r="H137" s="153"/>
      <c r="I137" s="25"/>
      <c r="J137" s="25"/>
      <c r="K137" s="26"/>
      <c r="L137" s="26"/>
      <c r="M137" s="26"/>
      <c r="N137" s="25"/>
      <c r="O137" s="27"/>
    </row>
    <row r="138" spans="1:15">
      <c r="A138" s="28"/>
      <c r="B138" s="29"/>
      <c r="C138" s="29"/>
      <c r="D138" s="29"/>
      <c r="E138" s="152"/>
      <c r="F138" s="111"/>
      <c r="G138" s="152"/>
      <c r="H138" s="152"/>
      <c r="I138" s="29"/>
      <c r="J138" s="29"/>
      <c r="K138" s="30"/>
      <c r="L138" s="30"/>
      <c r="M138" s="30"/>
      <c r="N138" s="29"/>
      <c r="O138" s="31"/>
    </row>
    <row r="139" spans="1:15">
      <c r="A139" s="24"/>
      <c r="B139" s="25"/>
      <c r="C139" s="25"/>
      <c r="D139" s="25"/>
      <c r="E139" s="153"/>
      <c r="F139" s="112"/>
      <c r="G139" s="153"/>
      <c r="H139" s="153"/>
      <c r="I139" s="25"/>
      <c r="J139" s="25"/>
      <c r="K139" s="26"/>
      <c r="L139" s="26"/>
      <c r="M139" s="26"/>
      <c r="N139" s="25"/>
      <c r="O139" s="27"/>
    </row>
    <row r="140" spans="1:15">
      <c r="A140" s="28"/>
      <c r="B140" s="29"/>
      <c r="C140" s="29"/>
      <c r="D140" s="29"/>
      <c r="E140" s="152"/>
      <c r="F140" s="111"/>
      <c r="G140" s="152"/>
      <c r="H140" s="152"/>
      <c r="I140" s="29"/>
      <c r="J140" s="29"/>
      <c r="K140" s="30"/>
      <c r="L140" s="30"/>
      <c r="M140" s="30"/>
      <c r="N140" s="29"/>
      <c r="O140" s="31"/>
    </row>
    <row r="141" spans="1:15">
      <c r="A141" s="24"/>
      <c r="B141" s="25"/>
      <c r="C141" s="25"/>
      <c r="D141" s="25"/>
      <c r="E141" s="153"/>
      <c r="F141" s="112"/>
      <c r="G141" s="153"/>
      <c r="H141" s="153"/>
      <c r="I141" s="25"/>
      <c r="J141" s="25"/>
      <c r="K141" s="26"/>
      <c r="L141" s="26"/>
      <c r="M141" s="26"/>
      <c r="N141" s="25"/>
      <c r="O141" s="27"/>
    </row>
    <row r="142" spans="1:15">
      <c r="A142" s="28"/>
      <c r="B142" s="29"/>
      <c r="C142" s="29"/>
      <c r="D142" s="29"/>
      <c r="E142" s="152"/>
      <c r="F142" s="111"/>
      <c r="G142" s="152"/>
      <c r="H142" s="152"/>
      <c r="I142" s="29"/>
      <c r="J142" s="29"/>
      <c r="K142" s="30"/>
      <c r="L142" s="30"/>
      <c r="M142" s="30"/>
      <c r="N142" s="29"/>
      <c r="O142" s="31"/>
    </row>
    <row r="143" spans="1:15">
      <c r="A143" s="24"/>
      <c r="B143" s="25"/>
      <c r="C143" s="25"/>
      <c r="D143" s="25"/>
      <c r="E143" s="153"/>
      <c r="F143" s="112"/>
      <c r="G143" s="153"/>
      <c r="H143" s="153"/>
      <c r="I143" s="25"/>
      <c r="J143" s="25"/>
      <c r="K143" s="26"/>
      <c r="L143" s="26"/>
      <c r="M143" s="26"/>
      <c r="N143" s="25"/>
      <c r="O143" s="27"/>
    </row>
    <row r="144" spans="1:15">
      <c r="A144" s="28"/>
      <c r="B144" s="29"/>
      <c r="C144" s="29"/>
      <c r="D144" s="29"/>
      <c r="E144" s="152"/>
      <c r="F144" s="111"/>
      <c r="G144" s="152"/>
      <c r="H144" s="152"/>
      <c r="I144" s="29"/>
      <c r="J144" s="29"/>
      <c r="K144" s="30"/>
      <c r="L144" s="30"/>
      <c r="M144" s="30"/>
      <c r="N144" s="29"/>
      <c r="O144" s="31"/>
    </row>
    <row r="145" spans="1:15">
      <c r="A145" s="24"/>
      <c r="B145" s="25"/>
      <c r="C145" s="25"/>
      <c r="D145" s="25"/>
      <c r="E145" s="153"/>
      <c r="F145" s="112"/>
      <c r="G145" s="153"/>
      <c r="H145" s="153"/>
      <c r="I145" s="25"/>
      <c r="J145" s="25"/>
      <c r="K145" s="26"/>
      <c r="L145" s="26"/>
      <c r="M145" s="26"/>
      <c r="N145" s="25"/>
      <c r="O145" s="27"/>
    </row>
    <row r="146" spans="1:15">
      <c r="A146" s="28"/>
      <c r="B146" s="29"/>
      <c r="C146" s="29"/>
      <c r="D146" s="29"/>
      <c r="E146" s="152"/>
      <c r="F146" s="111"/>
      <c r="G146" s="152"/>
      <c r="H146" s="152"/>
      <c r="I146" s="29"/>
      <c r="J146" s="29"/>
      <c r="K146" s="30"/>
      <c r="L146" s="30"/>
      <c r="M146" s="30"/>
      <c r="N146" s="29"/>
      <c r="O146" s="31"/>
    </row>
    <row r="147" spans="1:15">
      <c r="A147" s="24"/>
      <c r="B147" s="25"/>
      <c r="C147" s="25"/>
      <c r="D147" s="25"/>
      <c r="E147" s="153"/>
      <c r="F147" s="112"/>
      <c r="G147" s="153"/>
      <c r="H147" s="153"/>
      <c r="I147" s="25"/>
      <c r="J147" s="25"/>
      <c r="K147" s="26"/>
      <c r="L147" s="26"/>
      <c r="M147" s="26"/>
      <c r="N147" s="25"/>
      <c r="O147" s="27"/>
    </row>
    <row r="148" spans="1:15">
      <c r="A148" s="28"/>
      <c r="B148" s="29"/>
      <c r="C148" s="29"/>
      <c r="D148" s="29"/>
      <c r="E148" s="152"/>
      <c r="F148" s="111"/>
      <c r="G148" s="152"/>
      <c r="H148" s="152"/>
      <c r="I148" s="29"/>
      <c r="J148" s="29"/>
      <c r="K148" s="30"/>
      <c r="L148" s="30"/>
      <c r="M148" s="30"/>
      <c r="N148" s="29"/>
      <c r="O148" s="31"/>
    </row>
    <row r="149" spans="1:15">
      <c r="A149" s="24"/>
      <c r="B149" s="25"/>
      <c r="C149" s="25"/>
      <c r="D149" s="25"/>
      <c r="E149" s="153"/>
      <c r="F149" s="112"/>
      <c r="G149" s="153"/>
      <c r="H149" s="153"/>
      <c r="I149" s="25"/>
      <c r="J149" s="25"/>
      <c r="K149" s="26"/>
      <c r="L149" s="26"/>
      <c r="M149" s="26"/>
      <c r="N149" s="25"/>
      <c r="O149" s="27"/>
    </row>
    <row r="1077" spans="5:5">
      <c r="E1077" s="15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AF61-F7DB-4641-814E-F391EF513F7F}">
  <sheetPr codeName="Hoja6">
    <tabColor theme="5" tint="-0.249977111117893"/>
  </sheetPr>
  <dimension ref="A1:N1077"/>
  <sheetViews>
    <sheetView zoomScaleNormal="100" workbookViewId="0">
      <pane xSplit="1" topLeftCell="B1" activePane="topRight" state="frozen"/>
      <selection pane="topRight" activeCell="P7" sqref="P7"/>
    </sheetView>
  </sheetViews>
  <sheetFormatPr baseColWidth="10" defaultColWidth="16" defaultRowHeight="14.25"/>
  <cols>
    <col min="1" max="4" width="16" style="1"/>
    <col min="5" max="5" width="16" style="11"/>
    <col min="6" max="6" width="17.5" style="61" bestFit="1" customWidth="1"/>
    <col min="7" max="7" width="17.75" style="61" bestFit="1" customWidth="1"/>
    <col min="8" max="8" width="16" style="1"/>
    <col min="9" max="10" width="16" style="21"/>
    <col min="11" max="11" width="16" style="23"/>
    <col min="12" max="14" width="16" style="21"/>
    <col min="15" max="16384" width="16" style="1"/>
  </cols>
  <sheetData>
    <row r="1" spans="1:14" ht="15">
      <c r="A1" s="36" t="s">
        <v>3</v>
      </c>
      <c r="B1" s="37" t="s">
        <v>4</v>
      </c>
      <c r="C1" s="37" t="s">
        <v>5</v>
      </c>
      <c r="D1" s="37" t="s">
        <v>6</v>
      </c>
      <c r="E1" s="37" t="s">
        <v>241</v>
      </c>
      <c r="F1" s="105" t="s">
        <v>7</v>
      </c>
      <c r="G1" s="105" t="s">
        <v>9</v>
      </c>
      <c r="H1" s="37" t="s">
        <v>10</v>
      </c>
      <c r="I1" s="38" t="s">
        <v>13</v>
      </c>
      <c r="J1" s="38" t="s">
        <v>14</v>
      </c>
      <c r="K1" s="37" t="s">
        <v>16</v>
      </c>
      <c r="L1" s="38" t="s">
        <v>15</v>
      </c>
      <c r="M1" s="38" t="s">
        <v>242</v>
      </c>
      <c r="N1" s="39" t="s">
        <v>243</v>
      </c>
    </row>
    <row r="2" spans="1:14">
      <c r="A2" s="28" t="s">
        <v>876</v>
      </c>
      <c r="B2" s="29" t="s">
        <v>18</v>
      </c>
      <c r="C2" s="29" t="s">
        <v>64</v>
      </c>
      <c r="D2" s="29" t="s">
        <v>65</v>
      </c>
      <c r="E2" s="152" t="s">
        <v>245</v>
      </c>
      <c r="F2" s="111">
        <v>20000</v>
      </c>
      <c r="G2" s="152">
        <v>523695588</v>
      </c>
      <c r="H2" s="152">
        <v>523</v>
      </c>
      <c r="I2" s="29">
        <v>2.2040000000000001E-2</v>
      </c>
      <c r="J2" s="29">
        <v>3.3500000000000002E-2</v>
      </c>
      <c r="K2" s="30">
        <v>5</v>
      </c>
      <c r="L2" s="30">
        <v>2.3E-2</v>
      </c>
      <c r="M2" s="30">
        <v>0</v>
      </c>
      <c r="N2" s="29">
        <v>0</v>
      </c>
    </row>
    <row r="3" spans="1:14">
      <c r="A3" s="24" t="s">
        <v>876</v>
      </c>
      <c r="B3" s="25" t="s">
        <v>18</v>
      </c>
      <c r="C3" s="25" t="s">
        <v>67</v>
      </c>
      <c r="D3" s="25" t="s">
        <v>103</v>
      </c>
      <c r="E3" s="153" t="s">
        <v>245</v>
      </c>
      <c r="F3" s="112">
        <v>10000</v>
      </c>
      <c r="G3" s="153">
        <v>174689028</v>
      </c>
      <c r="H3" s="153">
        <v>174</v>
      </c>
      <c r="I3" s="25">
        <v>7.352E-3</v>
      </c>
      <c r="J3" s="25">
        <v>2.5499999999999998E-2</v>
      </c>
      <c r="K3" s="26">
        <v>4.6900000000000004</v>
      </c>
      <c r="L3" s="26">
        <v>1.8499999999999999E-2</v>
      </c>
      <c r="M3" s="26">
        <v>0</v>
      </c>
      <c r="N3" s="25">
        <v>0</v>
      </c>
    </row>
    <row r="4" spans="1:14">
      <c r="A4" s="28" t="s">
        <v>876</v>
      </c>
      <c r="B4" s="29" t="s">
        <v>18</v>
      </c>
      <c r="C4" s="29" t="s">
        <v>67</v>
      </c>
      <c r="D4" s="29" t="s">
        <v>68</v>
      </c>
      <c r="E4" s="152" t="s">
        <v>245</v>
      </c>
      <c r="F4" s="111">
        <v>20000</v>
      </c>
      <c r="G4" s="152">
        <v>567118083</v>
      </c>
      <c r="H4" s="152">
        <v>567</v>
      </c>
      <c r="I4" s="29">
        <v>2.3866999999999999E-2</v>
      </c>
      <c r="J4" s="29">
        <v>2.1000000000000001E-2</v>
      </c>
      <c r="K4" s="30">
        <v>2.87</v>
      </c>
      <c r="L4" s="30">
        <v>1.7299999999999999E-2</v>
      </c>
      <c r="M4" s="30">
        <v>0</v>
      </c>
      <c r="N4" s="29">
        <v>0</v>
      </c>
    </row>
    <row r="5" spans="1:14">
      <c r="A5" s="24" t="s">
        <v>876</v>
      </c>
      <c r="B5" s="25" t="s">
        <v>18</v>
      </c>
      <c r="C5" s="25" t="s">
        <v>148</v>
      </c>
      <c r="D5" s="25" t="s">
        <v>149</v>
      </c>
      <c r="E5" s="153" t="s">
        <v>245</v>
      </c>
      <c r="F5" s="112">
        <v>5000</v>
      </c>
      <c r="G5" s="153">
        <v>143014022</v>
      </c>
      <c r="H5" s="153">
        <v>143</v>
      </c>
      <c r="I5" s="25">
        <v>6.0179999999999999E-3</v>
      </c>
      <c r="J5" s="25">
        <v>2.1100000000000001E-2</v>
      </c>
      <c r="K5" s="26">
        <v>7.03</v>
      </c>
      <c r="L5" s="26">
        <v>1.9699999999999999E-2</v>
      </c>
      <c r="M5" s="26">
        <v>0</v>
      </c>
      <c r="N5" s="25">
        <v>0</v>
      </c>
    </row>
    <row r="6" spans="1:14">
      <c r="A6" s="28" t="s">
        <v>876</v>
      </c>
      <c r="B6" s="29" t="s">
        <v>18</v>
      </c>
      <c r="C6" s="29" t="s">
        <v>105</v>
      </c>
      <c r="D6" s="29" t="s">
        <v>106</v>
      </c>
      <c r="E6" s="152" t="s">
        <v>245</v>
      </c>
      <c r="F6" s="111">
        <v>5000</v>
      </c>
      <c r="G6" s="152">
        <v>165935806</v>
      </c>
      <c r="H6" s="152">
        <v>165</v>
      </c>
      <c r="I6" s="29">
        <v>6.9829999999999996E-3</v>
      </c>
      <c r="J6" s="29">
        <v>2.8299999999999999E-2</v>
      </c>
      <c r="K6" s="30">
        <v>10.16</v>
      </c>
      <c r="L6" s="30">
        <v>2.2499999999999999E-2</v>
      </c>
      <c r="M6" s="30">
        <v>0</v>
      </c>
      <c r="N6" s="29">
        <v>0</v>
      </c>
    </row>
    <row r="7" spans="1:14">
      <c r="A7" s="24" t="s">
        <v>876</v>
      </c>
      <c r="B7" s="25" t="s">
        <v>18</v>
      </c>
      <c r="C7" s="25" t="s">
        <v>54</v>
      </c>
      <c r="D7" s="25" t="s">
        <v>751</v>
      </c>
      <c r="E7" s="153" t="s">
        <v>245</v>
      </c>
      <c r="F7" s="112">
        <v>12000</v>
      </c>
      <c r="G7" s="153">
        <v>339745892</v>
      </c>
      <c r="H7" s="153">
        <v>339</v>
      </c>
      <c r="I7" s="25">
        <v>1.4298E-2</v>
      </c>
      <c r="J7" s="25">
        <v>1.4800000000000001E-2</v>
      </c>
      <c r="K7" s="26">
        <v>1.29</v>
      </c>
      <c r="L7" s="26">
        <v>1.35E-2</v>
      </c>
      <c r="M7" s="26">
        <v>0</v>
      </c>
      <c r="N7" s="25">
        <v>0</v>
      </c>
    </row>
    <row r="8" spans="1:14">
      <c r="A8" s="28" t="s">
        <v>876</v>
      </c>
      <c r="B8" s="29" t="s">
        <v>18</v>
      </c>
      <c r="C8" s="29" t="s">
        <v>110</v>
      </c>
      <c r="D8" s="29" t="s">
        <v>466</v>
      </c>
      <c r="E8" s="152" t="s">
        <v>245</v>
      </c>
      <c r="F8" s="111">
        <v>2000</v>
      </c>
      <c r="G8" s="152">
        <v>63891242</v>
      </c>
      <c r="H8" s="152">
        <v>63</v>
      </c>
      <c r="I8" s="29">
        <v>2.6879999999999999E-3</v>
      </c>
      <c r="J8" s="29">
        <v>3.2099999999999997E-2</v>
      </c>
      <c r="K8" s="30">
        <v>13.28</v>
      </c>
      <c r="L8" s="30">
        <v>2.1899999999999999E-2</v>
      </c>
      <c r="M8" s="30">
        <v>0</v>
      </c>
      <c r="N8" s="29">
        <v>0</v>
      </c>
    </row>
    <row r="9" spans="1:14">
      <c r="A9" s="24" t="s">
        <v>876</v>
      </c>
      <c r="B9" s="25" t="s">
        <v>18</v>
      </c>
      <c r="C9" s="25" t="s">
        <v>62</v>
      </c>
      <c r="D9" s="25" t="s">
        <v>77</v>
      </c>
      <c r="E9" s="153" t="s">
        <v>244</v>
      </c>
      <c r="F9" s="112">
        <v>500000000</v>
      </c>
      <c r="G9" s="153">
        <v>508481051</v>
      </c>
      <c r="H9" s="153">
        <v>508</v>
      </c>
      <c r="I9" s="25">
        <v>2.1399999999999999E-2</v>
      </c>
      <c r="J9" s="25">
        <v>4.6800000000000001E-2</v>
      </c>
      <c r="K9" s="26">
        <v>3.01</v>
      </c>
      <c r="L9" s="26">
        <v>4.3299999999999998E-2</v>
      </c>
      <c r="M9" s="26">
        <v>0</v>
      </c>
      <c r="N9" s="25">
        <v>0</v>
      </c>
    </row>
    <row r="10" spans="1:14">
      <c r="A10" s="28" t="s">
        <v>876</v>
      </c>
      <c r="B10" s="29" t="s">
        <v>18</v>
      </c>
      <c r="C10" s="29" t="s">
        <v>51</v>
      </c>
      <c r="D10" s="29" t="s">
        <v>52</v>
      </c>
      <c r="E10" s="152" t="s">
        <v>245</v>
      </c>
      <c r="F10" s="111">
        <v>25000</v>
      </c>
      <c r="G10" s="152">
        <v>699312780</v>
      </c>
      <c r="H10" s="152">
        <v>699</v>
      </c>
      <c r="I10" s="29">
        <v>2.9430999999999999E-2</v>
      </c>
      <c r="J10" s="29">
        <v>3.8975000000000003E-2</v>
      </c>
      <c r="K10" s="30">
        <v>0.06</v>
      </c>
      <c r="L10" s="30">
        <v>3.5200000000000002E-2</v>
      </c>
      <c r="M10" s="30">
        <v>0</v>
      </c>
      <c r="N10" s="29">
        <v>0</v>
      </c>
    </row>
    <row r="11" spans="1:14">
      <c r="A11" s="24" t="s">
        <v>876</v>
      </c>
      <c r="B11" s="25" t="s">
        <v>18</v>
      </c>
      <c r="C11" s="25" t="s">
        <v>54</v>
      </c>
      <c r="D11" s="25" t="s">
        <v>456</v>
      </c>
      <c r="E11" s="153" t="s">
        <v>245</v>
      </c>
      <c r="F11" s="112">
        <v>6000</v>
      </c>
      <c r="G11" s="153">
        <v>201475036</v>
      </c>
      <c r="H11" s="153">
        <v>201</v>
      </c>
      <c r="I11" s="25">
        <v>8.4790000000000004E-3</v>
      </c>
      <c r="J11" s="25">
        <v>3.80666666E-2</v>
      </c>
      <c r="K11" s="26">
        <v>10.69</v>
      </c>
      <c r="L11" s="26">
        <v>2.18E-2</v>
      </c>
      <c r="M11" s="26">
        <v>0</v>
      </c>
      <c r="N11" s="25">
        <v>0</v>
      </c>
    </row>
    <row r="12" spans="1:14">
      <c r="A12" s="28" t="s">
        <v>876</v>
      </c>
      <c r="B12" s="29" t="s">
        <v>18</v>
      </c>
      <c r="C12" s="29" t="s">
        <v>54</v>
      </c>
      <c r="D12" s="29" t="s">
        <v>55</v>
      </c>
      <c r="E12" s="152" t="s">
        <v>245</v>
      </c>
      <c r="F12" s="111">
        <v>20000</v>
      </c>
      <c r="G12" s="152">
        <v>716474480</v>
      </c>
      <c r="H12" s="152">
        <v>716</v>
      </c>
      <c r="I12" s="29">
        <v>3.0152999999999999E-2</v>
      </c>
      <c r="J12" s="29">
        <v>3.7249999999999998E-2</v>
      </c>
      <c r="K12" s="30">
        <v>11.16</v>
      </c>
      <c r="L12" s="30">
        <v>2.2100000000000002E-2</v>
      </c>
      <c r="M12" s="30">
        <v>0</v>
      </c>
      <c r="N12" s="29">
        <v>0</v>
      </c>
    </row>
    <row r="13" spans="1:14">
      <c r="A13" s="24" t="s">
        <v>876</v>
      </c>
      <c r="B13" s="25" t="s">
        <v>18</v>
      </c>
      <c r="C13" s="25" t="s">
        <v>62</v>
      </c>
      <c r="D13" s="25" t="s">
        <v>63</v>
      </c>
      <c r="E13" s="153" t="s">
        <v>245</v>
      </c>
      <c r="F13" s="112">
        <v>20000</v>
      </c>
      <c r="G13" s="153">
        <v>625334210</v>
      </c>
      <c r="H13" s="153">
        <v>625</v>
      </c>
      <c r="I13" s="25">
        <v>2.6318000000000001E-2</v>
      </c>
      <c r="J13" s="25">
        <v>2.3900000000000001E-2</v>
      </c>
      <c r="K13" s="26">
        <v>6.66</v>
      </c>
      <c r="L13" s="26">
        <v>2.1100000000000001E-2</v>
      </c>
      <c r="M13" s="26">
        <v>0</v>
      </c>
      <c r="N13" s="25">
        <v>0</v>
      </c>
    </row>
    <row r="14" spans="1:14">
      <c r="A14" s="28" t="s">
        <v>876</v>
      </c>
      <c r="B14" s="29" t="s">
        <v>18</v>
      </c>
      <c r="C14" s="29" t="s">
        <v>50</v>
      </c>
      <c r="D14" s="29" t="s">
        <v>383</v>
      </c>
      <c r="E14" s="152" t="s">
        <v>244</v>
      </c>
      <c r="F14" s="111">
        <v>400000000</v>
      </c>
      <c r="G14" s="152">
        <v>410701418</v>
      </c>
      <c r="H14" s="152">
        <v>410</v>
      </c>
      <c r="I14" s="29">
        <v>1.7284000000000001E-2</v>
      </c>
      <c r="J14" s="29">
        <v>4.3400000000000001E-2</v>
      </c>
      <c r="K14" s="30">
        <v>1.27</v>
      </c>
      <c r="L14" s="30">
        <v>3.95E-2</v>
      </c>
      <c r="M14" s="30">
        <v>0</v>
      </c>
      <c r="N14" s="29">
        <v>0</v>
      </c>
    </row>
    <row r="15" spans="1:14">
      <c r="A15" s="24" t="s">
        <v>876</v>
      </c>
      <c r="B15" s="25" t="s">
        <v>18</v>
      </c>
      <c r="C15" s="25" t="s">
        <v>81</v>
      </c>
      <c r="D15" s="25" t="s">
        <v>82</v>
      </c>
      <c r="E15" s="153" t="s">
        <v>245</v>
      </c>
      <c r="F15" s="112">
        <v>15000</v>
      </c>
      <c r="G15" s="153">
        <v>458241609</v>
      </c>
      <c r="H15" s="153">
        <v>458</v>
      </c>
      <c r="I15" s="25">
        <v>1.9285E-2</v>
      </c>
      <c r="J15" s="25">
        <v>3.7900000000000003E-2</v>
      </c>
      <c r="K15" s="26">
        <v>2.17</v>
      </c>
      <c r="L15" s="26">
        <v>1.8700000000000001E-2</v>
      </c>
      <c r="M15" s="26">
        <v>0</v>
      </c>
      <c r="N15" s="25">
        <v>0</v>
      </c>
    </row>
    <row r="16" spans="1:14">
      <c r="A16" s="28" t="s">
        <v>876</v>
      </c>
      <c r="B16" s="29" t="s">
        <v>18</v>
      </c>
      <c r="C16" s="29" t="s">
        <v>207</v>
      </c>
      <c r="D16" s="29" t="s">
        <v>208</v>
      </c>
      <c r="E16" s="152" t="s">
        <v>245</v>
      </c>
      <c r="F16" s="111">
        <v>10000</v>
      </c>
      <c r="G16" s="152">
        <v>280596506</v>
      </c>
      <c r="H16" s="152">
        <v>280</v>
      </c>
      <c r="I16" s="29">
        <v>1.1809E-2</v>
      </c>
      <c r="J16" s="29">
        <v>1.83E-2</v>
      </c>
      <c r="K16" s="30">
        <v>2.29</v>
      </c>
      <c r="L16" s="30">
        <v>1.66E-2</v>
      </c>
      <c r="M16" s="30">
        <v>0</v>
      </c>
      <c r="N16" s="29">
        <v>0</v>
      </c>
    </row>
    <row r="17" spans="1:14">
      <c r="A17" s="24" t="s">
        <v>876</v>
      </c>
      <c r="B17" s="25" t="s">
        <v>18</v>
      </c>
      <c r="C17" s="25" t="s">
        <v>47</v>
      </c>
      <c r="D17" s="25" t="s">
        <v>48</v>
      </c>
      <c r="E17" s="153" t="s">
        <v>245</v>
      </c>
      <c r="F17" s="112">
        <v>13000</v>
      </c>
      <c r="G17" s="153">
        <v>435895346</v>
      </c>
      <c r="H17" s="153">
        <v>435</v>
      </c>
      <c r="I17" s="25">
        <v>1.8345E-2</v>
      </c>
      <c r="J17" s="25">
        <v>2.1700000000000001E-2</v>
      </c>
      <c r="K17" s="26">
        <v>6.05</v>
      </c>
      <c r="L17" s="26">
        <v>1.83E-2</v>
      </c>
      <c r="M17" s="26">
        <v>0</v>
      </c>
      <c r="N17" s="25">
        <v>0</v>
      </c>
    </row>
    <row r="18" spans="1:14">
      <c r="A18" s="28" t="s">
        <v>876</v>
      </c>
      <c r="B18" s="29" t="s">
        <v>18</v>
      </c>
      <c r="C18" s="29" t="s">
        <v>564</v>
      </c>
      <c r="D18" s="29" t="s">
        <v>565</v>
      </c>
      <c r="E18" s="152" t="s">
        <v>245</v>
      </c>
      <c r="F18" s="111">
        <v>15000</v>
      </c>
      <c r="G18" s="152">
        <v>490102283</v>
      </c>
      <c r="H18" s="152">
        <v>490</v>
      </c>
      <c r="I18" s="29">
        <v>2.0625999999999999E-2</v>
      </c>
      <c r="J18" s="29">
        <v>1.9650000000000001E-2</v>
      </c>
      <c r="K18" s="30">
        <v>4.74</v>
      </c>
      <c r="L18" s="30">
        <v>1.9300000000000001E-2</v>
      </c>
      <c r="M18" s="30">
        <v>0</v>
      </c>
      <c r="N18" s="29">
        <v>0</v>
      </c>
    </row>
    <row r="19" spans="1:14">
      <c r="A19" s="24" t="s">
        <v>876</v>
      </c>
      <c r="B19" s="25" t="s">
        <v>18</v>
      </c>
      <c r="C19" s="25" t="s">
        <v>96</v>
      </c>
      <c r="D19" s="25" t="s">
        <v>756</v>
      </c>
      <c r="E19" s="153" t="s">
        <v>245</v>
      </c>
      <c r="F19" s="112">
        <v>8000</v>
      </c>
      <c r="G19" s="153">
        <v>226960667</v>
      </c>
      <c r="H19" s="153">
        <v>226</v>
      </c>
      <c r="I19" s="25">
        <v>9.5510000000000005E-3</v>
      </c>
      <c r="J19" s="25">
        <v>2.5399999999999999E-2</v>
      </c>
      <c r="K19" s="26">
        <v>8.35</v>
      </c>
      <c r="L19" s="26">
        <v>2.0500000000000001E-2</v>
      </c>
      <c r="M19" s="26">
        <v>0</v>
      </c>
      <c r="N19" s="25">
        <v>0</v>
      </c>
    </row>
    <row r="20" spans="1:14">
      <c r="A20" s="28" t="s">
        <v>876</v>
      </c>
      <c r="B20" s="29" t="s">
        <v>18</v>
      </c>
      <c r="C20" s="29" t="s">
        <v>96</v>
      </c>
      <c r="D20" s="29" t="s">
        <v>97</v>
      </c>
      <c r="E20" s="152" t="s">
        <v>245</v>
      </c>
      <c r="F20" s="111">
        <v>20000</v>
      </c>
      <c r="G20" s="152">
        <v>646072759</v>
      </c>
      <c r="H20" s="152">
        <v>646</v>
      </c>
      <c r="I20" s="29">
        <v>2.7189999999999999E-2</v>
      </c>
      <c r="J20" s="29">
        <v>2.23E-2</v>
      </c>
      <c r="K20" s="30">
        <v>8.26</v>
      </c>
      <c r="L20" s="30">
        <v>2.1000000000000001E-2</v>
      </c>
      <c r="M20" s="30">
        <v>0</v>
      </c>
      <c r="N20" s="29">
        <v>0</v>
      </c>
    </row>
    <row r="21" spans="1:14">
      <c r="A21" s="24" t="s">
        <v>876</v>
      </c>
      <c r="B21" s="25" t="s">
        <v>18</v>
      </c>
      <c r="C21" s="25" t="s">
        <v>100</v>
      </c>
      <c r="D21" s="25" t="s">
        <v>101</v>
      </c>
      <c r="E21" s="153" t="s">
        <v>245</v>
      </c>
      <c r="F21" s="112">
        <v>12000</v>
      </c>
      <c r="G21" s="153">
        <v>142998350</v>
      </c>
      <c r="H21" s="153">
        <v>142</v>
      </c>
      <c r="I21" s="25">
        <v>6.0179999999999999E-3</v>
      </c>
      <c r="J21" s="25">
        <v>2.7E-2</v>
      </c>
      <c r="K21" s="26">
        <v>1.03</v>
      </c>
      <c r="L21" s="26">
        <v>1.7600000000000001E-2</v>
      </c>
      <c r="M21" s="26">
        <v>0</v>
      </c>
      <c r="N21" s="25">
        <v>0</v>
      </c>
    </row>
    <row r="22" spans="1:14">
      <c r="A22" s="28" t="s">
        <v>876</v>
      </c>
      <c r="B22" s="29" t="s">
        <v>18</v>
      </c>
      <c r="C22" s="29" t="s">
        <v>59</v>
      </c>
      <c r="D22" s="29" t="s">
        <v>60</v>
      </c>
      <c r="E22" s="152" t="s">
        <v>244</v>
      </c>
      <c r="F22" s="111">
        <v>600000000</v>
      </c>
      <c r="G22" s="152">
        <v>619720993</v>
      </c>
      <c r="H22" s="152">
        <v>619</v>
      </c>
      <c r="I22" s="29">
        <v>2.6081E-2</v>
      </c>
      <c r="J22" s="29">
        <v>4.2200000000000001E-2</v>
      </c>
      <c r="K22" s="30">
        <v>2.54</v>
      </c>
      <c r="L22" s="30">
        <v>4.3499999999999997E-2</v>
      </c>
      <c r="M22" s="30">
        <v>0</v>
      </c>
      <c r="N22" s="29">
        <v>0</v>
      </c>
    </row>
    <row r="23" spans="1:14">
      <c r="A23" s="24" t="s">
        <v>876</v>
      </c>
      <c r="B23" s="25" t="s">
        <v>18</v>
      </c>
      <c r="C23" s="25" t="s">
        <v>363</v>
      </c>
      <c r="D23" s="25" t="s">
        <v>623</v>
      </c>
      <c r="E23" s="153" t="s">
        <v>245</v>
      </c>
      <c r="F23" s="112">
        <v>15000</v>
      </c>
      <c r="G23" s="153">
        <v>421981908</v>
      </c>
      <c r="H23" s="153">
        <v>421</v>
      </c>
      <c r="I23" s="25">
        <v>1.7759E-2</v>
      </c>
      <c r="J23" s="25">
        <v>2.3900000000000001E-2</v>
      </c>
      <c r="K23" s="26">
        <v>3.8</v>
      </c>
      <c r="L23" s="26">
        <v>2.29E-2</v>
      </c>
      <c r="M23" s="26">
        <v>0</v>
      </c>
      <c r="N23" s="25">
        <v>0</v>
      </c>
    </row>
    <row r="24" spans="1:14">
      <c r="A24" s="28" t="s">
        <v>876</v>
      </c>
      <c r="B24" s="29" t="s">
        <v>18</v>
      </c>
      <c r="C24" s="29" t="s">
        <v>75</v>
      </c>
      <c r="D24" s="29" t="s">
        <v>98</v>
      </c>
      <c r="E24" s="152" t="s">
        <v>245</v>
      </c>
      <c r="F24" s="111">
        <v>11000</v>
      </c>
      <c r="G24" s="152">
        <v>305335896</v>
      </c>
      <c r="H24" s="152">
        <v>305</v>
      </c>
      <c r="I24" s="29">
        <v>1.285E-2</v>
      </c>
      <c r="J24" s="29">
        <v>2.1399999999999999E-2</v>
      </c>
      <c r="K24" s="30">
        <v>2.91</v>
      </c>
      <c r="L24" s="30">
        <v>1.67E-2</v>
      </c>
      <c r="M24" s="30">
        <v>0</v>
      </c>
      <c r="N24" s="29">
        <v>0</v>
      </c>
    </row>
    <row r="25" spans="1:14">
      <c r="A25" s="24" t="s">
        <v>876</v>
      </c>
      <c r="B25" s="25" t="s">
        <v>18</v>
      </c>
      <c r="C25" s="25" t="s">
        <v>75</v>
      </c>
      <c r="D25" s="25" t="s">
        <v>76</v>
      </c>
      <c r="E25" s="153" t="s">
        <v>244</v>
      </c>
      <c r="F25" s="112">
        <v>500000000</v>
      </c>
      <c r="G25" s="153">
        <v>519274780</v>
      </c>
      <c r="H25" s="153">
        <v>519</v>
      </c>
      <c r="I25" s="25">
        <v>2.1853999999999998E-2</v>
      </c>
      <c r="J25" s="25">
        <v>4.3400000000000001E-2</v>
      </c>
      <c r="K25" s="26">
        <v>2.42</v>
      </c>
      <c r="L25" s="26">
        <v>4.3200000000000002E-2</v>
      </c>
      <c r="M25" s="26">
        <v>0</v>
      </c>
      <c r="N25" s="25">
        <v>0</v>
      </c>
    </row>
    <row r="26" spans="1:14">
      <c r="A26" s="28" t="s">
        <v>876</v>
      </c>
      <c r="B26" s="29" t="s">
        <v>18</v>
      </c>
      <c r="C26" s="29" t="s">
        <v>86</v>
      </c>
      <c r="D26" s="29" t="s">
        <v>89</v>
      </c>
      <c r="E26" s="152" t="s">
        <v>244</v>
      </c>
      <c r="F26" s="111">
        <v>400000000</v>
      </c>
      <c r="G26" s="152">
        <v>162269404</v>
      </c>
      <c r="H26" s="152">
        <v>162</v>
      </c>
      <c r="I26" s="29">
        <v>6.829E-3</v>
      </c>
      <c r="J26" s="29">
        <v>5.0999999999999997E-2</v>
      </c>
      <c r="K26" s="30">
        <v>0.64</v>
      </c>
      <c r="L26" s="30">
        <v>4.1000000000000002E-2</v>
      </c>
      <c r="M26" s="30">
        <v>0</v>
      </c>
      <c r="N26" s="29">
        <v>0</v>
      </c>
    </row>
    <row r="27" spans="1:14">
      <c r="A27" s="24" t="s">
        <v>876</v>
      </c>
      <c r="B27" s="25" t="s">
        <v>18</v>
      </c>
      <c r="C27" s="25" t="s">
        <v>86</v>
      </c>
      <c r="D27" s="25" t="s">
        <v>92</v>
      </c>
      <c r="E27" s="153" t="s">
        <v>245</v>
      </c>
      <c r="F27" s="112">
        <v>12000</v>
      </c>
      <c r="G27" s="153">
        <v>338949985</v>
      </c>
      <c r="H27" s="153">
        <v>338</v>
      </c>
      <c r="I27" s="25">
        <v>1.4265E-2</v>
      </c>
      <c r="J27" s="25">
        <v>2.1899999999999999E-2</v>
      </c>
      <c r="K27" s="26">
        <v>3.73</v>
      </c>
      <c r="L27" s="26">
        <v>1.7899999999999999E-2</v>
      </c>
      <c r="M27" s="26">
        <v>0</v>
      </c>
      <c r="N27" s="25">
        <v>0</v>
      </c>
    </row>
    <row r="28" spans="1:14">
      <c r="A28" s="28" t="s">
        <v>876</v>
      </c>
      <c r="B28" s="29" t="s">
        <v>18</v>
      </c>
      <c r="C28" s="29" t="s">
        <v>502</v>
      </c>
      <c r="D28" s="29" t="s">
        <v>759</v>
      </c>
      <c r="E28" s="152" t="s">
        <v>245</v>
      </c>
      <c r="F28" s="111">
        <v>6500</v>
      </c>
      <c r="G28" s="152">
        <v>182660482</v>
      </c>
      <c r="H28" s="152">
        <v>182</v>
      </c>
      <c r="I28" s="29">
        <v>7.6870000000000003E-3</v>
      </c>
      <c r="J28" s="29">
        <v>2.5399999999999999E-2</v>
      </c>
      <c r="K28" s="30">
        <v>3.55</v>
      </c>
      <c r="L28" s="30">
        <v>1.9800000000000002E-2</v>
      </c>
      <c r="M28" s="30">
        <v>0</v>
      </c>
      <c r="N28" s="29">
        <v>0</v>
      </c>
    </row>
    <row r="29" spans="1:14">
      <c r="A29" s="24" t="s">
        <v>876</v>
      </c>
      <c r="B29" s="25" t="s">
        <v>18</v>
      </c>
      <c r="C29" s="25" t="s">
        <v>84</v>
      </c>
      <c r="D29" s="25" t="s">
        <v>85</v>
      </c>
      <c r="E29" s="153" t="s">
        <v>245</v>
      </c>
      <c r="F29" s="112">
        <v>11000</v>
      </c>
      <c r="G29" s="153">
        <v>330668851</v>
      </c>
      <c r="H29" s="153">
        <v>330</v>
      </c>
      <c r="I29" s="25">
        <v>1.3916E-2</v>
      </c>
      <c r="J29" s="25">
        <v>0.04</v>
      </c>
      <c r="K29" s="26">
        <v>2.98</v>
      </c>
      <c r="L29" s="26">
        <v>2.7799999999999998E-2</v>
      </c>
      <c r="M29" s="26">
        <v>0</v>
      </c>
      <c r="N29" s="25">
        <v>0</v>
      </c>
    </row>
    <row r="30" spans="1:14">
      <c r="A30" s="28" t="s">
        <v>876</v>
      </c>
      <c r="B30" s="29" t="s">
        <v>18</v>
      </c>
      <c r="C30" s="29" t="s">
        <v>94</v>
      </c>
      <c r="D30" s="29" t="s">
        <v>95</v>
      </c>
      <c r="E30" s="152" t="s">
        <v>245</v>
      </c>
      <c r="F30" s="111">
        <v>10000</v>
      </c>
      <c r="G30" s="152">
        <v>321424779</v>
      </c>
      <c r="H30" s="152">
        <v>321</v>
      </c>
      <c r="I30" s="29">
        <v>1.3527000000000001E-2</v>
      </c>
      <c r="J30" s="29">
        <v>2.8400000000000002E-2</v>
      </c>
      <c r="K30" s="30">
        <v>9.33</v>
      </c>
      <c r="L30" s="30">
        <v>2.4E-2</v>
      </c>
      <c r="M30" s="30">
        <v>0</v>
      </c>
      <c r="N30" s="29">
        <v>0</v>
      </c>
    </row>
    <row r="31" spans="1:14">
      <c r="A31" s="24" t="s">
        <v>876</v>
      </c>
      <c r="B31" s="25" t="s">
        <v>18</v>
      </c>
      <c r="C31" s="25" t="s">
        <v>70</v>
      </c>
      <c r="D31" s="25" t="s">
        <v>71</v>
      </c>
      <c r="E31" s="153" t="s">
        <v>245</v>
      </c>
      <c r="F31" s="112">
        <v>20000</v>
      </c>
      <c r="G31" s="153">
        <v>558141988</v>
      </c>
      <c r="H31" s="153">
        <v>558</v>
      </c>
      <c r="I31" s="25">
        <v>2.349E-2</v>
      </c>
      <c r="J31" s="25">
        <v>2.4549999999999999E-2</v>
      </c>
      <c r="K31" s="26">
        <v>2.5299999999999998</v>
      </c>
      <c r="L31" s="26">
        <v>1.8200000000000001E-2</v>
      </c>
      <c r="M31" s="26">
        <v>0</v>
      </c>
      <c r="N31" s="25">
        <v>0</v>
      </c>
    </row>
    <row r="32" spans="1:14">
      <c r="A32" s="28" t="s">
        <v>876</v>
      </c>
      <c r="B32" s="29" t="s">
        <v>18</v>
      </c>
      <c r="C32" s="29" t="s">
        <v>80</v>
      </c>
      <c r="D32" s="29" t="s">
        <v>618</v>
      </c>
      <c r="E32" s="152" t="s">
        <v>245</v>
      </c>
      <c r="F32" s="111">
        <v>12000</v>
      </c>
      <c r="G32" s="152">
        <v>359776750</v>
      </c>
      <c r="H32" s="152">
        <v>359</v>
      </c>
      <c r="I32" s="29">
        <v>1.5141E-2</v>
      </c>
      <c r="J32" s="29">
        <v>2.4199999999999999E-2</v>
      </c>
      <c r="K32" s="30">
        <v>7.79</v>
      </c>
      <c r="L32" s="30">
        <v>2.1999999999999999E-2</v>
      </c>
      <c r="M32" s="30">
        <v>0</v>
      </c>
      <c r="N32" s="29">
        <v>0</v>
      </c>
    </row>
    <row r="33" spans="1:14">
      <c r="A33" s="24" t="s">
        <v>876</v>
      </c>
      <c r="B33" s="25" t="s">
        <v>18</v>
      </c>
      <c r="C33" s="25" t="s">
        <v>80</v>
      </c>
      <c r="D33" s="25" t="s">
        <v>752</v>
      </c>
      <c r="E33" s="153" t="s">
        <v>245</v>
      </c>
      <c r="F33" s="112">
        <v>10000</v>
      </c>
      <c r="G33" s="153">
        <v>312950902</v>
      </c>
      <c r="H33" s="153">
        <v>312</v>
      </c>
      <c r="I33" s="25">
        <v>1.3169999999999999E-2</v>
      </c>
      <c r="J33" s="25">
        <v>0.03</v>
      </c>
      <c r="K33" s="26">
        <v>14.47</v>
      </c>
      <c r="L33" s="26">
        <v>2.5999999999999999E-2</v>
      </c>
      <c r="M33" s="26">
        <v>0</v>
      </c>
      <c r="N33" s="25">
        <v>0</v>
      </c>
    </row>
    <row r="34" spans="1:14">
      <c r="A34" s="28" t="s">
        <v>876</v>
      </c>
      <c r="B34" s="29" t="s">
        <v>18</v>
      </c>
      <c r="C34" s="29" t="s">
        <v>70</v>
      </c>
      <c r="D34" s="29" t="s">
        <v>74</v>
      </c>
      <c r="E34" s="152" t="s">
        <v>245</v>
      </c>
      <c r="F34" s="111">
        <v>20000</v>
      </c>
      <c r="G34" s="152">
        <v>575607521</v>
      </c>
      <c r="H34" s="152">
        <v>575</v>
      </c>
      <c r="I34" s="29">
        <v>2.4225E-2</v>
      </c>
      <c r="J34" s="29">
        <v>3.49E-2</v>
      </c>
      <c r="K34" s="30">
        <v>11.09</v>
      </c>
      <c r="L34" s="30">
        <v>2.5000000000000001E-2</v>
      </c>
      <c r="M34" s="30">
        <v>0</v>
      </c>
      <c r="N34" s="29">
        <v>0</v>
      </c>
    </row>
    <row r="35" spans="1:14">
      <c r="A35" s="24" t="s">
        <v>876</v>
      </c>
      <c r="B35" s="25" t="s">
        <v>18</v>
      </c>
      <c r="C35" s="25" t="s">
        <v>424</v>
      </c>
      <c r="D35" s="25" t="s">
        <v>425</v>
      </c>
      <c r="E35" s="153" t="s">
        <v>245</v>
      </c>
      <c r="F35" s="112">
        <v>9000</v>
      </c>
      <c r="G35" s="153">
        <v>278444899</v>
      </c>
      <c r="H35" s="153">
        <v>278</v>
      </c>
      <c r="I35" s="25">
        <v>1.1717999999999999E-2</v>
      </c>
      <c r="J35" s="25">
        <v>3.2599999999999997E-2</v>
      </c>
      <c r="K35" s="26">
        <v>11.64</v>
      </c>
      <c r="L35" s="26">
        <v>2.52E-2</v>
      </c>
      <c r="M35" s="26">
        <v>0</v>
      </c>
      <c r="N35" s="25">
        <v>0</v>
      </c>
    </row>
    <row r="36" spans="1:14">
      <c r="A36" s="28" t="s">
        <v>876</v>
      </c>
      <c r="B36" s="29" t="s">
        <v>28</v>
      </c>
      <c r="C36" s="29" t="s">
        <v>116</v>
      </c>
      <c r="D36" s="29" t="s">
        <v>117</v>
      </c>
      <c r="E36" s="152" t="s">
        <v>244</v>
      </c>
      <c r="F36" s="111">
        <v>430000000</v>
      </c>
      <c r="G36" s="152">
        <v>443043334</v>
      </c>
      <c r="H36" s="152">
        <v>443</v>
      </c>
      <c r="I36" s="29">
        <v>4.3462000000000001E-2</v>
      </c>
      <c r="J36" s="29">
        <v>0</v>
      </c>
      <c r="K36" s="30">
        <v>1.44</v>
      </c>
      <c r="L36" s="30">
        <v>0</v>
      </c>
      <c r="M36" s="30">
        <v>0</v>
      </c>
      <c r="N36" s="29">
        <v>0</v>
      </c>
    </row>
    <row r="37" spans="1:14">
      <c r="A37" s="24" t="s">
        <v>876</v>
      </c>
      <c r="B37" s="25" t="s">
        <v>28</v>
      </c>
      <c r="C37" s="25" t="s">
        <v>119</v>
      </c>
      <c r="D37" s="25" t="s">
        <v>120</v>
      </c>
      <c r="E37" s="153" t="s">
        <v>245</v>
      </c>
      <c r="F37" s="112">
        <v>20000</v>
      </c>
      <c r="G37" s="153">
        <v>56877777</v>
      </c>
      <c r="H37" s="153">
        <v>56</v>
      </c>
      <c r="I37" s="25">
        <v>5.5789999999999998E-3</v>
      </c>
      <c r="J37" s="25">
        <v>5.1999999999999998E-2</v>
      </c>
      <c r="K37" s="26">
        <v>1.74</v>
      </c>
      <c r="L37" s="26">
        <v>4.3099999999999999E-2</v>
      </c>
      <c r="M37" s="26">
        <v>0</v>
      </c>
      <c r="N37" s="25">
        <v>0</v>
      </c>
    </row>
    <row r="38" spans="1:14">
      <c r="A38" s="28" t="s">
        <v>876</v>
      </c>
      <c r="B38" s="29" t="s">
        <v>30</v>
      </c>
      <c r="C38" s="29" t="s">
        <v>119</v>
      </c>
      <c r="D38" s="29" t="s">
        <v>169</v>
      </c>
      <c r="E38" s="152" t="s">
        <v>245</v>
      </c>
      <c r="F38" s="111">
        <v>14000</v>
      </c>
      <c r="G38" s="152">
        <v>59237074</v>
      </c>
      <c r="H38" s="152">
        <v>59</v>
      </c>
      <c r="I38" s="29">
        <v>5.7499999999999999E-4</v>
      </c>
      <c r="J38" s="29">
        <v>4.9566666600000003E-2</v>
      </c>
      <c r="K38" s="30">
        <v>2.4300000000000002</v>
      </c>
      <c r="L38" s="30">
        <v>3.7199999999999997E-2</v>
      </c>
      <c r="M38" s="30">
        <v>0</v>
      </c>
      <c r="N38" s="29">
        <v>0</v>
      </c>
    </row>
    <row r="39" spans="1:14">
      <c r="A39" s="24" t="s">
        <v>876</v>
      </c>
      <c r="B39" s="25" t="s">
        <v>30</v>
      </c>
      <c r="C39" s="25" t="s">
        <v>119</v>
      </c>
      <c r="D39" s="25" t="s">
        <v>171</v>
      </c>
      <c r="E39" s="153" t="s">
        <v>245</v>
      </c>
      <c r="F39" s="112">
        <v>11000</v>
      </c>
      <c r="G39" s="153">
        <v>45050985</v>
      </c>
      <c r="H39" s="153">
        <v>45</v>
      </c>
      <c r="I39" s="25">
        <v>4.37E-4</v>
      </c>
      <c r="J39" s="25">
        <v>5.0999999999999997E-2</v>
      </c>
      <c r="K39" s="26">
        <v>2.89</v>
      </c>
      <c r="L39" s="26">
        <v>4.82E-2</v>
      </c>
      <c r="M39" s="26">
        <v>0</v>
      </c>
      <c r="N39" s="25">
        <v>0</v>
      </c>
    </row>
    <row r="40" spans="1:14">
      <c r="A40" s="28" t="s">
        <v>876</v>
      </c>
      <c r="B40" s="29" t="s">
        <v>30</v>
      </c>
      <c r="C40" s="29" t="s">
        <v>219</v>
      </c>
      <c r="D40" s="29" t="s">
        <v>426</v>
      </c>
      <c r="E40" s="152" t="s">
        <v>245</v>
      </c>
      <c r="F40" s="111">
        <v>20000</v>
      </c>
      <c r="G40" s="152">
        <v>572890864</v>
      </c>
      <c r="H40" s="152">
        <v>572</v>
      </c>
      <c r="I40" s="29">
        <v>5.5630000000000002E-3</v>
      </c>
      <c r="J40" s="29">
        <v>1.52E-2</v>
      </c>
      <c r="K40" s="30">
        <v>1.04</v>
      </c>
      <c r="L40" s="30">
        <v>1.2E-2</v>
      </c>
      <c r="M40" s="30">
        <v>0</v>
      </c>
      <c r="N40" s="29">
        <v>0</v>
      </c>
    </row>
    <row r="41" spans="1:14">
      <c r="A41" s="24" t="s">
        <v>876</v>
      </c>
      <c r="B41" s="25" t="s">
        <v>30</v>
      </c>
      <c r="C41" s="25" t="s">
        <v>213</v>
      </c>
      <c r="D41" s="25" t="s">
        <v>784</v>
      </c>
      <c r="E41" s="153" t="s">
        <v>245</v>
      </c>
      <c r="F41" s="112">
        <v>2000</v>
      </c>
      <c r="G41" s="153">
        <v>57167715</v>
      </c>
      <c r="H41" s="153">
        <v>57</v>
      </c>
      <c r="I41" s="25">
        <v>5.5500000000000005E-4</v>
      </c>
      <c r="J41" s="25">
        <v>1.66E-2</v>
      </c>
      <c r="K41" s="26">
        <v>2.16</v>
      </c>
      <c r="L41" s="26">
        <v>1.44E-2</v>
      </c>
      <c r="M41" s="26">
        <v>0</v>
      </c>
      <c r="N41" s="25">
        <v>0</v>
      </c>
    </row>
    <row r="42" spans="1:14">
      <c r="A42" s="28" t="s">
        <v>876</v>
      </c>
      <c r="B42" s="29" t="s">
        <v>30</v>
      </c>
      <c r="C42" s="29" t="s">
        <v>51</v>
      </c>
      <c r="D42" s="29" t="s">
        <v>141</v>
      </c>
      <c r="E42" s="152" t="s">
        <v>245</v>
      </c>
      <c r="F42" s="111">
        <v>19000</v>
      </c>
      <c r="G42" s="152">
        <v>530107590</v>
      </c>
      <c r="H42" s="152">
        <v>530</v>
      </c>
      <c r="I42" s="29">
        <v>5.1479999999999998E-3</v>
      </c>
      <c r="J42" s="29">
        <v>1.7950000000000001E-2</v>
      </c>
      <c r="K42" s="30">
        <v>0.97</v>
      </c>
      <c r="L42" s="30">
        <v>1.3899999999999999E-2</v>
      </c>
      <c r="M42" s="30">
        <v>0</v>
      </c>
      <c r="N42" s="29">
        <v>0</v>
      </c>
    </row>
    <row r="43" spans="1:14">
      <c r="A43" s="24" t="s">
        <v>876</v>
      </c>
      <c r="B43" s="25" t="s">
        <v>30</v>
      </c>
      <c r="C43" s="25" t="s">
        <v>107</v>
      </c>
      <c r="D43" s="25" t="s">
        <v>224</v>
      </c>
      <c r="E43" s="153" t="s">
        <v>244</v>
      </c>
      <c r="F43" s="112">
        <v>520000000</v>
      </c>
      <c r="G43" s="153">
        <v>531557089</v>
      </c>
      <c r="H43" s="153">
        <v>531</v>
      </c>
      <c r="I43" s="25">
        <v>5.1619999999999999E-3</v>
      </c>
      <c r="J43" s="25">
        <v>3.9333333300000002E-2</v>
      </c>
      <c r="K43" s="26">
        <v>0.8</v>
      </c>
      <c r="L43" s="26">
        <v>3.6499999999999998E-2</v>
      </c>
      <c r="M43" s="26">
        <v>0</v>
      </c>
      <c r="N43" s="25">
        <v>0</v>
      </c>
    </row>
    <row r="44" spans="1:14">
      <c r="A44" s="28" t="s">
        <v>876</v>
      </c>
      <c r="B44" s="29" t="s">
        <v>30</v>
      </c>
      <c r="C44" s="29" t="s">
        <v>107</v>
      </c>
      <c r="D44" s="29" t="s">
        <v>217</v>
      </c>
      <c r="E44" s="152" t="s">
        <v>244</v>
      </c>
      <c r="F44" s="111">
        <v>30000000</v>
      </c>
      <c r="G44" s="152">
        <v>30614978</v>
      </c>
      <c r="H44" s="152">
        <v>30</v>
      </c>
      <c r="I44" s="29">
        <v>2.9700000000000001E-4</v>
      </c>
      <c r="J44" s="29">
        <v>3.6499999999999998E-2</v>
      </c>
      <c r="K44" s="30">
        <v>0.22</v>
      </c>
      <c r="L44" s="30">
        <v>3.0700000000000002E-2</v>
      </c>
      <c r="M44" s="30">
        <v>0</v>
      </c>
      <c r="N44" s="29">
        <v>0</v>
      </c>
    </row>
    <row r="45" spans="1:14">
      <c r="A45" s="24" t="s">
        <v>876</v>
      </c>
      <c r="B45" s="25" t="s">
        <v>30</v>
      </c>
      <c r="C45" s="25" t="s">
        <v>107</v>
      </c>
      <c r="D45" s="25" t="s">
        <v>669</v>
      </c>
      <c r="E45" s="153" t="s">
        <v>244</v>
      </c>
      <c r="F45" s="112">
        <v>500000000</v>
      </c>
      <c r="G45" s="153">
        <v>505765660</v>
      </c>
      <c r="H45" s="153">
        <v>505</v>
      </c>
      <c r="I45" s="25">
        <v>4.9119999999999997E-3</v>
      </c>
      <c r="J45" s="25">
        <v>3.2300000000000002E-2</v>
      </c>
      <c r="K45" s="26">
        <v>2.73</v>
      </c>
      <c r="L45" s="26">
        <v>4.1700000000000001E-2</v>
      </c>
      <c r="M45" s="26">
        <v>0</v>
      </c>
      <c r="N45" s="25">
        <v>0</v>
      </c>
    </row>
    <row r="46" spans="1:14">
      <c r="A46" s="28" t="s">
        <v>876</v>
      </c>
      <c r="B46" s="29" t="s">
        <v>30</v>
      </c>
      <c r="C46" s="29" t="s">
        <v>765</v>
      </c>
      <c r="D46" s="29" t="s">
        <v>766</v>
      </c>
      <c r="E46" s="152" t="s">
        <v>245</v>
      </c>
      <c r="F46" s="111">
        <v>30000</v>
      </c>
      <c r="G46" s="152">
        <v>837664076</v>
      </c>
      <c r="H46" s="152">
        <v>837</v>
      </c>
      <c r="I46" s="29">
        <v>8.1349999999999999E-3</v>
      </c>
      <c r="J46" s="29">
        <v>4.1999999999999997E-3</v>
      </c>
      <c r="K46" s="30">
        <v>0.06</v>
      </c>
      <c r="L46" s="30">
        <v>3.49E-2</v>
      </c>
      <c r="M46" s="30">
        <v>0</v>
      </c>
      <c r="N46" s="29">
        <v>0</v>
      </c>
    </row>
    <row r="47" spans="1:14">
      <c r="A47" s="24" t="s">
        <v>876</v>
      </c>
      <c r="B47" s="25" t="s">
        <v>30</v>
      </c>
      <c r="C47" s="25" t="s">
        <v>50</v>
      </c>
      <c r="D47" s="25" t="s">
        <v>231</v>
      </c>
      <c r="E47" s="153" t="s">
        <v>245</v>
      </c>
      <c r="F47" s="112">
        <v>5500</v>
      </c>
      <c r="G47" s="153">
        <v>152910979</v>
      </c>
      <c r="H47" s="153">
        <v>152</v>
      </c>
      <c r="I47" s="25">
        <v>1.485E-3</v>
      </c>
      <c r="J47" s="25">
        <v>1.10333333E-2</v>
      </c>
      <c r="K47" s="26">
        <v>0.22</v>
      </c>
      <c r="L47" s="26">
        <v>1.7399999999999999E-2</v>
      </c>
      <c r="M47" s="26">
        <v>0</v>
      </c>
      <c r="N47" s="25">
        <v>0</v>
      </c>
    </row>
    <row r="48" spans="1:14">
      <c r="A48" s="28" t="s">
        <v>876</v>
      </c>
      <c r="B48" s="29" t="s">
        <v>30</v>
      </c>
      <c r="C48" s="29" t="s">
        <v>50</v>
      </c>
      <c r="D48" s="29" t="s">
        <v>240</v>
      </c>
      <c r="E48" s="152" t="s">
        <v>245</v>
      </c>
      <c r="F48" s="111">
        <v>45000</v>
      </c>
      <c r="G48" s="152">
        <v>1259982376</v>
      </c>
      <c r="H48" s="152">
        <v>1259</v>
      </c>
      <c r="I48" s="29">
        <v>1.2237E-2</v>
      </c>
      <c r="J48" s="29">
        <v>1.5800000000000002E-2</v>
      </c>
      <c r="K48" s="30">
        <v>1.21</v>
      </c>
      <c r="L48" s="30">
        <v>1.46E-2</v>
      </c>
      <c r="M48" s="30">
        <v>0</v>
      </c>
      <c r="N48" s="29">
        <v>0</v>
      </c>
    </row>
    <row r="49" spans="1:14">
      <c r="A49" s="24" t="s">
        <v>876</v>
      </c>
      <c r="B49" s="25" t="s">
        <v>30</v>
      </c>
      <c r="C49" s="25" t="s">
        <v>50</v>
      </c>
      <c r="D49" s="25" t="s">
        <v>383</v>
      </c>
      <c r="E49" s="153" t="s">
        <v>244</v>
      </c>
      <c r="F49" s="112">
        <v>450000000</v>
      </c>
      <c r="G49" s="153">
        <v>462039095</v>
      </c>
      <c r="H49" s="153">
        <v>462</v>
      </c>
      <c r="I49" s="25">
        <v>4.4869999999999997E-3</v>
      </c>
      <c r="J49" s="25">
        <v>4.24E-2</v>
      </c>
      <c r="K49" s="26">
        <v>1.27</v>
      </c>
      <c r="L49" s="26">
        <v>3.95E-2</v>
      </c>
      <c r="M49" s="26">
        <v>0</v>
      </c>
      <c r="N49" s="25">
        <v>0</v>
      </c>
    </row>
    <row r="50" spans="1:14">
      <c r="A50" s="28" t="s">
        <v>876</v>
      </c>
      <c r="B50" s="29" t="s">
        <v>30</v>
      </c>
      <c r="C50" s="29" t="s">
        <v>62</v>
      </c>
      <c r="D50" s="29" t="s">
        <v>77</v>
      </c>
      <c r="E50" s="152" t="s">
        <v>244</v>
      </c>
      <c r="F50" s="111">
        <v>1000000000</v>
      </c>
      <c r="G50" s="152">
        <v>1016962103</v>
      </c>
      <c r="H50" s="152">
        <v>1016</v>
      </c>
      <c r="I50" s="29">
        <v>9.8759999999999994E-3</v>
      </c>
      <c r="J50" s="29">
        <v>4.6649999999999997E-2</v>
      </c>
      <c r="K50" s="30">
        <v>3.01</v>
      </c>
      <c r="L50" s="30">
        <v>4.3299999999999998E-2</v>
      </c>
      <c r="M50" s="30">
        <v>0</v>
      </c>
      <c r="N50" s="29">
        <v>0</v>
      </c>
    </row>
    <row r="51" spans="1:14">
      <c r="A51" s="24" t="s">
        <v>876</v>
      </c>
      <c r="B51" s="25" t="s">
        <v>30</v>
      </c>
      <c r="C51" s="25" t="s">
        <v>62</v>
      </c>
      <c r="D51" s="25" t="s">
        <v>529</v>
      </c>
      <c r="E51" s="153" t="s">
        <v>245</v>
      </c>
      <c r="F51" s="112">
        <v>28500</v>
      </c>
      <c r="G51" s="153">
        <v>795985017</v>
      </c>
      <c r="H51" s="153">
        <v>795</v>
      </c>
      <c r="I51" s="25">
        <v>7.7299999999999999E-3</v>
      </c>
      <c r="J51" s="25">
        <v>1.7850000000000001E-2</v>
      </c>
      <c r="K51" s="26">
        <v>3.14</v>
      </c>
      <c r="L51" s="26">
        <v>1.5299999999999999E-2</v>
      </c>
      <c r="M51" s="26">
        <v>0</v>
      </c>
      <c r="N51" s="25">
        <v>0</v>
      </c>
    </row>
    <row r="52" spans="1:14">
      <c r="A52" s="28" t="s">
        <v>876</v>
      </c>
      <c r="B52" s="29" t="s">
        <v>30</v>
      </c>
      <c r="C52" s="29" t="s">
        <v>54</v>
      </c>
      <c r="D52" s="29" t="s">
        <v>751</v>
      </c>
      <c r="E52" s="152" t="s">
        <v>245</v>
      </c>
      <c r="F52" s="111">
        <v>59000</v>
      </c>
      <c r="G52" s="152">
        <v>1670417305</v>
      </c>
      <c r="H52" s="152">
        <v>1670</v>
      </c>
      <c r="I52" s="29">
        <v>1.6223000000000001E-2</v>
      </c>
      <c r="J52" s="29">
        <v>1.5100000000000001E-2</v>
      </c>
      <c r="K52" s="30">
        <v>1.29</v>
      </c>
      <c r="L52" s="30">
        <v>1.35E-2</v>
      </c>
      <c r="M52" s="30">
        <v>0</v>
      </c>
      <c r="N52" s="29">
        <v>0</v>
      </c>
    </row>
    <row r="53" spans="1:14">
      <c r="A53" s="24" t="s">
        <v>876</v>
      </c>
      <c r="B53" s="25" t="s">
        <v>30</v>
      </c>
      <c r="C53" s="25" t="s">
        <v>145</v>
      </c>
      <c r="D53" s="25" t="s">
        <v>146</v>
      </c>
      <c r="E53" s="153" t="s">
        <v>245</v>
      </c>
      <c r="F53" s="112">
        <v>10000</v>
      </c>
      <c r="G53" s="153">
        <v>249999279</v>
      </c>
      <c r="H53" s="153">
        <v>249</v>
      </c>
      <c r="I53" s="25">
        <v>2.428E-3</v>
      </c>
      <c r="J53" s="25">
        <v>2.5000000000000001E-2</v>
      </c>
      <c r="K53" s="26">
        <v>3.17</v>
      </c>
      <c r="L53" s="26">
        <v>2.0799999999999999E-2</v>
      </c>
      <c r="M53" s="26">
        <v>0</v>
      </c>
      <c r="N53" s="25">
        <v>0</v>
      </c>
    </row>
    <row r="54" spans="1:14">
      <c r="A54" s="28" t="s">
        <v>876</v>
      </c>
      <c r="B54" s="29" t="s">
        <v>30</v>
      </c>
      <c r="C54" s="29" t="s">
        <v>64</v>
      </c>
      <c r="D54" s="29" t="s">
        <v>65</v>
      </c>
      <c r="E54" s="152" t="s">
        <v>245</v>
      </c>
      <c r="F54" s="111">
        <v>60000</v>
      </c>
      <c r="G54" s="152">
        <v>1571086764</v>
      </c>
      <c r="H54" s="152">
        <v>1571</v>
      </c>
      <c r="I54" s="29">
        <v>1.5258000000000001E-2</v>
      </c>
      <c r="J54" s="29">
        <v>3.5374999999999997E-2</v>
      </c>
      <c r="K54" s="30">
        <v>5</v>
      </c>
      <c r="L54" s="30">
        <v>2.3E-2</v>
      </c>
      <c r="M54" s="30">
        <v>0</v>
      </c>
      <c r="N54" s="29">
        <v>0</v>
      </c>
    </row>
    <row r="55" spans="1:14">
      <c r="A55" s="24" t="s">
        <v>876</v>
      </c>
      <c r="B55" s="25" t="s">
        <v>30</v>
      </c>
      <c r="C55" s="25" t="s">
        <v>111</v>
      </c>
      <c r="D55" s="25" t="s">
        <v>221</v>
      </c>
      <c r="E55" s="153" t="s">
        <v>245</v>
      </c>
      <c r="F55" s="112">
        <v>18500</v>
      </c>
      <c r="G55" s="153">
        <v>516456957</v>
      </c>
      <c r="H55" s="153">
        <v>516</v>
      </c>
      <c r="I55" s="25">
        <v>5.0150000000000004E-3</v>
      </c>
      <c r="J55" s="25">
        <v>4.4000000000000003E-3</v>
      </c>
      <c r="K55" s="26">
        <v>0.14000000000000001</v>
      </c>
      <c r="L55" s="26">
        <v>1.5100000000000001E-2</v>
      </c>
      <c r="M55" s="26">
        <v>0</v>
      </c>
      <c r="N55" s="25">
        <v>0</v>
      </c>
    </row>
    <row r="56" spans="1:14">
      <c r="A56" s="28" t="s">
        <v>876</v>
      </c>
      <c r="B56" s="29" t="s">
        <v>30</v>
      </c>
      <c r="C56" s="29" t="s">
        <v>111</v>
      </c>
      <c r="D56" s="29" t="s">
        <v>770</v>
      </c>
      <c r="E56" s="152" t="s">
        <v>245</v>
      </c>
      <c r="F56" s="111">
        <v>25000</v>
      </c>
      <c r="G56" s="152">
        <v>709610872</v>
      </c>
      <c r="H56" s="152">
        <v>709</v>
      </c>
      <c r="I56" s="29">
        <v>6.8910000000000004E-3</v>
      </c>
      <c r="J56" s="29">
        <v>9.9000000000000008E-3</v>
      </c>
      <c r="K56" s="30">
        <v>1.1200000000000001</v>
      </c>
      <c r="L56" s="30">
        <v>1.29E-2</v>
      </c>
      <c r="M56" s="30">
        <v>0</v>
      </c>
      <c r="N56" s="29">
        <v>0</v>
      </c>
    </row>
    <row r="57" spans="1:14">
      <c r="A57" s="24" t="s">
        <v>876</v>
      </c>
      <c r="B57" s="25" t="s">
        <v>30</v>
      </c>
      <c r="C57" s="25" t="s">
        <v>105</v>
      </c>
      <c r="D57" s="25" t="s">
        <v>232</v>
      </c>
      <c r="E57" s="153" t="s">
        <v>245</v>
      </c>
      <c r="F57" s="112">
        <v>500</v>
      </c>
      <c r="G57" s="153">
        <v>13961127</v>
      </c>
      <c r="H57" s="153">
        <v>13</v>
      </c>
      <c r="I57" s="25">
        <v>1.35E-4</v>
      </c>
      <c r="J57" s="25">
        <v>1.84E-2</v>
      </c>
      <c r="K57" s="26">
        <v>0.06</v>
      </c>
      <c r="L57" s="26">
        <v>3.2000000000000001E-2</v>
      </c>
      <c r="M57" s="26">
        <v>0</v>
      </c>
      <c r="N57" s="25">
        <v>0</v>
      </c>
    </row>
    <row r="58" spans="1:14">
      <c r="A58" s="28" t="s">
        <v>876</v>
      </c>
      <c r="B58" s="29" t="s">
        <v>30</v>
      </c>
      <c r="C58" s="29" t="s">
        <v>67</v>
      </c>
      <c r="D58" s="29" t="s">
        <v>103</v>
      </c>
      <c r="E58" s="152" t="s">
        <v>245</v>
      </c>
      <c r="F58" s="111">
        <v>21500</v>
      </c>
      <c r="G58" s="152">
        <v>375581411</v>
      </c>
      <c r="H58" s="152">
        <v>375</v>
      </c>
      <c r="I58" s="29">
        <v>3.6470000000000001E-3</v>
      </c>
      <c r="J58" s="29">
        <v>2.3349999999999999E-2</v>
      </c>
      <c r="K58" s="30">
        <v>4.6900000000000004</v>
      </c>
      <c r="L58" s="30">
        <v>1.8499999999999999E-2</v>
      </c>
      <c r="M58" s="30">
        <v>0</v>
      </c>
      <c r="N58" s="29">
        <v>0</v>
      </c>
    </row>
    <row r="59" spans="1:14">
      <c r="A59" s="24" t="s">
        <v>876</v>
      </c>
      <c r="B59" s="25" t="s">
        <v>30</v>
      </c>
      <c r="C59" s="25" t="s">
        <v>67</v>
      </c>
      <c r="D59" s="25" t="s">
        <v>154</v>
      </c>
      <c r="E59" s="153" t="s">
        <v>244</v>
      </c>
      <c r="F59" s="112">
        <v>500000000</v>
      </c>
      <c r="G59" s="153">
        <v>268369016</v>
      </c>
      <c r="H59" s="153">
        <v>268</v>
      </c>
      <c r="I59" s="25">
        <v>2.6059999999999998E-3</v>
      </c>
      <c r="J59" s="25">
        <v>5.9499999999999997E-2</v>
      </c>
      <c r="K59" s="26">
        <v>0.56000000000000005</v>
      </c>
      <c r="L59" s="26">
        <v>3.9899999999999998E-2</v>
      </c>
      <c r="M59" s="26">
        <v>0</v>
      </c>
      <c r="N59" s="25">
        <v>0</v>
      </c>
    </row>
    <row r="60" spans="1:14">
      <c r="A60" s="28" t="s">
        <v>876</v>
      </c>
      <c r="B60" s="29" t="s">
        <v>30</v>
      </c>
      <c r="C60" s="29" t="s">
        <v>67</v>
      </c>
      <c r="D60" s="29" t="s">
        <v>68</v>
      </c>
      <c r="E60" s="152" t="s">
        <v>245</v>
      </c>
      <c r="F60" s="111">
        <v>31000</v>
      </c>
      <c r="G60" s="152">
        <v>879033028</v>
      </c>
      <c r="H60" s="152">
        <v>879</v>
      </c>
      <c r="I60" s="29">
        <v>8.5369999999999994E-3</v>
      </c>
      <c r="J60" s="29">
        <v>2.1350000000000001E-2</v>
      </c>
      <c r="K60" s="30">
        <v>2.87</v>
      </c>
      <c r="L60" s="30">
        <v>1.7299999999999999E-2</v>
      </c>
      <c r="M60" s="30">
        <v>0</v>
      </c>
      <c r="N60" s="29">
        <v>0</v>
      </c>
    </row>
    <row r="61" spans="1:14">
      <c r="A61" s="24" t="s">
        <v>876</v>
      </c>
      <c r="B61" s="25" t="s">
        <v>30</v>
      </c>
      <c r="C61" s="25" t="s">
        <v>75</v>
      </c>
      <c r="D61" s="25" t="s">
        <v>235</v>
      </c>
      <c r="E61" s="153" t="s">
        <v>245</v>
      </c>
      <c r="F61" s="112">
        <v>500</v>
      </c>
      <c r="G61" s="153">
        <v>13946064</v>
      </c>
      <c r="H61" s="153">
        <v>13</v>
      </c>
      <c r="I61" s="25">
        <v>1.35E-4</v>
      </c>
      <c r="J61" s="25">
        <v>2.1000000000000001E-2</v>
      </c>
      <c r="K61" s="26">
        <v>3.21</v>
      </c>
      <c r="L61" s="26">
        <v>1.6400000000000001E-2</v>
      </c>
      <c r="M61" s="26">
        <v>0</v>
      </c>
      <c r="N61" s="25">
        <v>0</v>
      </c>
    </row>
    <row r="62" spans="1:14">
      <c r="A62" s="28" t="s">
        <v>876</v>
      </c>
      <c r="B62" s="29" t="s">
        <v>30</v>
      </c>
      <c r="C62" s="29" t="s">
        <v>75</v>
      </c>
      <c r="D62" s="29" t="s">
        <v>761</v>
      </c>
      <c r="E62" s="152" t="s">
        <v>245</v>
      </c>
      <c r="F62" s="111">
        <v>48000</v>
      </c>
      <c r="G62" s="152">
        <v>1336407926</v>
      </c>
      <c r="H62" s="152">
        <v>1336</v>
      </c>
      <c r="I62" s="29">
        <v>1.2978999999999999E-2</v>
      </c>
      <c r="J62" s="29">
        <v>1.89E-2</v>
      </c>
      <c r="K62" s="30">
        <v>4.4000000000000004</v>
      </c>
      <c r="L62" s="30">
        <v>1.6299999999999999E-2</v>
      </c>
      <c r="M62" s="30">
        <v>0</v>
      </c>
      <c r="N62" s="29">
        <v>0</v>
      </c>
    </row>
    <row r="63" spans="1:14">
      <c r="A63" s="24" t="s">
        <v>876</v>
      </c>
      <c r="B63" s="25" t="s">
        <v>30</v>
      </c>
      <c r="C63" s="25" t="s">
        <v>86</v>
      </c>
      <c r="D63" s="25" t="s">
        <v>671</v>
      </c>
      <c r="E63" s="153" t="s">
        <v>245</v>
      </c>
      <c r="F63" s="112">
        <v>15000</v>
      </c>
      <c r="G63" s="153">
        <v>413022195</v>
      </c>
      <c r="H63" s="153">
        <v>413</v>
      </c>
      <c r="I63" s="25">
        <v>4.0109999999999998E-3</v>
      </c>
      <c r="J63" s="25">
        <v>1.7899999999999999E-2</v>
      </c>
      <c r="K63" s="26">
        <v>4.04</v>
      </c>
      <c r="L63" s="26">
        <v>1.8499999999999999E-2</v>
      </c>
      <c r="M63" s="26">
        <v>0</v>
      </c>
      <c r="N63" s="25">
        <v>0</v>
      </c>
    </row>
    <row r="64" spans="1:14">
      <c r="A64" s="28" t="s">
        <v>876</v>
      </c>
      <c r="B64" s="29" t="s">
        <v>30</v>
      </c>
      <c r="C64" s="29" t="s">
        <v>86</v>
      </c>
      <c r="D64" s="29" t="s">
        <v>223</v>
      </c>
      <c r="E64" s="152" t="s">
        <v>245</v>
      </c>
      <c r="F64" s="111">
        <v>1000</v>
      </c>
      <c r="G64" s="152">
        <v>5595160</v>
      </c>
      <c r="H64" s="152">
        <v>5</v>
      </c>
      <c r="I64" s="29">
        <v>5.3999999999999998E-5</v>
      </c>
      <c r="J64" s="29">
        <v>2.93E-2</v>
      </c>
      <c r="K64" s="30">
        <v>0.22</v>
      </c>
      <c r="L64" s="30">
        <v>1.61E-2</v>
      </c>
      <c r="M64" s="30">
        <v>0</v>
      </c>
      <c r="N64" s="29">
        <v>0</v>
      </c>
    </row>
    <row r="65" spans="1:14">
      <c r="A65" s="24" t="s">
        <v>876</v>
      </c>
      <c r="B65" s="25" t="s">
        <v>30</v>
      </c>
      <c r="C65" s="25" t="s">
        <v>86</v>
      </c>
      <c r="D65" s="25" t="s">
        <v>773</v>
      </c>
      <c r="E65" s="153" t="s">
        <v>245</v>
      </c>
      <c r="F65" s="112">
        <v>20000</v>
      </c>
      <c r="G65" s="153">
        <v>579437452</v>
      </c>
      <c r="H65" s="153">
        <v>579</v>
      </c>
      <c r="I65" s="25">
        <v>5.6270000000000001E-3</v>
      </c>
      <c r="J65" s="25">
        <v>1.95E-2</v>
      </c>
      <c r="K65" s="26">
        <v>1.67</v>
      </c>
      <c r="L65" s="26">
        <v>1.5900000000000001E-2</v>
      </c>
      <c r="M65" s="26">
        <v>0</v>
      </c>
      <c r="N65" s="25">
        <v>0</v>
      </c>
    </row>
    <row r="66" spans="1:14">
      <c r="A66" s="28" t="s">
        <v>876</v>
      </c>
      <c r="B66" s="29" t="s">
        <v>30</v>
      </c>
      <c r="C66" s="29" t="s">
        <v>86</v>
      </c>
      <c r="D66" s="29" t="s">
        <v>89</v>
      </c>
      <c r="E66" s="152" t="s">
        <v>244</v>
      </c>
      <c r="F66" s="111">
        <v>520000000</v>
      </c>
      <c r="G66" s="152">
        <v>210950225</v>
      </c>
      <c r="H66" s="152">
        <v>210</v>
      </c>
      <c r="I66" s="29">
        <v>2.0479999999999999E-3</v>
      </c>
      <c r="J66" s="29">
        <v>4.6800000000000001E-2</v>
      </c>
      <c r="K66" s="30">
        <v>0.64</v>
      </c>
      <c r="L66" s="30">
        <v>4.1000000000000002E-2</v>
      </c>
      <c r="M66" s="30">
        <v>0</v>
      </c>
      <c r="N66" s="29">
        <v>0</v>
      </c>
    </row>
    <row r="67" spans="1:14">
      <c r="A67" s="24" t="s">
        <v>876</v>
      </c>
      <c r="B67" s="25" t="s">
        <v>30</v>
      </c>
      <c r="C67" s="25" t="s">
        <v>75</v>
      </c>
      <c r="D67" s="25" t="s">
        <v>151</v>
      </c>
      <c r="E67" s="153" t="s">
        <v>244</v>
      </c>
      <c r="F67" s="112">
        <v>430000000</v>
      </c>
      <c r="G67" s="153">
        <v>435893546</v>
      </c>
      <c r="H67" s="153">
        <v>435</v>
      </c>
      <c r="I67" s="25">
        <v>4.2329999999999998E-3</v>
      </c>
      <c r="J67" s="25">
        <v>4.2075000000000001E-2</v>
      </c>
      <c r="K67" s="26">
        <v>0.28999999999999998</v>
      </c>
      <c r="L67" s="26">
        <v>3.7499999999999999E-2</v>
      </c>
      <c r="M67" s="26">
        <v>0</v>
      </c>
      <c r="N67" s="25">
        <v>0</v>
      </c>
    </row>
    <row r="68" spans="1:14">
      <c r="A68" s="28" t="s">
        <v>876</v>
      </c>
      <c r="B68" s="29" t="s">
        <v>30</v>
      </c>
      <c r="C68" s="29" t="s">
        <v>75</v>
      </c>
      <c r="D68" s="29" t="s">
        <v>153</v>
      </c>
      <c r="E68" s="152" t="s">
        <v>244</v>
      </c>
      <c r="F68" s="111">
        <v>410000000</v>
      </c>
      <c r="G68" s="152">
        <v>424660988</v>
      </c>
      <c r="H68" s="152">
        <v>424</v>
      </c>
      <c r="I68" s="29">
        <v>4.1240000000000001E-3</v>
      </c>
      <c r="J68" s="29">
        <v>4.8899999999999999E-2</v>
      </c>
      <c r="K68" s="30">
        <v>1.02</v>
      </c>
      <c r="L68" s="30">
        <v>4.02E-2</v>
      </c>
      <c r="M68" s="30">
        <v>0</v>
      </c>
      <c r="N68" s="29">
        <v>0</v>
      </c>
    </row>
    <row r="69" spans="1:14">
      <c r="A69" s="24" t="s">
        <v>876</v>
      </c>
      <c r="B69" s="25" t="s">
        <v>30</v>
      </c>
      <c r="C69" s="25" t="s">
        <v>75</v>
      </c>
      <c r="D69" s="25" t="s">
        <v>233</v>
      </c>
      <c r="E69" s="153" t="s">
        <v>245</v>
      </c>
      <c r="F69" s="112">
        <v>500</v>
      </c>
      <c r="G69" s="153">
        <v>13948653</v>
      </c>
      <c r="H69" s="153">
        <v>13</v>
      </c>
      <c r="I69" s="25">
        <v>1.35E-4</v>
      </c>
      <c r="J69" s="25">
        <v>2.0500000000000001E-2</v>
      </c>
      <c r="K69" s="26">
        <v>1.38</v>
      </c>
      <c r="L69" s="26">
        <v>1.4800000000000001E-2</v>
      </c>
      <c r="M69" s="26">
        <v>0</v>
      </c>
      <c r="N69" s="25">
        <v>0</v>
      </c>
    </row>
    <row r="70" spans="1:14">
      <c r="A70" s="28" t="s">
        <v>876</v>
      </c>
      <c r="B70" s="29" t="s">
        <v>30</v>
      </c>
      <c r="C70" s="29" t="s">
        <v>75</v>
      </c>
      <c r="D70" s="29" t="s">
        <v>76</v>
      </c>
      <c r="E70" s="152" t="s">
        <v>244</v>
      </c>
      <c r="F70" s="111">
        <v>500000000</v>
      </c>
      <c r="G70" s="152">
        <v>519274780</v>
      </c>
      <c r="H70" s="152">
        <v>519</v>
      </c>
      <c r="I70" s="29">
        <v>5.0429999999999997E-3</v>
      </c>
      <c r="J70" s="29">
        <v>4.4699999999999997E-2</v>
      </c>
      <c r="K70" s="30">
        <v>2.42</v>
      </c>
      <c r="L70" s="30">
        <v>4.3200000000000002E-2</v>
      </c>
      <c r="M70" s="30">
        <v>0</v>
      </c>
      <c r="N70" s="29">
        <v>0</v>
      </c>
    </row>
    <row r="71" spans="1:14">
      <c r="A71" s="24" t="s">
        <v>876</v>
      </c>
      <c r="B71" s="25" t="s">
        <v>30</v>
      </c>
      <c r="C71" s="25" t="s">
        <v>778</v>
      </c>
      <c r="D71" s="25" t="s">
        <v>779</v>
      </c>
      <c r="E71" s="153" t="s">
        <v>245</v>
      </c>
      <c r="F71" s="112">
        <v>15000</v>
      </c>
      <c r="G71" s="153">
        <v>425229414</v>
      </c>
      <c r="H71" s="153">
        <v>425</v>
      </c>
      <c r="I71" s="25">
        <v>4.1289999999999999E-3</v>
      </c>
      <c r="J71" s="25">
        <v>2.7E-2</v>
      </c>
      <c r="K71" s="26">
        <v>4.62</v>
      </c>
      <c r="L71" s="26">
        <v>2.6700000000000002E-2</v>
      </c>
      <c r="M71" s="26">
        <v>0</v>
      </c>
      <c r="N71" s="25">
        <v>0</v>
      </c>
    </row>
    <row r="72" spans="1:14">
      <c r="A72" s="28" t="s">
        <v>876</v>
      </c>
      <c r="B72" s="29" t="s">
        <v>30</v>
      </c>
      <c r="C72" s="29" t="s">
        <v>96</v>
      </c>
      <c r="D72" s="29" t="s">
        <v>136</v>
      </c>
      <c r="E72" s="152" t="s">
        <v>245</v>
      </c>
      <c r="F72" s="111">
        <v>45000</v>
      </c>
      <c r="G72" s="152">
        <v>1251025898</v>
      </c>
      <c r="H72" s="152">
        <v>1251</v>
      </c>
      <c r="I72" s="29">
        <v>1.2149999999999999E-2</v>
      </c>
      <c r="J72" s="29">
        <v>1.8249999999999999E-2</v>
      </c>
      <c r="K72" s="30">
        <v>3.09</v>
      </c>
      <c r="L72" s="30">
        <v>1.6199999999999999E-2</v>
      </c>
      <c r="M72" s="30">
        <v>0</v>
      </c>
      <c r="N72" s="29">
        <v>0</v>
      </c>
    </row>
    <row r="73" spans="1:14">
      <c r="A73" s="24" t="s">
        <v>876</v>
      </c>
      <c r="B73" s="25" t="s">
        <v>30</v>
      </c>
      <c r="C73" s="25" t="s">
        <v>96</v>
      </c>
      <c r="D73" s="25" t="s">
        <v>756</v>
      </c>
      <c r="E73" s="153" t="s">
        <v>245</v>
      </c>
      <c r="F73" s="112">
        <v>27000</v>
      </c>
      <c r="G73" s="153">
        <v>765992250</v>
      </c>
      <c r="H73" s="153">
        <v>765</v>
      </c>
      <c r="I73" s="25">
        <v>7.4390000000000003E-3</v>
      </c>
      <c r="J73" s="25">
        <v>2.29E-2</v>
      </c>
      <c r="K73" s="26">
        <v>8.35</v>
      </c>
      <c r="L73" s="26">
        <v>2.0500000000000001E-2</v>
      </c>
      <c r="M73" s="26">
        <v>0</v>
      </c>
      <c r="N73" s="25">
        <v>0</v>
      </c>
    </row>
    <row r="74" spans="1:14">
      <c r="A74" s="28" t="s">
        <v>876</v>
      </c>
      <c r="B74" s="29" t="s">
        <v>30</v>
      </c>
      <c r="C74" s="29" t="s">
        <v>558</v>
      </c>
      <c r="D74" s="29" t="s">
        <v>569</v>
      </c>
      <c r="E74" s="152" t="s">
        <v>245</v>
      </c>
      <c r="F74" s="111">
        <v>20000</v>
      </c>
      <c r="G74" s="152">
        <v>580508757</v>
      </c>
      <c r="H74" s="152">
        <v>580</v>
      </c>
      <c r="I74" s="29">
        <v>5.6369999999999996E-3</v>
      </c>
      <c r="J74" s="29">
        <v>1.8700000000000001E-2</v>
      </c>
      <c r="K74" s="30">
        <v>5.2</v>
      </c>
      <c r="L74" s="30">
        <v>1.89E-2</v>
      </c>
      <c r="M74" s="30">
        <v>0</v>
      </c>
      <c r="N74" s="29">
        <v>0</v>
      </c>
    </row>
    <row r="75" spans="1:14">
      <c r="A75" s="24" t="s">
        <v>876</v>
      </c>
      <c r="B75" s="25" t="s">
        <v>30</v>
      </c>
      <c r="C75" s="25" t="s">
        <v>775</v>
      </c>
      <c r="D75" s="25" t="s">
        <v>776</v>
      </c>
      <c r="E75" s="153" t="s">
        <v>245</v>
      </c>
      <c r="F75" s="112">
        <v>20000</v>
      </c>
      <c r="G75" s="153">
        <v>556337548</v>
      </c>
      <c r="H75" s="153">
        <v>556</v>
      </c>
      <c r="I75" s="25">
        <v>5.4029999999999998E-3</v>
      </c>
      <c r="J75" s="25">
        <v>2.6499999999999999E-2</v>
      </c>
      <c r="K75" s="26">
        <v>4.12</v>
      </c>
      <c r="L75" s="26">
        <v>2.5999999999999999E-2</v>
      </c>
      <c r="M75" s="26">
        <v>0</v>
      </c>
      <c r="N75" s="25">
        <v>0</v>
      </c>
    </row>
    <row r="76" spans="1:14">
      <c r="A76" s="28" t="s">
        <v>876</v>
      </c>
      <c r="B76" s="29" t="s">
        <v>30</v>
      </c>
      <c r="C76" s="29" t="s">
        <v>564</v>
      </c>
      <c r="D76" s="29" t="s">
        <v>565</v>
      </c>
      <c r="E76" s="152" t="s">
        <v>245</v>
      </c>
      <c r="F76" s="111">
        <v>45000</v>
      </c>
      <c r="G76" s="152">
        <v>1470306848</v>
      </c>
      <c r="H76" s="152">
        <v>1470</v>
      </c>
      <c r="I76" s="29">
        <v>1.4279E-2</v>
      </c>
      <c r="J76" s="29">
        <v>1.9650000000000001E-2</v>
      </c>
      <c r="K76" s="30">
        <v>4.74</v>
      </c>
      <c r="L76" s="30">
        <v>1.9300000000000001E-2</v>
      </c>
      <c r="M76" s="30">
        <v>0</v>
      </c>
      <c r="N76" s="29">
        <v>0</v>
      </c>
    </row>
    <row r="77" spans="1:14">
      <c r="A77" s="24" t="s">
        <v>876</v>
      </c>
      <c r="B77" s="25" t="s">
        <v>30</v>
      </c>
      <c r="C77" s="25" t="s">
        <v>530</v>
      </c>
      <c r="D77" s="25" t="s">
        <v>531</v>
      </c>
      <c r="E77" s="153" t="s">
        <v>245</v>
      </c>
      <c r="F77" s="112">
        <v>40000</v>
      </c>
      <c r="G77" s="153">
        <v>1296521054</v>
      </c>
      <c r="H77" s="153">
        <v>1296</v>
      </c>
      <c r="I77" s="25">
        <v>1.2591E-2</v>
      </c>
      <c r="J77" s="25">
        <v>2.24E-2</v>
      </c>
      <c r="K77" s="26">
        <v>6.64</v>
      </c>
      <c r="L77" s="26">
        <v>2.1499999999999998E-2</v>
      </c>
      <c r="M77" s="26">
        <v>0</v>
      </c>
      <c r="N77" s="25">
        <v>0</v>
      </c>
    </row>
    <row r="78" spans="1:14">
      <c r="A78" s="28" t="s">
        <v>876</v>
      </c>
      <c r="B78" s="29" t="s">
        <v>30</v>
      </c>
      <c r="C78" s="29" t="s">
        <v>506</v>
      </c>
      <c r="D78" s="29" t="s">
        <v>518</v>
      </c>
      <c r="E78" s="152" t="s">
        <v>245</v>
      </c>
      <c r="F78" s="111">
        <v>35000</v>
      </c>
      <c r="G78" s="152">
        <v>1143556564</v>
      </c>
      <c r="H78" s="152">
        <v>1143</v>
      </c>
      <c r="I78" s="29">
        <v>1.1106E-2</v>
      </c>
      <c r="J78" s="29">
        <v>2.0299999999999999E-2</v>
      </c>
      <c r="K78" s="30">
        <v>5.17</v>
      </c>
      <c r="L78" s="30">
        <v>2.0299999999999999E-2</v>
      </c>
      <c r="M78" s="30">
        <v>0</v>
      </c>
      <c r="N78" s="29">
        <v>0</v>
      </c>
    </row>
    <row r="79" spans="1:14">
      <c r="A79" s="24" t="s">
        <v>876</v>
      </c>
      <c r="B79" s="25" t="s">
        <v>30</v>
      </c>
      <c r="C79" s="25" t="s">
        <v>506</v>
      </c>
      <c r="D79" s="25" t="s">
        <v>620</v>
      </c>
      <c r="E79" s="153" t="s">
        <v>245</v>
      </c>
      <c r="F79" s="112">
        <v>59000</v>
      </c>
      <c r="G79" s="153">
        <v>1667839509</v>
      </c>
      <c r="H79" s="153">
        <v>1667</v>
      </c>
      <c r="I79" s="25">
        <v>1.6198000000000001E-2</v>
      </c>
      <c r="J79" s="25">
        <v>1.9400000000000001E-2</v>
      </c>
      <c r="K79" s="26">
        <v>4.05</v>
      </c>
      <c r="L79" s="26">
        <v>1.83E-2</v>
      </c>
      <c r="M79" s="26">
        <v>0</v>
      </c>
      <c r="N79" s="25">
        <v>0</v>
      </c>
    </row>
    <row r="80" spans="1:14">
      <c r="A80" s="28" t="s">
        <v>876</v>
      </c>
      <c r="B80" s="29" t="s">
        <v>30</v>
      </c>
      <c r="C80" s="29" t="s">
        <v>210</v>
      </c>
      <c r="D80" s="29" t="s">
        <v>211</v>
      </c>
      <c r="E80" s="152" t="s">
        <v>245</v>
      </c>
      <c r="F80" s="111">
        <v>2000</v>
      </c>
      <c r="G80" s="152">
        <v>21106670</v>
      </c>
      <c r="H80" s="152">
        <v>21</v>
      </c>
      <c r="I80" s="29">
        <v>2.04E-4</v>
      </c>
      <c r="J80" s="29">
        <v>1.7399999999999999E-2</v>
      </c>
      <c r="K80" s="30">
        <v>0.93</v>
      </c>
      <c r="L80" s="30">
        <v>1.4500000000000001E-2</v>
      </c>
      <c r="M80" s="30">
        <v>0</v>
      </c>
      <c r="N80" s="29">
        <v>0</v>
      </c>
    </row>
    <row r="81" spans="1:14">
      <c r="A81" s="24" t="s">
        <v>876</v>
      </c>
      <c r="B81" s="25" t="s">
        <v>30</v>
      </c>
      <c r="C81" s="25" t="s">
        <v>138</v>
      </c>
      <c r="D81" s="25" t="s">
        <v>139</v>
      </c>
      <c r="E81" s="153" t="s">
        <v>245</v>
      </c>
      <c r="F81" s="112">
        <v>22000</v>
      </c>
      <c r="G81" s="153">
        <v>642376133</v>
      </c>
      <c r="H81" s="153">
        <v>642</v>
      </c>
      <c r="I81" s="25">
        <v>6.2379999999999996E-3</v>
      </c>
      <c r="J81" s="25">
        <v>3.075E-2</v>
      </c>
      <c r="K81" s="26">
        <v>5.97</v>
      </c>
      <c r="L81" s="26">
        <v>1.9199999999999998E-2</v>
      </c>
      <c r="M81" s="26">
        <v>0</v>
      </c>
      <c r="N81" s="25">
        <v>0</v>
      </c>
    </row>
    <row r="82" spans="1:14">
      <c r="A82" s="28" t="s">
        <v>876</v>
      </c>
      <c r="B82" s="29" t="s">
        <v>30</v>
      </c>
      <c r="C82" s="29" t="s">
        <v>228</v>
      </c>
      <c r="D82" s="29" t="s">
        <v>229</v>
      </c>
      <c r="E82" s="152" t="s">
        <v>245</v>
      </c>
      <c r="F82" s="111">
        <v>14000</v>
      </c>
      <c r="G82" s="152">
        <v>202787101</v>
      </c>
      <c r="H82" s="152">
        <v>202</v>
      </c>
      <c r="I82" s="29">
        <v>1.9689999999999998E-3</v>
      </c>
      <c r="J82" s="29">
        <v>1.5650000000000001E-2</v>
      </c>
      <c r="K82" s="30">
        <v>2.33</v>
      </c>
      <c r="L82" s="30">
        <v>1.78E-2</v>
      </c>
      <c r="M82" s="30">
        <v>0</v>
      </c>
      <c r="N82" s="29">
        <v>0</v>
      </c>
    </row>
    <row r="83" spans="1:14">
      <c r="A83" s="24" t="s">
        <v>876</v>
      </c>
      <c r="B83" s="25" t="s">
        <v>30</v>
      </c>
      <c r="C83" s="25" t="s">
        <v>610</v>
      </c>
      <c r="D83" s="25" t="s">
        <v>611</v>
      </c>
      <c r="E83" s="153" t="s">
        <v>245</v>
      </c>
      <c r="F83" s="112">
        <v>30000</v>
      </c>
      <c r="G83" s="153">
        <v>952463489</v>
      </c>
      <c r="H83" s="153">
        <v>952</v>
      </c>
      <c r="I83" s="25">
        <v>9.2499999999999995E-3</v>
      </c>
      <c r="J83" s="25">
        <v>2.4299999999999999E-2</v>
      </c>
      <c r="K83" s="26">
        <v>8.0500000000000007</v>
      </c>
      <c r="L83" s="26">
        <v>2.1299999999999999E-2</v>
      </c>
      <c r="M83" s="26">
        <v>0</v>
      </c>
      <c r="N83" s="25">
        <v>0</v>
      </c>
    </row>
    <row r="84" spans="1:14">
      <c r="A84" s="28" t="s">
        <v>876</v>
      </c>
      <c r="B84" s="29" t="s">
        <v>30</v>
      </c>
      <c r="C84" s="29" t="s">
        <v>525</v>
      </c>
      <c r="D84" s="29" t="s">
        <v>526</v>
      </c>
      <c r="E84" s="152" t="s">
        <v>245</v>
      </c>
      <c r="F84" s="111">
        <v>10000</v>
      </c>
      <c r="G84" s="152">
        <v>281567434</v>
      </c>
      <c r="H84" s="152">
        <v>281</v>
      </c>
      <c r="I84" s="29">
        <v>2.7339999999999999E-3</v>
      </c>
      <c r="J84" s="29">
        <v>2.0500000000000001E-2</v>
      </c>
      <c r="K84" s="30">
        <v>3.44</v>
      </c>
      <c r="L84" s="30">
        <v>2.0500000000000001E-2</v>
      </c>
      <c r="M84" s="30">
        <v>0</v>
      </c>
      <c r="N84" s="29">
        <v>0</v>
      </c>
    </row>
    <row r="85" spans="1:14">
      <c r="A85" s="24" t="s">
        <v>876</v>
      </c>
      <c r="B85" s="25" t="s">
        <v>30</v>
      </c>
      <c r="C85" s="25" t="s">
        <v>100</v>
      </c>
      <c r="D85" s="25" t="s">
        <v>101</v>
      </c>
      <c r="E85" s="153" t="s">
        <v>245</v>
      </c>
      <c r="F85" s="112">
        <v>23000</v>
      </c>
      <c r="G85" s="153">
        <v>274080171</v>
      </c>
      <c r="H85" s="153">
        <v>274</v>
      </c>
      <c r="I85" s="25">
        <v>2.6610000000000002E-3</v>
      </c>
      <c r="J85" s="25">
        <v>2.7E-2</v>
      </c>
      <c r="K85" s="26">
        <v>1.03</v>
      </c>
      <c r="L85" s="26">
        <v>1.7600000000000001E-2</v>
      </c>
      <c r="M85" s="26">
        <v>0</v>
      </c>
      <c r="N85" s="25">
        <v>0</v>
      </c>
    </row>
    <row r="86" spans="1:14">
      <c r="A86" s="28" t="s">
        <v>876</v>
      </c>
      <c r="B86" s="29" t="s">
        <v>30</v>
      </c>
      <c r="C86" s="29" t="s">
        <v>239</v>
      </c>
      <c r="D86" s="29" t="s">
        <v>782</v>
      </c>
      <c r="E86" s="152" t="s">
        <v>245</v>
      </c>
      <c r="F86" s="111">
        <v>20000</v>
      </c>
      <c r="G86" s="152">
        <v>278390723</v>
      </c>
      <c r="H86" s="152">
        <v>278</v>
      </c>
      <c r="I86" s="29">
        <v>2.7030000000000001E-3</v>
      </c>
      <c r="J86" s="29">
        <v>1.55E-2</v>
      </c>
      <c r="K86" s="30">
        <v>0.97</v>
      </c>
      <c r="L86" s="30">
        <v>1.52E-2</v>
      </c>
      <c r="M86" s="30">
        <v>0</v>
      </c>
      <c r="N86" s="29">
        <v>0</v>
      </c>
    </row>
    <row r="87" spans="1:14">
      <c r="A87" s="24" t="s">
        <v>876</v>
      </c>
      <c r="B87" s="25" t="s">
        <v>30</v>
      </c>
      <c r="C87" s="25" t="s">
        <v>207</v>
      </c>
      <c r="D87" s="25" t="s">
        <v>208</v>
      </c>
      <c r="E87" s="153" t="s">
        <v>245</v>
      </c>
      <c r="F87" s="112">
        <v>71000</v>
      </c>
      <c r="G87" s="153">
        <v>1992235189</v>
      </c>
      <c r="H87" s="153">
        <v>1992</v>
      </c>
      <c r="I87" s="25">
        <v>1.9348000000000001E-2</v>
      </c>
      <c r="J87" s="25">
        <v>1.69090909E-2</v>
      </c>
      <c r="K87" s="26">
        <v>2.29</v>
      </c>
      <c r="L87" s="26">
        <v>1.66E-2</v>
      </c>
      <c r="M87" s="26">
        <v>0</v>
      </c>
      <c r="N87" s="25">
        <v>0</v>
      </c>
    </row>
    <row r="88" spans="1:14">
      <c r="A88" s="28" t="s">
        <v>876</v>
      </c>
      <c r="B88" s="29" t="s">
        <v>30</v>
      </c>
      <c r="C88" s="29" t="s">
        <v>47</v>
      </c>
      <c r="D88" s="29" t="s">
        <v>48</v>
      </c>
      <c r="E88" s="152" t="s">
        <v>245</v>
      </c>
      <c r="F88" s="111">
        <v>20000</v>
      </c>
      <c r="G88" s="152">
        <v>670608224</v>
      </c>
      <c r="H88" s="152">
        <v>670</v>
      </c>
      <c r="I88" s="29">
        <v>6.5120000000000004E-3</v>
      </c>
      <c r="J88" s="29">
        <v>2.1399999999999999E-2</v>
      </c>
      <c r="K88" s="30">
        <v>6.05</v>
      </c>
      <c r="L88" s="30">
        <v>1.83E-2</v>
      </c>
      <c r="M88" s="30">
        <v>0</v>
      </c>
      <c r="N88" s="29">
        <v>0</v>
      </c>
    </row>
    <row r="89" spans="1:14">
      <c r="A89" s="24" t="s">
        <v>876</v>
      </c>
      <c r="B89" s="25" t="s">
        <v>30</v>
      </c>
      <c r="C89" s="25" t="s">
        <v>81</v>
      </c>
      <c r="D89" s="25" t="s">
        <v>82</v>
      </c>
      <c r="E89" s="153" t="s">
        <v>245</v>
      </c>
      <c r="F89" s="112">
        <v>15000</v>
      </c>
      <c r="G89" s="153">
        <v>458241609</v>
      </c>
      <c r="H89" s="153">
        <v>458</v>
      </c>
      <c r="I89" s="25">
        <v>4.45E-3</v>
      </c>
      <c r="J89" s="25">
        <v>3.7900000000000003E-2</v>
      </c>
      <c r="K89" s="26">
        <v>2.17</v>
      </c>
      <c r="L89" s="26">
        <v>1.8700000000000001E-2</v>
      </c>
      <c r="M89" s="26">
        <v>0</v>
      </c>
      <c r="N89" s="25">
        <v>0</v>
      </c>
    </row>
    <row r="90" spans="1:14">
      <c r="A90" s="28" t="s">
        <v>876</v>
      </c>
      <c r="B90" s="29" t="s">
        <v>30</v>
      </c>
      <c r="C90" s="29" t="s">
        <v>81</v>
      </c>
      <c r="D90" s="29" t="s">
        <v>156</v>
      </c>
      <c r="E90" s="152" t="s">
        <v>245</v>
      </c>
      <c r="F90" s="111">
        <v>34500</v>
      </c>
      <c r="G90" s="152">
        <v>1049685053</v>
      </c>
      <c r="H90" s="152">
        <v>1049</v>
      </c>
      <c r="I90" s="29">
        <v>1.0194E-2</v>
      </c>
      <c r="J90" s="29">
        <v>2.316E-2</v>
      </c>
      <c r="K90" s="30">
        <v>2.34</v>
      </c>
      <c r="L90" s="30">
        <v>1.9099999999999999E-2</v>
      </c>
      <c r="M90" s="30">
        <v>0</v>
      </c>
      <c r="N90" s="29">
        <v>0</v>
      </c>
    </row>
    <row r="91" spans="1:14">
      <c r="A91" s="24" t="s">
        <v>876</v>
      </c>
      <c r="B91" s="25" t="s">
        <v>30</v>
      </c>
      <c r="C91" s="25" t="s">
        <v>87</v>
      </c>
      <c r="D91" s="25" t="s">
        <v>134</v>
      </c>
      <c r="E91" s="153" t="s">
        <v>245</v>
      </c>
      <c r="F91" s="112">
        <v>35000</v>
      </c>
      <c r="G91" s="153">
        <v>1164691796</v>
      </c>
      <c r="H91" s="153">
        <v>1164</v>
      </c>
      <c r="I91" s="25">
        <v>1.1311E-2</v>
      </c>
      <c r="J91" s="25">
        <v>3.1199999999999999E-2</v>
      </c>
      <c r="K91" s="26">
        <v>7.16</v>
      </c>
      <c r="L91" s="26">
        <v>2.1299999999999999E-2</v>
      </c>
      <c r="M91" s="26">
        <v>0</v>
      </c>
      <c r="N91" s="25">
        <v>0</v>
      </c>
    </row>
    <row r="92" spans="1:14">
      <c r="A92" s="28" t="s">
        <v>876</v>
      </c>
      <c r="B92" s="29" t="s">
        <v>30</v>
      </c>
      <c r="C92" s="29" t="s">
        <v>158</v>
      </c>
      <c r="D92" s="29" t="s">
        <v>159</v>
      </c>
      <c r="E92" s="152" t="s">
        <v>245</v>
      </c>
      <c r="F92" s="111">
        <v>12000</v>
      </c>
      <c r="G92" s="152">
        <v>187618803</v>
      </c>
      <c r="H92" s="152">
        <v>187</v>
      </c>
      <c r="I92" s="29">
        <v>1.8220000000000001E-3</v>
      </c>
      <c r="J92" s="29">
        <v>3.8699999999999998E-2</v>
      </c>
      <c r="K92" s="30">
        <v>3.41</v>
      </c>
      <c r="L92" s="30">
        <v>3.0700000000000002E-2</v>
      </c>
      <c r="M92" s="30">
        <v>0</v>
      </c>
      <c r="N92" s="29">
        <v>0</v>
      </c>
    </row>
    <row r="93" spans="1:14">
      <c r="A93" s="24" t="s">
        <v>876</v>
      </c>
      <c r="B93" s="25" t="s">
        <v>30</v>
      </c>
      <c r="C93" s="25" t="s">
        <v>88</v>
      </c>
      <c r="D93" s="25" t="s">
        <v>410</v>
      </c>
      <c r="E93" s="153" t="s">
        <v>245</v>
      </c>
      <c r="F93" s="112">
        <v>10000</v>
      </c>
      <c r="G93" s="153">
        <v>284353097</v>
      </c>
      <c r="H93" s="153">
        <v>284</v>
      </c>
      <c r="I93" s="25">
        <v>2.761E-3</v>
      </c>
      <c r="J93" s="25">
        <v>1.95E-2</v>
      </c>
      <c r="K93" s="26">
        <v>2.67</v>
      </c>
      <c r="L93" s="26">
        <v>1.6400000000000001E-2</v>
      </c>
      <c r="M93" s="26">
        <v>0</v>
      </c>
      <c r="N93" s="25">
        <v>0</v>
      </c>
    </row>
    <row r="94" spans="1:14">
      <c r="A94" s="28" t="s">
        <v>876</v>
      </c>
      <c r="B94" s="29" t="s">
        <v>30</v>
      </c>
      <c r="C94" s="29" t="s">
        <v>80</v>
      </c>
      <c r="D94" s="29" t="s">
        <v>644</v>
      </c>
      <c r="E94" s="152" t="s">
        <v>245</v>
      </c>
      <c r="F94" s="111">
        <v>38000</v>
      </c>
      <c r="G94" s="152">
        <v>1205153727</v>
      </c>
      <c r="H94" s="152">
        <v>1205</v>
      </c>
      <c r="I94" s="29">
        <v>1.1704000000000001E-2</v>
      </c>
      <c r="J94" s="29">
        <v>2.1499999999999998E-2</v>
      </c>
      <c r="K94" s="30">
        <v>4.99</v>
      </c>
      <c r="L94" s="30">
        <v>2.0899999999999998E-2</v>
      </c>
      <c r="M94" s="30">
        <v>0</v>
      </c>
      <c r="N94" s="29">
        <v>0</v>
      </c>
    </row>
    <row r="95" spans="1:14">
      <c r="A95" s="24" t="s">
        <v>876</v>
      </c>
      <c r="B95" s="25" t="s">
        <v>30</v>
      </c>
      <c r="C95" s="25" t="s">
        <v>80</v>
      </c>
      <c r="D95" s="25" t="s">
        <v>618</v>
      </c>
      <c r="E95" s="153" t="s">
        <v>245</v>
      </c>
      <c r="F95" s="112">
        <v>25000</v>
      </c>
      <c r="G95" s="153">
        <v>749534895</v>
      </c>
      <c r="H95" s="153">
        <v>749</v>
      </c>
      <c r="I95" s="25">
        <v>7.2789999999999999E-3</v>
      </c>
      <c r="J95" s="25">
        <v>2.3900000000000001E-2</v>
      </c>
      <c r="K95" s="26">
        <v>7.79</v>
      </c>
      <c r="L95" s="26">
        <v>2.1999999999999999E-2</v>
      </c>
      <c r="M95" s="26">
        <v>0</v>
      </c>
      <c r="N95" s="25">
        <v>0</v>
      </c>
    </row>
    <row r="96" spans="1:14">
      <c r="A96" s="28" t="s">
        <v>876</v>
      </c>
      <c r="B96" s="29" t="s">
        <v>30</v>
      </c>
      <c r="C96" s="29" t="s">
        <v>70</v>
      </c>
      <c r="D96" s="29" t="s">
        <v>71</v>
      </c>
      <c r="E96" s="152" t="s">
        <v>245</v>
      </c>
      <c r="F96" s="111">
        <v>45500</v>
      </c>
      <c r="G96" s="152">
        <v>1269773024</v>
      </c>
      <c r="H96" s="152">
        <v>1269</v>
      </c>
      <c r="I96" s="29">
        <v>1.2331999999999999E-2</v>
      </c>
      <c r="J96" s="29">
        <v>2.188E-2</v>
      </c>
      <c r="K96" s="30">
        <v>2.5299999999999998</v>
      </c>
      <c r="L96" s="30">
        <v>1.8200000000000001E-2</v>
      </c>
      <c r="M96" s="30">
        <v>0</v>
      </c>
      <c r="N96" s="29">
        <v>0</v>
      </c>
    </row>
    <row r="97" spans="1:14">
      <c r="A97" s="24" t="s">
        <v>876</v>
      </c>
      <c r="B97" s="25" t="s">
        <v>30</v>
      </c>
      <c r="C97" s="25" t="s">
        <v>511</v>
      </c>
      <c r="D97" s="25" t="s">
        <v>512</v>
      </c>
      <c r="E97" s="153" t="s">
        <v>245</v>
      </c>
      <c r="F97" s="112">
        <v>15000</v>
      </c>
      <c r="G97" s="153">
        <v>427692119</v>
      </c>
      <c r="H97" s="153">
        <v>427</v>
      </c>
      <c r="I97" s="25">
        <v>4.1529999999999996E-3</v>
      </c>
      <c r="J97" s="25">
        <v>1.9400000000000001E-2</v>
      </c>
      <c r="K97" s="26">
        <v>3.17</v>
      </c>
      <c r="L97" s="26">
        <v>1.84E-2</v>
      </c>
      <c r="M97" s="26">
        <v>0</v>
      </c>
      <c r="N97" s="25">
        <v>0</v>
      </c>
    </row>
    <row r="98" spans="1:14">
      <c r="A98" s="28" t="s">
        <v>876</v>
      </c>
      <c r="B98" s="29" t="s">
        <v>30</v>
      </c>
      <c r="C98" s="29" t="s">
        <v>189</v>
      </c>
      <c r="D98" s="29" t="s">
        <v>190</v>
      </c>
      <c r="E98" s="152" t="s">
        <v>245</v>
      </c>
      <c r="F98" s="111">
        <v>500</v>
      </c>
      <c r="G98" s="152">
        <v>15854821</v>
      </c>
      <c r="H98" s="152">
        <v>15</v>
      </c>
      <c r="I98" s="29">
        <v>1.5300000000000001E-4</v>
      </c>
      <c r="J98" s="29">
        <v>3.0499999999999999E-2</v>
      </c>
      <c r="K98" s="30">
        <v>9.3000000000000007</v>
      </c>
      <c r="L98" s="30">
        <v>2.3800000000000002E-2</v>
      </c>
      <c r="M98" s="30">
        <v>0</v>
      </c>
      <c r="N98" s="29">
        <v>0</v>
      </c>
    </row>
    <row r="99" spans="1:14">
      <c r="A99" s="24" t="s">
        <v>876</v>
      </c>
      <c r="B99" s="25" t="s">
        <v>30</v>
      </c>
      <c r="C99" s="25" t="s">
        <v>583</v>
      </c>
      <c r="D99" s="25" t="s">
        <v>584</v>
      </c>
      <c r="E99" s="153" t="s">
        <v>245</v>
      </c>
      <c r="F99" s="112">
        <v>15500</v>
      </c>
      <c r="G99" s="153">
        <v>430928718</v>
      </c>
      <c r="H99" s="153">
        <v>430</v>
      </c>
      <c r="I99" s="25">
        <v>4.1850000000000004E-3</v>
      </c>
      <c r="J99" s="25">
        <v>1.295E-2</v>
      </c>
      <c r="K99" s="26">
        <v>0.97</v>
      </c>
      <c r="L99" s="26">
        <v>1.46E-2</v>
      </c>
      <c r="M99" s="26">
        <v>0</v>
      </c>
      <c r="N99" s="25">
        <v>0</v>
      </c>
    </row>
    <row r="100" spans="1:14">
      <c r="A100" s="28" t="s">
        <v>876</v>
      </c>
      <c r="B100" s="29" t="s">
        <v>30</v>
      </c>
      <c r="C100" s="29" t="s">
        <v>583</v>
      </c>
      <c r="D100" s="29" t="s">
        <v>631</v>
      </c>
      <c r="E100" s="152" t="s">
        <v>245</v>
      </c>
      <c r="F100" s="111">
        <v>15000</v>
      </c>
      <c r="G100" s="152">
        <v>421427455</v>
      </c>
      <c r="H100" s="152">
        <v>421</v>
      </c>
      <c r="I100" s="29">
        <v>4.0920000000000002E-3</v>
      </c>
      <c r="J100" s="29">
        <v>1.67E-2</v>
      </c>
      <c r="K100" s="30">
        <v>2.72</v>
      </c>
      <c r="L100" s="30">
        <v>1.61E-2</v>
      </c>
      <c r="M100" s="30">
        <v>0</v>
      </c>
      <c r="N100" s="29">
        <v>0</v>
      </c>
    </row>
    <row r="101" spans="1:14">
      <c r="A101" s="24" t="s">
        <v>876</v>
      </c>
      <c r="B101" s="25" t="s">
        <v>30</v>
      </c>
      <c r="C101" s="25" t="s">
        <v>225</v>
      </c>
      <c r="D101" s="25" t="s">
        <v>561</v>
      </c>
      <c r="E101" s="153" t="s">
        <v>245</v>
      </c>
      <c r="F101" s="112">
        <v>25000</v>
      </c>
      <c r="G101" s="153">
        <v>791466057</v>
      </c>
      <c r="H101" s="153">
        <v>791</v>
      </c>
      <c r="I101" s="25">
        <v>7.6860000000000001E-3</v>
      </c>
      <c r="J101" s="25">
        <v>2.01E-2</v>
      </c>
      <c r="K101" s="26">
        <v>5.24</v>
      </c>
      <c r="L101" s="26">
        <v>2.0199999999999999E-2</v>
      </c>
      <c r="M101" s="26">
        <v>0</v>
      </c>
      <c r="N101" s="25">
        <v>0</v>
      </c>
    </row>
    <row r="102" spans="1:14">
      <c r="A102" s="28" t="s">
        <v>876</v>
      </c>
      <c r="B102" s="29" t="s">
        <v>30</v>
      </c>
      <c r="C102" s="29" t="s">
        <v>225</v>
      </c>
      <c r="D102" s="29" t="s">
        <v>226</v>
      </c>
      <c r="E102" s="152" t="s">
        <v>245</v>
      </c>
      <c r="F102" s="111">
        <v>1000</v>
      </c>
      <c r="G102" s="152">
        <v>10558473</v>
      </c>
      <c r="H102" s="152">
        <v>10</v>
      </c>
      <c r="I102" s="29">
        <v>1.02E-4</v>
      </c>
      <c r="J102" s="29">
        <v>1.8499999999999999E-2</v>
      </c>
      <c r="K102" s="30">
        <v>0.92</v>
      </c>
      <c r="L102" s="30">
        <v>1.4E-2</v>
      </c>
      <c r="M102" s="30">
        <v>0</v>
      </c>
      <c r="N102" s="29">
        <v>0</v>
      </c>
    </row>
    <row r="103" spans="1:14">
      <c r="A103" s="24" t="s">
        <v>876</v>
      </c>
      <c r="B103" s="25" t="s">
        <v>30</v>
      </c>
      <c r="C103" s="25" t="s">
        <v>86</v>
      </c>
      <c r="D103" s="25" t="s">
        <v>92</v>
      </c>
      <c r="E103" s="153" t="s">
        <v>245</v>
      </c>
      <c r="F103" s="112">
        <v>23000</v>
      </c>
      <c r="G103" s="153">
        <v>649654138</v>
      </c>
      <c r="H103" s="153">
        <v>649</v>
      </c>
      <c r="I103" s="25">
        <v>6.3090000000000004E-3</v>
      </c>
      <c r="J103" s="25">
        <v>2.1899999999999999E-2</v>
      </c>
      <c r="K103" s="26">
        <v>3.73</v>
      </c>
      <c r="L103" s="26">
        <v>1.7899999999999999E-2</v>
      </c>
      <c r="M103" s="26">
        <v>0</v>
      </c>
      <c r="N103" s="25">
        <v>0</v>
      </c>
    </row>
    <row r="104" spans="1:14">
      <c r="A104" s="28" t="s">
        <v>876</v>
      </c>
      <c r="B104" s="29" t="s">
        <v>30</v>
      </c>
      <c r="C104" s="29" t="s">
        <v>75</v>
      </c>
      <c r="D104" s="29" t="s">
        <v>604</v>
      </c>
      <c r="E104" s="152" t="s">
        <v>245</v>
      </c>
      <c r="F104" s="111">
        <v>10000</v>
      </c>
      <c r="G104" s="152">
        <v>283389403</v>
      </c>
      <c r="H104" s="152">
        <v>283</v>
      </c>
      <c r="I104" s="29">
        <v>2.7520000000000001E-3</v>
      </c>
      <c r="J104" s="29">
        <v>1.6199999999999999E-2</v>
      </c>
      <c r="K104" s="30">
        <v>1.93</v>
      </c>
      <c r="L104" s="30">
        <v>1.5699999999999999E-2</v>
      </c>
      <c r="M104" s="30">
        <v>0</v>
      </c>
      <c r="N104" s="29">
        <v>0</v>
      </c>
    </row>
    <row r="105" spans="1:14">
      <c r="A105" s="24" t="s">
        <v>876</v>
      </c>
      <c r="B105" s="25" t="s">
        <v>30</v>
      </c>
      <c r="C105" s="25" t="s">
        <v>75</v>
      </c>
      <c r="D105" s="25" t="s">
        <v>98</v>
      </c>
      <c r="E105" s="153" t="s">
        <v>245</v>
      </c>
      <c r="F105" s="112">
        <v>11000</v>
      </c>
      <c r="G105" s="153">
        <v>305335896</v>
      </c>
      <c r="H105" s="153">
        <v>305</v>
      </c>
      <c r="I105" s="25">
        <v>2.9650000000000002E-3</v>
      </c>
      <c r="J105" s="25">
        <v>2.1399999999999999E-2</v>
      </c>
      <c r="K105" s="26">
        <v>2.91</v>
      </c>
      <c r="L105" s="26">
        <v>1.67E-2</v>
      </c>
      <c r="M105" s="26">
        <v>0</v>
      </c>
      <c r="N105" s="25">
        <v>0</v>
      </c>
    </row>
    <row r="106" spans="1:14">
      <c r="A106" s="28" t="s">
        <v>876</v>
      </c>
      <c r="B106" s="29" t="s">
        <v>30</v>
      </c>
      <c r="C106" s="29" t="s">
        <v>142</v>
      </c>
      <c r="D106" s="29" t="s">
        <v>143</v>
      </c>
      <c r="E106" s="152" t="s">
        <v>245</v>
      </c>
      <c r="F106" s="111">
        <v>20000</v>
      </c>
      <c r="G106" s="152">
        <v>625214477</v>
      </c>
      <c r="H106" s="152">
        <v>625</v>
      </c>
      <c r="I106" s="29">
        <v>6.0720000000000001E-3</v>
      </c>
      <c r="J106" s="29">
        <v>2.4199999999999999E-2</v>
      </c>
      <c r="K106" s="30">
        <v>7.22</v>
      </c>
      <c r="L106" s="30">
        <v>1.9900000000000001E-2</v>
      </c>
      <c r="M106" s="30">
        <v>0</v>
      </c>
      <c r="N106" s="29">
        <v>0</v>
      </c>
    </row>
    <row r="107" spans="1:14">
      <c r="A107" s="24" t="s">
        <v>876</v>
      </c>
      <c r="B107" s="25" t="s">
        <v>30</v>
      </c>
      <c r="C107" s="25" t="s">
        <v>173</v>
      </c>
      <c r="D107" s="25" t="s">
        <v>237</v>
      </c>
      <c r="E107" s="153" t="s">
        <v>245</v>
      </c>
      <c r="F107" s="112">
        <v>1500</v>
      </c>
      <c r="G107" s="153">
        <v>7016111</v>
      </c>
      <c r="H107" s="153">
        <v>7</v>
      </c>
      <c r="I107" s="25">
        <v>6.7999999999999999E-5</v>
      </c>
      <c r="J107" s="25">
        <v>1.52E-2</v>
      </c>
      <c r="K107" s="26">
        <v>0.27</v>
      </c>
      <c r="L107" s="26">
        <v>1.4999999999999999E-2</v>
      </c>
      <c r="M107" s="26">
        <v>0</v>
      </c>
      <c r="N107" s="25">
        <v>0</v>
      </c>
    </row>
    <row r="108" spans="1:14">
      <c r="A108" s="28" t="s">
        <v>876</v>
      </c>
      <c r="B108" s="29" t="s">
        <v>30</v>
      </c>
      <c r="C108" s="29" t="s">
        <v>56</v>
      </c>
      <c r="D108" s="29" t="s">
        <v>57</v>
      </c>
      <c r="E108" s="152" t="s">
        <v>245</v>
      </c>
      <c r="F108" s="111">
        <v>20000</v>
      </c>
      <c r="G108" s="152">
        <v>699298670</v>
      </c>
      <c r="H108" s="152">
        <v>699</v>
      </c>
      <c r="I108" s="29">
        <v>6.7910000000000002E-3</v>
      </c>
      <c r="J108" s="29">
        <v>3.15E-2</v>
      </c>
      <c r="K108" s="30">
        <v>11.2</v>
      </c>
      <c r="L108" s="30">
        <v>2.4500000000000001E-2</v>
      </c>
      <c r="M108" s="30">
        <v>0</v>
      </c>
      <c r="N108" s="29">
        <v>0</v>
      </c>
    </row>
    <row r="109" spans="1:14">
      <c r="A109" s="24" t="s">
        <v>876</v>
      </c>
      <c r="B109" s="25" t="s">
        <v>30</v>
      </c>
      <c r="C109" s="25" t="s">
        <v>163</v>
      </c>
      <c r="D109" s="25" t="s">
        <v>632</v>
      </c>
      <c r="E109" s="153" t="s">
        <v>245</v>
      </c>
      <c r="F109" s="112">
        <v>30000</v>
      </c>
      <c r="G109" s="153">
        <v>839861324</v>
      </c>
      <c r="H109" s="153">
        <v>839</v>
      </c>
      <c r="I109" s="25">
        <v>8.1560000000000001E-3</v>
      </c>
      <c r="J109" s="25">
        <v>2.1999999999999999E-2</v>
      </c>
      <c r="K109" s="26">
        <v>2.96</v>
      </c>
      <c r="L109" s="26">
        <v>1.9300000000000001E-2</v>
      </c>
      <c r="M109" s="26">
        <v>0</v>
      </c>
      <c r="N109" s="25">
        <v>0</v>
      </c>
    </row>
    <row r="110" spans="1:14">
      <c r="A110" s="28" t="s">
        <v>876</v>
      </c>
      <c r="B110" s="29" t="s">
        <v>30</v>
      </c>
      <c r="C110" s="29" t="s">
        <v>163</v>
      </c>
      <c r="D110" s="29" t="s">
        <v>767</v>
      </c>
      <c r="E110" s="152" t="s">
        <v>245</v>
      </c>
      <c r="F110" s="111">
        <v>30000</v>
      </c>
      <c r="G110" s="152">
        <v>829081112</v>
      </c>
      <c r="H110" s="152">
        <v>829</v>
      </c>
      <c r="I110" s="29">
        <v>8.0520000000000001E-3</v>
      </c>
      <c r="J110" s="29">
        <v>0.02</v>
      </c>
      <c r="K110" s="30">
        <v>4.26</v>
      </c>
      <c r="L110" s="30">
        <v>1.9699999999999999E-2</v>
      </c>
      <c r="M110" s="30">
        <v>0</v>
      </c>
      <c r="N110" s="29">
        <v>0</v>
      </c>
    </row>
    <row r="111" spans="1:14">
      <c r="A111" s="28" t="s">
        <v>876</v>
      </c>
      <c r="B111" s="29" t="s">
        <v>30</v>
      </c>
      <c r="C111" s="29" t="s">
        <v>163</v>
      </c>
      <c r="D111" s="29" t="s">
        <v>164</v>
      </c>
      <c r="E111" s="152" t="s">
        <v>245</v>
      </c>
      <c r="F111" s="111">
        <v>20000</v>
      </c>
      <c r="G111" s="152">
        <v>559269455</v>
      </c>
      <c r="H111" s="152">
        <v>559</v>
      </c>
      <c r="I111" s="29">
        <v>5.4310000000000001E-3</v>
      </c>
      <c r="J111" s="29">
        <v>1.6433333299999998E-2</v>
      </c>
      <c r="K111" s="30">
        <v>0.51</v>
      </c>
      <c r="L111" s="30">
        <v>1.37E-2</v>
      </c>
      <c r="M111" s="30">
        <v>0</v>
      </c>
      <c r="N111" s="29">
        <v>0</v>
      </c>
    </row>
    <row r="112" spans="1:14">
      <c r="A112" s="24" t="s">
        <v>876</v>
      </c>
      <c r="B112" s="25" t="s">
        <v>30</v>
      </c>
      <c r="C112" s="25" t="s">
        <v>163</v>
      </c>
      <c r="D112" s="25" t="s">
        <v>382</v>
      </c>
      <c r="E112" s="153" t="s">
        <v>245</v>
      </c>
      <c r="F112" s="112">
        <v>15000</v>
      </c>
      <c r="G112" s="153">
        <v>428700157</v>
      </c>
      <c r="H112" s="153">
        <v>428</v>
      </c>
      <c r="I112" s="25">
        <v>4.163E-3</v>
      </c>
      <c r="J112" s="25">
        <v>2.3599999999999999E-2</v>
      </c>
      <c r="K112" s="26">
        <v>2.2400000000000002</v>
      </c>
      <c r="L112" s="26">
        <v>1.8599999999999998E-2</v>
      </c>
      <c r="M112" s="26">
        <v>0</v>
      </c>
      <c r="N112" s="25">
        <v>0</v>
      </c>
    </row>
    <row r="113" spans="1:14">
      <c r="A113" s="28" t="s">
        <v>876</v>
      </c>
      <c r="B113" s="29" t="s">
        <v>30</v>
      </c>
      <c r="C113" s="29" t="s">
        <v>214</v>
      </c>
      <c r="D113" s="29" t="s">
        <v>215</v>
      </c>
      <c r="E113" s="152" t="s">
        <v>245</v>
      </c>
      <c r="F113" s="111">
        <v>26500</v>
      </c>
      <c r="G113" s="152">
        <v>344102219</v>
      </c>
      <c r="H113" s="152">
        <v>344</v>
      </c>
      <c r="I113" s="29">
        <v>3.3409999999999998E-3</v>
      </c>
      <c r="J113" s="29">
        <v>1.6933333299999999E-2</v>
      </c>
      <c r="K113" s="30">
        <v>1.3</v>
      </c>
      <c r="L113" s="30">
        <v>1.55E-2</v>
      </c>
      <c r="M113" s="30">
        <v>0</v>
      </c>
      <c r="N113" s="29">
        <v>0</v>
      </c>
    </row>
    <row r="114" spans="1:14">
      <c r="A114" s="24" t="s">
        <v>876</v>
      </c>
      <c r="B114" s="25" t="s">
        <v>30</v>
      </c>
      <c r="C114" s="25" t="s">
        <v>166</v>
      </c>
      <c r="D114" s="25" t="s">
        <v>167</v>
      </c>
      <c r="E114" s="153" t="s">
        <v>244</v>
      </c>
      <c r="F114" s="112">
        <v>110000000</v>
      </c>
      <c r="G114" s="153">
        <v>113077430</v>
      </c>
      <c r="H114" s="153">
        <v>113</v>
      </c>
      <c r="I114" s="25">
        <v>1.098E-3</v>
      </c>
      <c r="J114" s="25">
        <v>4.9700000000000001E-2</v>
      </c>
      <c r="K114" s="26">
        <v>0.01</v>
      </c>
      <c r="L114" s="26">
        <v>3.4299999999999997E-2</v>
      </c>
      <c r="M114" s="26">
        <v>0</v>
      </c>
      <c r="N114" s="25">
        <v>0</v>
      </c>
    </row>
    <row r="115" spans="1:14">
      <c r="A115" s="28" t="s">
        <v>876</v>
      </c>
      <c r="B115" s="29" t="s">
        <v>30</v>
      </c>
      <c r="C115" s="29" t="s">
        <v>381</v>
      </c>
      <c r="D115" s="29" t="s">
        <v>480</v>
      </c>
      <c r="E115" s="152" t="s">
        <v>245</v>
      </c>
      <c r="F115" s="111">
        <v>17000</v>
      </c>
      <c r="G115" s="152">
        <v>300695501</v>
      </c>
      <c r="H115" s="152">
        <v>300</v>
      </c>
      <c r="I115" s="29">
        <v>2.9199999999999999E-3</v>
      </c>
      <c r="J115" s="29">
        <v>2.2599999999999999E-2</v>
      </c>
      <c r="K115" s="30">
        <v>2.11</v>
      </c>
      <c r="L115" s="30">
        <v>2.2100000000000002E-2</v>
      </c>
      <c r="M115" s="30">
        <v>0</v>
      </c>
      <c r="N115" s="29">
        <v>0</v>
      </c>
    </row>
    <row r="116" spans="1:14">
      <c r="A116" s="24" t="s">
        <v>876</v>
      </c>
      <c r="B116" s="25" t="s">
        <v>30</v>
      </c>
      <c r="C116" s="25" t="s">
        <v>381</v>
      </c>
      <c r="D116" s="25" t="s">
        <v>447</v>
      </c>
      <c r="E116" s="153" t="s">
        <v>245</v>
      </c>
      <c r="F116" s="112">
        <v>20000</v>
      </c>
      <c r="G116" s="153">
        <v>531925061</v>
      </c>
      <c r="H116" s="153">
        <v>531</v>
      </c>
      <c r="I116" s="25">
        <v>5.1659999999999996E-3</v>
      </c>
      <c r="J116" s="25">
        <v>2.8000000000000001E-2</v>
      </c>
      <c r="K116" s="26">
        <v>4.4400000000000004</v>
      </c>
      <c r="L116" s="26">
        <v>2.5000000000000001E-2</v>
      </c>
      <c r="M116" s="26">
        <v>0</v>
      </c>
      <c r="N116" s="25">
        <v>0</v>
      </c>
    </row>
    <row r="117" spans="1:14">
      <c r="A117" s="28" t="s">
        <v>876</v>
      </c>
      <c r="B117" s="29" t="s">
        <v>30</v>
      </c>
      <c r="C117" s="29" t="s">
        <v>424</v>
      </c>
      <c r="D117" s="29" t="s">
        <v>445</v>
      </c>
      <c r="E117" s="152" t="s">
        <v>245</v>
      </c>
      <c r="F117" s="111">
        <v>50000</v>
      </c>
      <c r="G117" s="152">
        <v>1439340425</v>
      </c>
      <c r="H117" s="152">
        <v>1439</v>
      </c>
      <c r="I117" s="29">
        <v>1.3978000000000001E-2</v>
      </c>
      <c r="J117" s="29">
        <v>2.095E-2</v>
      </c>
      <c r="K117" s="30">
        <v>3.63</v>
      </c>
      <c r="L117" s="30">
        <v>1.9199999999999998E-2</v>
      </c>
      <c r="M117" s="30">
        <v>0</v>
      </c>
      <c r="N117" s="29">
        <v>0</v>
      </c>
    </row>
    <row r="118" spans="1:14">
      <c r="A118" s="24"/>
      <c r="B118" s="25"/>
      <c r="C118" s="25"/>
      <c r="D118" s="25"/>
      <c r="E118" s="153"/>
      <c r="F118" s="112"/>
      <c r="G118" s="153"/>
      <c r="H118" s="153"/>
      <c r="I118" s="25"/>
      <c r="J118" s="25"/>
      <c r="K118" s="26"/>
      <c r="L118" s="26"/>
      <c r="M118" s="26"/>
      <c r="N118" s="25"/>
    </row>
    <row r="119" spans="1:14">
      <c r="A119" s="28"/>
      <c r="B119" s="29"/>
      <c r="C119" s="29"/>
      <c r="D119" s="29"/>
      <c r="E119" s="152"/>
      <c r="F119" s="111"/>
      <c r="G119" s="152"/>
      <c r="H119" s="152"/>
      <c r="I119" s="29"/>
      <c r="J119" s="29"/>
      <c r="K119" s="30"/>
      <c r="L119" s="30"/>
      <c r="M119" s="30"/>
      <c r="N119" s="29"/>
    </row>
    <row r="120" spans="1:14">
      <c r="A120" s="24"/>
      <c r="B120" s="25"/>
      <c r="C120" s="25"/>
      <c r="D120" s="25"/>
      <c r="E120" s="153"/>
      <c r="F120" s="112"/>
      <c r="G120" s="153"/>
      <c r="H120" s="153"/>
      <c r="I120" s="25"/>
      <c r="J120" s="25"/>
      <c r="K120" s="26"/>
      <c r="L120" s="26"/>
      <c r="M120" s="26"/>
      <c r="N120" s="25"/>
    </row>
    <row r="121" spans="1:14">
      <c r="A121" s="28"/>
      <c r="B121" s="29"/>
      <c r="C121" s="29"/>
      <c r="D121" s="29"/>
      <c r="E121" s="152"/>
      <c r="F121" s="111"/>
      <c r="G121" s="152"/>
      <c r="H121" s="152"/>
      <c r="I121" s="29"/>
      <c r="J121" s="29"/>
      <c r="K121" s="30"/>
      <c r="L121" s="30"/>
      <c r="M121" s="30"/>
      <c r="N121" s="29"/>
    </row>
    <row r="122" spans="1:14">
      <c r="A122" s="24"/>
      <c r="B122" s="25"/>
      <c r="C122" s="25"/>
      <c r="D122" s="25"/>
      <c r="E122" s="153"/>
      <c r="F122" s="112"/>
      <c r="G122" s="153"/>
      <c r="H122" s="153"/>
      <c r="I122" s="25"/>
      <c r="J122" s="25"/>
      <c r="K122" s="26"/>
      <c r="L122" s="26"/>
      <c r="M122" s="26"/>
      <c r="N122" s="25"/>
    </row>
    <row r="123" spans="1:14">
      <c r="A123" s="28"/>
      <c r="B123" s="29"/>
      <c r="C123" s="29"/>
      <c r="D123" s="29"/>
      <c r="E123" s="152"/>
      <c r="F123" s="111"/>
      <c r="G123" s="152"/>
      <c r="H123" s="152"/>
      <c r="I123" s="29"/>
      <c r="J123" s="29"/>
      <c r="K123" s="30"/>
      <c r="L123" s="30"/>
      <c r="M123" s="30"/>
      <c r="N123" s="29"/>
    </row>
    <row r="124" spans="1:14">
      <c r="A124" s="24"/>
      <c r="B124" s="25"/>
      <c r="C124" s="25"/>
      <c r="D124" s="25"/>
      <c r="E124" s="153"/>
      <c r="F124" s="112"/>
      <c r="G124" s="153"/>
      <c r="H124" s="153"/>
      <c r="I124" s="25"/>
      <c r="J124" s="25"/>
      <c r="K124" s="26"/>
      <c r="L124" s="26"/>
      <c r="M124" s="26"/>
      <c r="N124" s="25"/>
    </row>
    <row r="125" spans="1:14">
      <c r="A125" s="28"/>
      <c r="B125" s="29"/>
      <c r="C125" s="29"/>
      <c r="D125" s="29"/>
      <c r="E125" s="152"/>
      <c r="F125" s="111"/>
      <c r="G125" s="152"/>
      <c r="H125" s="152"/>
      <c r="I125" s="29"/>
      <c r="J125" s="29"/>
      <c r="K125" s="30"/>
      <c r="L125" s="30"/>
      <c r="M125" s="30"/>
      <c r="N125" s="29"/>
    </row>
    <row r="126" spans="1:14">
      <c r="A126" s="24"/>
      <c r="B126" s="25"/>
      <c r="C126" s="25"/>
      <c r="D126" s="25"/>
      <c r="E126" s="153"/>
      <c r="F126" s="112"/>
      <c r="G126" s="153"/>
      <c r="H126" s="153"/>
      <c r="I126" s="25"/>
      <c r="J126" s="25"/>
      <c r="K126" s="26"/>
      <c r="L126" s="26"/>
      <c r="M126" s="26"/>
      <c r="N126" s="25"/>
    </row>
    <row r="127" spans="1:14">
      <c r="A127" s="28"/>
      <c r="B127" s="29"/>
      <c r="C127" s="29"/>
      <c r="D127" s="29"/>
      <c r="E127" s="152"/>
      <c r="F127" s="111"/>
      <c r="G127" s="152"/>
      <c r="H127" s="152"/>
      <c r="I127" s="29"/>
      <c r="J127" s="29"/>
      <c r="K127" s="30"/>
      <c r="L127" s="30"/>
      <c r="M127" s="30"/>
      <c r="N127" s="29"/>
    </row>
    <row r="128" spans="1:14">
      <c r="A128" s="24"/>
      <c r="B128" s="25"/>
      <c r="C128" s="25"/>
      <c r="D128" s="25"/>
      <c r="E128" s="153"/>
      <c r="F128" s="112"/>
      <c r="G128" s="153"/>
      <c r="H128" s="153"/>
      <c r="I128" s="25"/>
      <c r="J128" s="25"/>
      <c r="K128" s="26"/>
      <c r="L128" s="26"/>
      <c r="M128" s="26"/>
      <c r="N128" s="25"/>
    </row>
    <row r="129" spans="1:14">
      <c r="A129" s="28"/>
      <c r="B129" s="29"/>
      <c r="C129" s="29"/>
      <c r="D129" s="29"/>
      <c r="E129" s="152"/>
      <c r="F129" s="111"/>
      <c r="G129" s="152"/>
      <c r="H129" s="152"/>
      <c r="I129" s="29"/>
      <c r="J129" s="29"/>
      <c r="K129" s="30"/>
      <c r="L129" s="30"/>
      <c r="M129" s="30"/>
      <c r="N129" s="29"/>
    </row>
    <row r="130" spans="1:14">
      <c r="A130" s="24"/>
      <c r="B130" s="25"/>
      <c r="C130" s="25"/>
      <c r="D130" s="25"/>
      <c r="E130" s="153"/>
      <c r="F130" s="112"/>
      <c r="G130" s="153"/>
      <c r="H130" s="153"/>
      <c r="I130" s="25"/>
      <c r="J130" s="25"/>
      <c r="K130" s="26"/>
      <c r="L130" s="26"/>
      <c r="M130" s="26"/>
      <c r="N130" s="25"/>
    </row>
    <row r="131" spans="1:14">
      <c r="A131" s="28"/>
      <c r="B131" s="29"/>
      <c r="C131" s="29"/>
      <c r="D131" s="29"/>
      <c r="E131" s="152"/>
      <c r="F131" s="111"/>
      <c r="G131" s="152"/>
      <c r="H131" s="152"/>
      <c r="I131" s="29"/>
      <c r="J131" s="29"/>
      <c r="K131" s="30"/>
      <c r="L131" s="30"/>
      <c r="M131" s="30"/>
      <c r="N131" s="29"/>
    </row>
    <row r="132" spans="1:14">
      <c r="A132" s="24"/>
      <c r="B132" s="25"/>
      <c r="C132" s="25"/>
      <c r="D132" s="25"/>
      <c r="E132" s="153"/>
      <c r="F132" s="112"/>
      <c r="G132" s="153"/>
      <c r="H132" s="153"/>
      <c r="I132" s="25"/>
      <c r="J132" s="25"/>
      <c r="K132" s="26"/>
      <c r="L132" s="26"/>
      <c r="M132" s="26"/>
      <c r="N132" s="25"/>
    </row>
    <row r="133" spans="1:14">
      <c r="A133" s="28"/>
      <c r="B133" s="29"/>
      <c r="C133" s="29"/>
      <c r="D133" s="29"/>
      <c r="E133" s="152"/>
      <c r="F133" s="111"/>
      <c r="G133" s="152"/>
      <c r="H133" s="152"/>
      <c r="I133" s="29"/>
      <c r="J133" s="29"/>
      <c r="K133" s="30"/>
      <c r="L133" s="30"/>
      <c r="M133" s="30"/>
      <c r="N133" s="29"/>
    </row>
    <row r="134" spans="1:14">
      <c r="A134" s="24"/>
      <c r="B134" s="25"/>
      <c r="C134" s="25"/>
      <c r="D134" s="25"/>
      <c r="E134" s="153"/>
      <c r="F134" s="112"/>
      <c r="G134" s="153"/>
      <c r="H134" s="153"/>
      <c r="I134" s="25"/>
      <c r="J134" s="25"/>
      <c r="K134" s="26"/>
      <c r="L134" s="26"/>
      <c r="M134" s="26"/>
      <c r="N134" s="25"/>
    </row>
    <row r="135" spans="1:14">
      <c r="A135" s="28"/>
      <c r="B135" s="29"/>
      <c r="C135" s="29"/>
      <c r="D135" s="29"/>
      <c r="E135" s="152"/>
      <c r="F135" s="111"/>
      <c r="G135" s="152"/>
      <c r="H135" s="152"/>
      <c r="I135" s="29"/>
      <c r="J135" s="29"/>
      <c r="K135" s="30"/>
      <c r="L135" s="30"/>
      <c r="M135" s="30"/>
      <c r="N135" s="29"/>
    </row>
    <row r="136" spans="1:14">
      <c r="A136" s="24"/>
      <c r="B136" s="25"/>
      <c r="C136" s="25"/>
      <c r="D136" s="25"/>
      <c r="E136" s="153"/>
      <c r="F136" s="112"/>
      <c r="G136" s="153"/>
      <c r="H136" s="153"/>
      <c r="I136" s="25"/>
      <c r="J136" s="25"/>
      <c r="K136" s="26"/>
      <c r="L136" s="26"/>
      <c r="M136" s="26"/>
      <c r="N136" s="25"/>
    </row>
    <row r="137" spans="1:14">
      <c r="A137" s="28"/>
      <c r="B137" s="29"/>
      <c r="C137" s="29"/>
      <c r="D137" s="29"/>
      <c r="E137" s="152"/>
      <c r="F137" s="111"/>
      <c r="G137" s="152"/>
      <c r="H137" s="152"/>
      <c r="I137" s="29"/>
      <c r="J137" s="29"/>
      <c r="K137" s="30"/>
      <c r="L137" s="30"/>
      <c r="M137" s="30"/>
      <c r="N137" s="29"/>
    </row>
    <row r="138" spans="1:14">
      <c r="A138" s="24"/>
      <c r="B138" s="25"/>
      <c r="C138" s="25"/>
      <c r="D138" s="25"/>
      <c r="E138" s="153"/>
      <c r="F138" s="112"/>
      <c r="G138" s="153"/>
      <c r="H138" s="153"/>
      <c r="I138" s="25"/>
      <c r="J138" s="25"/>
      <c r="K138" s="26"/>
      <c r="L138" s="26"/>
      <c r="M138" s="26"/>
      <c r="N138" s="25"/>
    </row>
    <row r="139" spans="1:14">
      <c r="A139" s="28"/>
      <c r="B139" s="29"/>
      <c r="C139" s="29"/>
      <c r="D139" s="29"/>
      <c r="E139" s="152"/>
      <c r="F139" s="111"/>
      <c r="G139" s="152"/>
      <c r="H139" s="152"/>
      <c r="I139" s="29"/>
      <c r="J139" s="29"/>
      <c r="K139" s="30"/>
      <c r="L139" s="30"/>
      <c r="M139" s="30"/>
      <c r="N139" s="29"/>
    </row>
    <row r="140" spans="1:14">
      <c r="A140" s="24"/>
      <c r="B140" s="25"/>
      <c r="C140" s="25"/>
      <c r="D140" s="25"/>
      <c r="E140" s="153"/>
      <c r="F140" s="112"/>
      <c r="G140" s="153"/>
      <c r="H140" s="153"/>
      <c r="I140" s="25"/>
      <c r="J140" s="25"/>
      <c r="K140" s="26"/>
      <c r="L140" s="26"/>
      <c r="M140" s="26"/>
      <c r="N140" s="25"/>
    </row>
    <row r="141" spans="1:14">
      <c r="A141" s="28"/>
      <c r="B141" s="29"/>
      <c r="C141" s="29"/>
      <c r="D141" s="29"/>
      <c r="E141" s="152"/>
      <c r="F141" s="111"/>
      <c r="G141" s="152"/>
      <c r="H141" s="152"/>
      <c r="I141" s="29"/>
      <c r="J141" s="29"/>
      <c r="K141" s="30"/>
      <c r="L141" s="30"/>
      <c r="M141" s="30"/>
      <c r="N141" s="29"/>
    </row>
    <row r="142" spans="1:14">
      <c r="A142" s="24"/>
      <c r="B142" s="25"/>
      <c r="C142" s="25"/>
      <c r="D142" s="25"/>
      <c r="E142" s="153"/>
      <c r="F142" s="112"/>
      <c r="G142" s="153"/>
      <c r="H142" s="153"/>
      <c r="I142" s="25"/>
      <c r="J142" s="25"/>
      <c r="K142" s="26"/>
      <c r="L142" s="26"/>
      <c r="M142" s="26"/>
      <c r="N142" s="25"/>
    </row>
    <row r="143" spans="1:14">
      <c r="A143" s="28"/>
      <c r="B143" s="29"/>
      <c r="C143" s="29"/>
      <c r="D143" s="29"/>
      <c r="E143" s="152"/>
      <c r="F143" s="111"/>
      <c r="G143" s="152"/>
      <c r="H143" s="152"/>
      <c r="I143" s="29"/>
      <c r="J143" s="29"/>
      <c r="K143" s="30"/>
      <c r="L143" s="30"/>
      <c r="M143" s="30"/>
      <c r="N143" s="29"/>
    </row>
    <row r="144" spans="1:14">
      <c r="A144" s="24"/>
      <c r="B144" s="25"/>
      <c r="C144" s="25"/>
      <c r="D144" s="25"/>
      <c r="E144" s="153"/>
      <c r="F144" s="112"/>
      <c r="G144" s="153"/>
      <c r="H144" s="153"/>
      <c r="I144" s="25"/>
      <c r="J144" s="25"/>
      <c r="K144" s="26"/>
      <c r="L144" s="26"/>
      <c r="M144" s="26"/>
      <c r="N144" s="25"/>
    </row>
    <row r="145" spans="1:14">
      <c r="A145" s="28"/>
      <c r="B145" s="29"/>
      <c r="C145" s="29"/>
      <c r="D145" s="29"/>
      <c r="E145" s="152"/>
      <c r="F145" s="111"/>
      <c r="G145" s="152"/>
      <c r="H145" s="152"/>
      <c r="I145" s="29"/>
      <c r="J145" s="29"/>
      <c r="K145" s="30"/>
      <c r="L145" s="30"/>
      <c r="M145" s="30"/>
      <c r="N145" s="29"/>
    </row>
    <row r="146" spans="1:14">
      <c r="A146" s="24"/>
      <c r="B146" s="25"/>
      <c r="C146" s="25"/>
      <c r="D146" s="25"/>
      <c r="E146" s="153"/>
      <c r="F146" s="112"/>
      <c r="G146" s="153"/>
      <c r="H146" s="153"/>
      <c r="I146" s="25"/>
      <c r="J146" s="25"/>
      <c r="K146" s="26"/>
      <c r="L146" s="26"/>
      <c r="M146" s="26"/>
      <c r="N146" s="25"/>
    </row>
    <row r="147" spans="1:14">
      <c r="A147" s="28"/>
      <c r="B147" s="29"/>
      <c r="C147" s="29"/>
      <c r="D147" s="29"/>
      <c r="E147" s="152"/>
      <c r="F147" s="111"/>
      <c r="G147" s="152"/>
      <c r="H147" s="152"/>
      <c r="I147" s="29"/>
      <c r="J147" s="29"/>
      <c r="K147" s="30"/>
      <c r="L147" s="30"/>
      <c r="M147" s="30"/>
      <c r="N147" s="29"/>
    </row>
    <row r="148" spans="1:14">
      <c r="A148" s="24"/>
      <c r="B148" s="25"/>
      <c r="C148" s="25"/>
      <c r="D148" s="25"/>
      <c r="E148" s="153"/>
      <c r="F148" s="112"/>
      <c r="G148" s="153"/>
      <c r="H148" s="153"/>
      <c r="I148" s="25"/>
      <c r="J148" s="25"/>
      <c r="K148" s="26"/>
      <c r="L148" s="26"/>
      <c r="M148" s="26"/>
      <c r="N148" s="25"/>
    </row>
    <row r="149" spans="1:14">
      <c r="A149" s="28"/>
      <c r="B149" s="29"/>
      <c r="C149" s="29"/>
      <c r="D149" s="29"/>
      <c r="E149" s="152"/>
      <c r="F149" s="111"/>
      <c r="G149" s="152"/>
      <c r="H149" s="152"/>
      <c r="I149" s="29"/>
      <c r="J149" s="29"/>
      <c r="K149" s="30"/>
      <c r="L149" s="30"/>
      <c r="M149" s="30"/>
      <c r="N149" s="29"/>
    </row>
    <row r="150" spans="1:14">
      <c r="A150" s="24"/>
      <c r="B150" s="25"/>
      <c r="C150" s="25"/>
      <c r="D150" s="25"/>
      <c r="E150" s="153"/>
      <c r="F150" s="112"/>
      <c r="G150" s="153"/>
      <c r="H150" s="153"/>
      <c r="I150" s="25"/>
      <c r="J150" s="25"/>
      <c r="K150" s="26"/>
      <c r="L150" s="26"/>
      <c r="M150" s="26"/>
      <c r="N150" s="25"/>
    </row>
    <row r="151" spans="1:14">
      <c r="A151" s="28"/>
      <c r="B151" s="29"/>
      <c r="C151" s="29"/>
      <c r="D151" s="29"/>
      <c r="E151" s="152"/>
      <c r="F151" s="111"/>
      <c r="G151" s="152"/>
      <c r="H151" s="152"/>
      <c r="I151" s="29"/>
      <c r="J151" s="29"/>
      <c r="K151" s="30"/>
      <c r="L151" s="30"/>
      <c r="M151" s="30"/>
      <c r="N151" s="29"/>
    </row>
    <row r="152" spans="1:14">
      <c r="A152" s="24"/>
      <c r="B152" s="25"/>
      <c r="C152" s="25"/>
      <c r="D152" s="25"/>
      <c r="E152" s="153"/>
      <c r="F152" s="112"/>
      <c r="G152" s="153"/>
      <c r="H152" s="153"/>
      <c r="I152" s="25"/>
      <c r="J152" s="25"/>
      <c r="K152" s="26"/>
      <c r="L152" s="26"/>
      <c r="M152" s="26"/>
      <c r="N152" s="25"/>
    </row>
    <row r="153" spans="1:14">
      <c r="A153" s="28"/>
      <c r="B153" s="29"/>
      <c r="C153" s="29"/>
      <c r="D153" s="29"/>
      <c r="E153" s="152"/>
      <c r="F153" s="111"/>
      <c r="G153" s="152"/>
      <c r="H153" s="152"/>
      <c r="I153" s="29"/>
      <c r="J153" s="29"/>
      <c r="K153" s="30"/>
      <c r="L153" s="30"/>
      <c r="M153" s="30"/>
      <c r="N153" s="29"/>
    </row>
    <row r="154" spans="1:14">
      <c r="A154" s="24"/>
      <c r="B154" s="25"/>
      <c r="C154" s="25"/>
      <c r="D154" s="25"/>
      <c r="E154" s="153"/>
      <c r="F154" s="112"/>
      <c r="G154" s="153"/>
      <c r="H154" s="153"/>
      <c r="I154" s="25"/>
      <c r="J154" s="25"/>
      <c r="K154" s="26"/>
      <c r="L154" s="26"/>
      <c r="M154" s="26"/>
      <c r="N154" s="25"/>
    </row>
    <row r="155" spans="1:14">
      <c r="A155" s="28"/>
      <c r="B155" s="29"/>
      <c r="C155" s="29"/>
      <c r="D155" s="29"/>
      <c r="E155" s="152"/>
      <c r="F155" s="111"/>
      <c r="G155" s="152"/>
      <c r="H155" s="152"/>
      <c r="I155" s="29"/>
      <c r="J155" s="29"/>
      <c r="K155" s="30"/>
      <c r="L155" s="30"/>
      <c r="M155" s="30"/>
      <c r="N155" s="29"/>
    </row>
    <row r="156" spans="1:14">
      <c r="A156" s="24"/>
      <c r="B156" s="25"/>
      <c r="C156" s="25"/>
      <c r="D156" s="25"/>
      <c r="E156" s="153"/>
      <c r="F156" s="112"/>
      <c r="G156" s="153"/>
      <c r="H156" s="153"/>
      <c r="I156" s="25"/>
      <c r="J156" s="25"/>
      <c r="K156" s="26"/>
      <c r="L156" s="26"/>
      <c r="M156" s="26"/>
      <c r="N156" s="25"/>
    </row>
    <row r="157" spans="1:14">
      <c r="A157" s="28"/>
      <c r="B157" s="29"/>
      <c r="C157" s="29"/>
      <c r="D157" s="29"/>
      <c r="E157" s="152"/>
      <c r="F157" s="111"/>
      <c r="G157" s="152"/>
      <c r="H157" s="152"/>
      <c r="I157" s="29"/>
      <c r="J157" s="29"/>
      <c r="K157" s="30"/>
      <c r="L157" s="30"/>
      <c r="M157" s="30"/>
      <c r="N157" s="29"/>
    </row>
    <row r="158" spans="1:14">
      <c r="A158" s="24"/>
      <c r="B158" s="25"/>
      <c r="C158" s="25"/>
      <c r="D158" s="25"/>
      <c r="E158" s="153"/>
      <c r="F158" s="112"/>
      <c r="G158" s="153"/>
      <c r="H158" s="153"/>
      <c r="I158" s="25"/>
      <c r="J158" s="25"/>
      <c r="K158" s="26"/>
      <c r="L158" s="26"/>
      <c r="M158" s="26"/>
      <c r="N158" s="25"/>
    </row>
    <row r="159" spans="1:14">
      <c r="A159" s="28"/>
      <c r="B159" s="29"/>
      <c r="C159" s="29"/>
      <c r="D159" s="29"/>
      <c r="E159" s="152"/>
      <c r="F159" s="111"/>
      <c r="G159" s="152"/>
      <c r="H159" s="152"/>
      <c r="I159" s="29"/>
      <c r="J159" s="29"/>
      <c r="K159" s="30"/>
      <c r="L159" s="30"/>
      <c r="M159" s="30"/>
      <c r="N159" s="29"/>
    </row>
    <row r="160" spans="1:14">
      <c r="A160" s="24"/>
      <c r="B160" s="25"/>
      <c r="C160" s="25"/>
      <c r="D160" s="25"/>
      <c r="E160" s="153"/>
      <c r="F160" s="112"/>
      <c r="G160" s="153"/>
      <c r="H160" s="153"/>
      <c r="I160" s="25"/>
      <c r="J160" s="25"/>
      <c r="K160" s="26"/>
      <c r="L160" s="26"/>
      <c r="M160" s="26"/>
      <c r="N160" s="25"/>
    </row>
    <row r="161" spans="1:14">
      <c r="A161" s="28"/>
      <c r="B161" s="29"/>
      <c r="C161" s="29"/>
      <c r="D161" s="29"/>
      <c r="E161" s="152"/>
      <c r="F161" s="111"/>
      <c r="G161" s="152"/>
      <c r="H161" s="152"/>
      <c r="I161" s="29"/>
      <c r="J161" s="29"/>
      <c r="K161" s="30"/>
      <c r="L161" s="30"/>
      <c r="M161" s="30"/>
      <c r="N161" s="29"/>
    </row>
    <row r="162" spans="1:14">
      <c r="A162" s="24"/>
      <c r="B162" s="25"/>
      <c r="C162" s="25"/>
      <c r="D162" s="25"/>
      <c r="E162" s="153"/>
      <c r="F162" s="112"/>
      <c r="G162" s="153"/>
      <c r="H162" s="153"/>
      <c r="I162" s="25"/>
      <c r="J162" s="25"/>
      <c r="K162" s="26"/>
      <c r="L162" s="26"/>
      <c r="M162" s="26"/>
      <c r="N162" s="25"/>
    </row>
    <row r="163" spans="1:14">
      <c r="A163" s="28"/>
      <c r="B163" s="29"/>
      <c r="C163" s="29"/>
      <c r="D163" s="29"/>
      <c r="E163" s="152"/>
      <c r="F163" s="111"/>
      <c r="G163" s="152"/>
      <c r="H163" s="152"/>
      <c r="I163" s="29"/>
      <c r="J163" s="29"/>
      <c r="K163" s="30"/>
      <c r="L163" s="30"/>
      <c r="M163" s="30"/>
      <c r="N163" s="29"/>
    </row>
    <row r="164" spans="1:14">
      <c r="A164" s="24"/>
      <c r="B164" s="25"/>
      <c r="C164" s="25"/>
      <c r="D164" s="25"/>
      <c r="E164" s="153"/>
      <c r="F164" s="112"/>
      <c r="G164" s="153"/>
      <c r="H164" s="153"/>
      <c r="I164" s="25"/>
      <c r="J164" s="25"/>
      <c r="K164" s="26"/>
      <c r="L164" s="26"/>
      <c r="M164" s="26"/>
      <c r="N164" s="25"/>
    </row>
    <row r="165" spans="1:14">
      <c r="A165" s="28"/>
      <c r="B165" s="29"/>
      <c r="C165" s="29"/>
      <c r="D165" s="29"/>
      <c r="E165" s="152"/>
      <c r="F165" s="111"/>
      <c r="G165" s="152"/>
      <c r="H165" s="152"/>
      <c r="I165" s="29"/>
      <c r="J165" s="29"/>
      <c r="K165" s="30"/>
      <c r="L165" s="30"/>
      <c r="M165" s="30"/>
      <c r="N165" s="29"/>
    </row>
    <row r="166" spans="1:14">
      <c r="A166" s="24"/>
      <c r="B166" s="25"/>
      <c r="C166" s="25"/>
      <c r="D166" s="25"/>
      <c r="E166" s="153"/>
      <c r="F166" s="112"/>
      <c r="G166" s="153"/>
      <c r="H166" s="153"/>
      <c r="I166" s="25"/>
      <c r="J166" s="25"/>
      <c r="K166" s="26"/>
      <c r="L166" s="26"/>
      <c r="M166" s="26"/>
      <c r="N166" s="25"/>
    </row>
    <row r="167" spans="1:14">
      <c r="A167" s="28"/>
      <c r="B167" s="29"/>
      <c r="C167" s="29"/>
      <c r="D167" s="29"/>
      <c r="E167" s="152"/>
      <c r="F167" s="111"/>
      <c r="G167" s="152"/>
      <c r="H167" s="152"/>
      <c r="I167" s="29"/>
      <c r="J167" s="29"/>
      <c r="K167" s="30"/>
      <c r="L167" s="30"/>
      <c r="M167" s="30"/>
      <c r="N167" s="29"/>
    </row>
    <row r="168" spans="1:14">
      <c r="A168" s="24"/>
      <c r="B168" s="25"/>
      <c r="C168" s="25"/>
      <c r="D168" s="25"/>
      <c r="E168" s="153"/>
      <c r="F168" s="112"/>
      <c r="G168" s="153"/>
      <c r="H168" s="153"/>
      <c r="I168" s="25"/>
      <c r="J168" s="25"/>
      <c r="K168" s="26"/>
      <c r="L168" s="26"/>
      <c r="M168" s="26"/>
      <c r="N168" s="25"/>
    </row>
    <row r="169" spans="1:14">
      <c r="A169" s="28"/>
      <c r="B169" s="29"/>
      <c r="C169" s="29"/>
      <c r="D169" s="29"/>
      <c r="E169" s="152"/>
      <c r="F169" s="111"/>
      <c r="G169" s="152"/>
      <c r="H169" s="152"/>
      <c r="I169" s="29"/>
      <c r="J169" s="29"/>
      <c r="K169" s="30"/>
      <c r="L169" s="30"/>
      <c r="M169" s="30"/>
      <c r="N169" s="29"/>
    </row>
    <row r="170" spans="1:14">
      <c r="A170" s="24"/>
      <c r="B170" s="25"/>
      <c r="C170" s="25"/>
      <c r="D170" s="25"/>
      <c r="E170" s="153"/>
      <c r="F170" s="112"/>
      <c r="G170" s="153"/>
      <c r="H170" s="153"/>
      <c r="I170" s="25"/>
      <c r="J170" s="25"/>
      <c r="K170" s="26"/>
      <c r="L170" s="26"/>
      <c r="M170" s="26"/>
      <c r="N170" s="25"/>
    </row>
    <row r="171" spans="1:14">
      <c r="A171" s="28"/>
      <c r="B171" s="29"/>
      <c r="C171" s="29"/>
      <c r="D171" s="29"/>
      <c r="E171" s="152"/>
      <c r="F171" s="111"/>
      <c r="G171" s="152"/>
      <c r="H171" s="152"/>
      <c r="I171" s="29"/>
      <c r="J171" s="29"/>
      <c r="K171" s="30"/>
      <c r="L171" s="30"/>
      <c r="M171" s="30"/>
      <c r="N171" s="29"/>
    </row>
    <row r="172" spans="1:14">
      <c r="A172" s="24"/>
      <c r="B172" s="25"/>
      <c r="C172" s="25"/>
      <c r="D172" s="25"/>
      <c r="E172" s="153"/>
      <c r="F172" s="112"/>
      <c r="G172" s="153"/>
      <c r="H172" s="153"/>
      <c r="I172" s="25"/>
      <c r="J172" s="25"/>
      <c r="K172" s="26"/>
      <c r="L172" s="26"/>
      <c r="M172" s="26"/>
      <c r="N172" s="25"/>
    </row>
    <row r="173" spans="1:14">
      <c r="A173" s="28"/>
      <c r="B173" s="29"/>
      <c r="C173" s="29"/>
      <c r="D173" s="29"/>
      <c r="E173" s="152"/>
      <c r="F173" s="111"/>
      <c r="G173" s="152"/>
      <c r="H173" s="152"/>
      <c r="I173" s="29"/>
      <c r="J173" s="29"/>
      <c r="K173" s="30"/>
      <c r="L173" s="30"/>
      <c r="M173" s="30"/>
      <c r="N173" s="29"/>
    </row>
    <row r="174" spans="1:14">
      <c r="A174" s="24"/>
      <c r="B174" s="25"/>
      <c r="C174" s="25"/>
      <c r="D174" s="25"/>
      <c r="E174" s="153"/>
      <c r="F174" s="112"/>
      <c r="G174" s="153"/>
      <c r="H174" s="153"/>
      <c r="I174" s="25"/>
      <c r="J174" s="25"/>
      <c r="K174" s="26"/>
      <c r="L174" s="26"/>
      <c r="M174" s="26"/>
      <c r="N174" s="25"/>
    </row>
    <row r="175" spans="1:14">
      <c r="A175" s="28"/>
      <c r="B175" s="29"/>
      <c r="C175" s="29"/>
      <c r="D175" s="29"/>
      <c r="E175" s="152"/>
      <c r="F175" s="111"/>
      <c r="G175" s="152"/>
      <c r="H175" s="152"/>
      <c r="I175" s="29"/>
      <c r="J175" s="29"/>
      <c r="K175" s="30"/>
      <c r="L175" s="30"/>
      <c r="M175" s="30"/>
      <c r="N175" s="29"/>
    </row>
    <row r="176" spans="1:14">
      <c r="A176" s="24"/>
      <c r="B176" s="25"/>
      <c r="C176" s="25"/>
      <c r="D176" s="25"/>
      <c r="E176" s="153"/>
      <c r="F176" s="112"/>
      <c r="G176" s="153"/>
      <c r="H176" s="153"/>
      <c r="I176" s="25"/>
      <c r="J176" s="25"/>
      <c r="K176" s="26"/>
      <c r="L176" s="26"/>
      <c r="M176" s="26"/>
      <c r="N176" s="25"/>
    </row>
    <row r="177" spans="1:14">
      <c r="A177" s="28"/>
      <c r="B177" s="29"/>
      <c r="C177" s="29"/>
      <c r="D177" s="29"/>
      <c r="E177" s="152"/>
      <c r="F177" s="111"/>
      <c r="G177" s="152"/>
      <c r="H177" s="152"/>
      <c r="I177" s="29"/>
      <c r="J177" s="29"/>
      <c r="K177" s="30"/>
      <c r="L177" s="30"/>
      <c r="M177" s="30"/>
      <c r="N177" s="29"/>
    </row>
    <row r="178" spans="1:14">
      <c r="A178" s="24"/>
      <c r="B178" s="25"/>
      <c r="C178" s="25"/>
      <c r="D178" s="25"/>
      <c r="E178" s="153"/>
      <c r="F178" s="112"/>
      <c r="G178" s="153"/>
      <c r="H178" s="153"/>
      <c r="I178" s="25"/>
      <c r="J178" s="25"/>
      <c r="K178" s="26"/>
      <c r="L178" s="26"/>
      <c r="M178" s="26"/>
      <c r="N178" s="25"/>
    </row>
    <row r="179" spans="1:14">
      <c r="A179" s="28"/>
      <c r="B179" s="29"/>
      <c r="C179" s="29"/>
      <c r="D179" s="29"/>
      <c r="E179" s="152"/>
      <c r="F179" s="111"/>
      <c r="G179" s="152"/>
      <c r="H179" s="152"/>
      <c r="I179" s="29"/>
      <c r="J179" s="29"/>
      <c r="K179" s="30"/>
      <c r="L179" s="30"/>
      <c r="M179" s="30"/>
      <c r="N179" s="29"/>
    </row>
    <row r="180" spans="1:14">
      <c r="A180" s="24"/>
      <c r="B180" s="25"/>
      <c r="C180" s="25"/>
      <c r="D180" s="25"/>
      <c r="E180" s="153"/>
      <c r="F180" s="112"/>
      <c r="G180" s="153"/>
      <c r="H180" s="153"/>
      <c r="I180" s="25"/>
      <c r="J180" s="25"/>
      <c r="K180" s="26"/>
      <c r="L180" s="26"/>
      <c r="M180" s="26"/>
      <c r="N180" s="25"/>
    </row>
    <row r="181" spans="1:14">
      <c r="A181" s="28"/>
      <c r="B181" s="29"/>
      <c r="C181" s="29"/>
      <c r="D181" s="29"/>
      <c r="E181" s="152"/>
      <c r="F181" s="111"/>
      <c r="G181" s="152"/>
      <c r="H181" s="152"/>
      <c r="I181" s="29"/>
      <c r="J181" s="29"/>
      <c r="K181" s="30"/>
      <c r="L181" s="30"/>
      <c r="M181" s="30"/>
      <c r="N181" s="29"/>
    </row>
    <row r="182" spans="1:14">
      <c r="A182" s="24"/>
      <c r="B182" s="25"/>
      <c r="C182" s="25"/>
      <c r="D182" s="25"/>
      <c r="E182" s="153"/>
      <c r="F182" s="112"/>
      <c r="G182" s="153"/>
      <c r="H182" s="153"/>
      <c r="I182" s="25"/>
      <c r="J182" s="25"/>
      <c r="K182" s="26"/>
      <c r="L182" s="26"/>
      <c r="M182" s="26"/>
      <c r="N182" s="25"/>
    </row>
    <row r="183" spans="1:14">
      <c r="A183" s="28"/>
      <c r="B183" s="29"/>
      <c r="C183" s="29"/>
      <c r="D183" s="29"/>
      <c r="E183" s="152"/>
      <c r="F183" s="111"/>
      <c r="G183" s="152"/>
      <c r="H183" s="152"/>
      <c r="I183" s="29"/>
      <c r="J183" s="29"/>
      <c r="K183" s="30"/>
      <c r="L183" s="30"/>
      <c r="M183" s="30"/>
      <c r="N183" s="29"/>
    </row>
    <row r="184" spans="1:14">
      <c r="A184" s="24"/>
      <c r="B184" s="25"/>
      <c r="C184" s="25"/>
      <c r="D184" s="25"/>
      <c r="E184" s="153"/>
      <c r="F184" s="112"/>
      <c r="G184" s="153"/>
      <c r="H184" s="153"/>
      <c r="I184" s="25"/>
      <c r="J184" s="25"/>
      <c r="K184" s="26"/>
      <c r="L184" s="26"/>
      <c r="M184" s="26"/>
      <c r="N184" s="25"/>
    </row>
    <row r="185" spans="1:14">
      <c r="A185" s="28"/>
      <c r="B185" s="29"/>
      <c r="C185" s="29"/>
      <c r="D185" s="29"/>
      <c r="E185" s="152"/>
      <c r="F185" s="111"/>
      <c r="G185" s="152"/>
      <c r="H185" s="152"/>
      <c r="I185" s="29"/>
      <c r="J185" s="29"/>
      <c r="K185" s="30"/>
      <c r="L185" s="30"/>
      <c r="M185" s="30"/>
      <c r="N185" s="29"/>
    </row>
    <row r="186" spans="1:14">
      <c r="A186" s="24"/>
      <c r="B186" s="25"/>
      <c r="C186" s="25"/>
      <c r="D186" s="25"/>
      <c r="E186" s="153"/>
      <c r="F186" s="112"/>
      <c r="G186" s="153"/>
      <c r="H186" s="153"/>
      <c r="I186" s="25"/>
      <c r="J186" s="25"/>
      <c r="K186" s="26"/>
      <c r="L186" s="26"/>
      <c r="M186" s="26"/>
      <c r="N186" s="25"/>
    </row>
    <row r="187" spans="1:14">
      <c r="A187" s="28"/>
      <c r="B187" s="29"/>
      <c r="C187" s="29"/>
      <c r="D187" s="29"/>
      <c r="E187" s="152"/>
      <c r="F187" s="111"/>
      <c r="G187" s="152"/>
      <c r="H187" s="152"/>
      <c r="I187" s="29"/>
      <c r="J187" s="29"/>
      <c r="K187" s="30"/>
      <c r="L187" s="30"/>
      <c r="M187" s="30"/>
      <c r="N187" s="29"/>
    </row>
    <row r="188" spans="1:14">
      <c r="A188" s="24"/>
      <c r="B188" s="25"/>
      <c r="C188" s="25"/>
      <c r="D188" s="25"/>
      <c r="E188" s="153"/>
      <c r="F188" s="112"/>
      <c r="G188" s="153"/>
      <c r="H188" s="153"/>
      <c r="I188" s="25"/>
      <c r="J188" s="25"/>
      <c r="K188" s="26"/>
      <c r="L188" s="26"/>
      <c r="M188" s="26"/>
      <c r="N188" s="25"/>
    </row>
    <row r="189" spans="1:14">
      <c r="A189" s="28"/>
      <c r="B189" s="29"/>
      <c r="C189" s="29"/>
      <c r="D189" s="29"/>
      <c r="E189" s="152"/>
      <c r="F189" s="111"/>
      <c r="G189" s="152"/>
      <c r="H189" s="152"/>
      <c r="I189" s="29"/>
      <c r="J189" s="29"/>
      <c r="K189" s="30"/>
      <c r="L189" s="30"/>
      <c r="M189" s="30"/>
      <c r="N189" s="29"/>
    </row>
    <row r="190" spans="1:14">
      <c r="A190" s="24"/>
      <c r="B190" s="25"/>
      <c r="C190" s="25"/>
      <c r="D190" s="25"/>
      <c r="E190" s="153"/>
      <c r="F190" s="112"/>
      <c r="G190" s="153"/>
      <c r="H190" s="153"/>
      <c r="I190" s="25"/>
      <c r="J190" s="25"/>
      <c r="K190" s="26"/>
      <c r="L190" s="26"/>
      <c r="M190" s="26"/>
      <c r="N190" s="25"/>
    </row>
    <row r="191" spans="1:14">
      <c r="A191" s="28"/>
      <c r="B191" s="29"/>
      <c r="C191" s="29"/>
      <c r="D191" s="29"/>
      <c r="E191" s="152"/>
      <c r="F191" s="111"/>
      <c r="G191" s="152"/>
      <c r="H191" s="152"/>
      <c r="I191" s="29"/>
      <c r="J191" s="29"/>
      <c r="K191" s="30"/>
      <c r="L191" s="30"/>
      <c r="M191" s="30"/>
      <c r="N191" s="29"/>
    </row>
    <row r="192" spans="1:14">
      <c r="A192" s="24"/>
      <c r="B192" s="25"/>
      <c r="C192" s="25"/>
      <c r="D192" s="25"/>
      <c r="E192" s="153"/>
      <c r="F192" s="112"/>
      <c r="G192" s="153"/>
      <c r="H192" s="153"/>
      <c r="I192" s="25"/>
      <c r="J192" s="25"/>
      <c r="K192" s="26"/>
      <c r="L192" s="26"/>
      <c r="M192" s="26"/>
      <c r="N192" s="25"/>
    </row>
    <row r="193" spans="1:14">
      <c r="A193" s="28"/>
      <c r="B193" s="29"/>
      <c r="C193" s="29"/>
      <c r="D193" s="29"/>
      <c r="E193" s="152"/>
      <c r="F193" s="111"/>
      <c r="G193" s="152"/>
      <c r="H193" s="152"/>
      <c r="I193" s="29"/>
      <c r="J193" s="29"/>
      <c r="K193" s="30"/>
      <c r="L193" s="30"/>
      <c r="M193" s="30"/>
      <c r="N193" s="29"/>
    </row>
    <row r="194" spans="1:14">
      <c r="A194" s="24"/>
      <c r="B194" s="25"/>
      <c r="C194" s="25"/>
      <c r="D194" s="25"/>
      <c r="E194" s="153"/>
      <c r="F194" s="112"/>
      <c r="G194" s="153"/>
      <c r="H194" s="153"/>
      <c r="I194" s="25"/>
      <c r="J194" s="25"/>
      <c r="K194" s="26"/>
      <c r="L194" s="26"/>
      <c r="M194" s="26"/>
      <c r="N194" s="25"/>
    </row>
    <row r="195" spans="1:14">
      <c r="A195" s="28"/>
      <c r="B195" s="29"/>
      <c r="C195" s="29"/>
      <c r="D195" s="29"/>
      <c r="E195" s="152"/>
      <c r="F195" s="111"/>
      <c r="G195" s="152"/>
      <c r="H195" s="152"/>
      <c r="I195" s="29"/>
      <c r="J195" s="29"/>
      <c r="K195" s="30"/>
      <c r="L195" s="30"/>
      <c r="M195" s="30"/>
      <c r="N195" s="29"/>
    </row>
    <row r="196" spans="1:14">
      <c r="A196" s="24"/>
      <c r="B196" s="25"/>
      <c r="C196" s="25"/>
      <c r="D196" s="25"/>
      <c r="E196" s="153"/>
      <c r="F196" s="112"/>
      <c r="G196" s="153"/>
      <c r="H196" s="153"/>
      <c r="I196" s="25"/>
      <c r="J196" s="25"/>
      <c r="K196" s="26"/>
      <c r="L196" s="26"/>
      <c r="M196" s="26"/>
      <c r="N196" s="25"/>
    </row>
    <row r="197" spans="1:14">
      <c r="A197" s="28"/>
      <c r="B197" s="29"/>
      <c r="C197" s="29"/>
      <c r="D197" s="29"/>
      <c r="E197" s="152"/>
      <c r="F197" s="111"/>
      <c r="G197" s="152"/>
      <c r="H197" s="152"/>
      <c r="I197" s="29"/>
      <c r="J197" s="29"/>
      <c r="K197" s="30"/>
      <c r="L197" s="30"/>
      <c r="M197" s="30"/>
      <c r="N197" s="29"/>
    </row>
    <row r="198" spans="1:14">
      <c r="A198" s="24"/>
      <c r="B198" s="25"/>
      <c r="C198" s="25"/>
      <c r="D198" s="25"/>
      <c r="E198" s="153"/>
      <c r="F198" s="112"/>
      <c r="G198" s="153"/>
      <c r="H198" s="153"/>
      <c r="I198" s="25"/>
      <c r="J198" s="25"/>
      <c r="K198" s="26"/>
      <c r="L198" s="26"/>
      <c r="M198" s="26"/>
      <c r="N198" s="25"/>
    </row>
    <row r="199" spans="1:14">
      <c r="A199" s="28"/>
      <c r="B199" s="29"/>
      <c r="C199" s="29"/>
      <c r="D199" s="29"/>
      <c r="E199" s="152"/>
      <c r="F199" s="111"/>
      <c r="G199" s="152"/>
      <c r="H199" s="152"/>
      <c r="I199" s="29"/>
      <c r="J199" s="29"/>
      <c r="K199" s="30"/>
      <c r="L199" s="30"/>
      <c r="M199" s="30"/>
      <c r="N199" s="29"/>
    </row>
    <row r="200" spans="1:14">
      <c r="A200" s="24"/>
      <c r="B200" s="25"/>
      <c r="C200" s="25"/>
      <c r="D200" s="25"/>
      <c r="E200" s="153"/>
      <c r="F200" s="112"/>
      <c r="G200" s="153"/>
      <c r="H200" s="153"/>
      <c r="I200" s="25"/>
      <c r="J200" s="25"/>
      <c r="K200" s="26"/>
      <c r="L200" s="26"/>
      <c r="M200" s="26"/>
      <c r="N200" s="25"/>
    </row>
    <row r="201" spans="1:14">
      <c r="A201" s="28"/>
      <c r="B201" s="29"/>
      <c r="C201" s="29"/>
      <c r="D201" s="29"/>
      <c r="E201" s="152"/>
      <c r="F201" s="111"/>
      <c r="G201" s="152"/>
      <c r="H201" s="152"/>
      <c r="I201" s="29"/>
      <c r="J201" s="29"/>
      <c r="K201" s="30"/>
      <c r="L201" s="30"/>
      <c r="M201" s="30"/>
      <c r="N201" s="29"/>
    </row>
    <row r="202" spans="1:14">
      <c r="A202" s="24"/>
      <c r="B202" s="25"/>
      <c r="C202" s="25"/>
      <c r="D202" s="25"/>
      <c r="E202" s="153"/>
      <c r="F202" s="112"/>
      <c r="G202" s="153"/>
      <c r="H202" s="153"/>
      <c r="I202" s="25"/>
      <c r="J202" s="25"/>
      <c r="K202" s="26"/>
      <c r="L202" s="26"/>
      <c r="M202" s="26"/>
      <c r="N202" s="25"/>
    </row>
    <row r="203" spans="1:14">
      <c r="A203" s="28"/>
      <c r="B203" s="29"/>
      <c r="C203" s="29"/>
      <c r="D203" s="29"/>
      <c r="E203" s="152"/>
      <c r="F203" s="111"/>
      <c r="G203" s="152"/>
      <c r="H203" s="152"/>
      <c r="I203" s="29"/>
      <c r="J203" s="29"/>
      <c r="K203" s="30"/>
      <c r="L203" s="30"/>
      <c r="M203" s="30"/>
      <c r="N203" s="29"/>
    </row>
    <row r="204" spans="1:14">
      <c r="A204" s="24"/>
      <c r="B204" s="25"/>
      <c r="C204" s="25"/>
      <c r="D204" s="25"/>
      <c r="E204" s="153"/>
      <c r="F204" s="112"/>
      <c r="G204" s="153"/>
      <c r="H204" s="153"/>
      <c r="I204" s="25"/>
      <c r="J204" s="25"/>
      <c r="K204" s="26"/>
      <c r="L204" s="26"/>
      <c r="M204" s="26"/>
      <c r="N204" s="25"/>
    </row>
    <row r="205" spans="1:14">
      <c r="A205" s="28"/>
      <c r="B205" s="29"/>
      <c r="C205" s="29"/>
      <c r="D205" s="29"/>
      <c r="E205" s="152"/>
      <c r="F205" s="111"/>
      <c r="G205" s="152"/>
      <c r="H205" s="152"/>
      <c r="I205" s="29"/>
      <c r="J205" s="29"/>
      <c r="K205" s="30"/>
      <c r="L205" s="30"/>
      <c r="M205" s="30"/>
      <c r="N205" s="29"/>
    </row>
    <row r="206" spans="1:14">
      <c r="A206" s="24"/>
      <c r="B206" s="25"/>
      <c r="C206" s="25"/>
      <c r="D206" s="25"/>
      <c r="E206" s="153"/>
      <c r="F206" s="112"/>
      <c r="G206" s="153"/>
      <c r="H206" s="153"/>
      <c r="I206" s="25"/>
      <c r="J206" s="25"/>
      <c r="K206" s="26"/>
      <c r="L206" s="26"/>
      <c r="M206" s="26"/>
      <c r="N206" s="25"/>
    </row>
    <row r="207" spans="1:14">
      <c r="A207" s="28"/>
      <c r="B207" s="29"/>
      <c r="C207" s="29"/>
      <c r="D207" s="29"/>
      <c r="E207" s="152"/>
      <c r="F207" s="111"/>
      <c r="G207" s="152"/>
      <c r="H207" s="152"/>
      <c r="I207" s="29"/>
      <c r="J207" s="29"/>
      <c r="K207" s="30"/>
      <c r="L207" s="30"/>
      <c r="M207" s="30"/>
      <c r="N207" s="29"/>
    </row>
    <row r="208" spans="1:14">
      <c r="A208" s="24"/>
      <c r="B208" s="25"/>
      <c r="C208" s="25"/>
      <c r="D208" s="25"/>
      <c r="E208" s="153"/>
      <c r="F208" s="112"/>
      <c r="G208" s="153"/>
      <c r="H208" s="153"/>
      <c r="I208" s="25"/>
      <c r="J208" s="25"/>
      <c r="K208" s="26"/>
      <c r="L208" s="26"/>
      <c r="M208" s="26"/>
      <c r="N208" s="25"/>
    </row>
    <row r="209" spans="1:14">
      <c r="A209" s="28"/>
      <c r="B209" s="29"/>
      <c r="C209" s="29"/>
      <c r="D209" s="29"/>
      <c r="E209" s="152"/>
      <c r="F209" s="111"/>
      <c r="G209" s="152"/>
      <c r="H209" s="152"/>
      <c r="I209" s="29"/>
      <c r="J209" s="29"/>
      <c r="K209" s="30"/>
      <c r="L209" s="30"/>
      <c r="M209" s="30"/>
      <c r="N209" s="29"/>
    </row>
    <row r="210" spans="1:14">
      <c r="A210" s="24"/>
      <c r="B210" s="25"/>
      <c r="C210" s="25"/>
      <c r="D210" s="25"/>
      <c r="E210" s="153"/>
      <c r="F210" s="112"/>
      <c r="G210" s="153"/>
      <c r="H210" s="153"/>
      <c r="I210" s="25"/>
      <c r="J210" s="25"/>
      <c r="K210" s="26"/>
      <c r="L210" s="26"/>
      <c r="M210" s="26"/>
      <c r="N210" s="25"/>
    </row>
    <row r="211" spans="1:14">
      <c r="A211" s="28"/>
      <c r="B211" s="29"/>
      <c r="C211" s="29"/>
      <c r="D211" s="29"/>
      <c r="E211" s="152"/>
      <c r="F211" s="111"/>
      <c r="G211" s="152"/>
      <c r="H211" s="152"/>
      <c r="I211" s="29"/>
      <c r="J211" s="29"/>
      <c r="K211" s="30"/>
      <c r="L211" s="30"/>
      <c r="M211" s="30"/>
      <c r="N211" s="29"/>
    </row>
    <row r="212" spans="1:14">
      <c r="A212" s="24"/>
      <c r="B212" s="25"/>
      <c r="C212" s="25"/>
      <c r="D212" s="25"/>
      <c r="E212" s="153"/>
      <c r="F212" s="112"/>
      <c r="G212" s="153"/>
      <c r="H212" s="153"/>
      <c r="I212" s="25"/>
      <c r="J212" s="25"/>
      <c r="K212" s="26"/>
      <c r="L212" s="26"/>
      <c r="M212" s="26"/>
      <c r="N212" s="25"/>
    </row>
    <row r="213" spans="1:14">
      <c r="A213" s="28"/>
      <c r="B213" s="29"/>
      <c r="C213" s="29"/>
      <c r="D213" s="29"/>
      <c r="E213" s="152"/>
      <c r="F213" s="111"/>
      <c r="G213" s="152"/>
      <c r="H213" s="152"/>
      <c r="I213" s="29"/>
      <c r="J213" s="29"/>
      <c r="K213" s="30"/>
      <c r="L213" s="30"/>
      <c r="M213" s="30"/>
      <c r="N213" s="29"/>
    </row>
    <row r="214" spans="1:14">
      <c r="A214" s="24"/>
      <c r="B214" s="25"/>
      <c r="C214" s="25"/>
      <c r="D214" s="25"/>
      <c r="E214" s="153"/>
      <c r="F214" s="112"/>
      <c r="G214" s="153"/>
      <c r="H214" s="153"/>
      <c r="I214" s="25"/>
      <c r="J214" s="25"/>
      <c r="K214" s="26"/>
      <c r="L214" s="26"/>
      <c r="M214" s="26"/>
      <c r="N214" s="25"/>
    </row>
    <row r="215" spans="1:14">
      <c r="A215" s="28"/>
      <c r="B215" s="29"/>
      <c r="C215" s="29"/>
      <c r="D215" s="29"/>
      <c r="E215" s="152"/>
      <c r="F215" s="111"/>
      <c r="G215" s="152"/>
      <c r="H215" s="152"/>
      <c r="I215" s="29"/>
      <c r="J215" s="29"/>
      <c r="K215" s="30"/>
      <c r="L215" s="30"/>
      <c r="M215" s="30"/>
      <c r="N215" s="29"/>
    </row>
    <row r="216" spans="1:14">
      <c r="A216" s="24"/>
      <c r="B216" s="25"/>
      <c r="C216" s="25"/>
      <c r="D216" s="25"/>
      <c r="E216" s="153"/>
      <c r="F216" s="112"/>
      <c r="G216" s="153"/>
      <c r="H216" s="153"/>
      <c r="I216" s="25"/>
      <c r="J216" s="25"/>
      <c r="K216" s="26"/>
      <c r="L216" s="26"/>
      <c r="M216" s="26"/>
      <c r="N216" s="25"/>
    </row>
    <row r="217" spans="1:14">
      <c r="A217" s="28"/>
      <c r="B217" s="29"/>
      <c r="C217" s="29"/>
      <c r="D217" s="29"/>
      <c r="E217" s="152"/>
      <c r="F217" s="111"/>
      <c r="G217" s="152"/>
      <c r="H217" s="152"/>
      <c r="I217" s="29"/>
      <c r="J217" s="29"/>
      <c r="K217" s="30"/>
      <c r="L217" s="30"/>
      <c r="M217" s="30"/>
      <c r="N217" s="29"/>
    </row>
    <row r="218" spans="1:14">
      <c r="A218" s="24"/>
      <c r="B218" s="25"/>
      <c r="C218" s="25"/>
      <c r="D218" s="25"/>
      <c r="E218" s="153"/>
      <c r="F218" s="112"/>
      <c r="G218" s="153"/>
      <c r="H218" s="153"/>
      <c r="I218" s="25"/>
      <c r="J218" s="25"/>
      <c r="K218" s="26"/>
      <c r="L218" s="26"/>
      <c r="M218" s="26"/>
      <c r="N218" s="25"/>
    </row>
    <row r="219" spans="1:14">
      <c r="A219" s="28"/>
      <c r="B219" s="29"/>
      <c r="C219" s="29"/>
      <c r="D219" s="29"/>
      <c r="E219" s="152"/>
      <c r="F219" s="111"/>
      <c r="G219" s="152"/>
      <c r="H219" s="152"/>
      <c r="I219" s="29"/>
      <c r="J219" s="29"/>
      <c r="K219" s="30"/>
      <c r="L219" s="30"/>
      <c r="M219" s="30"/>
      <c r="N219" s="29"/>
    </row>
    <row r="220" spans="1:14">
      <c r="A220" s="28"/>
      <c r="B220" s="29"/>
      <c r="C220" s="29"/>
      <c r="D220" s="29"/>
      <c r="E220" s="152"/>
      <c r="F220" s="111"/>
      <c r="G220" s="152"/>
      <c r="H220" s="152"/>
      <c r="I220" s="29"/>
      <c r="J220" s="29"/>
      <c r="K220" s="30"/>
      <c r="L220" s="30"/>
      <c r="M220" s="30"/>
      <c r="N220" s="29"/>
    </row>
    <row r="221" spans="1:14">
      <c r="A221" s="24"/>
      <c r="B221" s="25"/>
      <c r="C221" s="25"/>
      <c r="D221" s="25"/>
      <c r="E221" s="153"/>
      <c r="F221" s="112"/>
      <c r="G221" s="153"/>
      <c r="H221" s="153"/>
      <c r="I221" s="25"/>
      <c r="J221" s="25"/>
      <c r="K221" s="26"/>
      <c r="L221" s="26"/>
      <c r="M221" s="26"/>
      <c r="N221" s="25"/>
    </row>
    <row r="222" spans="1:14">
      <c r="A222" s="28"/>
      <c r="B222" s="29"/>
      <c r="C222" s="29"/>
      <c r="D222" s="29"/>
      <c r="E222" s="152"/>
      <c r="F222" s="111"/>
      <c r="G222" s="152"/>
      <c r="H222" s="152"/>
      <c r="I222" s="29"/>
      <c r="J222" s="29"/>
      <c r="K222" s="30"/>
      <c r="L222" s="30"/>
      <c r="M222" s="30"/>
      <c r="N222" s="29"/>
    </row>
    <row r="223" spans="1:14">
      <c r="A223" s="24"/>
      <c r="B223" s="25"/>
      <c r="C223" s="25"/>
      <c r="D223" s="25"/>
      <c r="E223" s="153"/>
      <c r="F223" s="112"/>
      <c r="G223" s="153"/>
      <c r="H223" s="153"/>
      <c r="I223" s="25"/>
      <c r="J223" s="25"/>
      <c r="K223" s="26"/>
      <c r="L223" s="26"/>
      <c r="M223" s="26"/>
      <c r="N223" s="25"/>
    </row>
    <row r="224" spans="1:14">
      <c r="A224" s="28"/>
      <c r="B224" s="29"/>
      <c r="C224" s="29"/>
      <c r="D224" s="29"/>
      <c r="E224" s="152"/>
      <c r="F224" s="111"/>
      <c r="G224" s="152"/>
      <c r="H224" s="152"/>
      <c r="I224" s="29"/>
      <c r="J224" s="29"/>
      <c r="K224" s="30"/>
      <c r="L224" s="30"/>
      <c r="M224" s="30"/>
      <c r="N224" s="29"/>
    </row>
    <row r="225" spans="1:14">
      <c r="A225" s="24"/>
      <c r="B225" s="25"/>
      <c r="C225" s="25"/>
      <c r="D225" s="25"/>
      <c r="E225" s="153"/>
      <c r="F225" s="112"/>
      <c r="G225" s="153"/>
      <c r="H225" s="153"/>
      <c r="I225" s="25"/>
      <c r="J225" s="25"/>
      <c r="K225" s="26"/>
      <c r="L225" s="26"/>
      <c r="M225" s="26"/>
      <c r="N225" s="25"/>
    </row>
    <row r="226" spans="1:14">
      <c r="A226" s="28"/>
      <c r="B226" s="29"/>
      <c r="C226" s="29"/>
      <c r="D226" s="29"/>
      <c r="E226" s="152"/>
      <c r="F226" s="111"/>
      <c r="G226" s="152"/>
      <c r="H226" s="152"/>
      <c r="I226" s="29"/>
      <c r="J226" s="29"/>
      <c r="K226" s="30"/>
      <c r="L226" s="30"/>
      <c r="M226" s="30"/>
      <c r="N226" s="29"/>
    </row>
    <row r="227" spans="1:14">
      <c r="A227" s="24"/>
      <c r="B227" s="25"/>
      <c r="C227" s="25"/>
      <c r="D227" s="25"/>
      <c r="E227" s="153"/>
      <c r="F227" s="112"/>
      <c r="G227" s="153"/>
      <c r="H227" s="153"/>
      <c r="I227" s="25"/>
      <c r="J227" s="25"/>
      <c r="K227" s="26"/>
      <c r="L227" s="26"/>
      <c r="M227" s="26"/>
      <c r="N227" s="25"/>
    </row>
    <row r="228" spans="1:14">
      <c r="A228" s="28"/>
      <c r="B228" s="29"/>
      <c r="C228" s="29"/>
      <c r="D228" s="29"/>
      <c r="E228" s="152"/>
      <c r="F228" s="111"/>
      <c r="G228" s="152"/>
      <c r="H228" s="152"/>
      <c r="I228" s="29"/>
      <c r="J228" s="29"/>
      <c r="K228" s="30"/>
      <c r="L228" s="30"/>
      <c r="M228" s="30"/>
      <c r="N228" s="29"/>
    </row>
    <row r="229" spans="1:14">
      <c r="A229" s="24"/>
      <c r="B229" s="25"/>
      <c r="C229" s="25"/>
      <c r="D229" s="25"/>
      <c r="E229" s="153"/>
      <c r="F229" s="112"/>
      <c r="G229" s="153"/>
      <c r="H229" s="153"/>
      <c r="I229" s="25"/>
      <c r="J229" s="25"/>
      <c r="K229" s="26"/>
      <c r="L229" s="26"/>
      <c r="M229" s="26"/>
      <c r="N229" s="25"/>
    </row>
    <row r="230" spans="1:14">
      <c r="A230" s="28"/>
      <c r="B230" s="29"/>
      <c r="C230" s="29"/>
      <c r="D230" s="29"/>
      <c r="E230" s="152"/>
      <c r="F230" s="111"/>
      <c r="G230" s="152"/>
      <c r="H230" s="152"/>
      <c r="I230" s="29"/>
      <c r="J230" s="29"/>
      <c r="K230" s="30"/>
      <c r="L230" s="30"/>
      <c r="M230" s="30"/>
      <c r="N230" s="29"/>
    </row>
    <row r="231" spans="1:14">
      <c r="A231" s="24"/>
      <c r="B231" s="25"/>
      <c r="C231" s="25"/>
      <c r="D231" s="25"/>
      <c r="E231" s="153"/>
      <c r="F231" s="112"/>
      <c r="G231" s="153"/>
      <c r="H231" s="153"/>
      <c r="I231" s="25"/>
      <c r="J231" s="25"/>
      <c r="K231" s="26"/>
      <c r="L231" s="26"/>
      <c r="M231" s="26"/>
      <c r="N231" s="25"/>
    </row>
    <row r="232" spans="1:14">
      <c r="A232" s="28"/>
      <c r="B232" s="29"/>
      <c r="C232" s="29"/>
      <c r="D232" s="29"/>
      <c r="E232" s="152"/>
      <c r="F232" s="111"/>
      <c r="G232" s="152"/>
      <c r="H232" s="152"/>
      <c r="I232" s="29"/>
      <c r="J232" s="29"/>
      <c r="K232" s="30"/>
      <c r="L232" s="30"/>
      <c r="M232" s="30"/>
      <c r="N232" s="29"/>
    </row>
    <row r="233" spans="1:14">
      <c r="A233" s="24"/>
      <c r="B233" s="25"/>
      <c r="C233" s="25"/>
      <c r="D233" s="25"/>
      <c r="E233" s="153"/>
      <c r="F233" s="112"/>
      <c r="G233" s="153"/>
      <c r="H233" s="153"/>
      <c r="I233" s="25"/>
      <c r="J233" s="25"/>
      <c r="K233" s="26"/>
      <c r="L233" s="26"/>
      <c r="M233" s="26"/>
      <c r="N233" s="25"/>
    </row>
    <row r="234" spans="1:14">
      <c r="A234" s="28"/>
      <c r="B234" s="29"/>
      <c r="C234" s="29"/>
      <c r="D234" s="29"/>
      <c r="E234" s="152"/>
      <c r="F234" s="111"/>
      <c r="G234" s="152"/>
      <c r="H234" s="152"/>
      <c r="I234" s="29"/>
      <c r="J234" s="29"/>
      <c r="K234" s="30"/>
      <c r="L234" s="30"/>
      <c r="M234" s="30"/>
      <c r="N234" s="29"/>
    </row>
    <row r="235" spans="1:14">
      <c r="A235" s="24"/>
      <c r="B235" s="25"/>
      <c r="C235" s="25"/>
      <c r="D235" s="25"/>
      <c r="E235" s="153"/>
      <c r="F235" s="112"/>
      <c r="G235" s="153"/>
      <c r="H235" s="153"/>
      <c r="I235" s="25"/>
      <c r="J235" s="25"/>
      <c r="K235" s="26"/>
      <c r="L235" s="26"/>
      <c r="M235" s="26"/>
      <c r="N235" s="25"/>
    </row>
    <row r="236" spans="1:14">
      <c r="A236" s="28"/>
      <c r="B236" s="29"/>
      <c r="C236" s="29"/>
      <c r="D236" s="29"/>
      <c r="E236" s="152"/>
      <c r="F236" s="111"/>
      <c r="G236" s="152"/>
      <c r="H236" s="152"/>
      <c r="I236" s="29"/>
      <c r="J236" s="29"/>
      <c r="K236" s="30"/>
      <c r="L236" s="30"/>
      <c r="M236" s="30"/>
      <c r="N236" s="29"/>
    </row>
    <row r="237" spans="1:14">
      <c r="A237" s="24"/>
      <c r="B237" s="25"/>
      <c r="C237" s="25"/>
      <c r="D237" s="25"/>
      <c r="E237" s="153"/>
      <c r="F237" s="112"/>
      <c r="G237" s="153"/>
      <c r="H237" s="153"/>
      <c r="I237" s="25"/>
      <c r="J237" s="25"/>
      <c r="K237" s="26"/>
      <c r="L237" s="26"/>
      <c r="M237" s="26"/>
      <c r="N237" s="25"/>
    </row>
    <row r="238" spans="1:14">
      <c r="A238" s="28"/>
      <c r="B238" s="29"/>
      <c r="C238" s="29"/>
      <c r="D238" s="29"/>
      <c r="E238" s="152"/>
      <c r="F238" s="111"/>
      <c r="G238" s="152"/>
      <c r="H238" s="152"/>
      <c r="I238" s="29"/>
      <c r="J238" s="29"/>
      <c r="K238" s="30"/>
      <c r="L238" s="30"/>
      <c r="M238" s="30"/>
      <c r="N238" s="29"/>
    </row>
    <row r="239" spans="1:14">
      <c r="A239" s="24"/>
      <c r="B239" s="25"/>
      <c r="C239" s="25"/>
      <c r="D239" s="25"/>
      <c r="E239" s="153"/>
      <c r="F239" s="112"/>
      <c r="G239" s="153"/>
      <c r="H239" s="153"/>
      <c r="I239" s="25"/>
      <c r="J239" s="25"/>
      <c r="K239" s="26"/>
      <c r="L239" s="26"/>
      <c r="M239" s="26"/>
      <c r="N239" s="25"/>
    </row>
    <row r="240" spans="1:14">
      <c r="A240" s="28"/>
      <c r="B240" s="29"/>
      <c r="C240" s="29"/>
      <c r="D240" s="29"/>
      <c r="E240" s="152"/>
      <c r="F240" s="111"/>
      <c r="G240" s="152"/>
      <c r="H240" s="152"/>
      <c r="I240" s="29"/>
      <c r="J240" s="29"/>
      <c r="K240" s="30"/>
      <c r="L240" s="30"/>
      <c r="M240" s="30"/>
      <c r="N240" s="29"/>
    </row>
    <row r="241" spans="1:14">
      <c r="A241" s="24"/>
      <c r="B241" s="25"/>
      <c r="C241" s="25"/>
      <c r="D241" s="25"/>
      <c r="E241" s="153"/>
      <c r="F241" s="112"/>
      <c r="G241" s="153"/>
      <c r="H241" s="153"/>
      <c r="I241" s="25"/>
      <c r="J241" s="25"/>
      <c r="K241" s="26"/>
      <c r="L241" s="26"/>
      <c r="M241" s="26"/>
      <c r="N241" s="25"/>
    </row>
    <row r="242" spans="1:14">
      <c r="A242" s="28"/>
      <c r="B242" s="29"/>
      <c r="C242" s="29"/>
      <c r="D242" s="29"/>
      <c r="E242" s="152"/>
      <c r="F242" s="111"/>
      <c r="G242" s="152"/>
      <c r="H242" s="152"/>
      <c r="I242" s="29"/>
      <c r="J242" s="29"/>
      <c r="K242" s="30"/>
      <c r="L242" s="30"/>
      <c r="M242" s="30"/>
      <c r="N242" s="29"/>
    </row>
    <row r="243" spans="1:14">
      <c r="A243" s="24"/>
      <c r="B243" s="25"/>
      <c r="C243" s="25"/>
      <c r="D243" s="25"/>
      <c r="E243" s="153"/>
      <c r="F243" s="112"/>
      <c r="G243" s="153"/>
      <c r="H243" s="153"/>
      <c r="I243" s="25"/>
      <c r="J243" s="25"/>
      <c r="K243" s="26"/>
      <c r="L243" s="26"/>
      <c r="M243" s="26"/>
      <c r="N243" s="25"/>
    </row>
    <row r="244" spans="1:14">
      <c r="A244" s="28"/>
      <c r="B244" s="29"/>
      <c r="C244" s="29"/>
      <c r="D244" s="29"/>
      <c r="E244" s="152"/>
      <c r="F244" s="111"/>
      <c r="G244" s="152"/>
      <c r="H244" s="152"/>
      <c r="I244" s="29"/>
      <c r="J244" s="29"/>
      <c r="K244" s="30"/>
      <c r="L244" s="30"/>
      <c r="M244" s="30"/>
      <c r="N244" s="29"/>
    </row>
    <row r="245" spans="1:14">
      <c r="A245" s="24"/>
      <c r="B245" s="25"/>
      <c r="C245" s="25"/>
      <c r="D245" s="25"/>
      <c r="E245" s="153"/>
      <c r="F245" s="112"/>
      <c r="G245" s="153"/>
      <c r="H245" s="153"/>
      <c r="I245" s="25"/>
      <c r="J245" s="25"/>
      <c r="K245" s="26"/>
      <c r="L245" s="26"/>
      <c r="M245" s="26"/>
      <c r="N245" s="25"/>
    </row>
    <row r="246" spans="1:14">
      <c r="A246" s="28"/>
      <c r="B246" s="29"/>
      <c r="C246" s="29"/>
      <c r="D246" s="29"/>
      <c r="E246" s="152"/>
      <c r="F246" s="111"/>
      <c r="G246" s="152"/>
      <c r="H246" s="152"/>
      <c r="I246" s="29"/>
      <c r="J246" s="29"/>
      <c r="K246" s="30"/>
      <c r="L246" s="30"/>
      <c r="M246" s="30"/>
      <c r="N246" s="29"/>
    </row>
    <row r="247" spans="1:14">
      <c r="A247" s="24"/>
      <c r="B247" s="25"/>
      <c r="C247" s="25"/>
      <c r="D247" s="25"/>
      <c r="E247" s="153"/>
      <c r="F247" s="112"/>
      <c r="G247" s="153"/>
      <c r="H247" s="153"/>
      <c r="I247" s="25"/>
      <c r="J247" s="25"/>
      <c r="K247" s="26"/>
      <c r="L247" s="26"/>
      <c r="M247" s="26"/>
      <c r="N247" s="25"/>
    </row>
    <row r="248" spans="1:14">
      <c r="A248" s="28"/>
      <c r="B248" s="29"/>
      <c r="C248" s="29"/>
      <c r="D248" s="29"/>
      <c r="E248" s="152"/>
      <c r="F248" s="111"/>
      <c r="G248" s="152"/>
      <c r="H248" s="152"/>
      <c r="I248" s="29"/>
      <c r="J248" s="29"/>
      <c r="K248" s="30"/>
      <c r="L248" s="30"/>
      <c r="M248" s="30"/>
      <c r="N248" s="29"/>
    </row>
    <row r="249" spans="1:14">
      <c r="A249" s="24"/>
      <c r="B249" s="25"/>
      <c r="C249" s="25"/>
      <c r="D249" s="25"/>
      <c r="E249" s="153"/>
      <c r="F249" s="112"/>
      <c r="G249" s="153"/>
      <c r="H249" s="153"/>
      <c r="I249" s="25"/>
      <c r="J249" s="25"/>
      <c r="K249" s="26"/>
      <c r="L249" s="26"/>
      <c r="M249" s="26"/>
      <c r="N249" s="25"/>
    </row>
    <row r="250" spans="1:14">
      <c r="A250" s="28"/>
      <c r="B250" s="29"/>
      <c r="C250" s="29"/>
      <c r="D250" s="29"/>
      <c r="E250" s="152"/>
      <c r="F250" s="111"/>
      <c r="G250" s="152"/>
      <c r="H250" s="152"/>
      <c r="I250" s="29"/>
      <c r="J250" s="29"/>
      <c r="K250" s="30"/>
      <c r="L250" s="30"/>
      <c r="M250" s="30"/>
      <c r="N250" s="29"/>
    </row>
    <row r="251" spans="1:14">
      <c r="A251" s="24"/>
      <c r="B251" s="25"/>
      <c r="C251" s="25"/>
      <c r="D251" s="25"/>
      <c r="E251" s="153"/>
      <c r="F251" s="112"/>
      <c r="G251" s="153"/>
      <c r="H251" s="153"/>
      <c r="I251" s="25"/>
      <c r="J251" s="25"/>
      <c r="K251" s="26"/>
      <c r="L251" s="26"/>
      <c r="M251" s="26"/>
      <c r="N251" s="25"/>
    </row>
    <row r="252" spans="1:14">
      <c r="A252" s="28"/>
      <c r="B252" s="29"/>
      <c r="C252" s="29"/>
      <c r="D252" s="29"/>
      <c r="E252" s="152"/>
      <c r="F252" s="111"/>
      <c r="G252" s="152"/>
      <c r="H252" s="152"/>
      <c r="I252" s="29"/>
      <c r="J252" s="29"/>
      <c r="K252" s="30"/>
      <c r="L252" s="30"/>
      <c r="M252" s="30"/>
      <c r="N252" s="29"/>
    </row>
    <row r="253" spans="1:14">
      <c r="A253" s="24"/>
      <c r="B253" s="25"/>
      <c r="C253" s="25"/>
      <c r="D253" s="25"/>
      <c r="E253" s="153"/>
      <c r="F253" s="112"/>
      <c r="G253" s="153"/>
      <c r="H253" s="153"/>
      <c r="I253" s="25"/>
      <c r="J253" s="25"/>
      <c r="K253" s="26"/>
      <c r="L253" s="26"/>
      <c r="M253" s="26"/>
      <c r="N253" s="25"/>
    </row>
    <row r="254" spans="1:14">
      <c r="A254" s="28"/>
      <c r="B254" s="29"/>
      <c r="C254" s="29"/>
      <c r="D254" s="29"/>
      <c r="E254" s="152"/>
      <c r="F254" s="111"/>
      <c r="G254" s="152"/>
      <c r="H254" s="152"/>
      <c r="I254" s="29"/>
      <c r="J254" s="29"/>
      <c r="K254" s="30"/>
      <c r="L254" s="30"/>
      <c r="M254" s="30"/>
      <c r="N254" s="29"/>
    </row>
    <row r="255" spans="1:14">
      <c r="A255" s="24"/>
      <c r="B255" s="25"/>
      <c r="C255" s="25"/>
      <c r="D255" s="25"/>
      <c r="E255" s="153"/>
      <c r="F255" s="112"/>
      <c r="G255" s="153"/>
      <c r="H255" s="153"/>
      <c r="I255" s="25"/>
      <c r="J255" s="25"/>
      <c r="K255" s="26"/>
      <c r="L255" s="26"/>
      <c r="M255" s="26"/>
      <c r="N255" s="25"/>
    </row>
    <row r="256" spans="1:14">
      <c r="A256" s="28"/>
      <c r="B256" s="29"/>
      <c r="C256" s="29"/>
      <c r="D256" s="29"/>
      <c r="E256" s="152"/>
      <c r="F256" s="111"/>
      <c r="G256" s="152"/>
      <c r="H256" s="152"/>
      <c r="I256" s="29"/>
      <c r="J256" s="29"/>
      <c r="K256" s="30"/>
      <c r="L256" s="30"/>
      <c r="M256" s="30"/>
      <c r="N256" s="29"/>
    </row>
    <row r="257" spans="1:14">
      <c r="A257" s="24"/>
      <c r="B257" s="25"/>
      <c r="C257" s="25"/>
      <c r="D257" s="25"/>
      <c r="E257" s="153"/>
      <c r="F257" s="112"/>
      <c r="G257" s="153"/>
      <c r="H257" s="153"/>
      <c r="I257" s="25"/>
      <c r="J257" s="25"/>
      <c r="K257" s="26"/>
      <c r="L257" s="26"/>
      <c r="M257" s="26"/>
      <c r="N257" s="25"/>
    </row>
    <row r="258" spans="1:14">
      <c r="A258" s="28"/>
      <c r="B258" s="29"/>
      <c r="C258" s="29"/>
      <c r="D258" s="29"/>
      <c r="E258" s="152"/>
      <c r="F258" s="111"/>
      <c r="G258" s="152"/>
      <c r="H258" s="152"/>
      <c r="I258" s="29"/>
      <c r="J258" s="29"/>
      <c r="K258" s="30"/>
      <c r="L258" s="30"/>
      <c r="M258" s="30"/>
      <c r="N258" s="29"/>
    </row>
    <row r="259" spans="1:14">
      <c r="A259" s="24"/>
      <c r="B259" s="25"/>
      <c r="C259" s="25"/>
      <c r="D259" s="25"/>
      <c r="E259" s="153"/>
      <c r="F259" s="112"/>
      <c r="G259" s="153"/>
      <c r="H259" s="153"/>
      <c r="I259" s="25"/>
      <c r="J259" s="25"/>
      <c r="K259" s="26"/>
      <c r="L259" s="26"/>
      <c r="M259" s="26"/>
      <c r="N259" s="25"/>
    </row>
    <row r="260" spans="1:14">
      <c r="A260" s="28"/>
      <c r="B260" s="29"/>
      <c r="C260" s="29"/>
      <c r="D260" s="29"/>
      <c r="E260" s="152"/>
      <c r="F260" s="111"/>
      <c r="G260" s="152"/>
      <c r="H260" s="152"/>
      <c r="I260" s="29"/>
      <c r="J260" s="29"/>
      <c r="K260" s="30"/>
      <c r="L260" s="30"/>
      <c r="M260" s="30"/>
      <c r="N260" s="29"/>
    </row>
    <row r="261" spans="1:14">
      <c r="A261" s="24"/>
      <c r="B261" s="25"/>
      <c r="C261" s="25"/>
      <c r="D261" s="25"/>
      <c r="E261" s="153"/>
      <c r="F261" s="112"/>
      <c r="G261" s="153"/>
      <c r="H261" s="153"/>
      <c r="I261" s="25"/>
      <c r="J261" s="25"/>
      <c r="K261" s="26"/>
      <c r="L261" s="26"/>
      <c r="M261" s="26"/>
      <c r="N261" s="25"/>
    </row>
    <row r="262" spans="1:14">
      <c r="A262" s="28"/>
      <c r="B262" s="29"/>
      <c r="C262" s="29"/>
      <c r="D262" s="29"/>
      <c r="E262" s="152"/>
      <c r="F262" s="111"/>
      <c r="G262" s="152"/>
      <c r="H262" s="152"/>
      <c r="I262" s="29"/>
      <c r="J262" s="29"/>
      <c r="K262" s="30"/>
      <c r="L262" s="30"/>
      <c r="M262" s="30"/>
      <c r="N262" s="29"/>
    </row>
    <row r="263" spans="1:14">
      <c r="A263" s="24"/>
      <c r="B263" s="25"/>
      <c r="C263" s="25"/>
      <c r="D263" s="25"/>
      <c r="E263" s="153"/>
      <c r="F263" s="112"/>
      <c r="G263" s="153"/>
      <c r="H263" s="153"/>
      <c r="I263" s="25"/>
      <c r="J263" s="25"/>
      <c r="K263" s="26"/>
      <c r="L263" s="26"/>
      <c r="M263" s="26"/>
      <c r="N263" s="25"/>
    </row>
    <row r="264" spans="1:14">
      <c r="A264" s="28"/>
      <c r="B264" s="29"/>
      <c r="C264" s="29"/>
      <c r="D264" s="29"/>
      <c r="E264" s="152"/>
      <c r="F264" s="111"/>
      <c r="G264" s="152"/>
      <c r="H264" s="152"/>
      <c r="I264" s="29"/>
      <c r="J264" s="29"/>
      <c r="K264" s="30"/>
      <c r="L264" s="30"/>
      <c r="M264" s="30"/>
      <c r="N264" s="29"/>
    </row>
    <row r="265" spans="1:14">
      <c r="A265" s="24"/>
      <c r="B265" s="25"/>
      <c r="C265" s="25"/>
      <c r="D265" s="25"/>
      <c r="E265" s="153"/>
      <c r="F265" s="112"/>
      <c r="G265" s="153"/>
      <c r="H265" s="153"/>
      <c r="I265" s="25"/>
      <c r="J265" s="25"/>
      <c r="K265" s="26"/>
      <c r="L265" s="26"/>
      <c r="M265" s="26"/>
      <c r="N265" s="25"/>
    </row>
    <row r="266" spans="1:14">
      <c r="A266" s="28"/>
      <c r="B266" s="29"/>
      <c r="C266" s="29"/>
      <c r="D266" s="29"/>
      <c r="E266" s="152"/>
      <c r="F266" s="111"/>
      <c r="G266" s="152"/>
      <c r="H266" s="152"/>
      <c r="I266" s="29"/>
      <c r="J266" s="29"/>
      <c r="K266" s="30"/>
      <c r="L266" s="30"/>
      <c r="M266" s="30"/>
      <c r="N266" s="29"/>
    </row>
    <row r="267" spans="1:14">
      <c r="A267" s="24"/>
      <c r="B267" s="25"/>
      <c r="C267" s="25"/>
      <c r="D267" s="25"/>
      <c r="E267" s="153"/>
      <c r="F267" s="112"/>
      <c r="G267" s="153"/>
      <c r="H267" s="153"/>
      <c r="I267" s="25"/>
      <c r="J267" s="25"/>
      <c r="K267" s="26"/>
      <c r="L267" s="26"/>
      <c r="M267" s="26"/>
      <c r="N267" s="25"/>
    </row>
    <row r="268" spans="1:14">
      <c r="A268" s="28"/>
      <c r="B268" s="29"/>
      <c r="C268" s="29"/>
      <c r="D268" s="29"/>
      <c r="E268" s="152"/>
      <c r="F268" s="111"/>
      <c r="G268" s="152"/>
      <c r="H268" s="152"/>
      <c r="I268" s="29"/>
      <c r="J268" s="29"/>
      <c r="K268" s="30"/>
      <c r="L268" s="30"/>
      <c r="M268" s="30"/>
      <c r="N268" s="29"/>
    </row>
    <row r="269" spans="1:14">
      <c r="A269" s="24"/>
      <c r="B269" s="25"/>
      <c r="C269" s="25"/>
      <c r="D269" s="25"/>
      <c r="E269" s="153"/>
      <c r="F269" s="112"/>
      <c r="G269" s="153"/>
      <c r="H269" s="153"/>
      <c r="I269" s="25"/>
      <c r="J269" s="25"/>
      <c r="K269" s="26"/>
      <c r="L269" s="26"/>
      <c r="M269" s="26"/>
      <c r="N269" s="25"/>
    </row>
    <row r="270" spans="1:14">
      <c r="A270" s="28"/>
      <c r="B270" s="29"/>
      <c r="C270" s="29"/>
      <c r="D270" s="29"/>
      <c r="E270" s="152"/>
      <c r="F270" s="111"/>
      <c r="G270" s="152"/>
      <c r="H270" s="152"/>
      <c r="I270" s="29"/>
      <c r="J270" s="29"/>
      <c r="K270" s="30"/>
      <c r="L270" s="30"/>
      <c r="M270" s="30"/>
      <c r="N270" s="29"/>
    </row>
    <row r="271" spans="1:14">
      <c r="A271" s="24"/>
      <c r="B271" s="25"/>
      <c r="C271" s="25"/>
      <c r="D271" s="25"/>
      <c r="E271" s="153"/>
      <c r="F271" s="112"/>
      <c r="G271" s="153"/>
      <c r="H271" s="153"/>
      <c r="I271" s="25"/>
      <c r="J271" s="25"/>
      <c r="K271" s="26"/>
      <c r="L271" s="26"/>
      <c r="M271" s="26"/>
      <c r="N271" s="25"/>
    </row>
    <row r="272" spans="1:14">
      <c r="A272" s="28"/>
      <c r="B272" s="29"/>
      <c r="C272" s="29"/>
      <c r="D272" s="29"/>
      <c r="E272" s="152"/>
      <c r="F272" s="111"/>
      <c r="G272" s="152"/>
      <c r="H272" s="152"/>
      <c r="I272" s="29"/>
      <c r="J272" s="29"/>
      <c r="K272" s="30"/>
      <c r="L272" s="30"/>
      <c r="M272" s="30"/>
      <c r="N272" s="29"/>
    </row>
    <row r="273" spans="1:14">
      <c r="A273" s="24"/>
      <c r="B273" s="25"/>
      <c r="C273" s="25"/>
      <c r="D273" s="25"/>
      <c r="E273" s="153"/>
      <c r="F273" s="112"/>
      <c r="G273" s="153"/>
      <c r="H273" s="153"/>
      <c r="I273" s="25"/>
      <c r="J273" s="25"/>
      <c r="K273" s="26"/>
      <c r="L273" s="26"/>
      <c r="M273" s="26"/>
      <c r="N273" s="25"/>
    </row>
    <row r="274" spans="1:14">
      <c r="A274" s="28"/>
      <c r="B274" s="29"/>
      <c r="C274" s="29"/>
      <c r="D274" s="29"/>
      <c r="E274" s="152"/>
      <c r="F274" s="111"/>
      <c r="G274" s="152"/>
      <c r="H274" s="152"/>
      <c r="I274" s="29"/>
      <c r="J274" s="29"/>
      <c r="K274" s="30"/>
      <c r="L274" s="30"/>
      <c r="M274" s="30"/>
      <c r="N274" s="29"/>
    </row>
    <row r="275" spans="1:14">
      <c r="A275" s="24"/>
      <c r="B275" s="25"/>
      <c r="C275" s="25"/>
      <c r="D275" s="25"/>
      <c r="E275" s="153"/>
      <c r="F275" s="112"/>
      <c r="G275" s="153"/>
      <c r="H275" s="153"/>
      <c r="I275" s="25"/>
      <c r="J275" s="25"/>
      <c r="K275" s="26"/>
      <c r="L275" s="26"/>
      <c r="M275" s="26"/>
      <c r="N275" s="25"/>
    </row>
    <row r="276" spans="1:14">
      <c r="A276" s="28"/>
      <c r="B276" s="29"/>
      <c r="C276" s="29"/>
      <c r="D276" s="29"/>
      <c r="E276" s="152"/>
      <c r="F276" s="111"/>
      <c r="G276" s="152"/>
      <c r="H276" s="152"/>
      <c r="I276" s="29"/>
      <c r="J276" s="29"/>
      <c r="K276" s="30"/>
      <c r="L276" s="30"/>
      <c r="M276" s="30"/>
      <c r="N276" s="29"/>
    </row>
    <row r="277" spans="1:14">
      <c r="A277" s="24"/>
      <c r="B277" s="25"/>
      <c r="C277" s="25"/>
      <c r="D277" s="25"/>
      <c r="E277" s="153"/>
      <c r="F277" s="112"/>
      <c r="G277" s="153"/>
      <c r="H277" s="153"/>
      <c r="I277" s="25"/>
      <c r="J277" s="25"/>
      <c r="K277" s="26"/>
      <c r="L277" s="26"/>
      <c r="M277" s="26"/>
      <c r="N277" s="25"/>
    </row>
    <row r="278" spans="1:14">
      <c r="A278" s="28"/>
      <c r="B278" s="29"/>
      <c r="C278" s="29"/>
      <c r="D278" s="29"/>
      <c r="E278" s="152"/>
      <c r="F278" s="111"/>
      <c r="G278" s="152"/>
      <c r="H278" s="152"/>
      <c r="I278" s="29"/>
      <c r="J278" s="29"/>
      <c r="K278" s="30"/>
      <c r="L278" s="30"/>
      <c r="M278" s="30"/>
      <c r="N278" s="29"/>
    </row>
    <row r="279" spans="1:14">
      <c r="A279" s="24"/>
      <c r="B279" s="25"/>
      <c r="C279" s="25"/>
      <c r="D279" s="25"/>
      <c r="E279" s="153"/>
      <c r="F279" s="112"/>
      <c r="G279" s="153"/>
      <c r="H279" s="153"/>
      <c r="I279" s="25"/>
      <c r="J279" s="25"/>
      <c r="K279" s="26"/>
      <c r="L279" s="26"/>
      <c r="M279" s="26"/>
      <c r="N279" s="25"/>
    </row>
    <row r="280" spans="1:14">
      <c r="A280" s="28"/>
      <c r="B280" s="29"/>
      <c r="C280" s="29"/>
      <c r="D280" s="29"/>
      <c r="E280" s="152"/>
      <c r="F280" s="111"/>
      <c r="G280" s="152"/>
      <c r="H280" s="152"/>
      <c r="I280" s="29"/>
      <c r="J280" s="29"/>
      <c r="K280" s="30"/>
      <c r="L280" s="30"/>
      <c r="M280" s="30"/>
      <c r="N280" s="29"/>
    </row>
    <row r="281" spans="1:14">
      <c r="A281" s="24"/>
      <c r="B281" s="25"/>
      <c r="C281" s="25"/>
      <c r="D281" s="25"/>
      <c r="E281" s="153"/>
      <c r="F281" s="112"/>
      <c r="G281" s="153"/>
      <c r="H281" s="153"/>
      <c r="I281" s="25"/>
      <c r="J281" s="25"/>
      <c r="K281" s="26"/>
      <c r="L281" s="26"/>
      <c r="M281" s="26"/>
      <c r="N281" s="25"/>
    </row>
    <row r="282" spans="1:14">
      <c r="A282" s="28"/>
      <c r="B282" s="29"/>
      <c r="C282" s="29"/>
      <c r="D282" s="29"/>
      <c r="E282" s="152"/>
      <c r="F282" s="111"/>
      <c r="G282" s="152"/>
      <c r="H282" s="152"/>
      <c r="I282" s="29"/>
      <c r="J282" s="29"/>
      <c r="K282" s="30"/>
      <c r="L282" s="30"/>
      <c r="M282" s="30"/>
      <c r="N282" s="29"/>
    </row>
    <row r="283" spans="1:14">
      <c r="A283" s="24"/>
      <c r="B283" s="25"/>
      <c r="C283" s="25"/>
      <c r="D283" s="25"/>
      <c r="E283" s="153"/>
      <c r="F283" s="112"/>
      <c r="G283" s="153"/>
      <c r="H283" s="153"/>
      <c r="I283" s="25"/>
      <c r="J283" s="25"/>
      <c r="K283" s="26"/>
      <c r="L283" s="26"/>
      <c r="M283" s="26"/>
      <c r="N283" s="25"/>
    </row>
    <row r="284" spans="1:14">
      <c r="A284" s="28"/>
      <c r="B284" s="29"/>
      <c r="C284" s="29"/>
      <c r="D284" s="29"/>
      <c r="E284" s="152"/>
      <c r="F284" s="111"/>
      <c r="G284" s="152"/>
      <c r="H284" s="152"/>
      <c r="I284" s="29"/>
      <c r="J284" s="29"/>
      <c r="K284" s="30"/>
      <c r="L284" s="30"/>
      <c r="M284" s="30"/>
      <c r="N284" s="29"/>
    </row>
    <row r="285" spans="1:14">
      <c r="A285" s="24"/>
      <c r="B285" s="25"/>
      <c r="C285" s="25"/>
      <c r="D285" s="25"/>
      <c r="E285" s="153"/>
      <c r="F285" s="112"/>
      <c r="G285" s="153"/>
      <c r="H285" s="153"/>
      <c r="I285" s="25"/>
      <c r="J285" s="25"/>
      <c r="K285" s="26"/>
      <c r="L285" s="26"/>
      <c r="M285" s="26"/>
      <c r="N285" s="25"/>
    </row>
    <row r="286" spans="1:14">
      <c r="A286" s="28"/>
      <c r="B286" s="29"/>
      <c r="C286" s="29"/>
      <c r="D286" s="29"/>
      <c r="E286" s="152"/>
      <c r="F286" s="111"/>
      <c r="G286" s="152"/>
      <c r="H286" s="152"/>
      <c r="I286" s="29"/>
      <c r="J286" s="29"/>
      <c r="K286" s="30"/>
      <c r="L286" s="30"/>
      <c r="M286" s="30"/>
      <c r="N286" s="29"/>
    </row>
    <row r="287" spans="1:14">
      <c r="A287" s="24"/>
      <c r="B287" s="25"/>
      <c r="C287" s="25"/>
      <c r="D287" s="25"/>
      <c r="E287" s="153"/>
      <c r="F287" s="112"/>
      <c r="G287" s="153"/>
      <c r="H287" s="153"/>
      <c r="I287" s="25"/>
      <c r="J287" s="25"/>
      <c r="K287" s="26"/>
      <c r="L287" s="26"/>
      <c r="M287" s="26"/>
      <c r="N287" s="25"/>
    </row>
    <row r="288" spans="1:14">
      <c r="A288" s="28"/>
      <c r="B288" s="29"/>
      <c r="C288" s="29"/>
      <c r="D288" s="29"/>
      <c r="E288" s="152"/>
      <c r="F288" s="111"/>
      <c r="G288" s="152"/>
      <c r="H288" s="152"/>
      <c r="I288" s="29"/>
      <c r="J288" s="29"/>
      <c r="K288" s="30"/>
      <c r="L288" s="30"/>
      <c r="M288" s="30"/>
      <c r="N288" s="29"/>
    </row>
    <row r="289" spans="1:14">
      <c r="A289" s="24"/>
      <c r="B289" s="25"/>
      <c r="C289" s="25"/>
      <c r="D289" s="25"/>
      <c r="E289" s="153"/>
      <c r="F289" s="112"/>
      <c r="G289" s="153"/>
      <c r="H289" s="153"/>
      <c r="I289" s="25"/>
      <c r="J289" s="25"/>
      <c r="K289" s="26"/>
      <c r="L289" s="26"/>
      <c r="M289" s="26"/>
      <c r="N289" s="25"/>
    </row>
    <row r="290" spans="1:14">
      <c r="A290" s="28"/>
      <c r="B290" s="29"/>
      <c r="C290" s="29"/>
      <c r="D290" s="29"/>
      <c r="E290" s="152"/>
      <c r="F290" s="111"/>
      <c r="G290" s="152"/>
      <c r="H290" s="152"/>
      <c r="I290" s="29"/>
      <c r="J290" s="29"/>
      <c r="K290" s="30"/>
      <c r="L290" s="30"/>
      <c r="M290" s="30"/>
      <c r="N290" s="29"/>
    </row>
    <row r="291" spans="1:14">
      <c r="A291" s="24"/>
      <c r="B291" s="25"/>
      <c r="C291" s="25"/>
      <c r="D291" s="25"/>
      <c r="E291" s="153"/>
      <c r="F291" s="112"/>
      <c r="G291" s="153"/>
      <c r="H291" s="153"/>
      <c r="I291" s="25"/>
      <c r="J291" s="25"/>
      <c r="K291" s="26"/>
      <c r="L291" s="26"/>
      <c r="M291" s="26"/>
      <c r="N291" s="25"/>
    </row>
    <row r="292" spans="1:14">
      <c r="A292" s="28"/>
      <c r="B292" s="29"/>
      <c r="C292" s="29"/>
      <c r="D292" s="29"/>
      <c r="E292" s="152"/>
      <c r="F292" s="111"/>
      <c r="G292" s="152"/>
      <c r="H292" s="152"/>
      <c r="I292" s="29"/>
      <c r="J292" s="29"/>
      <c r="K292" s="30"/>
      <c r="L292" s="30"/>
      <c r="M292" s="30"/>
      <c r="N292" s="29"/>
    </row>
    <row r="293" spans="1:14">
      <c r="A293" s="24"/>
      <c r="B293" s="25"/>
      <c r="C293" s="25"/>
      <c r="D293" s="25"/>
      <c r="E293" s="153"/>
      <c r="F293" s="112"/>
      <c r="G293" s="153"/>
      <c r="H293" s="153"/>
      <c r="I293" s="25"/>
      <c r="J293" s="25"/>
      <c r="K293" s="26"/>
      <c r="L293" s="26"/>
      <c r="M293" s="26"/>
      <c r="N293" s="25"/>
    </row>
    <row r="294" spans="1:14">
      <c r="A294" s="28"/>
      <c r="B294" s="29"/>
      <c r="C294" s="29"/>
      <c r="D294" s="29"/>
      <c r="E294" s="152"/>
      <c r="F294" s="111"/>
      <c r="G294" s="152"/>
      <c r="H294" s="152"/>
      <c r="I294" s="29"/>
      <c r="J294" s="29"/>
      <c r="K294" s="30"/>
      <c r="L294" s="30"/>
      <c r="M294" s="30"/>
      <c r="N294" s="29"/>
    </row>
    <row r="295" spans="1:14">
      <c r="A295" s="24"/>
      <c r="B295" s="25"/>
      <c r="C295" s="25"/>
      <c r="D295" s="25"/>
      <c r="E295" s="153"/>
      <c r="F295" s="112"/>
      <c r="G295" s="153"/>
      <c r="H295" s="153"/>
      <c r="I295" s="25"/>
      <c r="J295" s="25"/>
      <c r="K295" s="26"/>
      <c r="L295" s="26"/>
      <c r="M295" s="26"/>
      <c r="N295" s="25"/>
    </row>
    <row r="296" spans="1:14">
      <c r="A296" s="28"/>
      <c r="B296" s="29"/>
      <c r="C296" s="29"/>
      <c r="D296" s="29"/>
      <c r="E296" s="152"/>
      <c r="F296" s="111"/>
      <c r="G296" s="152"/>
      <c r="H296" s="152"/>
      <c r="I296" s="29"/>
      <c r="J296" s="29"/>
      <c r="K296" s="30"/>
      <c r="L296" s="30"/>
      <c r="M296" s="30"/>
      <c r="N296" s="29"/>
    </row>
    <row r="297" spans="1:14">
      <c r="A297" s="24"/>
      <c r="B297" s="25"/>
      <c r="C297" s="25"/>
      <c r="D297" s="25"/>
      <c r="E297" s="153"/>
      <c r="F297" s="112"/>
      <c r="G297" s="153"/>
      <c r="H297" s="153"/>
      <c r="I297" s="25"/>
      <c r="J297" s="25"/>
      <c r="K297" s="26"/>
      <c r="L297" s="26"/>
      <c r="M297" s="26"/>
      <c r="N297" s="25"/>
    </row>
    <row r="298" spans="1:14">
      <c r="A298" s="28"/>
      <c r="B298" s="29"/>
      <c r="C298" s="29"/>
      <c r="D298" s="29"/>
      <c r="E298" s="152"/>
      <c r="F298" s="111"/>
      <c r="G298" s="152"/>
      <c r="H298" s="152"/>
      <c r="I298" s="29"/>
      <c r="J298" s="29"/>
      <c r="K298" s="30"/>
      <c r="L298" s="30"/>
      <c r="M298" s="30"/>
      <c r="N298" s="29"/>
    </row>
    <row r="299" spans="1:14">
      <c r="A299" s="24"/>
      <c r="B299" s="25"/>
      <c r="C299" s="25"/>
      <c r="D299" s="25"/>
      <c r="E299" s="153"/>
      <c r="F299" s="112"/>
      <c r="G299" s="153"/>
      <c r="H299" s="153"/>
      <c r="I299" s="25"/>
      <c r="J299" s="25"/>
      <c r="K299" s="26"/>
      <c r="L299" s="26"/>
      <c r="M299" s="26"/>
      <c r="N299" s="25"/>
    </row>
    <row r="300" spans="1:14">
      <c r="A300" s="28"/>
      <c r="B300" s="29"/>
      <c r="C300" s="29"/>
      <c r="D300" s="29"/>
      <c r="E300" s="152"/>
      <c r="F300" s="111"/>
      <c r="G300" s="152"/>
      <c r="H300" s="152"/>
      <c r="I300" s="29"/>
      <c r="J300" s="29"/>
      <c r="K300" s="30"/>
      <c r="L300" s="30"/>
      <c r="M300" s="30"/>
      <c r="N300" s="29"/>
    </row>
    <row r="301" spans="1:14">
      <c r="A301" s="24"/>
      <c r="B301" s="25"/>
      <c r="C301" s="25"/>
      <c r="D301" s="25"/>
      <c r="E301" s="153"/>
      <c r="F301" s="112"/>
      <c r="G301" s="153"/>
      <c r="H301" s="153"/>
      <c r="I301" s="25"/>
      <c r="J301" s="25"/>
      <c r="K301" s="26"/>
      <c r="L301" s="26"/>
      <c r="M301" s="26"/>
      <c r="N301" s="25"/>
    </row>
    <row r="302" spans="1:14">
      <c r="A302" s="28"/>
      <c r="B302" s="29"/>
      <c r="C302" s="29"/>
      <c r="D302" s="29"/>
      <c r="E302" s="152"/>
      <c r="F302" s="111"/>
      <c r="G302" s="152"/>
      <c r="H302" s="152"/>
      <c r="I302" s="29"/>
      <c r="J302" s="29"/>
      <c r="K302" s="30"/>
      <c r="L302" s="30"/>
      <c r="M302" s="30"/>
      <c r="N302" s="29"/>
    </row>
    <row r="303" spans="1:14">
      <c r="A303" s="24"/>
      <c r="B303" s="25"/>
      <c r="C303" s="25"/>
      <c r="D303" s="25"/>
      <c r="E303" s="153"/>
      <c r="F303" s="112"/>
      <c r="G303" s="153"/>
      <c r="H303" s="153"/>
      <c r="I303" s="25"/>
      <c r="J303" s="25"/>
      <c r="K303" s="26"/>
      <c r="L303" s="26"/>
      <c r="M303" s="26"/>
      <c r="N303" s="25"/>
    </row>
    <row r="304" spans="1:14">
      <c r="A304" s="28"/>
      <c r="B304" s="29"/>
      <c r="C304" s="29"/>
      <c r="D304" s="29"/>
      <c r="E304" s="152"/>
      <c r="F304" s="111"/>
      <c r="G304" s="152"/>
      <c r="H304" s="152"/>
      <c r="I304" s="29"/>
      <c r="J304" s="29"/>
      <c r="K304" s="30"/>
      <c r="L304" s="30"/>
      <c r="M304" s="30"/>
      <c r="N304" s="29"/>
    </row>
    <row r="305" spans="1:14">
      <c r="A305" s="24"/>
      <c r="B305" s="25"/>
      <c r="C305" s="25"/>
      <c r="D305" s="25"/>
      <c r="E305" s="153"/>
      <c r="F305" s="112"/>
      <c r="G305" s="153"/>
      <c r="H305" s="153"/>
      <c r="I305" s="25"/>
      <c r="J305" s="25"/>
      <c r="K305" s="26"/>
      <c r="L305" s="26"/>
      <c r="M305" s="26"/>
      <c r="N305" s="25"/>
    </row>
    <row r="306" spans="1:14">
      <c r="A306" s="28"/>
      <c r="B306" s="29"/>
      <c r="C306" s="29"/>
      <c r="D306" s="29"/>
      <c r="E306" s="152"/>
      <c r="F306" s="111"/>
      <c r="G306" s="152"/>
      <c r="H306" s="152"/>
      <c r="I306" s="29"/>
      <c r="J306" s="29"/>
      <c r="K306" s="30"/>
      <c r="L306" s="30"/>
      <c r="M306" s="30"/>
      <c r="N306" s="29"/>
    </row>
    <row r="307" spans="1:14">
      <c r="A307" s="24"/>
      <c r="B307" s="25"/>
      <c r="C307" s="25"/>
      <c r="D307" s="25"/>
      <c r="E307" s="153"/>
      <c r="F307" s="112"/>
      <c r="G307" s="153"/>
      <c r="H307" s="153"/>
      <c r="I307" s="25"/>
      <c r="J307" s="25"/>
      <c r="K307" s="26"/>
      <c r="L307" s="26"/>
      <c r="M307" s="26"/>
      <c r="N307" s="25"/>
    </row>
    <row r="308" spans="1:14">
      <c r="A308" s="28"/>
      <c r="B308" s="29"/>
      <c r="C308" s="29"/>
      <c r="D308" s="29"/>
      <c r="E308" s="152"/>
      <c r="F308" s="111"/>
      <c r="G308" s="152"/>
      <c r="H308" s="152"/>
      <c r="I308" s="29"/>
      <c r="J308" s="29"/>
      <c r="K308" s="30"/>
      <c r="L308" s="30"/>
      <c r="M308" s="30"/>
      <c r="N308" s="29"/>
    </row>
    <row r="309" spans="1:14">
      <c r="A309" s="24"/>
      <c r="B309" s="25"/>
      <c r="C309" s="25"/>
      <c r="D309" s="25"/>
      <c r="E309" s="153"/>
      <c r="F309" s="112"/>
      <c r="G309" s="153"/>
      <c r="H309" s="153"/>
      <c r="I309" s="25"/>
      <c r="J309" s="25"/>
      <c r="K309" s="26"/>
      <c r="L309" s="26"/>
      <c r="M309" s="26"/>
      <c r="N309" s="25"/>
    </row>
    <row r="310" spans="1:14">
      <c r="A310" s="28"/>
      <c r="B310" s="29"/>
      <c r="C310" s="29"/>
      <c r="D310" s="29"/>
      <c r="E310" s="152"/>
      <c r="F310" s="111"/>
      <c r="G310" s="152"/>
      <c r="H310" s="152"/>
      <c r="I310" s="29"/>
      <c r="J310" s="29"/>
      <c r="K310" s="30"/>
      <c r="L310" s="30"/>
      <c r="M310" s="30"/>
      <c r="N310" s="29"/>
    </row>
    <row r="311" spans="1:14">
      <c r="A311" s="24"/>
      <c r="B311" s="25"/>
      <c r="C311" s="25"/>
      <c r="D311" s="25"/>
      <c r="E311" s="153"/>
      <c r="F311" s="112"/>
      <c r="G311" s="153"/>
      <c r="H311" s="153"/>
      <c r="I311" s="25"/>
      <c r="J311" s="25"/>
      <c r="K311" s="26"/>
      <c r="L311" s="26"/>
      <c r="M311" s="26"/>
      <c r="N311" s="25"/>
    </row>
    <row r="312" spans="1:14">
      <c r="A312" s="28"/>
      <c r="B312" s="29"/>
      <c r="C312" s="29"/>
      <c r="D312" s="29"/>
      <c r="E312" s="152"/>
      <c r="F312" s="111"/>
      <c r="G312" s="152"/>
      <c r="H312" s="152"/>
      <c r="I312" s="29"/>
      <c r="J312" s="29"/>
      <c r="K312" s="30"/>
      <c r="L312" s="30"/>
      <c r="M312" s="30"/>
      <c r="N312" s="29"/>
    </row>
    <row r="1077" spans="5:5">
      <c r="E1077" s="1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D418-DD5A-4D9B-898E-CD6F53C814FC}">
  <sheetPr codeName="Hoja4"/>
  <dimension ref="A1:O1077"/>
  <sheetViews>
    <sheetView zoomScaleNormal="100" workbookViewId="0">
      <selection activeCell="I4" sqref="I4"/>
    </sheetView>
  </sheetViews>
  <sheetFormatPr baseColWidth="10" defaultColWidth="16" defaultRowHeight="14.25"/>
  <cols>
    <col min="1" max="4" width="16" style="1"/>
    <col min="5" max="5" width="16.5" style="270" bestFit="1" customWidth="1"/>
    <col min="6" max="6" width="16" style="1"/>
    <col min="7" max="7" width="17.5" style="270" bestFit="1" customWidth="1"/>
    <col min="8" max="9" width="16" style="1"/>
    <col min="10" max="10" width="16" style="21"/>
    <col min="11" max="11" width="16" style="17"/>
    <col min="12" max="12" width="16" style="1"/>
    <col min="13" max="13" width="16" style="21"/>
    <col min="14" max="16384" width="16" style="1"/>
  </cols>
  <sheetData>
    <row r="1" spans="1:15" ht="15">
      <c r="A1" s="2" t="s">
        <v>3</v>
      </c>
      <c r="B1" s="3" t="s">
        <v>4</v>
      </c>
      <c r="C1" s="3" t="s">
        <v>5</v>
      </c>
      <c r="D1" s="3" t="s">
        <v>6</v>
      </c>
      <c r="E1" s="266" t="s">
        <v>7</v>
      </c>
      <c r="F1" s="3" t="s">
        <v>8</v>
      </c>
      <c r="G1" s="266" t="s">
        <v>9</v>
      </c>
      <c r="H1" s="3" t="s">
        <v>10</v>
      </c>
      <c r="I1" s="3" t="s">
        <v>11</v>
      </c>
      <c r="J1" s="18" t="s">
        <v>13</v>
      </c>
      <c r="K1" s="14" t="s">
        <v>14</v>
      </c>
      <c r="L1" s="3" t="s">
        <v>16</v>
      </c>
      <c r="M1" s="18" t="s">
        <v>15</v>
      </c>
      <c r="N1" s="3"/>
      <c r="O1" s="4"/>
    </row>
    <row r="2" spans="1:15">
      <c r="A2" s="5" t="s">
        <v>876</v>
      </c>
      <c r="B2" s="6" t="s">
        <v>18</v>
      </c>
      <c r="C2" s="6" t="s">
        <v>32</v>
      </c>
      <c r="D2" s="6" t="s">
        <v>33</v>
      </c>
      <c r="E2" s="267">
        <v>2014788</v>
      </c>
      <c r="F2" s="6">
        <v>2</v>
      </c>
      <c r="G2" s="267">
        <v>2429637886</v>
      </c>
      <c r="H2" s="6">
        <v>2429</v>
      </c>
      <c r="I2" s="6" t="s">
        <v>34</v>
      </c>
      <c r="J2" s="19">
        <v>0.102254</v>
      </c>
      <c r="K2" s="15">
        <v>0</v>
      </c>
      <c r="L2" s="6">
        <v>0</v>
      </c>
      <c r="M2" s="19">
        <v>0</v>
      </c>
      <c r="N2" s="6"/>
      <c r="O2" s="7"/>
    </row>
    <row r="3" spans="1:15">
      <c r="A3" s="8" t="s">
        <v>876</v>
      </c>
      <c r="B3" s="9" t="s">
        <v>18</v>
      </c>
      <c r="C3" s="9" t="s">
        <v>35</v>
      </c>
      <c r="D3" s="9" t="s">
        <v>42</v>
      </c>
      <c r="E3" s="268">
        <v>43000</v>
      </c>
      <c r="F3" s="9">
        <v>0</v>
      </c>
      <c r="G3" s="268">
        <v>1480123429</v>
      </c>
      <c r="H3" s="9">
        <v>1480</v>
      </c>
      <c r="I3" s="9" t="s">
        <v>450</v>
      </c>
      <c r="J3" s="20">
        <v>6.2293000000000001E-2</v>
      </c>
      <c r="K3" s="16">
        <v>1.8149999999999999E-2</v>
      </c>
      <c r="L3" s="9">
        <v>18.440000000000001</v>
      </c>
      <c r="M3" s="20">
        <v>1.7899999999999999E-2</v>
      </c>
      <c r="N3" s="9"/>
      <c r="O3" s="10"/>
    </row>
    <row r="4" spans="1:15">
      <c r="A4" s="5" t="s">
        <v>876</v>
      </c>
      <c r="B4" s="6" t="s">
        <v>18</v>
      </c>
      <c r="C4" s="6" t="s">
        <v>35</v>
      </c>
      <c r="D4" s="6" t="s">
        <v>41</v>
      </c>
      <c r="E4" s="267">
        <v>41000</v>
      </c>
      <c r="F4" s="6">
        <v>0</v>
      </c>
      <c r="G4" s="267">
        <v>1186948774</v>
      </c>
      <c r="H4" s="6">
        <v>1186</v>
      </c>
      <c r="I4" s="6" t="s">
        <v>40</v>
      </c>
      <c r="J4" s="19">
        <v>4.9953999999999998E-2</v>
      </c>
      <c r="K4" s="15">
        <v>2.1860000000000001E-2</v>
      </c>
      <c r="L4" s="6">
        <v>13.82</v>
      </c>
      <c r="M4" s="19">
        <v>1.6500000000000001E-2</v>
      </c>
      <c r="N4" s="6"/>
      <c r="O4" s="7"/>
    </row>
    <row r="5" spans="1:15">
      <c r="A5" s="8" t="s">
        <v>876</v>
      </c>
      <c r="B5" s="9" t="s">
        <v>18</v>
      </c>
      <c r="C5" s="9" t="s">
        <v>35</v>
      </c>
      <c r="D5" s="9" t="s">
        <v>36</v>
      </c>
      <c r="E5" s="268">
        <v>41000</v>
      </c>
      <c r="F5" s="9">
        <v>0</v>
      </c>
      <c r="G5" s="268">
        <v>1144405829</v>
      </c>
      <c r="H5" s="9">
        <v>1144</v>
      </c>
      <c r="I5" s="9" t="s">
        <v>37</v>
      </c>
      <c r="J5" s="20">
        <v>4.8162999999999997E-2</v>
      </c>
      <c r="K5" s="16">
        <v>1.45666666E-2</v>
      </c>
      <c r="L5" s="9">
        <v>6.65</v>
      </c>
      <c r="M5" s="20">
        <v>1.32E-2</v>
      </c>
      <c r="N5" s="9"/>
      <c r="O5" s="10"/>
    </row>
    <row r="6" spans="1:15">
      <c r="A6" s="5" t="s">
        <v>876</v>
      </c>
      <c r="B6" s="6" t="s">
        <v>18</v>
      </c>
      <c r="C6" s="6" t="s">
        <v>54</v>
      </c>
      <c r="D6" s="6" t="s">
        <v>55</v>
      </c>
      <c r="E6" s="267">
        <v>20000</v>
      </c>
      <c r="F6" s="6">
        <v>0</v>
      </c>
      <c r="G6" s="267">
        <v>716474480</v>
      </c>
      <c r="H6" s="6">
        <v>716</v>
      </c>
      <c r="I6" s="6" t="s">
        <v>451</v>
      </c>
      <c r="J6" s="19">
        <v>3.0152999999999999E-2</v>
      </c>
      <c r="K6" s="15">
        <v>3.7249999999999998E-2</v>
      </c>
      <c r="L6" s="6">
        <v>11.16</v>
      </c>
      <c r="M6" s="19">
        <v>2.2100000000000002E-2</v>
      </c>
      <c r="N6" s="6"/>
      <c r="O6" s="7"/>
    </row>
    <row r="7" spans="1:15">
      <c r="A7" s="8" t="s">
        <v>876</v>
      </c>
      <c r="B7" s="9" t="s">
        <v>18</v>
      </c>
      <c r="C7" s="9" t="s">
        <v>51</v>
      </c>
      <c r="D7" s="9" t="s">
        <v>52</v>
      </c>
      <c r="E7" s="268">
        <v>25000</v>
      </c>
      <c r="F7" s="9">
        <v>0</v>
      </c>
      <c r="G7" s="268">
        <v>699312780</v>
      </c>
      <c r="H7" s="9">
        <v>699</v>
      </c>
      <c r="I7" s="9" t="s">
        <v>53</v>
      </c>
      <c r="J7" s="20">
        <v>2.9430999999999999E-2</v>
      </c>
      <c r="K7" s="16">
        <v>3.8975000000000003E-2</v>
      </c>
      <c r="L7" s="9">
        <v>0.06</v>
      </c>
      <c r="M7" s="20">
        <v>3.5200000000000002E-2</v>
      </c>
      <c r="N7" s="9"/>
      <c r="O7" s="10"/>
    </row>
    <row r="8" spans="1:15">
      <c r="A8" s="5" t="s">
        <v>876</v>
      </c>
      <c r="B8" s="6" t="s">
        <v>18</v>
      </c>
      <c r="C8" s="6" t="s">
        <v>96</v>
      </c>
      <c r="D8" s="6" t="s">
        <v>97</v>
      </c>
      <c r="E8" s="267">
        <v>20000</v>
      </c>
      <c r="F8" s="6">
        <v>0</v>
      </c>
      <c r="G8" s="267">
        <v>646072759</v>
      </c>
      <c r="H8" s="6">
        <v>646</v>
      </c>
      <c r="I8" s="6" t="s">
        <v>455</v>
      </c>
      <c r="J8" s="19">
        <v>2.7189999999999999E-2</v>
      </c>
      <c r="K8" s="15">
        <v>2.23E-2</v>
      </c>
      <c r="L8" s="6">
        <v>8.26</v>
      </c>
      <c r="M8" s="19">
        <v>2.1000000000000001E-2</v>
      </c>
      <c r="N8" s="6"/>
      <c r="O8" s="7"/>
    </row>
    <row r="9" spans="1:15">
      <c r="A9" s="8" t="s">
        <v>876</v>
      </c>
      <c r="B9" s="9" t="s">
        <v>18</v>
      </c>
      <c r="C9" s="9" t="s">
        <v>62</v>
      </c>
      <c r="D9" s="9" t="s">
        <v>63</v>
      </c>
      <c r="E9" s="268">
        <v>20000</v>
      </c>
      <c r="F9" s="9">
        <v>0</v>
      </c>
      <c r="G9" s="268">
        <v>625334210</v>
      </c>
      <c r="H9" s="9">
        <v>625</v>
      </c>
      <c r="I9" s="9" t="s">
        <v>452</v>
      </c>
      <c r="J9" s="20">
        <v>2.6318000000000001E-2</v>
      </c>
      <c r="K9" s="16">
        <v>2.3900000000000001E-2</v>
      </c>
      <c r="L9" s="9">
        <v>6.66</v>
      </c>
      <c r="M9" s="20">
        <v>2.1100000000000001E-2</v>
      </c>
      <c r="N9" s="9"/>
      <c r="O9" s="10"/>
    </row>
    <row r="10" spans="1:15">
      <c r="A10" s="5" t="s">
        <v>876</v>
      </c>
      <c r="B10" s="6" t="s">
        <v>18</v>
      </c>
      <c r="C10" s="6" t="s">
        <v>59</v>
      </c>
      <c r="D10" s="6" t="s">
        <v>60</v>
      </c>
      <c r="E10" s="267">
        <v>600000000</v>
      </c>
      <c r="F10" s="6">
        <v>600</v>
      </c>
      <c r="G10" s="267">
        <v>619720993</v>
      </c>
      <c r="H10" s="6">
        <v>619</v>
      </c>
      <c r="I10" s="6" t="s">
        <v>61</v>
      </c>
      <c r="J10" s="19">
        <v>2.6081E-2</v>
      </c>
      <c r="K10" s="15">
        <v>4.2200000000000001E-2</v>
      </c>
      <c r="L10" s="6">
        <v>2.54</v>
      </c>
      <c r="M10" s="19">
        <v>4.3499999999999997E-2</v>
      </c>
      <c r="N10" s="6"/>
      <c r="O10" s="7"/>
    </row>
    <row r="11" spans="1:15">
      <c r="A11" s="8" t="s">
        <v>876</v>
      </c>
      <c r="B11" s="9" t="s">
        <v>18</v>
      </c>
      <c r="C11" s="9" t="s">
        <v>650</v>
      </c>
      <c r="D11" s="9" t="s">
        <v>651</v>
      </c>
      <c r="E11" s="268">
        <v>604285.65769999998</v>
      </c>
      <c r="F11" s="9">
        <v>0</v>
      </c>
      <c r="G11" s="268">
        <v>576876591</v>
      </c>
      <c r="H11" s="9">
        <v>576</v>
      </c>
      <c r="I11" s="9" t="s">
        <v>34</v>
      </c>
      <c r="J11" s="20">
        <v>2.4278000000000001E-2</v>
      </c>
      <c r="K11" s="16">
        <v>0</v>
      </c>
      <c r="L11" s="9">
        <v>0</v>
      </c>
      <c r="M11" s="20">
        <v>0</v>
      </c>
      <c r="N11" s="9"/>
      <c r="O11" s="10"/>
    </row>
    <row r="12" spans="1:15">
      <c r="A12" s="5" t="s">
        <v>876</v>
      </c>
      <c r="B12" s="6" t="s">
        <v>18</v>
      </c>
      <c r="C12" s="6" t="s">
        <v>70</v>
      </c>
      <c r="D12" s="6" t="s">
        <v>74</v>
      </c>
      <c r="E12" s="267">
        <v>20000</v>
      </c>
      <c r="F12" s="6">
        <v>0</v>
      </c>
      <c r="G12" s="267">
        <v>575607521</v>
      </c>
      <c r="H12" s="6">
        <v>575</v>
      </c>
      <c r="I12" s="6" t="s">
        <v>453</v>
      </c>
      <c r="J12" s="19">
        <v>2.4225E-2</v>
      </c>
      <c r="K12" s="15">
        <v>3.49E-2</v>
      </c>
      <c r="L12" s="6">
        <v>11.09</v>
      </c>
      <c r="M12" s="19">
        <v>2.5000000000000001E-2</v>
      </c>
      <c r="N12" s="6"/>
      <c r="O12" s="7"/>
    </row>
    <row r="13" spans="1:15">
      <c r="A13" s="8" t="s">
        <v>876</v>
      </c>
      <c r="B13" s="9" t="s">
        <v>18</v>
      </c>
      <c r="C13" s="9" t="s">
        <v>67</v>
      </c>
      <c r="D13" s="9" t="s">
        <v>68</v>
      </c>
      <c r="E13" s="268">
        <v>20000</v>
      </c>
      <c r="F13" s="9">
        <v>0</v>
      </c>
      <c r="G13" s="268">
        <v>567118083</v>
      </c>
      <c r="H13" s="9">
        <v>567</v>
      </c>
      <c r="I13" s="9" t="s">
        <v>69</v>
      </c>
      <c r="J13" s="20">
        <v>2.3866999999999999E-2</v>
      </c>
      <c r="K13" s="16">
        <v>2.1000000000000001E-2</v>
      </c>
      <c r="L13" s="9">
        <v>2.87</v>
      </c>
      <c r="M13" s="20">
        <v>1.7299999999999999E-2</v>
      </c>
      <c r="N13" s="9"/>
      <c r="O13" s="10"/>
    </row>
    <row r="14" spans="1:15">
      <c r="A14" s="5" t="s">
        <v>876</v>
      </c>
      <c r="B14" s="6" t="s">
        <v>18</v>
      </c>
      <c r="C14" s="6" t="s">
        <v>70</v>
      </c>
      <c r="D14" s="6" t="s">
        <v>71</v>
      </c>
      <c r="E14" s="267">
        <v>20000</v>
      </c>
      <c r="F14" s="6">
        <v>0</v>
      </c>
      <c r="G14" s="267">
        <v>558141988</v>
      </c>
      <c r="H14" s="6">
        <v>558</v>
      </c>
      <c r="I14" s="6" t="s">
        <v>72</v>
      </c>
      <c r="J14" s="19">
        <v>2.349E-2</v>
      </c>
      <c r="K14" s="15">
        <v>2.4549999999999999E-2</v>
      </c>
      <c r="L14" s="6">
        <v>2.5299999999999998</v>
      </c>
      <c r="M14" s="19">
        <v>1.8200000000000001E-2</v>
      </c>
      <c r="N14" s="6"/>
      <c r="O14" s="7"/>
    </row>
    <row r="15" spans="1:15">
      <c r="A15" s="8" t="s">
        <v>876</v>
      </c>
      <c r="B15" s="9" t="s">
        <v>18</v>
      </c>
      <c r="C15" s="9" t="s">
        <v>64</v>
      </c>
      <c r="D15" s="9" t="s">
        <v>65</v>
      </c>
      <c r="E15" s="268">
        <v>20000</v>
      </c>
      <c r="F15" s="9">
        <v>0</v>
      </c>
      <c r="G15" s="268">
        <v>523695588</v>
      </c>
      <c r="H15" s="9">
        <v>523</v>
      </c>
      <c r="I15" s="9" t="s">
        <v>66</v>
      </c>
      <c r="J15" s="20">
        <v>2.2040000000000001E-2</v>
      </c>
      <c r="K15" s="16">
        <v>3.3500000000000002E-2</v>
      </c>
      <c r="L15" s="9">
        <v>5</v>
      </c>
      <c r="M15" s="20">
        <v>2.3E-2</v>
      </c>
      <c r="N15" s="9"/>
      <c r="O15" s="10"/>
    </row>
    <row r="16" spans="1:15">
      <c r="A16" s="5" t="s">
        <v>876</v>
      </c>
      <c r="B16" s="6" t="s">
        <v>18</v>
      </c>
      <c r="C16" s="6" t="s">
        <v>75</v>
      </c>
      <c r="D16" s="6" t="s">
        <v>76</v>
      </c>
      <c r="E16" s="267">
        <v>500000000</v>
      </c>
      <c r="F16" s="6">
        <v>500</v>
      </c>
      <c r="G16" s="267">
        <v>519274780</v>
      </c>
      <c r="H16" s="6">
        <v>519</v>
      </c>
      <c r="I16" s="6" t="s">
        <v>72</v>
      </c>
      <c r="J16" s="19">
        <v>2.1853999999999998E-2</v>
      </c>
      <c r="K16" s="15">
        <v>4.3400000000000001E-2</v>
      </c>
      <c r="L16" s="6">
        <v>2.42</v>
      </c>
      <c r="M16" s="19">
        <v>4.3200000000000002E-2</v>
      </c>
      <c r="N16" s="6"/>
      <c r="O16" s="7"/>
    </row>
    <row r="17" spans="1:15">
      <c r="A17" s="8" t="s">
        <v>876</v>
      </c>
      <c r="B17" s="9" t="s">
        <v>18</v>
      </c>
      <c r="C17" s="9" t="s">
        <v>62</v>
      </c>
      <c r="D17" s="9" t="s">
        <v>77</v>
      </c>
      <c r="E17" s="268">
        <v>500000000</v>
      </c>
      <c r="F17" s="9">
        <v>500</v>
      </c>
      <c r="G17" s="268">
        <v>508481051</v>
      </c>
      <c r="H17" s="9">
        <v>508</v>
      </c>
      <c r="I17" s="9" t="s">
        <v>78</v>
      </c>
      <c r="J17" s="20">
        <v>2.1399999999999999E-2</v>
      </c>
      <c r="K17" s="16">
        <v>4.6800000000000001E-2</v>
      </c>
      <c r="L17" s="9">
        <v>3.01</v>
      </c>
      <c r="M17" s="20">
        <v>4.3299999999999998E-2</v>
      </c>
      <c r="N17" s="9"/>
      <c r="O17" s="10"/>
    </row>
    <row r="18" spans="1:15">
      <c r="A18" s="5" t="s">
        <v>876</v>
      </c>
      <c r="B18" s="6" t="s">
        <v>18</v>
      </c>
      <c r="C18" s="6" t="s">
        <v>35</v>
      </c>
      <c r="D18" s="6" t="s">
        <v>91</v>
      </c>
      <c r="E18" s="267">
        <v>18000</v>
      </c>
      <c r="F18" s="6">
        <v>0</v>
      </c>
      <c r="G18" s="267">
        <v>501727134</v>
      </c>
      <c r="H18" s="6">
        <v>501</v>
      </c>
      <c r="I18" s="6" t="s">
        <v>44</v>
      </c>
      <c r="J18" s="19">
        <v>2.1114999999999998E-2</v>
      </c>
      <c r="K18" s="15">
        <v>1.0800000000000001E-2</v>
      </c>
      <c r="L18" s="6">
        <v>1.95</v>
      </c>
      <c r="M18" s="19">
        <v>9.4999999999999998E-3</v>
      </c>
      <c r="N18" s="6"/>
      <c r="O18" s="7"/>
    </row>
    <row r="19" spans="1:15">
      <c r="A19" s="8" t="s">
        <v>876</v>
      </c>
      <c r="B19" s="9" t="s">
        <v>18</v>
      </c>
      <c r="C19" s="9" t="s">
        <v>38</v>
      </c>
      <c r="D19" s="9" t="s">
        <v>73</v>
      </c>
      <c r="E19" s="268">
        <v>400000000</v>
      </c>
      <c r="F19" s="9">
        <v>400</v>
      </c>
      <c r="G19" s="268">
        <v>490125837</v>
      </c>
      <c r="H19" s="9">
        <v>490</v>
      </c>
      <c r="I19" s="9" t="s">
        <v>609</v>
      </c>
      <c r="J19" s="20">
        <v>2.0627E-2</v>
      </c>
      <c r="K19" s="16">
        <v>5.1700000000000003E-2</v>
      </c>
      <c r="L19" s="9">
        <v>13.86</v>
      </c>
      <c r="M19" s="20">
        <v>4.5699999999999998E-2</v>
      </c>
      <c r="N19" s="9"/>
      <c r="O19" s="10"/>
    </row>
    <row r="20" spans="1:15">
      <c r="A20" s="5" t="s">
        <v>876</v>
      </c>
      <c r="B20" s="6" t="s">
        <v>18</v>
      </c>
      <c r="C20" s="6" t="s">
        <v>564</v>
      </c>
      <c r="D20" s="6" t="s">
        <v>565</v>
      </c>
      <c r="E20" s="267">
        <v>15000</v>
      </c>
      <c r="F20" s="6">
        <v>0</v>
      </c>
      <c r="G20" s="267">
        <v>490102283</v>
      </c>
      <c r="H20" s="6">
        <v>490</v>
      </c>
      <c r="I20" s="6" t="s">
        <v>748</v>
      </c>
      <c r="J20" s="19">
        <v>2.0625999999999999E-2</v>
      </c>
      <c r="K20" s="15">
        <v>1.9650000000000001E-2</v>
      </c>
      <c r="L20" s="6">
        <v>4.74</v>
      </c>
      <c r="M20" s="19">
        <v>1.9300000000000001E-2</v>
      </c>
      <c r="N20" s="6"/>
      <c r="O20" s="7"/>
    </row>
    <row r="21" spans="1:15">
      <c r="A21" s="8" t="s">
        <v>876</v>
      </c>
      <c r="B21" s="9" t="s">
        <v>18</v>
      </c>
      <c r="C21" s="9" t="s">
        <v>749</v>
      </c>
      <c r="D21" s="9" t="s">
        <v>750</v>
      </c>
      <c r="E21" s="268">
        <v>588.81299999999999</v>
      </c>
      <c r="F21" s="9">
        <v>0</v>
      </c>
      <c r="G21" s="268">
        <v>481765580</v>
      </c>
      <c r="H21" s="9">
        <v>481</v>
      </c>
      <c r="I21" s="9" t="s">
        <v>34</v>
      </c>
      <c r="J21" s="20">
        <v>2.0275000000000001E-2</v>
      </c>
      <c r="K21" s="16">
        <v>0</v>
      </c>
      <c r="L21" s="9">
        <v>0</v>
      </c>
      <c r="M21" s="20">
        <v>0</v>
      </c>
      <c r="N21" s="9"/>
      <c r="O21" s="10"/>
    </row>
    <row r="22" spans="1:15">
      <c r="A22" s="5" t="s">
        <v>876</v>
      </c>
      <c r="B22" s="6" t="s">
        <v>18</v>
      </c>
      <c r="C22" s="6" t="s">
        <v>23</v>
      </c>
      <c r="D22" s="6" t="s">
        <v>20</v>
      </c>
      <c r="E22" s="267">
        <v>490936226</v>
      </c>
      <c r="F22" s="6">
        <v>490</v>
      </c>
      <c r="G22" s="267">
        <v>480048721</v>
      </c>
      <c r="H22" s="6">
        <v>480</v>
      </c>
      <c r="I22" s="6" t="s">
        <v>707</v>
      </c>
      <c r="J22" s="19">
        <v>2.0202999999999999E-2</v>
      </c>
      <c r="K22" s="15">
        <v>3.3E-3</v>
      </c>
      <c r="L22" s="6">
        <v>0.67</v>
      </c>
      <c r="M22" s="19">
        <v>3.3599999999999998E-2</v>
      </c>
      <c r="N22" s="6"/>
      <c r="O22" s="7"/>
    </row>
    <row r="23" spans="1:15">
      <c r="A23" s="8" t="s">
        <v>876</v>
      </c>
      <c r="B23" s="9" t="s">
        <v>18</v>
      </c>
      <c r="C23" s="9" t="s">
        <v>81</v>
      </c>
      <c r="D23" s="9" t="s">
        <v>82</v>
      </c>
      <c r="E23" s="268">
        <v>15000</v>
      </c>
      <c r="F23" s="9">
        <v>0</v>
      </c>
      <c r="G23" s="268">
        <v>458241609</v>
      </c>
      <c r="H23" s="9">
        <v>458</v>
      </c>
      <c r="I23" s="9" t="s">
        <v>83</v>
      </c>
      <c r="J23" s="20">
        <v>1.9285E-2</v>
      </c>
      <c r="K23" s="16">
        <v>3.7900000000000003E-2</v>
      </c>
      <c r="L23" s="9">
        <v>2.17</v>
      </c>
      <c r="M23" s="20">
        <v>1.8700000000000001E-2</v>
      </c>
      <c r="N23" s="9"/>
      <c r="O23" s="10"/>
    </row>
    <row r="24" spans="1:15">
      <c r="A24" s="5" t="s">
        <v>876</v>
      </c>
      <c r="B24" s="6" t="s">
        <v>18</v>
      </c>
      <c r="C24" s="6" t="s">
        <v>47</v>
      </c>
      <c r="D24" s="6" t="s">
        <v>48</v>
      </c>
      <c r="E24" s="267">
        <v>13000</v>
      </c>
      <c r="F24" s="6">
        <v>0</v>
      </c>
      <c r="G24" s="267">
        <v>435895346</v>
      </c>
      <c r="H24" s="6">
        <v>435</v>
      </c>
      <c r="I24" s="6" t="s">
        <v>49</v>
      </c>
      <c r="J24" s="19">
        <v>1.8345E-2</v>
      </c>
      <c r="K24" s="15">
        <v>2.1700000000000001E-2</v>
      </c>
      <c r="L24" s="6">
        <v>6.05</v>
      </c>
      <c r="M24" s="19">
        <v>1.83E-2</v>
      </c>
      <c r="N24" s="6"/>
      <c r="O24" s="7"/>
    </row>
    <row r="25" spans="1:15">
      <c r="A25" s="8" t="s">
        <v>876</v>
      </c>
      <c r="B25" s="9" t="s">
        <v>18</v>
      </c>
      <c r="C25" s="9" t="s">
        <v>363</v>
      </c>
      <c r="D25" s="9" t="s">
        <v>623</v>
      </c>
      <c r="E25" s="268">
        <v>15000</v>
      </c>
      <c r="F25" s="9">
        <v>0</v>
      </c>
      <c r="G25" s="268">
        <v>421981908</v>
      </c>
      <c r="H25" s="9">
        <v>421</v>
      </c>
      <c r="I25" s="9" t="s">
        <v>606</v>
      </c>
      <c r="J25" s="20">
        <v>1.7759E-2</v>
      </c>
      <c r="K25" s="16">
        <v>2.3900000000000001E-2</v>
      </c>
      <c r="L25" s="9">
        <v>3.8</v>
      </c>
      <c r="M25" s="20">
        <v>2.29E-2</v>
      </c>
      <c r="N25" s="9"/>
      <c r="O25" s="10"/>
    </row>
    <row r="26" spans="1:15">
      <c r="A26" s="5" t="s">
        <v>876</v>
      </c>
      <c r="B26" s="6" t="s">
        <v>18</v>
      </c>
      <c r="C26" s="6" t="s">
        <v>50</v>
      </c>
      <c r="D26" s="6" t="s">
        <v>383</v>
      </c>
      <c r="E26" s="267">
        <v>400000000</v>
      </c>
      <c r="F26" s="6">
        <v>400</v>
      </c>
      <c r="G26" s="267">
        <v>410701418</v>
      </c>
      <c r="H26" s="6">
        <v>410</v>
      </c>
      <c r="I26" s="6" t="s">
        <v>109</v>
      </c>
      <c r="J26" s="19">
        <v>1.7284000000000001E-2</v>
      </c>
      <c r="K26" s="15">
        <v>4.3400000000000001E-2</v>
      </c>
      <c r="L26" s="6">
        <v>1.27</v>
      </c>
      <c r="M26" s="19">
        <v>3.95E-2</v>
      </c>
      <c r="N26" s="6"/>
      <c r="O26" s="7"/>
    </row>
    <row r="27" spans="1:15">
      <c r="A27" s="8" t="s">
        <v>876</v>
      </c>
      <c r="B27" s="9" t="s">
        <v>18</v>
      </c>
      <c r="C27" s="9" t="s">
        <v>80</v>
      </c>
      <c r="D27" s="9" t="s">
        <v>618</v>
      </c>
      <c r="E27" s="268">
        <v>12000</v>
      </c>
      <c r="F27" s="9">
        <v>0</v>
      </c>
      <c r="G27" s="268">
        <v>359776750</v>
      </c>
      <c r="H27" s="9">
        <v>359</v>
      </c>
      <c r="I27" s="9" t="s">
        <v>619</v>
      </c>
      <c r="J27" s="20">
        <v>1.5141E-2</v>
      </c>
      <c r="K27" s="16">
        <v>2.4199999999999999E-2</v>
      </c>
      <c r="L27" s="9">
        <v>7.79</v>
      </c>
      <c r="M27" s="20">
        <v>2.1999999999999999E-2</v>
      </c>
      <c r="N27" s="9"/>
      <c r="O27" s="10"/>
    </row>
    <row r="28" spans="1:15">
      <c r="A28" s="5" t="s">
        <v>876</v>
      </c>
      <c r="B28" s="6" t="s">
        <v>18</v>
      </c>
      <c r="C28" s="6" t="s">
        <v>54</v>
      </c>
      <c r="D28" s="6" t="s">
        <v>751</v>
      </c>
      <c r="E28" s="267">
        <v>12000</v>
      </c>
      <c r="F28" s="6">
        <v>0</v>
      </c>
      <c r="G28" s="267">
        <v>339745892</v>
      </c>
      <c r="H28" s="6">
        <v>339</v>
      </c>
      <c r="I28" s="6" t="s">
        <v>109</v>
      </c>
      <c r="J28" s="19">
        <v>1.4298E-2</v>
      </c>
      <c r="K28" s="15">
        <v>1.4800000000000001E-2</v>
      </c>
      <c r="L28" s="6">
        <v>1.29</v>
      </c>
      <c r="M28" s="19">
        <v>1.35E-2</v>
      </c>
      <c r="N28" s="6"/>
      <c r="O28" s="7"/>
    </row>
    <row r="29" spans="1:15">
      <c r="A29" s="8" t="s">
        <v>876</v>
      </c>
      <c r="B29" s="9" t="s">
        <v>18</v>
      </c>
      <c r="C29" s="9" t="s">
        <v>86</v>
      </c>
      <c r="D29" s="9" t="s">
        <v>92</v>
      </c>
      <c r="E29" s="268">
        <v>12000</v>
      </c>
      <c r="F29" s="9">
        <v>0</v>
      </c>
      <c r="G29" s="268">
        <v>338949985</v>
      </c>
      <c r="H29" s="9">
        <v>338</v>
      </c>
      <c r="I29" s="9" t="s">
        <v>93</v>
      </c>
      <c r="J29" s="20">
        <v>1.4265E-2</v>
      </c>
      <c r="K29" s="16">
        <v>2.1899999999999999E-2</v>
      </c>
      <c r="L29" s="9">
        <v>3.73</v>
      </c>
      <c r="M29" s="20">
        <v>1.7899999999999999E-2</v>
      </c>
      <c r="N29" s="9"/>
      <c r="O29" s="10"/>
    </row>
    <row r="30" spans="1:15">
      <c r="A30" s="5" t="s">
        <v>876</v>
      </c>
      <c r="B30" s="6" t="s">
        <v>18</v>
      </c>
      <c r="C30" s="6" t="s">
        <v>84</v>
      </c>
      <c r="D30" s="6" t="s">
        <v>85</v>
      </c>
      <c r="E30" s="267">
        <v>11000</v>
      </c>
      <c r="F30" s="6">
        <v>0</v>
      </c>
      <c r="G30" s="267">
        <v>330668851</v>
      </c>
      <c r="H30" s="6">
        <v>330</v>
      </c>
      <c r="I30" s="6" t="s">
        <v>78</v>
      </c>
      <c r="J30" s="19">
        <v>1.3916E-2</v>
      </c>
      <c r="K30" s="15">
        <v>0.04</v>
      </c>
      <c r="L30" s="6">
        <v>2.98</v>
      </c>
      <c r="M30" s="19">
        <v>2.7799999999999998E-2</v>
      </c>
      <c r="N30" s="6"/>
      <c r="O30" s="7"/>
    </row>
    <row r="31" spans="1:15">
      <c r="A31" s="8" t="s">
        <v>876</v>
      </c>
      <c r="B31" s="9" t="s">
        <v>18</v>
      </c>
      <c r="C31" s="9" t="s">
        <v>94</v>
      </c>
      <c r="D31" s="9" t="s">
        <v>95</v>
      </c>
      <c r="E31" s="268">
        <v>10000</v>
      </c>
      <c r="F31" s="9">
        <v>0</v>
      </c>
      <c r="G31" s="268">
        <v>321424779</v>
      </c>
      <c r="H31" s="9">
        <v>321</v>
      </c>
      <c r="I31" s="9" t="s">
        <v>454</v>
      </c>
      <c r="J31" s="20">
        <v>1.3527000000000001E-2</v>
      </c>
      <c r="K31" s="16">
        <v>2.8400000000000002E-2</v>
      </c>
      <c r="L31" s="9">
        <v>9.33</v>
      </c>
      <c r="M31" s="20">
        <v>2.4E-2</v>
      </c>
      <c r="N31" s="9"/>
      <c r="O31" s="10"/>
    </row>
    <row r="32" spans="1:15">
      <c r="A32" s="5" t="s">
        <v>876</v>
      </c>
      <c r="B32" s="6" t="s">
        <v>18</v>
      </c>
      <c r="C32" s="6" t="s">
        <v>80</v>
      </c>
      <c r="D32" s="6" t="s">
        <v>752</v>
      </c>
      <c r="E32" s="267">
        <v>10000</v>
      </c>
      <c r="F32" s="6">
        <v>0</v>
      </c>
      <c r="G32" s="267">
        <v>312950902</v>
      </c>
      <c r="H32" s="6">
        <v>312</v>
      </c>
      <c r="I32" s="6" t="s">
        <v>753</v>
      </c>
      <c r="J32" s="19">
        <v>1.3169999999999999E-2</v>
      </c>
      <c r="K32" s="15">
        <v>0.03</v>
      </c>
      <c r="L32" s="6">
        <v>14.47</v>
      </c>
      <c r="M32" s="19">
        <v>2.5999999999999999E-2</v>
      </c>
      <c r="N32" s="6"/>
      <c r="O32" s="7"/>
    </row>
    <row r="33" spans="1:15">
      <c r="A33" s="8" t="s">
        <v>876</v>
      </c>
      <c r="B33" s="9" t="s">
        <v>18</v>
      </c>
      <c r="C33" s="9" t="s">
        <v>75</v>
      </c>
      <c r="D33" s="9" t="s">
        <v>98</v>
      </c>
      <c r="E33" s="268">
        <v>11000</v>
      </c>
      <c r="F33" s="9">
        <v>0</v>
      </c>
      <c r="G33" s="268">
        <v>305335896</v>
      </c>
      <c r="H33" s="9">
        <v>305</v>
      </c>
      <c r="I33" s="9" t="s">
        <v>99</v>
      </c>
      <c r="J33" s="20">
        <v>1.285E-2</v>
      </c>
      <c r="K33" s="16">
        <v>2.1399999999999999E-2</v>
      </c>
      <c r="L33" s="9">
        <v>2.91</v>
      </c>
      <c r="M33" s="20">
        <v>1.67E-2</v>
      </c>
      <c r="N33" s="9"/>
      <c r="O33" s="10"/>
    </row>
    <row r="34" spans="1:15">
      <c r="A34" s="5" t="s">
        <v>876</v>
      </c>
      <c r="B34" s="6" t="s">
        <v>18</v>
      </c>
      <c r="C34" s="6" t="s">
        <v>470</v>
      </c>
      <c r="D34" s="6" t="s">
        <v>20</v>
      </c>
      <c r="E34" s="267">
        <v>300000000</v>
      </c>
      <c r="F34" s="6">
        <v>300</v>
      </c>
      <c r="G34" s="267">
        <v>299977002</v>
      </c>
      <c r="H34" s="6">
        <v>299</v>
      </c>
      <c r="I34" s="6" t="s">
        <v>605</v>
      </c>
      <c r="J34" s="19">
        <v>1.2624E-2</v>
      </c>
      <c r="K34" s="15">
        <v>2.3999999999999998E-3</v>
      </c>
      <c r="L34" s="6">
        <v>0</v>
      </c>
      <c r="M34" s="19">
        <v>2.76E-2</v>
      </c>
      <c r="N34" s="6"/>
      <c r="O34" s="7"/>
    </row>
    <row r="35" spans="1:15">
      <c r="A35" s="8" t="s">
        <v>876</v>
      </c>
      <c r="B35" s="9" t="s">
        <v>18</v>
      </c>
      <c r="C35" s="9" t="s">
        <v>207</v>
      </c>
      <c r="D35" s="9" t="s">
        <v>208</v>
      </c>
      <c r="E35" s="268">
        <v>10000</v>
      </c>
      <c r="F35" s="9">
        <v>0</v>
      </c>
      <c r="G35" s="268">
        <v>280596506</v>
      </c>
      <c r="H35" s="9">
        <v>280</v>
      </c>
      <c r="I35" s="9" t="s">
        <v>209</v>
      </c>
      <c r="J35" s="20">
        <v>1.1809E-2</v>
      </c>
      <c r="K35" s="16">
        <v>1.83E-2</v>
      </c>
      <c r="L35" s="9">
        <v>2.29</v>
      </c>
      <c r="M35" s="20">
        <v>1.66E-2</v>
      </c>
      <c r="N35" s="9"/>
      <c r="O35" s="10"/>
    </row>
    <row r="36" spans="1:15">
      <c r="A36" s="5" t="s">
        <v>876</v>
      </c>
      <c r="B36" s="6" t="s">
        <v>18</v>
      </c>
      <c r="C36" s="6" t="s">
        <v>424</v>
      </c>
      <c r="D36" s="6" t="s">
        <v>425</v>
      </c>
      <c r="E36" s="267">
        <v>9000</v>
      </c>
      <c r="F36" s="6">
        <v>0</v>
      </c>
      <c r="G36" s="267">
        <v>278444899</v>
      </c>
      <c r="H36" s="6">
        <v>278</v>
      </c>
      <c r="I36" s="6" t="s">
        <v>471</v>
      </c>
      <c r="J36" s="19">
        <v>1.1717999999999999E-2</v>
      </c>
      <c r="K36" s="15">
        <v>3.2599999999999997E-2</v>
      </c>
      <c r="L36" s="6">
        <v>11.64</v>
      </c>
      <c r="M36" s="19">
        <v>2.52E-2</v>
      </c>
      <c r="N36" s="6"/>
      <c r="O36" s="7"/>
    </row>
    <row r="37" spans="1:15">
      <c r="A37" s="8" t="s">
        <v>876</v>
      </c>
      <c r="B37" s="9" t="s">
        <v>18</v>
      </c>
      <c r="C37" s="9" t="s">
        <v>754</v>
      </c>
      <c r="D37" s="9" t="s">
        <v>755</v>
      </c>
      <c r="E37" s="268">
        <v>1357</v>
      </c>
      <c r="F37" s="9">
        <v>0</v>
      </c>
      <c r="G37" s="268">
        <v>249845414</v>
      </c>
      <c r="H37" s="9">
        <v>249</v>
      </c>
      <c r="I37" s="9" t="s">
        <v>34</v>
      </c>
      <c r="J37" s="20">
        <v>1.0515E-2</v>
      </c>
      <c r="K37" s="16">
        <v>0</v>
      </c>
      <c r="L37" s="9">
        <v>0</v>
      </c>
      <c r="M37" s="20">
        <v>0</v>
      </c>
      <c r="N37" s="9"/>
      <c r="O37" s="10"/>
    </row>
    <row r="38" spans="1:15">
      <c r="A38" s="5" t="s">
        <v>876</v>
      </c>
      <c r="B38" s="6" t="s">
        <v>18</v>
      </c>
      <c r="C38" s="6" t="s">
        <v>96</v>
      </c>
      <c r="D38" s="6" t="s">
        <v>756</v>
      </c>
      <c r="E38" s="267">
        <v>8000</v>
      </c>
      <c r="F38" s="6">
        <v>0</v>
      </c>
      <c r="G38" s="267">
        <v>226960667</v>
      </c>
      <c r="H38" s="6">
        <v>226</v>
      </c>
      <c r="I38" s="6" t="s">
        <v>757</v>
      </c>
      <c r="J38" s="19">
        <v>9.5510000000000005E-3</v>
      </c>
      <c r="K38" s="15">
        <v>2.5399999999999999E-2</v>
      </c>
      <c r="L38" s="6">
        <v>8.35</v>
      </c>
      <c r="M38" s="19">
        <v>2.0500000000000001E-2</v>
      </c>
      <c r="N38" s="6"/>
      <c r="O38" s="7"/>
    </row>
    <row r="39" spans="1:15">
      <c r="A39" s="8" t="s">
        <v>876</v>
      </c>
      <c r="B39" s="9" t="s">
        <v>18</v>
      </c>
      <c r="C39" s="9" t="s">
        <v>38</v>
      </c>
      <c r="D39" s="9" t="s">
        <v>758</v>
      </c>
      <c r="E39" s="268">
        <v>220000000</v>
      </c>
      <c r="F39" s="9">
        <v>220</v>
      </c>
      <c r="G39" s="268">
        <v>221998549</v>
      </c>
      <c r="H39" s="9">
        <v>221</v>
      </c>
      <c r="I39" s="9" t="s">
        <v>630</v>
      </c>
      <c r="J39" s="20">
        <v>9.3430000000000006E-3</v>
      </c>
      <c r="K39" s="16">
        <v>4.1500000000000002E-2</v>
      </c>
      <c r="L39" s="9">
        <v>3.71</v>
      </c>
      <c r="M39" s="20">
        <v>3.8100000000000002E-2</v>
      </c>
      <c r="N39" s="9"/>
      <c r="O39" s="10"/>
    </row>
    <row r="40" spans="1:15">
      <c r="A40" s="5" t="s">
        <v>876</v>
      </c>
      <c r="B40" s="6" t="s">
        <v>18</v>
      </c>
      <c r="C40" s="6" t="s">
        <v>54</v>
      </c>
      <c r="D40" s="6" t="s">
        <v>456</v>
      </c>
      <c r="E40" s="267">
        <v>6000</v>
      </c>
      <c r="F40" s="6">
        <v>0</v>
      </c>
      <c r="G40" s="267">
        <v>201475036</v>
      </c>
      <c r="H40" s="6">
        <v>201</v>
      </c>
      <c r="I40" s="6" t="s">
        <v>457</v>
      </c>
      <c r="J40" s="19">
        <v>8.4790000000000004E-3</v>
      </c>
      <c r="K40" s="15">
        <v>3.80666666E-2</v>
      </c>
      <c r="L40" s="6">
        <v>10.69</v>
      </c>
      <c r="M40" s="19">
        <v>2.18E-2</v>
      </c>
      <c r="N40" s="6"/>
      <c r="O40" s="7"/>
    </row>
    <row r="41" spans="1:15">
      <c r="A41" s="8" t="s">
        <v>876</v>
      </c>
      <c r="B41" s="9" t="s">
        <v>18</v>
      </c>
      <c r="C41" s="9" t="s">
        <v>26</v>
      </c>
      <c r="D41" s="9" t="s">
        <v>20</v>
      </c>
      <c r="E41" s="268">
        <v>200000000</v>
      </c>
      <c r="F41" s="9">
        <v>200</v>
      </c>
      <c r="G41" s="268">
        <v>196243892</v>
      </c>
      <c r="H41" s="9">
        <v>196</v>
      </c>
      <c r="I41" s="9" t="s">
        <v>706</v>
      </c>
      <c r="J41" s="20">
        <v>8.2590000000000007E-3</v>
      </c>
      <c r="K41" s="16">
        <v>3.3E-3</v>
      </c>
      <c r="L41" s="9">
        <v>0.54</v>
      </c>
      <c r="M41" s="20">
        <v>3.4799999999999998E-2</v>
      </c>
      <c r="N41" s="9"/>
      <c r="O41" s="10"/>
    </row>
    <row r="42" spans="1:15">
      <c r="A42" s="5" t="s">
        <v>876</v>
      </c>
      <c r="B42" s="6" t="s">
        <v>18</v>
      </c>
      <c r="C42" s="6" t="s">
        <v>502</v>
      </c>
      <c r="D42" s="6" t="s">
        <v>759</v>
      </c>
      <c r="E42" s="267">
        <v>6500</v>
      </c>
      <c r="F42" s="6">
        <v>0</v>
      </c>
      <c r="G42" s="267">
        <v>182660482</v>
      </c>
      <c r="H42" s="6">
        <v>182</v>
      </c>
      <c r="I42" s="6" t="s">
        <v>760</v>
      </c>
      <c r="J42" s="19">
        <v>7.6870000000000003E-3</v>
      </c>
      <c r="K42" s="15">
        <v>2.5399999999999999E-2</v>
      </c>
      <c r="L42" s="6">
        <v>3.55</v>
      </c>
      <c r="M42" s="19">
        <v>1.9800000000000002E-2</v>
      </c>
      <c r="N42" s="6"/>
      <c r="O42" s="7"/>
    </row>
    <row r="43" spans="1:15">
      <c r="A43" s="8" t="s">
        <v>876</v>
      </c>
      <c r="B43" s="9" t="s">
        <v>18</v>
      </c>
      <c r="C43" s="9" t="s">
        <v>67</v>
      </c>
      <c r="D43" s="9" t="s">
        <v>103</v>
      </c>
      <c r="E43" s="268">
        <v>10000</v>
      </c>
      <c r="F43" s="9">
        <v>0</v>
      </c>
      <c r="G43" s="268">
        <v>174689028</v>
      </c>
      <c r="H43" s="9">
        <v>174</v>
      </c>
      <c r="I43" s="9" t="s">
        <v>104</v>
      </c>
      <c r="J43" s="20">
        <v>7.352E-3</v>
      </c>
      <c r="K43" s="16">
        <v>2.5499999999999998E-2</v>
      </c>
      <c r="L43" s="9">
        <v>4.6900000000000004</v>
      </c>
      <c r="M43" s="20">
        <v>1.8499999999999999E-2</v>
      </c>
      <c r="N43" s="9"/>
      <c r="O43" s="10"/>
    </row>
    <row r="44" spans="1:15">
      <c r="A44" s="5" t="s">
        <v>876</v>
      </c>
      <c r="B44" s="6" t="s">
        <v>18</v>
      </c>
      <c r="C44" s="6" t="s">
        <v>105</v>
      </c>
      <c r="D44" s="6" t="s">
        <v>106</v>
      </c>
      <c r="E44" s="267">
        <v>5000</v>
      </c>
      <c r="F44" s="6">
        <v>0</v>
      </c>
      <c r="G44" s="267">
        <v>165935806</v>
      </c>
      <c r="H44" s="6">
        <v>165</v>
      </c>
      <c r="I44" s="6" t="s">
        <v>458</v>
      </c>
      <c r="J44" s="19">
        <v>6.9829999999999996E-3</v>
      </c>
      <c r="K44" s="15">
        <v>2.8299999999999999E-2</v>
      </c>
      <c r="L44" s="6">
        <v>10.16</v>
      </c>
      <c r="M44" s="19">
        <v>2.2499999999999999E-2</v>
      </c>
      <c r="N44" s="6"/>
      <c r="O44" s="7"/>
    </row>
    <row r="45" spans="1:15">
      <c r="A45" s="8" t="s">
        <v>876</v>
      </c>
      <c r="B45" s="9" t="s">
        <v>18</v>
      </c>
      <c r="C45" s="9" t="s">
        <v>86</v>
      </c>
      <c r="D45" s="9" t="s">
        <v>89</v>
      </c>
      <c r="E45" s="268">
        <v>400000000</v>
      </c>
      <c r="F45" s="9">
        <v>400</v>
      </c>
      <c r="G45" s="268">
        <v>162269404</v>
      </c>
      <c r="H45" s="9">
        <v>162</v>
      </c>
      <c r="I45" s="9" t="s">
        <v>90</v>
      </c>
      <c r="J45" s="20">
        <v>6.829E-3</v>
      </c>
      <c r="K45" s="16">
        <v>5.0999999999999997E-2</v>
      </c>
      <c r="L45" s="9">
        <v>0.64</v>
      </c>
      <c r="M45" s="20">
        <v>4.1000000000000002E-2</v>
      </c>
      <c r="N45" s="9"/>
      <c r="O45" s="10"/>
    </row>
    <row r="46" spans="1:15">
      <c r="A46" s="5" t="s">
        <v>876</v>
      </c>
      <c r="B46" s="6" t="s">
        <v>18</v>
      </c>
      <c r="C46" s="6" t="s">
        <v>625</v>
      </c>
      <c r="D46" s="6" t="s">
        <v>20</v>
      </c>
      <c r="E46" s="267">
        <v>150000000</v>
      </c>
      <c r="F46" s="6">
        <v>150</v>
      </c>
      <c r="G46" s="267">
        <v>149784311</v>
      </c>
      <c r="H46" s="6">
        <v>149</v>
      </c>
      <c r="I46" s="6" t="s">
        <v>702</v>
      </c>
      <c r="J46" s="19">
        <v>6.3029999999999996E-3</v>
      </c>
      <c r="K46" s="15">
        <v>2.5999999999999999E-3</v>
      </c>
      <c r="L46" s="6">
        <v>0.05</v>
      </c>
      <c r="M46" s="19">
        <v>2.8799999999999999E-2</v>
      </c>
      <c r="N46" s="6"/>
      <c r="O46" s="7"/>
    </row>
    <row r="47" spans="1:15">
      <c r="A47" s="8" t="s">
        <v>876</v>
      </c>
      <c r="B47" s="9" t="s">
        <v>18</v>
      </c>
      <c r="C47" s="9" t="s">
        <v>148</v>
      </c>
      <c r="D47" s="9" t="s">
        <v>149</v>
      </c>
      <c r="E47" s="268">
        <v>5000</v>
      </c>
      <c r="F47" s="9">
        <v>0</v>
      </c>
      <c r="G47" s="268">
        <v>143014022</v>
      </c>
      <c r="H47" s="9">
        <v>143</v>
      </c>
      <c r="I47" s="9" t="s">
        <v>150</v>
      </c>
      <c r="J47" s="20">
        <v>6.0179999999999999E-3</v>
      </c>
      <c r="K47" s="16">
        <v>2.1100000000000001E-2</v>
      </c>
      <c r="L47" s="9">
        <v>7.03</v>
      </c>
      <c r="M47" s="20">
        <v>1.9699999999999999E-2</v>
      </c>
      <c r="N47" s="9"/>
      <c r="O47" s="10"/>
    </row>
    <row r="48" spans="1:15">
      <c r="A48" s="5" t="s">
        <v>876</v>
      </c>
      <c r="B48" s="6" t="s">
        <v>18</v>
      </c>
      <c r="C48" s="6" t="s">
        <v>100</v>
      </c>
      <c r="D48" s="6" t="s">
        <v>101</v>
      </c>
      <c r="E48" s="267">
        <v>12000</v>
      </c>
      <c r="F48" s="6">
        <v>0</v>
      </c>
      <c r="G48" s="267">
        <v>142998350</v>
      </c>
      <c r="H48" s="6">
        <v>142</v>
      </c>
      <c r="I48" s="6" t="s">
        <v>102</v>
      </c>
      <c r="J48" s="19">
        <v>6.0179999999999999E-3</v>
      </c>
      <c r="K48" s="15">
        <v>2.7E-2</v>
      </c>
      <c r="L48" s="6">
        <v>1.03</v>
      </c>
      <c r="M48" s="19">
        <v>1.7600000000000001E-2</v>
      </c>
      <c r="N48" s="6"/>
      <c r="O48" s="7"/>
    </row>
    <row r="49" spans="1:15">
      <c r="A49" s="8" t="s">
        <v>876</v>
      </c>
      <c r="B49" s="9" t="s">
        <v>18</v>
      </c>
      <c r="C49" s="9" t="s">
        <v>24</v>
      </c>
      <c r="D49" s="9" t="s">
        <v>20</v>
      </c>
      <c r="E49" s="268">
        <v>100000000</v>
      </c>
      <c r="F49" s="9">
        <v>100</v>
      </c>
      <c r="G49" s="268">
        <v>99992001</v>
      </c>
      <c r="H49" s="9">
        <v>99</v>
      </c>
      <c r="I49" s="9" t="s">
        <v>605</v>
      </c>
      <c r="J49" s="20">
        <v>4.2079999999999999E-3</v>
      </c>
      <c r="K49" s="16">
        <v>2.5000000000000001E-3</v>
      </c>
      <c r="L49" s="9">
        <v>0</v>
      </c>
      <c r="M49" s="20">
        <v>2.8799999999999999E-2</v>
      </c>
      <c r="N49" s="9"/>
      <c r="O49" s="10"/>
    </row>
    <row r="50" spans="1:15">
      <c r="A50" s="5" t="s">
        <v>876</v>
      </c>
      <c r="B50" s="6" t="s">
        <v>18</v>
      </c>
      <c r="C50" s="6" t="s">
        <v>21</v>
      </c>
      <c r="D50" s="6" t="s">
        <v>20</v>
      </c>
      <c r="E50" s="267">
        <v>100000000</v>
      </c>
      <c r="F50" s="6">
        <v>100</v>
      </c>
      <c r="G50" s="267">
        <v>99960016</v>
      </c>
      <c r="H50" s="6">
        <v>99</v>
      </c>
      <c r="I50" s="6" t="s">
        <v>700</v>
      </c>
      <c r="J50" s="19">
        <v>4.2059999999999997E-3</v>
      </c>
      <c r="K50" s="15">
        <v>2.3999999999999998E-3</v>
      </c>
      <c r="L50" s="6">
        <v>0.01</v>
      </c>
      <c r="M50" s="19">
        <v>2.8799999999999999E-2</v>
      </c>
      <c r="N50" s="6"/>
      <c r="O50" s="7"/>
    </row>
    <row r="51" spans="1:15">
      <c r="A51" s="8" t="s">
        <v>876</v>
      </c>
      <c r="B51" s="9" t="s">
        <v>18</v>
      </c>
      <c r="C51" s="9" t="s">
        <v>31</v>
      </c>
      <c r="D51" s="9" t="s">
        <v>20</v>
      </c>
      <c r="E51" s="268">
        <v>100000000</v>
      </c>
      <c r="F51" s="9">
        <v>100</v>
      </c>
      <c r="G51" s="268">
        <v>99388430</v>
      </c>
      <c r="H51" s="9">
        <v>99</v>
      </c>
      <c r="I51" s="9" t="s">
        <v>704</v>
      </c>
      <c r="J51" s="20">
        <v>4.182E-3</v>
      </c>
      <c r="K51" s="16">
        <v>2.5999999999999999E-3</v>
      </c>
      <c r="L51" s="9">
        <v>0.19</v>
      </c>
      <c r="M51" s="20">
        <v>3.1199999999999999E-2</v>
      </c>
      <c r="N51" s="9"/>
      <c r="O51" s="10"/>
    </row>
    <row r="52" spans="1:15">
      <c r="A52" s="5" t="s">
        <v>876</v>
      </c>
      <c r="B52" s="6" t="s">
        <v>18</v>
      </c>
      <c r="C52" s="6" t="s">
        <v>459</v>
      </c>
      <c r="D52" s="6" t="s">
        <v>460</v>
      </c>
      <c r="E52" s="267">
        <v>2300000</v>
      </c>
      <c r="F52" s="6">
        <v>2</v>
      </c>
      <c r="G52" s="267">
        <v>82597603</v>
      </c>
      <c r="H52" s="6">
        <v>82</v>
      </c>
      <c r="I52" s="6" t="s">
        <v>461</v>
      </c>
      <c r="J52" s="19">
        <v>3.4759999999999999E-3</v>
      </c>
      <c r="K52" s="15">
        <v>0</v>
      </c>
      <c r="L52" s="6">
        <v>6.92</v>
      </c>
      <c r="M52" s="19">
        <v>0</v>
      </c>
      <c r="N52" s="6"/>
      <c r="O52" s="7"/>
    </row>
    <row r="53" spans="1:15">
      <c r="A53" s="8" t="s">
        <v>876</v>
      </c>
      <c r="B53" s="9" t="s">
        <v>18</v>
      </c>
      <c r="C53" s="9" t="s">
        <v>459</v>
      </c>
      <c r="D53" s="9" t="s">
        <v>462</v>
      </c>
      <c r="E53" s="268">
        <v>2000000</v>
      </c>
      <c r="F53" s="9">
        <v>2</v>
      </c>
      <c r="G53" s="268">
        <v>67290141</v>
      </c>
      <c r="H53" s="9">
        <v>67</v>
      </c>
      <c r="I53" s="9" t="s">
        <v>463</v>
      </c>
      <c r="J53" s="20">
        <v>2.8319999999999999E-3</v>
      </c>
      <c r="K53" s="16">
        <v>0</v>
      </c>
      <c r="L53" s="9">
        <v>7.85</v>
      </c>
      <c r="M53" s="20">
        <v>0</v>
      </c>
      <c r="N53" s="9"/>
      <c r="O53" s="10"/>
    </row>
    <row r="54" spans="1:15">
      <c r="A54" s="5" t="s">
        <v>876</v>
      </c>
      <c r="B54" s="6" t="s">
        <v>18</v>
      </c>
      <c r="C54" s="6" t="s">
        <v>459</v>
      </c>
      <c r="D54" s="6" t="s">
        <v>464</v>
      </c>
      <c r="E54" s="267">
        <v>2000000</v>
      </c>
      <c r="F54" s="6">
        <v>2</v>
      </c>
      <c r="G54" s="267">
        <v>64766422</v>
      </c>
      <c r="H54" s="6">
        <v>64</v>
      </c>
      <c r="I54" s="6" t="s">
        <v>465</v>
      </c>
      <c r="J54" s="19">
        <v>2.725E-3</v>
      </c>
      <c r="K54" s="15">
        <v>0</v>
      </c>
      <c r="L54" s="6">
        <v>10.48</v>
      </c>
      <c r="M54" s="19">
        <v>0</v>
      </c>
      <c r="N54" s="6"/>
      <c r="O54" s="7"/>
    </row>
    <row r="55" spans="1:15">
      <c r="A55" s="8" t="s">
        <v>876</v>
      </c>
      <c r="B55" s="9" t="s">
        <v>18</v>
      </c>
      <c r="C55" s="9" t="s">
        <v>110</v>
      </c>
      <c r="D55" s="9" t="s">
        <v>466</v>
      </c>
      <c r="E55" s="268">
        <v>2000</v>
      </c>
      <c r="F55" s="9">
        <v>0</v>
      </c>
      <c r="G55" s="268">
        <v>63891242</v>
      </c>
      <c r="H55" s="9">
        <v>63</v>
      </c>
      <c r="I55" s="9" t="s">
        <v>467</v>
      </c>
      <c r="J55" s="20">
        <v>2.6879999999999999E-3</v>
      </c>
      <c r="K55" s="16">
        <v>3.2099999999999997E-2</v>
      </c>
      <c r="L55" s="9">
        <v>13.28</v>
      </c>
      <c r="M55" s="20">
        <v>2.1899999999999999E-2</v>
      </c>
      <c r="N55" s="9"/>
      <c r="O55" s="10"/>
    </row>
    <row r="56" spans="1:15">
      <c r="A56" s="5" t="s">
        <v>876</v>
      </c>
      <c r="B56" s="6" t="s">
        <v>18</v>
      </c>
      <c r="C56" s="6" t="s">
        <v>23</v>
      </c>
      <c r="D56" s="6" t="s">
        <v>20</v>
      </c>
      <c r="E56" s="267">
        <v>50000000</v>
      </c>
      <c r="F56" s="6">
        <v>50</v>
      </c>
      <c r="G56" s="267">
        <v>49988003</v>
      </c>
      <c r="H56" s="6">
        <v>49</v>
      </c>
      <c r="I56" s="6" t="s">
        <v>699</v>
      </c>
      <c r="J56" s="19">
        <v>2.1029999999999998E-3</v>
      </c>
      <c r="K56" s="15">
        <v>2.5000000000000001E-3</v>
      </c>
      <c r="L56" s="6">
        <v>0.01</v>
      </c>
      <c r="M56" s="19">
        <v>2.8799999999999999E-2</v>
      </c>
      <c r="N56" s="6"/>
      <c r="O56" s="7"/>
    </row>
    <row r="57" spans="1:15">
      <c r="A57" s="8" t="s">
        <v>876</v>
      </c>
      <c r="B57" s="9" t="s">
        <v>18</v>
      </c>
      <c r="C57" s="9" t="s">
        <v>421</v>
      </c>
      <c r="D57" s="9" t="s">
        <v>20</v>
      </c>
      <c r="E57" s="268">
        <v>50000000</v>
      </c>
      <c r="F57" s="9">
        <v>50</v>
      </c>
      <c r="G57" s="268">
        <v>49962528</v>
      </c>
      <c r="H57" s="9">
        <v>49</v>
      </c>
      <c r="I57" s="9" t="s">
        <v>701</v>
      </c>
      <c r="J57" s="20">
        <v>2.1020000000000001E-3</v>
      </c>
      <c r="K57" s="16">
        <v>2.3999999999999998E-3</v>
      </c>
      <c r="L57" s="9">
        <v>0.02</v>
      </c>
      <c r="M57" s="20">
        <v>0.03</v>
      </c>
      <c r="N57" s="9"/>
      <c r="O57" s="10"/>
    </row>
    <row r="58" spans="1:15">
      <c r="A58" s="5" t="s">
        <v>876</v>
      </c>
      <c r="B58" s="6" t="s">
        <v>18</v>
      </c>
      <c r="C58" s="6" t="s">
        <v>31</v>
      </c>
      <c r="D58" s="6" t="s">
        <v>20</v>
      </c>
      <c r="E58" s="267">
        <v>50000000</v>
      </c>
      <c r="F58" s="6">
        <v>50</v>
      </c>
      <c r="G58" s="267">
        <v>49862877</v>
      </c>
      <c r="H58" s="6">
        <v>49</v>
      </c>
      <c r="I58" s="6" t="s">
        <v>703</v>
      </c>
      <c r="J58" s="19">
        <v>2.098E-3</v>
      </c>
      <c r="K58" s="15">
        <v>2.5999999999999999E-3</v>
      </c>
      <c r="L58" s="6">
        <v>0.09</v>
      </c>
      <c r="M58" s="19">
        <v>0.03</v>
      </c>
      <c r="N58" s="6"/>
      <c r="O58" s="7"/>
    </row>
    <row r="59" spans="1:15">
      <c r="A59" s="8" t="s">
        <v>876</v>
      </c>
      <c r="B59" s="9" t="s">
        <v>18</v>
      </c>
      <c r="C59" s="9" t="s">
        <v>29</v>
      </c>
      <c r="D59" s="9" t="s">
        <v>20</v>
      </c>
      <c r="E59" s="268">
        <v>50000000</v>
      </c>
      <c r="F59" s="9">
        <v>50</v>
      </c>
      <c r="G59" s="268">
        <v>49749924</v>
      </c>
      <c r="H59" s="9">
        <v>49</v>
      </c>
      <c r="I59" s="9" t="s">
        <v>617</v>
      </c>
      <c r="J59" s="20">
        <v>2.0929999999999998E-3</v>
      </c>
      <c r="K59" s="16">
        <v>2.5999999999999999E-3</v>
      </c>
      <c r="L59" s="9">
        <v>0.16</v>
      </c>
      <c r="M59" s="20">
        <v>3.1199999999999999E-2</v>
      </c>
      <c r="N59" s="9"/>
      <c r="O59" s="10"/>
    </row>
    <row r="60" spans="1:15">
      <c r="A60" s="5" t="s">
        <v>876</v>
      </c>
      <c r="B60" s="6" t="s">
        <v>18</v>
      </c>
      <c r="C60" s="6" t="s">
        <v>21</v>
      </c>
      <c r="D60" s="6" t="s">
        <v>20</v>
      </c>
      <c r="E60" s="267">
        <v>50000000</v>
      </c>
      <c r="F60" s="6">
        <v>50</v>
      </c>
      <c r="G60" s="267">
        <v>49630090</v>
      </c>
      <c r="H60" s="6">
        <v>49</v>
      </c>
      <c r="I60" s="6" t="s">
        <v>705</v>
      </c>
      <c r="J60" s="19">
        <v>2.088E-3</v>
      </c>
      <c r="K60" s="15">
        <v>3.0000000000000001E-3</v>
      </c>
      <c r="L60" s="6">
        <v>0.24</v>
      </c>
      <c r="M60" s="19">
        <v>3.1199999999999999E-2</v>
      </c>
      <c r="N60" s="6"/>
      <c r="O60" s="7"/>
    </row>
    <row r="61" spans="1:15">
      <c r="A61" s="8" t="s">
        <v>876</v>
      </c>
      <c r="B61" s="9" t="s">
        <v>22</v>
      </c>
      <c r="C61" s="9" t="s">
        <v>35</v>
      </c>
      <c r="D61" s="9" t="s">
        <v>91</v>
      </c>
      <c r="E61" s="268">
        <v>26000</v>
      </c>
      <c r="F61" s="9">
        <v>0</v>
      </c>
      <c r="G61" s="268">
        <v>724716972</v>
      </c>
      <c r="H61" s="9">
        <v>724</v>
      </c>
      <c r="I61" s="9" t="s">
        <v>44</v>
      </c>
      <c r="J61" s="20">
        <v>8.9257000000000003E-2</v>
      </c>
      <c r="K61" s="16">
        <v>1.04333333E-2</v>
      </c>
      <c r="L61" s="9">
        <v>1.95</v>
      </c>
      <c r="M61" s="20">
        <v>9.4999999999999998E-3</v>
      </c>
      <c r="N61" s="9"/>
      <c r="O61" s="10"/>
    </row>
    <row r="62" spans="1:15">
      <c r="A62" s="5" t="s">
        <v>876</v>
      </c>
      <c r="B62" s="6" t="s">
        <v>22</v>
      </c>
      <c r="C62" s="6" t="s">
        <v>21</v>
      </c>
      <c r="D62" s="6" t="s">
        <v>20</v>
      </c>
      <c r="E62" s="267">
        <v>600000000</v>
      </c>
      <c r="F62" s="6">
        <v>600</v>
      </c>
      <c r="G62" s="267">
        <v>590303285</v>
      </c>
      <c r="H62" s="6">
        <v>590</v>
      </c>
      <c r="I62" s="6" t="s">
        <v>716</v>
      </c>
      <c r="J62" s="19">
        <v>7.2702000000000003E-2</v>
      </c>
      <c r="K62" s="15">
        <v>3.0999999999999999E-3</v>
      </c>
      <c r="L62" s="6">
        <v>0.48</v>
      </c>
      <c r="M62" s="19">
        <v>3.3599999999999998E-2</v>
      </c>
      <c r="N62" s="6"/>
      <c r="O62" s="7"/>
    </row>
    <row r="63" spans="1:15">
      <c r="A63" s="8" t="s">
        <v>876</v>
      </c>
      <c r="B63" s="9" t="s">
        <v>22</v>
      </c>
      <c r="C63" s="9" t="s">
        <v>27</v>
      </c>
      <c r="D63" s="9" t="s">
        <v>20</v>
      </c>
      <c r="E63" s="268">
        <v>600000000</v>
      </c>
      <c r="F63" s="9">
        <v>600</v>
      </c>
      <c r="G63" s="268">
        <v>589815846</v>
      </c>
      <c r="H63" s="9">
        <v>589</v>
      </c>
      <c r="I63" s="9" t="s">
        <v>717</v>
      </c>
      <c r="J63" s="20">
        <v>7.2641999999999998E-2</v>
      </c>
      <c r="K63" s="16">
        <v>3.15E-3</v>
      </c>
      <c r="L63" s="9">
        <v>0.51</v>
      </c>
      <c r="M63" s="20">
        <v>3.3599999999999998E-2</v>
      </c>
      <c r="N63" s="9"/>
      <c r="O63" s="10"/>
    </row>
    <row r="64" spans="1:15">
      <c r="A64" s="5" t="s">
        <v>876</v>
      </c>
      <c r="B64" s="6" t="s">
        <v>22</v>
      </c>
      <c r="C64" s="6" t="s">
        <v>421</v>
      </c>
      <c r="D64" s="6" t="s">
        <v>20</v>
      </c>
      <c r="E64" s="267">
        <v>600000000</v>
      </c>
      <c r="F64" s="6">
        <v>600</v>
      </c>
      <c r="G64" s="267">
        <v>586229470</v>
      </c>
      <c r="H64" s="6">
        <v>586</v>
      </c>
      <c r="I64" s="6" t="s">
        <v>707</v>
      </c>
      <c r="J64" s="19">
        <v>7.22E-2</v>
      </c>
      <c r="K64" s="15">
        <v>3.3999999999999998E-3</v>
      </c>
      <c r="L64" s="6">
        <v>0.67</v>
      </c>
      <c r="M64" s="19">
        <v>3.4799999999999998E-2</v>
      </c>
      <c r="N64" s="6"/>
      <c r="O64" s="7"/>
    </row>
    <row r="65" spans="1:15">
      <c r="A65" s="8" t="s">
        <v>876</v>
      </c>
      <c r="B65" s="9" t="s">
        <v>22</v>
      </c>
      <c r="C65" s="9" t="s">
        <v>19</v>
      </c>
      <c r="D65" s="9" t="s">
        <v>20</v>
      </c>
      <c r="E65" s="268">
        <v>500000000</v>
      </c>
      <c r="F65" s="9">
        <v>500</v>
      </c>
      <c r="G65" s="268">
        <v>488185901</v>
      </c>
      <c r="H65" s="9">
        <v>488</v>
      </c>
      <c r="I65" s="9" t="s">
        <v>721</v>
      </c>
      <c r="J65" s="20">
        <v>6.0124999999999998E-2</v>
      </c>
      <c r="K65" s="16">
        <v>3.3999999999999998E-3</v>
      </c>
      <c r="L65" s="9">
        <v>0.66</v>
      </c>
      <c r="M65" s="20">
        <v>3.5999999999999997E-2</v>
      </c>
      <c r="N65" s="9"/>
      <c r="O65" s="10"/>
    </row>
    <row r="66" spans="1:15">
      <c r="A66" s="5" t="s">
        <v>876</v>
      </c>
      <c r="B66" s="6" t="s">
        <v>22</v>
      </c>
      <c r="C66" s="6" t="s">
        <v>31</v>
      </c>
      <c r="D66" s="6" t="s">
        <v>20</v>
      </c>
      <c r="E66" s="267">
        <v>400000000</v>
      </c>
      <c r="F66" s="6">
        <v>400</v>
      </c>
      <c r="G66" s="267">
        <v>395585268</v>
      </c>
      <c r="H66" s="6">
        <v>395</v>
      </c>
      <c r="I66" s="6" t="s">
        <v>713</v>
      </c>
      <c r="J66" s="19">
        <v>4.8719999999999999E-2</v>
      </c>
      <c r="K66" s="15">
        <v>3.0000000000000001E-3</v>
      </c>
      <c r="L66" s="6">
        <v>0.34</v>
      </c>
      <c r="M66" s="19">
        <v>3.2399999999999998E-2</v>
      </c>
      <c r="N66" s="6"/>
      <c r="O66" s="7"/>
    </row>
    <row r="67" spans="1:15">
      <c r="A67" s="8" t="s">
        <v>876</v>
      </c>
      <c r="B67" s="9" t="s">
        <v>22</v>
      </c>
      <c r="C67" s="9" t="s">
        <v>421</v>
      </c>
      <c r="D67" s="9" t="s">
        <v>20</v>
      </c>
      <c r="E67" s="268">
        <v>380000000</v>
      </c>
      <c r="F67" s="9">
        <v>380</v>
      </c>
      <c r="G67" s="268">
        <v>374339979</v>
      </c>
      <c r="H67" s="9">
        <v>374</v>
      </c>
      <c r="I67" s="9" t="s">
        <v>715</v>
      </c>
      <c r="J67" s="20">
        <v>4.6103999999999999E-2</v>
      </c>
      <c r="K67" s="16">
        <v>2.9499999999999999E-3</v>
      </c>
      <c r="L67" s="9">
        <v>0.44</v>
      </c>
      <c r="M67" s="20">
        <v>3.3599999999999998E-2</v>
      </c>
      <c r="N67" s="9"/>
      <c r="O67" s="10"/>
    </row>
    <row r="68" spans="1:15">
      <c r="A68" s="5" t="s">
        <v>876</v>
      </c>
      <c r="B68" s="6" t="s">
        <v>22</v>
      </c>
      <c r="C68" s="6" t="s">
        <v>29</v>
      </c>
      <c r="D68" s="6" t="s">
        <v>20</v>
      </c>
      <c r="E68" s="267">
        <v>350000000</v>
      </c>
      <c r="F68" s="6">
        <v>350</v>
      </c>
      <c r="G68" s="267">
        <v>346352904</v>
      </c>
      <c r="H68" s="6">
        <v>346</v>
      </c>
      <c r="I68" s="6" t="s">
        <v>712</v>
      </c>
      <c r="J68" s="19">
        <v>4.2657E-2</v>
      </c>
      <c r="K68" s="15">
        <v>2.8E-3</v>
      </c>
      <c r="L68" s="6">
        <v>0.32</v>
      </c>
      <c r="M68" s="19">
        <v>3.2399999999999998E-2</v>
      </c>
      <c r="N68" s="6"/>
      <c r="O68" s="7"/>
    </row>
    <row r="69" spans="1:15">
      <c r="A69" s="8" t="s">
        <v>876</v>
      </c>
      <c r="B69" s="9" t="s">
        <v>22</v>
      </c>
      <c r="C69" s="9" t="s">
        <v>199</v>
      </c>
      <c r="D69" s="9" t="s">
        <v>20</v>
      </c>
      <c r="E69" s="268">
        <v>350000000</v>
      </c>
      <c r="F69" s="9">
        <v>350</v>
      </c>
      <c r="G69" s="268">
        <v>339848719</v>
      </c>
      <c r="H69" s="9">
        <v>339</v>
      </c>
      <c r="I69" s="9" t="s">
        <v>727</v>
      </c>
      <c r="J69" s="20">
        <v>4.1855999999999997E-2</v>
      </c>
      <c r="K69" s="16">
        <v>3.3E-3</v>
      </c>
      <c r="L69" s="9">
        <v>0.85</v>
      </c>
      <c r="M69" s="20">
        <v>3.4799999999999998E-2</v>
      </c>
      <c r="N69" s="9"/>
      <c r="O69" s="10"/>
    </row>
    <row r="70" spans="1:15">
      <c r="A70" s="5" t="s">
        <v>876</v>
      </c>
      <c r="B70" s="6" t="s">
        <v>22</v>
      </c>
      <c r="C70" s="6" t="s">
        <v>667</v>
      </c>
      <c r="D70" s="6" t="s">
        <v>20</v>
      </c>
      <c r="E70" s="267">
        <v>300000000</v>
      </c>
      <c r="F70" s="6">
        <v>300</v>
      </c>
      <c r="G70" s="267">
        <v>299426100</v>
      </c>
      <c r="H70" s="6">
        <v>299</v>
      </c>
      <c r="I70" s="6" t="s">
        <v>649</v>
      </c>
      <c r="J70" s="19">
        <v>3.6877E-2</v>
      </c>
      <c r="K70" s="15">
        <v>2.5999999999999999E-3</v>
      </c>
      <c r="L70" s="6">
        <v>0.06</v>
      </c>
      <c r="M70" s="19">
        <v>0.03</v>
      </c>
      <c r="N70" s="6"/>
      <c r="O70" s="7"/>
    </row>
    <row r="71" spans="1:15">
      <c r="A71" s="8" t="s">
        <v>876</v>
      </c>
      <c r="B71" s="9" t="s">
        <v>22</v>
      </c>
      <c r="C71" s="9" t="s">
        <v>709</v>
      </c>
      <c r="D71" s="9" t="s">
        <v>20</v>
      </c>
      <c r="E71" s="268">
        <v>300000000</v>
      </c>
      <c r="F71" s="9">
        <v>300</v>
      </c>
      <c r="G71" s="268">
        <v>293802721</v>
      </c>
      <c r="H71" s="9">
        <v>293</v>
      </c>
      <c r="I71" s="9" t="s">
        <v>719</v>
      </c>
      <c r="J71" s="20">
        <v>3.6185000000000002E-2</v>
      </c>
      <c r="K71" s="16">
        <v>3.2000000000000002E-3</v>
      </c>
      <c r="L71" s="9">
        <v>0.62</v>
      </c>
      <c r="M71" s="20">
        <v>3.3599999999999998E-2</v>
      </c>
      <c r="N71" s="9"/>
      <c r="O71" s="10"/>
    </row>
    <row r="72" spans="1:15">
      <c r="A72" s="5" t="s">
        <v>876</v>
      </c>
      <c r="B72" s="6" t="s">
        <v>22</v>
      </c>
      <c r="C72" s="6" t="s">
        <v>23</v>
      </c>
      <c r="D72" s="6" t="s">
        <v>20</v>
      </c>
      <c r="E72" s="267">
        <v>300000000</v>
      </c>
      <c r="F72" s="6">
        <v>300</v>
      </c>
      <c r="G72" s="267">
        <v>292999271</v>
      </c>
      <c r="H72" s="6">
        <v>292</v>
      </c>
      <c r="I72" s="6" t="s">
        <v>724</v>
      </c>
      <c r="J72" s="19">
        <v>3.6086E-2</v>
      </c>
      <c r="K72" s="15">
        <v>3.2000000000000002E-3</v>
      </c>
      <c r="L72" s="6">
        <v>0.7</v>
      </c>
      <c r="M72" s="19">
        <v>3.3599999999999998E-2</v>
      </c>
      <c r="N72" s="6"/>
      <c r="O72" s="7"/>
    </row>
    <row r="73" spans="1:15">
      <c r="A73" s="8" t="s">
        <v>876</v>
      </c>
      <c r="B73" s="9" t="s">
        <v>22</v>
      </c>
      <c r="C73" s="9" t="s">
        <v>26</v>
      </c>
      <c r="D73" s="9" t="s">
        <v>20</v>
      </c>
      <c r="E73" s="268">
        <v>300000000</v>
      </c>
      <c r="F73" s="9">
        <v>300</v>
      </c>
      <c r="G73" s="268">
        <v>292711484</v>
      </c>
      <c r="H73" s="9">
        <v>292</v>
      </c>
      <c r="I73" s="9" t="s">
        <v>722</v>
      </c>
      <c r="J73" s="20">
        <v>3.6049999999999999E-2</v>
      </c>
      <c r="K73" s="16">
        <v>3.5000000000000001E-3</v>
      </c>
      <c r="L73" s="9">
        <v>0.68</v>
      </c>
      <c r="M73" s="20">
        <v>3.5999999999999997E-2</v>
      </c>
      <c r="N73" s="9"/>
      <c r="O73" s="10"/>
    </row>
    <row r="74" spans="1:15">
      <c r="A74" s="5" t="s">
        <v>876</v>
      </c>
      <c r="B74" s="6" t="s">
        <v>22</v>
      </c>
      <c r="C74" s="6" t="s">
        <v>19</v>
      </c>
      <c r="D74" s="6" t="s">
        <v>20</v>
      </c>
      <c r="E74" s="267">
        <v>300000000</v>
      </c>
      <c r="F74" s="6">
        <v>300</v>
      </c>
      <c r="G74" s="267">
        <v>292682927</v>
      </c>
      <c r="H74" s="6">
        <v>292</v>
      </c>
      <c r="I74" s="6" t="s">
        <v>723</v>
      </c>
      <c r="J74" s="19">
        <v>3.6047000000000003E-2</v>
      </c>
      <c r="K74" s="15">
        <v>3.3999999999999998E-3</v>
      </c>
      <c r="L74" s="6">
        <v>0.68</v>
      </c>
      <c r="M74" s="19">
        <v>3.5999999999999997E-2</v>
      </c>
      <c r="N74" s="6"/>
      <c r="O74" s="7"/>
    </row>
    <row r="75" spans="1:15">
      <c r="A75" s="8" t="s">
        <v>876</v>
      </c>
      <c r="B75" s="9" t="s">
        <v>22</v>
      </c>
      <c r="C75" s="9" t="s">
        <v>29</v>
      </c>
      <c r="D75" s="9" t="s">
        <v>20</v>
      </c>
      <c r="E75" s="268">
        <v>250000000</v>
      </c>
      <c r="F75" s="9">
        <v>250</v>
      </c>
      <c r="G75" s="268">
        <v>244947549</v>
      </c>
      <c r="H75" s="9">
        <v>244</v>
      </c>
      <c r="I75" s="9" t="s">
        <v>877</v>
      </c>
      <c r="J75" s="20">
        <v>3.0168E-2</v>
      </c>
      <c r="K75" s="16">
        <v>2.8E-3</v>
      </c>
      <c r="L75" s="9">
        <v>0.61</v>
      </c>
      <c r="M75" s="20">
        <v>3.3599999999999998E-2</v>
      </c>
      <c r="N75" s="9"/>
      <c r="O75" s="10"/>
    </row>
    <row r="76" spans="1:15">
      <c r="A76" s="5" t="s">
        <v>876</v>
      </c>
      <c r="B76" s="6" t="s">
        <v>22</v>
      </c>
      <c r="C76" s="6" t="s">
        <v>23</v>
      </c>
      <c r="D76" s="6" t="s">
        <v>20</v>
      </c>
      <c r="E76" s="267">
        <v>200000000</v>
      </c>
      <c r="F76" s="6">
        <v>200</v>
      </c>
      <c r="G76" s="267">
        <v>195564595</v>
      </c>
      <c r="H76" s="6">
        <v>195</v>
      </c>
      <c r="I76" s="6" t="s">
        <v>707</v>
      </c>
      <c r="J76" s="19">
        <v>2.4084999999999999E-2</v>
      </c>
      <c r="K76" s="15">
        <v>3.3E-3</v>
      </c>
      <c r="L76" s="6">
        <v>0.67</v>
      </c>
      <c r="M76" s="19">
        <v>3.3599999999999998E-2</v>
      </c>
      <c r="N76" s="6"/>
      <c r="O76" s="7"/>
    </row>
    <row r="77" spans="1:15">
      <c r="A77" s="8" t="s">
        <v>876</v>
      </c>
      <c r="B77" s="9" t="s">
        <v>22</v>
      </c>
      <c r="C77" s="9" t="s">
        <v>19</v>
      </c>
      <c r="D77" s="9" t="s">
        <v>20</v>
      </c>
      <c r="E77" s="268">
        <v>200000000</v>
      </c>
      <c r="F77" s="9">
        <v>200</v>
      </c>
      <c r="G77" s="268">
        <v>193928111</v>
      </c>
      <c r="H77" s="9">
        <v>193</v>
      </c>
      <c r="I77" s="9" t="s">
        <v>726</v>
      </c>
      <c r="J77" s="20">
        <v>2.3883999999999999E-2</v>
      </c>
      <c r="K77" s="16">
        <v>3.3999999999999998E-3</v>
      </c>
      <c r="L77" s="9">
        <v>0.83</v>
      </c>
      <c r="M77" s="20">
        <v>3.7199999999999997E-2</v>
      </c>
      <c r="N77" s="9"/>
      <c r="O77" s="10"/>
    </row>
    <row r="78" spans="1:15">
      <c r="A78" s="5" t="s">
        <v>876</v>
      </c>
      <c r="B78" s="6" t="s">
        <v>22</v>
      </c>
      <c r="C78" s="6" t="s">
        <v>27</v>
      </c>
      <c r="D78" s="6" t="s">
        <v>20</v>
      </c>
      <c r="E78" s="267">
        <v>160000000</v>
      </c>
      <c r="F78" s="6">
        <v>160</v>
      </c>
      <c r="G78" s="267">
        <v>159378424</v>
      </c>
      <c r="H78" s="6">
        <v>159</v>
      </c>
      <c r="I78" s="6" t="s">
        <v>648</v>
      </c>
      <c r="J78" s="19">
        <v>1.9629000000000001E-2</v>
      </c>
      <c r="K78" s="15">
        <v>2.5999999999999999E-3</v>
      </c>
      <c r="L78" s="6">
        <v>0.12</v>
      </c>
      <c r="M78" s="19">
        <v>3.1199999999999999E-2</v>
      </c>
      <c r="N78" s="6"/>
      <c r="O78" s="7"/>
    </row>
    <row r="79" spans="1:15">
      <c r="A79" s="8" t="s">
        <v>876</v>
      </c>
      <c r="B79" s="9" t="s">
        <v>22</v>
      </c>
      <c r="C79" s="9" t="s">
        <v>26</v>
      </c>
      <c r="D79" s="9" t="s">
        <v>20</v>
      </c>
      <c r="E79" s="268">
        <v>150000000</v>
      </c>
      <c r="F79" s="9">
        <v>150</v>
      </c>
      <c r="G79" s="268">
        <v>146785400</v>
      </c>
      <c r="H79" s="9">
        <v>146</v>
      </c>
      <c r="I79" s="9" t="s">
        <v>718</v>
      </c>
      <c r="J79" s="20">
        <v>1.8078E-2</v>
      </c>
      <c r="K79" s="16">
        <v>3.3999999999999998E-3</v>
      </c>
      <c r="L79" s="9">
        <v>0.6</v>
      </c>
      <c r="M79" s="20">
        <v>3.5999999999999997E-2</v>
      </c>
      <c r="N79" s="9"/>
      <c r="O79" s="10"/>
    </row>
    <row r="80" spans="1:15">
      <c r="A80" s="5" t="s">
        <v>876</v>
      </c>
      <c r="B80" s="6" t="s">
        <v>22</v>
      </c>
      <c r="C80" s="6" t="s">
        <v>668</v>
      </c>
      <c r="D80" s="6" t="s">
        <v>20</v>
      </c>
      <c r="E80" s="267">
        <v>150000000</v>
      </c>
      <c r="F80" s="6">
        <v>150</v>
      </c>
      <c r="G80" s="267">
        <v>145906827</v>
      </c>
      <c r="H80" s="6">
        <v>145</v>
      </c>
      <c r="I80" s="6" t="s">
        <v>725</v>
      </c>
      <c r="J80" s="19">
        <v>1.797E-2</v>
      </c>
      <c r="K80" s="15">
        <v>3.5000000000000001E-3</v>
      </c>
      <c r="L80" s="6">
        <v>0.72</v>
      </c>
      <c r="M80" s="19">
        <v>3.8399999999999997E-2</v>
      </c>
      <c r="N80" s="6"/>
      <c r="O80" s="7"/>
    </row>
    <row r="81" spans="1:15">
      <c r="A81" s="8" t="s">
        <v>876</v>
      </c>
      <c r="B81" s="9" t="s">
        <v>22</v>
      </c>
      <c r="C81" s="9" t="s">
        <v>470</v>
      </c>
      <c r="D81" s="9" t="s">
        <v>20</v>
      </c>
      <c r="E81" s="268">
        <v>120000000</v>
      </c>
      <c r="F81" s="9">
        <v>120</v>
      </c>
      <c r="G81" s="268">
        <v>119990801</v>
      </c>
      <c r="H81" s="9">
        <v>119</v>
      </c>
      <c r="I81" s="9" t="s">
        <v>605</v>
      </c>
      <c r="J81" s="20">
        <v>1.4777999999999999E-2</v>
      </c>
      <c r="K81" s="16">
        <v>2.3999999999999998E-3</v>
      </c>
      <c r="L81" s="9">
        <v>0</v>
      </c>
      <c r="M81" s="20">
        <v>2.76E-2</v>
      </c>
      <c r="N81" s="9"/>
      <c r="O81" s="10"/>
    </row>
    <row r="82" spans="1:15">
      <c r="A82" s="5" t="s">
        <v>876</v>
      </c>
      <c r="B82" s="6" t="s">
        <v>22</v>
      </c>
      <c r="C82" s="6" t="s">
        <v>199</v>
      </c>
      <c r="D82" s="6" t="s">
        <v>20</v>
      </c>
      <c r="E82" s="267">
        <v>110000000</v>
      </c>
      <c r="F82" s="6">
        <v>110</v>
      </c>
      <c r="G82" s="267">
        <v>109479970</v>
      </c>
      <c r="H82" s="6">
        <v>109</v>
      </c>
      <c r="I82" s="6" t="s">
        <v>628</v>
      </c>
      <c r="J82" s="19">
        <v>1.3483E-2</v>
      </c>
      <c r="K82" s="15">
        <v>2.5999999999999999E-3</v>
      </c>
      <c r="L82" s="6">
        <v>0.16</v>
      </c>
      <c r="M82" s="19">
        <v>0.03</v>
      </c>
      <c r="N82" s="6"/>
      <c r="O82" s="7"/>
    </row>
    <row r="83" spans="1:15">
      <c r="A83" s="8" t="s">
        <v>876</v>
      </c>
      <c r="B83" s="9" t="s">
        <v>22</v>
      </c>
      <c r="C83" s="9" t="s">
        <v>29</v>
      </c>
      <c r="D83" s="9" t="s">
        <v>20</v>
      </c>
      <c r="E83" s="268">
        <v>100000000</v>
      </c>
      <c r="F83" s="9">
        <v>100</v>
      </c>
      <c r="G83" s="268">
        <v>99992001</v>
      </c>
      <c r="H83" s="9">
        <v>99</v>
      </c>
      <c r="I83" s="9" t="s">
        <v>605</v>
      </c>
      <c r="J83" s="20">
        <v>1.2315E-2</v>
      </c>
      <c r="K83" s="16">
        <v>2.5000000000000001E-3</v>
      </c>
      <c r="L83" s="9">
        <v>0</v>
      </c>
      <c r="M83" s="20">
        <v>2.8799999999999999E-2</v>
      </c>
      <c r="N83" s="9"/>
      <c r="O83" s="10"/>
    </row>
    <row r="84" spans="1:15">
      <c r="A84" s="5" t="s">
        <v>876</v>
      </c>
      <c r="B84" s="6" t="s">
        <v>22</v>
      </c>
      <c r="C84" s="6" t="s">
        <v>21</v>
      </c>
      <c r="D84" s="6" t="s">
        <v>20</v>
      </c>
      <c r="E84" s="267">
        <v>100000000</v>
      </c>
      <c r="F84" s="6">
        <v>100</v>
      </c>
      <c r="G84" s="267">
        <v>99749297</v>
      </c>
      <c r="H84" s="6">
        <v>99</v>
      </c>
      <c r="I84" s="6" t="s">
        <v>607</v>
      </c>
      <c r="J84" s="19">
        <v>1.2285000000000001E-2</v>
      </c>
      <c r="K84" s="15">
        <v>2.7000000000000001E-3</v>
      </c>
      <c r="L84" s="6">
        <v>0.08</v>
      </c>
      <c r="M84" s="19">
        <v>3.1199999999999999E-2</v>
      </c>
      <c r="N84" s="6"/>
      <c r="O84" s="7"/>
    </row>
    <row r="85" spans="1:15">
      <c r="A85" s="8" t="s">
        <v>876</v>
      </c>
      <c r="B85" s="9" t="s">
        <v>22</v>
      </c>
      <c r="C85" s="9" t="s">
        <v>31</v>
      </c>
      <c r="D85" s="9" t="s">
        <v>20</v>
      </c>
      <c r="E85" s="268">
        <v>100000000</v>
      </c>
      <c r="F85" s="9">
        <v>100</v>
      </c>
      <c r="G85" s="268">
        <v>99734043</v>
      </c>
      <c r="H85" s="9">
        <v>99</v>
      </c>
      <c r="I85" s="9" t="s">
        <v>647</v>
      </c>
      <c r="J85" s="20">
        <v>1.2283000000000001E-2</v>
      </c>
      <c r="K85" s="16">
        <v>2.5999999999999999E-3</v>
      </c>
      <c r="L85" s="9">
        <v>0.09</v>
      </c>
      <c r="M85" s="20">
        <v>0.03</v>
      </c>
      <c r="N85" s="9"/>
      <c r="O85" s="10"/>
    </row>
    <row r="86" spans="1:15">
      <c r="A86" s="5" t="s">
        <v>876</v>
      </c>
      <c r="B86" s="6" t="s">
        <v>22</v>
      </c>
      <c r="C86" s="6" t="s">
        <v>31</v>
      </c>
      <c r="D86" s="6" t="s">
        <v>20</v>
      </c>
      <c r="E86" s="267">
        <v>100000000</v>
      </c>
      <c r="F86" s="6">
        <v>100</v>
      </c>
      <c r="G86" s="267">
        <v>99268720</v>
      </c>
      <c r="H86" s="6">
        <v>99</v>
      </c>
      <c r="I86" s="6" t="s">
        <v>708</v>
      </c>
      <c r="J86" s="19">
        <v>1.2226000000000001E-2</v>
      </c>
      <c r="K86" s="15">
        <v>2.7000000000000001E-3</v>
      </c>
      <c r="L86" s="6">
        <v>0.23</v>
      </c>
      <c r="M86" s="19">
        <v>3.1199999999999999E-2</v>
      </c>
      <c r="N86" s="6"/>
      <c r="O86" s="7"/>
    </row>
    <row r="87" spans="1:15">
      <c r="A87" s="8" t="s">
        <v>876</v>
      </c>
      <c r="B87" s="9" t="s">
        <v>22</v>
      </c>
      <c r="C87" s="9" t="s">
        <v>19</v>
      </c>
      <c r="D87" s="9" t="s">
        <v>20</v>
      </c>
      <c r="E87" s="268">
        <v>100000000</v>
      </c>
      <c r="F87" s="9">
        <v>100</v>
      </c>
      <c r="G87" s="268">
        <v>98243086</v>
      </c>
      <c r="H87" s="9">
        <v>98</v>
      </c>
      <c r="I87" s="9" t="s">
        <v>717</v>
      </c>
      <c r="J87" s="20">
        <v>1.2099E-2</v>
      </c>
      <c r="K87" s="16">
        <v>3.2000000000000002E-3</v>
      </c>
      <c r="L87" s="9">
        <v>0.51</v>
      </c>
      <c r="M87" s="20">
        <v>3.4799999999999998E-2</v>
      </c>
      <c r="N87" s="9"/>
      <c r="O87" s="10"/>
    </row>
    <row r="88" spans="1:15">
      <c r="A88" s="5" t="s">
        <v>876</v>
      </c>
      <c r="B88" s="6" t="s">
        <v>22</v>
      </c>
      <c r="C88" s="6" t="s">
        <v>26</v>
      </c>
      <c r="D88" s="6" t="s">
        <v>20</v>
      </c>
      <c r="E88" s="267">
        <v>100000000</v>
      </c>
      <c r="F88" s="6">
        <v>100</v>
      </c>
      <c r="G88" s="267">
        <v>97732604</v>
      </c>
      <c r="H88" s="6">
        <v>97</v>
      </c>
      <c r="I88" s="6" t="s">
        <v>720</v>
      </c>
      <c r="J88" s="19">
        <v>1.2036E-2</v>
      </c>
      <c r="K88" s="15">
        <v>3.2000000000000002E-3</v>
      </c>
      <c r="L88" s="6">
        <v>0.64</v>
      </c>
      <c r="M88" s="19">
        <v>3.5999999999999997E-2</v>
      </c>
      <c r="N88" s="6"/>
      <c r="O88" s="7"/>
    </row>
    <row r="89" spans="1:15">
      <c r="A89" s="8" t="s">
        <v>876</v>
      </c>
      <c r="B89" s="9" t="s">
        <v>22</v>
      </c>
      <c r="C89" s="9" t="s">
        <v>421</v>
      </c>
      <c r="D89" s="9" t="s">
        <v>20</v>
      </c>
      <c r="E89" s="268">
        <v>100000000</v>
      </c>
      <c r="F89" s="9">
        <v>100</v>
      </c>
      <c r="G89" s="268">
        <v>97585094</v>
      </c>
      <c r="H89" s="9">
        <v>97</v>
      </c>
      <c r="I89" s="9" t="s">
        <v>724</v>
      </c>
      <c r="J89" s="20">
        <v>1.2017999999999999E-2</v>
      </c>
      <c r="K89" s="16">
        <v>3.3999999999999998E-3</v>
      </c>
      <c r="L89" s="9">
        <v>0.7</v>
      </c>
      <c r="M89" s="20">
        <v>3.4799999999999998E-2</v>
      </c>
      <c r="N89" s="9"/>
      <c r="O89" s="10"/>
    </row>
    <row r="90" spans="1:15">
      <c r="A90" s="5" t="s">
        <v>876</v>
      </c>
      <c r="B90" s="6" t="s">
        <v>22</v>
      </c>
      <c r="C90" s="6" t="s">
        <v>199</v>
      </c>
      <c r="D90" s="6" t="s">
        <v>20</v>
      </c>
      <c r="E90" s="267">
        <v>50000000</v>
      </c>
      <c r="F90" s="6">
        <v>50</v>
      </c>
      <c r="G90" s="267">
        <v>49730626</v>
      </c>
      <c r="H90" s="6">
        <v>49</v>
      </c>
      <c r="I90" s="6" t="s">
        <v>627</v>
      </c>
      <c r="J90" s="19">
        <v>6.1240000000000001E-3</v>
      </c>
      <c r="K90" s="15">
        <v>2.7000000000000001E-3</v>
      </c>
      <c r="L90" s="6">
        <v>0.18</v>
      </c>
      <c r="M90" s="19">
        <v>0.03</v>
      </c>
      <c r="N90" s="6"/>
      <c r="O90" s="7"/>
    </row>
    <row r="91" spans="1:15">
      <c r="A91" s="8" t="s">
        <v>876</v>
      </c>
      <c r="B91" s="9" t="s">
        <v>22</v>
      </c>
      <c r="C91" s="9" t="s">
        <v>25</v>
      </c>
      <c r="D91" s="9" t="s">
        <v>20</v>
      </c>
      <c r="E91" s="268">
        <v>50000000</v>
      </c>
      <c r="F91" s="9">
        <v>50</v>
      </c>
      <c r="G91" s="268">
        <v>49557616</v>
      </c>
      <c r="H91" s="9">
        <v>49</v>
      </c>
      <c r="I91" s="9" t="s">
        <v>711</v>
      </c>
      <c r="J91" s="20">
        <v>6.1029999999999999E-3</v>
      </c>
      <c r="K91" s="16">
        <v>2.5999999999999999E-3</v>
      </c>
      <c r="L91" s="9">
        <v>0.28000000000000003</v>
      </c>
      <c r="M91" s="20">
        <v>3.1199999999999999E-2</v>
      </c>
      <c r="N91" s="9"/>
      <c r="O91" s="10"/>
    </row>
    <row r="92" spans="1:15">
      <c r="A92" s="5" t="s">
        <v>876</v>
      </c>
      <c r="B92" s="6" t="s">
        <v>22</v>
      </c>
      <c r="C92" s="6" t="s">
        <v>199</v>
      </c>
      <c r="D92" s="6" t="s">
        <v>20</v>
      </c>
      <c r="E92" s="267">
        <v>50000000</v>
      </c>
      <c r="F92" s="6">
        <v>50</v>
      </c>
      <c r="G92" s="267">
        <v>49358342</v>
      </c>
      <c r="H92" s="6">
        <v>49</v>
      </c>
      <c r="I92" s="6" t="s">
        <v>714</v>
      </c>
      <c r="J92" s="19">
        <v>6.0790000000000002E-3</v>
      </c>
      <c r="K92" s="15">
        <v>3.0999999999999999E-3</v>
      </c>
      <c r="L92" s="6">
        <v>0.41</v>
      </c>
      <c r="M92" s="19">
        <v>3.1199999999999999E-2</v>
      </c>
      <c r="N92" s="6"/>
      <c r="O92" s="7"/>
    </row>
    <row r="93" spans="1:15">
      <c r="A93" s="8" t="s">
        <v>876</v>
      </c>
      <c r="B93" s="9" t="s">
        <v>22</v>
      </c>
      <c r="C93" s="9" t="s">
        <v>31</v>
      </c>
      <c r="D93" s="9" t="s">
        <v>20</v>
      </c>
      <c r="E93" s="268">
        <v>50000000</v>
      </c>
      <c r="F93" s="9">
        <v>50</v>
      </c>
      <c r="G93" s="268">
        <v>49333991</v>
      </c>
      <c r="H93" s="9">
        <v>49</v>
      </c>
      <c r="I93" s="9" t="s">
        <v>714</v>
      </c>
      <c r="J93" s="20">
        <v>6.0759999999999998E-3</v>
      </c>
      <c r="K93" s="16">
        <v>2.8999999999999998E-3</v>
      </c>
      <c r="L93" s="9">
        <v>0.41</v>
      </c>
      <c r="M93" s="20">
        <v>3.2399999999999998E-2</v>
      </c>
      <c r="N93" s="9"/>
      <c r="O93" s="10"/>
    </row>
    <row r="94" spans="1:15">
      <c r="A94" s="5" t="s">
        <v>876</v>
      </c>
      <c r="B94" s="6" t="s">
        <v>22</v>
      </c>
      <c r="C94" s="6" t="s">
        <v>199</v>
      </c>
      <c r="D94" s="6" t="s">
        <v>20</v>
      </c>
      <c r="E94" s="267">
        <v>6210000</v>
      </c>
      <c r="F94" s="6">
        <v>6</v>
      </c>
      <c r="G94" s="267">
        <v>6164057</v>
      </c>
      <c r="H94" s="6">
        <v>6</v>
      </c>
      <c r="I94" s="6" t="s">
        <v>705</v>
      </c>
      <c r="J94" s="19">
        <v>7.5900000000000002E-4</v>
      </c>
      <c r="K94" s="15">
        <v>3.0000000000000001E-3</v>
      </c>
      <c r="L94" s="6">
        <v>0.24</v>
      </c>
      <c r="M94" s="19">
        <v>3.1199999999999999E-2</v>
      </c>
      <c r="N94" s="6"/>
      <c r="O94" s="7"/>
    </row>
    <row r="95" spans="1:15">
      <c r="A95" s="8" t="s">
        <v>876</v>
      </c>
      <c r="B95" s="9" t="s">
        <v>28</v>
      </c>
      <c r="C95" s="9" t="s">
        <v>35</v>
      </c>
      <c r="D95" s="9" t="s">
        <v>91</v>
      </c>
      <c r="E95" s="268">
        <v>54000</v>
      </c>
      <c r="F95" s="9">
        <v>0</v>
      </c>
      <c r="G95" s="268">
        <v>1505181402</v>
      </c>
      <c r="H95" s="9">
        <v>1505</v>
      </c>
      <c r="I95" s="9" t="s">
        <v>44</v>
      </c>
      <c r="J95" s="20">
        <v>0.14765600000000001</v>
      </c>
      <c r="K95" s="16">
        <v>1.04333333E-2</v>
      </c>
      <c r="L95" s="9">
        <v>1.95</v>
      </c>
      <c r="M95" s="20">
        <v>9.4999999999999998E-3</v>
      </c>
      <c r="N95" s="9"/>
      <c r="O95" s="10"/>
    </row>
    <row r="96" spans="1:15">
      <c r="A96" s="5" t="s">
        <v>876</v>
      </c>
      <c r="B96" s="6" t="s">
        <v>28</v>
      </c>
      <c r="C96" s="6" t="s">
        <v>199</v>
      </c>
      <c r="D96" s="6" t="s">
        <v>20</v>
      </c>
      <c r="E96" s="267">
        <v>1039040000</v>
      </c>
      <c r="F96" s="6">
        <v>1039</v>
      </c>
      <c r="G96" s="267">
        <v>1014700712</v>
      </c>
      <c r="H96" s="6">
        <v>1014</v>
      </c>
      <c r="I96" s="6" t="s">
        <v>736</v>
      </c>
      <c r="J96" s="19">
        <v>9.9541000000000004E-2</v>
      </c>
      <c r="K96" s="15">
        <v>3.2000000000000002E-3</v>
      </c>
      <c r="L96" s="6">
        <v>0.7</v>
      </c>
      <c r="M96" s="19">
        <v>3.3599999999999998E-2</v>
      </c>
      <c r="N96" s="6"/>
      <c r="O96" s="7"/>
    </row>
    <row r="97" spans="1:15">
      <c r="A97" s="8" t="s">
        <v>876</v>
      </c>
      <c r="B97" s="9" t="s">
        <v>28</v>
      </c>
      <c r="C97" s="9" t="s">
        <v>25</v>
      </c>
      <c r="D97" s="9" t="s">
        <v>20</v>
      </c>
      <c r="E97" s="268">
        <v>1000000000</v>
      </c>
      <c r="F97" s="9">
        <v>1000</v>
      </c>
      <c r="G97" s="268">
        <v>996115151</v>
      </c>
      <c r="H97" s="9">
        <v>996</v>
      </c>
      <c r="I97" s="9" t="s">
        <v>648</v>
      </c>
      <c r="J97" s="20">
        <v>9.7716999999999998E-2</v>
      </c>
      <c r="K97" s="16">
        <v>2.5999999999999999E-3</v>
      </c>
      <c r="L97" s="9">
        <v>0.12</v>
      </c>
      <c r="M97" s="20">
        <v>3.1199999999999999E-2</v>
      </c>
      <c r="N97" s="9"/>
      <c r="O97" s="10"/>
    </row>
    <row r="98" spans="1:15">
      <c r="A98" s="5" t="s">
        <v>876</v>
      </c>
      <c r="B98" s="6" t="s">
        <v>28</v>
      </c>
      <c r="C98" s="6" t="s">
        <v>26</v>
      </c>
      <c r="D98" s="6" t="s">
        <v>20</v>
      </c>
      <c r="E98" s="267">
        <v>850000000</v>
      </c>
      <c r="F98" s="6">
        <v>850</v>
      </c>
      <c r="G98" s="267">
        <v>831783931</v>
      </c>
      <c r="H98" s="6">
        <v>831</v>
      </c>
      <c r="I98" s="6" t="s">
        <v>718</v>
      </c>
      <c r="J98" s="19">
        <v>8.1597000000000003E-2</v>
      </c>
      <c r="K98" s="15">
        <v>3.3999999999999998E-3</v>
      </c>
      <c r="L98" s="6">
        <v>0.6</v>
      </c>
      <c r="M98" s="19">
        <v>3.5999999999999997E-2</v>
      </c>
      <c r="N98" s="6"/>
      <c r="O98" s="7"/>
    </row>
    <row r="99" spans="1:15">
      <c r="A99" s="8" t="s">
        <v>876</v>
      </c>
      <c r="B99" s="9" t="s">
        <v>28</v>
      </c>
      <c r="C99" s="9" t="s">
        <v>31</v>
      </c>
      <c r="D99" s="9" t="s">
        <v>20</v>
      </c>
      <c r="E99" s="268">
        <v>500000000</v>
      </c>
      <c r="F99" s="9">
        <v>500</v>
      </c>
      <c r="G99" s="268">
        <v>493339911</v>
      </c>
      <c r="H99" s="9">
        <v>493</v>
      </c>
      <c r="I99" s="9" t="s">
        <v>714</v>
      </c>
      <c r="J99" s="20">
        <v>4.8396000000000002E-2</v>
      </c>
      <c r="K99" s="16">
        <v>3.0999999999999999E-3</v>
      </c>
      <c r="L99" s="9">
        <v>0.41</v>
      </c>
      <c r="M99" s="20">
        <v>3.2399999999999998E-2</v>
      </c>
      <c r="N99" s="9"/>
      <c r="O99" s="10"/>
    </row>
    <row r="100" spans="1:15">
      <c r="A100" s="5" t="s">
        <v>876</v>
      </c>
      <c r="B100" s="6" t="s">
        <v>28</v>
      </c>
      <c r="C100" s="6" t="s">
        <v>421</v>
      </c>
      <c r="D100" s="6" t="s">
        <v>20</v>
      </c>
      <c r="E100" s="267">
        <v>500000000</v>
      </c>
      <c r="F100" s="6">
        <v>500</v>
      </c>
      <c r="G100" s="267">
        <v>492507322</v>
      </c>
      <c r="H100" s="6">
        <v>492</v>
      </c>
      <c r="I100" s="6" t="s">
        <v>733</v>
      </c>
      <c r="J100" s="19">
        <v>4.8314000000000003E-2</v>
      </c>
      <c r="K100" s="15">
        <v>3.2000000000000002E-3</v>
      </c>
      <c r="L100" s="6">
        <v>0.45</v>
      </c>
      <c r="M100" s="19">
        <v>3.3599999999999998E-2</v>
      </c>
      <c r="N100" s="6"/>
      <c r="O100" s="7"/>
    </row>
    <row r="101" spans="1:15">
      <c r="A101" s="8" t="s">
        <v>876</v>
      </c>
      <c r="B101" s="9" t="s">
        <v>28</v>
      </c>
      <c r="C101" s="9" t="s">
        <v>23</v>
      </c>
      <c r="D101" s="9" t="s">
        <v>20</v>
      </c>
      <c r="E101" s="268">
        <v>450000000</v>
      </c>
      <c r="F101" s="9">
        <v>450</v>
      </c>
      <c r="G101" s="268">
        <v>443218753</v>
      </c>
      <c r="H101" s="9">
        <v>443</v>
      </c>
      <c r="I101" s="9" t="s">
        <v>734</v>
      </c>
      <c r="J101" s="20">
        <v>4.3478999999999997E-2</v>
      </c>
      <c r="K101" s="16">
        <v>3.0999999999999999E-3</v>
      </c>
      <c r="L101" s="9">
        <v>0.47</v>
      </c>
      <c r="M101" s="20">
        <v>3.2399999999999998E-2</v>
      </c>
      <c r="N101" s="9"/>
      <c r="O101" s="10"/>
    </row>
    <row r="102" spans="1:15">
      <c r="A102" s="5" t="s">
        <v>876</v>
      </c>
      <c r="B102" s="6" t="s">
        <v>28</v>
      </c>
      <c r="C102" s="6" t="s">
        <v>116</v>
      </c>
      <c r="D102" s="6" t="s">
        <v>117</v>
      </c>
      <c r="E102" s="267">
        <v>430000000</v>
      </c>
      <c r="F102" s="6">
        <v>430</v>
      </c>
      <c r="G102" s="267">
        <v>443043334</v>
      </c>
      <c r="H102" s="6">
        <v>443</v>
      </c>
      <c r="I102" s="6" t="s">
        <v>118</v>
      </c>
      <c r="J102" s="19">
        <v>4.3462000000000001E-2</v>
      </c>
      <c r="K102" s="15">
        <v>0</v>
      </c>
      <c r="L102" s="6">
        <v>1.44</v>
      </c>
      <c r="M102" s="19">
        <v>0</v>
      </c>
      <c r="N102" s="6"/>
      <c r="O102" s="7"/>
    </row>
    <row r="103" spans="1:15">
      <c r="A103" s="8" t="s">
        <v>876</v>
      </c>
      <c r="B103" s="9" t="s">
        <v>28</v>
      </c>
      <c r="C103" s="9" t="s">
        <v>19</v>
      </c>
      <c r="D103" s="9" t="s">
        <v>20</v>
      </c>
      <c r="E103" s="268">
        <v>300000000</v>
      </c>
      <c r="F103" s="9">
        <v>300</v>
      </c>
      <c r="G103" s="268">
        <v>292911541</v>
      </c>
      <c r="H103" s="9">
        <v>292</v>
      </c>
      <c r="I103" s="9" t="s">
        <v>721</v>
      </c>
      <c r="J103" s="20">
        <v>2.8733999999999999E-2</v>
      </c>
      <c r="K103" s="16">
        <v>3.3999999999999998E-3</v>
      </c>
      <c r="L103" s="9">
        <v>0.66</v>
      </c>
      <c r="M103" s="20">
        <v>3.5999999999999997E-2</v>
      </c>
      <c r="N103" s="9"/>
      <c r="O103" s="10"/>
    </row>
    <row r="104" spans="1:15">
      <c r="A104" s="5" t="s">
        <v>876</v>
      </c>
      <c r="B104" s="6" t="s">
        <v>28</v>
      </c>
      <c r="C104" s="6" t="s">
        <v>19</v>
      </c>
      <c r="D104" s="6" t="s">
        <v>20</v>
      </c>
      <c r="E104" s="267">
        <v>300000000</v>
      </c>
      <c r="F104" s="6">
        <v>300</v>
      </c>
      <c r="G104" s="267">
        <v>292682927</v>
      </c>
      <c r="H104" s="6">
        <v>292</v>
      </c>
      <c r="I104" s="6" t="s">
        <v>723</v>
      </c>
      <c r="J104" s="19">
        <v>2.8711E-2</v>
      </c>
      <c r="K104" s="15">
        <v>3.3999999999999998E-3</v>
      </c>
      <c r="L104" s="6">
        <v>0.68</v>
      </c>
      <c r="M104" s="19">
        <v>3.5999999999999997E-2</v>
      </c>
      <c r="N104" s="6"/>
      <c r="O104" s="7"/>
    </row>
    <row r="105" spans="1:15">
      <c r="A105" s="8" t="s">
        <v>876</v>
      </c>
      <c r="B105" s="9" t="s">
        <v>28</v>
      </c>
      <c r="C105" s="9" t="s">
        <v>541</v>
      </c>
      <c r="D105" s="9" t="s">
        <v>20</v>
      </c>
      <c r="E105" s="268">
        <v>277000000</v>
      </c>
      <c r="F105" s="9">
        <v>277</v>
      </c>
      <c r="G105" s="268">
        <v>276544623</v>
      </c>
      <c r="H105" s="9">
        <v>276</v>
      </c>
      <c r="I105" s="9" t="s">
        <v>645</v>
      </c>
      <c r="J105" s="20">
        <v>2.7127999999999999E-2</v>
      </c>
      <c r="K105" s="16">
        <v>3.0500000000000002E-3</v>
      </c>
      <c r="L105" s="9">
        <v>0.05</v>
      </c>
      <c r="M105" s="20">
        <v>3.1199999999999999E-2</v>
      </c>
      <c r="N105" s="9"/>
      <c r="O105" s="10"/>
    </row>
    <row r="106" spans="1:15">
      <c r="A106" s="5" t="s">
        <v>876</v>
      </c>
      <c r="B106" s="6" t="s">
        <v>28</v>
      </c>
      <c r="C106" s="6" t="s">
        <v>23</v>
      </c>
      <c r="D106" s="6" t="s">
        <v>20</v>
      </c>
      <c r="E106" s="267">
        <v>250000000</v>
      </c>
      <c r="F106" s="6">
        <v>250</v>
      </c>
      <c r="G106" s="267">
        <v>246560481</v>
      </c>
      <c r="H106" s="6">
        <v>246</v>
      </c>
      <c r="I106" s="6" t="s">
        <v>732</v>
      </c>
      <c r="J106" s="19">
        <v>2.4187E-2</v>
      </c>
      <c r="K106" s="15">
        <v>2.8999999999999998E-3</v>
      </c>
      <c r="L106" s="6">
        <v>0.42</v>
      </c>
      <c r="M106" s="19">
        <v>3.2399999999999998E-2</v>
      </c>
      <c r="N106" s="6"/>
      <c r="O106" s="7"/>
    </row>
    <row r="107" spans="1:15">
      <c r="A107" s="8" t="s">
        <v>876</v>
      </c>
      <c r="B107" s="9" t="s">
        <v>28</v>
      </c>
      <c r="C107" s="9" t="s">
        <v>21</v>
      </c>
      <c r="D107" s="9" t="s">
        <v>20</v>
      </c>
      <c r="E107" s="268">
        <v>200000000</v>
      </c>
      <c r="F107" s="9">
        <v>200</v>
      </c>
      <c r="G107" s="268">
        <v>196767762</v>
      </c>
      <c r="H107" s="9">
        <v>196</v>
      </c>
      <c r="I107" s="9" t="s">
        <v>716</v>
      </c>
      <c r="J107" s="20">
        <v>1.9302E-2</v>
      </c>
      <c r="K107" s="16">
        <v>3.0999999999999999E-3</v>
      </c>
      <c r="L107" s="9">
        <v>0.48</v>
      </c>
      <c r="M107" s="20">
        <v>3.3599999999999998E-2</v>
      </c>
      <c r="N107" s="9"/>
      <c r="O107" s="10"/>
    </row>
    <row r="108" spans="1:15">
      <c r="A108" s="5" t="s">
        <v>876</v>
      </c>
      <c r="B108" s="6" t="s">
        <v>28</v>
      </c>
      <c r="C108" s="6" t="s">
        <v>19</v>
      </c>
      <c r="D108" s="6" t="s">
        <v>20</v>
      </c>
      <c r="E108" s="267">
        <v>200000000</v>
      </c>
      <c r="F108" s="6">
        <v>200</v>
      </c>
      <c r="G108" s="267">
        <v>196486172</v>
      </c>
      <c r="H108" s="6">
        <v>196</v>
      </c>
      <c r="I108" s="6" t="s">
        <v>717</v>
      </c>
      <c r="J108" s="19">
        <v>1.9275E-2</v>
      </c>
      <c r="K108" s="15">
        <v>3.2000000000000002E-3</v>
      </c>
      <c r="L108" s="6">
        <v>0.51</v>
      </c>
      <c r="M108" s="19">
        <v>3.4799999999999998E-2</v>
      </c>
      <c r="N108" s="6"/>
      <c r="O108" s="7"/>
    </row>
    <row r="109" spans="1:15">
      <c r="A109" s="8" t="s">
        <v>876</v>
      </c>
      <c r="B109" s="9" t="s">
        <v>28</v>
      </c>
      <c r="C109" s="9" t="s">
        <v>709</v>
      </c>
      <c r="D109" s="9" t="s">
        <v>20</v>
      </c>
      <c r="E109" s="268">
        <v>200000000</v>
      </c>
      <c r="F109" s="9">
        <v>200</v>
      </c>
      <c r="G109" s="268">
        <v>195868481</v>
      </c>
      <c r="H109" s="9">
        <v>195</v>
      </c>
      <c r="I109" s="9" t="s">
        <v>719</v>
      </c>
      <c r="J109" s="20">
        <v>1.9213999999999998E-2</v>
      </c>
      <c r="K109" s="16">
        <v>3.2000000000000002E-3</v>
      </c>
      <c r="L109" s="9">
        <v>0.62</v>
      </c>
      <c r="M109" s="20">
        <v>3.3599999999999998E-2</v>
      </c>
      <c r="N109" s="9"/>
      <c r="O109" s="10"/>
    </row>
    <row r="110" spans="1:15">
      <c r="A110" s="5" t="s">
        <v>876</v>
      </c>
      <c r="B110" s="6" t="s">
        <v>28</v>
      </c>
      <c r="C110" s="6" t="s">
        <v>23</v>
      </c>
      <c r="D110" s="6" t="s">
        <v>20</v>
      </c>
      <c r="E110" s="267">
        <v>200000000</v>
      </c>
      <c r="F110" s="6">
        <v>200</v>
      </c>
      <c r="G110" s="267">
        <v>195564595</v>
      </c>
      <c r="H110" s="6">
        <v>195</v>
      </c>
      <c r="I110" s="6" t="s">
        <v>707</v>
      </c>
      <c r="J110" s="19">
        <v>1.9184E-2</v>
      </c>
      <c r="K110" s="15">
        <v>3.3E-3</v>
      </c>
      <c r="L110" s="6">
        <v>0.67</v>
      </c>
      <c r="M110" s="19">
        <v>3.3599999999999998E-2</v>
      </c>
      <c r="N110" s="6"/>
      <c r="O110" s="7"/>
    </row>
    <row r="111" spans="1:15">
      <c r="A111" s="8" t="s">
        <v>876</v>
      </c>
      <c r="B111" s="9" t="s">
        <v>28</v>
      </c>
      <c r="C111" s="9" t="s">
        <v>421</v>
      </c>
      <c r="D111" s="9" t="s">
        <v>20</v>
      </c>
      <c r="E111" s="268">
        <v>200000000</v>
      </c>
      <c r="F111" s="9">
        <v>200</v>
      </c>
      <c r="G111" s="268">
        <v>195078178</v>
      </c>
      <c r="H111" s="9">
        <v>195</v>
      </c>
      <c r="I111" s="9" t="s">
        <v>737</v>
      </c>
      <c r="J111" s="20">
        <v>1.9136E-2</v>
      </c>
      <c r="K111" s="16">
        <v>3.3E-3</v>
      </c>
      <c r="L111" s="9">
        <v>0.72</v>
      </c>
      <c r="M111" s="20">
        <v>3.4799999999999998E-2</v>
      </c>
      <c r="N111" s="9"/>
      <c r="O111" s="10"/>
    </row>
    <row r="112" spans="1:15">
      <c r="A112" s="5" t="s">
        <v>876</v>
      </c>
      <c r="B112" s="6" t="s">
        <v>28</v>
      </c>
      <c r="C112" s="6" t="s">
        <v>19</v>
      </c>
      <c r="D112" s="6" t="s">
        <v>20</v>
      </c>
      <c r="E112" s="267">
        <v>200000000</v>
      </c>
      <c r="F112" s="6">
        <v>200</v>
      </c>
      <c r="G112" s="267">
        <v>193928111</v>
      </c>
      <c r="H112" s="6">
        <v>193</v>
      </c>
      <c r="I112" s="6" t="s">
        <v>726</v>
      </c>
      <c r="J112" s="19">
        <v>1.9023999999999999E-2</v>
      </c>
      <c r="K112" s="15">
        <v>3.3999999999999998E-3</v>
      </c>
      <c r="L112" s="6">
        <v>0.83</v>
      </c>
      <c r="M112" s="19">
        <v>3.7199999999999997E-2</v>
      </c>
      <c r="N112" s="6"/>
      <c r="O112" s="7"/>
    </row>
    <row r="113" spans="1:15">
      <c r="A113" s="8" t="s">
        <v>876</v>
      </c>
      <c r="B113" s="9" t="s">
        <v>28</v>
      </c>
      <c r="C113" s="9" t="s">
        <v>23</v>
      </c>
      <c r="D113" s="9" t="s">
        <v>20</v>
      </c>
      <c r="E113" s="268">
        <v>168723733</v>
      </c>
      <c r="F113" s="9">
        <v>168</v>
      </c>
      <c r="G113" s="268">
        <v>164681355</v>
      </c>
      <c r="H113" s="9">
        <v>164</v>
      </c>
      <c r="I113" s="9" t="s">
        <v>725</v>
      </c>
      <c r="J113" s="20">
        <v>1.6154999999999999E-2</v>
      </c>
      <c r="K113" s="16">
        <v>3.2000000000000002E-3</v>
      </c>
      <c r="L113" s="9">
        <v>0.72</v>
      </c>
      <c r="M113" s="20">
        <v>3.3599999999999998E-2</v>
      </c>
      <c r="N113" s="9"/>
      <c r="O113" s="10"/>
    </row>
    <row r="114" spans="1:15">
      <c r="A114" s="5" t="s">
        <v>876</v>
      </c>
      <c r="B114" s="6" t="s">
        <v>28</v>
      </c>
      <c r="C114" s="6" t="s">
        <v>625</v>
      </c>
      <c r="D114" s="6" t="s">
        <v>20</v>
      </c>
      <c r="E114" s="267">
        <v>150000000</v>
      </c>
      <c r="F114" s="6">
        <v>150</v>
      </c>
      <c r="G114" s="267">
        <v>149988001</v>
      </c>
      <c r="H114" s="6">
        <v>149</v>
      </c>
      <c r="I114" s="6" t="s">
        <v>605</v>
      </c>
      <c r="J114" s="19">
        <v>1.4713E-2</v>
      </c>
      <c r="K114" s="15">
        <v>2.5000000000000001E-3</v>
      </c>
      <c r="L114" s="6">
        <v>0</v>
      </c>
      <c r="M114" s="19">
        <v>2.8799999999999999E-2</v>
      </c>
      <c r="N114" s="6"/>
      <c r="O114" s="7"/>
    </row>
    <row r="115" spans="1:15">
      <c r="A115" s="8" t="s">
        <v>876</v>
      </c>
      <c r="B115" s="9" t="s">
        <v>28</v>
      </c>
      <c r="C115" s="9" t="s">
        <v>199</v>
      </c>
      <c r="D115" s="9" t="s">
        <v>20</v>
      </c>
      <c r="E115" s="268">
        <v>150000000</v>
      </c>
      <c r="F115" s="9">
        <v>150</v>
      </c>
      <c r="G115" s="268">
        <v>148075025</v>
      </c>
      <c r="H115" s="9">
        <v>148</v>
      </c>
      <c r="I115" s="9" t="s">
        <v>714</v>
      </c>
      <c r="J115" s="20">
        <v>1.4525E-2</v>
      </c>
      <c r="K115" s="16">
        <v>3.0999999999999999E-3</v>
      </c>
      <c r="L115" s="9">
        <v>0.41</v>
      </c>
      <c r="M115" s="20">
        <v>3.1199999999999999E-2</v>
      </c>
      <c r="N115" s="9"/>
      <c r="O115" s="10"/>
    </row>
    <row r="116" spans="1:15">
      <c r="A116" s="5" t="s">
        <v>876</v>
      </c>
      <c r="B116" s="6" t="s">
        <v>28</v>
      </c>
      <c r="C116" s="6" t="s">
        <v>421</v>
      </c>
      <c r="D116" s="6" t="s">
        <v>20</v>
      </c>
      <c r="E116" s="267">
        <v>150000000</v>
      </c>
      <c r="F116" s="6">
        <v>150</v>
      </c>
      <c r="G116" s="267">
        <v>147765781</v>
      </c>
      <c r="H116" s="6">
        <v>147</v>
      </c>
      <c r="I116" s="6" t="s">
        <v>715</v>
      </c>
      <c r="J116" s="19">
        <v>1.4494999999999999E-2</v>
      </c>
      <c r="K116" s="15">
        <v>3.0999999999999999E-3</v>
      </c>
      <c r="L116" s="6">
        <v>0.44</v>
      </c>
      <c r="M116" s="19">
        <v>3.3599999999999998E-2</v>
      </c>
      <c r="N116" s="6"/>
      <c r="O116" s="7"/>
    </row>
    <row r="117" spans="1:15">
      <c r="A117" s="8" t="s">
        <v>876</v>
      </c>
      <c r="B117" s="9" t="s">
        <v>28</v>
      </c>
      <c r="C117" s="9" t="s">
        <v>668</v>
      </c>
      <c r="D117" s="9" t="s">
        <v>20</v>
      </c>
      <c r="E117" s="268">
        <v>150000000</v>
      </c>
      <c r="F117" s="9">
        <v>150</v>
      </c>
      <c r="G117" s="268">
        <v>145906827</v>
      </c>
      <c r="H117" s="9">
        <v>145</v>
      </c>
      <c r="I117" s="9" t="s">
        <v>725</v>
      </c>
      <c r="J117" s="20">
        <v>1.4312999999999999E-2</v>
      </c>
      <c r="K117" s="16">
        <v>3.5000000000000001E-3</v>
      </c>
      <c r="L117" s="9">
        <v>0.72</v>
      </c>
      <c r="M117" s="20">
        <v>3.8399999999999997E-2</v>
      </c>
      <c r="N117" s="9"/>
      <c r="O117" s="10"/>
    </row>
    <row r="118" spans="1:15">
      <c r="A118" s="5" t="s">
        <v>876</v>
      </c>
      <c r="B118" s="6" t="s">
        <v>28</v>
      </c>
      <c r="C118" s="6" t="s">
        <v>199</v>
      </c>
      <c r="D118" s="6" t="s">
        <v>20</v>
      </c>
      <c r="E118" s="267">
        <v>150000000</v>
      </c>
      <c r="F118" s="6">
        <v>150</v>
      </c>
      <c r="G118" s="267">
        <v>145649451</v>
      </c>
      <c r="H118" s="6">
        <v>145</v>
      </c>
      <c r="I118" s="6" t="s">
        <v>727</v>
      </c>
      <c r="J118" s="19">
        <v>1.4288E-2</v>
      </c>
      <c r="K118" s="15">
        <v>3.3E-3</v>
      </c>
      <c r="L118" s="6">
        <v>0.85</v>
      </c>
      <c r="M118" s="19">
        <v>3.4799999999999998E-2</v>
      </c>
      <c r="N118" s="6"/>
      <c r="O118" s="7"/>
    </row>
    <row r="119" spans="1:15">
      <c r="A119" s="8" t="s">
        <v>876</v>
      </c>
      <c r="B119" s="9" t="s">
        <v>28</v>
      </c>
      <c r="C119" s="9" t="s">
        <v>19</v>
      </c>
      <c r="D119" s="9" t="s">
        <v>20</v>
      </c>
      <c r="E119" s="268">
        <v>100000000</v>
      </c>
      <c r="F119" s="9">
        <v>100</v>
      </c>
      <c r="G119" s="268">
        <v>99002059</v>
      </c>
      <c r="H119" s="9">
        <v>99</v>
      </c>
      <c r="I119" s="9" t="s">
        <v>731</v>
      </c>
      <c r="J119" s="20">
        <v>9.7109999999999991E-3</v>
      </c>
      <c r="K119" s="16">
        <v>3.0999999999999999E-3</v>
      </c>
      <c r="L119" s="9">
        <v>0.3</v>
      </c>
      <c r="M119" s="20">
        <v>3.3599999999999998E-2</v>
      </c>
      <c r="N119" s="9"/>
      <c r="O119" s="10"/>
    </row>
    <row r="120" spans="1:15">
      <c r="A120" s="5" t="s">
        <v>876</v>
      </c>
      <c r="B120" s="6" t="s">
        <v>28</v>
      </c>
      <c r="C120" s="6" t="s">
        <v>29</v>
      </c>
      <c r="D120" s="6" t="s">
        <v>20</v>
      </c>
      <c r="E120" s="267">
        <v>100000000</v>
      </c>
      <c r="F120" s="6">
        <v>100</v>
      </c>
      <c r="G120" s="267">
        <v>98957973</v>
      </c>
      <c r="H120" s="6">
        <v>98</v>
      </c>
      <c r="I120" s="6" t="s">
        <v>712</v>
      </c>
      <c r="J120" s="19">
        <v>9.7070000000000004E-3</v>
      </c>
      <c r="K120" s="15">
        <v>2.8E-3</v>
      </c>
      <c r="L120" s="6">
        <v>0.32</v>
      </c>
      <c r="M120" s="19">
        <v>3.2399999999999998E-2</v>
      </c>
      <c r="N120" s="6"/>
      <c r="O120" s="7"/>
    </row>
    <row r="121" spans="1:15">
      <c r="A121" s="8" t="s">
        <v>876</v>
      </c>
      <c r="B121" s="9" t="s">
        <v>28</v>
      </c>
      <c r="C121" s="9" t="s">
        <v>29</v>
      </c>
      <c r="D121" s="9" t="s">
        <v>20</v>
      </c>
      <c r="E121" s="268">
        <v>100000000</v>
      </c>
      <c r="F121" s="9">
        <v>100</v>
      </c>
      <c r="G121" s="268">
        <v>97943193</v>
      </c>
      <c r="H121" s="9">
        <v>97</v>
      </c>
      <c r="I121" s="9" t="s">
        <v>735</v>
      </c>
      <c r="J121" s="20">
        <v>9.6080000000000002E-3</v>
      </c>
      <c r="K121" s="16">
        <v>2.8E-3</v>
      </c>
      <c r="L121" s="9">
        <v>0.62</v>
      </c>
      <c r="M121" s="20">
        <v>3.3599999999999998E-2</v>
      </c>
      <c r="N121" s="9"/>
      <c r="O121" s="10"/>
    </row>
    <row r="122" spans="1:15">
      <c r="A122" s="5" t="s">
        <v>876</v>
      </c>
      <c r="B122" s="6" t="s">
        <v>28</v>
      </c>
      <c r="C122" s="6" t="s">
        <v>122</v>
      </c>
      <c r="D122" s="6" t="s">
        <v>123</v>
      </c>
      <c r="E122" s="267">
        <v>6000</v>
      </c>
      <c r="F122" s="6">
        <v>0</v>
      </c>
      <c r="G122" s="267">
        <v>61233672</v>
      </c>
      <c r="H122" s="6">
        <v>61</v>
      </c>
      <c r="I122" s="6" t="s">
        <v>124</v>
      </c>
      <c r="J122" s="19">
        <v>6.0060000000000001E-3</v>
      </c>
      <c r="K122" s="15">
        <v>2.69E-2</v>
      </c>
      <c r="L122" s="6">
        <v>3.17</v>
      </c>
      <c r="M122" s="19">
        <v>2.2200000000000001E-2</v>
      </c>
      <c r="N122" s="6"/>
      <c r="O122" s="7"/>
    </row>
    <row r="123" spans="1:15">
      <c r="A123" s="8" t="s">
        <v>876</v>
      </c>
      <c r="B123" s="9" t="s">
        <v>28</v>
      </c>
      <c r="C123" s="9" t="s">
        <v>119</v>
      </c>
      <c r="D123" s="9" t="s">
        <v>120</v>
      </c>
      <c r="E123" s="268">
        <v>20000</v>
      </c>
      <c r="F123" s="9">
        <v>0</v>
      </c>
      <c r="G123" s="268">
        <v>56877777</v>
      </c>
      <c r="H123" s="9">
        <v>56</v>
      </c>
      <c r="I123" s="9" t="s">
        <v>121</v>
      </c>
      <c r="J123" s="20">
        <v>5.5789999999999998E-3</v>
      </c>
      <c r="K123" s="16">
        <v>5.1999999999999998E-2</v>
      </c>
      <c r="L123" s="9">
        <v>1.74</v>
      </c>
      <c r="M123" s="20">
        <v>4.3099999999999999E-2</v>
      </c>
      <c r="N123" s="9"/>
      <c r="O123" s="10"/>
    </row>
    <row r="124" spans="1:15">
      <c r="A124" s="5" t="s">
        <v>876</v>
      </c>
      <c r="B124" s="6" t="s">
        <v>28</v>
      </c>
      <c r="C124" s="6" t="s">
        <v>21</v>
      </c>
      <c r="D124" s="6" t="s">
        <v>20</v>
      </c>
      <c r="E124" s="267">
        <v>50000000</v>
      </c>
      <c r="F124" s="6">
        <v>50</v>
      </c>
      <c r="G124" s="267">
        <v>49992001</v>
      </c>
      <c r="H124" s="6">
        <v>49</v>
      </c>
      <c r="I124" s="6" t="s">
        <v>728</v>
      </c>
      <c r="J124" s="19">
        <v>4.9040000000000004E-3</v>
      </c>
      <c r="K124" s="15">
        <v>2.3999999999999998E-3</v>
      </c>
      <c r="L124" s="6">
        <v>0.01</v>
      </c>
      <c r="M124" s="19">
        <v>2.8799999999999999E-2</v>
      </c>
      <c r="N124" s="6"/>
      <c r="O124" s="7"/>
    </row>
    <row r="125" spans="1:15">
      <c r="A125" s="8" t="s">
        <v>876</v>
      </c>
      <c r="B125" s="9" t="s">
        <v>28</v>
      </c>
      <c r="C125" s="9" t="s">
        <v>25</v>
      </c>
      <c r="D125" s="9" t="s">
        <v>20</v>
      </c>
      <c r="E125" s="268">
        <v>50000000</v>
      </c>
      <c r="F125" s="9">
        <v>50</v>
      </c>
      <c r="G125" s="268">
        <v>49933422</v>
      </c>
      <c r="H125" s="9">
        <v>49</v>
      </c>
      <c r="I125" s="9" t="s">
        <v>729</v>
      </c>
      <c r="J125" s="20">
        <v>4.8979999999999996E-3</v>
      </c>
      <c r="K125" s="16">
        <v>2.5000000000000001E-3</v>
      </c>
      <c r="L125" s="9">
        <v>0.04</v>
      </c>
      <c r="M125" s="20">
        <v>0.03</v>
      </c>
      <c r="N125" s="9"/>
      <c r="O125" s="10"/>
    </row>
    <row r="126" spans="1:15">
      <c r="A126" s="5" t="s">
        <v>876</v>
      </c>
      <c r="B126" s="6" t="s">
        <v>28</v>
      </c>
      <c r="C126" s="6" t="s">
        <v>19</v>
      </c>
      <c r="D126" s="6" t="s">
        <v>20</v>
      </c>
      <c r="E126" s="267">
        <v>50000000</v>
      </c>
      <c r="F126" s="6">
        <v>50</v>
      </c>
      <c r="G126" s="267">
        <v>49900200</v>
      </c>
      <c r="H126" s="6">
        <v>49</v>
      </c>
      <c r="I126" s="6" t="s">
        <v>730</v>
      </c>
      <c r="J126" s="19">
        <v>4.895E-3</v>
      </c>
      <c r="K126" s="15">
        <v>2.5000000000000001E-3</v>
      </c>
      <c r="L126" s="6">
        <v>7.0000000000000007E-2</v>
      </c>
      <c r="M126" s="19">
        <v>0.03</v>
      </c>
      <c r="N126" s="6"/>
      <c r="O126" s="7"/>
    </row>
    <row r="127" spans="1:15">
      <c r="A127" s="8" t="s">
        <v>876</v>
      </c>
      <c r="B127" s="9" t="s">
        <v>28</v>
      </c>
      <c r="C127" s="9" t="s">
        <v>31</v>
      </c>
      <c r="D127" s="9" t="s">
        <v>20</v>
      </c>
      <c r="E127" s="268">
        <v>50000000</v>
      </c>
      <c r="F127" s="9">
        <v>50</v>
      </c>
      <c r="G127" s="268">
        <v>49879458</v>
      </c>
      <c r="H127" s="9">
        <v>49</v>
      </c>
      <c r="I127" s="9" t="s">
        <v>607</v>
      </c>
      <c r="J127" s="20">
        <v>4.8929999999999998E-3</v>
      </c>
      <c r="K127" s="16">
        <v>2.5999999999999999E-3</v>
      </c>
      <c r="L127" s="9">
        <v>0.08</v>
      </c>
      <c r="M127" s="20">
        <v>0.03</v>
      </c>
      <c r="N127" s="9"/>
      <c r="O127" s="10"/>
    </row>
    <row r="128" spans="1:15">
      <c r="A128" s="5" t="s">
        <v>876</v>
      </c>
      <c r="B128" s="6" t="s">
        <v>28</v>
      </c>
      <c r="C128" s="6" t="s">
        <v>199</v>
      </c>
      <c r="D128" s="6" t="s">
        <v>20</v>
      </c>
      <c r="E128" s="267">
        <v>50000000</v>
      </c>
      <c r="F128" s="6">
        <v>50</v>
      </c>
      <c r="G128" s="267">
        <v>49730626</v>
      </c>
      <c r="H128" s="6">
        <v>49</v>
      </c>
      <c r="I128" s="6" t="s">
        <v>627</v>
      </c>
      <c r="J128" s="19">
        <v>4.8780000000000004E-3</v>
      </c>
      <c r="K128" s="15">
        <v>2.5999999999999999E-3</v>
      </c>
      <c r="L128" s="6">
        <v>0.18</v>
      </c>
      <c r="M128" s="19">
        <v>0.03</v>
      </c>
      <c r="N128" s="6"/>
      <c r="O128" s="7"/>
    </row>
    <row r="129" spans="1:15">
      <c r="A129" s="8" t="s">
        <v>876</v>
      </c>
      <c r="B129" s="9" t="s">
        <v>28</v>
      </c>
      <c r="C129" s="9" t="s">
        <v>23</v>
      </c>
      <c r="D129" s="9" t="s">
        <v>20</v>
      </c>
      <c r="E129" s="268">
        <v>50000000</v>
      </c>
      <c r="F129" s="9">
        <v>50</v>
      </c>
      <c r="G129" s="268">
        <v>49694215</v>
      </c>
      <c r="H129" s="9">
        <v>49</v>
      </c>
      <c r="I129" s="9" t="s">
        <v>704</v>
      </c>
      <c r="J129" s="20">
        <v>4.8739999999999999E-3</v>
      </c>
      <c r="K129" s="16">
        <v>3.0000000000000001E-3</v>
      </c>
      <c r="L129" s="9">
        <v>0.19</v>
      </c>
      <c r="M129" s="20">
        <v>3.1199999999999999E-2</v>
      </c>
      <c r="N129" s="9"/>
      <c r="O129" s="10"/>
    </row>
    <row r="130" spans="1:15">
      <c r="A130" s="5" t="s">
        <v>876</v>
      </c>
      <c r="B130" s="6" t="s">
        <v>28</v>
      </c>
      <c r="C130" s="6" t="s">
        <v>421</v>
      </c>
      <c r="D130" s="6" t="s">
        <v>20</v>
      </c>
      <c r="E130" s="267">
        <v>50000000</v>
      </c>
      <c r="F130" s="6">
        <v>50</v>
      </c>
      <c r="G130" s="267">
        <v>48723446</v>
      </c>
      <c r="H130" s="6">
        <v>48</v>
      </c>
      <c r="I130" s="6" t="s">
        <v>738</v>
      </c>
      <c r="J130" s="19">
        <v>4.7790000000000003E-3</v>
      </c>
      <c r="K130" s="15">
        <v>2.8999999999999998E-3</v>
      </c>
      <c r="L130" s="6">
        <v>0.72</v>
      </c>
      <c r="M130" s="19">
        <v>3.5999999999999997E-2</v>
      </c>
      <c r="N130" s="6"/>
      <c r="O130" s="7"/>
    </row>
    <row r="131" spans="1:15">
      <c r="A131" s="8" t="s">
        <v>876</v>
      </c>
      <c r="B131" s="9" t="s">
        <v>28</v>
      </c>
      <c r="C131" s="9" t="s">
        <v>122</v>
      </c>
      <c r="D131" s="9" t="s">
        <v>125</v>
      </c>
      <c r="E131" s="268">
        <v>1000</v>
      </c>
      <c r="F131" s="9">
        <v>0</v>
      </c>
      <c r="G131" s="268">
        <v>19946269</v>
      </c>
      <c r="H131" s="9">
        <v>19</v>
      </c>
      <c r="I131" s="9" t="s">
        <v>126</v>
      </c>
      <c r="J131" s="20">
        <v>1.9559999999999998E-3</v>
      </c>
      <c r="K131" s="16">
        <v>0.03</v>
      </c>
      <c r="L131" s="9">
        <v>5.03</v>
      </c>
      <c r="M131" s="20">
        <v>2.47E-2</v>
      </c>
      <c r="N131" s="9"/>
      <c r="O131" s="10"/>
    </row>
    <row r="132" spans="1:15">
      <c r="A132" s="5" t="s">
        <v>876</v>
      </c>
      <c r="B132" s="6" t="s">
        <v>28</v>
      </c>
      <c r="C132" s="6" t="s">
        <v>122</v>
      </c>
      <c r="D132" s="6" t="s">
        <v>127</v>
      </c>
      <c r="E132" s="267">
        <v>300</v>
      </c>
      <c r="F132" s="6">
        <v>0</v>
      </c>
      <c r="G132" s="267">
        <v>5602790</v>
      </c>
      <c r="H132" s="6">
        <v>5</v>
      </c>
      <c r="I132" s="6" t="s">
        <v>128</v>
      </c>
      <c r="J132" s="19">
        <v>5.4900000000000001E-4</v>
      </c>
      <c r="K132" s="15">
        <v>3.4500000000000003E-2</v>
      </c>
      <c r="L132" s="6">
        <v>4.68</v>
      </c>
      <c r="M132" s="19">
        <v>2.4400000000000002E-2</v>
      </c>
      <c r="N132" s="6"/>
      <c r="O132" s="7"/>
    </row>
    <row r="133" spans="1:15">
      <c r="A133" s="8" t="s">
        <v>876</v>
      </c>
      <c r="B133" s="9" t="s">
        <v>28</v>
      </c>
      <c r="C133" s="9" t="s">
        <v>122</v>
      </c>
      <c r="D133" s="9" t="s">
        <v>129</v>
      </c>
      <c r="E133" s="268">
        <v>127</v>
      </c>
      <c r="F133" s="9">
        <v>0</v>
      </c>
      <c r="G133" s="268">
        <v>2013346</v>
      </c>
      <c r="H133" s="9">
        <v>2</v>
      </c>
      <c r="I133" s="9" t="s">
        <v>130</v>
      </c>
      <c r="J133" s="20">
        <v>1.9699999999999999E-4</v>
      </c>
      <c r="K133" s="16">
        <v>3.4500000000000003E-2</v>
      </c>
      <c r="L133" s="9">
        <v>3.29</v>
      </c>
      <c r="M133" s="20">
        <v>2.23E-2</v>
      </c>
      <c r="N133" s="9"/>
      <c r="O133" s="10"/>
    </row>
    <row r="134" spans="1:15">
      <c r="A134" s="5" t="s">
        <v>876</v>
      </c>
      <c r="B134" s="6" t="s">
        <v>28</v>
      </c>
      <c r="C134" s="6" t="s">
        <v>131</v>
      </c>
      <c r="D134" s="6" t="s">
        <v>132</v>
      </c>
      <c r="E134" s="267">
        <v>0.48</v>
      </c>
      <c r="F134" s="6">
        <v>0</v>
      </c>
      <c r="G134" s="267">
        <v>13110</v>
      </c>
      <c r="H134" s="6">
        <v>0</v>
      </c>
      <c r="I134" s="6" t="s">
        <v>133</v>
      </c>
      <c r="J134" s="19">
        <v>9.9999999999999995E-7</v>
      </c>
      <c r="K134" s="15">
        <v>1.34E-2</v>
      </c>
      <c r="L134" s="6">
        <v>0.98</v>
      </c>
      <c r="M134" s="19">
        <v>9.4999999999999998E-3</v>
      </c>
      <c r="N134" s="6"/>
      <c r="O134" s="7"/>
    </row>
    <row r="135" spans="1:15">
      <c r="A135" s="8" t="s">
        <v>876</v>
      </c>
      <c r="B135" s="9" t="s">
        <v>30</v>
      </c>
      <c r="C135" s="9" t="s">
        <v>112</v>
      </c>
      <c r="D135" s="9" t="s">
        <v>113</v>
      </c>
      <c r="E135" s="268">
        <v>13754138.3431</v>
      </c>
      <c r="F135" s="9">
        <v>13</v>
      </c>
      <c r="G135" s="268">
        <v>16393144867</v>
      </c>
      <c r="H135" s="9">
        <v>16393</v>
      </c>
      <c r="I135" s="9" t="s">
        <v>34</v>
      </c>
      <c r="J135" s="20">
        <v>0.15921099999999999</v>
      </c>
      <c r="K135" s="16">
        <v>0</v>
      </c>
      <c r="L135" s="9">
        <v>0</v>
      </c>
      <c r="M135" s="20">
        <v>0</v>
      </c>
      <c r="N135" s="9"/>
      <c r="O135" s="10"/>
    </row>
    <row r="136" spans="1:15">
      <c r="A136" s="5" t="s">
        <v>876</v>
      </c>
      <c r="B136" s="6" t="s">
        <v>30</v>
      </c>
      <c r="C136" s="6" t="s">
        <v>35</v>
      </c>
      <c r="D136" s="6" t="s">
        <v>91</v>
      </c>
      <c r="E136" s="267">
        <v>530500</v>
      </c>
      <c r="F136" s="6">
        <v>0</v>
      </c>
      <c r="G136" s="267">
        <v>14787013588</v>
      </c>
      <c r="H136" s="6">
        <v>14787</v>
      </c>
      <c r="I136" s="6" t="s">
        <v>44</v>
      </c>
      <c r="J136" s="19">
        <v>0.14361199999999999</v>
      </c>
      <c r="K136" s="15">
        <v>9.4454545000000004E-3</v>
      </c>
      <c r="L136" s="6">
        <v>1.95</v>
      </c>
      <c r="M136" s="19">
        <v>9.4999999999999998E-3</v>
      </c>
      <c r="N136" s="6"/>
      <c r="O136" s="7"/>
    </row>
    <row r="137" spans="1:15">
      <c r="A137" s="8" t="s">
        <v>876</v>
      </c>
      <c r="B137" s="9" t="s">
        <v>30</v>
      </c>
      <c r="C137" s="9" t="s">
        <v>32</v>
      </c>
      <c r="D137" s="9" t="s">
        <v>33</v>
      </c>
      <c r="E137" s="268">
        <v>9281467</v>
      </c>
      <c r="F137" s="9">
        <v>9</v>
      </c>
      <c r="G137" s="268">
        <v>11192544259</v>
      </c>
      <c r="H137" s="9">
        <v>11192</v>
      </c>
      <c r="I137" s="9" t="s">
        <v>34</v>
      </c>
      <c r="J137" s="20">
        <v>0.10870199999999999</v>
      </c>
      <c r="K137" s="16">
        <v>0</v>
      </c>
      <c r="L137" s="9">
        <v>0</v>
      </c>
      <c r="M137" s="20">
        <v>0</v>
      </c>
      <c r="N137" s="9"/>
      <c r="O137" s="10"/>
    </row>
    <row r="138" spans="1:15">
      <c r="A138" s="5" t="s">
        <v>876</v>
      </c>
      <c r="B138" s="6" t="s">
        <v>30</v>
      </c>
      <c r="C138" s="6" t="s">
        <v>35</v>
      </c>
      <c r="D138" s="6" t="s">
        <v>36</v>
      </c>
      <c r="E138" s="267">
        <v>106000</v>
      </c>
      <c r="F138" s="6">
        <v>0</v>
      </c>
      <c r="G138" s="267">
        <v>2958707753</v>
      </c>
      <c r="H138" s="6">
        <v>2958</v>
      </c>
      <c r="I138" s="6" t="s">
        <v>37</v>
      </c>
      <c r="J138" s="19">
        <v>2.8735E-2</v>
      </c>
      <c r="K138" s="15">
        <v>1.47E-2</v>
      </c>
      <c r="L138" s="6">
        <v>6.65</v>
      </c>
      <c r="M138" s="19">
        <v>1.32E-2</v>
      </c>
      <c r="N138" s="6"/>
      <c r="O138" s="7"/>
    </row>
    <row r="139" spans="1:15">
      <c r="A139" s="8" t="s">
        <v>876</v>
      </c>
      <c r="B139" s="9" t="s">
        <v>30</v>
      </c>
      <c r="C139" s="9" t="s">
        <v>207</v>
      </c>
      <c r="D139" s="9" t="s">
        <v>208</v>
      </c>
      <c r="E139" s="268">
        <v>71000</v>
      </c>
      <c r="F139" s="9">
        <v>0</v>
      </c>
      <c r="G139" s="268">
        <v>1992235189</v>
      </c>
      <c r="H139" s="9">
        <v>1992</v>
      </c>
      <c r="I139" s="9" t="s">
        <v>209</v>
      </c>
      <c r="J139" s="20">
        <v>1.9348000000000001E-2</v>
      </c>
      <c r="K139" s="16">
        <v>1.69090909E-2</v>
      </c>
      <c r="L139" s="9">
        <v>2.29</v>
      </c>
      <c r="M139" s="20">
        <v>1.66E-2</v>
      </c>
      <c r="N139" s="9"/>
      <c r="O139" s="10"/>
    </row>
    <row r="140" spans="1:15">
      <c r="A140" s="5" t="s">
        <v>876</v>
      </c>
      <c r="B140" s="6" t="s">
        <v>30</v>
      </c>
      <c r="C140" s="6" t="s">
        <v>54</v>
      </c>
      <c r="D140" s="6" t="s">
        <v>751</v>
      </c>
      <c r="E140" s="267">
        <v>59000</v>
      </c>
      <c r="F140" s="6">
        <v>0</v>
      </c>
      <c r="G140" s="267">
        <v>1670417305</v>
      </c>
      <c r="H140" s="6">
        <v>1670</v>
      </c>
      <c r="I140" s="6" t="s">
        <v>109</v>
      </c>
      <c r="J140" s="19">
        <v>1.6223000000000001E-2</v>
      </c>
      <c r="K140" s="15">
        <v>1.5100000000000001E-2</v>
      </c>
      <c r="L140" s="6">
        <v>1.29</v>
      </c>
      <c r="M140" s="19">
        <v>1.35E-2</v>
      </c>
      <c r="N140" s="6"/>
      <c r="O140" s="7"/>
    </row>
    <row r="141" spans="1:15">
      <c r="A141" s="8" t="s">
        <v>876</v>
      </c>
      <c r="B141" s="9" t="s">
        <v>30</v>
      </c>
      <c r="C141" s="9" t="s">
        <v>506</v>
      </c>
      <c r="D141" s="9" t="s">
        <v>620</v>
      </c>
      <c r="E141" s="268">
        <v>59000</v>
      </c>
      <c r="F141" s="9">
        <v>0</v>
      </c>
      <c r="G141" s="268">
        <v>1667839509</v>
      </c>
      <c r="H141" s="9">
        <v>1667</v>
      </c>
      <c r="I141" s="9" t="s">
        <v>621</v>
      </c>
      <c r="J141" s="20">
        <v>1.6198000000000001E-2</v>
      </c>
      <c r="K141" s="16">
        <v>1.9400000000000001E-2</v>
      </c>
      <c r="L141" s="9">
        <v>4.05</v>
      </c>
      <c r="M141" s="20">
        <v>1.83E-2</v>
      </c>
      <c r="N141" s="9"/>
      <c r="O141" s="10"/>
    </row>
    <row r="142" spans="1:15">
      <c r="A142" s="5" t="s">
        <v>876</v>
      </c>
      <c r="B142" s="6" t="s">
        <v>30</v>
      </c>
      <c r="C142" s="6" t="s">
        <v>64</v>
      </c>
      <c r="D142" s="6" t="s">
        <v>65</v>
      </c>
      <c r="E142" s="267">
        <v>60000</v>
      </c>
      <c r="F142" s="6">
        <v>0</v>
      </c>
      <c r="G142" s="267">
        <v>1571086764</v>
      </c>
      <c r="H142" s="6">
        <v>1571</v>
      </c>
      <c r="I142" s="6" t="s">
        <v>66</v>
      </c>
      <c r="J142" s="19">
        <v>1.5258000000000001E-2</v>
      </c>
      <c r="K142" s="15">
        <v>3.5374999999999997E-2</v>
      </c>
      <c r="L142" s="6">
        <v>5</v>
      </c>
      <c r="M142" s="19">
        <v>2.3E-2</v>
      </c>
      <c r="N142" s="6"/>
      <c r="O142" s="7"/>
    </row>
    <row r="143" spans="1:15">
      <c r="A143" s="8" t="s">
        <v>876</v>
      </c>
      <c r="B143" s="9" t="s">
        <v>30</v>
      </c>
      <c r="C143" s="9" t="s">
        <v>564</v>
      </c>
      <c r="D143" s="9" t="s">
        <v>565</v>
      </c>
      <c r="E143" s="268">
        <v>45000</v>
      </c>
      <c r="F143" s="9">
        <v>0</v>
      </c>
      <c r="G143" s="268">
        <v>1470306848</v>
      </c>
      <c r="H143" s="9">
        <v>1470</v>
      </c>
      <c r="I143" s="9" t="s">
        <v>748</v>
      </c>
      <c r="J143" s="20">
        <v>1.4279E-2</v>
      </c>
      <c r="K143" s="16">
        <v>1.9650000000000001E-2</v>
      </c>
      <c r="L143" s="9">
        <v>4.74</v>
      </c>
      <c r="M143" s="20">
        <v>1.9300000000000001E-2</v>
      </c>
      <c r="N143" s="9"/>
      <c r="O143" s="10"/>
    </row>
    <row r="144" spans="1:15">
      <c r="A144" s="5" t="s">
        <v>876</v>
      </c>
      <c r="B144" s="6" t="s">
        <v>30</v>
      </c>
      <c r="C144" s="6" t="s">
        <v>424</v>
      </c>
      <c r="D144" s="6" t="s">
        <v>445</v>
      </c>
      <c r="E144" s="267">
        <v>50000</v>
      </c>
      <c r="F144" s="6">
        <v>0</v>
      </c>
      <c r="G144" s="267">
        <v>1439340425</v>
      </c>
      <c r="H144" s="6">
        <v>1439</v>
      </c>
      <c r="I144" s="6" t="s">
        <v>446</v>
      </c>
      <c r="J144" s="19">
        <v>1.3978000000000001E-2</v>
      </c>
      <c r="K144" s="15">
        <v>2.095E-2</v>
      </c>
      <c r="L144" s="6">
        <v>3.63</v>
      </c>
      <c r="M144" s="19">
        <v>1.9199999999999998E-2</v>
      </c>
      <c r="N144" s="6"/>
      <c r="O144" s="7"/>
    </row>
    <row r="145" spans="1:15">
      <c r="A145" s="8" t="s">
        <v>876</v>
      </c>
      <c r="B145" s="9" t="s">
        <v>30</v>
      </c>
      <c r="C145" s="9" t="s">
        <v>75</v>
      </c>
      <c r="D145" s="9" t="s">
        <v>761</v>
      </c>
      <c r="E145" s="268">
        <v>48000</v>
      </c>
      <c r="F145" s="9">
        <v>0</v>
      </c>
      <c r="G145" s="268">
        <v>1336407926</v>
      </c>
      <c r="H145" s="9">
        <v>1336</v>
      </c>
      <c r="I145" s="9" t="s">
        <v>762</v>
      </c>
      <c r="J145" s="20">
        <v>1.2978999999999999E-2</v>
      </c>
      <c r="K145" s="16">
        <v>1.89E-2</v>
      </c>
      <c r="L145" s="9">
        <v>4.4000000000000004</v>
      </c>
      <c r="M145" s="20">
        <v>1.6299999999999999E-2</v>
      </c>
      <c r="N145" s="9"/>
      <c r="O145" s="10"/>
    </row>
    <row r="146" spans="1:15">
      <c r="A146" s="5" t="s">
        <v>876</v>
      </c>
      <c r="B146" s="6" t="s">
        <v>30</v>
      </c>
      <c r="C146" s="6" t="s">
        <v>530</v>
      </c>
      <c r="D146" s="6" t="s">
        <v>531</v>
      </c>
      <c r="E146" s="267">
        <v>40000</v>
      </c>
      <c r="F146" s="6">
        <v>0</v>
      </c>
      <c r="G146" s="267">
        <v>1296521054</v>
      </c>
      <c r="H146" s="6">
        <v>1296</v>
      </c>
      <c r="I146" s="6" t="s">
        <v>763</v>
      </c>
      <c r="J146" s="19">
        <v>1.2591E-2</v>
      </c>
      <c r="K146" s="15">
        <v>2.24E-2</v>
      </c>
      <c r="L146" s="6">
        <v>6.64</v>
      </c>
      <c r="M146" s="19">
        <v>2.1499999999999998E-2</v>
      </c>
      <c r="N146" s="6"/>
      <c r="O146" s="7"/>
    </row>
    <row r="147" spans="1:15">
      <c r="A147" s="8" t="s">
        <v>876</v>
      </c>
      <c r="B147" s="9" t="s">
        <v>30</v>
      </c>
      <c r="C147" s="9" t="s">
        <v>70</v>
      </c>
      <c r="D147" s="9" t="s">
        <v>71</v>
      </c>
      <c r="E147" s="268">
        <v>45500</v>
      </c>
      <c r="F147" s="9">
        <v>0</v>
      </c>
      <c r="G147" s="268">
        <v>1269773024</v>
      </c>
      <c r="H147" s="9">
        <v>1269</v>
      </c>
      <c r="I147" s="9" t="s">
        <v>72</v>
      </c>
      <c r="J147" s="20">
        <v>1.2331999999999999E-2</v>
      </c>
      <c r="K147" s="16">
        <v>2.188E-2</v>
      </c>
      <c r="L147" s="9">
        <v>2.5299999999999998</v>
      </c>
      <c r="M147" s="20">
        <v>1.8200000000000001E-2</v>
      </c>
      <c r="N147" s="9"/>
      <c r="O147" s="10"/>
    </row>
    <row r="148" spans="1:15">
      <c r="A148" s="5" t="s">
        <v>876</v>
      </c>
      <c r="B148" s="6" t="s">
        <v>30</v>
      </c>
      <c r="C148" s="6" t="s">
        <v>50</v>
      </c>
      <c r="D148" s="6" t="s">
        <v>240</v>
      </c>
      <c r="E148" s="267">
        <v>45000</v>
      </c>
      <c r="F148" s="6">
        <v>0</v>
      </c>
      <c r="G148" s="267">
        <v>1259982376</v>
      </c>
      <c r="H148" s="6">
        <v>1259</v>
      </c>
      <c r="I148" s="6" t="s">
        <v>196</v>
      </c>
      <c r="J148" s="19">
        <v>1.2237E-2</v>
      </c>
      <c r="K148" s="15">
        <v>1.5800000000000002E-2</v>
      </c>
      <c r="L148" s="6">
        <v>1.21</v>
      </c>
      <c r="M148" s="19">
        <v>1.46E-2</v>
      </c>
      <c r="N148" s="6"/>
      <c r="O148" s="7"/>
    </row>
    <row r="149" spans="1:15">
      <c r="A149" s="8" t="s">
        <v>876</v>
      </c>
      <c r="B149" s="9" t="s">
        <v>30</v>
      </c>
      <c r="C149" s="9" t="s">
        <v>96</v>
      </c>
      <c r="D149" s="9" t="s">
        <v>136</v>
      </c>
      <c r="E149" s="268">
        <v>45000</v>
      </c>
      <c r="F149" s="9">
        <v>0</v>
      </c>
      <c r="G149" s="268">
        <v>1251025898</v>
      </c>
      <c r="H149" s="9">
        <v>1251</v>
      </c>
      <c r="I149" s="9" t="s">
        <v>137</v>
      </c>
      <c r="J149" s="20">
        <v>1.2149999999999999E-2</v>
      </c>
      <c r="K149" s="16">
        <v>1.8249999999999999E-2</v>
      </c>
      <c r="L149" s="9">
        <v>3.09</v>
      </c>
      <c r="M149" s="20">
        <v>1.6199999999999999E-2</v>
      </c>
      <c r="N149" s="9"/>
      <c r="O149" s="10"/>
    </row>
    <row r="150" spans="1:15">
      <c r="A150" s="5" t="s">
        <v>876</v>
      </c>
      <c r="B150" s="6" t="s">
        <v>30</v>
      </c>
      <c r="C150" s="6" t="s">
        <v>80</v>
      </c>
      <c r="D150" s="6" t="s">
        <v>644</v>
      </c>
      <c r="E150" s="267">
        <v>38000</v>
      </c>
      <c r="F150" s="6">
        <v>0</v>
      </c>
      <c r="G150" s="267">
        <v>1205153727</v>
      </c>
      <c r="H150" s="6">
        <v>1205</v>
      </c>
      <c r="I150" s="6" t="s">
        <v>652</v>
      </c>
      <c r="J150" s="19">
        <v>1.1704000000000001E-2</v>
      </c>
      <c r="K150" s="15">
        <v>2.1499999999999998E-2</v>
      </c>
      <c r="L150" s="6">
        <v>4.99</v>
      </c>
      <c r="M150" s="19">
        <v>2.0899999999999998E-2</v>
      </c>
      <c r="N150" s="6"/>
      <c r="O150" s="7"/>
    </row>
    <row r="151" spans="1:15">
      <c r="A151" s="8" t="s">
        <v>876</v>
      </c>
      <c r="B151" s="9" t="s">
        <v>30</v>
      </c>
      <c r="C151" s="9" t="s">
        <v>87</v>
      </c>
      <c r="D151" s="9" t="s">
        <v>134</v>
      </c>
      <c r="E151" s="268">
        <v>35000</v>
      </c>
      <c r="F151" s="9">
        <v>0</v>
      </c>
      <c r="G151" s="268">
        <v>1164691796</v>
      </c>
      <c r="H151" s="9">
        <v>1164</v>
      </c>
      <c r="I151" s="9" t="s">
        <v>135</v>
      </c>
      <c r="J151" s="20">
        <v>1.1311E-2</v>
      </c>
      <c r="K151" s="16">
        <v>3.1199999999999999E-2</v>
      </c>
      <c r="L151" s="9">
        <v>7.16</v>
      </c>
      <c r="M151" s="20">
        <v>2.1299999999999999E-2</v>
      </c>
      <c r="N151" s="9"/>
      <c r="O151" s="10"/>
    </row>
    <row r="152" spans="1:15">
      <c r="A152" s="5" t="s">
        <v>876</v>
      </c>
      <c r="B152" s="6" t="s">
        <v>30</v>
      </c>
      <c r="C152" s="6" t="s">
        <v>506</v>
      </c>
      <c r="D152" s="6" t="s">
        <v>518</v>
      </c>
      <c r="E152" s="267">
        <v>35000</v>
      </c>
      <c r="F152" s="6">
        <v>0</v>
      </c>
      <c r="G152" s="267">
        <v>1143556564</v>
      </c>
      <c r="H152" s="6">
        <v>1143</v>
      </c>
      <c r="I152" s="6" t="s">
        <v>764</v>
      </c>
      <c r="J152" s="19">
        <v>1.1106E-2</v>
      </c>
      <c r="K152" s="15">
        <v>2.0299999999999999E-2</v>
      </c>
      <c r="L152" s="6">
        <v>5.17</v>
      </c>
      <c r="M152" s="19">
        <v>2.0299999999999999E-2</v>
      </c>
      <c r="N152" s="6"/>
      <c r="O152" s="7"/>
    </row>
    <row r="153" spans="1:15">
      <c r="A153" s="8" t="s">
        <v>876</v>
      </c>
      <c r="B153" s="9" t="s">
        <v>30</v>
      </c>
      <c r="C153" s="9" t="s">
        <v>29</v>
      </c>
      <c r="D153" s="9" t="s">
        <v>20</v>
      </c>
      <c r="E153" s="268">
        <v>1150000000</v>
      </c>
      <c r="F153" s="9">
        <v>1150</v>
      </c>
      <c r="G153" s="268">
        <v>1126346719</v>
      </c>
      <c r="H153" s="9">
        <v>1126</v>
      </c>
      <c r="I153" s="9" t="s">
        <v>735</v>
      </c>
      <c r="J153" s="20">
        <v>1.0939000000000001E-2</v>
      </c>
      <c r="K153" s="16">
        <v>2.8E-3</v>
      </c>
      <c r="L153" s="9">
        <v>0.62</v>
      </c>
      <c r="M153" s="20">
        <v>3.3599999999999998E-2</v>
      </c>
      <c r="N153" s="9"/>
      <c r="O153" s="10"/>
    </row>
    <row r="154" spans="1:15">
      <c r="A154" s="5" t="s">
        <v>876</v>
      </c>
      <c r="B154" s="6" t="s">
        <v>30</v>
      </c>
      <c r="C154" s="6" t="s">
        <v>35</v>
      </c>
      <c r="D154" s="6" t="s">
        <v>629</v>
      </c>
      <c r="E154" s="267">
        <v>40000</v>
      </c>
      <c r="F154" s="6">
        <v>0</v>
      </c>
      <c r="G154" s="267">
        <v>1112027021</v>
      </c>
      <c r="H154" s="6">
        <v>1112</v>
      </c>
      <c r="I154" s="6" t="s">
        <v>630</v>
      </c>
      <c r="J154" s="19">
        <v>1.0800000000000001E-2</v>
      </c>
      <c r="K154" s="15">
        <v>1.1599999999999999E-2</v>
      </c>
      <c r="L154" s="6">
        <v>3.89</v>
      </c>
      <c r="M154" s="19">
        <v>1.09E-2</v>
      </c>
      <c r="N154" s="6"/>
      <c r="O154" s="7"/>
    </row>
    <row r="155" spans="1:15">
      <c r="A155" s="8" t="s">
        <v>876</v>
      </c>
      <c r="B155" s="9" t="s">
        <v>30</v>
      </c>
      <c r="C155" s="9" t="s">
        <v>81</v>
      </c>
      <c r="D155" s="9" t="s">
        <v>156</v>
      </c>
      <c r="E155" s="268">
        <v>34500</v>
      </c>
      <c r="F155" s="9">
        <v>0</v>
      </c>
      <c r="G155" s="268">
        <v>1049685053</v>
      </c>
      <c r="H155" s="9">
        <v>1049</v>
      </c>
      <c r="I155" s="9" t="s">
        <v>157</v>
      </c>
      <c r="J155" s="20">
        <v>1.0194E-2</v>
      </c>
      <c r="K155" s="16">
        <v>2.316E-2</v>
      </c>
      <c r="L155" s="9">
        <v>2.34</v>
      </c>
      <c r="M155" s="20">
        <v>1.9099999999999999E-2</v>
      </c>
      <c r="N155" s="9"/>
      <c r="O155" s="10"/>
    </row>
    <row r="156" spans="1:15">
      <c r="A156" s="5" t="s">
        <v>876</v>
      </c>
      <c r="B156" s="6" t="s">
        <v>30</v>
      </c>
      <c r="C156" s="6" t="s">
        <v>62</v>
      </c>
      <c r="D156" s="6" t="s">
        <v>77</v>
      </c>
      <c r="E156" s="267">
        <v>1000000000</v>
      </c>
      <c r="F156" s="6">
        <v>1000</v>
      </c>
      <c r="G156" s="267">
        <v>1016962103</v>
      </c>
      <c r="H156" s="6">
        <v>1016</v>
      </c>
      <c r="I156" s="6" t="s">
        <v>78</v>
      </c>
      <c r="J156" s="19">
        <v>9.8759999999999994E-3</v>
      </c>
      <c r="K156" s="15">
        <v>4.6649999999999997E-2</v>
      </c>
      <c r="L156" s="6">
        <v>3.01</v>
      </c>
      <c r="M156" s="19">
        <v>4.3299999999999998E-2</v>
      </c>
      <c r="N156" s="6"/>
      <c r="O156" s="7"/>
    </row>
    <row r="157" spans="1:15">
      <c r="A157" s="8" t="s">
        <v>876</v>
      </c>
      <c r="B157" s="9" t="s">
        <v>30</v>
      </c>
      <c r="C157" s="9" t="s">
        <v>610</v>
      </c>
      <c r="D157" s="9" t="s">
        <v>611</v>
      </c>
      <c r="E157" s="268">
        <v>30000</v>
      </c>
      <c r="F157" s="9">
        <v>0</v>
      </c>
      <c r="G157" s="268">
        <v>952463489</v>
      </c>
      <c r="H157" s="9">
        <v>952</v>
      </c>
      <c r="I157" s="9" t="s">
        <v>612</v>
      </c>
      <c r="J157" s="20">
        <v>9.2499999999999995E-3</v>
      </c>
      <c r="K157" s="16">
        <v>2.4299999999999999E-2</v>
      </c>
      <c r="L157" s="9">
        <v>8.0500000000000007</v>
      </c>
      <c r="M157" s="20">
        <v>2.1299999999999999E-2</v>
      </c>
      <c r="N157" s="9"/>
      <c r="O157" s="10"/>
    </row>
    <row r="158" spans="1:15">
      <c r="A158" s="5" t="s">
        <v>876</v>
      </c>
      <c r="B158" s="6" t="s">
        <v>30</v>
      </c>
      <c r="C158" s="6" t="s">
        <v>67</v>
      </c>
      <c r="D158" s="6" t="s">
        <v>68</v>
      </c>
      <c r="E158" s="267">
        <v>31000</v>
      </c>
      <c r="F158" s="6">
        <v>0</v>
      </c>
      <c r="G158" s="267">
        <v>879033028</v>
      </c>
      <c r="H158" s="6">
        <v>879</v>
      </c>
      <c r="I158" s="6" t="s">
        <v>69</v>
      </c>
      <c r="J158" s="19">
        <v>8.5369999999999994E-3</v>
      </c>
      <c r="K158" s="15">
        <v>2.1350000000000001E-2</v>
      </c>
      <c r="L158" s="6">
        <v>2.87</v>
      </c>
      <c r="M158" s="19">
        <v>1.7299999999999999E-2</v>
      </c>
      <c r="N158" s="6"/>
      <c r="O158" s="7"/>
    </row>
    <row r="159" spans="1:15">
      <c r="A159" s="8" t="s">
        <v>876</v>
      </c>
      <c r="B159" s="9" t="s">
        <v>30</v>
      </c>
      <c r="C159" s="9" t="s">
        <v>163</v>
      </c>
      <c r="D159" s="9" t="s">
        <v>632</v>
      </c>
      <c r="E159" s="268">
        <v>30000</v>
      </c>
      <c r="F159" s="9">
        <v>0</v>
      </c>
      <c r="G159" s="268">
        <v>839861324</v>
      </c>
      <c r="H159" s="9">
        <v>839</v>
      </c>
      <c r="I159" s="9" t="s">
        <v>633</v>
      </c>
      <c r="J159" s="20">
        <v>8.1560000000000001E-3</v>
      </c>
      <c r="K159" s="16">
        <v>2.1999999999999999E-2</v>
      </c>
      <c r="L159" s="9">
        <v>2.96</v>
      </c>
      <c r="M159" s="20">
        <v>1.9300000000000001E-2</v>
      </c>
      <c r="N159" s="9"/>
      <c r="O159" s="10"/>
    </row>
    <row r="160" spans="1:15">
      <c r="A160" s="5" t="s">
        <v>876</v>
      </c>
      <c r="B160" s="6" t="s">
        <v>30</v>
      </c>
      <c r="C160" s="6" t="s">
        <v>765</v>
      </c>
      <c r="D160" s="6" t="s">
        <v>766</v>
      </c>
      <c r="E160" s="267">
        <v>30000</v>
      </c>
      <c r="F160" s="6">
        <v>0</v>
      </c>
      <c r="G160" s="267">
        <v>837664076</v>
      </c>
      <c r="H160" s="6">
        <v>837</v>
      </c>
      <c r="I160" s="6" t="s">
        <v>53</v>
      </c>
      <c r="J160" s="19">
        <v>8.1349999999999999E-3</v>
      </c>
      <c r="K160" s="15">
        <v>4.1999999999999997E-3</v>
      </c>
      <c r="L160" s="6">
        <v>0.06</v>
      </c>
      <c r="M160" s="19">
        <v>3.49E-2</v>
      </c>
      <c r="N160" s="6"/>
      <c r="O160" s="7"/>
    </row>
    <row r="161" spans="1:15">
      <c r="A161" s="8" t="s">
        <v>876</v>
      </c>
      <c r="B161" s="9" t="s">
        <v>30</v>
      </c>
      <c r="C161" s="9" t="s">
        <v>163</v>
      </c>
      <c r="D161" s="9" t="s">
        <v>767</v>
      </c>
      <c r="E161" s="268">
        <v>30000</v>
      </c>
      <c r="F161" s="9">
        <v>0</v>
      </c>
      <c r="G161" s="268">
        <v>829081112</v>
      </c>
      <c r="H161" s="9">
        <v>829</v>
      </c>
      <c r="I161" s="9" t="s">
        <v>768</v>
      </c>
      <c r="J161" s="20">
        <v>8.0520000000000001E-3</v>
      </c>
      <c r="K161" s="16">
        <v>0.02</v>
      </c>
      <c r="L161" s="9">
        <v>4.26</v>
      </c>
      <c r="M161" s="20">
        <v>1.9699999999999999E-2</v>
      </c>
      <c r="N161" s="9"/>
      <c r="O161" s="10"/>
    </row>
    <row r="162" spans="1:15">
      <c r="A162" s="5" t="s">
        <v>876</v>
      </c>
      <c r="B162" s="6" t="s">
        <v>30</v>
      </c>
      <c r="C162" s="6" t="s">
        <v>62</v>
      </c>
      <c r="D162" s="6" t="s">
        <v>529</v>
      </c>
      <c r="E162" s="267">
        <v>28500</v>
      </c>
      <c r="F162" s="6">
        <v>0</v>
      </c>
      <c r="G162" s="267">
        <v>795985017</v>
      </c>
      <c r="H162" s="6">
        <v>795</v>
      </c>
      <c r="I162" s="6" t="s">
        <v>78</v>
      </c>
      <c r="J162" s="19">
        <v>7.7299999999999999E-3</v>
      </c>
      <c r="K162" s="15">
        <v>1.7850000000000001E-2</v>
      </c>
      <c r="L162" s="6">
        <v>3.14</v>
      </c>
      <c r="M162" s="19">
        <v>1.5299999999999999E-2</v>
      </c>
      <c r="N162" s="6"/>
      <c r="O162" s="7"/>
    </row>
    <row r="163" spans="1:15">
      <c r="A163" s="8" t="s">
        <v>876</v>
      </c>
      <c r="B163" s="9" t="s">
        <v>30</v>
      </c>
      <c r="C163" s="9" t="s">
        <v>225</v>
      </c>
      <c r="D163" s="9" t="s">
        <v>561</v>
      </c>
      <c r="E163" s="268">
        <v>25000</v>
      </c>
      <c r="F163" s="9">
        <v>0</v>
      </c>
      <c r="G163" s="268">
        <v>791466057</v>
      </c>
      <c r="H163" s="9">
        <v>791</v>
      </c>
      <c r="I163" s="9" t="s">
        <v>769</v>
      </c>
      <c r="J163" s="20">
        <v>7.6860000000000001E-3</v>
      </c>
      <c r="K163" s="16">
        <v>2.01E-2</v>
      </c>
      <c r="L163" s="9">
        <v>5.24</v>
      </c>
      <c r="M163" s="20">
        <v>2.0199999999999999E-2</v>
      </c>
      <c r="N163" s="9"/>
      <c r="O163" s="10"/>
    </row>
    <row r="164" spans="1:15">
      <c r="A164" s="5" t="s">
        <v>876</v>
      </c>
      <c r="B164" s="6" t="s">
        <v>30</v>
      </c>
      <c r="C164" s="6" t="s">
        <v>421</v>
      </c>
      <c r="D164" s="6" t="s">
        <v>20</v>
      </c>
      <c r="E164" s="267">
        <v>800000000</v>
      </c>
      <c r="F164" s="6">
        <v>800</v>
      </c>
      <c r="G164" s="267">
        <v>779575132</v>
      </c>
      <c r="H164" s="6">
        <v>779</v>
      </c>
      <c r="I164" s="6" t="s">
        <v>738</v>
      </c>
      <c r="J164" s="19">
        <v>7.5709999999999996E-3</v>
      </c>
      <c r="K164" s="15">
        <v>3.3999999999999998E-3</v>
      </c>
      <c r="L164" s="6">
        <v>0.72</v>
      </c>
      <c r="M164" s="19">
        <v>3.5999999999999997E-2</v>
      </c>
      <c r="N164" s="6"/>
      <c r="O164" s="7"/>
    </row>
    <row r="165" spans="1:15">
      <c r="A165" s="8" t="s">
        <v>876</v>
      </c>
      <c r="B165" s="9" t="s">
        <v>30</v>
      </c>
      <c r="C165" s="9" t="s">
        <v>96</v>
      </c>
      <c r="D165" s="9" t="s">
        <v>756</v>
      </c>
      <c r="E165" s="268">
        <v>27000</v>
      </c>
      <c r="F165" s="9">
        <v>0</v>
      </c>
      <c r="G165" s="268">
        <v>765992250</v>
      </c>
      <c r="H165" s="9">
        <v>765</v>
      </c>
      <c r="I165" s="9" t="s">
        <v>757</v>
      </c>
      <c r="J165" s="20">
        <v>7.4390000000000003E-3</v>
      </c>
      <c r="K165" s="16">
        <v>2.29E-2</v>
      </c>
      <c r="L165" s="9">
        <v>8.35</v>
      </c>
      <c r="M165" s="20">
        <v>2.0500000000000001E-2</v>
      </c>
      <c r="N165" s="9"/>
      <c r="O165" s="10"/>
    </row>
    <row r="166" spans="1:15">
      <c r="A166" s="5" t="s">
        <v>876</v>
      </c>
      <c r="B166" s="6" t="s">
        <v>30</v>
      </c>
      <c r="C166" s="6" t="s">
        <v>80</v>
      </c>
      <c r="D166" s="6" t="s">
        <v>618</v>
      </c>
      <c r="E166" s="267">
        <v>25000</v>
      </c>
      <c r="F166" s="6">
        <v>0</v>
      </c>
      <c r="G166" s="267">
        <v>749534895</v>
      </c>
      <c r="H166" s="6">
        <v>749</v>
      </c>
      <c r="I166" s="6" t="s">
        <v>619</v>
      </c>
      <c r="J166" s="19">
        <v>7.2789999999999999E-3</v>
      </c>
      <c r="K166" s="15">
        <v>2.3900000000000001E-2</v>
      </c>
      <c r="L166" s="6">
        <v>7.79</v>
      </c>
      <c r="M166" s="19">
        <v>2.1999999999999999E-2</v>
      </c>
      <c r="N166" s="6"/>
      <c r="O166" s="7"/>
    </row>
    <row r="167" spans="1:15">
      <c r="A167" s="8" t="s">
        <v>876</v>
      </c>
      <c r="B167" s="9" t="s">
        <v>30</v>
      </c>
      <c r="C167" s="9" t="s">
        <v>163</v>
      </c>
      <c r="D167" s="9" t="s">
        <v>20</v>
      </c>
      <c r="E167" s="268">
        <v>750000000</v>
      </c>
      <c r="F167" s="9">
        <v>750</v>
      </c>
      <c r="G167" s="268">
        <v>748921553</v>
      </c>
      <c r="H167" s="9">
        <v>748</v>
      </c>
      <c r="I167" s="9" t="s">
        <v>729</v>
      </c>
      <c r="J167" s="20">
        <v>7.273E-3</v>
      </c>
      <c r="K167" s="16">
        <v>2.8E-3</v>
      </c>
      <c r="L167" s="9">
        <v>0.04</v>
      </c>
      <c r="M167" s="20">
        <v>3.2399999999999998E-2</v>
      </c>
      <c r="N167" s="9"/>
      <c r="O167" s="10"/>
    </row>
    <row r="168" spans="1:15">
      <c r="A168" s="5" t="s">
        <v>876</v>
      </c>
      <c r="B168" s="6" t="s">
        <v>30</v>
      </c>
      <c r="C168" s="6" t="s">
        <v>111</v>
      </c>
      <c r="D168" s="6" t="s">
        <v>770</v>
      </c>
      <c r="E168" s="267">
        <v>25000</v>
      </c>
      <c r="F168" s="6">
        <v>0</v>
      </c>
      <c r="G168" s="267">
        <v>709610872</v>
      </c>
      <c r="H168" s="6">
        <v>709</v>
      </c>
      <c r="I168" s="6" t="s">
        <v>771</v>
      </c>
      <c r="J168" s="19">
        <v>6.8910000000000004E-3</v>
      </c>
      <c r="K168" s="15">
        <v>9.9000000000000008E-3</v>
      </c>
      <c r="L168" s="6">
        <v>1.1200000000000001</v>
      </c>
      <c r="M168" s="19">
        <v>1.29E-2</v>
      </c>
      <c r="N168" s="6"/>
      <c r="O168" s="7"/>
    </row>
    <row r="169" spans="1:15">
      <c r="A169" s="8" t="s">
        <v>876</v>
      </c>
      <c r="B169" s="9" t="s">
        <v>30</v>
      </c>
      <c r="C169" s="9" t="s">
        <v>56</v>
      </c>
      <c r="D169" s="9" t="s">
        <v>57</v>
      </c>
      <c r="E169" s="268">
        <v>20000</v>
      </c>
      <c r="F169" s="9">
        <v>0</v>
      </c>
      <c r="G169" s="268">
        <v>699298670</v>
      </c>
      <c r="H169" s="9">
        <v>699</v>
      </c>
      <c r="I169" s="9" t="s">
        <v>58</v>
      </c>
      <c r="J169" s="20">
        <v>6.7910000000000002E-3</v>
      </c>
      <c r="K169" s="16">
        <v>3.15E-2</v>
      </c>
      <c r="L169" s="9">
        <v>11.2</v>
      </c>
      <c r="M169" s="20">
        <v>2.4500000000000001E-2</v>
      </c>
      <c r="N169" s="9"/>
      <c r="O169" s="10"/>
    </row>
    <row r="170" spans="1:15">
      <c r="A170" s="5" t="s">
        <v>876</v>
      </c>
      <c r="B170" s="6" t="s">
        <v>30</v>
      </c>
      <c r="C170" s="6" t="s">
        <v>709</v>
      </c>
      <c r="D170" s="6" t="s">
        <v>20</v>
      </c>
      <c r="E170" s="267">
        <v>700000000</v>
      </c>
      <c r="F170" s="6">
        <v>700</v>
      </c>
      <c r="G170" s="267">
        <v>679442340</v>
      </c>
      <c r="H170" s="6">
        <v>679</v>
      </c>
      <c r="I170" s="6" t="s">
        <v>747</v>
      </c>
      <c r="J170" s="19">
        <v>6.5979999999999997E-3</v>
      </c>
      <c r="K170" s="15">
        <v>3.0999999999999999E-3</v>
      </c>
      <c r="L170" s="6">
        <v>0.86</v>
      </c>
      <c r="M170" s="19">
        <v>3.4799999999999998E-2</v>
      </c>
      <c r="N170" s="6"/>
      <c r="O170" s="7"/>
    </row>
    <row r="171" spans="1:15">
      <c r="A171" s="8" t="s">
        <v>876</v>
      </c>
      <c r="B171" s="9" t="s">
        <v>30</v>
      </c>
      <c r="C171" s="9" t="s">
        <v>47</v>
      </c>
      <c r="D171" s="9" t="s">
        <v>48</v>
      </c>
      <c r="E171" s="268">
        <v>20000</v>
      </c>
      <c r="F171" s="9">
        <v>0</v>
      </c>
      <c r="G171" s="268">
        <v>670608224</v>
      </c>
      <c r="H171" s="9">
        <v>670</v>
      </c>
      <c r="I171" s="9" t="s">
        <v>49</v>
      </c>
      <c r="J171" s="20">
        <v>6.5120000000000004E-3</v>
      </c>
      <c r="K171" s="16">
        <v>2.1399999999999999E-2</v>
      </c>
      <c r="L171" s="9">
        <v>6.05</v>
      </c>
      <c r="M171" s="20">
        <v>1.83E-2</v>
      </c>
      <c r="N171" s="9"/>
      <c r="O171" s="10"/>
    </row>
    <row r="172" spans="1:15">
      <c r="A172" s="5" t="s">
        <v>876</v>
      </c>
      <c r="B172" s="6" t="s">
        <v>30</v>
      </c>
      <c r="C172" s="6" t="s">
        <v>86</v>
      </c>
      <c r="D172" s="6" t="s">
        <v>92</v>
      </c>
      <c r="E172" s="267">
        <v>23000</v>
      </c>
      <c r="F172" s="6">
        <v>0</v>
      </c>
      <c r="G172" s="267">
        <v>649654138</v>
      </c>
      <c r="H172" s="6">
        <v>649</v>
      </c>
      <c r="I172" s="6" t="s">
        <v>93</v>
      </c>
      <c r="J172" s="19">
        <v>6.3090000000000004E-3</v>
      </c>
      <c r="K172" s="15">
        <v>2.1899999999999999E-2</v>
      </c>
      <c r="L172" s="6">
        <v>3.73</v>
      </c>
      <c r="M172" s="19">
        <v>1.7899999999999999E-2</v>
      </c>
      <c r="N172" s="6"/>
      <c r="O172" s="7"/>
    </row>
    <row r="173" spans="1:15">
      <c r="A173" s="8" t="s">
        <v>876</v>
      </c>
      <c r="B173" s="9" t="s">
        <v>30</v>
      </c>
      <c r="C173" s="9" t="s">
        <v>138</v>
      </c>
      <c r="D173" s="9" t="s">
        <v>139</v>
      </c>
      <c r="E173" s="268">
        <v>22000</v>
      </c>
      <c r="F173" s="9">
        <v>0</v>
      </c>
      <c r="G173" s="268">
        <v>642376133</v>
      </c>
      <c r="H173" s="9">
        <v>642</v>
      </c>
      <c r="I173" s="9" t="s">
        <v>140</v>
      </c>
      <c r="J173" s="20">
        <v>6.2379999999999996E-3</v>
      </c>
      <c r="K173" s="16">
        <v>3.075E-2</v>
      </c>
      <c r="L173" s="9">
        <v>5.97</v>
      </c>
      <c r="M173" s="20">
        <v>1.9199999999999998E-2</v>
      </c>
      <c r="N173" s="9"/>
      <c r="O173" s="10"/>
    </row>
    <row r="174" spans="1:15">
      <c r="A174" s="5" t="s">
        <v>876</v>
      </c>
      <c r="B174" s="6" t="s">
        <v>30</v>
      </c>
      <c r="C174" s="6" t="s">
        <v>142</v>
      </c>
      <c r="D174" s="6" t="s">
        <v>143</v>
      </c>
      <c r="E174" s="267">
        <v>20000</v>
      </c>
      <c r="F174" s="6">
        <v>0</v>
      </c>
      <c r="G174" s="267">
        <v>625214477</v>
      </c>
      <c r="H174" s="6">
        <v>625</v>
      </c>
      <c r="I174" s="6" t="s">
        <v>144</v>
      </c>
      <c r="J174" s="19">
        <v>6.0720000000000001E-3</v>
      </c>
      <c r="K174" s="15">
        <v>2.4199999999999999E-2</v>
      </c>
      <c r="L174" s="6">
        <v>7.22</v>
      </c>
      <c r="M174" s="19">
        <v>1.9900000000000001E-2</v>
      </c>
      <c r="N174" s="6"/>
      <c r="O174" s="7"/>
    </row>
    <row r="175" spans="1:15">
      <c r="A175" s="8" t="s">
        <v>876</v>
      </c>
      <c r="B175" s="9" t="s">
        <v>30</v>
      </c>
      <c r="C175" s="9" t="s">
        <v>558</v>
      </c>
      <c r="D175" s="9" t="s">
        <v>569</v>
      </c>
      <c r="E175" s="268">
        <v>20000</v>
      </c>
      <c r="F175" s="9">
        <v>0</v>
      </c>
      <c r="G175" s="268">
        <v>580508757</v>
      </c>
      <c r="H175" s="9">
        <v>580</v>
      </c>
      <c r="I175" s="9" t="s">
        <v>772</v>
      </c>
      <c r="J175" s="20">
        <v>5.6369999999999996E-3</v>
      </c>
      <c r="K175" s="16">
        <v>1.8700000000000001E-2</v>
      </c>
      <c r="L175" s="9">
        <v>5.2</v>
      </c>
      <c r="M175" s="20">
        <v>1.89E-2</v>
      </c>
      <c r="N175" s="9"/>
      <c r="O175" s="10"/>
    </row>
    <row r="176" spans="1:15">
      <c r="A176" s="5" t="s">
        <v>876</v>
      </c>
      <c r="B176" s="6" t="s">
        <v>30</v>
      </c>
      <c r="C176" s="6" t="s">
        <v>86</v>
      </c>
      <c r="D176" s="6" t="s">
        <v>773</v>
      </c>
      <c r="E176" s="267">
        <v>20000</v>
      </c>
      <c r="F176" s="6">
        <v>0</v>
      </c>
      <c r="G176" s="267">
        <v>579437452</v>
      </c>
      <c r="H176" s="6">
        <v>579</v>
      </c>
      <c r="I176" s="6" t="s">
        <v>774</v>
      </c>
      <c r="J176" s="19">
        <v>5.6270000000000001E-3</v>
      </c>
      <c r="K176" s="15">
        <v>1.95E-2</v>
      </c>
      <c r="L176" s="6">
        <v>1.67</v>
      </c>
      <c r="M176" s="19">
        <v>1.5900000000000001E-2</v>
      </c>
      <c r="N176" s="6"/>
      <c r="O176" s="7"/>
    </row>
    <row r="177" spans="1:15">
      <c r="A177" s="8" t="s">
        <v>876</v>
      </c>
      <c r="B177" s="9" t="s">
        <v>30</v>
      </c>
      <c r="C177" s="9" t="s">
        <v>219</v>
      </c>
      <c r="D177" s="9" t="s">
        <v>426</v>
      </c>
      <c r="E177" s="268">
        <v>20000</v>
      </c>
      <c r="F177" s="9">
        <v>0</v>
      </c>
      <c r="G177" s="268">
        <v>572890864</v>
      </c>
      <c r="H177" s="9">
        <v>572</v>
      </c>
      <c r="I177" s="9" t="s">
        <v>79</v>
      </c>
      <c r="J177" s="20">
        <v>5.5630000000000002E-3</v>
      </c>
      <c r="K177" s="16">
        <v>1.52E-2</v>
      </c>
      <c r="L177" s="9">
        <v>1.04</v>
      </c>
      <c r="M177" s="20">
        <v>1.2E-2</v>
      </c>
      <c r="N177" s="9"/>
      <c r="O177" s="10"/>
    </row>
    <row r="178" spans="1:15">
      <c r="A178" s="5" t="s">
        <v>876</v>
      </c>
      <c r="B178" s="6" t="s">
        <v>30</v>
      </c>
      <c r="C178" s="6" t="s">
        <v>163</v>
      </c>
      <c r="D178" s="6" t="s">
        <v>164</v>
      </c>
      <c r="E178" s="267">
        <v>20000</v>
      </c>
      <c r="F178" s="6">
        <v>0</v>
      </c>
      <c r="G178" s="267">
        <v>559269455</v>
      </c>
      <c r="H178" s="6">
        <v>559</v>
      </c>
      <c r="I178" s="6" t="s">
        <v>165</v>
      </c>
      <c r="J178" s="19">
        <v>5.4310000000000001E-3</v>
      </c>
      <c r="K178" s="15">
        <v>1.6433333299999998E-2</v>
      </c>
      <c r="L178" s="6">
        <v>0.51</v>
      </c>
      <c r="M178" s="19">
        <v>1.37E-2</v>
      </c>
      <c r="N178" s="6"/>
      <c r="O178" s="7"/>
    </row>
    <row r="179" spans="1:15">
      <c r="A179" s="8" t="s">
        <v>876</v>
      </c>
      <c r="B179" s="9" t="s">
        <v>30</v>
      </c>
      <c r="C179" s="9" t="s">
        <v>775</v>
      </c>
      <c r="D179" s="9" t="s">
        <v>776</v>
      </c>
      <c r="E179" s="268">
        <v>20000</v>
      </c>
      <c r="F179" s="9">
        <v>0</v>
      </c>
      <c r="G179" s="268">
        <v>556337548</v>
      </c>
      <c r="H179" s="9">
        <v>556</v>
      </c>
      <c r="I179" s="9" t="s">
        <v>777</v>
      </c>
      <c r="J179" s="20">
        <v>5.4029999999999998E-3</v>
      </c>
      <c r="K179" s="16">
        <v>2.6499999999999999E-2</v>
      </c>
      <c r="L179" s="9">
        <v>4.12</v>
      </c>
      <c r="M179" s="20">
        <v>2.5999999999999999E-2</v>
      </c>
      <c r="N179" s="9"/>
      <c r="O179" s="10"/>
    </row>
    <row r="180" spans="1:15">
      <c r="A180" s="5" t="s">
        <v>876</v>
      </c>
      <c r="B180" s="6" t="s">
        <v>30</v>
      </c>
      <c r="C180" s="6" t="s">
        <v>19</v>
      </c>
      <c r="D180" s="6" t="s">
        <v>20</v>
      </c>
      <c r="E180" s="267">
        <v>550000000</v>
      </c>
      <c r="F180" s="6">
        <v>550</v>
      </c>
      <c r="G180" s="267">
        <v>537109375</v>
      </c>
      <c r="H180" s="6">
        <v>537</v>
      </c>
      <c r="I180" s="6" t="s">
        <v>744</v>
      </c>
      <c r="J180" s="19">
        <v>5.2160000000000002E-3</v>
      </c>
      <c r="K180" s="15">
        <v>3.0999999999999999E-3</v>
      </c>
      <c r="L180" s="6">
        <v>0.66</v>
      </c>
      <c r="M180" s="19">
        <v>3.5999999999999997E-2</v>
      </c>
      <c r="N180" s="6"/>
      <c r="O180" s="7"/>
    </row>
    <row r="181" spans="1:15">
      <c r="A181" s="8" t="s">
        <v>876</v>
      </c>
      <c r="B181" s="9" t="s">
        <v>30</v>
      </c>
      <c r="C181" s="9" t="s">
        <v>381</v>
      </c>
      <c r="D181" s="9" t="s">
        <v>447</v>
      </c>
      <c r="E181" s="268">
        <v>20000</v>
      </c>
      <c r="F181" s="9">
        <v>0</v>
      </c>
      <c r="G181" s="268">
        <v>531925061</v>
      </c>
      <c r="H181" s="9">
        <v>531</v>
      </c>
      <c r="I181" s="9" t="s">
        <v>448</v>
      </c>
      <c r="J181" s="20">
        <v>5.1659999999999996E-3</v>
      </c>
      <c r="K181" s="16">
        <v>2.8000000000000001E-2</v>
      </c>
      <c r="L181" s="9">
        <v>4.4400000000000004</v>
      </c>
      <c r="M181" s="20">
        <v>2.5000000000000001E-2</v>
      </c>
      <c r="N181" s="9"/>
      <c r="O181" s="10"/>
    </row>
    <row r="182" spans="1:15">
      <c r="A182" s="5" t="s">
        <v>876</v>
      </c>
      <c r="B182" s="6" t="s">
        <v>30</v>
      </c>
      <c r="C182" s="6" t="s">
        <v>107</v>
      </c>
      <c r="D182" s="6" t="s">
        <v>224</v>
      </c>
      <c r="E182" s="267">
        <v>520000000</v>
      </c>
      <c r="F182" s="6">
        <v>520</v>
      </c>
      <c r="G182" s="267">
        <v>531557089</v>
      </c>
      <c r="H182" s="6">
        <v>531</v>
      </c>
      <c r="I182" s="6" t="s">
        <v>115</v>
      </c>
      <c r="J182" s="19">
        <v>5.1619999999999999E-3</v>
      </c>
      <c r="K182" s="15">
        <v>3.9333333300000002E-2</v>
      </c>
      <c r="L182" s="6">
        <v>0.8</v>
      </c>
      <c r="M182" s="19">
        <v>3.6499999999999998E-2</v>
      </c>
      <c r="N182" s="6"/>
      <c r="O182" s="7"/>
    </row>
    <row r="183" spans="1:15">
      <c r="A183" s="8" t="s">
        <v>876</v>
      </c>
      <c r="B183" s="9" t="s">
        <v>30</v>
      </c>
      <c r="C183" s="9" t="s">
        <v>51</v>
      </c>
      <c r="D183" s="9" t="s">
        <v>141</v>
      </c>
      <c r="E183" s="268">
        <v>19000</v>
      </c>
      <c r="F183" s="9">
        <v>0</v>
      </c>
      <c r="G183" s="268">
        <v>530107590</v>
      </c>
      <c r="H183" s="9">
        <v>530</v>
      </c>
      <c r="I183" s="9" t="s">
        <v>133</v>
      </c>
      <c r="J183" s="20">
        <v>5.1479999999999998E-3</v>
      </c>
      <c r="K183" s="16">
        <v>1.7950000000000001E-2</v>
      </c>
      <c r="L183" s="9">
        <v>0.97</v>
      </c>
      <c r="M183" s="20">
        <v>1.3899999999999999E-2</v>
      </c>
      <c r="N183" s="9"/>
      <c r="O183" s="10"/>
    </row>
    <row r="184" spans="1:15">
      <c r="A184" s="5" t="s">
        <v>876</v>
      </c>
      <c r="B184" s="6" t="s">
        <v>30</v>
      </c>
      <c r="C184" s="6" t="s">
        <v>75</v>
      </c>
      <c r="D184" s="6" t="s">
        <v>76</v>
      </c>
      <c r="E184" s="267">
        <v>500000000</v>
      </c>
      <c r="F184" s="6">
        <v>500</v>
      </c>
      <c r="G184" s="267">
        <v>519274780</v>
      </c>
      <c r="H184" s="6">
        <v>519</v>
      </c>
      <c r="I184" s="6" t="s">
        <v>72</v>
      </c>
      <c r="J184" s="19">
        <v>5.0429999999999997E-3</v>
      </c>
      <c r="K184" s="15">
        <v>4.4699999999999997E-2</v>
      </c>
      <c r="L184" s="6">
        <v>2.42</v>
      </c>
      <c r="M184" s="19">
        <v>4.3200000000000002E-2</v>
      </c>
      <c r="N184" s="6"/>
      <c r="O184" s="7"/>
    </row>
    <row r="185" spans="1:15">
      <c r="A185" s="8" t="s">
        <v>876</v>
      </c>
      <c r="B185" s="9" t="s">
        <v>30</v>
      </c>
      <c r="C185" s="9" t="s">
        <v>111</v>
      </c>
      <c r="D185" s="9" t="s">
        <v>221</v>
      </c>
      <c r="E185" s="268">
        <v>18500</v>
      </c>
      <c r="F185" s="9">
        <v>0</v>
      </c>
      <c r="G185" s="268">
        <v>516456957</v>
      </c>
      <c r="H185" s="9">
        <v>516</v>
      </c>
      <c r="I185" s="9" t="s">
        <v>222</v>
      </c>
      <c r="J185" s="20">
        <v>5.0150000000000004E-3</v>
      </c>
      <c r="K185" s="16">
        <v>4.4000000000000003E-3</v>
      </c>
      <c r="L185" s="9">
        <v>0.14000000000000001</v>
      </c>
      <c r="M185" s="20">
        <v>1.5100000000000001E-2</v>
      </c>
      <c r="N185" s="9"/>
      <c r="O185" s="10"/>
    </row>
    <row r="186" spans="1:15">
      <c r="A186" s="5" t="s">
        <v>876</v>
      </c>
      <c r="B186" s="6" t="s">
        <v>30</v>
      </c>
      <c r="C186" s="6" t="s">
        <v>107</v>
      </c>
      <c r="D186" s="6" t="s">
        <v>669</v>
      </c>
      <c r="E186" s="267">
        <v>500000000</v>
      </c>
      <c r="F186" s="6">
        <v>500</v>
      </c>
      <c r="G186" s="267">
        <v>505765660</v>
      </c>
      <c r="H186" s="6">
        <v>505</v>
      </c>
      <c r="I186" s="6" t="s">
        <v>670</v>
      </c>
      <c r="J186" s="19">
        <v>4.9119999999999997E-3</v>
      </c>
      <c r="K186" s="15">
        <v>3.2300000000000002E-2</v>
      </c>
      <c r="L186" s="6">
        <v>2.73</v>
      </c>
      <c r="M186" s="19">
        <v>4.1700000000000001E-2</v>
      </c>
      <c r="N186" s="6"/>
      <c r="O186" s="7"/>
    </row>
    <row r="187" spans="1:15">
      <c r="A187" s="8" t="s">
        <v>876</v>
      </c>
      <c r="B187" s="9" t="s">
        <v>30</v>
      </c>
      <c r="C187" s="9" t="s">
        <v>668</v>
      </c>
      <c r="D187" s="9" t="s">
        <v>20</v>
      </c>
      <c r="E187" s="268">
        <v>500000000</v>
      </c>
      <c r="F187" s="9">
        <v>500</v>
      </c>
      <c r="G187" s="268">
        <v>486507525</v>
      </c>
      <c r="H187" s="9">
        <v>486</v>
      </c>
      <c r="I187" s="9" t="s">
        <v>745</v>
      </c>
      <c r="J187" s="20">
        <v>4.7239999999999999E-3</v>
      </c>
      <c r="K187" s="16">
        <v>3.5000000000000001E-3</v>
      </c>
      <c r="L187" s="9">
        <v>0.71</v>
      </c>
      <c r="M187" s="20">
        <v>3.8399999999999997E-2</v>
      </c>
      <c r="N187" s="9"/>
      <c r="O187" s="10"/>
    </row>
    <row r="188" spans="1:15">
      <c r="A188" s="5" t="s">
        <v>876</v>
      </c>
      <c r="B188" s="6" t="s">
        <v>30</v>
      </c>
      <c r="C188" s="6" t="s">
        <v>668</v>
      </c>
      <c r="D188" s="6" t="s">
        <v>20</v>
      </c>
      <c r="E188" s="267">
        <v>500000000</v>
      </c>
      <c r="F188" s="6">
        <v>500</v>
      </c>
      <c r="G188" s="267">
        <v>486356090</v>
      </c>
      <c r="H188" s="6">
        <v>486</v>
      </c>
      <c r="I188" s="6" t="s">
        <v>725</v>
      </c>
      <c r="J188" s="19">
        <v>4.7229999999999998E-3</v>
      </c>
      <c r="K188" s="15">
        <v>3.5000000000000001E-3</v>
      </c>
      <c r="L188" s="6">
        <v>0.72</v>
      </c>
      <c r="M188" s="19">
        <v>3.8399999999999997E-2</v>
      </c>
      <c r="N188" s="6"/>
      <c r="O188" s="7"/>
    </row>
    <row r="189" spans="1:15">
      <c r="A189" s="8" t="s">
        <v>876</v>
      </c>
      <c r="B189" s="9" t="s">
        <v>30</v>
      </c>
      <c r="C189" s="9" t="s">
        <v>50</v>
      </c>
      <c r="D189" s="9" t="s">
        <v>383</v>
      </c>
      <c r="E189" s="268">
        <v>450000000</v>
      </c>
      <c r="F189" s="9">
        <v>450</v>
      </c>
      <c r="G189" s="268">
        <v>462039095</v>
      </c>
      <c r="H189" s="9">
        <v>462</v>
      </c>
      <c r="I189" s="9" t="s">
        <v>109</v>
      </c>
      <c r="J189" s="20">
        <v>4.4869999999999997E-3</v>
      </c>
      <c r="K189" s="16">
        <v>4.24E-2</v>
      </c>
      <c r="L189" s="9">
        <v>1.27</v>
      </c>
      <c r="M189" s="20">
        <v>3.95E-2</v>
      </c>
      <c r="N189" s="9"/>
      <c r="O189" s="10"/>
    </row>
    <row r="190" spans="1:15">
      <c r="A190" s="5" t="s">
        <v>876</v>
      </c>
      <c r="B190" s="6" t="s">
        <v>30</v>
      </c>
      <c r="C190" s="6" t="s">
        <v>81</v>
      </c>
      <c r="D190" s="6" t="s">
        <v>82</v>
      </c>
      <c r="E190" s="267">
        <v>15000</v>
      </c>
      <c r="F190" s="6">
        <v>0</v>
      </c>
      <c r="G190" s="267">
        <v>458241609</v>
      </c>
      <c r="H190" s="6">
        <v>458</v>
      </c>
      <c r="I190" s="6" t="s">
        <v>83</v>
      </c>
      <c r="J190" s="19">
        <v>4.45E-3</v>
      </c>
      <c r="K190" s="15">
        <v>3.7900000000000003E-2</v>
      </c>
      <c r="L190" s="6">
        <v>2.17</v>
      </c>
      <c r="M190" s="19">
        <v>1.8700000000000001E-2</v>
      </c>
      <c r="N190" s="6"/>
      <c r="O190" s="7"/>
    </row>
    <row r="191" spans="1:15">
      <c r="A191" s="8" t="s">
        <v>876</v>
      </c>
      <c r="B191" s="9" t="s">
        <v>30</v>
      </c>
      <c r="C191" s="9" t="s">
        <v>75</v>
      </c>
      <c r="D191" s="9" t="s">
        <v>151</v>
      </c>
      <c r="E191" s="268">
        <v>430000000</v>
      </c>
      <c r="F191" s="9">
        <v>430</v>
      </c>
      <c r="G191" s="268">
        <v>435893546</v>
      </c>
      <c r="H191" s="9">
        <v>435</v>
      </c>
      <c r="I191" s="9" t="s">
        <v>152</v>
      </c>
      <c r="J191" s="20">
        <v>4.2329999999999998E-3</v>
      </c>
      <c r="K191" s="16">
        <v>4.2075000000000001E-2</v>
      </c>
      <c r="L191" s="9">
        <v>0.28999999999999998</v>
      </c>
      <c r="M191" s="20">
        <v>3.7499999999999999E-2</v>
      </c>
      <c r="N191" s="9"/>
      <c r="O191" s="10"/>
    </row>
    <row r="192" spans="1:15">
      <c r="A192" s="5" t="s">
        <v>876</v>
      </c>
      <c r="B192" s="6" t="s">
        <v>30</v>
      </c>
      <c r="C192" s="6" t="s">
        <v>583</v>
      </c>
      <c r="D192" s="6" t="s">
        <v>584</v>
      </c>
      <c r="E192" s="267">
        <v>15500</v>
      </c>
      <c r="F192" s="6">
        <v>0</v>
      </c>
      <c r="G192" s="267">
        <v>430928718</v>
      </c>
      <c r="H192" s="6">
        <v>430</v>
      </c>
      <c r="I192" s="6" t="s">
        <v>133</v>
      </c>
      <c r="J192" s="19">
        <v>4.1850000000000004E-3</v>
      </c>
      <c r="K192" s="15">
        <v>1.295E-2</v>
      </c>
      <c r="L192" s="6">
        <v>0.97</v>
      </c>
      <c r="M192" s="19">
        <v>1.46E-2</v>
      </c>
      <c r="N192" s="6"/>
      <c r="O192" s="7"/>
    </row>
    <row r="193" spans="1:15">
      <c r="A193" s="8" t="s">
        <v>876</v>
      </c>
      <c r="B193" s="9" t="s">
        <v>30</v>
      </c>
      <c r="C193" s="9" t="s">
        <v>163</v>
      </c>
      <c r="D193" s="9" t="s">
        <v>382</v>
      </c>
      <c r="E193" s="268">
        <v>15000</v>
      </c>
      <c r="F193" s="9">
        <v>0</v>
      </c>
      <c r="G193" s="268">
        <v>428700157</v>
      </c>
      <c r="H193" s="9">
        <v>428</v>
      </c>
      <c r="I193" s="9" t="s">
        <v>413</v>
      </c>
      <c r="J193" s="20">
        <v>4.163E-3</v>
      </c>
      <c r="K193" s="16">
        <v>2.3599999999999999E-2</v>
      </c>
      <c r="L193" s="9">
        <v>2.2400000000000002</v>
      </c>
      <c r="M193" s="20">
        <v>1.8599999999999998E-2</v>
      </c>
      <c r="N193" s="9"/>
      <c r="O193" s="10"/>
    </row>
    <row r="194" spans="1:15">
      <c r="A194" s="5" t="s">
        <v>876</v>
      </c>
      <c r="B194" s="6" t="s">
        <v>30</v>
      </c>
      <c r="C194" s="6" t="s">
        <v>511</v>
      </c>
      <c r="D194" s="6" t="s">
        <v>512</v>
      </c>
      <c r="E194" s="267">
        <v>15000</v>
      </c>
      <c r="F194" s="6">
        <v>0</v>
      </c>
      <c r="G194" s="267">
        <v>427692119</v>
      </c>
      <c r="H194" s="6">
        <v>427</v>
      </c>
      <c r="I194" s="6" t="s">
        <v>781</v>
      </c>
      <c r="J194" s="19">
        <v>4.1529999999999996E-3</v>
      </c>
      <c r="K194" s="15">
        <v>1.9400000000000001E-2</v>
      </c>
      <c r="L194" s="6">
        <v>3.17</v>
      </c>
      <c r="M194" s="19">
        <v>1.84E-2</v>
      </c>
      <c r="N194" s="6"/>
      <c r="O194" s="7"/>
    </row>
    <row r="195" spans="1:15">
      <c r="A195" s="8" t="s">
        <v>876</v>
      </c>
      <c r="B195" s="9" t="s">
        <v>30</v>
      </c>
      <c r="C195" s="9" t="s">
        <v>778</v>
      </c>
      <c r="D195" s="9" t="s">
        <v>779</v>
      </c>
      <c r="E195" s="268">
        <v>15000</v>
      </c>
      <c r="F195" s="9">
        <v>0</v>
      </c>
      <c r="G195" s="268">
        <v>425229414</v>
      </c>
      <c r="H195" s="9">
        <v>425</v>
      </c>
      <c r="I195" s="9" t="s">
        <v>780</v>
      </c>
      <c r="J195" s="20">
        <v>4.1289999999999999E-3</v>
      </c>
      <c r="K195" s="16">
        <v>2.7E-2</v>
      </c>
      <c r="L195" s="9">
        <v>4.62</v>
      </c>
      <c r="M195" s="20">
        <v>2.6700000000000002E-2</v>
      </c>
      <c r="N195" s="9"/>
      <c r="O195" s="10"/>
    </row>
    <row r="196" spans="1:15">
      <c r="A196" s="5" t="s">
        <v>876</v>
      </c>
      <c r="B196" s="6" t="s">
        <v>30</v>
      </c>
      <c r="C196" s="6" t="s">
        <v>75</v>
      </c>
      <c r="D196" s="6" t="s">
        <v>153</v>
      </c>
      <c r="E196" s="267">
        <v>410000000</v>
      </c>
      <c r="F196" s="6">
        <v>410</v>
      </c>
      <c r="G196" s="267">
        <v>424660988</v>
      </c>
      <c r="H196" s="6">
        <v>424</v>
      </c>
      <c r="I196" s="6" t="s">
        <v>79</v>
      </c>
      <c r="J196" s="19">
        <v>4.1240000000000001E-3</v>
      </c>
      <c r="K196" s="15">
        <v>4.8899999999999999E-2</v>
      </c>
      <c r="L196" s="6">
        <v>1.02</v>
      </c>
      <c r="M196" s="19">
        <v>4.02E-2</v>
      </c>
      <c r="N196" s="6"/>
      <c r="O196" s="7"/>
    </row>
    <row r="197" spans="1:15">
      <c r="A197" s="8" t="s">
        <v>876</v>
      </c>
      <c r="B197" s="9" t="s">
        <v>30</v>
      </c>
      <c r="C197" s="9" t="s">
        <v>583</v>
      </c>
      <c r="D197" s="9" t="s">
        <v>631</v>
      </c>
      <c r="E197" s="268">
        <v>15000</v>
      </c>
      <c r="F197" s="9">
        <v>0</v>
      </c>
      <c r="G197" s="268">
        <v>421427455</v>
      </c>
      <c r="H197" s="9">
        <v>421</v>
      </c>
      <c r="I197" s="9" t="s">
        <v>220</v>
      </c>
      <c r="J197" s="20">
        <v>4.0920000000000002E-3</v>
      </c>
      <c r="K197" s="16">
        <v>1.67E-2</v>
      </c>
      <c r="L197" s="9">
        <v>2.72</v>
      </c>
      <c r="M197" s="20">
        <v>1.61E-2</v>
      </c>
      <c r="N197" s="9"/>
      <c r="O197" s="10"/>
    </row>
    <row r="198" spans="1:15">
      <c r="A198" s="5" t="s">
        <v>876</v>
      </c>
      <c r="B198" s="6" t="s">
        <v>30</v>
      </c>
      <c r="C198" s="6" t="s">
        <v>86</v>
      </c>
      <c r="D198" s="6" t="s">
        <v>671</v>
      </c>
      <c r="E198" s="267">
        <v>15000</v>
      </c>
      <c r="F198" s="6">
        <v>0</v>
      </c>
      <c r="G198" s="267">
        <v>413022195</v>
      </c>
      <c r="H198" s="6">
        <v>413</v>
      </c>
      <c r="I198" s="6" t="s">
        <v>672</v>
      </c>
      <c r="J198" s="19">
        <v>4.0109999999999998E-3</v>
      </c>
      <c r="K198" s="15">
        <v>1.7899999999999999E-2</v>
      </c>
      <c r="L198" s="6">
        <v>4.04</v>
      </c>
      <c r="M198" s="19">
        <v>1.8499999999999999E-2</v>
      </c>
      <c r="N198" s="6"/>
      <c r="O198" s="7"/>
    </row>
    <row r="199" spans="1:15">
      <c r="A199" s="8" t="s">
        <v>876</v>
      </c>
      <c r="B199" s="9" t="s">
        <v>30</v>
      </c>
      <c r="C199" s="9" t="s">
        <v>75</v>
      </c>
      <c r="D199" s="9" t="s">
        <v>20</v>
      </c>
      <c r="E199" s="268">
        <v>400000000</v>
      </c>
      <c r="F199" s="9">
        <v>400</v>
      </c>
      <c r="G199" s="268">
        <v>395831890</v>
      </c>
      <c r="H199" s="9">
        <v>395</v>
      </c>
      <c r="I199" s="9" t="s">
        <v>712</v>
      </c>
      <c r="J199" s="20">
        <v>3.8440000000000002E-3</v>
      </c>
      <c r="K199" s="16">
        <v>2.8E-3</v>
      </c>
      <c r="L199" s="9">
        <v>0.32</v>
      </c>
      <c r="M199" s="20">
        <v>3.2399999999999998E-2</v>
      </c>
      <c r="N199" s="9"/>
      <c r="O199" s="10"/>
    </row>
    <row r="200" spans="1:15">
      <c r="A200" s="5" t="s">
        <v>876</v>
      </c>
      <c r="B200" s="6" t="s">
        <v>30</v>
      </c>
      <c r="C200" s="6" t="s">
        <v>26</v>
      </c>
      <c r="D200" s="6" t="s">
        <v>20</v>
      </c>
      <c r="E200" s="267">
        <v>400000000</v>
      </c>
      <c r="F200" s="6">
        <v>400</v>
      </c>
      <c r="G200" s="267">
        <v>390281979</v>
      </c>
      <c r="H200" s="6">
        <v>390</v>
      </c>
      <c r="I200" s="6" t="s">
        <v>722</v>
      </c>
      <c r="J200" s="19">
        <v>3.79E-3</v>
      </c>
      <c r="K200" s="15">
        <v>3.0999999999999999E-3</v>
      </c>
      <c r="L200" s="6">
        <v>0.68</v>
      </c>
      <c r="M200" s="19">
        <v>3.5999999999999997E-2</v>
      </c>
      <c r="N200" s="6"/>
      <c r="O200" s="7"/>
    </row>
    <row r="201" spans="1:15">
      <c r="A201" s="8" t="s">
        <v>876</v>
      </c>
      <c r="B201" s="9" t="s">
        <v>30</v>
      </c>
      <c r="C201" s="9" t="s">
        <v>67</v>
      </c>
      <c r="D201" s="9" t="s">
        <v>103</v>
      </c>
      <c r="E201" s="268">
        <v>21500</v>
      </c>
      <c r="F201" s="9">
        <v>0</v>
      </c>
      <c r="G201" s="268">
        <v>375581411</v>
      </c>
      <c r="H201" s="9">
        <v>375</v>
      </c>
      <c r="I201" s="9" t="s">
        <v>104</v>
      </c>
      <c r="J201" s="20">
        <v>3.6470000000000001E-3</v>
      </c>
      <c r="K201" s="16">
        <v>2.3349999999999999E-2</v>
      </c>
      <c r="L201" s="9">
        <v>4.6900000000000004</v>
      </c>
      <c r="M201" s="20">
        <v>1.8499999999999999E-2</v>
      </c>
      <c r="N201" s="9"/>
      <c r="O201" s="10"/>
    </row>
    <row r="202" spans="1:15">
      <c r="A202" s="5" t="s">
        <v>876</v>
      </c>
      <c r="B202" s="6" t="s">
        <v>30</v>
      </c>
      <c r="C202" s="6" t="s">
        <v>470</v>
      </c>
      <c r="D202" s="6" t="s">
        <v>20</v>
      </c>
      <c r="E202" s="267">
        <v>350000000</v>
      </c>
      <c r="F202" s="6">
        <v>350</v>
      </c>
      <c r="G202" s="267">
        <v>349973169</v>
      </c>
      <c r="H202" s="6">
        <v>349</v>
      </c>
      <c r="I202" s="6" t="s">
        <v>605</v>
      </c>
      <c r="J202" s="19">
        <v>3.398E-3</v>
      </c>
      <c r="K202" s="15">
        <v>2.3999999999999998E-3</v>
      </c>
      <c r="L202" s="6">
        <v>0</v>
      </c>
      <c r="M202" s="19">
        <v>2.76E-2</v>
      </c>
      <c r="N202" s="6"/>
      <c r="O202" s="7"/>
    </row>
    <row r="203" spans="1:15">
      <c r="A203" s="8" t="s">
        <v>876</v>
      </c>
      <c r="B203" s="9" t="s">
        <v>30</v>
      </c>
      <c r="C203" s="9" t="s">
        <v>214</v>
      </c>
      <c r="D203" s="9" t="s">
        <v>215</v>
      </c>
      <c r="E203" s="268">
        <v>26500</v>
      </c>
      <c r="F203" s="9">
        <v>0</v>
      </c>
      <c r="G203" s="268">
        <v>344102219</v>
      </c>
      <c r="H203" s="9">
        <v>344</v>
      </c>
      <c r="I203" s="9" t="s">
        <v>216</v>
      </c>
      <c r="J203" s="20">
        <v>3.3409999999999998E-3</v>
      </c>
      <c r="K203" s="16">
        <v>1.6933333299999999E-2</v>
      </c>
      <c r="L203" s="9">
        <v>1.3</v>
      </c>
      <c r="M203" s="20">
        <v>1.55E-2</v>
      </c>
      <c r="N203" s="9"/>
      <c r="O203" s="10"/>
    </row>
    <row r="204" spans="1:15">
      <c r="A204" s="5" t="s">
        <v>876</v>
      </c>
      <c r="B204" s="6" t="s">
        <v>30</v>
      </c>
      <c r="C204" s="6" t="s">
        <v>75</v>
      </c>
      <c r="D204" s="6" t="s">
        <v>98</v>
      </c>
      <c r="E204" s="267">
        <v>11000</v>
      </c>
      <c r="F204" s="6">
        <v>0</v>
      </c>
      <c r="G204" s="267">
        <v>305335896</v>
      </c>
      <c r="H204" s="6">
        <v>305</v>
      </c>
      <c r="I204" s="6" t="s">
        <v>99</v>
      </c>
      <c r="J204" s="19">
        <v>2.9650000000000002E-3</v>
      </c>
      <c r="K204" s="15">
        <v>2.1399999999999999E-2</v>
      </c>
      <c r="L204" s="6">
        <v>2.91</v>
      </c>
      <c r="M204" s="19">
        <v>1.67E-2</v>
      </c>
      <c r="N204" s="6"/>
      <c r="O204" s="7"/>
    </row>
    <row r="205" spans="1:15">
      <c r="A205" s="8" t="s">
        <v>876</v>
      </c>
      <c r="B205" s="9" t="s">
        <v>30</v>
      </c>
      <c r="C205" s="9" t="s">
        <v>381</v>
      </c>
      <c r="D205" s="9" t="s">
        <v>480</v>
      </c>
      <c r="E205" s="268">
        <v>17000</v>
      </c>
      <c r="F205" s="9">
        <v>0</v>
      </c>
      <c r="G205" s="268">
        <v>300695501</v>
      </c>
      <c r="H205" s="9">
        <v>300</v>
      </c>
      <c r="I205" s="9" t="s">
        <v>634</v>
      </c>
      <c r="J205" s="20">
        <v>2.9199999999999999E-3</v>
      </c>
      <c r="K205" s="16">
        <v>2.2599999999999999E-2</v>
      </c>
      <c r="L205" s="9">
        <v>2.11</v>
      </c>
      <c r="M205" s="20">
        <v>2.2100000000000002E-2</v>
      </c>
      <c r="N205" s="9"/>
      <c r="O205" s="10"/>
    </row>
    <row r="206" spans="1:15">
      <c r="A206" s="5" t="s">
        <v>876</v>
      </c>
      <c r="B206" s="6" t="s">
        <v>30</v>
      </c>
      <c r="C206" s="6" t="s">
        <v>88</v>
      </c>
      <c r="D206" s="6" t="s">
        <v>410</v>
      </c>
      <c r="E206" s="267">
        <v>10000</v>
      </c>
      <c r="F206" s="6">
        <v>0</v>
      </c>
      <c r="G206" s="267">
        <v>284353097</v>
      </c>
      <c r="H206" s="6">
        <v>284</v>
      </c>
      <c r="I206" s="6" t="s">
        <v>412</v>
      </c>
      <c r="J206" s="19">
        <v>2.761E-3</v>
      </c>
      <c r="K206" s="15">
        <v>1.95E-2</v>
      </c>
      <c r="L206" s="6">
        <v>2.67</v>
      </c>
      <c r="M206" s="19">
        <v>1.6400000000000001E-2</v>
      </c>
      <c r="N206" s="6"/>
      <c r="O206" s="7"/>
    </row>
    <row r="207" spans="1:15">
      <c r="A207" s="8" t="s">
        <v>876</v>
      </c>
      <c r="B207" s="9" t="s">
        <v>30</v>
      </c>
      <c r="C207" s="9" t="s">
        <v>75</v>
      </c>
      <c r="D207" s="9" t="s">
        <v>604</v>
      </c>
      <c r="E207" s="268">
        <v>10000</v>
      </c>
      <c r="F207" s="9">
        <v>0</v>
      </c>
      <c r="G207" s="268">
        <v>283389403</v>
      </c>
      <c r="H207" s="9">
        <v>283</v>
      </c>
      <c r="I207" s="9" t="s">
        <v>44</v>
      </c>
      <c r="J207" s="20">
        <v>2.7520000000000001E-3</v>
      </c>
      <c r="K207" s="16">
        <v>1.6199999999999999E-2</v>
      </c>
      <c r="L207" s="9">
        <v>1.93</v>
      </c>
      <c r="M207" s="20">
        <v>1.5699999999999999E-2</v>
      </c>
      <c r="N207" s="9"/>
      <c r="O207" s="10"/>
    </row>
    <row r="208" spans="1:15">
      <c r="A208" s="5" t="s">
        <v>876</v>
      </c>
      <c r="B208" s="6" t="s">
        <v>30</v>
      </c>
      <c r="C208" s="6" t="s">
        <v>525</v>
      </c>
      <c r="D208" s="6" t="s">
        <v>526</v>
      </c>
      <c r="E208" s="267">
        <v>10000</v>
      </c>
      <c r="F208" s="6">
        <v>0</v>
      </c>
      <c r="G208" s="267">
        <v>281567434</v>
      </c>
      <c r="H208" s="6">
        <v>281</v>
      </c>
      <c r="I208" s="6" t="s">
        <v>635</v>
      </c>
      <c r="J208" s="19">
        <v>2.7339999999999999E-3</v>
      </c>
      <c r="K208" s="15">
        <v>2.0500000000000001E-2</v>
      </c>
      <c r="L208" s="6">
        <v>3.44</v>
      </c>
      <c r="M208" s="19">
        <v>2.0500000000000001E-2</v>
      </c>
      <c r="N208" s="6"/>
      <c r="O208" s="7"/>
    </row>
    <row r="209" spans="1:15">
      <c r="A209" s="8" t="s">
        <v>876</v>
      </c>
      <c r="B209" s="9" t="s">
        <v>30</v>
      </c>
      <c r="C209" s="9" t="s">
        <v>239</v>
      </c>
      <c r="D209" s="9" t="s">
        <v>782</v>
      </c>
      <c r="E209" s="268">
        <v>20000</v>
      </c>
      <c r="F209" s="9">
        <v>0</v>
      </c>
      <c r="G209" s="268">
        <v>278390723</v>
      </c>
      <c r="H209" s="9">
        <v>278</v>
      </c>
      <c r="I209" s="9" t="s">
        <v>783</v>
      </c>
      <c r="J209" s="20">
        <v>2.7030000000000001E-3</v>
      </c>
      <c r="K209" s="16">
        <v>1.55E-2</v>
      </c>
      <c r="L209" s="9">
        <v>0.97</v>
      </c>
      <c r="M209" s="20">
        <v>1.52E-2</v>
      </c>
      <c r="N209" s="9"/>
      <c r="O209" s="10"/>
    </row>
    <row r="210" spans="1:15">
      <c r="A210" s="5" t="s">
        <v>876</v>
      </c>
      <c r="B210" s="6" t="s">
        <v>30</v>
      </c>
      <c r="C210" s="6" t="s">
        <v>100</v>
      </c>
      <c r="D210" s="6" t="s">
        <v>101</v>
      </c>
      <c r="E210" s="267">
        <v>23000</v>
      </c>
      <c r="F210" s="6">
        <v>0</v>
      </c>
      <c r="G210" s="267">
        <v>274080171</v>
      </c>
      <c r="H210" s="6">
        <v>274</v>
      </c>
      <c r="I210" s="6" t="s">
        <v>102</v>
      </c>
      <c r="J210" s="19">
        <v>2.6610000000000002E-3</v>
      </c>
      <c r="K210" s="15">
        <v>2.7E-2</v>
      </c>
      <c r="L210" s="6">
        <v>1.03</v>
      </c>
      <c r="M210" s="19">
        <v>1.7600000000000001E-2</v>
      </c>
      <c r="N210" s="6"/>
      <c r="O210" s="7"/>
    </row>
    <row r="211" spans="1:15">
      <c r="A211" s="8" t="s">
        <v>876</v>
      </c>
      <c r="B211" s="9" t="s">
        <v>30</v>
      </c>
      <c r="C211" s="9" t="s">
        <v>67</v>
      </c>
      <c r="D211" s="9" t="s">
        <v>154</v>
      </c>
      <c r="E211" s="268">
        <v>500000000</v>
      </c>
      <c r="F211" s="9">
        <v>500</v>
      </c>
      <c r="G211" s="268">
        <v>268369016</v>
      </c>
      <c r="H211" s="9">
        <v>268</v>
      </c>
      <c r="I211" s="9" t="s">
        <v>155</v>
      </c>
      <c r="J211" s="20">
        <v>2.6059999999999998E-3</v>
      </c>
      <c r="K211" s="16">
        <v>5.9499999999999997E-2</v>
      </c>
      <c r="L211" s="9">
        <v>0.56000000000000005</v>
      </c>
      <c r="M211" s="20">
        <v>3.9899999999999998E-2</v>
      </c>
      <c r="N211" s="9"/>
      <c r="O211" s="10"/>
    </row>
    <row r="212" spans="1:15">
      <c r="A212" s="5" t="s">
        <v>876</v>
      </c>
      <c r="B212" s="6" t="s">
        <v>30</v>
      </c>
      <c r="C212" s="6" t="s">
        <v>145</v>
      </c>
      <c r="D212" s="6" t="s">
        <v>146</v>
      </c>
      <c r="E212" s="267">
        <v>10000</v>
      </c>
      <c r="F212" s="6">
        <v>0</v>
      </c>
      <c r="G212" s="267">
        <v>249999279</v>
      </c>
      <c r="H212" s="6">
        <v>249</v>
      </c>
      <c r="I212" s="6" t="s">
        <v>147</v>
      </c>
      <c r="J212" s="19">
        <v>2.428E-3</v>
      </c>
      <c r="K212" s="15">
        <v>2.5000000000000001E-2</v>
      </c>
      <c r="L212" s="6">
        <v>3.17</v>
      </c>
      <c r="M212" s="19">
        <v>2.0799999999999999E-2</v>
      </c>
      <c r="N212" s="6"/>
      <c r="O212" s="7"/>
    </row>
    <row r="213" spans="1:15">
      <c r="A213" s="8" t="s">
        <v>876</v>
      </c>
      <c r="B213" s="9" t="s">
        <v>30</v>
      </c>
      <c r="C213" s="9" t="s">
        <v>421</v>
      </c>
      <c r="D213" s="9" t="s">
        <v>20</v>
      </c>
      <c r="E213" s="268">
        <v>250000000</v>
      </c>
      <c r="F213" s="9">
        <v>250</v>
      </c>
      <c r="G213" s="268">
        <v>249958340</v>
      </c>
      <c r="H213" s="9">
        <v>249</v>
      </c>
      <c r="I213" s="9" t="s">
        <v>728</v>
      </c>
      <c r="J213" s="20">
        <v>2.4269999999999999E-3</v>
      </c>
      <c r="K213" s="16">
        <v>2.5999999999999999E-3</v>
      </c>
      <c r="L213" s="9">
        <v>0.01</v>
      </c>
      <c r="M213" s="20">
        <v>0.03</v>
      </c>
      <c r="N213" s="9"/>
      <c r="O213" s="10"/>
    </row>
    <row r="214" spans="1:15">
      <c r="A214" s="5" t="s">
        <v>876</v>
      </c>
      <c r="B214" s="6" t="s">
        <v>30</v>
      </c>
      <c r="C214" s="6" t="s">
        <v>709</v>
      </c>
      <c r="D214" s="6" t="s">
        <v>20</v>
      </c>
      <c r="E214" s="267">
        <v>250000000</v>
      </c>
      <c r="F214" s="6">
        <v>250</v>
      </c>
      <c r="G214" s="267">
        <v>247937163</v>
      </c>
      <c r="H214" s="6">
        <v>247</v>
      </c>
      <c r="I214" s="6" t="s">
        <v>710</v>
      </c>
      <c r="J214" s="19">
        <v>2.4069999999999999E-3</v>
      </c>
      <c r="K214" s="15">
        <v>2.5999999999999999E-3</v>
      </c>
      <c r="L214" s="6">
        <v>0.26</v>
      </c>
      <c r="M214" s="19">
        <v>3.1199999999999999E-2</v>
      </c>
      <c r="N214" s="6"/>
      <c r="O214" s="7"/>
    </row>
    <row r="215" spans="1:15">
      <c r="A215" s="8" t="s">
        <v>876</v>
      </c>
      <c r="B215" s="9" t="s">
        <v>30</v>
      </c>
      <c r="C215" s="9" t="s">
        <v>24</v>
      </c>
      <c r="D215" s="9" t="s">
        <v>20</v>
      </c>
      <c r="E215" s="268">
        <v>245207662</v>
      </c>
      <c r="F215" s="9">
        <v>245</v>
      </c>
      <c r="G215" s="268">
        <v>242544523</v>
      </c>
      <c r="H215" s="9">
        <v>242</v>
      </c>
      <c r="I215" s="9" t="s">
        <v>742</v>
      </c>
      <c r="J215" s="20">
        <v>2.3549999999999999E-3</v>
      </c>
      <c r="K215" s="16">
        <v>2.7000000000000001E-3</v>
      </c>
      <c r="L215" s="9">
        <v>0.33</v>
      </c>
      <c r="M215" s="20">
        <v>3.2399999999999998E-2</v>
      </c>
      <c r="N215" s="9"/>
      <c r="O215" s="10"/>
    </row>
    <row r="216" spans="1:15">
      <c r="A216" s="5" t="s">
        <v>876</v>
      </c>
      <c r="B216" s="6" t="s">
        <v>30</v>
      </c>
      <c r="C216" s="6" t="s">
        <v>23</v>
      </c>
      <c r="D216" s="6" t="s">
        <v>20</v>
      </c>
      <c r="E216" s="267">
        <v>225000000</v>
      </c>
      <c r="F216" s="6">
        <v>225</v>
      </c>
      <c r="G216" s="267">
        <v>224438903</v>
      </c>
      <c r="H216" s="6">
        <v>224</v>
      </c>
      <c r="I216" s="6" t="s">
        <v>646</v>
      </c>
      <c r="J216" s="19">
        <v>2.1789999999999999E-3</v>
      </c>
      <c r="K216" s="15">
        <v>2.5500000000000002E-3</v>
      </c>
      <c r="L216" s="6">
        <v>0.08</v>
      </c>
      <c r="M216" s="19">
        <v>0.03</v>
      </c>
      <c r="N216" s="6"/>
      <c r="O216" s="7"/>
    </row>
    <row r="217" spans="1:15">
      <c r="A217" s="8" t="s">
        <v>876</v>
      </c>
      <c r="B217" s="9" t="s">
        <v>30</v>
      </c>
      <c r="C217" s="9" t="s">
        <v>21</v>
      </c>
      <c r="D217" s="9" t="s">
        <v>20</v>
      </c>
      <c r="E217" s="268">
        <v>218217248</v>
      </c>
      <c r="F217" s="9">
        <v>218</v>
      </c>
      <c r="G217" s="268">
        <v>214871696</v>
      </c>
      <c r="H217" s="9">
        <v>214</v>
      </c>
      <c r="I217" s="9" t="s">
        <v>743</v>
      </c>
      <c r="J217" s="20">
        <v>2.0860000000000002E-3</v>
      </c>
      <c r="K217" s="16">
        <v>3.2000000000000002E-3</v>
      </c>
      <c r="L217" s="9">
        <v>0.47</v>
      </c>
      <c r="M217" s="20">
        <v>3.2399999999999998E-2</v>
      </c>
      <c r="N217" s="9"/>
      <c r="O217" s="10"/>
    </row>
    <row r="218" spans="1:15">
      <c r="A218" s="5" t="s">
        <v>876</v>
      </c>
      <c r="B218" s="6" t="s">
        <v>30</v>
      </c>
      <c r="C218" s="6" t="s">
        <v>86</v>
      </c>
      <c r="D218" s="6" t="s">
        <v>89</v>
      </c>
      <c r="E218" s="267">
        <v>520000000</v>
      </c>
      <c r="F218" s="6">
        <v>520</v>
      </c>
      <c r="G218" s="267">
        <v>210950225</v>
      </c>
      <c r="H218" s="6">
        <v>210</v>
      </c>
      <c r="I218" s="6" t="s">
        <v>90</v>
      </c>
      <c r="J218" s="19">
        <v>2.0479999999999999E-3</v>
      </c>
      <c r="K218" s="15">
        <v>4.6800000000000001E-2</v>
      </c>
      <c r="L218" s="6">
        <v>0.64</v>
      </c>
      <c r="M218" s="19">
        <v>4.1000000000000002E-2</v>
      </c>
      <c r="N218" s="6"/>
      <c r="O218" s="7"/>
    </row>
    <row r="219" spans="1:15">
      <c r="A219" s="8" t="s">
        <v>876</v>
      </c>
      <c r="B219" s="9" t="s">
        <v>30</v>
      </c>
      <c r="C219" s="9" t="s">
        <v>228</v>
      </c>
      <c r="D219" s="9" t="s">
        <v>229</v>
      </c>
      <c r="E219" s="268">
        <v>14000</v>
      </c>
      <c r="F219" s="9">
        <v>0</v>
      </c>
      <c r="G219" s="268">
        <v>202787101</v>
      </c>
      <c r="H219" s="9">
        <v>202</v>
      </c>
      <c r="I219" s="9" t="s">
        <v>230</v>
      </c>
      <c r="J219" s="20">
        <v>1.9689999999999998E-3</v>
      </c>
      <c r="K219" s="16">
        <v>1.5650000000000001E-2</v>
      </c>
      <c r="L219" s="9">
        <v>2.33</v>
      </c>
      <c r="M219" s="20">
        <v>1.78E-2</v>
      </c>
      <c r="N219" s="9"/>
      <c r="O219" s="10"/>
    </row>
    <row r="220" spans="1:15">
      <c r="A220" s="5" t="s">
        <v>876</v>
      </c>
      <c r="B220" s="6" t="s">
        <v>30</v>
      </c>
      <c r="C220" s="6" t="s">
        <v>27</v>
      </c>
      <c r="D220" s="6" t="s">
        <v>20</v>
      </c>
      <c r="E220" s="267">
        <v>200000000</v>
      </c>
      <c r="F220" s="6">
        <v>200</v>
      </c>
      <c r="G220" s="267">
        <v>194564516</v>
      </c>
      <c r="H220" s="6">
        <v>194</v>
      </c>
      <c r="I220" s="6" t="s">
        <v>746</v>
      </c>
      <c r="J220" s="19">
        <v>1.8890000000000001E-3</v>
      </c>
      <c r="K220" s="15">
        <v>3.0999999999999999E-3</v>
      </c>
      <c r="L220" s="6">
        <v>0.79</v>
      </c>
      <c r="M220" s="19">
        <v>3.4799999999999998E-2</v>
      </c>
      <c r="N220" s="6"/>
      <c r="O220" s="7"/>
    </row>
    <row r="221" spans="1:15">
      <c r="A221" s="8" t="s">
        <v>876</v>
      </c>
      <c r="B221" s="9" t="s">
        <v>30</v>
      </c>
      <c r="C221" s="9" t="s">
        <v>19</v>
      </c>
      <c r="D221" s="9" t="s">
        <v>20</v>
      </c>
      <c r="E221" s="268">
        <v>200000000</v>
      </c>
      <c r="F221" s="9">
        <v>200</v>
      </c>
      <c r="G221" s="268">
        <v>193928111</v>
      </c>
      <c r="H221" s="9">
        <v>193</v>
      </c>
      <c r="I221" s="9" t="s">
        <v>726</v>
      </c>
      <c r="J221" s="20">
        <v>1.8829999999999999E-3</v>
      </c>
      <c r="K221" s="16">
        <v>3.3999999999999998E-3</v>
      </c>
      <c r="L221" s="9">
        <v>0.83</v>
      </c>
      <c r="M221" s="20">
        <v>3.7199999999999997E-2</v>
      </c>
      <c r="N221" s="9"/>
      <c r="O221" s="10"/>
    </row>
    <row r="222" spans="1:15">
      <c r="A222" s="5" t="s">
        <v>876</v>
      </c>
      <c r="B222" s="6" t="s">
        <v>30</v>
      </c>
      <c r="C222" s="6" t="s">
        <v>158</v>
      </c>
      <c r="D222" s="6" t="s">
        <v>159</v>
      </c>
      <c r="E222" s="267">
        <v>12000</v>
      </c>
      <c r="F222" s="6">
        <v>0</v>
      </c>
      <c r="G222" s="267">
        <v>187618803</v>
      </c>
      <c r="H222" s="6">
        <v>187</v>
      </c>
      <c r="I222" s="6" t="s">
        <v>160</v>
      </c>
      <c r="J222" s="19">
        <v>1.8220000000000001E-3</v>
      </c>
      <c r="K222" s="15">
        <v>3.8699999999999998E-2</v>
      </c>
      <c r="L222" s="6">
        <v>3.41</v>
      </c>
      <c r="M222" s="19">
        <v>3.0700000000000002E-2</v>
      </c>
      <c r="N222" s="6"/>
      <c r="O222" s="7"/>
    </row>
    <row r="223" spans="1:15">
      <c r="A223" s="8" t="s">
        <v>876</v>
      </c>
      <c r="B223" s="9" t="s">
        <v>30</v>
      </c>
      <c r="C223" s="9" t="s">
        <v>50</v>
      </c>
      <c r="D223" s="9" t="s">
        <v>231</v>
      </c>
      <c r="E223" s="268">
        <v>5500</v>
      </c>
      <c r="F223" s="9">
        <v>0</v>
      </c>
      <c r="G223" s="268">
        <v>152910979</v>
      </c>
      <c r="H223" s="9">
        <v>152</v>
      </c>
      <c r="I223" s="9" t="s">
        <v>218</v>
      </c>
      <c r="J223" s="20">
        <v>1.485E-3</v>
      </c>
      <c r="K223" s="16">
        <v>1.10333333E-2</v>
      </c>
      <c r="L223" s="9">
        <v>0.22</v>
      </c>
      <c r="M223" s="20">
        <v>1.7399999999999999E-2</v>
      </c>
      <c r="N223" s="9"/>
      <c r="O223" s="10"/>
    </row>
    <row r="224" spans="1:15">
      <c r="A224" s="5" t="s">
        <v>876</v>
      </c>
      <c r="B224" s="6" t="s">
        <v>30</v>
      </c>
      <c r="C224" s="6" t="s">
        <v>667</v>
      </c>
      <c r="D224" s="6" t="s">
        <v>20</v>
      </c>
      <c r="E224" s="267">
        <v>150000000</v>
      </c>
      <c r="F224" s="6">
        <v>150</v>
      </c>
      <c r="G224" s="267">
        <v>149713050</v>
      </c>
      <c r="H224" s="6">
        <v>149</v>
      </c>
      <c r="I224" s="6" t="s">
        <v>649</v>
      </c>
      <c r="J224" s="19">
        <v>1.454E-3</v>
      </c>
      <c r="K224" s="15">
        <v>2.5999999999999999E-3</v>
      </c>
      <c r="L224" s="6">
        <v>0.06</v>
      </c>
      <c r="M224" s="19">
        <v>0.03</v>
      </c>
      <c r="N224" s="6"/>
      <c r="O224" s="7"/>
    </row>
    <row r="225" spans="1:15">
      <c r="A225" s="8" t="s">
        <v>876</v>
      </c>
      <c r="B225" s="9" t="s">
        <v>30</v>
      </c>
      <c r="C225" s="9" t="s">
        <v>21</v>
      </c>
      <c r="D225" s="9" t="s">
        <v>20</v>
      </c>
      <c r="E225" s="268">
        <v>150000000</v>
      </c>
      <c r="F225" s="9">
        <v>150</v>
      </c>
      <c r="G225" s="268">
        <v>149623945</v>
      </c>
      <c r="H225" s="9">
        <v>149</v>
      </c>
      <c r="I225" s="9" t="s">
        <v>607</v>
      </c>
      <c r="J225" s="20">
        <v>1.4530000000000001E-3</v>
      </c>
      <c r="K225" s="16">
        <v>2.7000000000000001E-3</v>
      </c>
      <c r="L225" s="9">
        <v>0.08</v>
      </c>
      <c r="M225" s="20">
        <v>3.1199999999999999E-2</v>
      </c>
      <c r="N225" s="9"/>
      <c r="O225" s="10"/>
    </row>
    <row r="226" spans="1:15">
      <c r="A226" s="5" t="s">
        <v>876</v>
      </c>
      <c r="B226" s="6" t="s">
        <v>30</v>
      </c>
      <c r="C226" s="6" t="s">
        <v>21</v>
      </c>
      <c r="D226" s="6" t="s">
        <v>20</v>
      </c>
      <c r="E226" s="267">
        <v>150000000</v>
      </c>
      <c r="F226" s="6">
        <v>150</v>
      </c>
      <c r="G226" s="267">
        <v>148384097</v>
      </c>
      <c r="H226" s="6">
        <v>148</v>
      </c>
      <c r="I226" s="6" t="s">
        <v>741</v>
      </c>
      <c r="J226" s="19">
        <v>1.441E-3</v>
      </c>
      <c r="K226" s="15">
        <v>2.7000000000000001E-3</v>
      </c>
      <c r="L226" s="6">
        <v>0.33</v>
      </c>
      <c r="M226" s="19">
        <v>3.2399999999999998E-2</v>
      </c>
      <c r="N226" s="6"/>
      <c r="O226" s="7"/>
    </row>
    <row r="227" spans="1:15">
      <c r="A227" s="8" t="s">
        <v>876</v>
      </c>
      <c r="B227" s="9" t="s">
        <v>30</v>
      </c>
      <c r="C227" s="9" t="s">
        <v>166</v>
      </c>
      <c r="D227" s="9" t="s">
        <v>167</v>
      </c>
      <c r="E227" s="268">
        <v>110000000</v>
      </c>
      <c r="F227" s="9">
        <v>110</v>
      </c>
      <c r="G227" s="268">
        <v>113077430</v>
      </c>
      <c r="H227" s="9">
        <v>113</v>
      </c>
      <c r="I227" s="9" t="s">
        <v>168</v>
      </c>
      <c r="J227" s="20">
        <v>1.098E-3</v>
      </c>
      <c r="K227" s="16">
        <v>4.9700000000000001E-2</v>
      </c>
      <c r="L227" s="9">
        <v>0.01</v>
      </c>
      <c r="M227" s="20">
        <v>3.4299999999999997E-2</v>
      </c>
      <c r="N227" s="9"/>
      <c r="O227" s="10"/>
    </row>
    <row r="228" spans="1:15">
      <c r="A228" s="5" t="s">
        <v>876</v>
      </c>
      <c r="B228" s="6" t="s">
        <v>30</v>
      </c>
      <c r="C228" s="6" t="s">
        <v>21</v>
      </c>
      <c r="D228" s="6" t="s">
        <v>20</v>
      </c>
      <c r="E228" s="267">
        <v>92240000</v>
      </c>
      <c r="F228" s="6">
        <v>92</v>
      </c>
      <c r="G228" s="267">
        <v>91707485</v>
      </c>
      <c r="H228" s="6">
        <v>91</v>
      </c>
      <c r="I228" s="6" t="s">
        <v>739</v>
      </c>
      <c r="J228" s="19">
        <v>8.8999999999999995E-4</v>
      </c>
      <c r="K228" s="15">
        <v>3.0000000000000001E-3</v>
      </c>
      <c r="L228" s="6">
        <v>0.18</v>
      </c>
      <c r="M228" s="19">
        <v>3.1199999999999999E-2</v>
      </c>
      <c r="N228" s="6"/>
      <c r="O228" s="7"/>
    </row>
    <row r="229" spans="1:15">
      <c r="A229" s="8" t="s">
        <v>876</v>
      </c>
      <c r="B229" s="9" t="s">
        <v>30</v>
      </c>
      <c r="C229" s="9" t="s">
        <v>119</v>
      </c>
      <c r="D229" s="9" t="s">
        <v>169</v>
      </c>
      <c r="E229" s="268">
        <v>14000</v>
      </c>
      <c r="F229" s="9">
        <v>0</v>
      </c>
      <c r="G229" s="268">
        <v>59237074</v>
      </c>
      <c r="H229" s="9">
        <v>59</v>
      </c>
      <c r="I229" s="9" t="s">
        <v>170</v>
      </c>
      <c r="J229" s="20">
        <v>5.7499999999999999E-4</v>
      </c>
      <c r="K229" s="16">
        <v>4.9566666600000003E-2</v>
      </c>
      <c r="L229" s="9">
        <v>2.4300000000000002</v>
      </c>
      <c r="M229" s="20">
        <v>3.7199999999999997E-2</v>
      </c>
      <c r="N229" s="9"/>
      <c r="O229" s="10"/>
    </row>
    <row r="230" spans="1:15">
      <c r="A230" s="5" t="s">
        <v>876</v>
      </c>
      <c r="B230" s="6" t="s">
        <v>30</v>
      </c>
      <c r="C230" s="6" t="s">
        <v>213</v>
      </c>
      <c r="D230" s="6" t="s">
        <v>784</v>
      </c>
      <c r="E230" s="267">
        <v>2000</v>
      </c>
      <c r="F230" s="6">
        <v>0</v>
      </c>
      <c r="G230" s="267">
        <v>57167715</v>
      </c>
      <c r="H230" s="6">
        <v>57</v>
      </c>
      <c r="I230" s="6" t="s">
        <v>785</v>
      </c>
      <c r="J230" s="19">
        <v>5.5500000000000005E-4</v>
      </c>
      <c r="K230" s="15">
        <v>1.66E-2</v>
      </c>
      <c r="L230" s="6">
        <v>2.16</v>
      </c>
      <c r="M230" s="19">
        <v>1.44E-2</v>
      </c>
      <c r="N230" s="6"/>
      <c r="O230" s="7"/>
    </row>
    <row r="231" spans="1:15">
      <c r="A231" s="8" t="s">
        <v>876</v>
      </c>
      <c r="B231" s="9" t="s">
        <v>30</v>
      </c>
      <c r="C231" s="9" t="s">
        <v>625</v>
      </c>
      <c r="D231" s="9" t="s">
        <v>20</v>
      </c>
      <c r="E231" s="268">
        <v>50000000</v>
      </c>
      <c r="F231" s="9">
        <v>50</v>
      </c>
      <c r="G231" s="268">
        <v>49996000</v>
      </c>
      <c r="H231" s="9">
        <v>49</v>
      </c>
      <c r="I231" s="9" t="s">
        <v>605</v>
      </c>
      <c r="J231" s="20">
        <v>4.8500000000000003E-4</v>
      </c>
      <c r="K231" s="16">
        <v>2.5000000000000001E-3</v>
      </c>
      <c r="L231" s="9">
        <v>0</v>
      </c>
      <c r="M231" s="20">
        <v>2.8799999999999999E-2</v>
      </c>
      <c r="N231" s="9"/>
      <c r="O231" s="10"/>
    </row>
    <row r="232" spans="1:15">
      <c r="A232" s="5" t="s">
        <v>876</v>
      </c>
      <c r="B232" s="6" t="s">
        <v>30</v>
      </c>
      <c r="C232" s="6" t="s">
        <v>31</v>
      </c>
      <c r="D232" s="6" t="s">
        <v>20</v>
      </c>
      <c r="E232" s="267">
        <v>50000000</v>
      </c>
      <c r="F232" s="6">
        <v>50</v>
      </c>
      <c r="G232" s="267">
        <v>49862877</v>
      </c>
      <c r="H232" s="6">
        <v>49</v>
      </c>
      <c r="I232" s="6" t="s">
        <v>703</v>
      </c>
      <c r="J232" s="19">
        <v>4.84E-4</v>
      </c>
      <c r="K232" s="15">
        <v>2.8999999999999998E-3</v>
      </c>
      <c r="L232" s="6">
        <v>0.09</v>
      </c>
      <c r="M232" s="19">
        <v>0.03</v>
      </c>
      <c r="N232" s="6"/>
      <c r="O232" s="7"/>
    </row>
    <row r="233" spans="1:15">
      <c r="A233" s="8" t="s">
        <v>876</v>
      </c>
      <c r="B233" s="9" t="s">
        <v>30</v>
      </c>
      <c r="C233" s="9" t="s">
        <v>29</v>
      </c>
      <c r="D233" s="9" t="s">
        <v>20</v>
      </c>
      <c r="E233" s="268">
        <v>50000000</v>
      </c>
      <c r="F233" s="9">
        <v>50</v>
      </c>
      <c r="G233" s="268">
        <v>49749924</v>
      </c>
      <c r="H233" s="9">
        <v>49</v>
      </c>
      <c r="I233" s="9" t="s">
        <v>617</v>
      </c>
      <c r="J233" s="20">
        <v>4.8299999999999998E-4</v>
      </c>
      <c r="K233" s="16">
        <v>2.7000000000000001E-3</v>
      </c>
      <c r="L233" s="9">
        <v>0.16</v>
      </c>
      <c r="M233" s="20">
        <v>3.1199999999999999E-2</v>
      </c>
      <c r="N233" s="9"/>
      <c r="O233" s="10"/>
    </row>
    <row r="234" spans="1:15">
      <c r="A234" s="5" t="s">
        <v>876</v>
      </c>
      <c r="B234" s="6" t="s">
        <v>30</v>
      </c>
      <c r="C234" s="6" t="s">
        <v>23</v>
      </c>
      <c r="D234" s="6" t="s">
        <v>20</v>
      </c>
      <c r="E234" s="267">
        <v>50000000</v>
      </c>
      <c r="F234" s="6">
        <v>50</v>
      </c>
      <c r="G234" s="267">
        <v>49737057</v>
      </c>
      <c r="H234" s="6">
        <v>49</v>
      </c>
      <c r="I234" s="6" t="s">
        <v>626</v>
      </c>
      <c r="J234" s="19">
        <v>4.8299999999999998E-4</v>
      </c>
      <c r="K234" s="15">
        <v>2.5999999999999999E-3</v>
      </c>
      <c r="L234" s="6">
        <v>0.17</v>
      </c>
      <c r="M234" s="19">
        <v>3.1199999999999999E-2</v>
      </c>
      <c r="N234" s="6"/>
      <c r="O234" s="7"/>
    </row>
    <row r="235" spans="1:15">
      <c r="A235" s="8" t="s">
        <v>876</v>
      </c>
      <c r="B235" s="9" t="s">
        <v>30</v>
      </c>
      <c r="C235" s="9" t="s">
        <v>421</v>
      </c>
      <c r="D235" s="9" t="s">
        <v>20</v>
      </c>
      <c r="E235" s="268">
        <v>50000000</v>
      </c>
      <c r="F235" s="9">
        <v>50</v>
      </c>
      <c r="G235" s="268">
        <v>49673644</v>
      </c>
      <c r="H235" s="9">
        <v>49</v>
      </c>
      <c r="I235" s="9" t="s">
        <v>740</v>
      </c>
      <c r="J235" s="20">
        <v>4.8200000000000001E-4</v>
      </c>
      <c r="K235" s="16">
        <v>3.0999999999999999E-3</v>
      </c>
      <c r="L235" s="9">
        <v>0.2</v>
      </c>
      <c r="M235" s="20">
        <v>3.2399999999999998E-2</v>
      </c>
      <c r="N235" s="9"/>
      <c r="O235" s="10"/>
    </row>
    <row r="236" spans="1:15">
      <c r="A236" s="5" t="s">
        <v>876</v>
      </c>
      <c r="B236" s="6" t="s">
        <v>30</v>
      </c>
      <c r="C236" s="6" t="s">
        <v>31</v>
      </c>
      <c r="D236" s="6" t="s">
        <v>20</v>
      </c>
      <c r="E236" s="267">
        <v>50000000</v>
      </c>
      <c r="F236" s="6">
        <v>50</v>
      </c>
      <c r="G236" s="267">
        <v>49333991</v>
      </c>
      <c r="H236" s="6">
        <v>49</v>
      </c>
      <c r="I236" s="6" t="s">
        <v>714</v>
      </c>
      <c r="J236" s="19">
        <v>4.7899999999999999E-4</v>
      </c>
      <c r="K236" s="15">
        <v>3.2000000000000002E-3</v>
      </c>
      <c r="L236" s="6">
        <v>0.41</v>
      </c>
      <c r="M236" s="19">
        <v>3.2399999999999998E-2</v>
      </c>
      <c r="N236" s="6"/>
      <c r="O236" s="7"/>
    </row>
    <row r="237" spans="1:15">
      <c r="A237" s="8" t="s">
        <v>876</v>
      </c>
      <c r="B237" s="9" t="s">
        <v>30</v>
      </c>
      <c r="C237" s="9" t="s">
        <v>119</v>
      </c>
      <c r="D237" s="9" t="s">
        <v>171</v>
      </c>
      <c r="E237" s="268">
        <v>11000</v>
      </c>
      <c r="F237" s="9">
        <v>0</v>
      </c>
      <c r="G237" s="268">
        <v>45050985</v>
      </c>
      <c r="H237" s="9">
        <v>45</v>
      </c>
      <c r="I237" s="9" t="s">
        <v>172</v>
      </c>
      <c r="J237" s="20">
        <v>4.37E-4</v>
      </c>
      <c r="K237" s="16">
        <v>5.0999999999999997E-2</v>
      </c>
      <c r="L237" s="9">
        <v>2.89</v>
      </c>
      <c r="M237" s="20">
        <v>4.82E-2</v>
      </c>
      <c r="N237" s="9"/>
      <c r="O237" s="10"/>
    </row>
    <row r="238" spans="1:15">
      <c r="A238" s="5" t="s">
        <v>876</v>
      </c>
      <c r="B238" s="6" t="s">
        <v>30</v>
      </c>
      <c r="C238" s="6" t="s">
        <v>174</v>
      </c>
      <c r="D238" s="6" t="s">
        <v>175</v>
      </c>
      <c r="E238" s="267">
        <v>2260</v>
      </c>
      <c r="F238" s="6">
        <v>0</v>
      </c>
      <c r="G238" s="267">
        <v>34722780</v>
      </c>
      <c r="H238" s="6">
        <v>34</v>
      </c>
      <c r="I238" s="6" t="s">
        <v>176</v>
      </c>
      <c r="J238" s="19">
        <v>3.3700000000000001E-4</v>
      </c>
      <c r="K238" s="15">
        <v>3.6900000000000002E-2</v>
      </c>
      <c r="L238" s="6">
        <v>4.05</v>
      </c>
      <c r="M238" s="19">
        <v>2.58E-2</v>
      </c>
      <c r="N238" s="6"/>
      <c r="O238" s="7"/>
    </row>
    <row r="239" spans="1:15">
      <c r="A239" s="8" t="s">
        <v>876</v>
      </c>
      <c r="B239" s="9" t="s">
        <v>30</v>
      </c>
      <c r="C239" s="9" t="s">
        <v>31</v>
      </c>
      <c r="D239" s="9" t="s">
        <v>177</v>
      </c>
      <c r="E239" s="268">
        <v>2770</v>
      </c>
      <c r="F239" s="9">
        <v>0</v>
      </c>
      <c r="G239" s="268">
        <v>31641903</v>
      </c>
      <c r="H239" s="9">
        <v>31</v>
      </c>
      <c r="I239" s="9" t="s">
        <v>178</v>
      </c>
      <c r="J239" s="20">
        <v>3.0699999999999998E-4</v>
      </c>
      <c r="K239" s="16">
        <v>3.5999999999999997E-2</v>
      </c>
      <c r="L239" s="9">
        <v>2.85</v>
      </c>
      <c r="M239" s="20">
        <v>2.52E-2</v>
      </c>
      <c r="N239" s="9"/>
      <c r="O239" s="10"/>
    </row>
    <row r="240" spans="1:15">
      <c r="A240" s="5" t="s">
        <v>876</v>
      </c>
      <c r="B240" s="6" t="s">
        <v>30</v>
      </c>
      <c r="C240" s="6" t="s">
        <v>107</v>
      </c>
      <c r="D240" s="6" t="s">
        <v>217</v>
      </c>
      <c r="E240" s="267">
        <v>30000000</v>
      </c>
      <c r="F240" s="6">
        <v>30</v>
      </c>
      <c r="G240" s="267">
        <v>30614978</v>
      </c>
      <c r="H240" s="6">
        <v>30</v>
      </c>
      <c r="I240" s="6" t="s">
        <v>218</v>
      </c>
      <c r="J240" s="19">
        <v>2.9700000000000001E-4</v>
      </c>
      <c r="K240" s="15">
        <v>3.6499999999999998E-2</v>
      </c>
      <c r="L240" s="6">
        <v>0.22</v>
      </c>
      <c r="M240" s="19">
        <v>3.0700000000000002E-2</v>
      </c>
      <c r="N240" s="6"/>
      <c r="O240" s="7"/>
    </row>
    <row r="241" spans="1:15">
      <c r="A241" s="8" t="s">
        <v>876</v>
      </c>
      <c r="B241" s="9" t="s">
        <v>30</v>
      </c>
      <c r="C241" s="9" t="s">
        <v>31</v>
      </c>
      <c r="D241" s="9" t="s">
        <v>179</v>
      </c>
      <c r="E241" s="268">
        <v>960</v>
      </c>
      <c r="F241" s="9">
        <v>0</v>
      </c>
      <c r="G241" s="268">
        <v>22383579</v>
      </c>
      <c r="H241" s="9">
        <v>22</v>
      </c>
      <c r="I241" s="9" t="s">
        <v>180</v>
      </c>
      <c r="J241" s="20">
        <v>2.1699999999999999E-4</v>
      </c>
      <c r="K241" s="16">
        <v>4.6699999999999998E-2</v>
      </c>
      <c r="L241" s="9">
        <v>8.4</v>
      </c>
      <c r="M241" s="20">
        <v>3.4700000000000002E-2</v>
      </c>
      <c r="N241" s="9"/>
      <c r="O241" s="10"/>
    </row>
    <row r="242" spans="1:15">
      <c r="A242" s="5" t="s">
        <v>876</v>
      </c>
      <c r="B242" s="6" t="s">
        <v>30</v>
      </c>
      <c r="C242" s="6" t="s">
        <v>210</v>
      </c>
      <c r="D242" s="6" t="s">
        <v>211</v>
      </c>
      <c r="E242" s="267">
        <v>2000</v>
      </c>
      <c r="F242" s="6">
        <v>0</v>
      </c>
      <c r="G242" s="267">
        <v>21106670</v>
      </c>
      <c r="H242" s="6">
        <v>21</v>
      </c>
      <c r="I242" s="6" t="s">
        <v>212</v>
      </c>
      <c r="J242" s="19">
        <v>2.04E-4</v>
      </c>
      <c r="K242" s="15">
        <v>1.7399999999999999E-2</v>
      </c>
      <c r="L242" s="6">
        <v>0.93</v>
      </c>
      <c r="M242" s="19">
        <v>1.4500000000000001E-2</v>
      </c>
      <c r="N242" s="6"/>
      <c r="O242" s="7"/>
    </row>
    <row r="243" spans="1:15">
      <c r="A243" s="8" t="s">
        <v>876</v>
      </c>
      <c r="B243" s="9" t="s">
        <v>30</v>
      </c>
      <c r="C243" s="9" t="s">
        <v>174</v>
      </c>
      <c r="D243" s="9" t="s">
        <v>181</v>
      </c>
      <c r="E243" s="268">
        <v>1160</v>
      </c>
      <c r="F243" s="9">
        <v>0</v>
      </c>
      <c r="G243" s="268">
        <v>20203409</v>
      </c>
      <c r="H243" s="9">
        <v>20</v>
      </c>
      <c r="I243" s="9" t="s">
        <v>182</v>
      </c>
      <c r="J243" s="20">
        <v>1.9599999999999999E-4</v>
      </c>
      <c r="K243" s="16">
        <v>4.2000000000000003E-2</v>
      </c>
      <c r="L243" s="9">
        <v>5.14</v>
      </c>
      <c r="M243" s="20">
        <v>2.7099999999999999E-2</v>
      </c>
      <c r="N243" s="9"/>
      <c r="O243" s="10"/>
    </row>
    <row r="244" spans="1:15">
      <c r="A244" s="5" t="s">
        <v>876</v>
      </c>
      <c r="B244" s="6" t="s">
        <v>30</v>
      </c>
      <c r="C244" s="6" t="s">
        <v>189</v>
      </c>
      <c r="D244" s="6" t="s">
        <v>190</v>
      </c>
      <c r="E244" s="267">
        <v>500</v>
      </c>
      <c r="F244" s="6">
        <v>0</v>
      </c>
      <c r="G244" s="267">
        <v>15854821</v>
      </c>
      <c r="H244" s="6">
        <v>15</v>
      </c>
      <c r="I244" s="6" t="s">
        <v>191</v>
      </c>
      <c r="J244" s="19">
        <v>1.5300000000000001E-4</v>
      </c>
      <c r="K244" s="15">
        <v>3.0499999999999999E-2</v>
      </c>
      <c r="L244" s="6">
        <v>9.3000000000000007</v>
      </c>
      <c r="M244" s="19">
        <v>2.3800000000000002E-2</v>
      </c>
      <c r="N244" s="6"/>
      <c r="O244" s="7"/>
    </row>
    <row r="245" spans="1:15">
      <c r="A245" s="8" t="s">
        <v>876</v>
      </c>
      <c r="B245" s="9" t="s">
        <v>30</v>
      </c>
      <c r="C245" s="9" t="s">
        <v>105</v>
      </c>
      <c r="D245" s="9" t="s">
        <v>232</v>
      </c>
      <c r="E245" s="268">
        <v>500</v>
      </c>
      <c r="F245" s="9">
        <v>0</v>
      </c>
      <c r="G245" s="268">
        <v>13961127</v>
      </c>
      <c r="H245" s="9">
        <v>13</v>
      </c>
      <c r="I245" s="9" t="s">
        <v>53</v>
      </c>
      <c r="J245" s="20">
        <v>1.35E-4</v>
      </c>
      <c r="K245" s="16">
        <v>1.84E-2</v>
      </c>
      <c r="L245" s="9">
        <v>0.06</v>
      </c>
      <c r="M245" s="20">
        <v>3.2000000000000001E-2</v>
      </c>
      <c r="N245" s="9"/>
      <c r="O245" s="10"/>
    </row>
    <row r="246" spans="1:15">
      <c r="A246" s="5" t="s">
        <v>876</v>
      </c>
      <c r="B246" s="6" t="s">
        <v>30</v>
      </c>
      <c r="C246" s="6" t="s">
        <v>75</v>
      </c>
      <c r="D246" s="6" t="s">
        <v>233</v>
      </c>
      <c r="E246" s="267">
        <v>500</v>
      </c>
      <c r="F246" s="6">
        <v>0</v>
      </c>
      <c r="G246" s="267">
        <v>13948653</v>
      </c>
      <c r="H246" s="6">
        <v>13</v>
      </c>
      <c r="I246" s="6" t="s">
        <v>234</v>
      </c>
      <c r="J246" s="19">
        <v>1.35E-4</v>
      </c>
      <c r="K246" s="15">
        <v>2.0500000000000001E-2</v>
      </c>
      <c r="L246" s="6">
        <v>1.38</v>
      </c>
      <c r="M246" s="19">
        <v>1.4800000000000001E-2</v>
      </c>
      <c r="N246" s="6"/>
      <c r="O246" s="7"/>
    </row>
    <row r="247" spans="1:15">
      <c r="A247" s="8" t="s">
        <v>876</v>
      </c>
      <c r="B247" s="9" t="s">
        <v>30</v>
      </c>
      <c r="C247" s="9" t="s">
        <v>75</v>
      </c>
      <c r="D247" s="9" t="s">
        <v>235</v>
      </c>
      <c r="E247" s="268">
        <v>500</v>
      </c>
      <c r="F247" s="9">
        <v>0</v>
      </c>
      <c r="G247" s="268">
        <v>13946064</v>
      </c>
      <c r="H247" s="9">
        <v>13</v>
      </c>
      <c r="I247" s="9" t="s">
        <v>236</v>
      </c>
      <c r="J247" s="20">
        <v>1.35E-4</v>
      </c>
      <c r="K247" s="16">
        <v>2.1000000000000001E-2</v>
      </c>
      <c r="L247" s="9">
        <v>3.21</v>
      </c>
      <c r="M247" s="20">
        <v>1.6400000000000001E-2</v>
      </c>
      <c r="N247" s="9"/>
      <c r="O247" s="10"/>
    </row>
    <row r="248" spans="1:15">
      <c r="A248" s="5" t="s">
        <v>876</v>
      </c>
      <c r="B248" s="6" t="s">
        <v>30</v>
      </c>
      <c r="C248" s="6" t="s">
        <v>174</v>
      </c>
      <c r="D248" s="6" t="s">
        <v>183</v>
      </c>
      <c r="E248" s="267">
        <v>1000</v>
      </c>
      <c r="F248" s="6">
        <v>0</v>
      </c>
      <c r="G248" s="267">
        <v>13648580</v>
      </c>
      <c r="H248" s="6">
        <v>13</v>
      </c>
      <c r="I248" s="6" t="s">
        <v>184</v>
      </c>
      <c r="J248" s="19">
        <v>1.3200000000000001E-4</v>
      </c>
      <c r="K248" s="15">
        <v>4.2000000000000003E-2</v>
      </c>
      <c r="L248" s="6">
        <v>3.31</v>
      </c>
      <c r="M248" s="19">
        <v>2.6200000000000001E-2</v>
      </c>
      <c r="N248" s="6"/>
      <c r="O248" s="7"/>
    </row>
    <row r="249" spans="1:15">
      <c r="A249" s="8" t="s">
        <v>876</v>
      </c>
      <c r="B249" s="9" t="s">
        <v>30</v>
      </c>
      <c r="C249" s="9" t="s">
        <v>185</v>
      </c>
      <c r="D249" s="9" t="s">
        <v>186</v>
      </c>
      <c r="E249" s="268">
        <v>930</v>
      </c>
      <c r="F249" s="9">
        <v>0</v>
      </c>
      <c r="G249" s="268">
        <v>12374069</v>
      </c>
      <c r="H249" s="9">
        <v>12</v>
      </c>
      <c r="I249" s="9" t="s">
        <v>184</v>
      </c>
      <c r="J249" s="20">
        <v>1.2E-4</v>
      </c>
      <c r="K249" s="16">
        <v>4.48E-2</v>
      </c>
      <c r="L249" s="9">
        <v>3.32</v>
      </c>
      <c r="M249" s="20">
        <v>2.8000000000000001E-2</v>
      </c>
      <c r="N249" s="9"/>
      <c r="O249" s="10"/>
    </row>
    <row r="250" spans="1:15">
      <c r="A250" s="5" t="s">
        <v>876</v>
      </c>
      <c r="B250" s="6" t="s">
        <v>30</v>
      </c>
      <c r="C250" s="6" t="s">
        <v>27</v>
      </c>
      <c r="D250" s="6" t="s">
        <v>187</v>
      </c>
      <c r="E250" s="267">
        <v>1650</v>
      </c>
      <c r="F250" s="6">
        <v>0</v>
      </c>
      <c r="G250" s="267">
        <v>11024472</v>
      </c>
      <c r="H250" s="6">
        <v>11</v>
      </c>
      <c r="I250" s="6" t="s">
        <v>188</v>
      </c>
      <c r="J250" s="19">
        <v>1.07E-4</v>
      </c>
      <c r="K250" s="15">
        <v>4.9500000000000002E-2</v>
      </c>
      <c r="L250" s="6">
        <v>1.37</v>
      </c>
      <c r="M250" s="19">
        <v>3.32E-2</v>
      </c>
      <c r="N250" s="6"/>
      <c r="O250" s="7"/>
    </row>
    <row r="251" spans="1:15">
      <c r="A251" s="8" t="s">
        <v>876</v>
      </c>
      <c r="B251" s="9" t="s">
        <v>30</v>
      </c>
      <c r="C251" s="9" t="s">
        <v>225</v>
      </c>
      <c r="D251" s="9" t="s">
        <v>226</v>
      </c>
      <c r="E251" s="268">
        <v>1000</v>
      </c>
      <c r="F251" s="9">
        <v>0</v>
      </c>
      <c r="G251" s="268">
        <v>10558473</v>
      </c>
      <c r="H251" s="9">
        <v>10</v>
      </c>
      <c r="I251" s="9" t="s">
        <v>227</v>
      </c>
      <c r="J251" s="20">
        <v>1.02E-4</v>
      </c>
      <c r="K251" s="16">
        <v>1.8499999999999999E-2</v>
      </c>
      <c r="L251" s="9">
        <v>0.92</v>
      </c>
      <c r="M251" s="20">
        <v>1.4E-2</v>
      </c>
      <c r="N251" s="9"/>
      <c r="O251" s="10"/>
    </row>
    <row r="252" spans="1:15">
      <c r="A252" s="5" t="s">
        <v>876</v>
      </c>
      <c r="B252" s="6" t="s">
        <v>30</v>
      </c>
      <c r="C252" s="6" t="s">
        <v>31</v>
      </c>
      <c r="D252" s="6" t="s">
        <v>193</v>
      </c>
      <c r="E252" s="267">
        <v>460</v>
      </c>
      <c r="F252" s="6">
        <v>0</v>
      </c>
      <c r="G252" s="267">
        <v>10412992</v>
      </c>
      <c r="H252" s="6">
        <v>10</v>
      </c>
      <c r="I252" s="6" t="s">
        <v>194</v>
      </c>
      <c r="J252" s="19">
        <v>1.01E-4</v>
      </c>
      <c r="K252" s="15">
        <v>4.6699999999999998E-2</v>
      </c>
      <c r="L252" s="6">
        <v>8.0399999999999991</v>
      </c>
      <c r="M252" s="19">
        <v>3.3500000000000002E-2</v>
      </c>
      <c r="N252" s="6"/>
      <c r="O252" s="7"/>
    </row>
    <row r="253" spans="1:15">
      <c r="A253" s="8" t="s">
        <v>876</v>
      </c>
      <c r="B253" s="9" t="s">
        <v>30</v>
      </c>
      <c r="C253" s="9" t="s">
        <v>27</v>
      </c>
      <c r="D253" s="9" t="s">
        <v>192</v>
      </c>
      <c r="E253" s="268">
        <v>1390</v>
      </c>
      <c r="F253" s="9">
        <v>0</v>
      </c>
      <c r="G253" s="268">
        <v>7114352</v>
      </c>
      <c r="H253" s="9">
        <v>7</v>
      </c>
      <c r="I253" s="9" t="s">
        <v>108</v>
      </c>
      <c r="J253" s="20">
        <v>6.8999999999999997E-5</v>
      </c>
      <c r="K253" s="16">
        <v>4.5199999999999997E-2</v>
      </c>
      <c r="L253" s="9">
        <v>0.94</v>
      </c>
      <c r="M253" s="20">
        <v>2.9100000000000001E-2</v>
      </c>
      <c r="N253" s="9"/>
      <c r="O253" s="10"/>
    </row>
    <row r="254" spans="1:15">
      <c r="A254" s="5" t="s">
        <v>876</v>
      </c>
      <c r="B254" s="6" t="s">
        <v>30</v>
      </c>
      <c r="C254" s="6" t="s">
        <v>173</v>
      </c>
      <c r="D254" s="6" t="s">
        <v>237</v>
      </c>
      <c r="E254" s="267">
        <v>1500</v>
      </c>
      <c r="F254" s="6">
        <v>0</v>
      </c>
      <c r="G254" s="267">
        <v>7016111</v>
      </c>
      <c r="H254" s="6">
        <v>7</v>
      </c>
      <c r="I254" s="6" t="s">
        <v>238</v>
      </c>
      <c r="J254" s="19">
        <v>6.7999999999999999E-5</v>
      </c>
      <c r="K254" s="15">
        <v>1.52E-2</v>
      </c>
      <c r="L254" s="6">
        <v>0.27</v>
      </c>
      <c r="M254" s="19">
        <v>1.4999999999999999E-2</v>
      </c>
      <c r="N254" s="6"/>
      <c r="O254" s="7"/>
    </row>
    <row r="255" spans="1:15">
      <c r="A255" s="8" t="s">
        <v>876</v>
      </c>
      <c r="B255" s="9" t="s">
        <v>30</v>
      </c>
      <c r="C255" s="9" t="s">
        <v>86</v>
      </c>
      <c r="D255" s="9" t="s">
        <v>223</v>
      </c>
      <c r="E255" s="268">
        <v>1000</v>
      </c>
      <c r="F255" s="9">
        <v>0</v>
      </c>
      <c r="G255" s="268">
        <v>5595160</v>
      </c>
      <c r="H255" s="9">
        <v>5</v>
      </c>
      <c r="I255" s="9" t="s">
        <v>218</v>
      </c>
      <c r="J255" s="20">
        <v>5.3999999999999998E-5</v>
      </c>
      <c r="K255" s="16">
        <v>2.93E-2</v>
      </c>
      <c r="L255" s="9">
        <v>0.22</v>
      </c>
      <c r="M255" s="20">
        <v>1.61E-2</v>
      </c>
      <c r="N255" s="9"/>
      <c r="O255" s="10"/>
    </row>
    <row r="256" spans="1:15">
      <c r="A256" s="5" t="s">
        <v>876</v>
      </c>
      <c r="B256" s="6" t="s">
        <v>30</v>
      </c>
      <c r="C256" s="6" t="s">
        <v>27</v>
      </c>
      <c r="D256" s="6" t="s">
        <v>195</v>
      </c>
      <c r="E256" s="267">
        <v>1030</v>
      </c>
      <c r="F256" s="6">
        <v>0</v>
      </c>
      <c r="G256" s="267">
        <v>3360881</v>
      </c>
      <c r="H256" s="6">
        <v>3</v>
      </c>
      <c r="I256" s="6" t="s">
        <v>196</v>
      </c>
      <c r="J256" s="19">
        <v>3.1999999999999999E-5</v>
      </c>
      <c r="K256" s="15">
        <v>4.5199999999999997E-2</v>
      </c>
      <c r="L256" s="6">
        <v>0.74</v>
      </c>
      <c r="M256" s="19">
        <v>2.8899999999999999E-2</v>
      </c>
      <c r="N256" s="6"/>
      <c r="O256" s="7"/>
    </row>
    <row r="257" spans="1:15">
      <c r="A257" s="8" t="s">
        <v>876</v>
      </c>
      <c r="B257" s="9" t="s">
        <v>30</v>
      </c>
      <c r="C257" s="9" t="s">
        <v>26</v>
      </c>
      <c r="D257" s="9" t="s">
        <v>198</v>
      </c>
      <c r="E257" s="268">
        <v>270</v>
      </c>
      <c r="F257" s="9">
        <v>0</v>
      </c>
      <c r="G257" s="268">
        <v>3000864</v>
      </c>
      <c r="H257" s="9">
        <v>3</v>
      </c>
      <c r="I257" s="9" t="s">
        <v>178</v>
      </c>
      <c r="J257" s="20">
        <v>2.9E-5</v>
      </c>
      <c r="K257" s="16">
        <v>4.0800000000000003E-2</v>
      </c>
      <c r="L257" s="9">
        <v>2.85</v>
      </c>
      <c r="M257" s="20">
        <v>2.6599999999999999E-2</v>
      </c>
      <c r="N257" s="9"/>
      <c r="O257" s="10"/>
    </row>
    <row r="258" spans="1:15">
      <c r="A258" s="5" t="s">
        <v>876</v>
      </c>
      <c r="B258" s="6" t="s">
        <v>30</v>
      </c>
      <c r="C258" s="6" t="s">
        <v>21</v>
      </c>
      <c r="D258" s="6" t="s">
        <v>197</v>
      </c>
      <c r="E258" s="267">
        <v>380</v>
      </c>
      <c r="F258" s="6">
        <v>0</v>
      </c>
      <c r="G258" s="267">
        <v>1732246</v>
      </c>
      <c r="H258" s="6">
        <v>1</v>
      </c>
      <c r="I258" s="6" t="s">
        <v>108</v>
      </c>
      <c r="J258" s="19">
        <v>1.5999999999999999E-5</v>
      </c>
      <c r="K258" s="15">
        <v>0.06</v>
      </c>
      <c r="L258" s="6">
        <v>0.92</v>
      </c>
      <c r="M258" s="19">
        <v>3.4200000000000001E-2</v>
      </c>
      <c r="N258" s="6"/>
      <c r="O258" s="7"/>
    </row>
    <row r="259" spans="1:15">
      <c r="A259" s="8" t="s">
        <v>876</v>
      </c>
      <c r="B259" s="9" t="s">
        <v>30</v>
      </c>
      <c r="C259" s="9" t="s">
        <v>199</v>
      </c>
      <c r="D259" s="9" t="s">
        <v>200</v>
      </c>
      <c r="E259" s="268">
        <v>140</v>
      </c>
      <c r="F259" s="9">
        <v>0</v>
      </c>
      <c r="G259" s="268">
        <v>1146140</v>
      </c>
      <c r="H259" s="9">
        <v>1</v>
      </c>
      <c r="I259" s="9" t="s">
        <v>201</v>
      </c>
      <c r="J259" s="20">
        <v>1.1E-5</v>
      </c>
      <c r="K259" s="16">
        <v>4.65E-2</v>
      </c>
      <c r="L259" s="9">
        <v>1.89</v>
      </c>
      <c r="M259" s="20">
        <v>3.0599999999999999E-2</v>
      </c>
      <c r="N259" s="9"/>
      <c r="O259" s="10"/>
    </row>
    <row r="260" spans="1:15">
      <c r="A260" s="5" t="s">
        <v>876</v>
      </c>
      <c r="B260" s="6" t="s">
        <v>30</v>
      </c>
      <c r="C260" s="6" t="s">
        <v>21</v>
      </c>
      <c r="D260" s="6" t="s">
        <v>202</v>
      </c>
      <c r="E260" s="267">
        <v>80</v>
      </c>
      <c r="F260" s="6">
        <v>0</v>
      </c>
      <c r="G260" s="267">
        <v>394478</v>
      </c>
      <c r="H260" s="6">
        <v>0</v>
      </c>
      <c r="I260" s="6" t="s">
        <v>108</v>
      </c>
      <c r="J260" s="19">
        <v>3.0000000000000001E-6</v>
      </c>
      <c r="K260" s="15">
        <v>0.06</v>
      </c>
      <c r="L260" s="6">
        <v>0.92</v>
      </c>
      <c r="M260" s="19">
        <v>3.44E-2</v>
      </c>
      <c r="N260" s="6"/>
      <c r="O260" s="7"/>
    </row>
    <row r="261" spans="1:15">
      <c r="A261" s="8" t="s">
        <v>876</v>
      </c>
      <c r="B261" s="9" t="s">
        <v>30</v>
      </c>
      <c r="C261" s="9" t="s">
        <v>174</v>
      </c>
      <c r="D261" s="9" t="s">
        <v>203</v>
      </c>
      <c r="E261" s="268">
        <v>20</v>
      </c>
      <c r="F261" s="9">
        <v>0</v>
      </c>
      <c r="G261" s="268">
        <v>305722</v>
      </c>
      <c r="H261" s="9">
        <v>0</v>
      </c>
      <c r="I261" s="9" t="s">
        <v>204</v>
      </c>
      <c r="J261" s="20">
        <v>1.9999999999999999E-6</v>
      </c>
      <c r="K261" s="16">
        <v>4.8000000000000001E-2</v>
      </c>
      <c r="L261" s="9">
        <v>3.76</v>
      </c>
      <c r="M261" s="20">
        <v>2.8500000000000001E-2</v>
      </c>
      <c r="N261" s="9"/>
      <c r="O261" s="10"/>
    </row>
    <row r="262" spans="1:15">
      <c r="A262" s="5"/>
      <c r="B262" s="6"/>
      <c r="C262" s="6"/>
      <c r="D262" s="6"/>
      <c r="E262" s="267"/>
      <c r="F262" s="6"/>
      <c r="G262" s="267"/>
      <c r="H262" s="6"/>
      <c r="I262" s="6"/>
      <c r="J262" s="19"/>
      <c r="K262" s="15"/>
      <c r="L262" s="6"/>
      <c r="M262" s="19"/>
      <c r="N262" s="6"/>
      <c r="O262" s="7"/>
    </row>
    <row r="263" spans="1:15">
      <c r="A263" s="8"/>
      <c r="B263" s="9"/>
      <c r="C263" s="9"/>
      <c r="D263" s="9"/>
      <c r="E263" s="268"/>
      <c r="F263" s="9"/>
      <c r="G263" s="268"/>
      <c r="H263" s="9"/>
      <c r="I263" s="9"/>
      <c r="J263" s="20"/>
      <c r="K263" s="16"/>
      <c r="L263" s="9"/>
      <c r="M263" s="20"/>
      <c r="N263" s="9"/>
      <c r="O263" s="10"/>
    </row>
    <row r="264" spans="1:15">
      <c r="A264" s="5"/>
      <c r="B264" s="6"/>
      <c r="C264" s="6"/>
      <c r="D264" s="6"/>
      <c r="E264" s="267"/>
      <c r="F264" s="6"/>
      <c r="G264" s="267"/>
      <c r="H264" s="6"/>
      <c r="I264" s="6"/>
      <c r="J264" s="19"/>
      <c r="K264" s="15"/>
      <c r="L264" s="6"/>
      <c r="M264" s="19"/>
      <c r="N264" s="6"/>
      <c r="O264" s="7"/>
    </row>
    <row r="265" spans="1:15">
      <c r="A265" s="8"/>
      <c r="B265" s="9"/>
      <c r="C265" s="9"/>
      <c r="D265" s="9"/>
      <c r="E265" s="268"/>
      <c r="F265" s="9"/>
      <c r="G265" s="268"/>
      <c r="H265" s="9"/>
      <c r="I265" s="9"/>
      <c r="J265" s="20"/>
      <c r="K265" s="16"/>
      <c r="L265" s="9"/>
      <c r="M265" s="20"/>
      <c r="N265" s="9"/>
      <c r="O265" s="10"/>
    </row>
    <row r="266" spans="1:15">
      <c r="A266" s="5"/>
      <c r="B266" s="6"/>
      <c r="C266" s="6"/>
      <c r="D266" s="6"/>
      <c r="E266" s="267"/>
      <c r="F266" s="6"/>
      <c r="G266" s="267"/>
      <c r="H266" s="6"/>
      <c r="I266" s="6"/>
      <c r="J266" s="19"/>
      <c r="K266" s="15"/>
      <c r="L266" s="6"/>
      <c r="M266" s="19"/>
      <c r="N266" s="6"/>
      <c r="O266" s="7"/>
    </row>
    <row r="267" spans="1:15">
      <c r="A267" s="8"/>
      <c r="B267" s="9"/>
      <c r="C267" s="9"/>
      <c r="D267" s="9"/>
      <c r="E267" s="268"/>
      <c r="F267" s="9"/>
      <c r="G267" s="268"/>
      <c r="H267" s="9"/>
      <c r="I267" s="9"/>
      <c r="J267" s="20"/>
      <c r="K267" s="16"/>
      <c r="L267" s="9"/>
      <c r="M267" s="20"/>
      <c r="N267" s="9"/>
      <c r="O267" s="10"/>
    </row>
    <row r="268" spans="1:15">
      <c r="A268" s="5"/>
      <c r="B268" s="6"/>
      <c r="C268" s="6"/>
      <c r="D268" s="6"/>
      <c r="E268" s="267"/>
      <c r="F268" s="6"/>
      <c r="G268" s="267"/>
      <c r="H268" s="6"/>
      <c r="I268" s="6"/>
      <c r="J268" s="19"/>
      <c r="K268" s="15"/>
      <c r="L268" s="6"/>
      <c r="M268" s="19"/>
      <c r="N268" s="6"/>
      <c r="O268" s="7"/>
    </row>
    <row r="269" spans="1:15">
      <c r="A269" s="8"/>
      <c r="B269" s="9"/>
      <c r="C269" s="9"/>
      <c r="D269" s="9"/>
      <c r="E269" s="268"/>
      <c r="F269" s="9"/>
      <c r="G269" s="268"/>
      <c r="H269" s="9"/>
      <c r="I269" s="9"/>
      <c r="J269" s="20"/>
      <c r="K269" s="16"/>
      <c r="L269" s="9"/>
      <c r="M269" s="20"/>
      <c r="N269" s="9"/>
      <c r="O269" s="10"/>
    </row>
    <row r="270" spans="1:15">
      <c r="A270" s="5"/>
      <c r="B270" s="6"/>
      <c r="C270" s="6"/>
      <c r="D270" s="6"/>
      <c r="E270" s="267"/>
      <c r="F270" s="6"/>
      <c r="G270" s="267"/>
      <c r="H270" s="6"/>
      <c r="I270" s="6"/>
      <c r="J270" s="19"/>
      <c r="K270" s="15"/>
      <c r="L270" s="6"/>
      <c r="M270" s="19"/>
      <c r="N270" s="6"/>
      <c r="O270" s="7"/>
    </row>
    <row r="271" spans="1:15">
      <c r="A271" s="8"/>
      <c r="B271" s="9"/>
      <c r="C271" s="9"/>
      <c r="D271" s="9"/>
      <c r="E271" s="268"/>
      <c r="F271" s="9"/>
      <c r="G271" s="268"/>
      <c r="H271" s="9"/>
      <c r="I271" s="9"/>
      <c r="J271" s="20"/>
      <c r="K271" s="16"/>
      <c r="L271" s="9"/>
      <c r="M271" s="20"/>
      <c r="N271" s="9"/>
      <c r="O271" s="10"/>
    </row>
    <row r="272" spans="1:15">
      <c r="A272" s="5"/>
      <c r="B272" s="6"/>
      <c r="C272" s="6"/>
      <c r="D272" s="6"/>
      <c r="E272" s="267"/>
      <c r="F272" s="6"/>
      <c r="G272" s="267"/>
      <c r="H272" s="6"/>
      <c r="I272" s="6"/>
      <c r="J272" s="19"/>
      <c r="K272" s="15"/>
      <c r="L272" s="6"/>
      <c r="M272" s="19"/>
      <c r="N272" s="6"/>
      <c r="O272" s="7"/>
    </row>
    <row r="273" spans="1:15">
      <c r="A273" s="8"/>
      <c r="B273" s="9"/>
      <c r="C273" s="9"/>
      <c r="D273" s="9"/>
      <c r="E273" s="268"/>
      <c r="F273" s="9"/>
      <c r="G273" s="268"/>
      <c r="H273" s="9"/>
      <c r="I273" s="9"/>
      <c r="J273" s="20"/>
      <c r="K273" s="16"/>
      <c r="L273" s="9"/>
      <c r="M273" s="20"/>
      <c r="N273" s="9"/>
      <c r="O273" s="10"/>
    </row>
    <row r="274" spans="1:15">
      <c r="A274" s="5"/>
      <c r="B274" s="6"/>
      <c r="C274" s="6"/>
      <c r="D274" s="6"/>
      <c r="E274" s="267"/>
      <c r="F274" s="6"/>
      <c r="G274" s="267"/>
      <c r="H274" s="6"/>
      <c r="I274" s="6"/>
      <c r="J274" s="19"/>
      <c r="K274" s="15"/>
      <c r="L274" s="6"/>
      <c r="M274" s="19"/>
      <c r="N274" s="6"/>
      <c r="O274" s="7"/>
    </row>
    <row r="275" spans="1:15">
      <c r="A275" s="8"/>
      <c r="B275" s="9"/>
      <c r="C275" s="9"/>
      <c r="D275" s="9"/>
      <c r="E275" s="268"/>
      <c r="F275" s="9"/>
      <c r="G275" s="268"/>
      <c r="H275" s="9"/>
      <c r="I275" s="9"/>
      <c r="J275" s="20"/>
      <c r="K275" s="16"/>
      <c r="L275" s="9"/>
      <c r="M275" s="20"/>
      <c r="N275" s="9"/>
      <c r="O275" s="10"/>
    </row>
    <row r="276" spans="1:15">
      <c r="A276" s="5"/>
      <c r="B276" s="6"/>
      <c r="C276" s="6"/>
      <c r="D276" s="6"/>
      <c r="E276" s="267"/>
      <c r="F276" s="6"/>
      <c r="G276" s="267"/>
      <c r="H276" s="6"/>
      <c r="I276" s="6"/>
      <c r="J276" s="19"/>
      <c r="K276" s="15"/>
      <c r="L276" s="6"/>
      <c r="M276" s="19"/>
      <c r="N276" s="6"/>
      <c r="O276" s="7"/>
    </row>
    <row r="277" spans="1:15">
      <c r="A277" s="8"/>
      <c r="B277" s="9"/>
      <c r="C277" s="9"/>
      <c r="D277" s="9"/>
      <c r="E277" s="268"/>
      <c r="F277" s="9"/>
      <c r="G277" s="268"/>
      <c r="H277" s="9"/>
      <c r="I277" s="9"/>
      <c r="J277" s="20"/>
      <c r="K277" s="16"/>
      <c r="L277" s="9"/>
      <c r="M277" s="20"/>
      <c r="N277" s="9"/>
      <c r="O277" s="10"/>
    </row>
    <row r="278" spans="1:15">
      <c r="A278" s="5"/>
      <c r="B278" s="6"/>
      <c r="C278" s="6"/>
      <c r="D278" s="6"/>
      <c r="E278" s="267"/>
      <c r="F278" s="6"/>
      <c r="G278" s="267"/>
      <c r="H278" s="6"/>
      <c r="I278" s="6"/>
      <c r="J278" s="19"/>
      <c r="K278" s="15"/>
      <c r="L278" s="6"/>
      <c r="M278" s="19"/>
      <c r="N278" s="6"/>
      <c r="O278" s="7"/>
    </row>
    <row r="279" spans="1:15">
      <c r="A279" s="8"/>
      <c r="B279" s="9"/>
      <c r="C279" s="9"/>
      <c r="D279" s="9"/>
      <c r="E279" s="268"/>
      <c r="F279" s="9"/>
      <c r="G279" s="268"/>
      <c r="H279" s="9"/>
      <c r="I279" s="9"/>
      <c r="J279" s="20"/>
      <c r="K279" s="16"/>
      <c r="L279" s="9"/>
      <c r="M279" s="20"/>
      <c r="N279" s="9"/>
      <c r="O279" s="10"/>
    </row>
    <row r="280" spans="1:15">
      <c r="A280" s="5"/>
      <c r="B280" s="6"/>
      <c r="C280" s="6"/>
      <c r="D280" s="6"/>
      <c r="E280" s="267"/>
      <c r="F280" s="6"/>
      <c r="G280" s="267"/>
      <c r="H280" s="6"/>
      <c r="I280" s="6"/>
      <c r="J280" s="19"/>
      <c r="K280" s="15"/>
      <c r="L280" s="6"/>
      <c r="M280" s="19"/>
      <c r="N280" s="6"/>
      <c r="O280" s="7"/>
    </row>
    <row r="281" spans="1:15">
      <c r="A281" s="8"/>
      <c r="B281" s="9"/>
      <c r="C281" s="9"/>
      <c r="D281" s="9"/>
      <c r="E281" s="268"/>
      <c r="F281" s="9"/>
      <c r="G281" s="268"/>
      <c r="H281" s="9"/>
      <c r="I281" s="9"/>
      <c r="J281" s="20"/>
      <c r="K281" s="16"/>
      <c r="L281" s="9"/>
      <c r="M281" s="20"/>
      <c r="N281" s="9"/>
      <c r="O281" s="10"/>
    </row>
    <row r="282" spans="1:15">
      <c r="A282" s="5"/>
      <c r="B282" s="6"/>
      <c r="C282" s="6"/>
      <c r="D282" s="6"/>
      <c r="E282" s="267"/>
      <c r="F282" s="6"/>
      <c r="G282" s="267"/>
      <c r="H282" s="6"/>
      <c r="I282" s="6"/>
      <c r="J282" s="19"/>
      <c r="K282" s="15"/>
      <c r="L282" s="6"/>
      <c r="M282" s="19"/>
      <c r="N282" s="6"/>
      <c r="O282" s="7"/>
    </row>
    <row r="283" spans="1:15">
      <c r="A283" s="8"/>
      <c r="B283" s="9"/>
      <c r="C283" s="9"/>
      <c r="D283" s="9"/>
      <c r="E283" s="268"/>
      <c r="F283" s="9"/>
      <c r="G283" s="268"/>
      <c r="H283" s="9"/>
      <c r="I283" s="9"/>
      <c r="J283" s="20"/>
      <c r="K283" s="16"/>
      <c r="L283" s="9"/>
      <c r="M283" s="20"/>
      <c r="N283" s="9"/>
      <c r="O283" s="10"/>
    </row>
    <row r="284" spans="1:15">
      <c r="A284" s="5"/>
      <c r="B284" s="6"/>
      <c r="C284" s="6"/>
      <c r="D284" s="6"/>
      <c r="E284" s="267"/>
      <c r="F284" s="6"/>
      <c r="G284" s="267"/>
      <c r="H284" s="6"/>
      <c r="I284" s="6"/>
      <c r="J284" s="19"/>
      <c r="K284" s="15"/>
      <c r="L284" s="6"/>
      <c r="M284" s="19"/>
      <c r="N284" s="6"/>
      <c r="O284" s="7"/>
    </row>
    <row r="285" spans="1:15">
      <c r="A285" s="8"/>
      <c r="B285" s="9"/>
      <c r="C285" s="9"/>
      <c r="D285" s="9"/>
      <c r="E285" s="268"/>
      <c r="F285" s="9"/>
      <c r="G285" s="268"/>
      <c r="H285" s="9"/>
      <c r="I285" s="9"/>
      <c r="J285" s="20"/>
      <c r="K285" s="16"/>
      <c r="L285" s="9"/>
      <c r="M285" s="20"/>
      <c r="N285" s="9"/>
      <c r="O285" s="10"/>
    </row>
    <row r="286" spans="1:15">
      <c r="A286" s="5"/>
      <c r="B286" s="6"/>
      <c r="C286" s="6"/>
      <c r="D286" s="6"/>
      <c r="E286" s="267"/>
      <c r="F286" s="6"/>
      <c r="G286" s="267"/>
      <c r="H286" s="6"/>
      <c r="I286" s="6"/>
      <c r="J286" s="19"/>
      <c r="K286" s="15"/>
      <c r="L286" s="6"/>
      <c r="M286" s="19"/>
      <c r="N286" s="6"/>
      <c r="O286" s="7"/>
    </row>
    <row r="287" spans="1:15">
      <c r="A287" s="8"/>
      <c r="B287" s="9"/>
      <c r="C287" s="9"/>
      <c r="D287" s="9"/>
      <c r="E287" s="268"/>
      <c r="F287" s="9"/>
      <c r="G287" s="268"/>
      <c r="H287" s="9"/>
      <c r="I287" s="9"/>
      <c r="J287" s="20"/>
      <c r="K287" s="16"/>
      <c r="L287" s="9"/>
      <c r="M287" s="20"/>
      <c r="N287" s="9"/>
      <c r="O287" s="10"/>
    </row>
    <row r="288" spans="1:15">
      <c r="A288" s="5"/>
      <c r="B288" s="6"/>
      <c r="C288" s="6"/>
      <c r="D288" s="6"/>
      <c r="E288" s="267"/>
      <c r="F288" s="6"/>
      <c r="G288" s="267"/>
      <c r="H288" s="6"/>
      <c r="I288" s="6"/>
      <c r="J288" s="19"/>
      <c r="K288" s="15"/>
      <c r="L288" s="6"/>
      <c r="M288" s="19"/>
      <c r="N288" s="6"/>
      <c r="O288" s="7"/>
    </row>
    <row r="289" spans="1:15">
      <c r="A289" s="8"/>
      <c r="B289" s="9"/>
      <c r="C289" s="9"/>
      <c r="D289" s="9"/>
      <c r="E289" s="268"/>
      <c r="F289" s="9"/>
      <c r="G289" s="268"/>
      <c r="H289" s="9"/>
      <c r="I289" s="9"/>
      <c r="J289" s="20"/>
      <c r="K289" s="16"/>
      <c r="L289" s="9"/>
      <c r="M289" s="20"/>
      <c r="N289" s="9"/>
      <c r="O289" s="10"/>
    </row>
    <row r="290" spans="1:15">
      <c r="A290" s="5"/>
      <c r="B290" s="6"/>
      <c r="C290" s="6"/>
      <c r="D290" s="6"/>
      <c r="E290" s="267"/>
      <c r="F290" s="6"/>
      <c r="G290" s="267"/>
      <c r="H290" s="6"/>
      <c r="I290" s="6"/>
      <c r="J290" s="19"/>
      <c r="K290" s="15"/>
      <c r="L290" s="6"/>
      <c r="M290" s="19"/>
      <c r="N290" s="6"/>
      <c r="O290" s="7"/>
    </row>
    <row r="291" spans="1:15">
      <c r="A291" s="8"/>
      <c r="B291" s="9"/>
      <c r="C291" s="9"/>
      <c r="D291" s="9"/>
      <c r="E291" s="268"/>
      <c r="F291" s="9"/>
      <c r="G291" s="268"/>
      <c r="H291" s="9"/>
      <c r="I291" s="9"/>
      <c r="J291" s="20"/>
      <c r="K291" s="16"/>
      <c r="L291" s="9"/>
      <c r="M291" s="20"/>
      <c r="N291" s="9"/>
      <c r="O291" s="10"/>
    </row>
    <row r="292" spans="1:15">
      <c r="A292" s="5"/>
      <c r="B292" s="6"/>
      <c r="C292" s="6"/>
      <c r="D292" s="6"/>
      <c r="E292" s="267"/>
      <c r="F292" s="6"/>
      <c r="G292" s="267"/>
      <c r="H292" s="6"/>
      <c r="I292" s="6"/>
      <c r="J292" s="19"/>
      <c r="K292" s="15"/>
      <c r="L292" s="6"/>
      <c r="M292" s="19"/>
      <c r="N292" s="6"/>
      <c r="O292" s="7"/>
    </row>
    <row r="293" spans="1:15">
      <c r="A293" s="8"/>
      <c r="B293" s="9"/>
      <c r="C293" s="9"/>
      <c r="D293" s="9"/>
      <c r="E293" s="268"/>
      <c r="F293" s="9"/>
      <c r="G293" s="268"/>
      <c r="H293" s="9"/>
      <c r="I293" s="9"/>
      <c r="J293" s="20"/>
      <c r="K293" s="16"/>
      <c r="L293" s="9"/>
      <c r="M293" s="20"/>
      <c r="N293" s="9"/>
      <c r="O293" s="10"/>
    </row>
    <row r="294" spans="1:15">
      <c r="A294" s="5"/>
      <c r="B294" s="6"/>
      <c r="C294" s="6"/>
      <c r="D294" s="6"/>
      <c r="E294" s="267"/>
      <c r="F294" s="6"/>
      <c r="G294" s="267"/>
      <c r="H294" s="6"/>
      <c r="I294" s="6"/>
      <c r="J294" s="19"/>
      <c r="K294" s="15"/>
      <c r="L294" s="6"/>
      <c r="M294" s="19"/>
      <c r="N294" s="6"/>
      <c r="O294" s="7"/>
    </row>
    <row r="295" spans="1:15">
      <c r="A295" s="8"/>
      <c r="B295" s="9"/>
      <c r="C295" s="9"/>
      <c r="D295" s="9"/>
      <c r="E295" s="268"/>
      <c r="F295" s="9"/>
      <c r="G295" s="268"/>
      <c r="H295" s="9"/>
      <c r="I295" s="9"/>
      <c r="J295" s="20"/>
      <c r="K295" s="16"/>
      <c r="L295" s="9"/>
      <c r="M295" s="20"/>
      <c r="N295" s="9"/>
      <c r="O295" s="10"/>
    </row>
    <row r="296" spans="1:15">
      <c r="A296" s="5"/>
      <c r="B296" s="6"/>
      <c r="C296" s="6"/>
      <c r="D296" s="6"/>
      <c r="E296" s="267"/>
      <c r="F296" s="6"/>
      <c r="G296" s="267"/>
      <c r="H296" s="6"/>
      <c r="I296" s="6"/>
      <c r="J296" s="19"/>
      <c r="K296" s="15"/>
      <c r="L296" s="6"/>
      <c r="M296" s="19"/>
      <c r="N296" s="6"/>
      <c r="O296" s="7"/>
    </row>
    <row r="297" spans="1:15">
      <c r="A297" s="8"/>
      <c r="B297" s="9"/>
      <c r="C297" s="9"/>
      <c r="D297" s="9"/>
      <c r="E297" s="268"/>
      <c r="F297" s="9"/>
      <c r="G297" s="268"/>
      <c r="H297" s="9"/>
      <c r="I297" s="9"/>
      <c r="J297" s="20"/>
      <c r="K297" s="16"/>
      <c r="L297" s="9"/>
      <c r="M297" s="20"/>
      <c r="N297" s="9"/>
      <c r="O297" s="10"/>
    </row>
    <row r="298" spans="1:15">
      <c r="A298" s="5"/>
      <c r="B298" s="6"/>
      <c r="C298" s="6"/>
      <c r="D298" s="6"/>
      <c r="E298" s="267"/>
      <c r="F298" s="6"/>
      <c r="G298" s="267"/>
      <c r="H298" s="6"/>
      <c r="I298" s="6"/>
      <c r="J298" s="19"/>
      <c r="K298" s="15"/>
      <c r="L298" s="6"/>
      <c r="M298" s="19"/>
      <c r="N298" s="6"/>
      <c r="O298" s="7"/>
    </row>
    <row r="299" spans="1:15">
      <c r="A299" s="8"/>
      <c r="B299" s="9"/>
      <c r="C299" s="9"/>
      <c r="D299" s="9"/>
      <c r="E299" s="268"/>
      <c r="F299" s="9"/>
      <c r="G299" s="268"/>
      <c r="H299" s="9"/>
      <c r="I299" s="9"/>
      <c r="J299" s="20"/>
      <c r="K299" s="16"/>
      <c r="L299" s="9"/>
      <c r="M299" s="20"/>
      <c r="N299" s="9"/>
      <c r="O299" s="10"/>
    </row>
    <row r="300" spans="1:15">
      <c r="A300" s="5"/>
      <c r="B300" s="6"/>
      <c r="C300" s="6"/>
      <c r="D300" s="6"/>
      <c r="E300" s="267"/>
      <c r="F300" s="6"/>
      <c r="G300" s="267"/>
      <c r="H300" s="6"/>
      <c r="I300" s="6"/>
      <c r="J300" s="19"/>
      <c r="K300" s="15"/>
      <c r="L300" s="6"/>
      <c r="M300" s="19"/>
      <c r="N300" s="6"/>
      <c r="O300" s="7"/>
    </row>
    <row r="301" spans="1:15">
      <c r="A301" s="8"/>
      <c r="B301" s="9"/>
      <c r="C301" s="9"/>
      <c r="D301" s="9"/>
      <c r="E301" s="268"/>
      <c r="F301" s="9"/>
      <c r="G301" s="268"/>
      <c r="H301" s="9"/>
      <c r="I301" s="9"/>
      <c r="J301" s="20"/>
      <c r="K301" s="16"/>
      <c r="L301" s="9"/>
      <c r="M301" s="20"/>
      <c r="N301" s="9"/>
      <c r="O301" s="10"/>
    </row>
    <row r="302" spans="1:15">
      <c r="A302" s="5"/>
      <c r="B302" s="6"/>
      <c r="C302" s="6"/>
      <c r="D302" s="6"/>
      <c r="E302" s="267"/>
      <c r="F302" s="6"/>
      <c r="G302" s="267"/>
      <c r="H302" s="6"/>
      <c r="I302" s="6"/>
      <c r="J302" s="19"/>
      <c r="K302" s="15"/>
      <c r="L302" s="6"/>
      <c r="M302" s="19"/>
      <c r="N302" s="6"/>
      <c r="O302" s="7"/>
    </row>
    <row r="303" spans="1:15">
      <c r="A303" s="8"/>
      <c r="B303" s="9"/>
      <c r="C303" s="9"/>
      <c r="D303" s="9"/>
      <c r="E303" s="268"/>
      <c r="F303" s="9"/>
      <c r="G303" s="268"/>
      <c r="H303" s="9"/>
      <c r="I303" s="9"/>
      <c r="J303" s="20"/>
      <c r="K303" s="16"/>
      <c r="L303" s="9"/>
      <c r="M303" s="20"/>
      <c r="N303" s="9"/>
      <c r="O303" s="10"/>
    </row>
    <row r="304" spans="1:15">
      <c r="A304" s="5"/>
      <c r="B304" s="6"/>
      <c r="C304" s="6"/>
      <c r="D304" s="6"/>
      <c r="E304" s="267"/>
      <c r="F304" s="6"/>
      <c r="G304" s="267"/>
      <c r="H304" s="6"/>
      <c r="I304" s="6"/>
      <c r="J304" s="19"/>
      <c r="K304" s="15"/>
      <c r="L304" s="6"/>
      <c r="M304" s="19"/>
      <c r="N304" s="6"/>
      <c r="O304" s="7"/>
    </row>
    <row r="305" spans="1:15">
      <c r="A305" s="8"/>
      <c r="B305" s="9"/>
      <c r="C305" s="9"/>
      <c r="D305" s="9"/>
      <c r="E305" s="268"/>
      <c r="F305" s="9"/>
      <c r="G305" s="268"/>
      <c r="H305" s="9"/>
      <c r="I305" s="9"/>
      <c r="J305" s="20"/>
      <c r="K305" s="16"/>
      <c r="L305" s="9"/>
      <c r="M305" s="20"/>
      <c r="N305" s="9"/>
      <c r="O305" s="10"/>
    </row>
    <row r="306" spans="1:15">
      <c r="A306" s="5"/>
      <c r="B306" s="6"/>
      <c r="C306" s="6"/>
      <c r="D306" s="6"/>
      <c r="E306" s="267"/>
      <c r="F306" s="6"/>
      <c r="G306" s="267"/>
      <c r="H306" s="6"/>
      <c r="I306" s="6"/>
      <c r="J306" s="19"/>
      <c r="K306" s="15"/>
      <c r="L306" s="6"/>
      <c r="M306" s="19"/>
      <c r="N306" s="6"/>
      <c r="O306" s="7"/>
    </row>
    <row r="307" spans="1:15">
      <c r="A307" s="8"/>
      <c r="B307" s="9"/>
      <c r="C307" s="9"/>
      <c r="D307" s="9"/>
      <c r="E307" s="268"/>
      <c r="F307" s="9"/>
      <c r="G307" s="268"/>
      <c r="H307" s="9"/>
      <c r="I307" s="9"/>
      <c r="J307" s="20"/>
      <c r="K307" s="16"/>
      <c r="L307" s="9"/>
      <c r="M307" s="20"/>
      <c r="N307" s="9"/>
      <c r="O307" s="10"/>
    </row>
    <row r="308" spans="1:15">
      <c r="A308" s="5"/>
      <c r="B308" s="6"/>
      <c r="C308" s="6"/>
      <c r="D308" s="6"/>
      <c r="E308" s="267"/>
      <c r="F308" s="6"/>
      <c r="G308" s="267"/>
      <c r="H308" s="6"/>
      <c r="I308" s="6"/>
      <c r="J308" s="19"/>
      <c r="K308" s="15"/>
      <c r="L308" s="6"/>
      <c r="M308" s="19"/>
      <c r="N308" s="6"/>
      <c r="O308" s="7"/>
    </row>
    <row r="309" spans="1:15">
      <c r="A309" s="8"/>
      <c r="B309" s="9"/>
      <c r="C309" s="9"/>
      <c r="D309" s="9"/>
      <c r="E309" s="268"/>
      <c r="F309" s="9"/>
      <c r="G309" s="268"/>
      <c r="H309" s="9"/>
      <c r="I309" s="9"/>
      <c r="J309" s="20"/>
      <c r="K309" s="16"/>
      <c r="L309" s="9"/>
      <c r="M309" s="20"/>
      <c r="N309" s="9"/>
      <c r="O309" s="10"/>
    </row>
    <row r="310" spans="1:15">
      <c r="A310" s="5"/>
      <c r="B310" s="6"/>
      <c r="C310" s="6"/>
      <c r="D310" s="6"/>
      <c r="E310" s="267"/>
      <c r="F310" s="6"/>
      <c r="G310" s="267"/>
      <c r="H310" s="6"/>
      <c r="I310" s="6"/>
      <c r="J310" s="19"/>
      <c r="K310" s="15"/>
      <c r="L310" s="6"/>
      <c r="M310" s="19"/>
      <c r="N310" s="6"/>
      <c r="O310" s="7"/>
    </row>
    <row r="311" spans="1:15">
      <c r="A311" s="8"/>
      <c r="B311" s="9"/>
      <c r="C311" s="9"/>
      <c r="D311" s="9"/>
      <c r="E311" s="268"/>
      <c r="F311" s="9"/>
      <c r="G311" s="268"/>
      <c r="H311" s="9"/>
      <c r="I311" s="9"/>
      <c r="J311" s="20"/>
      <c r="K311" s="16"/>
      <c r="L311" s="9"/>
      <c r="M311" s="20"/>
      <c r="N311" s="9"/>
      <c r="O311" s="10"/>
    </row>
    <row r="312" spans="1:15">
      <c r="A312" s="5"/>
      <c r="B312" s="6"/>
      <c r="C312" s="6"/>
      <c r="D312" s="6"/>
      <c r="E312" s="267"/>
      <c r="F312" s="6"/>
      <c r="G312" s="267"/>
      <c r="H312" s="6"/>
      <c r="I312" s="6"/>
      <c r="J312" s="19"/>
      <c r="K312" s="15"/>
      <c r="L312" s="6"/>
      <c r="M312" s="19"/>
      <c r="N312" s="6"/>
      <c r="O312" s="7"/>
    </row>
    <row r="313" spans="1:15">
      <c r="A313" s="8"/>
      <c r="B313" s="9"/>
      <c r="C313" s="9"/>
      <c r="D313" s="9"/>
      <c r="E313" s="268"/>
      <c r="F313" s="9"/>
      <c r="G313" s="268"/>
      <c r="H313" s="9"/>
      <c r="I313" s="9"/>
      <c r="J313" s="20"/>
      <c r="K313" s="16"/>
      <c r="L313" s="9"/>
      <c r="M313" s="20"/>
      <c r="N313" s="9"/>
      <c r="O313" s="10"/>
    </row>
    <row r="314" spans="1:15">
      <c r="A314" s="5"/>
      <c r="B314" s="6"/>
      <c r="C314" s="6"/>
      <c r="D314" s="6"/>
      <c r="E314" s="267"/>
      <c r="F314" s="6"/>
      <c r="G314" s="267"/>
      <c r="H314" s="6"/>
      <c r="I314" s="6"/>
      <c r="J314" s="19"/>
      <c r="K314" s="15"/>
      <c r="L314" s="6"/>
      <c r="M314" s="19"/>
      <c r="N314" s="6"/>
      <c r="O314" s="7"/>
    </row>
    <row r="315" spans="1:15">
      <c r="A315" s="8"/>
      <c r="B315" s="9"/>
      <c r="C315" s="9"/>
      <c r="D315" s="9"/>
      <c r="E315" s="268"/>
      <c r="F315" s="9"/>
      <c r="G315" s="268"/>
      <c r="H315" s="9"/>
      <c r="I315" s="9"/>
      <c r="J315" s="20"/>
      <c r="K315" s="16"/>
      <c r="L315" s="9"/>
      <c r="M315" s="20"/>
      <c r="N315" s="9"/>
      <c r="O315" s="10"/>
    </row>
    <row r="316" spans="1:15">
      <c r="A316" s="5"/>
      <c r="B316" s="6"/>
      <c r="C316" s="6"/>
      <c r="D316" s="6"/>
      <c r="E316" s="267"/>
      <c r="F316" s="6"/>
      <c r="G316" s="267"/>
      <c r="H316" s="6"/>
      <c r="I316" s="6"/>
      <c r="J316" s="19"/>
      <c r="K316" s="15"/>
      <c r="L316" s="6"/>
      <c r="M316" s="19"/>
      <c r="N316" s="6"/>
      <c r="O316" s="7"/>
    </row>
    <row r="317" spans="1:15">
      <c r="A317" s="8"/>
      <c r="B317" s="9"/>
      <c r="C317" s="9"/>
      <c r="D317" s="9"/>
      <c r="E317" s="268"/>
      <c r="F317" s="9"/>
      <c r="G317" s="268"/>
      <c r="H317" s="9"/>
      <c r="I317" s="9"/>
      <c r="J317" s="20"/>
      <c r="K317" s="16"/>
      <c r="L317" s="9"/>
      <c r="M317" s="20"/>
      <c r="N317" s="9"/>
      <c r="O317" s="10"/>
    </row>
    <row r="318" spans="1:15">
      <c r="A318" s="5"/>
      <c r="B318" s="6"/>
      <c r="C318" s="6"/>
      <c r="D318" s="6"/>
      <c r="E318" s="267"/>
      <c r="F318" s="6"/>
      <c r="G318" s="267"/>
      <c r="H318" s="6"/>
      <c r="I318" s="6"/>
      <c r="J318" s="19"/>
      <c r="K318" s="15"/>
      <c r="L318" s="6"/>
      <c r="M318" s="19"/>
      <c r="N318" s="6"/>
      <c r="O318" s="7"/>
    </row>
    <row r="319" spans="1:15">
      <c r="A319" s="8"/>
      <c r="B319" s="9"/>
      <c r="C319" s="9"/>
      <c r="D319" s="9"/>
      <c r="E319" s="268"/>
      <c r="F319" s="9"/>
      <c r="G319" s="268"/>
      <c r="H319" s="9"/>
      <c r="I319" s="9"/>
      <c r="J319" s="20"/>
      <c r="K319" s="16"/>
      <c r="L319" s="9"/>
      <c r="M319" s="20"/>
      <c r="N319" s="9"/>
      <c r="O319" s="10"/>
    </row>
    <row r="320" spans="1:15">
      <c r="A320" s="5"/>
      <c r="B320" s="6"/>
      <c r="C320" s="6"/>
      <c r="D320" s="6"/>
      <c r="E320" s="267"/>
      <c r="F320" s="6"/>
      <c r="G320" s="267"/>
      <c r="H320" s="6"/>
      <c r="I320" s="6"/>
      <c r="J320" s="19"/>
      <c r="K320" s="15"/>
      <c r="L320" s="6"/>
      <c r="M320" s="19"/>
      <c r="N320" s="6"/>
      <c r="O320" s="7"/>
    </row>
    <row r="321" spans="1:15">
      <c r="A321" s="8"/>
      <c r="B321" s="9"/>
      <c r="C321" s="9"/>
      <c r="D321" s="9"/>
      <c r="E321" s="268"/>
      <c r="F321" s="9"/>
      <c r="G321" s="268"/>
      <c r="H321" s="9"/>
      <c r="I321" s="9"/>
      <c r="J321" s="20"/>
      <c r="K321" s="16"/>
      <c r="L321" s="9"/>
      <c r="M321" s="20"/>
      <c r="N321" s="9"/>
      <c r="O321" s="10"/>
    </row>
    <row r="322" spans="1:15">
      <c r="A322" s="5"/>
      <c r="B322" s="6"/>
      <c r="C322" s="6"/>
      <c r="D322" s="6"/>
      <c r="E322" s="267"/>
      <c r="F322" s="6"/>
      <c r="G322" s="267"/>
      <c r="H322" s="6"/>
      <c r="I322" s="6"/>
      <c r="J322" s="19"/>
      <c r="K322" s="15"/>
      <c r="L322" s="6"/>
      <c r="M322" s="19"/>
      <c r="N322" s="6"/>
      <c r="O322" s="7"/>
    </row>
    <row r="323" spans="1:15">
      <c r="A323" s="8"/>
      <c r="B323" s="9"/>
      <c r="C323" s="9"/>
      <c r="D323" s="9"/>
      <c r="E323" s="268"/>
      <c r="F323" s="9"/>
      <c r="G323" s="268"/>
      <c r="H323" s="9"/>
      <c r="I323" s="9"/>
      <c r="J323" s="20"/>
      <c r="K323" s="16"/>
      <c r="L323" s="9"/>
      <c r="M323" s="20"/>
      <c r="N323" s="9"/>
      <c r="O323" s="10"/>
    </row>
    <row r="324" spans="1:15">
      <c r="A324" s="5"/>
      <c r="B324" s="6"/>
      <c r="C324" s="6"/>
      <c r="D324" s="6"/>
      <c r="E324" s="267"/>
      <c r="F324" s="6"/>
      <c r="G324" s="267"/>
      <c r="H324" s="6"/>
      <c r="I324" s="6"/>
      <c r="J324" s="19"/>
      <c r="K324" s="15"/>
      <c r="L324" s="6"/>
      <c r="M324" s="19"/>
      <c r="N324" s="6"/>
      <c r="O324" s="7"/>
    </row>
    <row r="325" spans="1:15">
      <c r="A325" s="8"/>
      <c r="B325" s="9"/>
      <c r="C325" s="9"/>
      <c r="D325" s="9"/>
      <c r="E325" s="268"/>
      <c r="F325" s="9"/>
      <c r="G325" s="268"/>
      <c r="H325" s="9"/>
      <c r="I325" s="9"/>
      <c r="J325" s="20"/>
      <c r="K325" s="16"/>
      <c r="L325" s="9"/>
      <c r="M325" s="20"/>
      <c r="N325" s="9"/>
      <c r="O325" s="10"/>
    </row>
    <row r="326" spans="1:15">
      <c r="A326" s="5"/>
      <c r="B326" s="6"/>
      <c r="C326" s="6"/>
      <c r="D326" s="6"/>
      <c r="E326" s="267"/>
      <c r="F326" s="6"/>
      <c r="G326" s="267"/>
      <c r="H326" s="6"/>
      <c r="I326" s="6"/>
      <c r="J326" s="19"/>
      <c r="K326" s="15"/>
      <c r="L326" s="6"/>
      <c r="M326" s="19"/>
      <c r="N326" s="6"/>
      <c r="O326" s="7"/>
    </row>
    <row r="327" spans="1:15">
      <c r="A327" s="8"/>
      <c r="B327" s="9"/>
      <c r="C327" s="9"/>
      <c r="D327" s="9"/>
      <c r="E327" s="268"/>
      <c r="F327" s="9"/>
      <c r="G327" s="268"/>
      <c r="H327" s="9"/>
      <c r="I327" s="9"/>
      <c r="J327" s="20"/>
      <c r="K327" s="16"/>
      <c r="L327" s="9"/>
      <c r="M327" s="20"/>
      <c r="N327" s="9"/>
      <c r="O327" s="10"/>
    </row>
    <row r="328" spans="1:15">
      <c r="A328" s="5"/>
      <c r="B328" s="6"/>
      <c r="C328" s="6"/>
      <c r="D328" s="6"/>
      <c r="E328" s="267"/>
      <c r="F328" s="6"/>
      <c r="G328" s="267"/>
      <c r="H328" s="6"/>
      <c r="I328" s="6"/>
      <c r="J328" s="19"/>
      <c r="K328" s="15"/>
      <c r="L328" s="6"/>
      <c r="M328" s="19"/>
      <c r="N328" s="6"/>
      <c r="O328" s="7"/>
    </row>
    <row r="329" spans="1:15">
      <c r="A329" s="8"/>
      <c r="B329" s="9"/>
      <c r="C329" s="9"/>
      <c r="D329" s="9"/>
      <c r="E329" s="268"/>
      <c r="F329" s="9"/>
      <c r="G329" s="268"/>
      <c r="H329" s="9"/>
      <c r="I329" s="9"/>
      <c r="J329" s="20"/>
      <c r="K329" s="16"/>
      <c r="L329" s="9"/>
      <c r="M329" s="20"/>
      <c r="N329" s="9"/>
      <c r="O329" s="10"/>
    </row>
    <row r="330" spans="1:15">
      <c r="A330" s="5"/>
      <c r="B330" s="6"/>
      <c r="C330" s="6"/>
      <c r="D330" s="6"/>
      <c r="E330" s="267"/>
      <c r="F330" s="6"/>
      <c r="G330" s="267"/>
      <c r="H330" s="6"/>
      <c r="I330" s="6"/>
      <c r="J330" s="19"/>
      <c r="K330" s="15"/>
      <c r="L330" s="6"/>
      <c r="M330" s="19"/>
      <c r="N330" s="6"/>
      <c r="O330" s="7"/>
    </row>
    <row r="331" spans="1:15">
      <c r="A331" s="8"/>
      <c r="B331" s="9"/>
      <c r="C331" s="9"/>
      <c r="D331" s="9"/>
      <c r="E331" s="268"/>
      <c r="F331" s="9"/>
      <c r="G331" s="268"/>
      <c r="H331" s="9"/>
      <c r="I331" s="9"/>
      <c r="J331" s="20"/>
      <c r="K331" s="16"/>
      <c r="L331" s="9"/>
      <c r="M331" s="20"/>
      <c r="N331" s="9"/>
      <c r="O331" s="10"/>
    </row>
    <row r="332" spans="1:15">
      <c r="A332" s="5"/>
      <c r="B332" s="6"/>
      <c r="C332" s="6"/>
      <c r="D332" s="6"/>
      <c r="E332" s="267"/>
      <c r="F332" s="6"/>
      <c r="G332" s="267"/>
      <c r="H332" s="6"/>
      <c r="I332" s="6"/>
      <c r="J332" s="19"/>
      <c r="K332" s="15"/>
      <c r="L332" s="6"/>
      <c r="M332" s="19"/>
      <c r="N332" s="6"/>
      <c r="O332" s="7"/>
    </row>
    <row r="333" spans="1:15">
      <c r="A333" s="8"/>
      <c r="B333" s="9"/>
      <c r="C333" s="9"/>
      <c r="D333" s="9"/>
      <c r="E333" s="268"/>
      <c r="F333" s="9"/>
      <c r="G333" s="268"/>
      <c r="H333" s="9"/>
      <c r="I333" s="9"/>
      <c r="J333" s="20"/>
      <c r="K333" s="16"/>
      <c r="L333" s="9"/>
      <c r="M333" s="20"/>
      <c r="N333" s="9"/>
      <c r="O333" s="10"/>
    </row>
    <row r="334" spans="1:15">
      <c r="A334" s="5"/>
      <c r="B334" s="6"/>
      <c r="C334" s="6"/>
      <c r="D334" s="6"/>
      <c r="E334" s="267"/>
      <c r="F334" s="6"/>
      <c r="G334" s="267"/>
      <c r="H334" s="6"/>
      <c r="I334" s="6"/>
      <c r="J334" s="19"/>
      <c r="K334" s="15"/>
      <c r="L334" s="6"/>
      <c r="M334" s="19"/>
      <c r="N334" s="6"/>
      <c r="O334" s="7"/>
    </row>
    <row r="335" spans="1:15">
      <c r="A335" s="8"/>
      <c r="B335" s="9"/>
      <c r="C335" s="9"/>
      <c r="D335" s="9"/>
      <c r="E335" s="268"/>
      <c r="F335" s="9"/>
      <c r="G335" s="268"/>
      <c r="H335" s="9"/>
      <c r="I335" s="9"/>
      <c r="J335" s="20"/>
      <c r="K335" s="16"/>
      <c r="L335" s="9"/>
      <c r="M335" s="20"/>
      <c r="N335" s="9"/>
      <c r="O335" s="10"/>
    </row>
    <row r="336" spans="1:15">
      <c r="A336" s="5"/>
      <c r="B336" s="6"/>
      <c r="C336" s="6"/>
      <c r="D336" s="6"/>
      <c r="E336" s="267"/>
      <c r="F336" s="6"/>
      <c r="G336" s="267"/>
      <c r="H336" s="6"/>
      <c r="I336" s="6"/>
      <c r="J336" s="19"/>
      <c r="K336" s="15"/>
      <c r="L336" s="6"/>
      <c r="M336" s="19"/>
      <c r="N336" s="6"/>
      <c r="O336" s="7"/>
    </row>
    <row r="337" spans="1:15">
      <c r="A337" s="8"/>
      <c r="B337" s="9"/>
      <c r="C337" s="9"/>
      <c r="D337" s="9"/>
      <c r="E337" s="268"/>
      <c r="F337" s="9"/>
      <c r="G337" s="268"/>
      <c r="H337" s="9"/>
      <c r="I337" s="9"/>
      <c r="J337" s="20"/>
      <c r="K337" s="16"/>
      <c r="L337" s="9"/>
      <c r="M337" s="20"/>
      <c r="N337" s="9"/>
      <c r="O337" s="10"/>
    </row>
    <row r="338" spans="1:15">
      <c r="A338" s="5"/>
      <c r="B338" s="6"/>
      <c r="C338" s="6"/>
      <c r="D338" s="6"/>
      <c r="E338" s="267"/>
      <c r="F338" s="6"/>
      <c r="G338" s="267"/>
      <c r="H338" s="6"/>
      <c r="I338" s="6"/>
      <c r="J338" s="19"/>
      <c r="K338" s="15"/>
      <c r="L338" s="6"/>
      <c r="M338" s="19"/>
      <c r="N338" s="6"/>
      <c r="O338" s="7"/>
    </row>
    <row r="339" spans="1:15">
      <c r="A339" s="8"/>
      <c r="B339" s="9"/>
      <c r="C339" s="9"/>
      <c r="D339" s="9"/>
      <c r="E339" s="268"/>
      <c r="F339" s="9"/>
      <c r="G339" s="268"/>
      <c r="H339" s="9"/>
      <c r="I339" s="9"/>
      <c r="J339" s="20"/>
      <c r="K339" s="16"/>
      <c r="L339" s="9"/>
      <c r="M339" s="20"/>
      <c r="N339" s="9"/>
      <c r="O339" s="10"/>
    </row>
    <row r="340" spans="1:15">
      <c r="A340" s="5"/>
      <c r="B340" s="6"/>
      <c r="C340" s="6"/>
      <c r="D340" s="6"/>
      <c r="E340" s="267"/>
      <c r="F340" s="6"/>
      <c r="G340" s="267"/>
      <c r="H340" s="6"/>
      <c r="I340" s="6"/>
      <c r="J340" s="19"/>
      <c r="K340" s="15"/>
      <c r="L340" s="6"/>
      <c r="M340" s="19"/>
      <c r="N340" s="6"/>
      <c r="O340" s="7"/>
    </row>
    <row r="341" spans="1:15">
      <c r="A341" s="8"/>
      <c r="B341" s="9"/>
      <c r="C341" s="9"/>
      <c r="D341" s="9"/>
      <c r="E341" s="268"/>
      <c r="F341" s="9"/>
      <c r="G341" s="268"/>
      <c r="H341" s="9"/>
      <c r="I341" s="9"/>
      <c r="J341" s="20"/>
      <c r="K341" s="16"/>
      <c r="L341" s="9"/>
      <c r="M341" s="20"/>
      <c r="N341" s="9"/>
      <c r="O341" s="10"/>
    </row>
    <row r="342" spans="1:15">
      <c r="A342" s="5"/>
      <c r="B342" s="6"/>
      <c r="C342" s="6"/>
      <c r="D342" s="6"/>
      <c r="E342" s="267"/>
      <c r="F342" s="6"/>
      <c r="G342" s="267"/>
      <c r="H342" s="6"/>
      <c r="I342" s="6"/>
      <c r="J342" s="19"/>
      <c r="K342" s="15"/>
      <c r="L342" s="6"/>
      <c r="M342" s="19"/>
      <c r="N342" s="6"/>
      <c r="O342" s="7"/>
    </row>
    <row r="343" spans="1:15">
      <c r="A343" s="8"/>
      <c r="B343" s="9"/>
      <c r="C343" s="9"/>
      <c r="D343" s="9"/>
      <c r="E343" s="268"/>
      <c r="F343" s="9"/>
      <c r="G343" s="268"/>
      <c r="H343" s="9"/>
      <c r="I343" s="9"/>
      <c r="J343" s="20"/>
      <c r="K343" s="16"/>
      <c r="L343" s="9"/>
      <c r="M343" s="20"/>
      <c r="N343" s="9"/>
      <c r="O343" s="10"/>
    </row>
    <row r="344" spans="1:15">
      <c r="A344" s="5"/>
      <c r="B344" s="6"/>
      <c r="C344" s="6"/>
      <c r="D344" s="6"/>
      <c r="E344" s="267"/>
      <c r="F344" s="6"/>
      <c r="G344" s="267"/>
      <c r="H344" s="6"/>
      <c r="I344" s="6"/>
      <c r="J344" s="19"/>
      <c r="K344" s="15"/>
      <c r="L344" s="6"/>
      <c r="M344" s="19"/>
      <c r="N344" s="6"/>
      <c r="O344" s="7"/>
    </row>
    <row r="345" spans="1:15">
      <c r="A345" s="8"/>
      <c r="B345" s="9"/>
      <c r="C345" s="9"/>
      <c r="D345" s="9"/>
      <c r="E345" s="268"/>
      <c r="F345" s="9"/>
      <c r="G345" s="268"/>
      <c r="H345" s="9"/>
      <c r="I345" s="9"/>
      <c r="J345" s="20"/>
      <c r="K345" s="16"/>
      <c r="L345" s="9"/>
      <c r="M345" s="20"/>
      <c r="N345" s="9"/>
      <c r="O345" s="10"/>
    </row>
    <row r="346" spans="1:15">
      <c r="A346" s="5"/>
      <c r="B346" s="6"/>
      <c r="C346" s="6"/>
      <c r="D346" s="6"/>
      <c r="E346" s="267"/>
      <c r="F346" s="6"/>
      <c r="G346" s="267"/>
      <c r="H346" s="6"/>
      <c r="I346" s="6"/>
      <c r="J346" s="19"/>
      <c r="K346" s="15"/>
      <c r="L346" s="6"/>
      <c r="M346" s="19"/>
      <c r="N346" s="6"/>
      <c r="O346" s="7"/>
    </row>
    <row r="347" spans="1:15">
      <c r="A347" s="8"/>
      <c r="B347" s="9"/>
      <c r="C347" s="9"/>
      <c r="D347" s="9"/>
      <c r="E347" s="268"/>
      <c r="F347" s="9"/>
      <c r="G347" s="268"/>
      <c r="H347" s="9"/>
      <c r="I347" s="9"/>
      <c r="J347" s="20"/>
      <c r="K347" s="16"/>
      <c r="L347" s="9"/>
      <c r="M347" s="20"/>
      <c r="N347" s="9"/>
      <c r="O347" s="10"/>
    </row>
    <row r="348" spans="1:15">
      <c r="A348" s="5"/>
      <c r="B348" s="6"/>
      <c r="C348" s="6"/>
      <c r="D348" s="6"/>
      <c r="E348" s="267"/>
      <c r="F348" s="6"/>
      <c r="G348" s="267"/>
      <c r="H348" s="6"/>
      <c r="I348" s="6"/>
      <c r="J348" s="19"/>
      <c r="K348" s="15"/>
      <c r="L348" s="6"/>
      <c r="M348" s="19"/>
      <c r="N348" s="6"/>
      <c r="O348" s="7"/>
    </row>
    <row r="349" spans="1:15">
      <c r="A349" s="8"/>
      <c r="B349" s="9"/>
      <c r="C349" s="9"/>
      <c r="D349" s="9"/>
      <c r="E349" s="268"/>
      <c r="F349" s="9"/>
      <c r="G349" s="268"/>
      <c r="H349" s="9"/>
      <c r="I349" s="9"/>
      <c r="J349" s="20"/>
      <c r="K349" s="16"/>
      <c r="L349" s="9"/>
      <c r="M349" s="20"/>
      <c r="N349" s="9"/>
      <c r="O349" s="10"/>
    </row>
    <row r="350" spans="1:15">
      <c r="A350" s="5"/>
      <c r="B350" s="6"/>
      <c r="C350" s="6"/>
      <c r="D350" s="6"/>
      <c r="E350" s="267"/>
      <c r="F350" s="6"/>
      <c r="G350" s="267"/>
      <c r="H350" s="6"/>
      <c r="I350" s="6"/>
      <c r="J350" s="19"/>
      <c r="K350" s="15"/>
      <c r="L350" s="6"/>
      <c r="M350" s="19"/>
      <c r="N350" s="6"/>
      <c r="O350" s="7"/>
    </row>
    <row r="351" spans="1:15">
      <c r="A351" s="8"/>
      <c r="B351" s="9"/>
      <c r="C351" s="9"/>
      <c r="D351" s="9"/>
      <c r="E351" s="268"/>
      <c r="F351" s="9"/>
      <c r="G351" s="268"/>
      <c r="H351" s="9"/>
      <c r="I351" s="9"/>
      <c r="J351" s="20"/>
      <c r="K351" s="16"/>
      <c r="L351" s="9"/>
      <c r="M351" s="20"/>
      <c r="N351" s="9"/>
      <c r="O351" s="10"/>
    </row>
    <row r="352" spans="1:15">
      <c r="A352" s="5"/>
      <c r="B352" s="6"/>
      <c r="C352" s="6"/>
      <c r="D352" s="6"/>
      <c r="E352" s="267"/>
      <c r="F352" s="6"/>
      <c r="G352" s="267"/>
      <c r="H352" s="6"/>
      <c r="I352" s="6"/>
      <c r="J352" s="19"/>
      <c r="K352" s="15"/>
      <c r="L352" s="6"/>
      <c r="M352" s="19"/>
      <c r="N352" s="6"/>
      <c r="O352" s="7"/>
    </row>
    <row r="353" spans="1:15">
      <c r="A353" s="8"/>
      <c r="B353" s="9"/>
      <c r="C353" s="9"/>
      <c r="D353" s="9"/>
      <c r="E353" s="268"/>
      <c r="F353" s="9"/>
      <c r="G353" s="268"/>
      <c r="H353" s="9"/>
      <c r="I353" s="9"/>
      <c r="J353" s="20"/>
      <c r="K353" s="16"/>
      <c r="L353" s="9"/>
      <c r="M353" s="20"/>
      <c r="N353" s="9"/>
      <c r="O353" s="10"/>
    </row>
    <row r="354" spans="1:15">
      <c r="A354" s="5"/>
      <c r="B354" s="6"/>
      <c r="C354" s="6"/>
      <c r="D354" s="6"/>
      <c r="E354" s="267"/>
      <c r="F354" s="6"/>
      <c r="G354" s="267"/>
      <c r="H354" s="6"/>
      <c r="I354" s="6"/>
      <c r="J354" s="19"/>
      <c r="K354" s="15"/>
      <c r="L354" s="6"/>
      <c r="M354" s="19"/>
      <c r="N354" s="6"/>
      <c r="O354" s="7"/>
    </row>
    <row r="355" spans="1:15">
      <c r="A355" s="8"/>
      <c r="B355" s="9"/>
      <c r="C355" s="9"/>
      <c r="D355" s="9"/>
      <c r="E355" s="268"/>
      <c r="F355" s="9"/>
      <c r="G355" s="268"/>
      <c r="H355" s="9"/>
      <c r="I355" s="9"/>
      <c r="J355" s="20"/>
      <c r="K355" s="16"/>
      <c r="L355" s="9"/>
      <c r="M355" s="20"/>
      <c r="N355" s="9"/>
      <c r="O355" s="10"/>
    </row>
    <row r="356" spans="1:15">
      <c r="A356" s="5"/>
      <c r="B356" s="6"/>
      <c r="C356" s="6"/>
      <c r="D356" s="6"/>
      <c r="E356" s="267"/>
      <c r="F356" s="6"/>
      <c r="G356" s="267"/>
      <c r="H356" s="6"/>
      <c r="I356" s="6"/>
      <c r="J356" s="19"/>
      <c r="K356" s="15"/>
      <c r="L356" s="6"/>
      <c r="M356" s="19"/>
      <c r="N356" s="6"/>
      <c r="O356" s="7"/>
    </row>
    <row r="357" spans="1:15">
      <c r="A357" s="8"/>
      <c r="B357" s="9"/>
      <c r="C357" s="9"/>
      <c r="D357" s="9"/>
      <c r="E357" s="268"/>
      <c r="F357" s="9"/>
      <c r="G357" s="268"/>
      <c r="H357" s="9"/>
      <c r="I357" s="9"/>
      <c r="J357" s="20"/>
      <c r="K357" s="16"/>
      <c r="L357" s="9"/>
      <c r="M357" s="20"/>
      <c r="N357" s="9"/>
      <c r="O357" s="10"/>
    </row>
    <row r="358" spans="1:15">
      <c r="A358" s="5"/>
      <c r="B358" s="6"/>
      <c r="C358" s="6"/>
      <c r="D358" s="6"/>
      <c r="E358" s="267"/>
      <c r="F358" s="6"/>
      <c r="G358" s="267"/>
      <c r="H358" s="6"/>
      <c r="I358" s="6"/>
      <c r="J358" s="19"/>
      <c r="K358" s="15"/>
      <c r="L358" s="6"/>
      <c r="M358" s="19"/>
      <c r="N358" s="6"/>
      <c r="O358" s="7"/>
    </row>
    <row r="359" spans="1:15">
      <c r="A359" s="8"/>
      <c r="B359" s="9"/>
      <c r="C359" s="9"/>
      <c r="D359" s="9"/>
      <c r="E359" s="268"/>
      <c r="F359" s="9"/>
      <c r="G359" s="268"/>
      <c r="H359" s="9"/>
      <c r="I359" s="9"/>
      <c r="J359" s="20"/>
      <c r="K359" s="16"/>
      <c r="L359" s="9"/>
      <c r="M359" s="20"/>
      <c r="N359" s="9"/>
      <c r="O359" s="10"/>
    </row>
    <row r="360" spans="1:15">
      <c r="A360" s="5"/>
      <c r="B360" s="6"/>
      <c r="C360" s="6"/>
      <c r="D360" s="6"/>
      <c r="E360" s="267"/>
      <c r="F360" s="6"/>
      <c r="G360" s="267"/>
      <c r="H360" s="6"/>
      <c r="I360" s="6"/>
      <c r="J360" s="19"/>
      <c r="K360" s="15"/>
      <c r="L360" s="6"/>
      <c r="M360" s="19"/>
      <c r="N360" s="6"/>
      <c r="O360" s="7"/>
    </row>
    <row r="361" spans="1:15">
      <c r="A361" s="8"/>
      <c r="B361" s="9"/>
      <c r="C361" s="9"/>
      <c r="D361" s="9"/>
      <c r="E361" s="268"/>
      <c r="F361" s="9"/>
      <c r="G361" s="268"/>
      <c r="H361" s="9"/>
      <c r="I361" s="9"/>
      <c r="J361" s="20"/>
      <c r="K361" s="16"/>
      <c r="L361" s="9"/>
      <c r="M361" s="20"/>
      <c r="N361" s="9"/>
      <c r="O361" s="10"/>
    </row>
    <row r="362" spans="1:15">
      <c r="A362" s="5"/>
      <c r="B362" s="6"/>
      <c r="C362" s="6"/>
      <c r="D362" s="6"/>
      <c r="E362" s="267"/>
      <c r="F362" s="6"/>
      <c r="G362" s="267"/>
      <c r="H362" s="6"/>
      <c r="I362" s="6"/>
      <c r="J362" s="19"/>
      <c r="K362" s="15"/>
      <c r="L362" s="6"/>
      <c r="M362" s="19"/>
      <c r="N362" s="6"/>
      <c r="O362" s="7"/>
    </row>
    <row r="363" spans="1:15">
      <c r="A363" s="8"/>
      <c r="B363" s="9"/>
      <c r="C363" s="9"/>
      <c r="D363" s="9"/>
      <c r="E363" s="268"/>
      <c r="F363" s="9"/>
      <c r="G363" s="268"/>
      <c r="H363" s="9"/>
      <c r="I363" s="9"/>
      <c r="J363" s="20"/>
      <c r="K363" s="16"/>
      <c r="L363" s="9"/>
      <c r="M363" s="20"/>
      <c r="N363" s="9"/>
      <c r="O363" s="10"/>
    </row>
    <row r="364" spans="1:15">
      <c r="A364" s="5"/>
      <c r="B364" s="6"/>
      <c r="C364" s="6"/>
      <c r="D364" s="6"/>
      <c r="E364" s="267"/>
      <c r="F364" s="6"/>
      <c r="G364" s="267"/>
      <c r="H364" s="6"/>
      <c r="I364" s="6"/>
      <c r="J364" s="19"/>
      <c r="K364" s="15"/>
      <c r="L364" s="6"/>
      <c r="M364" s="19"/>
      <c r="N364" s="6"/>
      <c r="O364" s="7"/>
    </row>
    <row r="365" spans="1:15">
      <c r="A365" s="8"/>
      <c r="B365" s="9"/>
      <c r="C365" s="9"/>
      <c r="D365" s="9"/>
      <c r="E365" s="268"/>
      <c r="F365" s="9"/>
      <c r="G365" s="268"/>
      <c r="H365" s="9"/>
      <c r="I365" s="9"/>
      <c r="J365" s="20"/>
      <c r="K365" s="16"/>
      <c r="L365" s="9"/>
      <c r="M365" s="20"/>
      <c r="N365" s="9"/>
      <c r="O365" s="10"/>
    </row>
    <row r="366" spans="1:15">
      <c r="A366" s="5"/>
      <c r="B366" s="6"/>
      <c r="C366" s="6"/>
      <c r="D366" s="6"/>
      <c r="E366" s="267"/>
      <c r="F366" s="6"/>
      <c r="G366" s="267"/>
      <c r="H366" s="6"/>
      <c r="I366" s="6"/>
      <c r="J366" s="19"/>
      <c r="K366" s="15"/>
      <c r="L366" s="6"/>
      <c r="M366" s="19"/>
      <c r="N366" s="6"/>
      <c r="O366" s="7"/>
    </row>
    <row r="367" spans="1:15">
      <c r="A367" s="8"/>
      <c r="B367" s="9"/>
      <c r="C367" s="9"/>
      <c r="D367" s="9"/>
      <c r="E367" s="268"/>
      <c r="F367" s="9"/>
      <c r="G367" s="268"/>
      <c r="H367" s="9"/>
      <c r="I367" s="9"/>
      <c r="J367" s="20"/>
      <c r="K367" s="16"/>
      <c r="L367" s="9"/>
      <c r="M367" s="20"/>
      <c r="N367" s="9"/>
      <c r="O367" s="10"/>
    </row>
    <row r="368" spans="1:15">
      <c r="A368" s="5"/>
      <c r="B368" s="6"/>
      <c r="C368" s="6"/>
      <c r="D368" s="6"/>
      <c r="E368" s="267"/>
      <c r="F368" s="6"/>
      <c r="G368" s="267"/>
      <c r="H368" s="6"/>
      <c r="I368" s="6"/>
      <c r="J368" s="19"/>
      <c r="K368" s="15"/>
      <c r="L368" s="6"/>
      <c r="M368" s="19"/>
      <c r="N368" s="6"/>
      <c r="O368" s="7"/>
    </row>
    <row r="369" spans="1:15">
      <c r="A369" s="8"/>
      <c r="B369" s="9"/>
      <c r="C369" s="9"/>
      <c r="D369" s="9"/>
      <c r="E369" s="268"/>
      <c r="F369" s="9"/>
      <c r="G369" s="268"/>
      <c r="H369" s="9"/>
      <c r="I369" s="9"/>
      <c r="J369" s="20"/>
      <c r="K369" s="16"/>
      <c r="L369" s="9"/>
      <c r="M369" s="20"/>
      <c r="N369" s="9"/>
      <c r="O369" s="10"/>
    </row>
    <row r="370" spans="1:15">
      <c r="A370" s="5"/>
      <c r="B370" s="6"/>
      <c r="C370" s="6"/>
      <c r="D370" s="6"/>
      <c r="E370" s="267"/>
      <c r="F370" s="6"/>
      <c r="G370" s="267"/>
      <c r="H370" s="6"/>
      <c r="I370" s="6"/>
      <c r="J370" s="19"/>
      <c r="K370" s="15"/>
      <c r="L370" s="6"/>
      <c r="M370" s="19"/>
      <c r="N370" s="6"/>
      <c r="O370" s="7"/>
    </row>
    <row r="371" spans="1:15">
      <c r="A371" s="8"/>
      <c r="B371" s="9"/>
      <c r="C371" s="9"/>
      <c r="D371" s="9"/>
      <c r="E371" s="268"/>
      <c r="F371" s="9"/>
      <c r="G371" s="268"/>
      <c r="H371" s="9"/>
      <c r="I371" s="9"/>
      <c r="J371" s="20"/>
      <c r="K371" s="16"/>
      <c r="L371" s="9"/>
      <c r="M371" s="20"/>
      <c r="N371" s="9"/>
      <c r="O371" s="10"/>
    </row>
    <row r="372" spans="1:15">
      <c r="A372" s="5"/>
      <c r="B372" s="6"/>
      <c r="C372" s="6"/>
      <c r="D372" s="6"/>
      <c r="E372" s="267"/>
      <c r="F372" s="6"/>
      <c r="G372" s="267"/>
      <c r="H372" s="6"/>
      <c r="I372" s="6"/>
      <c r="J372" s="19"/>
      <c r="K372" s="15"/>
      <c r="L372" s="6"/>
      <c r="M372" s="19"/>
      <c r="N372" s="6"/>
      <c r="O372" s="7"/>
    </row>
    <row r="373" spans="1:15">
      <c r="A373" s="8"/>
      <c r="B373" s="9"/>
      <c r="C373" s="9"/>
      <c r="D373" s="9"/>
      <c r="E373" s="268"/>
      <c r="F373" s="9"/>
      <c r="G373" s="268"/>
      <c r="H373" s="9"/>
      <c r="I373" s="9"/>
      <c r="J373" s="20"/>
      <c r="K373" s="16"/>
      <c r="L373" s="9"/>
      <c r="M373" s="20"/>
      <c r="N373" s="9"/>
      <c r="O373" s="10"/>
    </row>
    <row r="374" spans="1:15">
      <c r="A374" s="5"/>
      <c r="B374" s="6"/>
      <c r="C374" s="6"/>
      <c r="D374" s="6"/>
      <c r="E374" s="267"/>
      <c r="F374" s="6"/>
      <c r="G374" s="267"/>
      <c r="H374" s="6"/>
      <c r="I374" s="6"/>
      <c r="J374" s="19"/>
      <c r="K374" s="15"/>
      <c r="L374" s="6"/>
      <c r="M374" s="19"/>
      <c r="N374" s="6"/>
      <c r="O374" s="7"/>
    </row>
    <row r="375" spans="1:15">
      <c r="A375" s="8"/>
      <c r="B375" s="9"/>
      <c r="C375" s="9"/>
      <c r="D375" s="9"/>
      <c r="E375" s="268"/>
      <c r="F375" s="9"/>
      <c r="G375" s="268"/>
      <c r="H375" s="9"/>
      <c r="I375" s="9"/>
      <c r="J375" s="20"/>
      <c r="K375" s="16"/>
      <c r="L375" s="9"/>
      <c r="M375" s="20"/>
      <c r="N375" s="9"/>
      <c r="O375" s="10"/>
    </row>
    <row r="376" spans="1:15">
      <c r="A376" s="5"/>
      <c r="B376" s="6"/>
      <c r="C376" s="6"/>
      <c r="D376" s="6"/>
      <c r="E376" s="267"/>
      <c r="F376" s="6"/>
      <c r="G376" s="267"/>
      <c r="H376" s="6"/>
      <c r="I376" s="6"/>
      <c r="J376" s="19"/>
      <c r="K376" s="15"/>
      <c r="L376" s="6"/>
      <c r="M376" s="19"/>
      <c r="N376" s="6"/>
      <c r="O376" s="7"/>
    </row>
    <row r="377" spans="1:15">
      <c r="A377" s="8"/>
      <c r="B377" s="9"/>
      <c r="C377" s="9"/>
      <c r="D377" s="9"/>
      <c r="E377" s="268"/>
      <c r="F377" s="9"/>
      <c r="G377" s="268"/>
      <c r="H377" s="9"/>
      <c r="I377" s="9"/>
      <c r="J377" s="20"/>
      <c r="K377" s="16"/>
      <c r="L377" s="9"/>
      <c r="M377" s="20"/>
      <c r="N377" s="9"/>
      <c r="O377" s="10"/>
    </row>
    <row r="378" spans="1:15">
      <c r="A378" s="5"/>
      <c r="B378" s="6"/>
      <c r="C378" s="6"/>
      <c r="D378" s="6"/>
      <c r="E378" s="267"/>
      <c r="F378" s="6"/>
      <c r="G378" s="267"/>
      <c r="H378" s="6"/>
      <c r="I378" s="6"/>
      <c r="J378" s="19"/>
      <c r="K378" s="15"/>
      <c r="L378" s="6"/>
      <c r="M378" s="19"/>
      <c r="N378" s="6"/>
      <c r="O378" s="7"/>
    </row>
    <row r="379" spans="1:15">
      <c r="A379" s="8"/>
      <c r="B379" s="9"/>
      <c r="C379" s="9"/>
      <c r="D379" s="9"/>
      <c r="E379" s="268"/>
      <c r="F379" s="9"/>
      <c r="G379" s="268"/>
      <c r="H379" s="9"/>
      <c r="I379" s="9"/>
      <c r="J379" s="20"/>
      <c r="K379" s="16"/>
      <c r="L379" s="9"/>
      <c r="M379" s="20"/>
      <c r="N379" s="9"/>
      <c r="O379" s="10"/>
    </row>
    <row r="380" spans="1:15">
      <c r="A380" s="5"/>
      <c r="B380" s="6"/>
      <c r="C380" s="6"/>
      <c r="D380" s="6"/>
      <c r="E380" s="267"/>
      <c r="F380" s="6"/>
      <c r="G380" s="267"/>
      <c r="H380" s="6"/>
      <c r="I380" s="6"/>
      <c r="J380" s="19"/>
      <c r="K380" s="15"/>
      <c r="L380" s="6"/>
      <c r="M380" s="19"/>
      <c r="N380" s="6"/>
      <c r="O380" s="7"/>
    </row>
    <row r="381" spans="1:15">
      <c r="A381" s="8"/>
      <c r="B381" s="9"/>
      <c r="C381" s="9"/>
      <c r="D381" s="9"/>
      <c r="E381" s="268"/>
      <c r="F381" s="9"/>
      <c r="G381" s="268"/>
      <c r="H381" s="9"/>
      <c r="I381" s="9"/>
      <c r="J381" s="20"/>
      <c r="K381" s="16"/>
      <c r="L381" s="9"/>
      <c r="M381" s="20"/>
      <c r="N381" s="9"/>
      <c r="O381" s="10"/>
    </row>
    <row r="382" spans="1:15">
      <c r="A382" s="5"/>
      <c r="B382" s="6"/>
      <c r="C382" s="6"/>
      <c r="D382" s="6"/>
      <c r="E382" s="267"/>
      <c r="F382" s="6"/>
      <c r="G382" s="267"/>
      <c r="H382" s="6"/>
      <c r="I382" s="6"/>
      <c r="J382" s="19"/>
      <c r="K382" s="15"/>
      <c r="L382" s="6"/>
      <c r="M382" s="19"/>
      <c r="N382" s="6"/>
      <c r="O382" s="7"/>
    </row>
    <row r="383" spans="1:15">
      <c r="A383" s="8"/>
      <c r="B383" s="9"/>
      <c r="C383" s="9"/>
      <c r="D383" s="9"/>
      <c r="E383" s="268"/>
      <c r="F383" s="9"/>
      <c r="G383" s="268"/>
      <c r="H383" s="9"/>
      <c r="I383" s="9"/>
      <c r="J383" s="20"/>
      <c r="K383" s="16"/>
      <c r="L383" s="9"/>
      <c r="M383" s="20"/>
      <c r="N383" s="9"/>
      <c r="O383" s="10"/>
    </row>
    <row r="384" spans="1:15">
      <c r="A384" s="5"/>
      <c r="B384" s="6"/>
      <c r="C384" s="6"/>
      <c r="D384" s="6"/>
      <c r="E384" s="267"/>
      <c r="F384" s="6"/>
      <c r="G384" s="267"/>
      <c r="H384" s="6"/>
      <c r="I384" s="6"/>
      <c r="J384" s="19"/>
      <c r="K384" s="15"/>
      <c r="L384" s="6"/>
      <c r="M384" s="19"/>
      <c r="N384" s="6"/>
      <c r="O384" s="7"/>
    </row>
    <row r="385" spans="1:15">
      <c r="A385" s="8"/>
      <c r="B385" s="9"/>
      <c r="C385" s="9"/>
      <c r="D385" s="9"/>
      <c r="E385" s="268"/>
      <c r="F385" s="9"/>
      <c r="G385" s="268"/>
      <c r="H385" s="9"/>
      <c r="I385" s="9"/>
      <c r="J385" s="20"/>
      <c r="K385" s="16"/>
      <c r="L385" s="9"/>
      <c r="M385" s="20"/>
      <c r="N385" s="9"/>
      <c r="O385" s="10"/>
    </row>
    <row r="386" spans="1:15">
      <c r="A386" s="5"/>
      <c r="B386" s="6"/>
      <c r="C386" s="6"/>
      <c r="D386" s="6"/>
      <c r="E386" s="267"/>
      <c r="F386" s="6"/>
      <c r="G386" s="267"/>
      <c r="H386" s="6"/>
      <c r="I386" s="6"/>
      <c r="J386" s="19"/>
      <c r="K386" s="15"/>
      <c r="L386" s="6"/>
      <c r="M386" s="19"/>
      <c r="N386" s="6"/>
      <c r="O386" s="7"/>
    </row>
    <row r="387" spans="1:15">
      <c r="A387" s="8"/>
      <c r="B387" s="9"/>
      <c r="C387" s="9"/>
      <c r="D387" s="9"/>
      <c r="E387" s="268"/>
      <c r="F387" s="9"/>
      <c r="G387" s="268"/>
      <c r="H387" s="9"/>
      <c r="I387" s="9"/>
      <c r="J387" s="20"/>
      <c r="K387" s="16"/>
      <c r="L387" s="9"/>
      <c r="M387" s="20"/>
      <c r="N387" s="9"/>
      <c r="O387" s="10"/>
    </row>
    <row r="388" spans="1:15">
      <c r="A388" s="5"/>
      <c r="B388" s="6"/>
      <c r="C388" s="6"/>
      <c r="D388" s="6"/>
      <c r="E388" s="267"/>
      <c r="F388" s="6"/>
      <c r="G388" s="267"/>
      <c r="H388" s="6"/>
      <c r="I388" s="6"/>
      <c r="J388" s="19"/>
      <c r="K388" s="15"/>
      <c r="L388" s="6"/>
      <c r="M388" s="19"/>
      <c r="N388" s="6"/>
      <c r="O388" s="7"/>
    </row>
    <row r="389" spans="1:15">
      <c r="A389" s="8"/>
      <c r="B389" s="9"/>
      <c r="C389" s="9"/>
      <c r="D389" s="9"/>
      <c r="E389" s="268"/>
      <c r="F389" s="9"/>
      <c r="G389" s="268"/>
      <c r="H389" s="9"/>
      <c r="I389" s="9"/>
      <c r="J389" s="20"/>
      <c r="K389" s="16"/>
      <c r="L389" s="9"/>
      <c r="M389" s="20"/>
      <c r="N389" s="9"/>
      <c r="O389" s="10"/>
    </row>
    <row r="390" spans="1:15">
      <c r="A390" s="5"/>
      <c r="B390" s="6"/>
      <c r="C390" s="6"/>
      <c r="D390" s="6"/>
      <c r="E390" s="267"/>
      <c r="F390" s="6"/>
      <c r="G390" s="267"/>
      <c r="H390" s="6"/>
      <c r="I390" s="6"/>
      <c r="J390" s="19"/>
      <c r="K390" s="15"/>
      <c r="L390" s="6"/>
      <c r="M390" s="19"/>
      <c r="N390" s="6"/>
      <c r="O390" s="7"/>
    </row>
    <row r="391" spans="1:15">
      <c r="A391" s="8"/>
      <c r="B391" s="9"/>
      <c r="C391" s="9"/>
      <c r="D391" s="9"/>
      <c r="E391" s="268"/>
      <c r="F391" s="9"/>
      <c r="G391" s="268"/>
      <c r="H391" s="9"/>
      <c r="I391" s="9"/>
      <c r="J391" s="20"/>
      <c r="K391" s="16"/>
      <c r="L391" s="9"/>
      <c r="M391" s="20"/>
      <c r="N391" s="9"/>
      <c r="O391" s="10"/>
    </row>
    <row r="392" spans="1:15">
      <c r="A392" s="5"/>
      <c r="B392" s="6"/>
      <c r="C392" s="6"/>
      <c r="D392" s="6"/>
      <c r="E392" s="267"/>
      <c r="F392" s="6"/>
      <c r="G392" s="267"/>
      <c r="H392" s="6"/>
      <c r="I392" s="6"/>
      <c r="J392" s="19"/>
      <c r="K392" s="15"/>
      <c r="L392" s="6"/>
      <c r="M392" s="19"/>
      <c r="N392" s="6"/>
      <c r="O392" s="7"/>
    </row>
    <row r="393" spans="1:15">
      <c r="A393" s="8"/>
      <c r="B393" s="9"/>
      <c r="C393" s="9"/>
      <c r="D393" s="9"/>
      <c r="E393" s="268"/>
      <c r="F393" s="9"/>
      <c r="G393" s="268"/>
      <c r="H393" s="9"/>
      <c r="I393" s="9"/>
      <c r="J393" s="20"/>
      <c r="K393" s="16"/>
      <c r="L393" s="9"/>
      <c r="M393" s="20"/>
      <c r="N393" s="9"/>
      <c r="O393" s="10"/>
    </row>
    <row r="394" spans="1:15">
      <c r="A394" s="5"/>
      <c r="B394" s="6"/>
      <c r="C394" s="6"/>
      <c r="D394" s="6"/>
      <c r="E394" s="267"/>
      <c r="F394" s="6"/>
      <c r="G394" s="267"/>
      <c r="H394" s="6"/>
      <c r="I394" s="6"/>
      <c r="J394" s="19"/>
      <c r="K394" s="15"/>
      <c r="L394" s="6"/>
      <c r="M394" s="19"/>
      <c r="N394" s="6"/>
      <c r="O394" s="7"/>
    </row>
    <row r="395" spans="1:15">
      <c r="A395" s="8"/>
      <c r="B395" s="9"/>
      <c r="C395" s="9"/>
      <c r="D395" s="9"/>
      <c r="E395" s="268"/>
      <c r="F395" s="9"/>
      <c r="G395" s="268"/>
      <c r="H395" s="9"/>
      <c r="I395" s="9"/>
      <c r="J395" s="20"/>
      <c r="K395" s="16"/>
      <c r="L395" s="9"/>
      <c r="M395" s="20"/>
      <c r="N395" s="9"/>
      <c r="O395" s="10"/>
    </row>
    <row r="396" spans="1:15">
      <c r="A396" s="5"/>
      <c r="B396" s="6"/>
      <c r="C396" s="6"/>
      <c r="D396" s="6"/>
      <c r="E396" s="267"/>
      <c r="F396" s="6"/>
      <c r="G396" s="267"/>
      <c r="H396" s="6"/>
      <c r="I396" s="6"/>
      <c r="J396" s="19"/>
      <c r="K396" s="15"/>
      <c r="L396" s="6"/>
      <c r="M396" s="19"/>
      <c r="N396" s="6"/>
      <c r="O396" s="7"/>
    </row>
    <row r="397" spans="1:15">
      <c r="A397" s="8"/>
      <c r="B397" s="9"/>
      <c r="C397" s="9"/>
      <c r="D397" s="9"/>
      <c r="E397" s="268"/>
      <c r="F397" s="9"/>
      <c r="G397" s="268"/>
      <c r="H397" s="9"/>
      <c r="I397" s="9"/>
      <c r="J397" s="20"/>
      <c r="K397" s="16"/>
      <c r="L397" s="9"/>
      <c r="M397" s="20"/>
      <c r="N397" s="9"/>
      <c r="O397" s="10"/>
    </row>
    <row r="398" spans="1:15">
      <c r="A398" s="5"/>
      <c r="B398" s="6"/>
      <c r="C398" s="6"/>
      <c r="D398" s="6"/>
      <c r="E398" s="267"/>
      <c r="F398" s="6"/>
      <c r="G398" s="267"/>
      <c r="H398" s="6"/>
      <c r="I398" s="6"/>
      <c r="J398" s="19"/>
      <c r="K398" s="15"/>
      <c r="L398" s="6"/>
      <c r="M398" s="19"/>
      <c r="N398" s="6"/>
      <c r="O398" s="7"/>
    </row>
    <row r="399" spans="1:15">
      <c r="A399" s="8"/>
      <c r="B399" s="9"/>
      <c r="C399" s="9"/>
      <c r="D399" s="9"/>
      <c r="E399" s="268"/>
      <c r="F399" s="9"/>
      <c r="G399" s="268"/>
      <c r="H399" s="9"/>
      <c r="I399" s="9"/>
      <c r="J399" s="20"/>
      <c r="K399" s="16"/>
      <c r="L399" s="9"/>
      <c r="M399" s="20"/>
      <c r="N399" s="9"/>
      <c r="O399" s="10"/>
    </row>
    <row r="400" spans="1:15">
      <c r="A400" s="5"/>
      <c r="B400" s="6"/>
      <c r="C400" s="6"/>
      <c r="D400" s="6"/>
      <c r="E400" s="267"/>
      <c r="F400" s="6"/>
      <c r="G400" s="267"/>
      <c r="H400" s="6"/>
      <c r="I400" s="6"/>
      <c r="J400" s="19"/>
      <c r="K400" s="15"/>
      <c r="L400" s="6"/>
      <c r="M400" s="19"/>
      <c r="N400" s="6"/>
      <c r="O400" s="7"/>
    </row>
    <row r="401" spans="1:15">
      <c r="A401" s="8"/>
      <c r="B401" s="9"/>
      <c r="C401" s="9"/>
      <c r="D401" s="9"/>
      <c r="E401" s="268"/>
      <c r="F401" s="9"/>
      <c r="G401" s="268"/>
      <c r="H401" s="9"/>
      <c r="I401" s="9"/>
      <c r="J401" s="20"/>
      <c r="K401" s="16"/>
      <c r="L401" s="9"/>
      <c r="M401" s="20"/>
      <c r="N401" s="9"/>
      <c r="O401" s="10"/>
    </row>
    <row r="402" spans="1:15">
      <c r="A402" s="5"/>
      <c r="B402" s="6"/>
      <c r="C402" s="6"/>
      <c r="D402" s="6"/>
      <c r="E402" s="267"/>
      <c r="F402" s="6"/>
      <c r="G402" s="267"/>
      <c r="H402" s="6"/>
      <c r="I402" s="6"/>
      <c r="J402" s="19"/>
      <c r="K402" s="15"/>
      <c r="L402" s="6"/>
      <c r="M402" s="19"/>
      <c r="N402" s="6"/>
      <c r="O402" s="7"/>
    </row>
    <row r="403" spans="1:15">
      <c r="A403" s="8"/>
      <c r="B403" s="9"/>
      <c r="C403" s="9"/>
      <c r="D403" s="9"/>
      <c r="E403" s="268"/>
      <c r="F403" s="9"/>
      <c r="G403" s="268"/>
      <c r="H403" s="9"/>
      <c r="I403" s="9"/>
      <c r="J403" s="20"/>
      <c r="K403" s="16"/>
      <c r="L403" s="9"/>
      <c r="M403" s="20"/>
      <c r="N403" s="9"/>
      <c r="O403" s="10"/>
    </row>
    <row r="404" spans="1:15">
      <c r="A404" s="5"/>
      <c r="B404" s="6"/>
      <c r="C404" s="6"/>
      <c r="D404" s="6"/>
      <c r="E404" s="267"/>
      <c r="F404" s="6"/>
      <c r="G404" s="267"/>
      <c r="H404" s="6"/>
      <c r="I404" s="6"/>
      <c r="J404" s="19"/>
      <c r="K404" s="15"/>
      <c r="L404" s="6"/>
      <c r="M404" s="19"/>
      <c r="N404" s="6"/>
      <c r="O404" s="7"/>
    </row>
    <row r="405" spans="1:15">
      <c r="A405" s="8"/>
      <c r="B405" s="9"/>
      <c r="C405" s="9"/>
      <c r="D405" s="9"/>
      <c r="E405" s="268"/>
      <c r="F405" s="9"/>
      <c r="G405" s="268"/>
      <c r="H405" s="9"/>
      <c r="I405" s="9"/>
      <c r="J405" s="20"/>
      <c r="K405" s="16"/>
      <c r="L405" s="9"/>
      <c r="M405" s="20"/>
      <c r="N405" s="9"/>
      <c r="O405" s="10"/>
    </row>
    <row r="406" spans="1:15">
      <c r="A406" s="5"/>
      <c r="B406" s="6"/>
      <c r="C406" s="6"/>
      <c r="D406" s="6"/>
      <c r="E406" s="267"/>
      <c r="F406" s="6"/>
      <c r="G406" s="267"/>
      <c r="H406" s="6"/>
      <c r="I406" s="6"/>
      <c r="J406" s="19"/>
      <c r="K406" s="15"/>
      <c r="L406" s="6"/>
      <c r="M406" s="19"/>
      <c r="N406" s="6"/>
      <c r="O406" s="7"/>
    </row>
    <row r="407" spans="1:15">
      <c r="A407" s="8"/>
      <c r="B407" s="9"/>
      <c r="C407" s="9"/>
      <c r="D407" s="9"/>
      <c r="E407" s="268"/>
      <c r="F407" s="9"/>
      <c r="G407" s="268"/>
      <c r="H407" s="9"/>
      <c r="I407" s="9"/>
      <c r="J407" s="20"/>
      <c r="K407" s="16"/>
      <c r="L407" s="9"/>
      <c r="M407" s="20"/>
      <c r="N407" s="9"/>
      <c r="O407" s="10"/>
    </row>
    <row r="408" spans="1:15">
      <c r="A408" s="5"/>
      <c r="B408" s="6"/>
      <c r="C408" s="6"/>
      <c r="D408" s="6"/>
      <c r="E408" s="267"/>
      <c r="F408" s="6"/>
      <c r="G408" s="267"/>
      <c r="H408" s="6"/>
      <c r="I408" s="6"/>
      <c r="J408" s="19"/>
      <c r="K408" s="15"/>
      <c r="L408" s="6"/>
      <c r="M408" s="19"/>
      <c r="N408" s="6"/>
      <c r="O408" s="7"/>
    </row>
    <row r="409" spans="1:15">
      <c r="A409" s="8"/>
      <c r="B409" s="9"/>
      <c r="C409" s="9"/>
      <c r="D409" s="9"/>
      <c r="E409" s="268"/>
      <c r="F409" s="9"/>
      <c r="G409" s="268"/>
      <c r="H409" s="9"/>
      <c r="I409" s="9"/>
      <c r="J409" s="20"/>
      <c r="K409" s="16"/>
      <c r="L409" s="9"/>
      <c r="M409" s="20"/>
      <c r="N409" s="9"/>
      <c r="O409" s="10"/>
    </row>
    <row r="410" spans="1:15">
      <c r="A410" s="5"/>
      <c r="B410" s="6"/>
      <c r="C410" s="6"/>
      <c r="D410" s="6"/>
      <c r="E410" s="267"/>
      <c r="F410" s="6"/>
      <c r="G410" s="267"/>
      <c r="H410" s="6"/>
      <c r="I410" s="6"/>
      <c r="J410" s="19"/>
      <c r="K410" s="15"/>
      <c r="L410" s="6"/>
      <c r="M410" s="19"/>
      <c r="N410" s="6"/>
      <c r="O410" s="7"/>
    </row>
    <row r="411" spans="1:15">
      <c r="A411" s="8"/>
      <c r="B411" s="9"/>
      <c r="C411" s="9"/>
      <c r="D411" s="9"/>
      <c r="E411" s="268"/>
      <c r="F411" s="9"/>
      <c r="G411" s="268"/>
      <c r="H411" s="9"/>
      <c r="I411" s="9"/>
      <c r="J411" s="20"/>
      <c r="K411" s="16"/>
      <c r="L411" s="9"/>
      <c r="M411" s="20"/>
      <c r="N411" s="9"/>
      <c r="O411" s="10"/>
    </row>
    <row r="412" spans="1:15">
      <c r="A412" s="5"/>
      <c r="B412" s="6"/>
      <c r="C412" s="6"/>
      <c r="D412" s="6"/>
      <c r="E412" s="267"/>
      <c r="F412" s="6"/>
      <c r="G412" s="267"/>
      <c r="H412" s="6"/>
      <c r="I412" s="6"/>
      <c r="J412" s="19"/>
      <c r="K412" s="15"/>
      <c r="L412" s="6"/>
      <c r="M412" s="19"/>
      <c r="N412" s="6"/>
      <c r="O412" s="7"/>
    </row>
    <row r="413" spans="1:15">
      <c r="A413" s="8"/>
      <c r="B413" s="9"/>
      <c r="C413" s="9"/>
      <c r="D413" s="9"/>
      <c r="E413" s="268"/>
      <c r="F413" s="9"/>
      <c r="G413" s="268"/>
      <c r="H413" s="9"/>
      <c r="I413" s="9"/>
      <c r="J413" s="20"/>
      <c r="K413" s="16"/>
      <c r="L413" s="9"/>
      <c r="M413" s="20"/>
      <c r="N413" s="9"/>
      <c r="O413" s="10"/>
    </row>
    <row r="414" spans="1:15">
      <c r="A414" s="5"/>
      <c r="B414" s="6"/>
      <c r="C414" s="6"/>
      <c r="D414" s="6"/>
      <c r="E414" s="267"/>
      <c r="F414" s="6"/>
      <c r="G414" s="267"/>
      <c r="H414" s="6"/>
      <c r="I414" s="6"/>
      <c r="J414" s="19"/>
      <c r="K414" s="15"/>
      <c r="L414" s="6"/>
      <c r="M414" s="19"/>
      <c r="N414" s="6"/>
      <c r="O414" s="7"/>
    </row>
    <row r="415" spans="1:15">
      <c r="A415" s="8"/>
      <c r="B415" s="9"/>
      <c r="C415" s="9"/>
      <c r="D415" s="9"/>
      <c r="E415" s="268"/>
      <c r="F415" s="9"/>
      <c r="G415" s="268"/>
      <c r="H415" s="9"/>
      <c r="I415" s="9"/>
      <c r="J415" s="20"/>
      <c r="K415" s="16"/>
      <c r="L415" s="9"/>
      <c r="M415" s="20"/>
      <c r="N415" s="9"/>
      <c r="O415" s="10"/>
    </row>
    <row r="416" spans="1:15">
      <c r="A416" s="5"/>
      <c r="B416" s="6"/>
      <c r="C416" s="6"/>
      <c r="D416" s="6"/>
      <c r="E416" s="267"/>
      <c r="F416" s="6"/>
      <c r="G416" s="267"/>
      <c r="H416" s="6"/>
      <c r="I416" s="6"/>
      <c r="J416" s="19"/>
      <c r="K416" s="15"/>
      <c r="L416" s="6"/>
      <c r="M416" s="19"/>
      <c r="N416" s="6"/>
      <c r="O416" s="7"/>
    </row>
    <row r="417" spans="1:15">
      <c r="A417" s="8"/>
      <c r="B417" s="9"/>
      <c r="C417" s="9"/>
      <c r="D417" s="9"/>
      <c r="E417" s="268"/>
      <c r="F417" s="9"/>
      <c r="G417" s="268"/>
      <c r="H417" s="9"/>
      <c r="I417" s="9"/>
      <c r="J417" s="20"/>
      <c r="K417" s="16"/>
      <c r="L417" s="9"/>
      <c r="M417" s="20"/>
      <c r="N417" s="9"/>
      <c r="O417" s="10"/>
    </row>
    <row r="418" spans="1:15">
      <c r="A418" s="5"/>
      <c r="B418" s="6"/>
      <c r="C418" s="6"/>
      <c r="D418" s="6"/>
      <c r="E418" s="267"/>
      <c r="F418" s="6"/>
      <c r="G418" s="267"/>
      <c r="H418" s="6"/>
      <c r="I418" s="6"/>
      <c r="J418" s="19"/>
      <c r="K418" s="15"/>
      <c r="L418" s="6"/>
      <c r="M418" s="19"/>
      <c r="N418" s="6"/>
      <c r="O418" s="7"/>
    </row>
    <row r="1077" spans="5:5">
      <c r="E1077" s="26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C46E2-7E1B-4F05-86E7-6410074E3206}">
  <sheetPr codeName="Hoja8">
    <tabColor theme="1" tint="0.39997558519241921"/>
  </sheetPr>
  <dimension ref="A1:P1077"/>
  <sheetViews>
    <sheetView zoomScale="115" zoomScaleNormal="115" workbookViewId="0">
      <selection activeCell="E203" sqref="E1:E203"/>
    </sheetView>
  </sheetViews>
  <sheetFormatPr baseColWidth="10" defaultColWidth="16" defaultRowHeight="14.25"/>
  <cols>
    <col min="1" max="1" width="32" style="1" customWidth="1"/>
    <col min="2" max="2" width="51.125" style="1" customWidth="1"/>
    <col min="3" max="3" width="16" style="17"/>
    <col min="4" max="4" width="18.5" style="60" bestFit="1" customWidth="1"/>
    <col min="5" max="6" width="16" style="11"/>
    <col min="7" max="7" width="16" style="13"/>
    <col min="8" max="8" width="16" style="1"/>
    <col min="9" max="10" width="16" style="21"/>
    <col min="11" max="11" width="16" style="23"/>
    <col min="12" max="14" width="16" style="21"/>
    <col min="15" max="16384" width="16" style="1"/>
  </cols>
  <sheetData>
    <row r="1" spans="1:16" ht="15.75" thickBot="1">
      <c r="A1" s="40" t="s">
        <v>246</v>
      </c>
      <c r="B1" s="40" t="s">
        <v>247</v>
      </c>
      <c r="C1" s="48" t="s">
        <v>13</v>
      </c>
      <c r="D1" s="62" t="s">
        <v>248</v>
      </c>
      <c r="E1" s="41" t="s">
        <v>249</v>
      </c>
      <c r="F1"/>
      <c r="G1"/>
      <c r="H1"/>
      <c r="I1"/>
      <c r="J1"/>
      <c r="K1"/>
      <c r="L1"/>
      <c r="M1"/>
      <c r="N1"/>
      <c r="O1"/>
      <c r="P1"/>
    </row>
    <row r="2" spans="1:16">
      <c r="A2" s="42" t="s">
        <v>18</v>
      </c>
      <c r="B2" s="42" t="s">
        <v>376</v>
      </c>
      <c r="C2" s="49">
        <v>0.21558099999999999</v>
      </c>
      <c r="D2" s="63">
        <v>5122393585.5457001</v>
      </c>
      <c r="E2" s="43" t="s">
        <v>42</v>
      </c>
      <c r="F2"/>
      <c r="G2"/>
      <c r="H2"/>
      <c r="I2"/>
      <c r="J2"/>
      <c r="K2"/>
      <c r="L2"/>
      <c r="M2"/>
      <c r="N2"/>
      <c r="O2"/>
      <c r="P2"/>
    </row>
    <row r="3" spans="1:16">
      <c r="A3" s="8" t="s">
        <v>251</v>
      </c>
      <c r="B3" s="8" t="s">
        <v>376</v>
      </c>
      <c r="C3" s="50">
        <v>0.19289000000000001</v>
      </c>
      <c r="D3" s="64">
        <v>19860864013.311298</v>
      </c>
      <c r="E3" s="44" t="s">
        <v>36</v>
      </c>
      <c r="F3"/>
      <c r="G3"/>
      <c r="H3"/>
      <c r="I3"/>
      <c r="J3"/>
      <c r="K3"/>
      <c r="L3"/>
      <c r="M3"/>
      <c r="N3"/>
      <c r="O3"/>
      <c r="P3"/>
    </row>
    <row r="4" spans="1:16">
      <c r="A4" s="5" t="s">
        <v>28</v>
      </c>
      <c r="B4" s="5" t="s">
        <v>376</v>
      </c>
      <c r="C4" s="51">
        <v>0.14765600000000001</v>
      </c>
      <c r="D4" s="65">
        <v>1505181402</v>
      </c>
      <c r="E4" s="45" t="s">
        <v>91</v>
      </c>
      <c r="F4"/>
      <c r="G4"/>
      <c r="H4"/>
      <c r="I4"/>
      <c r="J4"/>
      <c r="K4"/>
      <c r="L4"/>
      <c r="M4"/>
      <c r="N4"/>
      <c r="O4"/>
      <c r="P4"/>
    </row>
    <row r="5" spans="1:16">
      <c r="A5" s="8" t="s">
        <v>28</v>
      </c>
      <c r="B5" s="8" t="s">
        <v>288</v>
      </c>
      <c r="C5" s="50">
        <v>0.13323199999999999</v>
      </c>
      <c r="D5" s="64">
        <v>1358155814</v>
      </c>
      <c r="E5" s="44" t="s">
        <v>254</v>
      </c>
      <c r="F5"/>
      <c r="G5"/>
      <c r="H5"/>
      <c r="I5"/>
      <c r="J5"/>
      <c r="K5"/>
      <c r="L5"/>
      <c r="M5"/>
      <c r="N5"/>
      <c r="O5"/>
      <c r="P5"/>
    </row>
    <row r="6" spans="1:16">
      <c r="A6" s="5" t="s">
        <v>250</v>
      </c>
      <c r="B6" s="5" t="s">
        <v>262</v>
      </c>
      <c r="C6" s="51">
        <v>0.13215499999999999</v>
      </c>
      <c r="D6" s="65">
        <v>1073040025</v>
      </c>
      <c r="E6" s="45" t="s">
        <v>254</v>
      </c>
      <c r="F6"/>
      <c r="G6"/>
      <c r="H6"/>
      <c r="I6"/>
      <c r="J6"/>
      <c r="K6"/>
      <c r="L6"/>
      <c r="M6"/>
      <c r="N6"/>
      <c r="O6"/>
      <c r="P6"/>
    </row>
    <row r="7" spans="1:16">
      <c r="A7" s="8" t="s">
        <v>250</v>
      </c>
      <c r="B7" s="8" t="s">
        <v>270</v>
      </c>
      <c r="C7" s="50">
        <v>0.13032199999999999</v>
      </c>
      <c r="D7" s="64">
        <v>1058154543</v>
      </c>
      <c r="E7" s="44" t="s">
        <v>254</v>
      </c>
      <c r="F7"/>
      <c r="G7"/>
      <c r="H7"/>
      <c r="I7"/>
      <c r="J7"/>
      <c r="K7"/>
      <c r="L7"/>
      <c r="M7"/>
      <c r="N7"/>
      <c r="O7"/>
      <c r="P7"/>
    </row>
    <row r="8" spans="1:16">
      <c r="A8" s="5" t="s">
        <v>28</v>
      </c>
      <c r="B8" s="5" t="s">
        <v>262</v>
      </c>
      <c r="C8" s="51">
        <v>0.11035</v>
      </c>
      <c r="D8" s="65">
        <v>1124911010</v>
      </c>
      <c r="E8" s="45" t="s">
        <v>254</v>
      </c>
      <c r="F8"/>
      <c r="G8"/>
      <c r="H8"/>
      <c r="I8"/>
      <c r="J8"/>
      <c r="K8"/>
      <c r="L8"/>
      <c r="M8"/>
      <c r="N8"/>
      <c r="O8"/>
      <c r="P8"/>
    </row>
    <row r="9" spans="1:16">
      <c r="A9" s="8" t="s">
        <v>28</v>
      </c>
      <c r="B9" s="8" t="s">
        <v>257</v>
      </c>
      <c r="C9" s="50">
        <v>0.107879</v>
      </c>
      <c r="D9" s="64">
        <v>1099719399</v>
      </c>
      <c r="E9" s="44" t="s">
        <v>254</v>
      </c>
      <c r="F9"/>
      <c r="G9"/>
      <c r="H9"/>
      <c r="I9"/>
      <c r="J9"/>
      <c r="K9"/>
      <c r="L9"/>
      <c r="M9"/>
      <c r="N9"/>
      <c r="O9"/>
      <c r="P9"/>
    </row>
    <row r="10" spans="1:16">
      <c r="A10" s="5" t="s">
        <v>28</v>
      </c>
      <c r="B10" s="5" t="s">
        <v>608</v>
      </c>
      <c r="C10" s="51">
        <v>0.102615</v>
      </c>
      <c r="D10" s="65">
        <v>1046048573</v>
      </c>
      <c r="E10" s="45" t="s">
        <v>254</v>
      </c>
      <c r="F10"/>
      <c r="G10"/>
      <c r="H10"/>
      <c r="I10"/>
      <c r="J10"/>
      <c r="K10"/>
      <c r="L10"/>
      <c r="M10"/>
      <c r="N10"/>
      <c r="O10"/>
      <c r="P10"/>
    </row>
    <row r="11" spans="1:16">
      <c r="A11" s="8" t="s">
        <v>250</v>
      </c>
      <c r="B11" s="8" t="s">
        <v>268</v>
      </c>
      <c r="C11" s="50">
        <v>9.2271000000000006E-2</v>
      </c>
      <c r="D11" s="64">
        <v>749194270</v>
      </c>
      <c r="E11" s="44" t="s">
        <v>254</v>
      </c>
      <c r="F11"/>
      <c r="G11"/>
      <c r="H11"/>
      <c r="I11"/>
      <c r="J11"/>
      <c r="K11"/>
      <c r="L11"/>
      <c r="M11"/>
      <c r="N11"/>
      <c r="O11"/>
      <c r="P11"/>
    </row>
    <row r="12" spans="1:16">
      <c r="A12" s="5" t="s">
        <v>250</v>
      </c>
      <c r="B12" s="5" t="s">
        <v>376</v>
      </c>
      <c r="C12" s="51">
        <v>8.9257000000000003E-2</v>
      </c>
      <c r="D12" s="65">
        <v>724716972</v>
      </c>
      <c r="E12" s="45" t="s">
        <v>91</v>
      </c>
      <c r="F12"/>
      <c r="G12"/>
      <c r="H12"/>
      <c r="I12"/>
      <c r="J12"/>
      <c r="K12"/>
      <c r="L12"/>
      <c r="M12"/>
      <c r="N12"/>
      <c r="O12"/>
      <c r="P12"/>
    </row>
    <row r="13" spans="1:16">
      <c r="A13" s="8" t="s">
        <v>28</v>
      </c>
      <c r="B13" s="8" t="s">
        <v>270</v>
      </c>
      <c r="C13" s="50">
        <v>8.6723999999999996E-2</v>
      </c>
      <c r="D13" s="64">
        <v>884074727</v>
      </c>
      <c r="E13" s="44" t="s">
        <v>254</v>
      </c>
      <c r="F13"/>
      <c r="G13"/>
      <c r="H13"/>
      <c r="I13"/>
      <c r="J13"/>
      <c r="K13"/>
      <c r="L13"/>
      <c r="M13"/>
      <c r="N13"/>
      <c r="O13"/>
      <c r="P13"/>
    </row>
    <row r="14" spans="1:16">
      <c r="A14" s="5" t="s">
        <v>250</v>
      </c>
      <c r="B14" s="5" t="s">
        <v>255</v>
      </c>
      <c r="C14" s="51">
        <v>8.5139999999999993E-2</v>
      </c>
      <c r="D14" s="65">
        <v>691292454</v>
      </c>
      <c r="E14" s="45" t="s">
        <v>254</v>
      </c>
      <c r="F14"/>
      <c r="G14"/>
      <c r="H14"/>
      <c r="I14"/>
      <c r="J14"/>
      <c r="K14"/>
      <c r="L14"/>
      <c r="M14"/>
      <c r="N14"/>
      <c r="O14"/>
      <c r="P14"/>
    </row>
    <row r="15" spans="1:16">
      <c r="A15" s="8" t="s">
        <v>250</v>
      </c>
      <c r="B15" s="8" t="s">
        <v>298</v>
      </c>
      <c r="C15" s="50">
        <v>8.4986999999999993E-2</v>
      </c>
      <c r="D15" s="64">
        <v>690052582</v>
      </c>
      <c r="E15" s="44" t="s">
        <v>254</v>
      </c>
      <c r="F15"/>
      <c r="G15"/>
      <c r="H15"/>
      <c r="I15"/>
      <c r="J15"/>
      <c r="K15"/>
      <c r="L15"/>
      <c r="M15"/>
      <c r="N15"/>
      <c r="O15"/>
      <c r="P15"/>
    </row>
    <row r="16" spans="1:16">
      <c r="A16" s="5" t="s">
        <v>28</v>
      </c>
      <c r="B16" s="5" t="s">
        <v>253</v>
      </c>
      <c r="C16" s="51">
        <v>8.1597000000000003E-2</v>
      </c>
      <c r="D16" s="65">
        <v>831783931</v>
      </c>
      <c r="E16" s="45" t="s">
        <v>254</v>
      </c>
      <c r="F16"/>
      <c r="G16"/>
      <c r="H16"/>
      <c r="I16"/>
      <c r="J16"/>
      <c r="K16"/>
      <c r="L16"/>
      <c r="M16"/>
      <c r="N16"/>
      <c r="O16"/>
      <c r="P16"/>
    </row>
    <row r="17" spans="1:16">
      <c r="A17" s="8" t="s">
        <v>250</v>
      </c>
      <c r="B17" s="8" t="s">
        <v>291</v>
      </c>
      <c r="C17" s="50">
        <v>7.9305E-2</v>
      </c>
      <c r="D17" s="64">
        <v>643922022</v>
      </c>
      <c r="E17" s="44" t="s">
        <v>254</v>
      </c>
      <c r="F17"/>
      <c r="G17"/>
      <c r="H17"/>
      <c r="I17"/>
      <c r="J17"/>
      <c r="K17"/>
      <c r="L17"/>
      <c r="M17"/>
      <c r="N17"/>
      <c r="O17"/>
      <c r="P17"/>
    </row>
    <row r="18" spans="1:16">
      <c r="A18" s="5" t="s">
        <v>250</v>
      </c>
      <c r="B18" s="5" t="s">
        <v>288</v>
      </c>
      <c r="C18" s="51">
        <v>6.8301000000000001E-2</v>
      </c>
      <c r="D18" s="65">
        <v>554581714</v>
      </c>
      <c r="E18" s="45" t="s">
        <v>254</v>
      </c>
      <c r="F18"/>
      <c r="G18"/>
      <c r="H18"/>
      <c r="I18"/>
      <c r="J18"/>
      <c r="K18"/>
      <c r="L18"/>
      <c r="M18"/>
      <c r="N18"/>
      <c r="O18"/>
      <c r="P18"/>
    </row>
    <row r="19" spans="1:16">
      <c r="A19" s="8" t="s">
        <v>250</v>
      </c>
      <c r="B19" s="8" t="s">
        <v>253</v>
      </c>
      <c r="C19" s="50">
        <v>6.6164000000000001E-2</v>
      </c>
      <c r="D19" s="64">
        <v>537229488</v>
      </c>
      <c r="E19" s="44" t="s">
        <v>254</v>
      </c>
      <c r="F19"/>
      <c r="G19"/>
      <c r="H19"/>
      <c r="I19"/>
      <c r="J19"/>
      <c r="K19"/>
      <c r="L19"/>
      <c r="M19"/>
      <c r="N19"/>
      <c r="O19"/>
      <c r="P19"/>
    </row>
    <row r="20" spans="1:16">
      <c r="A20" s="5" t="s">
        <v>18</v>
      </c>
      <c r="B20" s="5" t="s">
        <v>260</v>
      </c>
      <c r="C20" s="51">
        <v>6.0263999999999998E-2</v>
      </c>
      <c r="D20" s="65">
        <v>1431985046.7182</v>
      </c>
      <c r="E20" s="45" t="s">
        <v>456</v>
      </c>
      <c r="F20"/>
      <c r="G20"/>
      <c r="H20"/>
      <c r="I20"/>
      <c r="J20"/>
      <c r="K20"/>
      <c r="L20"/>
      <c r="M20"/>
      <c r="N20"/>
      <c r="O20"/>
      <c r="P20"/>
    </row>
    <row r="21" spans="1:16">
      <c r="A21" s="8" t="s">
        <v>250</v>
      </c>
      <c r="B21" s="8" t="s">
        <v>257</v>
      </c>
      <c r="C21" s="50">
        <v>6.0171000000000002E-2</v>
      </c>
      <c r="D21" s="64">
        <v>488563866</v>
      </c>
      <c r="E21" s="44" t="s">
        <v>254</v>
      </c>
      <c r="F21"/>
      <c r="G21"/>
      <c r="H21"/>
      <c r="I21"/>
      <c r="J21"/>
      <c r="K21"/>
      <c r="L21"/>
      <c r="M21"/>
      <c r="N21"/>
      <c r="O21"/>
      <c r="P21"/>
    </row>
    <row r="22" spans="1:16">
      <c r="A22" s="5" t="s">
        <v>28</v>
      </c>
      <c r="B22" s="5" t="s">
        <v>291</v>
      </c>
      <c r="C22" s="51">
        <v>5.3289000000000003E-2</v>
      </c>
      <c r="D22" s="65">
        <v>543219369</v>
      </c>
      <c r="E22" s="45" t="s">
        <v>254</v>
      </c>
      <c r="F22"/>
      <c r="G22"/>
      <c r="H22"/>
      <c r="I22"/>
      <c r="J22"/>
      <c r="K22"/>
      <c r="L22"/>
      <c r="M22"/>
      <c r="N22"/>
      <c r="O22"/>
      <c r="P22"/>
    </row>
    <row r="23" spans="1:16">
      <c r="A23" s="8" t="s">
        <v>18</v>
      </c>
      <c r="B23" s="8" t="s">
        <v>266</v>
      </c>
      <c r="C23" s="50">
        <v>5.1285999999999998E-2</v>
      </c>
      <c r="D23" s="64">
        <v>1218614330.7202001</v>
      </c>
      <c r="E23" s="44" t="s">
        <v>267</v>
      </c>
      <c r="F23"/>
      <c r="G23"/>
      <c r="H23"/>
      <c r="I23"/>
      <c r="J23"/>
      <c r="K23"/>
      <c r="L23"/>
      <c r="M23"/>
      <c r="N23"/>
      <c r="O23"/>
      <c r="P23"/>
    </row>
    <row r="24" spans="1:16">
      <c r="A24" s="5" t="s">
        <v>18</v>
      </c>
      <c r="B24" s="5" t="s">
        <v>262</v>
      </c>
      <c r="C24" s="51">
        <v>4.9631000000000002E-2</v>
      </c>
      <c r="D24" s="65">
        <v>1179290793.3123</v>
      </c>
      <c r="E24" s="45" t="s">
        <v>63</v>
      </c>
      <c r="F24"/>
      <c r="G24"/>
      <c r="H24"/>
      <c r="I24"/>
      <c r="J24"/>
      <c r="K24"/>
      <c r="L24"/>
      <c r="M24"/>
      <c r="N24"/>
      <c r="O24"/>
      <c r="P24"/>
    </row>
    <row r="25" spans="1:16">
      <c r="A25" s="8" t="s">
        <v>251</v>
      </c>
      <c r="B25" s="8" t="s">
        <v>265</v>
      </c>
      <c r="C25" s="50">
        <v>4.9570999999999997E-2</v>
      </c>
      <c r="D25" s="64">
        <v>5104499526.5395002</v>
      </c>
      <c r="E25" s="44" t="s">
        <v>254</v>
      </c>
      <c r="F25"/>
      <c r="G25"/>
      <c r="H25"/>
      <c r="I25"/>
      <c r="J25"/>
      <c r="K25"/>
      <c r="L25"/>
      <c r="M25"/>
      <c r="N25"/>
      <c r="O25"/>
      <c r="P25"/>
    </row>
    <row r="26" spans="1:16">
      <c r="A26" s="5" t="s">
        <v>28</v>
      </c>
      <c r="B26" s="5" t="s">
        <v>269</v>
      </c>
      <c r="C26" s="51">
        <v>4.3462000000000001E-2</v>
      </c>
      <c r="D26" s="65">
        <v>443043334</v>
      </c>
      <c r="E26" s="45" t="s">
        <v>271</v>
      </c>
      <c r="F26"/>
      <c r="G26"/>
      <c r="H26"/>
      <c r="I26"/>
      <c r="J26"/>
      <c r="K26"/>
      <c r="L26"/>
      <c r="M26"/>
      <c r="N26"/>
      <c r="O26"/>
      <c r="P26"/>
    </row>
    <row r="27" spans="1:16">
      <c r="A27" s="8" t="s">
        <v>251</v>
      </c>
      <c r="B27" s="8" t="s">
        <v>296</v>
      </c>
      <c r="C27" s="50">
        <v>4.1991000000000001E-2</v>
      </c>
      <c r="D27" s="64">
        <v>4323998075.743</v>
      </c>
      <c r="E27" s="44" t="s">
        <v>254</v>
      </c>
      <c r="F27"/>
      <c r="G27"/>
      <c r="H27"/>
      <c r="I27"/>
      <c r="J27"/>
      <c r="K27"/>
      <c r="L27"/>
      <c r="M27"/>
      <c r="N27"/>
      <c r="O27"/>
      <c r="P27"/>
    </row>
    <row r="28" spans="1:16">
      <c r="A28" s="5" t="s">
        <v>18</v>
      </c>
      <c r="B28" s="5" t="s">
        <v>253</v>
      </c>
      <c r="C28" s="51">
        <v>4.1419999999999998E-2</v>
      </c>
      <c r="D28" s="65">
        <v>984180143.52970004</v>
      </c>
      <c r="E28" s="45" t="s">
        <v>254</v>
      </c>
      <c r="F28"/>
      <c r="G28"/>
      <c r="H28"/>
      <c r="I28"/>
      <c r="J28"/>
      <c r="K28"/>
      <c r="L28"/>
      <c r="M28"/>
      <c r="N28"/>
      <c r="O28"/>
      <c r="P28"/>
    </row>
    <row r="29" spans="1:16">
      <c r="A29" s="8" t="s">
        <v>251</v>
      </c>
      <c r="B29" s="8" t="s">
        <v>255</v>
      </c>
      <c r="C29" s="50">
        <v>4.0092000000000003E-2</v>
      </c>
      <c r="D29" s="64">
        <v>4128013354.5079002</v>
      </c>
      <c r="E29" s="44" t="s">
        <v>256</v>
      </c>
      <c r="F29"/>
      <c r="G29"/>
      <c r="H29"/>
      <c r="I29"/>
      <c r="J29"/>
      <c r="K29"/>
      <c r="L29"/>
      <c r="M29"/>
      <c r="N29"/>
      <c r="O29"/>
      <c r="P29"/>
    </row>
    <row r="30" spans="1:16">
      <c r="A30" s="5" t="s">
        <v>18</v>
      </c>
      <c r="B30" s="5" t="s">
        <v>287</v>
      </c>
      <c r="C30" s="51">
        <v>3.8483999999999997E-2</v>
      </c>
      <c r="D30" s="65">
        <v>914441744.49109995</v>
      </c>
      <c r="E30" s="45" t="s">
        <v>786</v>
      </c>
      <c r="F30"/>
      <c r="G30"/>
      <c r="H30"/>
      <c r="I30"/>
      <c r="J30"/>
      <c r="K30"/>
      <c r="L30"/>
      <c r="M30"/>
      <c r="N30"/>
      <c r="O30"/>
      <c r="P30"/>
    </row>
    <row r="31" spans="1:16">
      <c r="A31" s="8" t="s">
        <v>18</v>
      </c>
      <c r="B31" s="8" t="s">
        <v>265</v>
      </c>
      <c r="C31" s="50">
        <v>3.8266000000000001E-2</v>
      </c>
      <c r="D31" s="64">
        <v>909261689.5862</v>
      </c>
      <c r="E31" s="44" t="s">
        <v>787</v>
      </c>
      <c r="F31"/>
      <c r="G31"/>
      <c r="H31"/>
      <c r="I31"/>
      <c r="J31"/>
      <c r="K31"/>
      <c r="L31"/>
      <c r="M31"/>
      <c r="N31"/>
      <c r="O31"/>
      <c r="P31"/>
    </row>
    <row r="32" spans="1:16">
      <c r="A32" s="5" t="s">
        <v>250</v>
      </c>
      <c r="B32" s="5" t="s">
        <v>667</v>
      </c>
      <c r="C32" s="51">
        <v>3.6877E-2</v>
      </c>
      <c r="D32" s="65">
        <v>299426100</v>
      </c>
      <c r="E32" s="45" t="s">
        <v>254</v>
      </c>
      <c r="F32"/>
      <c r="G32"/>
      <c r="H32"/>
      <c r="I32"/>
      <c r="J32"/>
      <c r="K32"/>
      <c r="L32"/>
      <c r="M32"/>
      <c r="N32"/>
      <c r="O32"/>
      <c r="P32"/>
    </row>
    <row r="33" spans="1:16">
      <c r="A33" s="8" t="s">
        <v>250</v>
      </c>
      <c r="B33" s="8" t="s">
        <v>260</v>
      </c>
      <c r="C33" s="50">
        <v>3.6185000000000002E-2</v>
      </c>
      <c r="D33" s="64">
        <v>293802721</v>
      </c>
      <c r="E33" s="44" t="s">
        <v>254</v>
      </c>
      <c r="F33"/>
      <c r="G33"/>
      <c r="H33"/>
      <c r="I33"/>
      <c r="J33"/>
      <c r="K33"/>
      <c r="L33"/>
      <c r="M33"/>
      <c r="N33"/>
      <c r="O33"/>
      <c r="P33"/>
    </row>
    <row r="34" spans="1:16">
      <c r="A34" s="5" t="s">
        <v>251</v>
      </c>
      <c r="B34" s="5" t="s">
        <v>260</v>
      </c>
      <c r="C34" s="51">
        <v>3.4105999999999997E-2</v>
      </c>
      <c r="D34" s="65">
        <v>3512172231.3477001</v>
      </c>
      <c r="E34" s="45" t="s">
        <v>55</v>
      </c>
      <c r="F34"/>
      <c r="G34"/>
      <c r="H34"/>
      <c r="I34"/>
      <c r="J34"/>
      <c r="K34"/>
      <c r="L34"/>
      <c r="M34"/>
      <c r="N34"/>
      <c r="O34"/>
      <c r="P34"/>
    </row>
    <row r="35" spans="1:16">
      <c r="A35" s="8" t="s">
        <v>28</v>
      </c>
      <c r="B35" s="8" t="s">
        <v>260</v>
      </c>
      <c r="C35" s="50">
        <v>3.3926999999999999E-2</v>
      </c>
      <c r="D35" s="64">
        <v>345856482</v>
      </c>
      <c r="E35" s="44" t="s">
        <v>254</v>
      </c>
      <c r="F35"/>
      <c r="G35"/>
      <c r="H35"/>
      <c r="I35"/>
      <c r="J35"/>
      <c r="K35"/>
      <c r="L35"/>
      <c r="M35"/>
      <c r="N35"/>
      <c r="O35"/>
      <c r="P35"/>
    </row>
    <row r="36" spans="1:16">
      <c r="A36" s="5" t="s">
        <v>18</v>
      </c>
      <c r="B36" s="5" t="s">
        <v>274</v>
      </c>
      <c r="C36" s="51">
        <v>3.1515000000000001E-2</v>
      </c>
      <c r="D36" s="65">
        <v>748831194.12839997</v>
      </c>
      <c r="E36" s="45" t="s">
        <v>275</v>
      </c>
      <c r="F36"/>
      <c r="G36"/>
      <c r="H36"/>
      <c r="I36"/>
      <c r="J36"/>
      <c r="K36"/>
      <c r="L36"/>
      <c r="M36"/>
      <c r="N36"/>
      <c r="O36"/>
      <c r="P36"/>
    </row>
    <row r="37" spans="1:16">
      <c r="A37" s="8" t="s">
        <v>18</v>
      </c>
      <c r="B37" s="8" t="s">
        <v>278</v>
      </c>
      <c r="C37" s="50">
        <v>3.1014E-2</v>
      </c>
      <c r="D37" s="64">
        <v>736952699.87849998</v>
      </c>
      <c r="E37" s="44" t="s">
        <v>788</v>
      </c>
      <c r="F37"/>
      <c r="G37"/>
      <c r="H37"/>
      <c r="I37"/>
      <c r="J37"/>
      <c r="K37"/>
      <c r="L37"/>
      <c r="M37"/>
      <c r="N37"/>
      <c r="O37"/>
      <c r="P37"/>
    </row>
    <row r="38" spans="1:16">
      <c r="A38" s="5" t="s">
        <v>251</v>
      </c>
      <c r="B38" s="5" t="s">
        <v>326</v>
      </c>
      <c r="C38" s="51">
        <v>3.0693999999999999E-2</v>
      </c>
      <c r="D38" s="65">
        <v>3160435565.717</v>
      </c>
      <c r="E38" s="45" t="s">
        <v>622</v>
      </c>
      <c r="F38"/>
      <c r="G38"/>
      <c r="H38"/>
      <c r="I38"/>
      <c r="J38"/>
      <c r="K38"/>
      <c r="L38"/>
      <c r="M38"/>
      <c r="N38"/>
      <c r="O38"/>
      <c r="P38"/>
    </row>
    <row r="39" spans="1:16">
      <c r="A39" s="8" t="s">
        <v>251</v>
      </c>
      <c r="B39" s="8" t="s">
        <v>262</v>
      </c>
      <c r="C39" s="50">
        <v>3.0682999999999998E-2</v>
      </c>
      <c r="D39" s="64">
        <v>3159566441.5411</v>
      </c>
      <c r="E39" s="44" t="s">
        <v>63</v>
      </c>
      <c r="F39"/>
      <c r="G39"/>
      <c r="H39"/>
      <c r="I39"/>
      <c r="J39"/>
      <c r="K39"/>
      <c r="L39"/>
      <c r="M39"/>
      <c r="N39"/>
      <c r="O39"/>
      <c r="P39"/>
    </row>
    <row r="40" spans="1:16">
      <c r="A40" s="5" t="s">
        <v>251</v>
      </c>
      <c r="B40" s="5" t="s">
        <v>263</v>
      </c>
      <c r="C40" s="51">
        <v>2.9481E-2</v>
      </c>
      <c r="D40" s="65">
        <v>3035511021.1775999</v>
      </c>
      <c r="E40" s="45" t="s">
        <v>671</v>
      </c>
      <c r="F40"/>
      <c r="G40"/>
      <c r="H40"/>
      <c r="I40"/>
      <c r="J40"/>
      <c r="K40"/>
      <c r="L40"/>
      <c r="M40"/>
      <c r="N40"/>
      <c r="O40"/>
      <c r="P40"/>
    </row>
    <row r="41" spans="1:16">
      <c r="A41" s="8" t="s">
        <v>251</v>
      </c>
      <c r="B41" s="8" t="s">
        <v>287</v>
      </c>
      <c r="C41" s="50">
        <v>2.8136000000000001E-2</v>
      </c>
      <c r="D41" s="64">
        <v>2897169994.0430002</v>
      </c>
      <c r="E41" s="44" t="s">
        <v>786</v>
      </c>
      <c r="F41"/>
      <c r="G41"/>
      <c r="H41"/>
      <c r="I41"/>
      <c r="J41"/>
      <c r="K41"/>
      <c r="L41"/>
      <c r="M41"/>
      <c r="N41"/>
      <c r="O41"/>
      <c r="P41"/>
    </row>
    <row r="42" spans="1:16">
      <c r="A42" s="5" t="s">
        <v>251</v>
      </c>
      <c r="B42" s="5" t="s">
        <v>278</v>
      </c>
      <c r="C42" s="51">
        <v>2.7611E-2</v>
      </c>
      <c r="D42" s="65">
        <v>2843131737.5946002</v>
      </c>
      <c r="E42" s="45" t="s">
        <v>788</v>
      </c>
      <c r="F42"/>
      <c r="G42"/>
      <c r="H42"/>
      <c r="I42"/>
      <c r="J42"/>
      <c r="K42"/>
      <c r="L42"/>
      <c r="M42"/>
      <c r="N42"/>
      <c r="O42"/>
      <c r="P42"/>
    </row>
    <row r="43" spans="1:16">
      <c r="A43" s="8" t="s">
        <v>28</v>
      </c>
      <c r="B43" s="8" t="s">
        <v>345</v>
      </c>
      <c r="C43" s="50">
        <v>2.7127999999999999E-2</v>
      </c>
      <c r="D43" s="64">
        <v>276544623</v>
      </c>
      <c r="E43" s="44" t="s">
        <v>254</v>
      </c>
      <c r="F43"/>
      <c r="G43"/>
      <c r="H43"/>
      <c r="I43"/>
      <c r="J43"/>
      <c r="K43"/>
      <c r="L43"/>
      <c r="M43"/>
      <c r="N43"/>
      <c r="O43"/>
      <c r="P43"/>
    </row>
    <row r="44" spans="1:16">
      <c r="A44" s="5" t="s">
        <v>18</v>
      </c>
      <c r="B44" s="5" t="s">
        <v>281</v>
      </c>
      <c r="C44" s="51">
        <v>2.6081E-2</v>
      </c>
      <c r="D44" s="65">
        <v>619720993</v>
      </c>
      <c r="E44" s="45" t="s">
        <v>282</v>
      </c>
      <c r="F44"/>
      <c r="G44"/>
      <c r="H44"/>
      <c r="I44"/>
      <c r="J44"/>
      <c r="K44"/>
      <c r="L44"/>
      <c r="M44"/>
      <c r="N44"/>
      <c r="O44"/>
      <c r="P44"/>
    </row>
    <row r="45" spans="1:16">
      <c r="A45" s="8" t="s">
        <v>18</v>
      </c>
      <c r="B45" s="8" t="s">
        <v>263</v>
      </c>
      <c r="C45" s="50">
        <v>2.4764999999999999E-2</v>
      </c>
      <c r="D45" s="64">
        <v>588433670.55589998</v>
      </c>
      <c r="E45" s="44" t="s">
        <v>671</v>
      </c>
      <c r="F45"/>
      <c r="G45"/>
      <c r="H45"/>
      <c r="I45"/>
      <c r="J45"/>
      <c r="K45"/>
      <c r="L45"/>
      <c r="M45"/>
      <c r="N45"/>
      <c r="O45"/>
      <c r="P45"/>
    </row>
    <row r="46" spans="1:16">
      <c r="A46" s="5" t="s">
        <v>18</v>
      </c>
      <c r="B46" s="5"/>
      <c r="C46" s="51">
        <v>2.4278000000000001E-2</v>
      </c>
      <c r="D46" s="65">
        <v>576876591</v>
      </c>
      <c r="E46" s="45" t="s">
        <v>653</v>
      </c>
      <c r="F46"/>
      <c r="G46"/>
      <c r="H46"/>
      <c r="I46"/>
      <c r="J46"/>
      <c r="K46"/>
      <c r="L46"/>
      <c r="M46"/>
      <c r="N46"/>
      <c r="O46"/>
      <c r="P46"/>
    </row>
    <row r="47" spans="1:16">
      <c r="A47" s="8" t="s">
        <v>28</v>
      </c>
      <c r="B47" s="8" t="s">
        <v>298</v>
      </c>
      <c r="C47" s="50">
        <v>2.4205999999999998E-2</v>
      </c>
      <c r="D47" s="64">
        <v>246759763</v>
      </c>
      <c r="E47" s="44" t="s">
        <v>254</v>
      </c>
      <c r="F47"/>
      <c r="G47"/>
      <c r="H47"/>
      <c r="I47"/>
      <c r="J47"/>
      <c r="K47"/>
      <c r="L47"/>
      <c r="M47"/>
      <c r="N47"/>
      <c r="O47"/>
      <c r="P47"/>
    </row>
    <row r="48" spans="1:16">
      <c r="A48" s="5" t="s">
        <v>251</v>
      </c>
      <c r="B48" s="5" t="s">
        <v>308</v>
      </c>
      <c r="C48" s="51">
        <v>2.4086E-2</v>
      </c>
      <c r="D48" s="65">
        <v>2480173815.7431002</v>
      </c>
      <c r="E48" s="45" t="s">
        <v>309</v>
      </c>
      <c r="F48"/>
      <c r="G48"/>
      <c r="H48"/>
      <c r="I48"/>
      <c r="J48"/>
      <c r="K48"/>
      <c r="L48"/>
      <c r="M48"/>
      <c r="N48"/>
      <c r="O48"/>
      <c r="P48"/>
    </row>
    <row r="49" spans="1:16">
      <c r="A49" s="8" t="s">
        <v>18</v>
      </c>
      <c r="B49" s="8" t="s">
        <v>279</v>
      </c>
      <c r="C49" s="50">
        <v>2.4036999999999999E-2</v>
      </c>
      <c r="D49" s="64">
        <v>571143986.27569997</v>
      </c>
      <c r="E49" s="44" t="s">
        <v>280</v>
      </c>
      <c r="F49"/>
      <c r="G49"/>
      <c r="H49"/>
      <c r="I49"/>
      <c r="J49"/>
      <c r="K49"/>
      <c r="L49"/>
      <c r="M49"/>
      <c r="N49"/>
      <c r="O49"/>
      <c r="P49"/>
    </row>
    <row r="50" spans="1:16">
      <c r="A50" s="5" t="s">
        <v>18</v>
      </c>
      <c r="B50" s="5" t="s">
        <v>640</v>
      </c>
      <c r="C50" s="51">
        <v>2.2690999999999999E-2</v>
      </c>
      <c r="D50" s="65">
        <v>539158486.14310002</v>
      </c>
      <c r="E50" s="45" t="s">
        <v>254</v>
      </c>
      <c r="F50"/>
      <c r="G50"/>
      <c r="H50"/>
      <c r="I50"/>
      <c r="J50"/>
      <c r="K50"/>
      <c r="L50"/>
      <c r="M50"/>
      <c r="N50"/>
      <c r="O50"/>
      <c r="P50"/>
    </row>
    <row r="51" spans="1:16">
      <c r="A51" s="8" t="s">
        <v>18</v>
      </c>
      <c r="B51" s="8" t="s">
        <v>257</v>
      </c>
      <c r="C51" s="50">
        <v>2.2549E-2</v>
      </c>
      <c r="D51" s="64">
        <v>535807113.97920001</v>
      </c>
      <c r="E51" s="44" t="s">
        <v>254</v>
      </c>
      <c r="F51"/>
      <c r="G51"/>
      <c r="H51"/>
      <c r="I51"/>
      <c r="J51"/>
      <c r="K51"/>
      <c r="L51"/>
      <c r="M51"/>
      <c r="N51"/>
      <c r="O51"/>
      <c r="P51"/>
    </row>
    <row r="52" spans="1:16">
      <c r="A52" s="5" t="s">
        <v>251</v>
      </c>
      <c r="B52" s="5" t="s">
        <v>269</v>
      </c>
      <c r="C52" s="51">
        <v>2.1819999999999999E-2</v>
      </c>
      <c r="D52" s="65">
        <v>2246927102.5911999</v>
      </c>
      <c r="E52" s="45" t="s">
        <v>271</v>
      </c>
      <c r="F52"/>
      <c r="G52"/>
      <c r="H52"/>
      <c r="I52"/>
      <c r="J52"/>
      <c r="K52"/>
      <c r="L52"/>
      <c r="M52"/>
      <c r="N52"/>
      <c r="O52"/>
      <c r="P52"/>
    </row>
    <row r="53" spans="1:16">
      <c r="A53" s="8" t="s">
        <v>18</v>
      </c>
      <c r="B53" s="8" t="s">
        <v>283</v>
      </c>
      <c r="C53" s="50">
        <v>2.1751E-2</v>
      </c>
      <c r="D53" s="64">
        <v>516832326.62080002</v>
      </c>
      <c r="E53" s="44" t="s">
        <v>284</v>
      </c>
      <c r="F53"/>
      <c r="G53" s="114"/>
      <c r="H53" s="76"/>
      <c r="I53"/>
      <c r="J53"/>
      <c r="K53"/>
      <c r="L53"/>
      <c r="M53"/>
      <c r="N53"/>
      <c r="O53"/>
      <c r="P53"/>
    </row>
    <row r="54" spans="1:16">
      <c r="A54" s="5" t="s">
        <v>18</v>
      </c>
      <c r="B54" s="5" t="s">
        <v>346</v>
      </c>
      <c r="C54" s="51">
        <v>2.1432E-2</v>
      </c>
      <c r="D54" s="65">
        <v>509257548.09320003</v>
      </c>
      <c r="E54" s="45" t="s">
        <v>347</v>
      </c>
      <c r="F54"/>
      <c r="G54" s="114"/>
      <c r="H54"/>
      <c r="I54"/>
      <c r="J54"/>
      <c r="K54"/>
      <c r="L54"/>
      <c r="M54"/>
      <c r="N54"/>
      <c r="O54"/>
      <c r="P54"/>
    </row>
    <row r="55" spans="1:16">
      <c r="A55" s="8" t="s">
        <v>251</v>
      </c>
      <c r="B55" s="8" t="s">
        <v>283</v>
      </c>
      <c r="C55" s="50">
        <v>2.1010999999999998E-2</v>
      </c>
      <c r="D55" s="64">
        <v>2163467206.6571999</v>
      </c>
      <c r="E55" s="44" t="s">
        <v>284</v>
      </c>
      <c r="F55"/>
      <c r="G55"/>
      <c r="H55"/>
      <c r="I55"/>
      <c r="J55"/>
      <c r="K55"/>
      <c r="L55"/>
      <c r="M55"/>
      <c r="N55"/>
      <c r="O55"/>
      <c r="P55"/>
    </row>
    <row r="56" spans="1:16">
      <c r="A56" s="5" t="s">
        <v>18</v>
      </c>
      <c r="B56" s="5" t="s">
        <v>255</v>
      </c>
      <c r="C56" s="51">
        <v>2.0886999999999999E-2</v>
      </c>
      <c r="D56" s="65">
        <v>496322515.74900001</v>
      </c>
      <c r="E56" s="45" t="s">
        <v>256</v>
      </c>
      <c r="F56"/>
      <c r="G56"/>
      <c r="H56"/>
      <c r="I56"/>
      <c r="J56"/>
      <c r="K56"/>
      <c r="L56"/>
      <c r="M56"/>
      <c r="N56"/>
      <c r="O56"/>
      <c r="P56"/>
    </row>
    <row r="57" spans="1:16">
      <c r="A57" s="8" t="s">
        <v>18</v>
      </c>
      <c r="B57" s="8" t="s">
        <v>363</v>
      </c>
      <c r="C57" s="50">
        <v>2.0105000000000001E-2</v>
      </c>
      <c r="D57" s="64">
        <v>477746956.75940001</v>
      </c>
      <c r="E57" s="44" t="s">
        <v>624</v>
      </c>
      <c r="F57"/>
      <c r="G57"/>
      <c r="H57"/>
      <c r="I57"/>
      <c r="J57"/>
      <c r="K57"/>
      <c r="L57"/>
      <c r="M57"/>
      <c r="N57"/>
      <c r="O57"/>
      <c r="P57"/>
    </row>
    <row r="58" spans="1:16">
      <c r="A58" s="5" t="s">
        <v>251</v>
      </c>
      <c r="B58" s="5" t="s">
        <v>274</v>
      </c>
      <c r="C58" s="51">
        <v>1.9321999999999999E-2</v>
      </c>
      <c r="D58" s="65">
        <v>1989628294.2693</v>
      </c>
      <c r="E58" s="45" t="s">
        <v>275</v>
      </c>
      <c r="F58"/>
      <c r="G58"/>
      <c r="H58"/>
      <c r="I58"/>
      <c r="J58"/>
      <c r="K58"/>
      <c r="L58"/>
      <c r="M58"/>
      <c r="N58"/>
      <c r="O58"/>
      <c r="P58"/>
    </row>
    <row r="59" spans="1:16">
      <c r="A59" s="8" t="s">
        <v>28</v>
      </c>
      <c r="B59" s="8" t="s">
        <v>255</v>
      </c>
      <c r="C59" s="50">
        <v>1.9314999999999999E-2</v>
      </c>
      <c r="D59" s="64">
        <v>196901166</v>
      </c>
      <c r="E59" s="44" t="s">
        <v>254</v>
      </c>
      <c r="F59"/>
      <c r="G59"/>
      <c r="H59"/>
      <c r="I59"/>
      <c r="J59"/>
      <c r="K59"/>
      <c r="L59"/>
      <c r="M59"/>
      <c r="N59"/>
      <c r="O59"/>
      <c r="P59"/>
    </row>
    <row r="60" spans="1:16">
      <c r="A60" s="5" t="s">
        <v>18</v>
      </c>
      <c r="B60" s="5" t="s">
        <v>272</v>
      </c>
      <c r="C60" s="51">
        <v>1.8977000000000001E-2</v>
      </c>
      <c r="D60" s="65">
        <v>450905648.85970002</v>
      </c>
      <c r="E60" s="45" t="s">
        <v>273</v>
      </c>
      <c r="F60"/>
      <c r="G60"/>
      <c r="H60"/>
      <c r="I60"/>
      <c r="J60"/>
      <c r="K60"/>
      <c r="L60"/>
      <c r="M60"/>
      <c r="N60"/>
      <c r="O60"/>
      <c r="P60"/>
    </row>
    <row r="61" spans="1:16">
      <c r="A61" s="8" t="s">
        <v>251</v>
      </c>
      <c r="B61" s="8" t="s">
        <v>346</v>
      </c>
      <c r="C61" s="50">
        <v>1.8485999999999999E-2</v>
      </c>
      <c r="D61" s="64">
        <v>1903509814.3743</v>
      </c>
      <c r="E61" s="44" t="s">
        <v>347</v>
      </c>
      <c r="F61"/>
      <c r="G61"/>
      <c r="H61"/>
      <c r="I61"/>
      <c r="J61"/>
      <c r="K61"/>
      <c r="L61"/>
      <c r="M61"/>
      <c r="N61"/>
      <c r="O61"/>
      <c r="P61"/>
    </row>
    <row r="62" spans="1:16">
      <c r="A62" s="5" t="s">
        <v>251</v>
      </c>
      <c r="B62" s="5" t="s">
        <v>261</v>
      </c>
      <c r="C62" s="51">
        <v>1.8422999999999998E-2</v>
      </c>
      <c r="D62" s="65">
        <v>1897330126.0163</v>
      </c>
      <c r="E62" s="45" t="s">
        <v>292</v>
      </c>
      <c r="F62"/>
      <c r="G62"/>
      <c r="H62"/>
      <c r="I62"/>
      <c r="J62"/>
      <c r="K62"/>
      <c r="L62"/>
      <c r="M62"/>
      <c r="N62"/>
      <c r="O62"/>
      <c r="P62"/>
    </row>
    <row r="63" spans="1:16">
      <c r="A63" s="8" t="s">
        <v>251</v>
      </c>
      <c r="B63" s="8" t="s">
        <v>258</v>
      </c>
      <c r="C63" s="50">
        <v>1.8217000000000001E-2</v>
      </c>
      <c r="D63" s="64">
        <v>1875761553.6461</v>
      </c>
      <c r="E63" s="44" t="s">
        <v>789</v>
      </c>
      <c r="F63"/>
      <c r="G63"/>
      <c r="H63"/>
      <c r="I63"/>
      <c r="J63"/>
      <c r="K63"/>
      <c r="L63"/>
      <c r="M63"/>
      <c r="N63"/>
      <c r="O63"/>
      <c r="P63"/>
    </row>
    <row r="64" spans="1:16">
      <c r="A64" s="5" t="s">
        <v>250</v>
      </c>
      <c r="B64" s="5" t="s">
        <v>668</v>
      </c>
      <c r="C64" s="51">
        <v>1.797E-2</v>
      </c>
      <c r="D64" s="65">
        <v>145906827</v>
      </c>
      <c r="E64" s="45" t="s">
        <v>254</v>
      </c>
      <c r="F64"/>
      <c r="G64"/>
      <c r="H64"/>
      <c r="I64"/>
      <c r="J64"/>
      <c r="K64"/>
      <c r="L64"/>
      <c r="M64"/>
      <c r="N64"/>
      <c r="O64"/>
      <c r="P64"/>
    </row>
    <row r="65" spans="1:16">
      <c r="A65" s="8" t="s">
        <v>251</v>
      </c>
      <c r="B65" s="8" t="s">
        <v>266</v>
      </c>
      <c r="C65" s="50">
        <v>1.7701999999999999E-2</v>
      </c>
      <c r="D65" s="64">
        <v>1822763639.4330001</v>
      </c>
      <c r="E65" s="44" t="s">
        <v>267</v>
      </c>
      <c r="F65"/>
      <c r="G65"/>
      <c r="H65"/>
      <c r="I65"/>
      <c r="J65"/>
      <c r="K65"/>
      <c r="L65"/>
      <c r="M65"/>
      <c r="N65"/>
      <c r="O65"/>
      <c r="P65"/>
    </row>
    <row r="66" spans="1:16">
      <c r="A66" s="5" t="s">
        <v>18</v>
      </c>
      <c r="B66" s="5" t="s">
        <v>277</v>
      </c>
      <c r="C66" s="51">
        <v>1.7478E-2</v>
      </c>
      <c r="D66" s="65">
        <v>415305286.75880003</v>
      </c>
      <c r="E66" s="45" t="s">
        <v>790</v>
      </c>
      <c r="F66"/>
      <c r="G66"/>
      <c r="H66"/>
      <c r="I66"/>
      <c r="J66"/>
      <c r="K66"/>
      <c r="L66"/>
      <c r="M66"/>
      <c r="N66"/>
      <c r="O66"/>
      <c r="P66"/>
    </row>
    <row r="67" spans="1:16">
      <c r="A67" s="8" t="s">
        <v>251</v>
      </c>
      <c r="B67" s="8" t="s">
        <v>279</v>
      </c>
      <c r="C67" s="50">
        <v>1.7381000000000001E-2</v>
      </c>
      <c r="D67" s="64">
        <v>1789665960.8340001</v>
      </c>
      <c r="E67" s="44" t="s">
        <v>280</v>
      </c>
      <c r="F67"/>
      <c r="G67"/>
      <c r="H67"/>
      <c r="I67"/>
      <c r="J67"/>
      <c r="K67"/>
      <c r="L67"/>
      <c r="M67"/>
      <c r="N67"/>
      <c r="O67"/>
      <c r="P67"/>
    </row>
    <row r="68" spans="1:16">
      <c r="A68" s="5" t="s">
        <v>251</v>
      </c>
      <c r="B68" s="5" t="s">
        <v>359</v>
      </c>
      <c r="C68" s="51">
        <v>1.7356E-2</v>
      </c>
      <c r="D68" s="65">
        <v>1787142133.0421</v>
      </c>
      <c r="E68" s="45" t="s">
        <v>360</v>
      </c>
      <c r="F68"/>
      <c r="G68"/>
      <c r="H68" s="57"/>
      <c r="I68"/>
      <c r="J68"/>
      <c r="K68"/>
      <c r="L68"/>
      <c r="M68"/>
      <c r="N68"/>
      <c r="O68"/>
      <c r="P68"/>
    </row>
    <row r="69" spans="1:16">
      <c r="A69" s="8" t="s">
        <v>251</v>
      </c>
      <c r="B69" s="8" t="s">
        <v>298</v>
      </c>
      <c r="C69" s="50">
        <v>1.7264999999999999E-2</v>
      </c>
      <c r="D69" s="64">
        <v>1778238522.4242001</v>
      </c>
      <c r="E69" s="44" t="s">
        <v>254</v>
      </c>
      <c r="F69"/>
      <c r="G69"/>
      <c r="H69"/>
      <c r="I69"/>
      <c r="J69"/>
      <c r="K69"/>
      <c r="L69"/>
      <c r="M69"/>
      <c r="N69"/>
      <c r="O69"/>
      <c r="P69"/>
    </row>
    <row r="70" spans="1:16">
      <c r="A70" s="5" t="s">
        <v>251</v>
      </c>
      <c r="B70" s="5" t="s">
        <v>422</v>
      </c>
      <c r="C70" s="51">
        <v>1.6219999999999998E-2</v>
      </c>
      <c r="D70" s="65">
        <v>1670175457.7976</v>
      </c>
      <c r="E70" s="45" t="s">
        <v>423</v>
      </c>
      <c r="F70"/>
      <c r="G70"/>
      <c r="H70"/>
      <c r="I70"/>
      <c r="J70"/>
      <c r="K70"/>
      <c r="L70"/>
      <c r="M70"/>
      <c r="N70"/>
      <c r="O70"/>
      <c r="P70"/>
    </row>
    <row r="71" spans="1:16">
      <c r="A71" s="8" t="s">
        <v>251</v>
      </c>
      <c r="B71" s="8" t="s">
        <v>270</v>
      </c>
      <c r="C71" s="50">
        <v>1.6032000000000001E-2</v>
      </c>
      <c r="D71" s="64">
        <v>1651006094.5671999</v>
      </c>
      <c r="E71" s="44" t="s">
        <v>532</v>
      </c>
      <c r="F71"/>
      <c r="G71"/>
      <c r="H71"/>
      <c r="I71"/>
      <c r="J71"/>
      <c r="K71"/>
      <c r="L71"/>
      <c r="M71"/>
      <c r="N71"/>
      <c r="O71"/>
      <c r="P71"/>
    </row>
    <row r="72" spans="1:16">
      <c r="A72" s="5" t="s">
        <v>250</v>
      </c>
      <c r="B72" s="5" t="s">
        <v>269</v>
      </c>
      <c r="C72" s="51">
        <v>1.4777999999999999E-2</v>
      </c>
      <c r="D72" s="65">
        <v>119990801</v>
      </c>
      <c r="E72" s="45" t="s">
        <v>254</v>
      </c>
      <c r="F72"/>
      <c r="G72"/>
      <c r="H72"/>
      <c r="I72"/>
      <c r="J72"/>
      <c r="K72"/>
      <c r="L72"/>
      <c r="M72"/>
      <c r="N72"/>
      <c r="O72"/>
      <c r="P72"/>
    </row>
    <row r="73" spans="1:16">
      <c r="A73" s="8" t="s">
        <v>18</v>
      </c>
      <c r="B73" s="8" t="s">
        <v>295</v>
      </c>
      <c r="C73" s="50">
        <v>1.4392E-2</v>
      </c>
      <c r="D73" s="64">
        <v>341981945.1534</v>
      </c>
      <c r="E73" s="44" t="s">
        <v>468</v>
      </c>
      <c r="F73"/>
      <c r="G73"/>
      <c r="H73"/>
      <c r="I73"/>
      <c r="J73"/>
      <c r="K73"/>
      <c r="L73"/>
      <c r="M73"/>
      <c r="N73"/>
      <c r="O73"/>
      <c r="P73"/>
    </row>
    <row r="74" spans="1:16">
      <c r="A74" s="5" t="s">
        <v>28</v>
      </c>
      <c r="B74" s="5" t="s">
        <v>668</v>
      </c>
      <c r="C74" s="51">
        <v>1.4312999999999999E-2</v>
      </c>
      <c r="D74" s="65">
        <v>145906827</v>
      </c>
      <c r="E74" s="45" t="s">
        <v>254</v>
      </c>
      <c r="F74"/>
      <c r="G74"/>
      <c r="H74"/>
      <c r="I74"/>
      <c r="J74"/>
      <c r="K74"/>
      <c r="L74"/>
      <c r="M74"/>
      <c r="N74"/>
      <c r="O74"/>
      <c r="P74"/>
    </row>
    <row r="75" spans="1:16">
      <c r="A75" s="8" t="s">
        <v>251</v>
      </c>
      <c r="B75" s="8" t="s">
        <v>253</v>
      </c>
      <c r="C75" s="50">
        <v>1.3898000000000001E-2</v>
      </c>
      <c r="D75" s="64">
        <v>1431057707.8647001</v>
      </c>
      <c r="E75" s="44" t="s">
        <v>198</v>
      </c>
      <c r="F75"/>
      <c r="G75"/>
      <c r="H75"/>
      <c r="I75"/>
      <c r="J75"/>
      <c r="K75"/>
      <c r="L75"/>
      <c r="M75"/>
      <c r="N75"/>
      <c r="O75"/>
      <c r="P75"/>
    </row>
    <row r="76" spans="1:16">
      <c r="A76" s="5" t="s">
        <v>18</v>
      </c>
      <c r="B76" s="5" t="s">
        <v>422</v>
      </c>
      <c r="C76" s="51">
        <v>1.3826E-2</v>
      </c>
      <c r="D76" s="65">
        <v>328553750.76090002</v>
      </c>
      <c r="E76" s="45" t="s">
        <v>423</v>
      </c>
      <c r="F76"/>
      <c r="G76"/>
      <c r="H76"/>
      <c r="I76"/>
      <c r="J76"/>
      <c r="K76"/>
      <c r="L76"/>
      <c r="M76"/>
      <c r="N76"/>
      <c r="O76"/>
      <c r="P76"/>
    </row>
    <row r="77" spans="1:16">
      <c r="A77" s="8" t="s">
        <v>251</v>
      </c>
      <c r="B77" s="8" t="s">
        <v>285</v>
      </c>
      <c r="C77" s="50">
        <v>1.38E-2</v>
      </c>
      <c r="D77" s="64">
        <v>1420845925.1801</v>
      </c>
      <c r="E77" s="44" t="s">
        <v>791</v>
      </c>
      <c r="F77"/>
      <c r="G77"/>
      <c r="H77"/>
      <c r="I77"/>
      <c r="J77"/>
      <c r="K77"/>
      <c r="L77"/>
      <c r="M77"/>
      <c r="N77"/>
      <c r="O77"/>
      <c r="P77"/>
    </row>
    <row r="78" spans="1:16">
      <c r="A78" s="5" t="s">
        <v>18</v>
      </c>
      <c r="B78" s="5" t="s">
        <v>269</v>
      </c>
      <c r="C78" s="51">
        <v>1.3638000000000001E-2</v>
      </c>
      <c r="D78" s="65">
        <v>324071720.91540003</v>
      </c>
      <c r="E78" s="45" t="s">
        <v>271</v>
      </c>
      <c r="F78"/>
      <c r="G78"/>
      <c r="H78"/>
      <c r="I78"/>
      <c r="J78"/>
      <c r="K78"/>
      <c r="L78"/>
      <c r="M78"/>
      <c r="N78"/>
      <c r="O78"/>
      <c r="P78"/>
    </row>
    <row r="79" spans="1:16">
      <c r="A79" s="8" t="s">
        <v>251</v>
      </c>
      <c r="B79" s="8" t="s">
        <v>668</v>
      </c>
      <c r="C79" s="50">
        <v>1.2854000000000001E-2</v>
      </c>
      <c r="D79" s="64">
        <v>1323632870.6649001</v>
      </c>
      <c r="E79" s="44" t="s">
        <v>254</v>
      </c>
      <c r="F79"/>
      <c r="G79"/>
      <c r="H79"/>
      <c r="I79"/>
      <c r="J79"/>
      <c r="K79"/>
      <c r="L79"/>
      <c r="M79"/>
      <c r="N79"/>
      <c r="O79"/>
      <c r="P79"/>
    </row>
    <row r="80" spans="1:16">
      <c r="A80" s="5" t="s">
        <v>18</v>
      </c>
      <c r="B80" s="5" t="s">
        <v>308</v>
      </c>
      <c r="C80" s="51">
        <v>1.2815999999999999E-2</v>
      </c>
      <c r="D80" s="65">
        <v>304523579.90130001</v>
      </c>
      <c r="E80" s="45" t="s">
        <v>309</v>
      </c>
      <c r="F80"/>
      <c r="G80"/>
      <c r="H80"/>
      <c r="I80"/>
      <c r="J80"/>
      <c r="K80"/>
      <c r="L80"/>
      <c r="M80"/>
      <c r="N80"/>
      <c r="O80"/>
      <c r="P80"/>
    </row>
    <row r="81" spans="1:16">
      <c r="A81" s="8" t="s">
        <v>251</v>
      </c>
      <c r="B81" s="8" t="s">
        <v>613</v>
      </c>
      <c r="C81" s="50">
        <v>1.1691999999999999E-2</v>
      </c>
      <c r="D81" s="64">
        <v>1203868758.6803</v>
      </c>
      <c r="E81" s="44" t="s">
        <v>614</v>
      </c>
      <c r="F81"/>
      <c r="G81"/>
      <c r="H81"/>
      <c r="I81"/>
      <c r="J81"/>
      <c r="K81"/>
      <c r="L81"/>
      <c r="M81"/>
      <c r="N81"/>
      <c r="O81"/>
      <c r="P81"/>
    </row>
    <row r="82" spans="1:16">
      <c r="A82" s="5" t="s">
        <v>251</v>
      </c>
      <c r="B82" s="5" t="s">
        <v>329</v>
      </c>
      <c r="C82" s="51">
        <v>1.1533E-2</v>
      </c>
      <c r="D82" s="65">
        <v>1187649084.5086999</v>
      </c>
      <c r="E82" s="45" t="s">
        <v>330</v>
      </c>
      <c r="F82"/>
      <c r="G82"/>
      <c r="H82"/>
      <c r="I82"/>
      <c r="J82"/>
      <c r="K82"/>
      <c r="L82"/>
      <c r="M82"/>
      <c r="N82"/>
      <c r="O82"/>
      <c r="P82"/>
    </row>
    <row r="83" spans="1:16">
      <c r="A83" s="8" t="s">
        <v>18</v>
      </c>
      <c r="B83" s="8" t="s">
        <v>270</v>
      </c>
      <c r="C83" s="50">
        <v>1.0871E-2</v>
      </c>
      <c r="D83" s="64">
        <v>258336818.95480001</v>
      </c>
      <c r="E83" s="44" t="s">
        <v>532</v>
      </c>
      <c r="F83"/>
      <c r="G83"/>
      <c r="H83"/>
      <c r="I83"/>
      <c r="J83"/>
      <c r="K83"/>
      <c r="L83"/>
      <c r="M83"/>
      <c r="N83"/>
      <c r="O83"/>
      <c r="P83"/>
    </row>
    <row r="84" spans="1:16">
      <c r="A84" s="5" t="s">
        <v>18</v>
      </c>
      <c r="B84" s="5" t="s">
        <v>792</v>
      </c>
      <c r="C84" s="51">
        <v>1.0515E-2</v>
      </c>
      <c r="D84" s="65">
        <v>249845414</v>
      </c>
      <c r="E84" s="45" t="s">
        <v>793</v>
      </c>
      <c r="F84"/>
      <c r="G84"/>
      <c r="H84"/>
      <c r="I84"/>
      <c r="J84"/>
      <c r="K84"/>
      <c r="L84"/>
      <c r="M84"/>
      <c r="N84"/>
      <c r="O84"/>
      <c r="P84"/>
    </row>
    <row r="85" spans="1:16">
      <c r="A85" s="8" t="s">
        <v>251</v>
      </c>
      <c r="B85" s="8" t="s">
        <v>315</v>
      </c>
      <c r="C85" s="50">
        <v>1.0206E-2</v>
      </c>
      <c r="D85" s="64">
        <v>1050919945.2276</v>
      </c>
      <c r="E85" s="44" t="s">
        <v>449</v>
      </c>
      <c r="F85"/>
      <c r="G85"/>
      <c r="H85"/>
      <c r="I85"/>
      <c r="J85"/>
      <c r="K85"/>
      <c r="L85"/>
      <c r="M85"/>
      <c r="N85"/>
      <c r="O85"/>
      <c r="P85"/>
    </row>
    <row r="86" spans="1:16">
      <c r="A86" s="5" t="s">
        <v>18</v>
      </c>
      <c r="B86" s="5" t="s">
        <v>469</v>
      </c>
      <c r="C86" s="51">
        <v>9.0329999999999994E-3</v>
      </c>
      <c r="D86" s="65">
        <v>214654166</v>
      </c>
      <c r="E86" s="45" t="s">
        <v>462</v>
      </c>
      <c r="F86"/>
      <c r="G86"/>
      <c r="H86"/>
      <c r="I86"/>
      <c r="J86"/>
      <c r="K86"/>
      <c r="L86"/>
      <c r="M86"/>
      <c r="N86"/>
      <c r="O86"/>
      <c r="P86"/>
    </row>
    <row r="87" spans="1:16">
      <c r="A87" s="8" t="s">
        <v>251</v>
      </c>
      <c r="B87" s="8" t="s">
        <v>272</v>
      </c>
      <c r="C87" s="50">
        <v>8.9029999999999995E-3</v>
      </c>
      <c r="D87" s="64">
        <v>916752547.56110001</v>
      </c>
      <c r="E87" s="44" t="s">
        <v>273</v>
      </c>
      <c r="F87"/>
      <c r="G87"/>
      <c r="H87"/>
      <c r="I87"/>
      <c r="J87"/>
      <c r="K87"/>
      <c r="L87"/>
      <c r="M87"/>
      <c r="N87"/>
      <c r="O87"/>
      <c r="P87"/>
    </row>
    <row r="88" spans="1:16">
      <c r="A88" s="5" t="s">
        <v>18</v>
      </c>
      <c r="B88" s="5" t="s">
        <v>318</v>
      </c>
      <c r="C88" s="51">
        <v>8.8540000000000008E-3</v>
      </c>
      <c r="D88" s="65">
        <v>210375361.36559999</v>
      </c>
      <c r="E88" s="45" t="s">
        <v>759</v>
      </c>
      <c r="F88"/>
      <c r="G88"/>
      <c r="H88"/>
      <c r="I88"/>
      <c r="J88"/>
      <c r="K88"/>
      <c r="L88"/>
      <c r="M88"/>
      <c r="N88"/>
      <c r="O88"/>
      <c r="P88"/>
    </row>
    <row r="89" spans="1:16">
      <c r="A89" s="8" t="s">
        <v>28</v>
      </c>
      <c r="B89" s="8" t="s">
        <v>300</v>
      </c>
      <c r="C89" s="50">
        <v>8.7080000000000005E-3</v>
      </c>
      <c r="D89" s="64">
        <v>88796077</v>
      </c>
      <c r="E89" s="44" t="s">
        <v>123</v>
      </c>
      <c r="F89"/>
      <c r="G89"/>
      <c r="H89"/>
      <c r="I89"/>
      <c r="J89"/>
      <c r="K89"/>
      <c r="L89"/>
      <c r="M89"/>
      <c r="N89"/>
      <c r="O89"/>
      <c r="P89"/>
    </row>
    <row r="90" spans="1:16">
      <c r="A90" s="5" t="s">
        <v>251</v>
      </c>
      <c r="B90" s="5" t="s">
        <v>371</v>
      </c>
      <c r="C90" s="51">
        <v>8.3129999999999992E-3</v>
      </c>
      <c r="D90" s="65">
        <v>856011844.3053</v>
      </c>
      <c r="E90" s="45" t="s">
        <v>637</v>
      </c>
      <c r="F90"/>
      <c r="G90"/>
      <c r="H90"/>
      <c r="I90"/>
      <c r="J90"/>
      <c r="K90"/>
      <c r="L90"/>
      <c r="M90"/>
      <c r="N90"/>
      <c r="O90"/>
      <c r="P90"/>
    </row>
    <row r="91" spans="1:16">
      <c r="A91" s="8" t="s">
        <v>251</v>
      </c>
      <c r="B91" s="8" t="s">
        <v>302</v>
      </c>
      <c r="C91" s="50">
        <v>8.0759999999999998E-3</v>
      </c>
      <c r="D91" s="64">
        <v>831651736.36249995</v>
      </c>
      <c r="E91" s="44" t="s">
        <v>303</v>
      </c>
      <c r="F91"/>
      <c r="G91"/>
      <c r="H91"/>
      <c r="I91"/>
      <c r="J91"/>
      <c r="K91"/>
      <c r="L91"/>
      <c r="M91"/>
      <c r="N91"/>
      <c r="O91"/>
      <c r="P91"/>
    </row>
    <row r="92" spans="1:16">
      <c r="A92" s="5" t="s">
        <v>251</v>
      </c>
      <c r="B92" s="5" t="s">
        <v>276</v>
      </c>
      <c r="C92" s="51">
        <v>7.816E-3</v>
      </c>
      <c r="D92" s="65">
        <v>804889132.53939998</v>
      </c>
      <c r="E92" s="45" t="s">
        <v>673</v>
      </c>
      <c r="F92"/>
      <c r="G92"/>
      <c r="H92"/>
      <c r="I92"/>
      <c r="J92"/>
      <c r="K92"/>
      <c r="L92"/>
      <c r="M92"/>
      <c r="N92"/>
      <c r="O92"/>
      <c r="P92"/>
    </row>
    <row r="93" spans="1:16">
      <c r="A93" s="8" t="s">
        <v>251</v>
      </c>
      <c r="B93" s="8" t="s">
        <v>138</v>
      </c>
      <c r="C93" s="50">
        <v>7.6969999999999998E-3</v>
      </c>
      <c r="D93" s="64">
        <v>792652091.99580002</v>
      </c>
      <c r="E93" s="44" t="s">
        <v>289</v>
      </c>
      <c r="F93"/>
      <c r="G93"/>
      <c r="H93"/>
      <c r="I93"/>
      <c r="J93"/>
      <c r="K93"/>
      <c r="L93"/>
      <c r="M93"/>
      <c r="N93"/>
      <c r="O93"/>
      <c r="P93"/>
    </row>
    <row r="94" spans="1:16">
      <c r="A94" s="5" t="s">
        <v>251</v>
      </c>
      <c r="B94" s="5" t="s">
        <v>794</v>
      </c>
      <c r="C94" s="51">
        <v>6.5310000000000003E-3</v>
      </c>
      <c r="D94" s="65">
        <v>672437809.59860003</v>
      </c>
      <c r="E94" s="45" t="s">
        <v>795</v>
      </c>
      <c r="F94"/>
      <c r="G94"/>
      <c r="H94"/>
      <c r="I94"/>
      <c r="J94"/>
      <c r="K94"/>
      <c r="L94"/>
      <c r="M94"/>
      <c r="N94"/>
      <c r="O94"/>
      <c r="P94"/>
    </row>
    <row r="95" spans="1:16">
      <c r="A95" s="8" t="s">
        <v>18</v>
      </c>
      <c r="B95" s="8" t="s">
        <v>298</v>
      </c>
      <c r="C95" s="50">
        <v>6.4700000000000001E-3</v>
      </c>
      <c r="D95" s="64">
        <v>153778801.7155</v>
      </c>
      <c r="E95" s="44" t="s">
        <v>254</v>
      </c>
      <c r="F95"/>
      <c r="G95"/>
      <c r="H95"/>
      <c r="I95"/>
      <c r="J95"/>
      <c r="K95"/>
      <c r="L95"/>
      <c r="M95"/>
      <c r="N95"/>
      <c r="O95"/>
      <c r="P95"/>
    </row>
    <row r="96" spans="1:16">
      <c r="A96" s="5" t="s">
        <v>18</v>
      </c>
      <c r="B96" s="5" t="s">
        <v>291</v>
      </c>
      <c r="C96" s="51">
        <v>6.3299999999999997E-3</v>
      </c>
      <c r="D96" s="65">
        <v>150444259.20199999</v>
      </c>
      <c r="E96" s="45" t="s">
        <v>254</v>
      </c>
      <c r="F96"/>
      <c r="G96"/>
      <c r="H96"/>
      <c r="I96"/>
      <c r="J96"/>
      <c r="K96"/>
      <c r="L96"/>
      <c r="M96"/>
      <c r="N96"/>
      <c r="O96"/>
      <c r="P96"/>
    </row>
    <row r="97" spans="1:16">
      <c r="A97" s="8" t="s">
        <v>18</v>
      </c>
      <c r="B97" s="8" t="s">
        <v>304</v>
      </c>
      <c r="C97" s="50">
        <v>6.234E-3</v>
      </c>
      <c r="D97" s="64">
        <v>148141893.40470001</v>
      </c>
      <c r="E97" s="44" t="s">
        <v>305</v>
      </c>
      <c r="F97"/>
      <c r="G97"/>
      <c r="H97"/>
      <c r="I97"/>
      <c r="J97"/>
      <c r="K97"/>
      <c r="L97"/>
      <c r="M97"/>
      <c r="N97"/>
      <c r="O97"/>
      <c r="P97"/>
    </row>
    <row r="98" spans="1:16">
      <c r="A98" s="5" t="s">
        <v>250</v>
      </c>
      <c r="B98" s="5" t="s">
        <v>608</v>
      </c>
      <c r="C98" s="51">
        <v>6.1029999999999999E-3</v>
      </c>
      <c r="D98" s="65">
        <v>49557616</v>
      </c>
      <c r="E98" s="45" t="s">
        <v>254</v>
      </c>
      <c r="F98"/>
      <c r="G98"/>
      <c r="H98"/>
      <c r="I98"/>
      <c r="J98"/>
      <c r="K98"/>
      <c r="L98"/>
      <c r="M98"/>
      <c r="N98"/>
      <c r="O98"/>
      <c r="P98"/>
    </row>
    <row r="99" spans="1:16">
      <c r="A99" s="8" t="s">
        <v>18</v>
      </c>
      <c r="B99" s="8" t="s">
        <v>286</v>
      </c>
      <c r="C99" s="50">
        <v>6.0179999999999999E-3</v>
      </c>
      <c r="D99" s="64">
        <v>143014022</v>
      </c>
      <c r="E99" s="44" t="s">
        <v>393</v>
      </c>
      <c r="F99"/>
      <c r="G99"/>
      <c r="H99"/>
      <c r="I99"/>
      <c r="J99"/>
      <c r="K99"/>
      <c r="L99"/>
      <c r="M99"/>
      <c r="N99"/>
      <c r="O99"/>
      <c r="P99"/>
    </row>
    <row r="100" spans="1:16">
      <c r="A100" s="5" t="s">
        <v>251</v>
      </c>
      <c r="B100" s="5" t="s">
        <v>297</v>
      </c>
      <c r="C100" s="51">
        <v>5.6930000000000001E-3</v>
      </c>
      <c r="D100" s="65">
        <v>586266817.64289999</v>
      </c>
      <c r="E100" s="45" t="s">
        <v>392</v>
      </c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 s="8" t="s">
        <v>251</v>
      </c>
      <c r="B101" s="8" t="s">
        <v>796</v>
      </c>
      <c r="C101" s="50">
        <v>5.6160000000000003E-3</v>
      </c>
      <c r="D101" s="64">
        <v>578343419.46309996</v>
      </c>
      <c r="E101" s="44" t="s">
        <v>797</v>
      </c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 s="5" t="s">
        <v>28</v>
      </c>
      <c r="B102" s="5" t="s">
        <v>306</v>
      </c>
      <c r="C102" s="51">
        <v>5.5789999999999998E-3</v>
      </c>
      <c r="D102" s="65">
        <v>56877777</v>
      </c>
      <c r="E102" s="45" t="s">
        <v>307</v>
      </c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 s="8" t="s">
        <v>251</v>
      </c>
      <c r="B103" s="8" t="s">
        <v>320</v>
      </c>
      <c r="C103" s="50">
        <v>5.5050000000000003E-3</v>
      </c>
      <c r="D103" s="64">
        <v>566885057.74249995</v>
      </c>
      <c r="E103" s="44" t="s">
        <v>321</v>
      </c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 s="5" t="s">
        <v>251</v>
      </c>
      <c r="B104" s="5" t="s">
        <v>343</v>
      </c>
      <c r="C104" s="51">
        <v>5.3470000000000002E-3</v>
      </c>
      <c r="D104" s="65">
        <v>550720565.495</v>
      </c>
      <c r="E104" s="45" t="s">
        <v>344</v>
      </c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 s="8" t="s">
        <v>251</v>
      </c>
      <c r="B105" s="8" t="s">
        <v>640</v>
      </c>
      <c r="C105" s="50">
        <v>5.0109999999999998E-3</v>
      </c>
      <c r="D105" s="64">
        <v>515992267.9048</v>
      </c>
      <c r="E105" s="44" t="s">
        <v>254</v>
      </c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 s="5" t="s">
        <v>18</v>
      </c>
      <c r="B106" s="5" t="s">
        <v>296</v>
      </c>
      <c r="C106" s="51">
        <v>4.6410000000000002E-3</v>
      </c>
      <c r="D106" s="65">
        <v>110283693.2834</v>
      </c>
      <c r="E106" s="45" t="s">
        <v>254</v>
      </c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 s="8" t="s">
        <v>251</v>
      </c>
      <c r="B107" s="8" t="s">
        <v>23</v>
      </c>
      <c r="C107" s="50">
        <v>4.561E-3</v>
      </c>
      <c r="D107" s="64">
        <v>469738789.9041</v>
      </c>
      <c r="E107" s="44" t="s">
        <v>259</v>
      </c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 s="5" t="s">
        <v>18</v>
      </c>
      <c r="B108" s="5" t="s">
        <v>261</v>
      </c>
      <c r="C108" s="51">
        <v>4.4929999999999996E-3</v>
      </c>
      <c r="D108" s="65">
        <v>106775549.9777</v>
      </c>
      <c r="E108" s="45" t="s">
        <v>292</v>
      </c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 s="8" t="s">
        <v>251</v>
      </c>
      <c r="B109" s="8" t="s">
        <v>290</v>
      </c>
      <c r="C109" s="50">
        <v>4.2189999999999997E-3</v>
      </c>
      <c r="D109" s="64">
        <v>434448731.4023</v>
      </c>
      <c r="E109" s="44" t="s">
        <v>798</v>
      </c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 s="5" t="s">
        <v>251</v>
      </c>
      <c r="B110" s="5" t="s">
        <v>361</v>
      </c>
      <c r="C110" s="51">
        <v>3.8170000000000001E-3</v>
      </c>
      <c r="D110" s="65">
        <v>393157201.45420003</v>
      </c>
      <c r="E110" s="45" t="s">
        <v>362</v>
      </c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 s="8" t="s">
        <v>251</v>
      </c>
      <c r="B111" s="8" t="s">
        <v>277</v>
      </c>
      <c r="C111" s="50">
        <v>3.7859999999999999E-3</v>
      </c>
      <c r="D111" s="64">
        <v>389892279.2622</v>
      </c>
      <c r="E111" s="44" t="s">
        <v>790</v>
      </c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 s="5" t="s">
        <v>251</v>
      </c>
      <c r="B112" s="5" t="s">
        <v>350</v>
      </c>
      <c r="C112" s="51">
        <v>3.7699999999999999E-3</v>
      </c>
      <c r="D112" s="65">
        <v>388209962.59060001</v>
      </c>
      <c r="E112" s="45" t="s">
        <v>351</v>
      </c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 s="8" t="s">
        <v>251</v>
      </c>
      <c r="B113" s="8" t="s">
        <v>268</v>
      </c>
      <c r="C113" s="50">
        <v>3.712E-3</v>
      </c>
      <c r="D113" s="64">
        <v>382435944.33069998</v>
      </c>
      <c r="E113" s="44" t="s">
        <v>254</v>
      </c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 s="5" t="s">
        <v>251</v>
      </c>
      <c r="B114" s="5" t="s">
        <v>304</v>
      </c>
      <c r="C114" s="51">
        <v>3.5019999999999999E-3</v>
      </c>
      <c r="D114" s="65">
        <v>360675284.051</v>
      </c>
      <c r="E114" s="45" t="s">
        <v>305</v>
      </c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 s="8" t="s">
        <v>251</v>
      </c>
      <c r="B115" s="8" t="s">
        <v>301</v>
      </c>
      <c r="C115" s="50">
        <v>3.4329999999999999E-3</v>
      </c>
      <c r="D115" s="64">
        <v>353509430.14410001</v>
      </c>
      <c r="E115" s="44" t="s">
        <v>674</v>
      </c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 s="5" t="s">
        <v>251</v>
      </c>
      <c r="B116" s="5" t="s">
        <v>295</v>
      </c>
      <c r="C116" s="51">
        <v>3.392E-3</v>
      </c>
      <c r="D116" s="65">
        <v>349220084.18040001</v>
      </c>
      <c r="E116" s="45" t="s">
        <v>468</v>
      </c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 s="8" t="s">
        <v>18</v>
      </c>
      <c r="B117" s="8" t="s">
        <v>326</v>
      </c>
      <c r="C117" s="50">
        <v>3.1879999999999999E-3</v>
      </c>
      <c r="D117" s="64">
        <v>75768257.474900007</v>
      </c>
      <c r="E117" s="44" t="s">
        <v>622</v>
      </c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 s="5" t="s">
        <v>251</v>
      </c>
      <c r="B118" s="5" t="s">
        <v>345</v>
      </c>
      <c r="C118" s="51">
        <v>3.13E-3</v>
      </c>
      <c r="D118" s="65">
        <v>322354800.66469997</v>
      </c>
      <c r="E118" s="45" t="s">
        <v>254</v>
      </c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 s="8" t="s">
        <v>251</v>
      </c>
      <c r="B119" s="8" t="s">
        <v>299</v>
      </c>
      <c r="C119" s="50">
        <v>3.1280000000000001E-3</v>
      </c>
      <c r="D119" s="64">
        <v>322132616.31830001</v>
      </c>
      <c r="E119" s="44" t="s">
        <v>615</v>
      </c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 s="5" t="s">
        <v>18</v>
      </c>
      <c r="B120" s="5" t="s">
        <v>268</v>
      </c>
      <c r="C120" s="51">
        <v>2.9499999999999999E-3</v>
      </c>
      <c r="D120" s="65">
        <v>70111114.988199994</v>
      </c>
      <c r="E120" s="45" t="s">
        <v>254</v>
      </c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 s="8" t="s">
        <v>18</v>
      </c>
      <c r="B121" s="8" t="s">
        <v>299</v>
      </c>
      <c r="C121" s="50">
        <v>2.944E-3</v>
      </c>
      <c r="D121" s="64">
        <v>69927407.996900007</v>
      </c>
      <c r="E121" s="44" t="s">
        <v>615</v>
      </c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 s="5" t="s">
        <v>251</v>
      </c>
      <c r="B122" s="5" t="s">
        <v>328</v>
      </c>
      <c r="C122" s="51">
        <v>2.8649999999999999E-3</v>
      </c>
      <c r="D122" s="65">
        <v>294968311.40170002</v>
      </c>
      <c r="E122" s="45" t="s">
        <v>799</v>
      </c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 s="8" t="s">
        <v>251</v>
      </c>
      <c r="B123" s="8" t="s">
        <v>667</v>
      </c>
      <c r="C123" s="50">
        <v>2.8540000000000002E-3</v>
      </c>
      <c r="D123" s="64">
        <v>293841579.67070001</v>
      </c>
      <c r="E123" s="44" t="s">
        <v>254</v>
      </c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 s="5" t="s">
        <v>251</v>
      </c>
      <c r="B124" s="5" t="s">
        <v>288</v>
      </c>
      <c r="C124" s="51">
        <v>2.8379999999999998E-3</v>
      </c>
      <c r="D124" s="65">
        <v>292366053.34920001</v>
      </c>
      <c r="E124" s="45" t="s">
        <v>162</v>
      </c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 s="8" t="s">
        <v>251</v>
      </c>
      <c r="B125" s="8" t="s">
        <v>25</v>
      </c>
      <c r="C125" s="50">
        <v>2.7829999999999999E-3</v>
      </c>
      <c r="D125" s="64">
        <v>286601351.7098</v>
      </c>
      <c r="E125" s="44" t="s">
        <v>578</v>
      </c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 s="5" t="s">
        <v>18</v>
      </c>
      <c r="B126" s="5" t="s">
        <v>328</v>
      </c>
      <c r="C126" s="51">
        <v>2.6940000000000002E-3</v>
      </c>
      <c r="D126" s="65">
        <v>64030676.847599998</v>
      </c>
      <c r="E126" s="45" t="s">
        <v>799</v>
      </c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 s="8" t="s">
        <v>251</v>
      </c>
      <c r="B127" s="8" t="s">
        <v>293</v>
      </c>
      <c r="C127" s="50">
        <v>2.666E-3</v>
      </c>
      <c r="D127" s="64">
        <v>274544528.56</v>
      </c>
      <c r="E127" s="44" t="s">
        <v>294</v>
      </c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 s="5" t="s">
        <v>251</v>
      </c>
      <c r="B128" s="5" t="s">
        <v>317</v>
      </c>
      <c r="C128" s="51">
        <v>2.6549999999999998E-3</v>
      </c>
      <c r="D128" s="65">
        <v>273420847.2895</v>
      </c>
      <c r="E128" s="45" t="s">
        <v>800</v>
      </c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 s="8" t="s">
        <v>18</v>
      </c>
      <c r="B129" s="8" t="s">
        <v>258</v>
      </c>
      <c r="C129" s="50">
        <v>2.5969999999999999E-3</v>
      </c>
      <c r="D129" s="64">
        <v>61712802.304399997</v>
      </c>
      <c r="E129" s="44" t="s">
        <v>789</v>
      </c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 s="5" t="s">
        <v>251</v>
      </c>
      <c r="B130" s="5" t="s">
        <v>801</v>
      </c>
      <c r="C130" s="51">
        <v>2.581E-3</v>
      </c>
      <c r="D130" s="65">
        <v>265782057.72870001</v>
      </c>
      <c r="E130" s="45" t="s">
        <v>802</v>
      </c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 s="8" t="s">
        <v>251</v>
      </c>
      <c r="B131" s="8" t="s">
        <v>363</v>
      </c>
      <c r="C131" s="50">
        <v>2.4949999999999998E-3</v>
      </c>
      <c r="D131" s="64">
        <v>256891275.8326</v>
      </c>
      <c r="E131" s="44" t="s">
        <v>624</v>
      </c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 s="5" t="s">
        <v>251</v>
      </c>
      <c r="B132" s="5" t="s">
        <v>356</v>
      </c>
      <c r="C132" s="51">
        <v>2.4849999999999998E-3</v>
      </c>
      <c r="D132" s="65">
        <v>255847656.93619999</v>
      </c>
      <c r="E132" s="45" t="s">
        <v>803</v>
      </c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 s="8" t="s">
        <v>251</v>
      </c>
      <c r="B133" s="8" t="s">
        <v>291</v>
      </c>
      <c r="C133" s="50">
        <v>2.196E-3</v>
      </c>
      <c r="D133" s="64">
        <v>226298596.23120001</v>
      </c>
      <c r="E133" s="44" t="s">
        <v>254</v>
      </c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 s="5" t="s">
        <v>18</v>
      </c>
      <c r="B134" s="5" t="s">
        <v>285</v>
      </c>
      <c r="C134" s="51">
        <v>2.0869999999999999E-3</v>
      </c>
      <c r="D134" s="65">
        <v>49586479.615400001</v>
      </c>
      <c r="E134" s="45" t="s">
        <v>791</v>
      </c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 s="8" t="s">
        <v>18</v>
      </c>
      <c r="B135" s="8" t="s">
        <v>315</v>
      </c>
      <c r="C135" s="50">
        <v>1.9940000000000001E-3</v>
      </c>
      <c r="D135" s="64">
        <v>47387657.328599997</v>
      </c>
      <c r="E135" s="44" t="s">
        <v>449</v>
      </c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 s="5" t="s">
        <v>251</v>
      </c>
      <c r="B136" s="5" t="s">
        <v>281</v>
      </c>
      <c r="C136" s="51">
        <v>1.882E-3</v>
      </c>
      <c r="D136" s="65">
        <v>193799758.61770001</v>
      </c>
      <c r="E136" s="45" t="s">
        <v>282</v>
      </c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 s="8" t="s">
        <v>251</v>
      </c>
      <c r="B137" s="8" t="s">
        <v>654</v>
      </c>
      <c r="C137" s="50">
        <v>1.853E-3</v>
      </c>
      <c r="D137" s="64">
        <v>190799301.98320001</v>
      </c>
      <c r="E137" s="44" t="s">
        <v>655</v>
      </c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 s="5" t="s">
        <v>18</v>
      </c>
      <c r="B138" s="5" t="s">
        <v>654</v>
      </c>
      <c r="C138" s="51">
        <v>1.743E-3</v>
      </c>
      <c r="D138" s="65">
        <v>41418037.042599998</v>
      </c>
      <c r="E138" s="45" t="s">
        <v>655</v>
      </c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 s="8" t="s">
        <v>251</v>
      </c>
      <c r="B139" s="8" t="s">
        <v>313</v>
      </c>
      <c r="C139" s="50">
        <v>1.704E-3</v>
      </c>
      <c r="D139" s="64">
        <v>175431938.71560001</v>
      </c>
      <c r="E139" s="44" t="s">
        <v>314</v>
      </c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 s="5" t="s">
        <v>251</v>
      </c>
      <c r="B140" s="5" t="s">
        <v>804</v>
      </c>
      <c r="C140" s="51">
        <v>1.7030000000000001E-3</v>
      </c>
      <c r="D140" s="65">
        <v>175387168.53850001</v>
      </c>
      <c r="E140" s="45" t="s">
        <v>805</v>
      </c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 s="8" t="s">
        <v>251</v>
      </c>
      <c r="B141" s="8" t="s">
        <v>333</v>
      </c>
      <c r="C141" s="50">
        <v>1.6249999999999999E-3</v>
      </c>
      <c r="D141" s="64">
        <v>167328536.67210001</v>
      </c>
      <c r="E141" s="44" t="s">
        <v>334</v>
      </c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 s="5" t="s">
        <v>18</v>
      </c>
      <c r="B142" s="5" t="s">
        <v>313</v>
      </c>
      <c r="C142" s="51">
        <v>1.603E-3</v>
      </c>
      <c r="D142" s="65">
        <v>38082144.225199997</v>
      </c>
      <c r="E142" s="45" t="s">
        <v>314</v>
      </c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 s="8" t="s">
        <v>18</v>
      </c>
      <c r="B143" s="8" t="s">
        <v>804</v>
      </c>
      <c r="C143" s="50">
        <v>1.6019999999999999E-3</v>
      </c>
      <c r="D143" s="64">
        <v>38072425.673600003</v>
      </c>
      <c r="E143" s="44" t="s">
        <v>805</v>
      </c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 s="5" t="s">
        <v>18</v>
      </c>
      <c r="B144" s="5" t="s">
        <v>333</v>
      </c>
      <c r="C144" s="51">
        <v>1.529E-3</v>
      </c>
      <c r="D144" s="65">
        <v>36323086.3957</v>
      </c>
      <c r="E144" s="45" t="s">
        <v>334</v>
      </c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 s="8" t="s">
        <v>251</v>
      </c>
      <c r="B145" s="8" t="s">
        <v>407</v>
      </c>
      <c r="C145" s="50">
        <v>1.4760000000000001E-3</v>
      </c>
      <c r="D145" s="64">
        <v>151983558.493</v>
      </c>
      <c r="E145" s="44" t="s">
        <v>408</v>
      </c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 s="5" t="s">
        <v>251</v>
      </c>
      <c r="B146" s="5" t="s">
        <v>327</v>
      </c>
      <c r="C146" s="51">
        <v>1.4729999999999999E-3</v>
      </c>
      <c r="D146" s="65">
        <v>151636589.62090001</v>
      </c>
      <c r="E146" s="45" t="s">
        <v>806</v>
      </c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 s="8" t="s">
        <v>251</v>
      </c>
      <c r="B147" s="8" t="s">
        <v>807</v>
      </c>
      <c r="C147" s="50">
        <v>1.4170000000000001E-3</v>
      </c>
      <c r="D147" s="64">
        <v>145866203.0266</v>
      </c>
      <c r="E147" s="44" t="s">
        <v>808</v>
      </c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 s="5" t="s">
        <v>251</v>
      </c>
      <c r="B148" s="5" t="s">
        <v>337</v>
      </c>
      <c r="C148" s="51">
        <v>1.4009999999999999E-3</v>
      </c>
      <c r="D148" s="65">
        <v>144292461.11930001</v>
      </c>
      <c r="E148" s="45" t="s">
        <v>338</v>
      </c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 s="8" t="s">
        <v>18</v>
      </c>
      <c r="B149" s="8" t="s">
        <v>796</v>
      </c>
      <c r="C149" s="50">
        <v>1.3990000000000001E-3</v>
      </c>
      <c r="D149" s="64">
        <v>33237446.280499998</v>
      </c>
      <c r="E149" s="44" t="s">
        <v>797</v>
      </c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 s="5" t="s">
        <v>18</v>
      </c>
      <c r="B150" s="5" t="s">
        <v>407</v>
      </c>
      <c r="C150" s="51">
        <v>1.389E-3</v>
      </c>
      <c r="D150" s="65">
        <v>32992052.853999998</v>
      </c>
      <c r="E150" s="45" t="s">
        <v>408</v>
      </c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 s="8" t="s">
        <v>18</v>
      </c>
      <c r="B151" s="8" t="s">
        <v>327</v>
      </c>
      <c r="C151" s="50">
        <v>1.3860000000000001E-3</v>
      </c>
      <c r="D151" s="64">
        <v>32916734.079500001</v>
      </c>
      <c r="E151" s="44" t="s">
        <v>806</v>
      </c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 s="5" t="s">
        <v>251</v>
      </c>
      <c r="B152" s="5" t="s">
        <v>341</v>
      </c>
      <c r="C152" s="51">
        <v>1.2700000000000001E-3</v>
      </c>
      <c r="D152" s="65">
        <v>130842536.5906</v>
      </c>
      <c r="E152" s="45" t="s">
        <v>342</v>
      </c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 s="8" t="s">
        <v>251</v>
      </c>
      <c r="B153" s="8" t="s">
        <v>335</v>
      </c>
      <c r="C153" s="50">
        <v>1.2489999999999999E-3</v>
      </c>
      <c r="D153" s="64">
        <v>128555042.04700001</v>
      </c>
      <c r="E153" s="44" t="s">
        <v>336</v>
      </c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 s="5" t="s">
        <v>251</v>
      </c>
      <c r="B154" s="5" t="s">
        <v>318</v>
      </c>
      <c r="C154" s="51">
        <v>1.24E-3</v>
      </c>
      <c r="D154" s="65">
        <v>127673352.3625</v>
      </c>
      <c r="E154" s="45" t="s">
        <v>759</v>
      </c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 s="8" t="s">
        <v>251</v>
      </c>
      <c r="B155" s="8" t="s">
        <v>324</v>
      </c>
      <c r="C155" s="50">
        <v>1.2149999999999999E-3</v>
      </c>
      <c r="D155" s="64">
        <v>125121452.2714</v>
      </c>
      <c r="E155" s="44" t="s">
        <v>325</v>
      </c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 s="5" t="s">
        <v>18</v>
      </c>
      <c r="B156" s="5" t="s">
        <v>359</v>
      </c>
      <c r="C156" s="51">
        <v>1.1999999999999999E-3</v>
      </c>
      <c r="D156" s="65">
        <v>28502082.0407</v>
      </c>
      <c r="E156" s="45" t="s">
        <v>360</v>
      </c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 s="8" t="s">
        <v>18</v>
      </c>
      <c r="B157" s="8" t="s">
        <v>324</v>
      </c>
      <c r="C157" s="50">
        <v>1.1429999999999999E-3</v>
      </c>
      <c r="D157" s="64">
        <v>27160921.9276</v>
      </c>
      <c r="E157" s="44" t="s">
        <v>325</v>
      </c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 s="5" t="s">
        <v>18</v>
      </c>
      <c r="B158" s="5" t="s">
        <v>343</v>
      </c>
      <c r="C158" s="51">
        <v>1.124E-3</v>
      </c>
      <c r="D158" s="65">
        <v>26706579.642900001</v>
      </c>
      <c r="E158" s="45" t="s">
        <v>344</v>
      </c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 s="8" t="s">
        <v>251</v>
      </c>
      <c r="B159" s="8" t="s">
        <v>310</v>
      </c>
      <c r="C159" s="50">
        <v>1.1039999999999999E-3</v>
      </c>
      <c r="D159" s="64">
        <v>113705057.12720001</v>
      </c>
      <c r="E159" s="44" t="s">
        <v>377</v>
      </c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 s="5" t="s">
        <v>251</v>
      </c>
      <c r="B160" s="5" t="s">
        <v>331</v>
      </c>
      <c r="C160" s="51">
        <v>1.098E-3</v>
      </c>
      <c r="D160" s="65">
        <v>113077430</v>
      </c>
      <c r="E160" s="45" t="s">
        <v>332</v>
      </c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 s="8" t="s">
        <v>18</v>
      </c>
      <c r="B161" s="8" t="s">
        <v>668</v>
      </c>
      <c r="C161" s="50">
        <v>1.093E-3</v>
      </c>
      <c r="D161" s="64">
        <v>25967969.725499999</v>
      </c>
      <c r="E161" s="44" t="s">
        <v>254</v>
      </c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 s="5" t="s">
        <v>18</v>
      </c>
      <c r="B162" s="5" t="s">
        <v>794</v>
      </c>
      <c r="C162" s="51">
        <v>1.0610000000000001E-3</v>
      </c>
      <c r="D162" s="65">
        <v>25202633.791499998</v>
      </c>
      <c r="E162" s="45" t="s">
        <v>795</v>
      </c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 s="8" t="s">
        <v>18</v>
      </c>
      <c r="B163" s="8" t="s">
        <v>310</v>
      </c>
      <c r="C163" s="50">
        <v>1.039E-3</v>
      </c>
      <c r="D163" s="64">
        <v>24682691.2839</v>
      </c>
      <c r="E163" s="44" t="s">
        <v>377</v>
      </c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 s="5" t="s">
        <v>251</v>
      </c>
      <c r="B164" s="5" t="s">
        <v>656</v>
      </c>
      <c r="C164" s="51">
        <v>1.0369999999999999E-3</v>
      </c>
      <c r="D164" s="65">
        <v>106754487.14229999</v>
      </c>
      <c r="E164" s="45" t="s">
        <v>657</v>
      </c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 s="8" t="s">
        <v>251</v>
      </c>
      <c r="B165" s="8" t="s">
        <v>322</v>
      </c>
      <c r="C165" s="50">
        <v>1.0169999999999999E-3</v>
      </c>
      <c r="D165" s="64">
        <v>104706251.5429</v>
      </c>
      <c r="E165" s="44" t="s">
        <v>323</v>
      </c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 s="5" t="s">
        <v>251</v>
      </c>
      <c r="B166" s="5" t="s">
        <v>306</v>
      </c>
      <c r="C166" s="51">
        <v>1.0120000000000001E-3</v>
      </c>
      <c r="D166" s="65">
        <v>104288059</v>
      </c>
      <c r="E166" s="45" t="s">
        <v>340</v>
      </c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 s="8" t="s">
        <v>251</v>
      </c>
      <c r="B167" s="8" t="s">
        <v>339</v>
      </c>
      <c r="C167" s="50">
        <v>1.005E-3</v>
      </c>
      <c r="D167" s="64">
        <v>103531034.39579999</v>
      </c>
      <c r="E167" s="44" t="s">
        <v>809</v>
      </c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 s="5" t="s">
        <v>18</v>
      </c>
      <c r="B168" s="5" t="s">
        <v>656</v>
      </c>
      <c r="C168" s="51">
        <v>9.7499999999999996E-4</v>
      </c>
      <c r="D168" s="65">
        <v>23173886.1567</v>
      </c>
      <c r="E168" s="45" t="s">
        <v>657</v>
      </c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 s="8" t="s">
        <v>251</v>
      </c>
      <c r="B169" s="8" t="s">
        <v>472</v>
      </c>
      <c r="C169" s="50">
        <v>9.7000000000000005E-4</v>
      </c>
      <c r="D169" s="64">
        <v>99883431.674600005</v>
      </c>
      <c r="E169" s="44" t="s">
        <v>473</v>
      </c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 s="5" t="s">
        <v>18</v>
      </c>
      <c r="B170" s="5" t="s">
        <v>276</v>
      </c>
      <c r="C170" s="51">
        <v>9.6500000000000004E-4</v>
      </c>
      <c r="D170" s="65">
        <v>22921203.816500001</v>
      </c>
      <c r="E170" s="45" t="s">
        <v>673</v>
      </c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 s="8" t="s">
        <v>251</v>
      </c>
      <c r="B171" s="8" t="s">
        <v>352</v>
      </c>
      <c r="C171" s="50">
        <v>9.6400000000000001E-4</v>
      </c>
      <c r="D171" s="64">
        <v>99221904.856000006</v>
      </c>
      <c r="E171" s="44" t="s">
        <v>353</v>
      </c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 s="5" t="s">
        <v>18</v>
      </c>
      <c r="B172" s="5" t="s">
        <v>322</v>
      </c>
      <c r="C172" s="51">
        <v>9.5699999999999995E-4</v>
      </c>
      <c r="D172" s="65">
        <v>22729262.423500001</v>
      </c>
      <c r="E172" s="45" t="s">
        <v>323</v>
      </c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 s="8" t="s">
        <v>251</v>
      </c>
      <c r="B173" s="8" t="s">
        <v>810</v>
      </c>
      <c r="C173" s="50">
        <v>9.5E-4</v>
      </c>
      <c r="D173" s="64">
        <v>97867607.000699997</v>
      </c>
      <c r="E173" s="44" t="s">
        <v>254</v>
      </c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 s="5" t="s">
        <v>18</v>
      </c>
      <c r="B174" s="5" t="s">
        <v>339</v>
      </c>
      <c r="C174" s="51">
        <v>9.4600000000000001E-4</v>
      </c>
      <c r="D174" s="65">
        <v>22474150.445500001</v>
      </c>
      <c r="E174" s="45" t="s">
        <v>809</v>
      </c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 s="8" t="s">
        <v>18</v>
      </c>
      <c r="B175" s="8" t="s">
        <v>352</v>
      </c>
      <c r="C175" s="50">
        <v>9.0600000000000001E-4</v>
      </c>
      <c r="D175" s="64">
        <v>21538739.8594</v>
      </c>
      <c r="E175" s="44" t="s">
        <v>353</v>
      </c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 s="5" t="s">
        <v>251</v>
      </c>
      <c r="B176" s="5" t="s">
        <v>638</v>
      </c>
      <c r="C176" s="51">
        <v>9.0200000000000002E-4</v>
      </c>
      <c r="D176" s="65">
        <v>92842154.628399998</v>
      </c>
      <c r="E176" s="45" t="s">
        <v>639</v>
      </c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 s="8" t="s">
        <v>18</v>
      </c>
      <c r="B177" s="8" t="s">
        <v>301</v>
      </c>
      <c r="C177" s="50">
        <v>8.9700000000000001E-4</v>
      </c>
      <c r="D177" s="64">
        <v>21310353.8981</v>
      </c>
      <c r="E177" s="44" t="s">
        <v>674</v>
      </c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 s="5" t="s">
        <v>18</v>
      </c>
      <c r="B178" s="5" t="s">
        <v>810</v>
      </c>
      <c r="C178" s="51">
        <v>8.9499999999999996E-4</v>
      </c>
      <c r="D178" s="65">
        <v>21244753.675299998</v>
      </c>
      <c r="E178" s="45" t="s">
        <v>254</v>
      </c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 s="8" t="s">
        <v>251</v>
      </c>
      <c r="B179" s="8" t="s">
        <v>311</v>
      </c>
      <c r="C179" s="50">
        <v>8.6600000000000002E-4</v>
      </c>
      <c r="D179" s="64">
        <v>89171000.111399993</v>
      </c>
      <c r="E179" s="44" t="s">
        <v>312</v>
      </c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 s="5" t="s">
        <v>18</v>
      </c>
      <c r="B180" s="5" t="s">
        <v>638</v>
      </c>
      <c r="C180" s="51">
        <v>8.4800000000000001E-4</v>
      </c>
      <c r="D180" s="65">
        <v>20153846.264400002</v>
      </c>
      <c r="E180" s="45" t="s">
        <v>639</v>
      </c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 s="8" t="s">
        <v>18</v>
      </c>
      <c r="B181" s="8" t="s">
        <v>311</v>
      </c>
      <c r="C181" s="50">
        <v>8.1499999999999997E-4</v>
      </c>
      <c r="D181" s="64">
        <v>19356925.037799999</v>
      </c>
      <c r="E181" s="44" t="s">
        <v>312</v>
      </c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 s="5" t="s">
        <v>251</v>
      </c>
      <c r="B182" s="5" t="s">
        <v>811</v>
      </c>
      <c r="C182" s="51">
        <v>8.0599999999999997E-4</v>
      </c>
      <c r="D182" s="65">
        <v>83026293.313299999</v>
      </c>
      <c r="E182" s="45" t="s">
        <v>812</v>
      </c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 s="8" t="s">
        <v>18</v>
      </c>
      <c r="B183" s="8" t="s">
        <v>317</v>
      </c>
      <c r="C183" s="50">
        <v>7.8399999999999997E-4</v>
      </c>
      <c r="D183" s="64">
        <v>18625604.0341</v>
      </c>
      <c r="E183" s="44" t="s">
        <v>800</v>
      </c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 s="5" t="s">
        <v>251</v>
      </c>
      <c r="B184" s="5" t="s">
        <v>813</v>
      </c>
      <c r="C184" s="51">
        <v>7.8399999999999997E-4</v>
      </c>
      <c r="D184" s="65">
        <v>80687059.035400003</v>
      </c>
      <c r="E184" s="45" t="s">
        <v>814</v>
      </c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 s="8" t="s">
        <v>18</v>
      </c>
      <c r="B185" s="8" t="s">
        <v>811</v>
      </c>
      <c r="C185" s="50">
        <v>7.5900000000000002E-4</v>
      </c>
      <c r="D185" s="64">
        <v>18023053.838300001</v>
      </c>
      <c r="E185" s="44" t="s">
        <v>812</v>
      </c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 s="5" t="s">
        <v>251</v>
      </c>
      <c r="B186" s="5" t="s">
        <v>286</v>
      </c>
      <c r="C186" s="51">
        <v>7.3300000000000004E-4</v>
      </c>
      <c r="D186" s="65">
        <v>75490432.112499997</v>
      </c>
      <c r="E186" s="45" t="s">
        <v>393</v>
      </c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 s="8" t="s">
        <v>251</v>
      </c>
      <c r="B187" s="8" t="s">
        <v>367</v>
      </c>
      <c r="C187" s="50">
        <v>6.9499999999999998E-4</v>
      </c>
      <c r="D187" s="64">
        <v>71598705.624799997</v>
      </c>
      <c r="E187" s="44" t="s">
        <v>368</v>
      </c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 s="5" t="s">
        <v>18</v>
      </c>
      <c r="B188" s="5" t="s">
        <v>367</v>
      </c>
      <c r="C188" s="51">
        <v>6.5399999999999996E-4</v>
      </c>
      <c r="D188" s="65">
        <v>15542393.556700001</v>
      </c>
      <c r="E188" s="45" t="s">
        <v>368</v>
      </c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 s="8" t="s">
        <v>251</v>
      </c>
      <c r="B189" s="8" t="s">
        <v>815</v>
      </c>
      <c r="C189" s="50">
        <v>6.2200000000000005E-4</v>
      </c>
      <c r="D189" s="64">
        <v>64021353.161499999</v>
      </c>
      <c r="E189" s="44" t="s">
        <v>816</v>
      </c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 s="5" t="s">
        <v>18</v>
      </c>
      <c r="B190" s="5" t="s">
        <v>329</v>
      </c>
      <c r="C190" s="51">
        <v>5.9599999999999996E-4</v>
      </c>
      <c r="D190" s="65">
        <v>14172077.789000001</v>
      </c>
      <c r="E190" s="45" t="s">
        <v>817</v>
      </c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 s="8" t="s">
        <v>18</v>
      </c>
      <c r="B191" s="8" t="s">
        <v>815</v>
      </c>
      <c r="C191" s="50">
        <v>5.8500000000000002E-4</v>
      </c>
      <c r="D191" s="64">
        <v>13897528.707900001</v>
      </c>
      <c r="E191" s="44" t="s">
        <v>816</v>
      </c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 s="5" t="s">
        <v>18</v>
      </c>
      <c r="B192" s="5" t="s">
        <v>341</v>
      </c>
      <c r="C192" s="51">
        <v>5.1400000000000003E-4</v>
      </c>
      <c r="D192" s="65">
        <v>12211360.015000001</v>
      </c>
      <c r="E192" s="45" t="s">
        <v>342</v>
      </c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 s="8" t="s">
        <v>251</v>
      </c>
      <c r="B193" s="8" t="s">
        <v>354</v>
      </c>
      <c r="C193" s="50">
        <v>4.8099999999999998E-4</v>
      </c>
      <c r="D193" s="64">
        <v>49527008.346100003</v>
      </c>
      <c r="E193" s="44" t="s">
        <v>355</v>
      </c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 s="5" t="s">
        <v>18</v>
      </c>
      <c r="B194" s="5" t="s">
        <v>354</v>
      </c>
      <c r="C194" s="51">
        <v>4.5199999999999998E-4</v>
      </c>
      <c r="D194" s="65">
        <v>10751147.6456</v>
      </c>
      <c r="E194" s="45" t="s">
        <v>355</v>
      </c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 s="8" t="s">
        <v>251</v>
      </c>
      <c r="B195" s="8" t="s">
        <v>348</v>
      </c>
      <c r="C195" s="50">
        <v>4.15E-4</v>
      </c>
      <c r="D195" s="64">
        <v>42699556.348099999</v>
      </c>
      <c r="E195" s="44" t="s">
        <v>349</v>
      </c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 s="5" t="s">
        <v>18</v>
      </c>
      <c r="B196" s="5" t="s">
        <v>348</v>
      </c>
      <c r="C196" s="51">
        <v>3.8999999999999999E-4</v>
      </c>
      <c r="D196" s="65">
        <v>9269068.5351</v>
      </c>
      <c r="E196" s="45" t="s">
        <v>349</v>
      </c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 s="8" t="s">
        <v>251</v>
      </c>
      <c r="B197" s="8" t="s">
        <v>366</v>
      </c>
      <c r="C197" s="50">
        <v>2.7500000000000002E-4</v>
      </c>
      <c r="D197" s="64">
        <v>28412855.658599999</v>
      </c>
      <c r="E197" s="44" t="s">
        <v>411</v>
      </c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 s="5" t="s">
        <v>18</v>
      </c>
      <c r="B198" s="5" t="s">
        <v>293</v>
      </c>
      <c r="C198" s="51">
        <v>2.24E-4</v>
      </c>
      <c r="D198" s="65">
        <v>5328195.8839999996</v>
      </c>
      <c r="E198" s="45" t="s">
        <v>294</v>
      </c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 s="8" t="s">
        <v>251</v>
      </c>
      <c r="B199" s="8" t="s">
        <v>357</v>
      </c>
      <c r="C199" s="50">
        <v>2.04E-4</v>
      </c>
      <c r="D199" s="64">
        <v>21106670</v>
      </c>
      <c r="E199" s="44" t="s">
        <v>358</v>
      </c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 s="5" t="s">
        <v>251</v>
      </c>
      <c r="B200" s="5" t="s">
        <v>818</v>
      </c>
      <c r="C200" s="51">
        <v>1.85E-4</v>
      </c>
      <c r="D200" s="65">
        <v>19016048.045699999</v>
      </c>
      <c r="E200" s="45" t="s">
        <v>819</v>
      </c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 s="8" t="s">
        <v>251</v>
      </c>
      <c r="B201" s="8" t="s">
        <v>474</v>
      </c>
      <c r="C201" s="50">
        <v>1.3999999999999999E-4</v>
      </c>
      <c r="D201" s="64">
        <v>14393611.917099999</v>
      </c>
      <c r="E201" s="44" t="s">
        <v>475</v>
      </c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 s="5" t="s">
        <v>18</v>
      </c>
      <c r="B202" s="5" t="s">
        <v>474</v>
      </c>
      <c r="C202" s="51">
        <v>1.3100000000000001E-4</v>
      </c>
      <c r="D202" s="65">
        <v>3124514.3213999998</v>
      </c>
      <c r="E202" s="45" t="s">
        <v>475</v>
      </c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 s="8" t="s">
        <v>18</v>
      </c>
      <c r="B203" s="8" t="s">
        <v>366</v>
      </c>
      <c r="C203" s="50">
        <v>1.15E-4</v>
      </c>
      <c r="D203" s="64">
        <v>2726053.7080999999</v>
      </c>
      <c r="E203" s="44" t="s">
        <v>820</v>
      </c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 s="5" t="s">
        <v>251</v>
      </c>
      <c r="B204" s="5" t="s">
        <v>374</v>
      </c>
      <c r="C204" s="51">
        <v>6.8999999999999997E-5</v>
      </c>
      <c r="D204" s="65">
        <v>7084880.5159</v>
      </c>
      <c r="E204" s="45" t="s">
        <v>375</v>
      </c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 s="8" t="s">
        <v>18</v>
      </c>
      <c r="B205" s="8" t="s">
        <v>374</v>
      </c>
      <c r="C205" s="50">
        <v>6.4999999999999994E-5</v>
      </c>
      <c r="D205" s="64">
        <v>1537960.7818</v>
      </c>
      <c r="E205" s="44" t="s">
        <v>375</v>
      </c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 s="5" t="s">
        <v>251</v>
      </c>
      <c r="B206" s="5" t="s">
        <v>364</v>
      </c>
      <c r="C206" s="51">
        <v>6.3999999999999997E-5</v>
      </c>
      <c r="D206" s="65">
        <v>6557257.9468</v>
      </c>
      <c r="E206" s="45" t="s">
        <v>365</v>
      </c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 s="8" t="s">
        <v>18</v>
      </c>
      <c r="B207" s="8" t="s">
        <v>288</v>
      </c>
      <c r="C207" s="50">
        <v>5.5999999999999999E-5</v>
      </c>
      <c r="D207" s="64">
        <v>1319293.3721</v>
      </c>
      <c r="E207" s="44" t="s">
        <v>254</v>
      </c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 s="5" t="s">
        <v>251</v>
      </c>
      <c r="B208" s="5" t="s">
        <v>369</v>
      </c>
      <c r="C208" s="51">
        <v>5.3000000000000001E-5</v>
      </c>
      <c r="D208" s="65">
        <v>5426130.9510000004</v>
      </c>
      <c r="E208" s="45" t="s">
        <v>370</v>
      </c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 s="8" t="s">
        <v>18</v>
      </c>
      <c r="B209" s="8" t="s">
        <v>361</v>
      </c>
      <c r="C209" s="50">
        <v>4.1999999999999998E-5</v>
      </c>
      <c r="D209" s="64">
        <v>988862.61959999998</v>
      </c>
      <c r="E209" s="44" t="s">
        <v>362</v>
      </c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 s="5" t="s">
        <v>251</v>
      </c>
      <c r="B210" s="5" t="s">
        <v>372</v>
      </c>
      <c r="C210" s="51">
        <v>2.0000000000000002E-5</v>
      </c>
      <c r="D210" s="65">
        <v>2016356.8186000001</v>
      </c>
      <c r="E210" s="45" t="s">
        <v>373</v>
      </c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 s="8" t="s">
        <v>28</v>
      </c>
      <c r="B211" s="8" t="s">
        <v>252</v>
      </c>
      <c r="C211" s="50">
        <v>9.9999999999999995E-7</v>
      </c>
      <c r="D211" s="64">
        <v>13110</v>
      </c>
      <c r="E211" s="44" t="s">
        <v>132</v>
      </c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 s="5"/>
      <c r="B212" s="5"/>
      <c r="C212" s="51"/>
      <c r="D212" s="65"/>
      <c r="E212" s="45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 s="8"/>
      <c r="B213" s="8"/>
      <c r="C213" s="50"/>
      <c r="D213" s="64"/>
      <c r="E213" s="44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 s="5"/>
      <c r="B214" s="5"/>
      <c r="C214" s="51"/>
      <c r="D214" s="65"/>
      <c r="E214" s="45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 s="8"/>
      <c r="B215" s="8"/>
      <c r="C215" s="50"/>
      <c r="D215" s="64"/>
      <c r="E215" s="44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 s="5"/>
      <c r="B216" s="5"/>
      <c r="C216" s="51"/>
      <c r="D216" s="65"/>
      <c r="E216" s="45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 s="8"/>
      <c r="B217" s="8"/>
      <c r="C217" s="50"/>
      <c r="D217" s="64"/>
      <c r="E217" s="44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 s="5"/>
      <c r="B218" s="5"/>
      <c r="C218" s="51"/>
      <c r="D218" s="65"/>
      <c r="E218" s="45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 s="8"/>
      <c r="B219" s="8"/>
      <c r="C219" s="50"/>
      <c r="D219" s="64"/>
      <c r="E219" s="44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 s="5"/>
      <c r="B220" s="5"/>
      <c r="C220" s="51"/>
      <c r="D220" s="65"/>
      <c r="E220" s="45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 s="8"/>
      <c r="B221" s="8"/>
      <c r="C221" s="50"/>
      <c r="D221" s="64"/>
      <c r="E221" s="44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 s="5"/>
      <c r="B222" s="5"/>
      <c r="C222" s="51"/>
      <c r="D222" s="65"/>
      <c r="E222" s="45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 s="8"/>
      <c r="B223" s="8"/>
      <c r="C223" s="50"/>
      <c r="D223" s="64"/>
      <c r="E223" s="44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 s="5"/>
      <c r="B224" s="5"/>
      <c r="C224" s="51"/>
      <c r="D224" s="65"/>
      <c r="E224" s="45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 s="8"/>
      <c r="B225" s="8"/>
      <c r="C225" s="50"/>
      <c r="D225" s="64"/>
      <c r="E225" s="44"/>
      <c r="F225"/>
      <c r="G225"/>
      <c r="H225"/>
      <c r="I225"/>
      <c r="J225"/>
      <c r="K225"/>
      <c r="L225"/>
      <c r="M225"/>
      <c r="N225"/>
      <c r="O225"/>
      <c r="P225"/>
    </row>
    <row r="226" spans="1:16">
      <c r="A226" s="5"/>
      <c r="B226" s="5"/>
      <c r="C226" s="51"/>
      <c r="D226" s="65"/>
      <c r="E226" s="45"/>
      <c r="F226"/>
      <c r="G226"/>
      <c r="H226"/>
      <c r="I226"/>
      <c r="J226"/>
      <c r="K226"/>
      <c r="L226"/>
      <c r="M226"/>
      <c r="N226"/>
      <c r="O226"/>
      <c r="P226"/>
    </row>
    <row r="227" spans="1:16">
      <c r="A227" s="8"/>
      <c r="B227" s="8"/>
      <c r="C227" s="50"/>
      <c r="D227" s="64"/>
      <c r="E227" s="44"/>
      <c r="F227"/>
      <c r="G227"/>
      <c r="H227"/>
      <c r="I227"/>
      <c r="J227"/>
      <c r="K227"/>
      <c r="L227"/>
      <c r="M227"/>
      <c r="N227"/>
      <c r="O227"/>
      <c r="P227"/>
    </row>
    <row r="228" spans="1:16">
      <c r="A228" s="5"/>
      <c r="B228" s="5"/>
      <c r="C228" s="51"/>
      <c r="D228" s="65"/>
      <c r="E228" s="45"/>
      <c r="F228"/>
      <c r="G228"/>
      <c r="H228"/>
      <c r="I228"/>
      <c r="J228"/>
      <c r="K228"/>
      <c r="L228"/>
      <c r="M228"/>
      <c r="N228"/>
      <c r="O228"/>
      <c r="P228"/>
    </row>
    <row r="229" spans="1:16">
      <c r="A229" s="8"/>
      <c r="B229" s="8"/>
      <c r="C229" s="50"/>
      <c r="D229" s="64"/>
      <c r="E229" s="44"/>
      <c r="F229"/>
      <c r="G229"/>
      <c r="H229"/>
      <c r="I229"/>
      <c r="J229"/>
      <c r="K229"/>
      <c r="L229"/>
      <c r="M229"/>
      <c r="N229"/>
      <c r="O229"/>
      <c r="P229"/>
    </row>
    <row r="230" spans="1:16">
      <c r="A230" s="5"/>
      <c r="B230" s="5"/>
      <c r="C230" s="51"/>
      <c r="D230" s="65"/>
      <c r="E230" s="45"/>
      <c r="F230"/>
      <c r="G230"/>
      <c r="H230"/>
      <c r="I230"/>
      <c r="J230"/>
      <c r="K230"/>
      <c r="L230"/>
      <c r="M230"/>
      <c r="N230"/>
      <c r="O230"/>
      <c r="P230"/>
    </row>
    <row r="231" spans="1:16">
      <c r="A231" s="8"/>
      <c r="B231" s="8"/>
      <c r="C231" s="50"/>
      <c r="D231" s="64"/>
      <c r="E231" s="44"/>
      <c r="F231"/>
      <c r="G231"/>
      <c r="H231"/>
      <c r="I231"/>
      <c r="J231"/>
      <c r="K231"/>
      <c r="L231"/>
      <c r="M231"/>
      <c r="N231"/>
      <c r="O231"/>
      <c r="P231"/>
    </row>
    <row r="232" spans="1:16">
      <c r="A232" s="5"/>
      <c r="B232" s="5"/>
      <c r="C232" s="51"/>
      <c r="D232" s="65"/>
      <c r="E232" s="45"/>
      <c r="F232"/>
      <c r="G232"/>
      <c r="H232"/>
      <c r="I232"/>
      <c r="J232"/>
      <c r="K232"/>
      <c r="L232"/>
      <c r="M232"/>
      <c r="N232"/>
      <c r="O232"/>
      <c r="P232"/>
    </row>
    <row r="233" spans="1:16">
      <c r="A233" s="8"/>
      <c r="B233" s="8"/>
      <c r="C233" s="50"/>
      <c r="D233" s="64"/>
      <c r="E233" s="44"/>
      <c r="F233"/>
      <c r="G233"/>
      <c r="H233"/>
      <c r="I233"/>
      <c r="J233"/>
      <c r="K233"/>
      <c r="L233"/>
      <c r="M233"/>
      <c r="N233"/>
      <c r="O233"/>
      <c r="P233"/>
    </row>
    <row r="234" spans="1:16">
      <c r="A234" s="5"/>
      <c r="B234" s="5"/>
      <c r="C234" s="51"/>
      <c r="D234" s="65"/>
      <c r="E234" s="45"/>
      <c r="F234"/>
      <c r="G234"/>
      <c r="H234"/>
      <c r="I234"/>
      <c r="J234"/>
      <c r="K234"/>
      <c r="L234"/>
      <c r="M234"/>
      <c r="N234"/>
      <c r="O234"/>
      <c r="P234"/>
    </row>
    <row r="235" spans="1:16">
      <c r="A235" s="8"/>
      <c r="B235" s="8"/>
      <c r="C235" s="50"/>
      <c r="D235" s="64"/>
      <c r="E235" s="44"/>
      <c r="F235"/>
      <c r="G235"/>
      <c r="H235"/>
      <c r="I235"/>
      <c r="J235"/>
      <c r="K235"/>
      <c r="L235"/>
      <c r="M235"/>
      <c r="N235"/>
      <c r="O235"/>
      <c r="P235"/>
    </row>
    <row r="236" spans="1:16">
      <c r="A236" s="5"/>
      <c r="B236" s="5"/>
      <c r="C236" s="51"/>
      <c r="D236" s="65"/>
      <c r="E236" s="45"/>
      <c r="F236"/>
      <c r="G236"/>
      <c r="H236"/>
      <c r="I236"/>
      <c r="J236"/>
      <c r="K236"/>
      <c r="L236"/>
      <c r="M236"/>
      <c r="N236"/>
      <c r="O236"/>
      <c r="P236"/>
    </row>
    <row r="237" spans="1:16">
      <c r="A237" s="8"/>
      <c r="B237" s="8"/>
      <c r="C237" s="50"/>
      <c r="D237" s="64"/>
      <c r="E237" s="44"/>
      <c r="F237"/>
      <c r="G237"/>
      <c r="H237"/>
      <c r="I237"/>
      <c r="J237"/>
      <c r="K237"/>
      <c r="L237"/>
      <c r="M237"/>
      <c r="N237"/>
      <c r="O237"/>
      <c r="P237"/>
    </row>
    <row r="238" spans="1:16">
      <c r="A238" s="5"/>
      <c r="B238" s="5"/>
      <c r="C238" s="51"/>
      <c r="D238" s="65"/>
      <c r="E238" s="45"/>
      <c r="F238"/>
      <c r="G238"/>
      <c r="H238"/>
      <c r="I238"/>
      <c r="J238"/>
      <c r="K238"/>
      <c r="L238"/>
      <c r="M238"/>
      <c r="N238"/>
      <c r="O238"/>
      <c r="P238"/>
    </row>
    <row r="239" spans="1:16">
      <c r="A239" s="8"/>
      <c r="B239" s="8"/>
      <c r="C239" s="50"/>
      <c r="D239" s="64"/>
      <c r="E239" s="44"/>
      <c r="F239"/>
      <c r="G239"/>
      <c r="H239"/>
      <c r="I239"/>
      <c r="J239"/>
      <c r="K239"/>
      <c r="L239"/>
      <c r="M239"/>
      <c r="N239"/>
      <c r="O239"/>
      <c r="P239"/>
    </row>
    <row r="240" spans="1:16">
      <c r="A240" s="5"/>
      <c r="B240" s="5"/>
      <c r="C240" s="51"/>
      <c r="D240" s="65"/>
      <c r="E240" s="45"/>
      <c r="F240"/>
      <c r="G240"/>
      <c r="H240"/>
      <c r="I240"/>
      <c r="J240"/>
      <c r="K240"/>
      <c r="L240"/>
      <c r="M240"/>
      <c r="N240"/>
      <c r="O240"/>
      <c r="P240"/>
    </row>
    <row r="241" spans="1:16">
      <c r="A241" s="8"/>
      <c r="B241" s="8"/>
      <c r="C241" s="50"/>
      <c r="D241" s="64"/>
      <c r="E241" s="44"/>
      <c r="F241"/>
      <c r="G241"/>
      <c r="H241"/>
      <c r="I241"/>
      <c r="J241"/>
      <c r="K241"/>
      <c r="L241"/>
      <c r="M241"/>
      <c r="N241"/>
      <c r="O241"/>
      <c r="P241"/>
    </row>
    <row r="242" spans="1:16">
      <c r="A242" s="5"/>
      <c r="B242" s="5"/>
      <c r="C242" s="51"/>
      <c r="D242" s="65"/>
      <c r="E242" s="45"/>
      <c r="F242"/>
      <c r="G242"/>
      <c r="H242"/>
      <c r="I242"/>
      <c r="J242"/>
      <c r="K242"/>
      <c r="L242"/>
      <c r="M242"/>
      <c r="N242"/>
      <c r="O242"/>
      <c r="P242"/>
    </row>
    <row r="243" spans="1:16">
      <c r="A243" s="8"/>
      <c r="B243" s="8"/>
      <c r="C243" s="50"/>
      <c r="D243" s="64"/>
      <c r="E243" s="44"/>
      <c r="F243"/>
      <c r="G243"/>
      <c r="H243"/>
      <c r="I243"/>
      <c r="J243"/>
      <c r="K243"/>
      <c r="L243"/>
      <c r="M243"/>
      <c r="N243"/>
      <c r="O243"/>
      <c r="P243"/>
    </row>
    <row r="244" spans="1:16">
      <c r="A244" s="5"/>
      <c r="B244" s="5"/>
      <c r="C244" s="51"/>
      <c r="D244" s="65"/>
      <c r="E244" s="45"/>
      <c r="F244"/>
      <c r="G244"/>
      <c r="H244"/>
      <c r="I244"/>
      <c r="J244"/>
      <c r="K244"/>
      <c r="L244"/>
      <c r="M244"/>
      <c r="N244"/>
      <c r="O244"/>
      <c r="P244"/>
    </row>
    <row r="245" spans="1:16">
      <c r="A245" s="8"/>
      <c r="B245" s="8"/>
      <c r="C245" s="50"/>
      <c r="D245" s="64"/>
      <c r="E245" s="44"/>
      <c r="F245"/>
      <c r="G245"/>
      <c r="H245"/>
      <c r="I245"/>
      <c r="J245"/>
      <c r="K245"/>
      <c r="L245"/>
      <c r="M245"/>
      <c r="N245"/>
      <c r="O245"/>
      <c r="P245"/>
    </row>
    <row r="246" spans="1:16">
      <c r="A246" s="5"/>
      <c r="B246" s="5"/>
      <c r="C246" s="51"/>
      <c r="D246" s="65"/>
      <c r="E246" s="45"/>
      <c r="F246"/>
      <c r="G246"/>
      <c r="H246"/>
      <c r="I246"/>
      <c r="J246"/>
      <c r="K246"/>
      <c r="L246"/>
      <c r="M246"/>
      <c r="N246"/>
      <c r="O246"/>
      <c r="P246"/>
    </row>
    <row r="247" spans="1:16">
      <c r="A247" s="8"/>
      <c r="B247" s="8"/>
      <c r="C247" s="50"/>
      <c r="D247" s="64"/>
      <c r="E247" s="44"/>
      <c r="F247"/>
      <c r="G247"/>
      <c r="H247"/>
      <c r="I247"/>
      <c r="J247"/>
      <c r="K247"/>
      <c r="L247"/>
      <c r="M247"/>
      <c r="N247"/>
      <c r="O247"/>
      <c r="P247"/>
    </row>
    <row r="248" spans="1:16">
      <c r="A248" s="5"/>
      <c r="B248" s="5"/>
      <c r="C248" s="51"/>
      <c r="D248" s="65"/>
      <c r="E248" s="45"/>
      <c r="F248"/>
      <c r="G248"/>
      <c r="H248"/>
      <c r="I248"/>
      <c r="J248"/>
      <c r="K248"/>
      <c r="L248"/>
      <c r="M248"/>
      <c r="N248"/>
      <c r="O248"/>
      <c r="P248"/>
    </row>
    <row r="249" spans="1:16">
      <c r="A249" s="8"/>
      <c r="B249" s="8"/>
      <c r="C249" s="50"/>
      <c r="D249" s="64"/>
      <c r="E249" s="44"/>
      <c r="F249"/>
      <c r="G249"/>
      <c r="H249"/>
      <c r="I249"/>
      <c r="J249"/>
      <c r="K249"/>
      <c r="L249"/>
      <c r="M249"/>
      <c r="N249"/>
      <c r="O249"/>
      <c r="P249"/>
    </row>
    <row r="250" spans="1:16">
      <c r="A250" s="5"/>
      <c r="B250" s="5"/>
      <c r="C250" s="51"/>
      <c r="D250" s="65"/>
      <c r="E250" s="45"/>
      <c r="F250"/>
      <c r="G250"/>
      <c r="H250"/>
      <c r="I250"/>
      <c r="J250"/>
      <c r="K250"/>
      <c r="L250"/>
      <c r="M250"/>
      <c r="N250"/>
      <c r="O250"/>
      <c r="P250"/>
    </row>
    <row r="251" spans="1:16">
      <c r="A251" s="8"/>
      <c r="B251" s="8"/>
      <c r="C251" s="50"/>
      <c r="D251" s="64"/>
      <c r="E251" s="44"/>
      <c r="F251"/>
      <c r="G251"/>
      <c r="H251"/>
      <c r="I251"/>
      <c r="J251"/>
      <c r="K251"/>
      <c r="L251"/>
      <c r="M251"/>
      <c r="N251"/>
      <c r="O251"/>
      <c r="P251"/>
    </row>
    <row r="252" spans="1:16">
      <c r="A252" s="5"/>
      <c r="B252" s="5"/>
      <c r="C252" s="51"/>
      <c r="D252" s="65"/>
      <c r="E252" s="45"/>
      <c r="F252"/>
      <c r="G252"/>
      <c r="H252"/>
      <c r="I252"/>
      <c r="J252"/>
      <c r="K252"/>
      <c r="L252"/>
      <c r="M252"/>
      <c r="N252"/>
      <c r="O252"/>
      <c r="P252"/>
    </row>
    <row r="253" spans="1:16">
      <c r="A253" s="8"/>
      <c r="B253" s="8"/>
      <c r="C253" s="50"/>
      <c r="D253" s="64"/>
      <c r="E253" s="44"/>
      <c r="F253"/>
      <c r="G253"/>
      <c r="H253"/>
      <c r="I253"/>
      <c r="J253"/>
      <c r="K253"/>
      <c r="L253"/>
      <c r="M253"/>
      <c r="N253"/>
      <c r="O253"/>
      <c r="P253"/>
    </row>
    <row r="254" spans="1:16">
      <c r="A254" s="5"/>
      <c r="B254" s="5"/>
      <c r="C254" s="51"/>
      <c r="D254" s="65"/>
      <c r="E254" s="45"/>
      <c r="F254"/>
      <c r="G254"/>
      <c r="H254"/>
      <c r="I254"/>
      <c r="J254"/>
      <c r="K254"/>
      <c r="L254"/>
      <c r="M254"/>
      <c r="N254"/>
      <c r="O254"/>
      <c r="P254"/>
    </row>
    <row r="255" spans="1:16">
      <c r="A255" s="8"/>
      <c r="B255" s="8"/>
      <c r="C255" s="50"/>
      <c r="D255" s="64"/>
      <c r="E255" s="44"/>
      <c r="F255"/>
      <c r="G255"/>
      <c r="H255"/>
      <c r="I255"/>
      <c r="J255"/>
      <c r="K255"/>
      <c r="L255"/>
      <c r="M255"/>
      <c r="N255"/>
      <c r="O255"/>
      <c r="P255"/>
    </row>
    <row r="256" spans="1:16">
      <c r="A256" s="5"/>
      <c r="B256" s="5"/>
      <c r="C256" s="51"/>
      <c r="D256" s="65"/>
      <c r="E256" s="45"/>
      <c r="F256"/>
      <c r="G256"/>
      <c r="H256"/>
      <c r="I256"/>
      <c r="J256"/>
      <c r="K256"/>
      <c r="L256"/>
      <c r="M256"/>
      <c r="N256"/>
      <c r="O256"/>
      <c r="P256"/>
    </row>
    <row r="257" spans="1:16">
      <c r="A257" s="8"/>
      <c r="B257" s="8"/>
      <c r="C257" s="50"/>
      <c r="D257" s="64"/>
      <c r="E257" s="44"/>
      <c r="F257"/>
      <c r="G257"/>
      <c r="H257"/>
      <c r="I257"/>
      <c r="J257"/>
      <c r="K257"/>
      <c r="L257"/>
      <c r="M257"/>
      <c r="N257"/>
      <c r="O257"/>
      <c r="P257"/>
    </row>
    <row r="258" spans="1:16">
      <c r="A258" s="5"/>
      <c r="B258" s="5"/>
      <c r="C258" s="51"/>
      <c r="D258" s="65"/>
      <c r="E258" s="45"/>
      <c r="F258"/>
      <c r="G258"/>
      <c r="H258"/>
      <c r="I258"/>
      <c r="J258"/>
      <c r="K258"/>
      <c r="L258"/>
      <c r="M258"/>
      <c r="N258"/>
      <c r="O258"/>
      <c r="P258"/>
    </row>
    <row r="259" spans="1:16">
      <c r="A259" s="8"/>
      <c r="B259" s="8"/>
      <c r="C259" s="50"/>
      <c r="D259" s="64"/>
      <c r="E259" s="44"/>
      <c r="F259"/>
      <c r="G259"/>
      <c r="H259"/>
      <c r="I259"/>
      <c r="J259"/>
      <c r="K259"/>
      <c r="L259"/>
      <c r="M259"/>
      <c r="N259"/>
      <c r="O259"/>
      <c r="P259"/>
    </row>
    <row r="260" spans="1:16">
      <c r="A260" s="5"/>
      <c r="B260" s="5"/>
      <c r="C260" s="51"/>
      <c r="D260" s="65"/>
      <c r="E260" s="45"/>
      <c r="F260"/>
      <c r="G260"/>
      <c r="H260"/>
      <c r="I260"/>
      <c r="J260"/>
      <c r="K260"/>
      <c r="L260"/>
      <c r="M260"/>
      <c r="N260"/>
      <c r="O260"/>
      <c r="P260"/>
    </row>
    <row r="261" spans="1:16">
      <c r="A261" s="8"/>
      <c r="B261" s="8"/>
      <c r="C261" s="50"/>
      <c r="D261" s="64"/>
      <c r="E261" s="44"/>
      <c r="F261"/>
      <c r="G261"/>
      <c r="H261"/>
      <c r="I261"/>
      <c r="J261"/>
      <c r="K261"/>
      <c r="L261"/>
      <c r="M261"/>
      <c r="N261"/>
      <c r="O261"/>
      <c r="P261"/>
    </row>
    <row r="262" spans="1:16">
      <c r="A262" s="5"/>
      <c r="B262" s="5"/>
      <c r="C262" s="51"/>
      <c r="D262" s="65"/>
      <c r="E262" s="45"/>
      <c r="F262"/>
      <c r="G262"/>
      <c r="H262"/>
      <c r="I262"/>
      <c r="J262"/>
      <c r="K262"/>
      <c r="L262"/>
      <c r="M262"/>
      <c r="N262"/>
      <c r="O262"/>
      <c r="P262"/>
    </row>
    <row r="263" spans="1:16">
      <c r="A263" s="8"/>
      <c r="B263" s="8"/>
      <c r="C263" s="50"/>
      <c r="D263" s="64"/>
      <c r="E263" s="44"/>
      <c r="F263"/>
      <c r="G263"/>
      <c r="H263"/>
      <c r="I263"/>
      <c r="J263"/>
      <c r="K263"/>
      <c r="L263"/>
      <c r="M263"/>
      <c r="N263"/>
      <c r="O263"/>
      <c r="P263"/>
    </row>
    <row r="264" spans="1:16">
      <c r="A264" s="5"/>
      <c r="B264" s="5"/>
      <c r="C264" s="51"/>
      <c r="D264" s="65"/>
      <c r="E264" s="45"/>
      <c r="F264"/>
      <c r="G264"/>
      <c r="H264"/>
      <c r="I264"/>
      <c r="J264"/>
      <c r="K264"/>
      <c r="L264"/>
      <c r="M264"/>
      <c r="N264"/>
      <c r="O264"/>
      <c r="P264"/>
    </row>
    <row r="265" spans="1:16">
      <c r="A265" s="8"/>
      <c r="B265" s="8"/>
      <c r="C265" s="50"/>
      <c r="D265" s="64"/>
      <c r="E265" s="44"/>
      <c r="F265"/>
      <c r="G265"/>
      <c r="H265"/>
      <c r="I265"/>
      <c r="J265"/>
      <c r="K265"/>
      <c r="L265"/>
      <c r="M265"/>
      <c r="N265"/>
      <c r="O265"/>
      <c r="P265"/>
    </row>
    <row r="266" spans="1:16">
      <c r="A266" s="5"/>
      <c r="B266" s="5"/>
      <c r="C266" s="51"/>
      <c r="D266" s="65"/>
      <c r="E266" s="45"/>
      <c r="F266"/>
      <c r="G266"/>
      <c r="H266"/>
      <c r="I266"/>
      <c r="J266"/>
      <c r="K266"/>
      <c r="L266"/>
      <c r="M266"/>
      <c r="N266"/>
      <c r="O266"/>
      <c r="P266"/>
    </row>
    <row r="267" spans="1:16">
      <c r="A267" s="8"/>
      <c r="B267" s="8"/>
      <c r="C267" s="50"/>
      <c r="D267" s="64"/>
      <c r="E267" s="44"/>
      <c r="F267"/>
      <c r="G267"/>
      <c r="H267"/>
      <c r="I267"/>
      <c r="J267"/>
      <c r="K267"/>
      <c r="L267"/>
      <c r="M267"/>
      <c r="N267"/>
      <c r="O267"/>
      <c r="P267"/>
    </row>
    <row r="268" spans="1:16">
      <c r="A268" s="5"/>
      <c r="B268" s="5"/>
      <c r="C268" s="51"/>
      <c r="D268" s="65"/>
      <c r="E268" s="45"/>
      <c r="F268"/>
      <c r="G268"/>
      <c r="H268"/>
      <c r="I268"/>
      <c r="J268"/>
      <c r="K268"/>
      <c r="L268"/>
      <c r="M268"/>
      <c r="N268"/>
      <c r="O268"/>
      <c r="P268"/>
    </row>
    <row r="269" spans="1:16">
      <c r="A269" s="8"/>
      <c r="B269" s="8"/>
      <c r="C269" s="50"/>
      <c r="D269" s="64"/>
      <c r="E269" s="44"/>
      <c r="F269"/>
      <c r="G269"/>
      <c r="H269"/>
      <c r="I269"/>
      <c r="J269"/>
      <c r="K269"/>
      <c r="L269"/>
      <c r="M269"/>
      <c r="N269"/>
      <c r="O269"/>
      <c r="P269"/>
    </row>
    <row r="270" spans="1:16">
      <c r="A270" s="5"/>
      <c r="B270" s="5"/>
      <c r="C270" s="51"/>
      <c r="D270" s="65"/>
      <c r="E270" s="45"/>
      <c r="F270"/>
      <c r="G270"/>
      <c r="H270"/>
      <c r="I270"/>
      <c r="J270"/>
      <c r="K270"/>
      <c r="L270"/>
      <c r="M270"/>
      <c r="N270"/>
      <c r="O270"/>
      <c r="P270"/>
    </row>
    <row r="271" spans="1:16">
      <c r="A271" s="8"/>
      <c r="B271" s="8"/>
      <c r="C271" s="50"/>
      <c r="D271" s="64"/>
      <c r="E271" s="44"/>
      <c r="F271"/>
      <c r="G271"/>
      <c r="H271"/>
      <c r="I271"/>
      <c r="J271"/>
      <c r="K271"/>
      <c r="L271"/>
      <c r="M271"/>
      <c r="N271"/>
      <c r="O271"/>
      <c r="P271"/>
    </row>
    <row r="272" spans="1:16">
      <c r="A272" s="5"/>
      <c r="B272" s="5"/>
      <c r="C272" s="51"/>
      <c r="D272" s="65"/>
      <c r="E272" s="45"/>
      <c r="F272"/>
      <c r="G272"/>
      <c r="H272"/>
      <c r="I272"/>
      <c r="J272"/>
      <c r="K272"/>
      <c r="L272"/>
      <c r="M272"/>
      <c r="N272"/>
      <c r="O272"/>
      <c r="P272"/>
    </row>
    <row r="273" spans="1:16">
      <c r="A273" s="8"/>
      <c r="B273" s="8"/>
      <c r="C273" s="50"/>
      <c r="D273" s="64"/>
      <c r="E273" s="44"/>
      <c r="F273"/>
      <c r="G273"/>
      <c r="H273"/>
      <c r="I273"/>
      <c r="J273"/>
      <c r="K273"/>
      <c r="L273"/>
      <c r="M273"/>
      <c r="N273"/>
      <c r="O273"/>
      <c r="P273"/>
    </row>
    <row r="274" spans="1:16">
      <c r="A274" s="5"/>
      <c r="B274" s="5"/>
      <c r="C274" s="51"/>
      <c r="D274" s="65"/>
      <c r="E274" s="45"/>
      <c r="F274"/>
      <c r="G274"/>
      <c r="H274"/>
      <c r="I274"/>
      <c r="J274"/>
      <c r="K274"/>
      <c r="L274"/>
      <c r="M274"/>
      <c r="N274"/>
      <c r="O274"/>
      <c r="P274"/>
    </row>
    <row r="275" spans="1:16">
      <c r="A275" s="8"/>
      <c r="B275" s="8"/>
      <c r="C275" s="50"/>
      <c r="D275" s="64"/>
      <c r="E275" s="44"/>
      <c r="F275"/>
      <c r="G275"/>
      <c r="H275"/>
      <c r="I275"/>
      <c r="J275"/>
      <c r="K275"/>
      <c r="L275"/>
      <c r="M275"/>
      <c r="N275"/>
      <c r="O275"/>
      <c r="P275"/>
    </row>
    <row r="276" spans="1:16">
      <c r="A276" s="5"/>
      <c r="B276" s="5"/>
      <c r="C276" s="51"/>
      <c r="D276" s="65"/>
      <c r="E276" s="45"/>
      <c r="F276"/>
      <c r="G276"/>
      <c r="H276"/>
      <c r="I276"/>
      <c r="J276"/>
      <c r="K276"/>
      <c r="L276"/>
      <c r="M276"/>
      <c r="N276"/>
      <c r="O276"/>
      <c r="P276"/>
    </row>
    <row r="277" spans="1:16">
      <c r="A277" s="8"/>
      <c r="B277" s="8"/>
      <c r="C277" s="50"/>
      <c r="D277" s="64"/>
      <c r="E277" s="44"/>
      <c r="F277"/>
      <c r="G277"/>
      <c r="H277"/>
      <c r="I277"/>
      <c r="J277"/>
      <c r="K277"/>
      <c r="L277"/>
      <c r="M277"/>
      <c r="N277"/>
      <c r="O277"/>
      <c r="P277"/>
    </row>
    <row r="278" spans="1:16">
      <c r="A278" s="5"/>
      <c r="B278" s="5"/>
      <c r="C278" s="51"/>
      <c r="D278" s="65"/>
      <c r="E278" s="45"/>
      <c r="F278"/>
      <c r="G278"/>
      <c r="H278"/>
      <c r="I278"/>
      <c r="J278"/>
      <c r="K278"/>
      <c r="L278"/>
      <c r="M278"/>
      <c r="N278"/>
      <c r="O278"/>
      <c r="P278"/>
    </row>
    <row r="279" spans="1:16">
      <c r="A279" s="8"/>
      <c r="B279" s="8"/>
      <c r="C279" s="50"/>
      <c r="D279" s="64"/>
      <c r="E279" s="44"/>
      <c r="F279"/>
      <c r="G279"/>
      <c r="H279"/>
      <c r="I279"/>
      <c r="J279"/>
      <c r="K279"/>
      <c r="L279"/>
      <c r="M279"/>
      <c r="N279"/>
      <c r="O279"/>
      <c r="P279"/>
    </row>
    <row r="280" spans="1:16">
      <c r="A280" s="5"/>
      <c r="B280" s="5"/>
      <c r="C280" s="51"/>
      <c r="D280" s="65"/>
      <c r="E280" s="45"/>
      <c r="F280"/>
      <c r="G280"/>
      <c r="H280"/>
      <c r="I280"/>
      <c r="J280"/>
      <c r="K280"/>
      <c r="L280"/>
      <c r="M280"/>
      <c r="N280"/>
      <c r="O280"/>
      <c r="P280"/>
    </row>
    <row r="281" spans="1:16" ht="15" thickBot="1">
      <c r="A281" s="46"/>
      <c r="B281" s="46"/>
      <c r="C281" s="52"/>
      <c r="D281" s="66"/>
      <c r="E281" s="47"/>
      <c r="F281"/>
      <c r="G281"/>
      <c r="H281"/>
      <c r="I281"/>
      <c r="J281"/>
      <c r="K281"/>
      <c r="L281"/>
      <c r="M281"/>
      <c r="N281"/>
      <c r="O281"/>
      <c r="P281"/>
    </row>
    <row r="1077" spans="5:5">
      <c r="E1077" s="1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53F1-1BE2-4659-9959-9A0E12B9AA6E}">
  <sheetPr codeName="Hoja12">
    <tabColor theme="7"/>
  </sheetPr>
  <dimension ref="A1:H1077"/>
  <sheetViews>
    <sheetView zoomScaleNormal="100" workbookViewId="0">
      <selection activeCell="E12" sqref="E12"/>
    </sheetView>
  </sheetViews>
  <sheetFormatPr baseColWidth="10" defaultColWidth="16" defaultRowHeight="14.25"/>
  <cols>
    <col min="1" max="4" width="16" style="1"/>
    <col min="5" max="5" width="16.5" style="68" bestFit="1" customWidth="1"/>
    <col min="6" max="6" width="16.25" style="1" customWidth="1"/>
    <col min="7" max="7" width="17.5" style="71" bestFit="1" customWidth="1"/>
    <col min="8" max="8" width="16" style="17"/>
    <col min="9" max="16384" width="16" style="1"/>
  </cols>
  <sheetData>
    <row r="1" spans="1:8">
      <c r="A1" s="73" t="s">
        <v>3</v>
      </c>
      <c r="B1" s="73" t="s">
        <v>4</v>
      </c>
      <c r="C1" s="73" t="s">
        <v>5</v>
      </c>
      <c r="D1" s="73" t="s">
        <v>6</v>
      </c>
      <c r="E1" s="73" t="s">
        <v>241</v>
      </c>
      <c r="F1" s="73" t="s">
        <v>476</v>
      </c>
      <c r="G1" s="72" t="s">
        <v>16</v>
      </c>
      <c r="H1" s="74" t="s">
        <v>477</v>
      </c>
    </row>
    <row r="2" spans="1:8">
      <c r="A2" s="73" t="s">
        <v>876</v>
      </c>
      <c r="B2" s="73" t="s">
        <v>18</v>
      </c>
      <c r="C2" s="73" t="s">
        <v>35</v>
      </c>
      <c r="D2" s="73" t="s">
        <v>42</v>
      </c>
      <c r="E2" s="73" t="s">
        <v>386</v>
      </c>
      <c r="F2" s="73" t="s">
        <v>379</v>
      </c>
      <c r="G2" s="72">
        <v>18.440000000000001</v>
      </c>
      <c r="H2" s="74">
        <v>6.2293000000000001E-2</v>
      </c>
    </row>
    <row r="3" spans="1:8">
      <c r="A3" s="73" t="s">
        <v>876</v>
      </c>
      <c r="B3" s="73" t="s">
        <v>18</v>
      </c>
      <c r="C3" s="73" t="s">
        <v>35</v>
      </c>
      <c r="D3" s="73" t="s">
        <v>41</v>
      </c>
      <c r="E3" s="73" t="s">
        <v>386</v>
      </c>
      <c r="F3" s="73" t="s">
        <v>379</v>
      </c>
      <c r="G3" s="72">
        <v>13.82</v>
      </c>
      <c r="H3" s="74">
        <v>4.9953999999999998E-2</v>
      </c>
    </row>
    <row r="4" spans="1:8">
      <c r="A4" s="73" t="s">
        <v>876</v>
      </c>
      <c r="B4" s="73" t="s">
        <v>18</v>
      </c>
      <c r="C4" s="73" t="s">
        <v>35</v>
      </c>
      <c r="D4" s="73" t="s">
        <v>36</v>
      </c>
      <c r="E4" s="73" t="s">
        <v>386</v>
      </c>
      <c r="F4" s="73" t="s">
        <v>379</v>
      </c>
      <c r="G4" s="72">
        <v>6.65</v>
      </c>
      <c r="H4" s="74">
        <v>4.8225999999999998E-2</v>
      </c>
    </row>
    <row r="5" spans="1:8">
      <c r="A5" s="73" t="s">
        <v>876</v>
      </c>
      <c r="B5" s="73" t="s">
        <v>18</v>
      </c>
      <c r="C5" s="73" t="s">
        <v>54</v>
      </c>
      <c r="D5" s="73" t="s">
        <v>55</v>
      </c>
      <c r="E5" s="73" t="s">
        <v>386</v>
      </c>
      <c r="F5" s="73" t="s">
        <v>378</v>
      </c>
      <c r="G5" s="72">
        <v>11.16</v>
      </c>
      <c r="H5" s="74">
        <v>3.1116999999999999E-2</v>
      </c>
    </row>
    <row r="6" spans="1:8">
      <c r="A6" s="73" t="s">
        <v>876</v>
      </c>
      <c r="B6" s="73" t="s">
        <v>18</v>
      </c>
      <c r="C6" s="73" t="s">
        <v>51</v>
      </c>
      <c r="D6" s="73" t="s">
        <v>52</v>
      </c>
      <c r="E6" s="73" t="s">
        <v>386</v>
      </c>
      <c r="F6" s="73" t="s">
        <v>378</v>
      </c>
      <c r="G6" s="72">
        <v>0.06</v>
      </c>
      <c r="H6" s="74">
        <v>2.9864000000000002E-2</v>
      </c>
    </row>
    <row r="7" spans="1:8">
      <c r="A7" s="73" t="s">
        <v>876</v>
      </c>
      <c r="B7" s="73" t="s">
        <v>18</v>
      </c>
      <c r="C7" s="73" t="s">
        <v>96</v>
      </c>
      <c r="D7" s="73" t="s">
        <v>97</v>
      </c>
      <c r="E7" s="73" t="s">
        <v>386</v>
      </c>
      <c r="F7" s="73" t="s">
        <v>378</v>
      </c>
      <c r="G7" s="72">
        <v>8.26</v>
      </c>
      <c r="H7" s="74">
        <v>2.7914999999999999E-2</v>
      </c>
    </row>
    <row r="8" spans="1:8">
      <c r="A8" s="73" t="s">
        <v>876</v>
      </c>
      <c r="B8" s="73" t="s">
        <v>18</v>
      </c>
      <c r="C8" s="73" t="s">
        <v>62</v>
      </c>
      <c r="D8" s="73" t="s">
        <v>63</v>
      </c>
      <c r="E8" s="73" t="s">
        <v>386</v>
      </c>
      <c r="F8" s="73" t="s">
        <v>378</v>
      </c>
      <c r="G8" s="72">
        <v>6.66</v>
      </c>
      <c r="H8" s="74">
        <v>2.7019000000000001E-2</v>
      </c>
    </row>
    <row r="9" spans="1:8">
      <c r="A9" s="73" t="s">
        <v>876</v>
      </c>
      <c r="B9" s="73" t="s">
        <v>18</v>
      </c>
      <c r="C9" s="73" t="s">
        <v>59</v>
      </c>
      <c r="D9" s="73" t="s">
        <v>60</v>
      </c>
      <c r="E9" s="73" t="s">
        <v>385</v>
      </c>
      <c r="F9" s="73" t="s">
        <v>378</v>
      </c>
      <c r="G9" s="72">
        <v>2.54</v>
      </c>
      <c r="H9" s="74">
        <v>2.6081E-2</v>
      </c>
    </row>
    <row r="10" spans="1:8">
      <c r="A10" s="73" t="s">
        <v>876</v>
      </c>
      <c r="B10" s="73" t="s">
        <v>18</v>
      </c>
      <c r="C10" s="73" t="s">
        <v>70</v>
      </c>
      <c r="D10" s="73" t="s">
        <v>74</v>
      </c>
      <c r="E10" s="73" t="s">
        <v>386</v>
      </c>
      <c r="F10" s="73" t="s">
        <v>378</v>
      </c>
      <c r="G10" s="72">
        <v>11.09</v>
      </c>
      <c r="H10" s="74">
        <v>2.5006E-2</v>
      </c>
    </row>
    <row r="11" spans="1:8">
      <c r="A11" s="73" t="s">
        <v>876</v>
      </c>
      <c r="B11" s="73" t="s">
        <v>18</v>
      </c>
      <c r="C11" s="73" t="s">
        <v>70</v>
      </c>
      <c r="D11" s="73" t="s">
        <v>71</v>
      </c>
      <c r="E11" s="73" t="s">
        <v>386</v>
      </c>
      <c r="F11" s="73" t="s">
        <v>378</v>
      </c>
      <c r="G11" s="72">
        <v>2.5299999999999998</v>
      </c>
      <c r="H11" s="74">
        <v>2.4604000000000001E-2</v>
      </c>
    </row>
    <row r="12" spans="1:8">
      <c r="A12" s="73" t="s">
        <v>876</v>
      </c>
      <c r="B12" s="73" t="s">
        <v>18</v>
      </c>
      <c r="C12" s="73" t="s">
        <v>650</v>
      </c>
      <c r="D12" s="73" t="s">
        <v>651</v>
      </c>
      <c r="E12" s="73" t="s">
        <v>385</v>
      </c>
      <c r="F12" s="73"/>
      <c r="G12" s="72">
        <v>0</v>
      </c>
      <c r="H12" s="74">
        <v>2.4278000000000001E-2</v>
      </c>
    </row>
    <row r="13" spans="1:8">
      <c r="A13" s="73" t="s">
        <v>876</v>
      </c>
      <c r="B13" s="73" t="s">
        <v>18</v>
      </c>
      <c r="C13" s="73" t="s">
        <v>64</v>
      </c>
      <c r="D13" s="73" t="s">
        <v>65</v>
      </c>
      <c r="E13" s="73" t="s">
        <v>386</v>
      </c>
      <c r="F13" s="73" t="s">
        <v>378</v>
      </c>
      <c r="G13" s="72">
        <v>5</v>
      </c>
      <c r="H13" s="74">
        <v>2.4036999999999999E-2</v>
      </c>
    </row>
    <row r="14" spans="1:8">
      <c r="A14" s="73" t="s">
        <v>876</v>
      </c>
      <c r="B14" s="73" t="s">
        <v>18</v>
      </c>
      <c r="C14" s="73" t="s">
        <v>67</v>
      </c>
      <c r="D14" s="73" t="s">
        <v>68</v>
      </c>
      <c r="E14" s="73" t="s">
        <v>386</v>
      </c>
      <c r="F14" s="73" t="s">
        <v>378</v>
      </c>
      <c r="G14" s="72">
        <v>2.87</v>
      </c>
      <c r="H14" s="74">
        <v>2.3866999999999999E-2</v>
      </c>
    </row>
    <row r="15" spans="1:8">
      <c r="A15" s="73" t="s">
        <v>876</v>
      </c>
      <c r="B15" s="73" t="s">
        <v>18</v>
      </c>
      <c r="C15" s="73" t="s">
        <v>35</v>
      </c>
      <c r="D15" s="73" t="s">
        <v>91</v>
      </c>
      <c r="E15" s="73" t="s">
        <v>386</v>
      </c>
      <c r="F15" s="73" t="s">
        <v>379</v>
      </c>
      <c r="G15" s="72">
        <v>1.95</v>
      </c>
      <c r="H15" s="74">
        <v>2.3640999999999999E-2</v>
      </c>
    </row>
    <row r="16" spans="1:8">
      <c r="A16" s="73" t="s">
        <v>876</v>
      </c>
      <c r="B16" s="73" t="s">
        <v>18</v>
      </c>
      <c r="C16" s="73" t="s">
        <v>75</v>
      </c>
      <c r="D16" s="73" t="s">
        <v>76</v>
      </c>
      <c r="E16" s="73" t="s">
        <v>385</v>
      </c>
      <c r="F16" s="73" t="s">
        <v>378</v>
      </c>
      <c r="G16" s="72">
        <v>2.42</v>
      </c>
      <c r="H16" s="74">
        <v>2.1994E-2</v>
      </c>
    </row>
    <row r="17" spans="1:8">
      <c r="A17" s="73" t="s">
        <v>876</v>
      </c>
      <c r="B17" s="73" t="s">
        <v>18</v>
      </c>
      <c r="C17" s="73" t="s">
        <v>564</v>
      </c>
      <c r="D17" s="73" t="s">
        <v>565</v>
      </c>
      <c r="E17" s="73" t="s">
        <v>386</v>
      </c>
      <c r="F17" s="73" t="s">
        <v>378</v>
      </c>
      <c r="G17" s="72">
        <v>4.74</v>
      </c>
      <c r="H17" s="74">
        <v>2.1432E-2</v>
      </c>
    </row>
    <row r="18" spans="1:8">
      <c r="A18" s="73" t="s">
        <v>876</v>
      </c>
      <c r="B18" s="73" t="s">
        <v>18</v>
      </c>
      <c r="C18" s="73" t="s">
        <v>62</v>
      </c>
      <c r="D18" s="73" t="s">
        <v>77</v>
      </c>
      <c r="E18" s="73" t="s">
        <v>385</v>
      </c>
      <c r="F18" s="73" t="s">
        <v>378</v>
      </c>
      <c r="G18" s="72">
        <v>3.01</v>
      </c>
      <c r="H18" s="74">
        <v>2.1399999999999999E-2</v>
      </c>
    </row>
    <row r="19" spans="1:8">
      <c r="A19" s="73" t="s">
        <v>876</v>
      </c>
      <c r="B19" s="73" t="s">
        <v>18</v>
      </c>
      <c r="C19" s="73" t="s">
        <v>38</v>
      </c>
      <c r="D19" s="73" t="s">
        <v>73</v>
      </c>
      <c r="E19" s="73" t="s">
        <v>385</v>
      </c>
      <c r="F19" s="73" t="s">
        <v>379</v>
      </c>
      <c r="G19" s="72">
        <v>13.86</v>
      </c>
      <c r="H19" s="74">
        <v>2.0627E-2</v>
      </c>
    </row>
    <row r="20" spans="1:8">
      <c r="A20" s="73" t="s">
        <v>876</v>
      </c>
      <c r="B20" s="73" t="s">
        <v>18</v>
      </c>
      <c r="C20" s="73" t="s">
        <v>749</v>
      </c>
      <c r="D20" s="73" t="s">
        <v>750</v>
      </c>
      <c r="E20" s="73" t="s">
        <v>821</v>
      </c>
      <c r="F20" s="73" t="s">
        <v>517</v>
      </c>
      <c r="G20" s="72">
        <v>0</v>
      </c>
      <c r="H20" s="74">
        <v>2.0275000000000001E-2</v>
      </c>
    </row>
    <row r="21" spans="1:8">
      <c r="A21" s="73" t="s">
        <v>876</v>
      </c>
      <c r="B21" s="73" t="s">
        <v>18</v>
      </c>
      <c r="C21" s="73" t="s">
        <v>23</v>
      </c>
      <c r="D21" s="73" t="s">
        <v>20</v>
      </c>
      <c r="E21" s="73" t="s">
        <v>385</v>
      </c>
      <c r="F21" s="73" t="s">
        <v>380</v>
      </c>
      <c r="G21" s="72">
        <v>0.67</v>
      </c>
      <c r="H21" s="74">
        <v>2.0202999999999999E-2</v>
      </c>
    </row>
    <row r="22" spans="1:8">
      <c r="A22" s="73" t="s">
        <v>876</v>
      </c>
      <c r="B22" s="73" t="s">
        <v>18</v>
      </c>
      <c r="C22" s="73" t="s">
        <v>363</v>
      </c>
      <c r="D22" s="73" t="s">
        <v>623</v>
      </c>
      <c r="E22" s="73" t="s">
        <v>386</v>
      </c>
      <c r="F22" s="73" t="s">
        <v>378</v>
      </c>
      <c r="G22" s="72">
        <v>3.8</v>
      </c>
      <c r="H22" s="74">
        <v>1.9966999999999999E-2</v>
      </c>
    </row>
    <row r="23" spans="1:8">
      <c r="A23" s="73" t="s">
        <v>876</v>
      </c>
      <c r="B23" s="73" t="s">
        <v>18</v>
      </c>
      <c r="C23" s="73" t="s">
        <v>81</v>
      </c>
      <c r="D23" s="73" t="s">
        <v>82</v>
      </c>
      <c r="E23" s="73" t="s">
        <v>386</v>
      </c>
      <c r="F23" s="73" t="s">
        <v>378</v>
      </c>
      <c r="G23" s="72">
        <v>2.17</v>
      </c>
      <c r="H23" s="74">
        <v>1.9833E-2</v>
      </c>
    </row>
    <row r="24" spans="1:8">
      <c r="A24" s="73" t="s">
        <v>876</v>
      </c>
      <c r="B24" s="73" t="s">
        <v>18</v>
      </c>
      <c r="C24" s="73" t="s">
        <v>47</v>
      </c>
      <c r="D24" s="73" t="s">
        <v>48</v>
      </c>
      <c r="E24" s="73" t="s">
        <v>386</v>
      </c>
      <c r="F24" s="73" t="s">
        <v>378</v>
      </c>
      <c r="G24" s="72">
        <v>6.05</v>
      </c>
      <c r="H24" s="74">
        <v>1.8977000000000001E-2</v>
      </c>
    </row>
    <row r="25" spans="1:8">
      <c r="A25" s="73" t="s">
        <v>876</v>
      </c>
      <c r="B25" s="73" t="s">
        <v>18</v>
      </c>
      <c r="C25" s="73" t="s">
        <v>50</v>
      </c>
      <c r="D25" s="73" t="s">
        <v>383</v>
      </c>
      <c r="E25" s="73" t="s">
        <v>385</v>
      </c>
      <c r="F25" s="73" t="s">
        <v>378</v>
      </c>
      <c r="G25" s="72">
        <v>1.27</v>
      </c>
      <c r="H25" s="74">
        <v>1.7284000000000001E-2</v>
      </c>
    </row>
    <row r="26" spans="1:8">
      <c r="A26" s="73" t="s">
        <v>876</v>
      </c>
      <c r="B26" s="73" t="s">
        <v>18</v>
      </c>
      <c r="C26" s="73" t="s">
        <v>80</v>
      </c>
      <c r="D26" s="73" t="s">
        <v>618</v>
      </c>
      <c r="E26" s="73" t="s">
        <v>386</v>
      </c>
      <c r="F26" s="73" t="s">
        <v>378</v>
      </c>
      <c r="G26" s="72">
        <v>7.79</v>
      </c>
      <c r="H26" s="74">
        <v>1.6081999999999999E-2</v>
      </c>
    </row>
    <row r="27" spans="1:8">
      <c r="A27" s="73" t="s">
        <v>876</v>
      </c>
      <c r="B27" s="73" t="s">
        <v>18</v>
      </c>
      <c r="C27" s="73" t="s">
        <v>84</v>
      </c>
      <c r="D27" s="73" t="s">
        <v>85</v>
      </c>
      <c r="E27" s="73" t="s">
        <v>386</v>
      </c>
      <c r="F27" s="73" t="s">
        <v>378</v>
      </c>
      <c r="G27" s="72">
        <v>2.98</v>
      </c>
      <c r="H27" s="74">
        <v>1.5365999999999999E-2</v>
      </c>
    </row>
    <row r="28" spans="1:8">
      <c r="A28" s="73" t="s">
        <v>876</v>
      </c>
      <c r="B28" s="73" t="s">
        <v>18</v>
      </c>
      <c r="C28" s="73" t="s">
        <v>86</v>
      </c>
      <c r="D28" s="73" t="s">
        <v>92</v>
      </c>
      <c r="E28" s="73" t="s">
        <v>386</v>
      </c>
      <c r="F28" s="73" t="s">
        <v>378</v>
      </c>
      <c r="G28" s="72">
        <v>3.73</v>
      </c>
      <c r="H28" s="74">
        <v>1.4631999999999999E-2</v>
      </c>
    </row>
    <row r="29" spans="1:8">
      <c r="A29" s="73" t="s">
        <v>876</v>
      </c>
      <c r="B29" s="73" t="s">
        <v>18</v>
      </c>
      <c r="C29" s="73" t="s">
        <v>80</v>
      </c>
      <c r="D29" s="73" t="s">
        <v>752</v>
      </c>
      <c r="E29" s="73" t="s">
        <v>386</v>
      </c>
      <c r="F29" s="73" t="s">
        <v>378</v>
      </c>
      <c r="G29" s="72">
        <v>14.47</v>
      </c>
      <c r="H29" s="74">
        <v>1.4574E-2</v>
      </c>
    </row>
    <row r="30" spans="1:8">
      <c r="A30" s="73" t="s">
        <v>876</v>
      </c>
      <c r="B30" s="73" t="s">
        <v>18</v>
      </c>
      <c r="C30" s="73" t="s">
        <v>94</v>
      </c>
      <c r="D30" s="73" t="s">
        <v>95</v>
      </c>
      <c r="E30" s="73" t="s">
        <v>386</v>
      </c>
      <c r="F30" s="73" t="s">
        <v>378</v>
      </c>
      <c r="G30" s="72">
        <v>9.33</v>
      </c>
      <c r="H30" s="74">
        <v>1.4392E-2</v>
      </c>
    </row>
    <row r="31" spans="1:8">
      <c r="A31" s="73" t="s">
        <v>876</v>
      </c>
      <c r="B31" s="73" t="s">
        <v>18</v>
      </c>
      <c r="C31" s="73" t="s">
        <v>54</v>
      </c>
      <c r="D31" s="73" t="s">
        <v>751</v>
      </c>
      <c r="E31" s="73" t="s">
        <v>386</v>
      </c>
      <c r="F31" s="73" t="s">
        <v>378</v>
      </c>
      <c r="G31" s="72">
        <v>1.29</v>
      </c>
      <c r="H31" s="74">
        <v>1.4298E-2</v>
      </c>
    </row>
    <row r="32" spans="1:8">
      <c r="A32" s="73" t="s">
        <v>876</v>
      </c>
      <c r="B32" s="73" t="s">
        <v>18</v>
      </c>
      <c r="C32" s="73" t="s">
        <v>75</v>
      </c>
      <c r="D32" s="73" t="s">
        <v>98</v>
      </c>
      <c r="E32" s="73" t="s">
        <v>386</v>
      </c>
      <c r="F32" s="73" t="s">
        <v>378</v>
      </c>
      <c r="G32" s="72">
        <v>2.91</v>
      </c>
      <c r="H32" s="74">
        <v>1.3677999999999999E-2</v>
      </c>
    </row>
    <row r="33" spans="1:8">
      <c r="A33" s="73" t="s">
        <v>876</v>
      </c>
      <c r="B33" s="73" t="s">
        <v>18</v>
      </c>
      <c r="C33" s="73" t="s">
        <v>207</v>
      </c>
      <c r="D33" s="73" t="s">
        <v>208</v>
      </c>
      <c r="E33" s="73" t="s">
        <v>386</v>
      </c>
      <c r="F33" s="73" t="s">
        <v>378</v>
      </c>
      <c r="G33" s="72">
        <v>2.29</v>
      </c>
      <c r="H33" s="74">
        <v>1.2815999999999999E-2</v>
      </c>
    </row>
    <row r="34" spans="1:8">
      <c r="A34" s="73" t="s">
        <v>876</v>
      </c>
      <c r="B34" s="73" t="s">
        <v>18</v>
      </c>
      <c r="C34" s="73" t="s">
        <v>470</v>
      </c>
      <c r="D34" s="73" t="s">
        <v>20</v>
      </c>
      <c r="E34" s="73" t="s">
        <v>385</v>
      </c>
      <c r="F34" s="73" t="s">
        <v>380</v>
      </c>
      <c r="G34" s="72">
        <v>0</v>
      </c>
      <c r="H34" s="74">
        <v>1.2714E-2</v>
      </c>
    </row>
    <row r="35" spans="1:8">
      <c r="A35" s="73" t="s">
        <v>876</v>
      </c>
      <c r="B35" s="73" t="s">
        <v>18</v>
      </c>
      <c r="C35" s="73" t="s">
        <v>424</v>
      </c>
      <c r="D35" s="73" t="s">
        <v>425</v>
      </c>
      <c r="E35" s="73" t="s">
        <v>386</v>
      </c>
      <c r="F35" s="73" t="s">
        <v>378</v>
      </c>
      <c r="G35" s="72">
        <v>11.64</v>
      </c>
      <c r="H35" s="74">
        <v>1.2703000000000001E-2</v>
      </c>
    </row>
    <row r="36" spans="1:8">
      <c r="A36" s="73" t="s">
        <v>876</v>
      </c>
      <c r="B36" s="73" t="s">
        <v>18</v>
      </c>
      <c r="C36" s="73" t="s">
        <v>96</v>
      </c>
      <c r="D36" s="73" t="s">
        <v>756</v>
      </c>
      <c r="E36" s="73" t="s">
        <v>386</v>
      </c>
      <c r="F36" s="73" t="s">
        <v>378</v>
      </c>
      <c r="G36" s="72">
        <v>8.35</v>
      </c>
      <c r="H36" s="74">
        <v>1.0569E-2</v>
      </c>
    </row>
    <row r="37" spans="1:8">
      <c r="A37" s="73" t="s">
        <v>876</v>
      </c>
      <c r="B37" s="73" t="s">
        <v>18</v>
      </c>
      <c r="C37" s="73" t="s">
        <v>754</v>
      </c>
      <c r="D37" s="73" t="s">
        <v>755</v>
      </c>
      <c r="E37" s="73" t="s">
        <v>821</v>
      </c>
      <c r="F37" s="73" t="s">
        <v>822</v>
      </c>
      <c r="G37" s="72">
        <v>0</v>
      </c>
      <c r="H37" s="74">
        <v>1.0515E-2</v>
      </c>
    </row>
    <row r="38" spans="1:8">
      <c r="A38" s="73" t="s">
        <v>876</v>
      </c>
      <c r="B38" s="73" t="s">
        <v>18</v>
      </c>
      <c r="C38" s="73" t="s">
        <v>38</v>
      </c>
      <c r="D38" s="73" t="s">
        <v>758</v>
      </c>
      <c r="E38" s="73" t="s">
        <v>385</v>
      </c>
      <c r="F38" s="73" t="s">
        <v>379</v>
      </c>
      <c r="G38" s="72">
        <v>3.71</v>
      </c>
      <c r="H38" s="74">
        <v>9.3430000000000006E-3</v>
      </c>
    </row>
    <row r="39" spans="1:8">
      <c r="A39" s="73" t="s">
        <v>876</v>
      </c>
      <c r="B39" s="73" t="s">
        <v>18</v>
      </c>
      <c r="C39" s="73" t="s">
        <v>54</v>
      </c>
      <c r="D39" s="73" t="s">
        <v>456</v>
      </c>
      <c r="E39" s="73" t="s">
        <v>386</v>
      </c>
      <c r="F39" s="73" t="s">
        <v>378</v>
      </c>
      <c r="G39" s="72">
        <v>10.69</v>
      </c>
      <c r="H39" s="74">
        <v>8.4790000000000004E-3</v>
      </c>
    </row>
    <row r="40" spans="1:8">
      <c r="A40" s="73" t="s">
        <v>876</v>
      </c>
      <c r="B40" s="73" t="s">
        <v>18</v>
      </c>
      <c r="C40" s="73" t="s">
        <v>26</v>
      </c>
      <c r="D40" s="73" t="s">
        <v>20</v>
      </c>
      <c r="E40" s="73" t="s">
        <v>385</v>
      </c>
      <c r="F40" s="73" t="s">
        <v>380</v>
      </c>
      <c r="G40" s="72">
        <v>0.54</v>
      </c>
      <c r="H40" s="74">
        <v>8.2590000000000007E-3</v>
      </c>
    </row>
    <row r="41" spans="1:8">
      <c r="A41" s="73" t="s">
        <v>876</v>
      </c>
      <c r="B41" s="73" t="s">
        <v>18</v>
      </c>
      <c r="C41" s="73" t="s">
        <v>502</v>
      </c>
      <c r="D41" s="73" t="s">
        <v>759</v>
      </c>
      <c r="E41" s="73" t="s">
        <v>386</v>
      </c>
      <c r="F41" s="73" t="s">
        <v>378</v>
      </c>
      <c r="G41" s="72">
        <v>3.55</v>
      </c>
      <c r="H41" s="74">
        <v>8.0649999999999993E-3</v>
      </c>
    </row>
    <row r="42" spans="1:8">
      <c r="A42" s="73" t="s">
        <v>876</v>
      </c>
      <c r="B42" s="73" t="s">
        <v>18</v>
      </c>
      <c r="C42" s="73" t="s">
        <v>105</v>
      </c>
      <c r="D42" s="73" t="s">
        <v>106</v>
      </c>
      <c r="E42" s="73" t="s">
        <v>386</v>
      </c>
      <c r="F42" s="73" t="s">
        <v>378</v>
      </c>
      <c r="G42" s="72">
        <v>10.16</v>
      </c>
      <c r="H42" s="74">
        <v>7.6530000000000001E-3</v>
      </c>
    </row>
    <row r="43" spans="1:8">
      <c r="A43" s="73" t="s">
        <v>876</v>
      </c>
      <c r="B43" s="73" t="s">
        <v>18</v>
      </c>
      <c r="C43" s="73" t="s">
        <v>67</v>
      </c>
      <c r="D43" s="73" t="s">
        <v>103</v>
      </c>
      <c r="E43" s="73" t="s">
        <v>386</v>
      </c>
      <c r="F43" s="73" t="s">
        <v>378</v>
      </c>
      <c r="G43" s="72">
        <v>4.6900000000000004</v>
      </c>
      <c r="H43" s="74">
        <v>7.352E-3</v>
      </c>
    </row>
    <row r="44" spans="1:8">
      <c r="A44" s="73" t="s">
        <v>876</v>
      </c>
      <c r="B44" s="73" t="s">
        <v>18</v>
      </c>
      <c r="C44" s="73" t="s">
        <v>86</v>
      </c>
      <c r="D44" s="73" t="s">
        <v>89</v>
      </c>
      <c r="E44" s="73" t="s">
        <v>385</v>
      </c>
      <c r="F44" s="73" t="s">
        <v>378</v>
      </c>
      <c r="G44" s="72">
        <v>0.64</v>
      </c>
      <c r="H44" s="74">
        <v>7.0819999999999998E-3</v>
      </c>
    </row>
    <row r="45" spans="1:8">
      <c r="A45" s="73" t="s">
        <v>876</v>
      </c>
      <c r="B45" s="73" t="s">
        <v>18</v>
      </c>
      <c r="C45" s="73" t="s">
        <v>625</v>
      </c>
      <c r="D45" s="73" t="s">
        <v>20</v>
      </c>
      <c r="E45" s="73" t="s">
        <v>385</v>
      </c>
      <c r="F45" s="73" t="s">
        <v>380</v>
      </c>
      <c r="G45" s="72">
        <v>0.05</v>
      </c>
      <c r="H45" s="74">
        <v>6.3029999999999996E-3</v>
      </c>
    </row>
    <row r="46" spans="1:8">
      <c r="A46" s="73" t="s">
        <v>876</v>
      </c>
      <c r="B46" s="73" t="s">
        <v>18</v>
      </c>
      <c r="C46" s="73" t="s">
        <v>100</v>
      </c>
      <c r="D46" s="73" t="s">
        <v>101</v>
      </c>
      <c r="E46" s="73" t="s">
        <v>386</v>
      </c>
      <c r="F46" s="73" t="s">
        <v>378</v>
      </c>
      <c r="G46" s="72">
        <v>1.03</v>
      </c>
      <c r="H46" s="74">
        <v>6.234E-3</v>
      </c>
    </row>
    <row r="47" spans="1:8">
      <c r="A47" s="73" t="s">
        <v>876</v>
      </c>
      <c r="B47" s="73" t="s">
        <v>18</v>
      </c>
      <c r="C47" s="73" t="s">
        <v>148</v>
      </c>
      <c r="D47" s="73" t="s">
        <v>149</v>
      </c>
      <c r="E47" s="73" t="s">
        <v>386</v>
      </c>
      <c r="F47" s="73" t="s">
        <v>378</v>
      </c>
      <c r="G47" s="72">
        <v>7.03</v>
      </c>
      <c r="H47" s="74">
        <v>6.0179999999999999E-3</v>
      </c>
    </row>
    <row r="48" spans="1:8">
      <c r="A48" s="73" t="s">
        <v>876</v>
      </c>
      <c r="B48" s="73" t="s">
        <v>18</v>
      </c>
      <c r="C48" s="73" t="s">
        <v>24</v>
      </c>
      <c r="D48" s="73" t="s">
        <v>20</v>
      </c>
      <c r="E48" s="73" t="s">
        <v>385</v>
      </c>
      <c r="F48" s="73" t="s">
        <v>380</v>
      </c>
      <c r="G48" s="72">
        <v>0</v>
      </c>
      <c r="H48" s="74">
        <v>4.2079999999999999E-3</v>
      </c>
    </row>
    <row r="49" spans="1:8">
      <c r="A49" s="73" t="s">
        <v>876</v>
      </c>
      <c r="B49" s="73" t="s">
        <v>18</v>
      </c>
      <c r="C49" s="73" t="s">
        <v>21</v>
      </c>
      <c r="D49" s="73" t="s">
        <v>20</v>
      </c>
      <c r="E49" s="73" t="s">
        <v>385</v>
      </c>
      <c r="F49" s="73" t="s">
        <v>380</v>
      </c>
      <c r="G49" s="72">
        <v>0.01</v>
      </c>
      <c r="H49" s="74">
        <v>4.2059999999999997E-3</v>
      </c>
    </row>
    <row r="50" spans="1:8">
      <c r="A50" s="73" t="s">
        <v>876</v>
      </c>
      <c r="B50" s="73" t="s">
        <v>18</v>
      </c>
      <c r="C50" s="73" t="s">
        <v>31</v>
      </c>
      <c r="D50" s="73" t="s">
        <v>20</v>
      </c>
      <c r="E50" s="73" t="s">
        <v>385</v>
      </c>
      <c r="F50" s="73" t="s">
        <v>380</v>
      </c>
      <c r="G50" s="72">
        <v>0.19</v>
      </c>
      <c r="H50" s="74">
        <v>4.182E-3</v>
      </c>
    </row>
    <row r="51" spans="1:8">
      <c r="A51" s="73" t="s">
        <v>876</v>
      </c>
      <c r="B51" s="73" t="s">
        <v>18</v>
      </c>
      <c r="C51" s="73" t="s">
        <v>459</v>
      </c>
      <c r="D51" s="73" t="s">
        <v>460</v>
      </c>
      <c r="E51" s="73" t="s">
        <v>499</v>
      </c>
      <c r="F51" s="73" t="s">
        <v>379</v>
      </c>
      <c r="G51" s="72">
        <v>6.92</v>
      </c>
      <c r="H51" s="74">
        <v>3.4759999999999999E-3</v>
      </c>
    </row>
    <row r="52" spans="1:8">
      <c r="A52" s="73" t="s">
        <v>876</v>
      </c>
      <c r="B52" s="73" t="s">
        <v>18</v>
      </c>
      <c r="C52" s="73" t="s">
        <v>459</v>
      </c>
      <c r="D52" s="73" t="s">
        <v>462</v>
      </c>
      <c r="E52" s="73" t="s">
        <v>499</v>
      </c>
      <c r="F52" s="73" t="s">
        <v>379</v>
      </c>
      <c r="G52" s="72">
        <v>7.85</v>
      </c>
      <c r="H52" s="74">
        <v>2.8319999999999999E-3</v>
      </c>
    </row>
    <row r="53" spans="1:8">
      <c r="A53" s="73" t="s">
        <v>876</v>
      </c>
      <c r="B53" s="73" t="s">
        <v>18</v>
      </c>
      <c r="C53" s="73" t="s">
        <v>459</v>
      </c>
      <c r="D53" s="73" t="s">
        <v>464</v>
      </c>
      <c r="E53" s="73" t="s">
        <v>499</v>
      </c>
      <c r="F53" s="73" t="s">
        <v>379</v>
      </c>
      <c r="G53" s="72">
        <v>10.48</v>
      </c>
      <c r="H53" s="74">
        <v>2.725E-3</v>
      </c>
    </row>
    <row r="54" spans="1:8">
      <c r="A54" s="73" t="s">
        <v>876</v>
      </c>
      <c r="B54" s="73" t="s">
        <v>18</v>
      </c>
      <c r="C54" s="73" t="s">
        <v>110</v>
      </c>
      <c r="D54" s="73" t="s">
        <v>466</v>
      </c>
      <c r="E54" s="73" t="s">
        <v>386</v>
      </c>
      <c r="F54" s="73" t="s">
        <v>378</v>
      </c>
      <c r="G54" s="72">
        <v>13.28</v>
      </c>
      <c r="H54" s="74">
        <v>2.6879999999999999E-3</v>
      </c>
    </row>
    <row r="55" spans="1:8">
      <c r="A55" s="73" t="s">
        <v>876</v>
      </c>
      <c r="B55" s="73" t="s">
        <v>18</v>
      </c>
      <c r="C55" s="73" t="s">
        <v>23</v>
      </c>
      <c r="D55" s="73" t="s">
        <v>20</v>
      </c>
      <c r="E55" s="73" t="s">
        <v>385</v>
      </c>
      <c r="F55" s="73" t="s">
        <v>380</v>
      </c>
      <c r="G55" s="72">
        <v>0.01</v>
      </c>
      <c r="H55" s="74">
        <v>2.1029999999999998E-3</v>
      </c>
    </row>
    <row r="56" spans="1:8">
      <c r="A56" s="73" t="s">
        <v>876</v>
      </c>
      <c r="B56" s="73" t="s">
        <v>18</v>
      </c>
      <c r="C56" s="73" t="s">
        <v>421</v>
      </c>
      <c r="D56" s="73" t="s">
        <v>20</v>
      </c>
      <c r="E56" s="73" t="s">
        <v>385</v>
      </c>
      <c r="F56" s="73" t="s">
        <v>380</v>
      </c>
      <c r="G56" s="72">
        <v>0.02</v>
      </c>
      <c r="H56" s="74">
        <v>2.1020000000000001E-3</v>
      </c>
    </row>
    <row r="57" spans="1:8">
      <c r="A57" s="73" t="s">
        <v>876</v>
      </c>
      <c r="B57" s="73" t="s">
        <v>18</v>
      </c>
      <c r="C57" s="73" t="s">
        <v>31</v>
      </c>
      <c r="D57" s="73" t="s">
        <v>20</v>
      </c>
      <c r="E57" s="73" t="s">
        <v>385</v>
      </c>
      <c r="F57" s="73" t="s">
        <v>380</v>
      </c>
      <c r="G57" s="72">
        <v>0.09</v>
      </c>
      <c r="H57" s="74">
        <v>2.098E-3</v>
      </c>
    </row>
    <row r="58" spans="1:8">
      <c r="A58" s="73" t="s">
        <v>876</v>
      </c>
      <c r="B58" s="73" t="s">
        <v>18</v>
      </c>
      <c r="C58" s="73" t="s">
        <v>29</v>
      </c>
      <c r="D58" s="73" t="s">
        <v>20</v>
      </c>
      <c r="E58" s="73" t="s">
        <v>385</v>
      </c>
      <c r="F58" s="73" t="s">
        <v>380</v>
      </c>
      <c r="G58" s="72">
        <v>0.16</v>
      </c>
      <c r="H58" s="74">
        <v>2.0929999999999998E-3</v>
      </c>
    </row>
    <row r="59" spans="1:8">
      <c r="A59" s="73" t="s">
        <v>876</v>
      </c>
      <c r="B59" s="73" t="s">
        <v>18</v>
      </c>
      <c r="C59" s="73" t="s">
        <v>21</v>
      </c>
      <c r="D59" s="73" t="s">
        <v>20</v>
      </c>
      <c r="E59" s="73" t="s">
        <v>385</v>
      </c>
      <c r="F59" s="73" t="s">
        <v>380</v>
      </c>
      <c r="G59" s="72">
        <v>0.24</v>
      </c>
      <c r="H59" s="74">
        <v>2.088E-3</v>
      </c>
    </row>
    <row r="60" spans="1:8">
      <c r="A60" s="73" t="s">
        <v>876</v>
      </c>
      <c r="B60" s="73" t="s">
        <v>18</v>
      </c>
      <c r="C60" s="73" t="s">
        <v>506</v>
      </c>
      <c r="D60" s="73" t="s">
        <v>518</v>
      </c>
      <c r="E60" s="73" t="s">
        <v>386</v>
      </c>
      <c r="F60" s="73" t="s">
        <v>378</v>
      </c>
      <c r="G60" s="72">
        <v>5.17</v>
      </c>
      <c r="H60" s="74">
        <v>1.92E-3</v>
      </c>
    </row>
    <row r="61" spans="1:8">
      <c r="A61" s="73" t="s">
        <v>876</v>
      </c>
      <c r="B61" s="73" t="s">
        <v>18</v>
      </c>
      <c r="C61" s="73" t="s">
        <v>81</v>
      </c>
      <c r="D61" s="73" t="s">
        <v>156</v>
      </c>
      <c r="E61" s="73" t="s">
        <v>386</v>
      </c>
      <c r="F61" s="73" t="s">
        <v>378</v>
      </c>
      <c r="G61" s="72">
        <v>2.34</v>
      </c>
      <c r="H61" s="74">
        <v>1.918E-3</v>
      </c>
    </row>
    <row r="62" spans="1:8">
      <c r="A62" s="73" t="s">
        <v>876</v>
      </c>
      <c r="B62" s="73" t="s">
        <v>18</v>
      </c>
      <c r="C62" s="73" t="s">
        <v>26</v>
      </c>
      <c r="D62" s="73" t="s">
        <v>20</v>
      </c>
      <c r="E62" s="73" t="s">
        <v>385</v>
      </c>
      <c r="F62" s="73" t="s">
        <v>380</v>
      </c>
      <c r="G62" s="72">
        <v>0.7</v>
      </c>
      <c r="H62" s="74">
        <v>1.7489999999999999E-3</v>
      </c>
    </row>
    <row r="63" spans="1:8">
      <c r="A63" s="73" t="s">
        <v>876</v>
      </c>
      <c r="B63" s="73" t="s">
        <v>18</v>
      </c>
      <c r="C63" s="73" t="s">
        <v>658</v>
      </c>
      <c r="D63" s="73" t="s">
        <v>659</v>
      </c>
      <c r="E63" s="73" t="s">
        <v>386</v>
      </c>
      <c r="F63" s="73" t="s">
        <v>378</v>
      </c>
      <c r="G63" s="72">
        <v>7.59</v>
      </c>
      <c r="H63" s="74">
        <v>1.743E-3</v>
      </c>
    </row>
    <row r="64" spans="1:8">
      <c r="A64" s="73" t="s">
        <v>876</v>
      </c>
      <c r="B64" s="73" t="s">
        <v>18</v>
      </c>
      <c r="C64" s="73" t="s">
        <v>381</v>
      </c>
      <c r="D64" s="73" t="s">
        <v>480</v>
      </c>
      <c r="E64" s="73" t="s">
        <v>386</v>
      </c>
      <c r="F64" s="73" t="s">
        <v>378</v>
      </c>
      <c r="G64" s="72">
        <v>2.11</v>
      </c>
      <c r="H64" s="74">
        <v>1.6659999999999999E-3</v>
      </c>
    </row>
    <row r="65" spans="1:8">
      <c r="A65" s="73" t="s">
        <v>876</v>
      </c>
      <c r="B65" s="73" t="s">
        <v>18</v>
      </c>
      <c r="C65" s="73" t="s">
        <v>163</v>
      </c>
      <c r="D65" s="73" t="s">
        <v>632</v>
      </c>
      <c r="E65" s="73" t="s">
        <v>386</v>
      </c>
      <c r="F65" s="73" t="s">
        <v>378</v>
      </c>
      <c r="G65" s="72">
        <v>2.96</v>
      </c>
      <c r="H65" s="74">
        <v>1.639E-3</v>
      </c>
    </row>
    <row r="66" spans="1:8">
      <c r="A66" s="73" t="s">
        <v>876</v>
      </c>
      <c r="B66" s="73" t="s">
        <v>18</v>
      </c>
      <c r="C66" s="73" t="s">
        <v>481</v>
      </c>
      <c r="D66" s="73" t="s">
        <v>482</v>
      </c>
      <c r="E66" s="73" t="s">
        <v>386</v>
      </c>
      <c r="F66" s="73" t="s">
        <v>378</v>
      </c>
      <c r="G66" s="72">
        <v>5.29</v>
      </c>
      <c r="H66" s="74">
        <v>1.6130000000000001E-3</v>
      </c>
    </row>
    <row r="67" spans="1:8">
      <c r="A67" s="73" t="s">
        <v>876</v>
      </c>
      <c r="B67" s="73" t="s">
        <v>18</v>
      </c>
      <c r="C67" s="73" t="s">
        <v>478</v>
      </c>
      <c r="D67" s="73" t="s">
        <v>479</v>
      </c>
      <c r="E67" s="73" t="s">
        <v>386</v>
      </c>
      <c r="F67" s="73" t="s">
        <v>378</v>
      </c>
      <c r="G67" s="72">
        <v>8.6</v>
      </c>
      <c r="H67" s="74">
        <v>1.603E-3</v>
      </c>
    </row>
    <row r="68" spans="1:8">
      <c r="A68" s="73" t="s">
        <v>876</v>
      </c>
      <c r="B68" s="73" t="s">
        <v>18</v>
      </c>
      <c r="C68" s="73" t="s">
        <v>823</v>
      </c>
      <c r="D68" s="73" t="s">
        <v>824</v>
      </c>
      <c r="E68" s="73" t="s">
        <v>386</v>
      </c>
      <c r="F68" s="73" t="s">
        <v>378</v>
      </c>
      <c r="G68" s="72">
        <v>4.05</v>
      </c>
      <c r="H68" s="74">
        <v>1.6019999999999999E-3</v>
      </c>
    </row>
    <row r="69" spans="1:8">
      <c r="A69" s="73" t="s">
        <v>876</v>
      </c>
      <c r="B69" s="73" t="s">
        <v>18</v>
      </c>
      <c r="C69" s="73" t="s">
        <v>489</v>
      </c>
      <c r="D69" s="73" t="s">
        <v>334</v>
      </c>
      <c r="E69" s="73" t="s">
        <v>385</v>
      </c>
      <c r="F69" s="73" t="s">
        <v>378</v>
      </c>
      <c r="G69" s="72">
        <v>4.58</v>
      </c>
      <c r="H69" s="74">
        <v>1.529E-3</v>
      </c>
    </row>
    <row r="70" spans="1:8">
      <c r="A70" s="73" t="s">
        <v>876</v>
      </c>
      <c r="B70" s="73" t="s">
        <v>18</v>
      </c>
      <c r="C70" s="73" t="s">
        <v>675</v>
      </c>
      <c r="D70" s="73" t="s">
        <v>676</v>
      </c>
      <c r="E70" s="73" t="s">
        <v>385</v>
      </c>
      <c r="F70" s="73" t="s">
        <v>378</v>
      </c>
      <c r="G70" s="72">
        <v>0.14000000000000001</v>
      </c>
      <c r="H70" s="74">
        <v>1.5169999999999999E-3</v>
      </c>
    </row>
    <row r="71" spans="1:8">
      <c r="A71" s="73" t="s">
        <v>876</v>
      </c>
      <c r="B71" s="73" t="s">
        <v>18</v>
      </c>
      <c r="C71" s="73" t="s">
        <v>35</v>
      </c>
      <c r="D71" s="73" t="s">
        <v>629</v>
      </c>
      <c r="E71" s="73" t="s">
        <v>386</v>
      </c>
      <c r="F71" s="73" t="s">
        <v>379</v>
      </c>
      <c r="G71" s="72">
        <v>3.89</v>
      </c>
      <c r="H71" s="74">
        <v>1.4970000000000001E-3</v>
      </c>
    </row>
    <row r="72" spans="1:8">
      <c r="A72" s="73" t="s">
        <v>876</v>
      </c>
      <c r="B72" s="73" t="s">
        <v>18</v>
      </c>
      <c r="C72" s="73" t="s">
        <v>495</v>
      </c>
      <c r="D72" s="73" t="s">
        <v>641</v>
      </c>
      <c r="E72" s="73" t="s">
        <v>386</v>
      </c>
      <c r="F72" s="73" t="s">
        <v>378</v>
      </c>
      <c r="G72" s="72">
        <v>4.4800000000000004</v>
      </c>
      <c r="H72" s="74">
        <v>1.426E-3</v>
      </c>
    </row>
    <row r="73" spans="1:8">
      <c r="A73" s="73" t="s">
        <v>876</v>
      </c>
      <c r="B73" s="73" t="s">
        <v>18</v>
      </c>
      <c r="C73" s="73" t="s">
        <v>142</v>
      </c>
      <c r="D73" s="73" t="s">
        <v>143</v>
      </c>
      <c r="E73" s="73" t="s">
        <v>386</v>
      </c>
      <c r="F73" s="73" t="s">
        <v>378</v>
      </c>
      <c r="G73" s="72">
        <v>7.22</v>
      </c>
      <c r="H73" s="74">
        <v>1.402E-3</v>
      </c>
    </row>
    <row r="74" spans="1:8">
      <c r="A74" s="73" t="s">
        <v>876</v>
      </c>
      <c r="B74" s="73" t="s">
        <v>18</v>
      </c>
      <c r="C74" s="73" t="s">
        <v>778</v>
      </c>
      <c r="D74" s="73" t="s">
        <v>779</v>
      </c>
      <c r="E74" s="73" t="s">
        <v>386</v>
      </c>
      <c r="F74" s="73" t="s">
        <v>378</v>
      </c>
      <c r="G74" s="72">
        <v>4.62</v>
      </c>
      <c r="H74" s="74">
        <v>1.3990000000000001E-3</v>
      </c>
    </row>
    <row r="75" spans="1:8">
      <c r="A75" s="73" t="s">
        <v>876</v>
      </c>
      <c r="B75" s="73" t="s">
        <v>18</v>
      </c>
      <c r="C75" s="73" t="s">
        <v>496</v>
      </c>
      <c r="D75" s="73" t="s">
        <v>497</v>
      </c>
      <c r="E75" s="73" t="s">
        <v>386</v>
      </c>
      <c r="F75" s="73" t="s">
        <v>378</v>
      </c>
      <c r="G75" s="72">
        <v>3.68</v>
      </c>
      <c r="H75" s="74">
        <v>1.389E-3</v>
      </c>
    </row>
    <row r="76" spans="1:8">
      <c r="A76" s="73" t="s">
        <v>876</v>
      </c>
      <c r="B76" s="73" t="s">
        <v>18</v>
      </c>
      <c r="C76" s="73" t="s">
        <v>495</v>
      </c>
      <c r="D76" s="73" t="s">
        <v>825</v>
      </c>
      <c r="E76" s="73" t="s">
        <v>386</v>
      </c>
      <c r="F76" s="73" t="s">
        <v>378</v>
      </c>
      <c r="G76" s="72">
        <v>7.75</v>
      </c>
      <c r="H76" s="74">
        <v>1.2589999999999999E-3</v>
      </c>
    </row>
    <row r="77" spans="1:8">
      <c r="A77" s="73" t="s">
        <v>876</v>
      </c>
      <c r="B77" s="73" t="s">
        <v>18</v>
      </c>
      <c r="C77" s="73" t="s">
        <v>530</v>
      </c>
      <c r="D77" s="73" t="s">
        <v>531</v>
      </c>
      <c r="E77" s="73" t="s">
        <v>386</v>
      </c>
      <c r="F77" s="73" t="s">
        <v>378</v>
      </c>
      <c r="G77" s="72">
        <v>6.64</v>
      </c>
      <c r="H77" s="74">
        <v>1.1999999999999999E-3</v>
      </c>
    </row>
    <row r="78" spans="1:8">
      <c r="A78" s="73" t="s">
        <v>876</v>
      </c>
      <c r="B78" s="73" t="s">
        <v>18</v>
      </c>
      <c r="C78" s="73" t="s">
        <v>87</v>
      </c>
      <c r="D78" s="73" t="s">
        <v>536</v>
      </c>
      <c r="E78" s="73" t="s">
        <v>386</v>
      </c>
      <c r="F78" s="73" t="s">
        <v>378</v>
      </c>
      <c r="G78" s="72">
        <v>7.8</v>
      </c>
      <c r="H78" s="74">
        <v>1.1509999999999999E-3</v>
      </c>
    </row>
    <row r="79" spans="1:8">
      <c r="A79" s="73" t="s">
        <v>876</v>
      </c>
      <c r="B79" s="73" t="s">
        <v>18</v>
      </c>
      <c r="C79" s="73" t="s">
        <v>483</v>
      </c>
      <c r="D79" s="73" t="s">
        <v>484</v>
      </c>
      <c r="E79" s="73" t="s">
        <v>386</v>
      </c>
      <c r="F79" s="73" t="s">
        <v>378</v>
      </c>
      <c r="G79" s="72">
        <v>10.77</v>
      </c>
      <c r="H79" s="74">
        <v>1.1429999999999999E-3</v>
      </c>
    </row>
    <row r="80" spans="1:8">
      <c r="A80" s="73" t="s">
        <v>876</v>
      </c>
      <c r="B80" s="73" t="s">
        <v>18</v>
      </c>
      <c r="C80" s="73" t="s">
        <v>424</v>
      </c>
      <c r="D80" s="73" t="s">
        <v>445</v>
      </c>
      <c r="E80" s="73" t="s">
        <v>386</v>
      </c>
      <c r="F80" s="73" t="s">
        <v>378</v>
      </c>
      <c r="G80" s="72">
        <v>3.63</v>
      </c>
      <c r="H80" s="74">
        <v>1.1230000000000001E-3</v>
      </c>
    </row>
    <row r="81" spans="1:8">
      <c r="A81" s="73" t="s">
        <v>876</v>
      </c>
      <c r="B81" s="73" t="s">
        <v>18</v>
      </c>
      <c r="C81" s="73" t="s">
        <v>775</v>
      </c>
      <c r="D81" s="73" t="s">
        <v>776</v>
      </c>
      <c r="E81" s="73" t="s">
        <v>386</v>
      </c>
      <c r="F81" s="73" t="s">
        <v>378</v>
      </c>
      <c r="G81" s="72">
        <v>4.12</v>
      </c>
      <c r="H81" s="74">
        <v>1.0610000000000001E-3</v>
      </c>
    </row>
    <row r="82" spans="1:8">
      <c r="A82" s="73" t="s">
        <v>876</v>
      </c>
      <c r="B82" s="73" t="s">
        <v>18</v>
      </c>
      <c r="C82" s="73" t="s">
        <v>490</v>
      </c>
      <c r="D82" s="73" t="s">
        <v>491</v>
      </c>
      <c r="E82" s="73" t="s">
        <v>386</v>
      </c>
      <c r="F82" s="73" t="s">
        <v>378</v>
      </c>
      <c r="G82" s="72">
        <v>4.8499999999999996</v>
      </c>
      <c r="H82" s="74">
        <v>1.034E-3</v>
      </c>
    </row>
    <row r="83" spans="1:8">
      <c r="A83" s="73" t="s">
        <v>876</v>
      </c>
      <c r="B83" s="73" t="s">
        <v>18</v>
      </c>
      <c r="C83" s="73" t="s">
        <v>86</v>
      </c>
      <c r="D83" s="73" t="s">
        <v>663</v>
      </c>
      <c r="E83" s="73" t="s">
        <v>385</v>
      </c>
      <c r="F83" s="73" t="s">
        <v>378</v>
      </c>
      <c r="G83" s="72">
        <v>3.03</v>
      </c>
      <c r="H83" s="74">
        <v>1.018E-3</v>
      </c>
    </row>
    <row r="84" spans="1:8">
      <c r="A84" s="73" t="s">
        <v>876</v>
      </c>
      <c r="B84" s="73" t="s">
        <v>18</v>
      </c>
      <c r="C84" s="73" t="s">
        <v>75</v>
      </c>
      <c r="D84" s="73" t="s">
        <v>761</v>
      </c>
      <c r="E84" s="73" t="s">
        <v>386</v>
      </c>
      <c r="F84" s="73" t="s">
        <v>378</v>
      </c>
      <c r="G84" s="72">
        <v>4.4000000000000004</v>
      </c>
      <c r="H84" s="74">
        <v>9.990000000000001E-4</v>
      </c>
    </row>
    <row r="85" spans="1:8">
      <c r="A85" s="73" t="s">
        <v>876</v>
      </c>
      <c r="B85" s="73" t="s">
        <v>18</v>
      </c>
      <c r="C85" s="73" t="s">
        <v>492</v>
      </c>
      <c r="D85" s="73" t="s">
        <v>660</v>
      </c>
      <c r="E85" s="73" t="s">
        <v>386</v>
      </c>
      <c r="F85" s="73" t="s">
        <v>378</v>
      </c>
      <c r="G85" s="72">
        <v>4.72</v>
      </c>
      <c r="H85" s="74">
        <v>9.9500000000000001E-4</v>
      </c>
    </row>
    <row r="86" spans="1:8">
      <c r="A86" s="73" t="s">
        <v>876</v>
      </c>
      <c r="B86" s="73" t="s">
        <v>18</v>
      </c>
      <c r="C86" s="73" t="s">
        <v>661</v>
      </c>
      <c r="D86" s="73" t="s">
        <v>662</v>
      </c>
      <c r="E86" s="73" t="s">
        <v>386</v>
      </c>
      <c r="F86" s="73" t="s">
        <v>378</v>
      </c>
      <c r="G86" s="72">
        <v>7.72</v>
      </c>
      <c r="H86" s="74">
        <v>9.7499999999999996E-4</v>
      </c>
    </row>
    <row r="87" spans="1:8">
      <c r="A87" s="73" t="s">
        <v>876</v>
      </c>
      <c r="B87" s="73" t="s">
        <v>18</v>
      </c>
      <c r="C87" s="73" t="s">
        <v>56</v>
      </c>
      <c r="D87" s="73" t="s">
        <v>57</v>
      </c>
      <c r="E87" s="73" t="s">
        <v>386</v>
      </c>
      <c r="F87" s="73" t="s">
        <v>378</v>
      </c>
      <c r="G87" s="72">
        <v>11.2</v>
      </c>
      <c r="H87" s="74">
        <v>9.6500000000000004E-4</v>
      </c>
    </row>
    <row r="88" spans="1:8">
      <c r="A88" s="73" t="s">
        <v>876</v>
      </c>
      <c r="B88" s="73" t="s">
        <v>18</v>
      </c>
      <c r="C88" s="73" t="s">
        <v>26</v>
      </c>
      <c r="D88" s="73" t="s">
        <v>20</v>
      </c>
      <c r="E88" s="73" t="s">
        <v>385</v>
      </c>
      <c r="F88" s="73" t="s">
        <v>380</v>
      </c>
      <c r="G88" s="72">
        <v>0.71</v>
      </c>
      <c r="H88" s="74">
        <v>9.6199999999999996E-4</v>
      </c>
    </row>
    <row r="89" spans="1:8">
      <c r="A89" s="73" t="s">
        <v>876</v>
      </c>
      <c r="B89" s="73" t="s">
        <v>18</v>
      </c>
      <c r="C89" s="73" t="s">
        <v>485</v>
      </c>
      <c r="D89" s="73" t="s">
        <v>486</v>
      </c>
      <c r="E89" s="73" t="s">
        <v>386</v>
      </c>
      <c r="F89" s="73" t="s">
        <v>378</v>
      </c>
      <c r="G89" s="72">
        <v>2.99</v>
      </c>
      <c r="H89" s="74">
        <v>9.5699999999999995E-4</v>
      </c>
    </row>
    <row r="90" spans="1:8">
      <c r="A90" s="73" t="s">
        <v>876</v>
      </c>
      <c r="B90" s="73" t="s">
        <v>18</v>
      </c>
      <c r="C90" s="73" t="s">
        <v>493</v>
      </c>
      <c r="D90" s="73" t="s">
        <v>494</v>
      </c>
      <c r="E90" s="73" t="s">
        <v>386</v>
      </c>
      <c r="F90" s="73" t="s">
        <v>378</v>
      </c>
      <c r="G90" s="72">
        <v>1.94</v>
      </c>
      <c r="H90" s="74">
        <v>9.5600000000000004E-4</v>
      </c>
    </row>
    <row r="91" spans="1:8">
      <c r="A91" s="73" t="s">
        <v>876</v>
      </c>
      <c r="B91" s="73" t="s">
        <v>18</v>
      </c>
      <c r="C91" s="73" t="s">
        <v>116</v>
      </c>
      <c r="D91" s="73" t="s">
        <v>117</v>
      </c>
      <c r="E91" s="73" t="s">
        <v>385</v>
      </c>
      <c r="F91" s="73" t="s">
        <v>378</v>
      </c>
      <c r="G91" s="72">
        <v>1.44</v>
      </c>
      <c r="H91" s="74">
        <v>9.2400000000000002E-4</v>
      </c>
    </row>
    <row r="92" spans="1:8">
      <c r="A92" s="73" t="s">
        <v>876</v>
      </c>
      <c r="B92" s="73" t="s">
        <v>18</v>
      </c>
      <c r="C92" s="73" t="s">
        <v>163</v>
      </c>
      <c r="D92" s="73" t="s">
        <v>382</v>
      </c>
      <c r="E92" s="73" t="s">
        <v>386</v>
      </c>
      <c r="F92" s="73" t="s">
        <v>378</v>
      </c>
      <c r="G92" s="72">
        <v>2.2400000000000002</v>
      </c>
      <c r="H92" s="74">
        <v>9.2299999999999999E-4</v>
      </c>
    </row>
    <row r="93" spans="1:8">
      <c r="A93" s="73" t="s">
        <v>876</v>
      </c>
      <c r="B93" s="73" t="s">
        <v>18</v>
      </c>
      <c r="C93" s="73" t="s">
        <v>493</v>
      </c>
      <c r="D93" s="73" t="s">
        <v>498</v>
      </c>
      <c r="E93" s="73" t="s">
        <v>386</v>
      </c>
      <c r="F93" s="73" t="s">
        <v>378</v>
      </c>
      <c r="G93" s="72">
        <v>1.94</v>
      </c>
      <c r="H93" s="74">
        <v>9.1E-4</v>
      </c>
    </row>
    <row r="94" spans="1:8">
      <c r="A94" s="73" t="s">
        <v>876</v>
      </c>
      <c r="B94" s="73" t="s">
        <v>18</v>
      </c>
      <c r="C94" s="73" t="s">
        <v>527</v>
      </c>
      <c r="D94" s="73" t="s">
        <v>353</v>
      </c>
      <c r="E94" s="73" t="s">
        <v>385</v>
      </c>
      <c r="F94" s="73" t="s">
        <v>378</v>
      </c>
      <c r="G94" s="72">
        <v>4.17</v>
      </c>
      <c r="H94" s="74">
        <v>9.0600000000000001E-4</v>
      </c>
    </row>
    <row r="95" spans="1:8">
      <c r="A95" s="73" t="s">
        <v>876</v>
      </c>
      <c r="B95" s="73" t="s">
        <v>18</v>
      </c>
      <c r="C95" s="73" t="s">
        <v>826</v>
      </c>
      <c r="D95" s="73" t="s">
        <v>827</v>
      </c>
      <c r="E95" s="73" t="s">
        <v>385</v>
      </c>
      <c r="F95" s="73" t="s">
        <v>378</v>
      </c>
      <c r="G95" s="72">
        <v>5.62</v>
      </c>
      <c r="H95" s="74">
        <v>9.01E-4</v>
      </c>
    </row>
    <row r="96" spans="1:8">
      <c r="A96" s="73" t="s">
        <v>876</v>
      </c>
      <c r="B96" s="73" t="s">
        <v>18</v>
      </c>
      <c r="C96" s="73" t="s">
        <v>643</v>
      </c>
      <c r="D96" s="73" t="s">
        <v>20</v>
      </c>
      <c r="E96" s="73" t="s">
        <v>385</v>
      </c>
      <c r="F96" s="73" t="s">
        <v>505</v>
      </c>
      <c r="G96" s="72">
        <v>0.22</v>
      </c>
      <c r="H96" s="74">
        <v>8.9899999999999995E-4</v>
      </c>
    </row>
    <row r="97" spans="1:8">
      <c r="A97" s="73" t="s">
        <v>876</v>
      </c>
      <c r="B97" s="73" t="s">
        <v>18</v>
      </c>
      <c r="C97" s="73" t="s">
        <v>487</v>
      </c>
      <c r="D97" s="73" t="s">
        <v>488</v>
      </c>
      <c r="E97" s="73" t="s">
        <v>386</v>
      </c>
      <c r="F97" s="73" t="s">
        <v>378</v>
      </c>
      <c r="G97" s="72">
        <v>7.48</v>
      </c>
      <c r="H97" s="74">
        <v>8.9700000000000001E-4</v>
      </c>
    </row>
    <row r="98" spans="1:8">
      <c r="A98" s="73" t="s">
        <v>876</v>
      </c>
      <c r="B98" s="73" t="s">
        <v>18</v>
      </c>
      <c r="C98" s="73" t="s">
        <v>87</v>
      </c>
      <c r="D98" s="73" t="s">
        <v>789</v>
      </c>
      <c r="E98" s="73" t="s">
        <v>385</v>
      </c>
      <c r="F98" s="73" t="s">
        <v>378</v>
      </c>
      <c r="G98" s="72">
        <v>6.98</v>
      </c>
      <c r="H98" s="74">
        <v>8.4900000000000004E-4</v>
      </c>
    </row>
    <row r="99" spans="1:8">
      <c r="A99" s="73" t="s">
        <v>876</v>
      </c>
      <c r="B99" s="73" t="s">
        <v>18</v>
      </c>
      <c r="C99" s="73" t="s">
        <v>642</v>
      </c>
      <c r="D99" s="73" t="s">
        <v>639</v>
      </c>
      <c r="E99" s="73" t="s">
        <v>385</v>
      </c>
      <c r="F99" s="73" t="s">
        <v>378</v>
      </c>
      <c r="G99" s="72">
        <v>7.93</v>
      </c>
      <c r="H99" s="74">
        <v>8.4800000000000001E-4</v>
      </c>
    </row>
    <row r="100" spans="1:8">
      <c r="A100" s="73" t="s">
        <v>876</v>
      </c>
      <c r="B100" s="73" t="s">
        <v>18</v>
      </c>
      <c r="C100" s="73" t="s">
        <v>86</v>
      </c>
      <c r="D100" s="73" t="s">
        <v>773</v>
      </c>
      <c r="E100" s="73" t="s">
        <v>386</v>
      </c>
      <c r="F100" s="73" t="s">
        <v>378</v>
      </c>
      <c r="G100" s="72">
        <v>1.67</v>
      </c>
      <c r="H100" s="74">
        <v>8.4500000000000005E-4</v>
      </c>
    </row>
    <row r="101" spans="1:8">
      <c r="A101" s="73" t="s">
        <v>876</v>
      </c>
      <c r="B101" s="73" t="s">
        <v>18</v>
      </c>
      <c r="C101" s="73" t="s">
        <v>163</v>
      </c>
      <c r="D101" s="73" t="s">
        <v>503</v>
      </c>
      <c r="E101" s="73" t="s">
        <v>386</v>
      </c>
      <c r="F101" s="73" t="s">
        <v>378</v>
      </c>
      <c r="G101" s="72">
        <v>1.38</v>
      </c>
      <c r="H101" s="74">
        <v>8.4000000000000003E-4</v>
      </c>
    </row>
    <row r="102" spans="1:8">
      <c r="A102" s="73" t="s">
        <v>876</v>
      </c>
      <c r="B102" s="73" t="s">
        <v>18</v>
      </c>
      <c r="C102" s="73" t="s">
        <v>75</v>
      </c>
      <c r="D102" s="73" t="s">
        <v>604</v>
      </c>
      <c r="E102" s="73" t="s">
        <v>386</v>
      </c>
      <c r="F102" s="73" t="s">
        <v>378</v>
      </c>
      <c r="G102" s="72">
        <v>1.93</v>
      </c>
      <c r="H102" s="74">
        <v>8.2600000000000002E-4</v>
      </c>
    </row>
    <row r="103" spans="1:8">
      <c r="A103" s="73" t="s">
        <v>876</v>
      </c>
      <c r="B103" s="73" t="s">
        <v>18</v>
      </c>
      <c r="C103" s="73" t="s">
        <v>493</v>
      </c>
      <c r="D103" s="73" t="s">
        <v>513</v>
      </c>
      <c r="E103" s="73" t="s">
        <v>386</v>
      </c>
      <c r="F103" s="73" t="s">
        <v>378</v>
      </c>
      <c r="G103" s="72">
        <v>0.54</v>
      </c>
      <c r="H103" s="74">
        <v>8.1999999999999998E-4</v>
      </c>
    </row>
    <row r="104" spans="1:8">
      <c r="A104" s="73" t="s">
        <v>876</v>
      </c>
      <c r="B104" s="73" t="s">
        <v>18</v>
      </c>
      <c r="C104" s="73" t="s">
        <v>158</v>
      </c>
      <c r="D104" s="73" t="s">
        <v>800</v>
      </c>
      <c r="E104" s="73" t="s">
        <v>386</v>
      </c>
      <c r="F104" s="73" t="s">
        <v>378</v>
      </c>
      <c r="G104" s="72">
        <v>9.1300000000000008</v>
      </c>
      <c r="H104" s="74">
        <v>7.8399999999999997E-4</v>
      </c>
    </row>
    <row r="105" spans="1:8">
      <c r="A105" s="73" t="s">
        <v>876</v>
      </c>
      <c r="B105" s="73" t="s">
        <v>18</v>
      </c>
      <c r="C105" s="73" t="s">
        <v>502</v>
      </c>
      <c r="D105" s="73" t="s">
        <v>319</v>
      </c>
      <c r="E105" s="73" t="s">
        <v>386</v>
      </c>
      <c r="F105" s="73" t="s">
        <v>378</v>
      </c>
      <c r="G105" s="72">
        <v>1.53</v>
      </c>
      <c r="H105" s="74">
        <v>7.8399999999999997E-4</v>
      </c>
    </row>
    <row r="106" spans="1:8">
      <c r="A106" s="73" t="s">
        <v>876</v>
      </c>
      <c r="B106" s="73" t="s">
        <v>18</v>
      </c>
      <c r="C106" s="73" t="s">
        <v>511</v>
      </c>
      <c r="D106" s="73" t="s">
        <v>512</v>
      </c>
      <c r="E106" s="73" t="s">
        <v>386</v>
      </c>
      <c r="F106" s="73" t="s">
        <v>378</v>
      </c>
      <c r="G106" s="72">
        <v>3.17</v>
      </c>
      <c r="H106" s="74">
        <v>7.7999999999999999E-4</v>
      </c>
    </row>
    <row r="107" spans="1:8">
      <c r="A107" s="73" t="s">
        <v>876</v>
      </c>
      <c r="B107" s="73" t="s">
        <v>18</v>
      </c>
      <c r="C107" s="73" t="s">
        <v>828</v>
      </c>
      <c r="D107" s="73" t="s">
        <v>829</v>
      </c>
      <c r="E107" s="73" t="s">
        <v>386</v>
      </c>
      <c r="F107" s="73" t="s">
        <v>378</v>
      </c>
      <c r="G107" s="72">
        <v>2.3199999999999998</v>
      </c>
      <c r="H107" s="74">
        <v>7.5900000000000002E-4</v>
      </c>
    </row>
    <row r="108" spans="1:8">
      <c r="A108" s="73" t="s">
        <v>876</v>
      </c>
      <c r="B108" s="73" t="s">
        <v>18</v>
      </c>
      <c r="C108" s="73" t="s">
        <v>84</v>
      </c>
      <c r="D108" s="73" t="s">
        <v>504</v>
      </c>
      <c r="E108" s="73" t="s">
        <v>386</v>
      </c>
      <c r="F108" s="73" t="s">
        <v>378</v>
      </c>
      <c r="G108" s="72">
        <v>7.09</v>
      </c>
      <c r="H108" s="74">
        <v>7.2400000000000003E-4</v>
      </c>
    </row>
    <row r="109" spans="1:8">
      <c r="A109" s="73" t="s">
        <v>876</v>
      </c>
      <c r="B109" s="73" t="s">
        <v>18</v>
      </c>
      <c r="C109" s="73" t="s">
        <v>142</v>
      </c>
      <c r="D109" s="73" t="s">
        <v>830</v>
      </c>
      <c r="E109" s="73" t="s">
        <v>386</v>
      </c>
      <c r="F109" s="73" t="s">
        <v>378</v>
      </c>
      <c r="G109" s="72">
        <v>8.5299999999999994</v>
      </c>
      <c r="H109" s="74">
        <v>6.8499999999999995E-4</v>
      </c>
    </row>
    <row r="110" spans="1:8">
      <c r="A110" s="73" t="s">
        <v>876</v>
      </c>
      <c r="B110" s="73" t="s">
        <v>18</v>
      </c>
      <c r="C110" s="73" t="s">
        <v>668</v>
      </c>
      <c r="D110" s="73" t="s">
        <v>20</v>
      </c>
      <c r="E110" s="73" t="s">
        <v>385</v>
      </c>
      <c r="F110" s="73" t="s">
        <v>380</v>
      </c>
      <c r="G110" s="72">
        <v>0.72</v>
      </c>
      <c r="H110" s="74">
        <v>6.5499999999999998E-4</v>
      </c>
    </row>
    <row r="111" spans="1:8">
      <c r="A111" s="73" t="s">
        <v>876</v>
      </c>
      <c r="B111" s="73" t="s">
        <v>18</v>
      </c>
      <c r="C111" s="73" t="s">
        <v>542</v>
      </c>
      <c r="D111" s="73" t="s">
        <v>543</v>
      </c>
      <c r="E111" s="73" t="s">
        <v>386</v>
      </c>
      <c r="F111" s="73" t="s">
        <v>378</v>
      </c>
      <c r="G111" s="72">
        <v>5.5</v>
      </c>
      <c r="H111" s="74">
        <v>6.5399999999999996E-4</v>
      </c>
    </row>
    <row r="112" spans="1:8">
      <c r="A112" s="73" t="s">
        <v>876</v>
      </c>
      <c r="B112" s="73" t="s">
        <v>18</v>
      </c>
      <c r="C112" s="73" t="s">
        <v>506</v>
      </c>
      <c r="D112" s="73" t="s">
        <v>620</v>
      </c>
      <c r="E112" s="73" t="s">
        <v>386</v>
      </c>
      <c r="F112" s="73" t="s">
        <v>378</v>
      </c>
      <c r="G112" s="72">
        <v>4.05</v>
      </c>
      <c r="H112" s="74">
        <v>6.3400000000000001E-4</v>
      </c>
    </row>
    <row r="113" spans="1:8">
      <c r="A113" s="73" t="s">
        <v>876</v>
      </c>
      <c r="B113" s="73" t="s">
        <v>18</v>
      </c>
      <c r="C113" s="73" t="s">
        <v>506</v>
      </c>
      <c r="D113" s="73" t="s">
        <v>507</v>
      </c>
      <c r="E113" s="73" t="s">
        <v>386</v>
      </c>
      <c r="F113" s="73" t="s">
        <v>378</v>
      </c>
      <c r="G113" s="72">
        <v>10.78</v>
      </c>
      <c r="H113" s="74">
        <v>6.3000000000000003E-4</v>
      </c>
    </row>
    <row r="114" spans="1:8">
      <c r="A114" s="73" t="s">
        <v>876</v>
      </c>
      <c r="B114" s="73" t="s">
        <v>18</v>
      </c>
      <c r="C114" s="73" t="s">
        <v>87</v>
      </c>
      <c r="D114" s="73" t="s">
        <v>134</v>
      </c>
      <c r="E114" s="73" t="s">
        <v>386</v>
      </c>
      <c r="F114" s="73" t="s">
        <v>378</v>
      </c>
      <c r="G114" s="72">
        <v>7.16</v>
      </c>
      <c r="H114" s="74">
        <v>5.9699999999999998E-4</v>
      </c>
    </row>
    <row r="115" spans="1:8">
      <c r="A115" s="73" t="s">
        <v>876</v>
      </c>
      <c r="B115" s="73" t="s">
        <v>18</v>
      </c>
      <c r="C115" s="73" t="s">
        <v>225</v>
      </c>
      <c r="D115" s="73" t="s">
        <v>561</v>
      </c>
      <c r="E115" s="73" t="s">
        <v>386</v>
      </c>
      <c r="F115" s="73" t="s">
        <v>378</v>
      </c>
      <c r="G115" s="72">
        <v>5.24</v>
      </c>
      <c r="H115" s="74">
        <v>5.9599999999999996E-4</v>
      </c>
    </row>
    <row r="116" spans="1:8">
      <c r="A116" s="73" t="s">
        <v>876</v>
      </c>
      <c r="B116" s="73" t="s">
        <v>18</v>
      </c>
      <c r="C116" s="73" t="s">
        <v>50</v>
      </c>
      <c r="D116" s="73" t="s">
        <v>256</v>
      </c>
      <c r="E116" s="73" t="s">
        <v>386</v>
      </c>
      <c r="F116" s="73" t="s">
        <v>378</v>
      </c>
      <c r="G116" s="72">
        <v>11.84</v>
      </c>
      <c r="H116" s="74">
        <v>5.9299999999999999E-4</v>
      </c>
    </row>
    <row r="117" spans="1:8">
      <c r="A117" s="73" t="s">
        <v>876</v>
      </c>
      <c r="B117" s="73" t="s">
        <v>18</v>
      </c>
      <c r="C117" s="73" t="s">
        <v>831</v>
      </c>
      <c r="D117" s="73" t="s">
        <v>832</v>
      </c>
      <c r="E117" s="73" t="s">
        <v>385</v>
      </c>
      <c r="F117" s="73" t="s">
        <v>517</v>
      </c>
      <c r="G117" s="72">
        <v>0</v>
      </c>
      <c r="H117" s="74">
        <v>5.8500000000000002E-4</v>
      </c>
    </row>
    <row r="118" spans="1:8">
      <c r="A118" s="73" t="s">
        <v>876</v>
      </c>
      <c r="B118" s="73" t="s">
        <v>18</v>
      </c>
      <c r="C118" s="73" t="s">
        <v>62</v>
      </c>
      <c r="D118" s="73" t="s">
        <v>519</v>
      </c>
      <c r="E118" s="73" t="s">
        <v>386</v>
      </c>
      <c r="F118" s="73" t="s">
        <v>378</v>
      </c>
      <c r="G118" s="72">
        <v>5.89</v>
      </c>
      <c r="H118" s="74">
        <v>5.7799999999999995E-4</v>
      </c>
    </row>
    <row r="119" spans="1:8">
      <c r="A119" s="73" t="s">
        <v>876</v>
      </c>
      <c r="B119" s="73" t="s">
        <v>18</v>
      </c>
      <c r="C119" s="73" t="s">
        <v>508</v>
      </c>
      <c r="D119" s="73" t="s">
        <v>509</v>
      </c>
      <c r="E119" s="73" t="s">
        <v>386</v>
      </c>
      <c r="F119" s="73" t="s">
        <v>378</v>
      </c>
      <c r="G119" s="72">
        <v>7.76</v>
      </c>
      <c r="H119" s="74">
        <v>5.44E-4</v>
      </c>
    </row>
    <row r="120" spans="1:8">
      <c r="A120" s="73" t="s">
        <v>876</v>
      </c>
      <c r="B120" s="73" t="s">
        <v>18</v>
      </c>
      <c r="C120" s="73" t="s">
        <v>510</v>
      </c>
      <c r="D120" s="73" t="s">
        <v>342</v>
      </c>
      <c r="E120" s="73" t="s">
        <v>385</v>
      </c>
      <c r="F120" s="73" t="s">
        <v>378</v>
      </c>
      <c r="G120" s="72">
        <v>1.98</v>
      </c>
      <c r="H120" s="74">
        <v>5.1400000000000003E-4</v>
      </c>
    </row>
    <row r="121" spans="1:8">
      <c r="A121" s="73" t="s">
        <v>876</v>
      </c>
      <c r="B121" s="73" t="s">
        <v>18</v>
      </c>
      <c r="C121" s="73" t="s">
        <v>50</v>
      </c>
      <c r="D121" s="73" t="s">
        <v>514</v>
      </c>
      <c r="E121" s="73" t="s">
        <v>386</v>
      </c>
      <c r="F121" s="73" t="s">
        <v>378</v>
      </c>
      <c r="G121" s="72">
        <v>11.01</v>
      </c>
      <c r="H121" s="74">
        <v>5.13E-4</v>
      </c>
    </row>
    <row r="122" spans="1:8">
      <c r="A122" s="73" t="s">
        <v>876</v>
      </c>
      <c r="B122" s="73" t="s">
        <v>18</v>
      </c>
      <c r="C122" s="73" t="s">
        <v>75</v>
      </c>
      <c r="D122" s="73" t="s">
        <v>235</v>
      </c>
      <c r="E122" s="73" t="s">
        <v>386</v>
      </c>
      <c r="F122" s="73" t="s">
        <v>378</v>
      </c>
      <c r="G122" s="72">
        <v>3.21</v>
      </c>
      <c r="H122" s="74">
        <v>5.0000000000000001E-4</v>
      </c>
    </row>
    <row r="123" spans="1:8">
      <c r="A123" s="73" t="s">
        <v>876</v>
      </c>
      <c r="B123" s="73" t="s">
        <v>18</v>
      </c>
      <c r="C123" s="73" t="s">
        <v>535</v>
      </c>
      <c r="D123" s="73" t="s">
        <v>316</v>
      </c>
      <c r="E123" s="73" t="s">
        <v>385</v>
      </c>
      <c r="F123" s="73" t="s">
        <v>378</v>
      </c>
      <c r="G123" s="72">
        <v>1.19</v>
      </c>
      <c r="H123" s="74">
        <v>4.8700000000000002E-4</v>
      </c>
    </row>
    <row r="124" spans="1:8">
      <c r="A124" s="73" t="s">
        <v>876</v>
      </c>
      <c r="B124" s="73" t="s">
        <v>18</v>
      </c>
      <c r="C124" s="73" t="s">
        <v>515</v>
      </c>
      <c r="D124" s="73" t="s">
        <v>516</v>
      </c>
      <c r="E124" s="73" t="s">
        <v>385</v>
      </c>
      <c r="F124" s="73" t="s">
        <v>517</v>
      </c>
      <c r="G124" s="72">
        <v>0</v>
      </c>
      <c r="H124" s="74">
        <v>4.5199999999999998E-4</v>
      </c>
    </row>
    <row r="125" spans="1:8">
      <c r="A125" s="73" t="s">
        <v>876</v>
      </c>
      <c r="B125" s="73" t="s">
        <v>18</v>
      </c>
      <c r="C125" s="73" t="s">
        <v>500</v>
      </c>
      <c r="D125" s="73" t="s">
        <v>501</v>
      </c>
      <c r="E125" s="73" t="s">
        <v>386</v>
      </c>
      <c r="F125" s="73" t="s">
        <v>378</v>
      </c>
      <c r="G125" s="72">
        <v>7.46</v>
      </c>
      <c r="H125" s="74">
        <v>4.46E-4</v>
      </c>
    </row>
    <row r="126" spans="1:8">
      <c r="A126" s="73" t="s">
        <v>876</v>
      </c>
      <c r="B126" s="73" t="s">
        <v>18</v>
      </c>
      <c r="C126" s="73" t="s">
        <v>163</v>
      </c>
      <c r="D126" s="73" t="s">
        <v>20</v>
      </c>
      <c r="E126" s="73" t="s">
        <v>385</v>
      </c>
      <c r="F126" s="73" t="s">
        <v>380</v>
      </c>
      <c r="G126" s="72">
        <v>0.04</v>
      </c>
      <c r="H126" s="74">
        <v>4.2499999999999998E-4</v>
      </c>
    </row>
    <row r="127" spans="1:8">
      <c r="A127" s="73" t="s">
        <v>876</v>
      </c>
      <c r="B127" s="73" t="s">
        <v>18</v>
      </c>
      <c r="C127" s="73" t="s">
        <v>508</v>
      </c>
      <c r="D127" s="73" t="s">
        <v>538</v>
      </c>
      <c r="E127" s="73" t="s">
        <v>386</v>
      </c>
      <c r="F127" s="73" t="s">
        <v>378</v>
      </c>
      <c r="G127" s="72">
        <v>3.26</v>
      </c>
      <c r="H127" s="74">
        <v>4.0200000000000001E-4</v>
      </c>
    </row>
    <row r="128" spans="1:8">
      <c r="A128" s="73" t="s">
        <v>876</v>
      </c>
      <c r="B128" s="73" t="s">
        <v>18</v>
      </c>
      <c r="C128" s="73" t="s">
        <v>19</v>
      </c>
      <c r="D128" s="73" t="s">
        <v>20</v>
      </c>
      <c r="E128" s="73" t="s">
        <v>385</v>
      </c>
      <c r="F128" s="73" t="s">
        <v>380</v>
      </c>
      <c r="G128" s="72">
        <v>0.83</v>
      </c>
      <c r="H128" s="74">
        <v>3.9100000000000002E-4</v>
      </c>
    </row>
    <row r="129" spans="1:8">
      <c r="A129" s="73" t="s">
        <v>876</v>
      </c>
      <c r="B129" s="73" t="s">
        <v>18</v>
      </c>
      <c r="C129" s="73" t="s">
        <v>492</v>
      </c>
      <c r="D129" s="73" t="s">
        <v>833</v>
      </c>
      <c r="E129" s="73" t="s">
        <v>386</v>
      </c>
      <c r="F129" s="73" t="s">
        <v>378</v>
      </c>
      <c r="G129" s="72">
        <v>4.25</v>
      </c>
      <c r="H129" s="74">
        <v>3.9100000000000002E-4</v>
      </c>
    </row>
    <row r="130" spans="1:8">
      <c r="A130" s="73" t="s">
        <v>876</v>
      </c>
      <c r="B130" s="73" t="s">
        <v>18</v>
      </c>
      <c r="C130" s="73" t="s">
        <v>520</v>
      </c>
      <c r="D130" s="73" t="s">
        <v>521</v>
      </c>
      <c r="E130" s="73" t="s">
        <v>386</v>
      </c>
      <c r="F130" s="73" t="s">
        <v>378</v>
      </c>
      <c r="G130" s="72">
        <v>3.03</v>
      </c>
      <c r="H130" s="74">
        <v>3.8999999999999999E-4</v>
      </c>
    </row>
    <row r="131" spans="1:8">
      <c r="A131" s="73" t="s">
        <v>876</v>
      </c>
      <c r="B131" s="73" t="s">
        <v>18</v>
      </c>
      <c r="C131" s="73" t="s">
        <v>86</v>
      </c>
      <c r="D131" s="73" t="s">
        <v>636</v>
      </c>
      <c r="E131" s="73" t="s">
        <v>386</v>
      </c>
      <c r="F131" s="73" t="s">
        <v>378</v>
      </c>
      <c r="G131" s="72">
        <v>4.54</v>
      </c>
      <c r="H131" s="74">
        <v>3.8400000000000001E-4</v>
      </c>
    </row>
    <row r="132" spans="1:8">
      <c r="A132" s="73" t="s">
        <v>876</v>
      </c>
      <c r="B132" s="73" t="s">
        <v>18</v>
      </c>
      <c r="C132" s="73" t="s">
        <v>163</v>
      </c>
      <c r="D132" s="73" t="s">
        <v>767</v>
      </c>
      <c r="E132" s="73" t="s">
        <v>386</v>
      </c>
      <c r="F132" s="73" t="s">
        <v>378</v>
      </c>
      <c r="G132" s="72">
        <v>4.26</v>
      </c>
      <c r="H132" s="74">
        <v>3.7199999999999999E-4</v>
      </c>
    </row>
    <row r="133" spans="1:8">
      <c r="A133" s="73" t="s">
        <v>876</v>
      </c>
      <c r="B133" s="73" t="s">
        <v>18</v>
      </c>
      <c r="C133" s="73" t="s">
        <v>500</v>
      </c>
      <c r="D133" s="73" t="s">
        <v>534</v>
      </c>
      <c r="E133" s="73" t="s">
        <v>386</v>
      </c>
      <c r="F133" s="73" t="s">
        <v>378</v>
      </c>
      <c r="G133" s="72">
        <v>5.05</v>
      </c>
      <c r="H133" s="74">
        <v>3.6900000000000002E-4</v>
      </c>
    </row>
    <row r="134" spans="1:8">
      <c r="A134" s="73" t="s">
        <v>876</v>
      </c>
      <c r="B134" s="73" t="s">
        <v>18</v>
      </c>
      <c r="C134" s="73" t="s">
        <v>80</v>
      </c>
      <c r="D134" s="73" t="s">
        <v>524</v>
      </c>
      <c r="E134" s="73" t="s">
        <v>386</v>
      </c>
      <c r="F134" s="73" t="s">
        <v>378</v>
      </c>
      <c r="G134" s="72">
        <v>11.16</v>
      </c>
      <c r="H134" s="74">
        <v>3.5799999999999997E-4</v>
      </c>
    </row>
    <row r="135" spans="1:8">
      <c r="A135" s="73" t="s">
        <v>876</v>
      </c>
      <c r="B135" s="73" t="s">
        <v>18</v>
      </c>
      <c r="C135" s="73" t="s">
        <v>511</v>
      </c>
      <c r="D135" s="73" t="s">
        <v>590</v>
      </c>
      <c r="E135" s="73" t="s">
        <v>386</v>
      </c>
      <c r="F135" s="73" t="s">
        <v>378</v>
      </c>
      <c r="G135" s="72">
        <v>7.08</v>
      </c>
      <c r="H135" s="74">
        <v>3.4400000000000001E-4</v>
      </c>
    </row>
    <row r="136" spans="1:8">
      <c r="A136" s="73" t="s">
        <v>876</v>
      </c>
      <c r="B136" s="73" t="s">
        <v>18</v>
      </c>
      <c r="C136" s="73" t="s">
        <v>381</v>
      </c>
      <c r="D136" s="73" t="s">
        <v>447</v>
      </c>
      <c r="E136" s="73" t="s">
        <v>386</v>
      </c>
      <c r="F136" s="73" t="s">
        <v>378</v>
      </c>
      <c r="G136" s="72">
        <v>4.4400000000000004</v>
      </c>
      <c r="H136" s="74">
        <v>3.28E-4</v>
      </c>
    </row>
    <row r="137" spans="1:8">
      <c r="A137" s="73" t="s">
        <v>876</v>
      </c>
      <c r="B137" s="73" t="s">
        <v>18</v>
      </c>
      <c r="C137" s="73" t="s">
        <v>86</v>
      </c>
      <c r="D137" s="73" t="s">
        <v>264</v>
      </c>
      <c r="E137" s="73" t="s">
        <v>385</v>
      </c>
      <c r="F137" s="73" t="s">
        <v>378</v>
      </c>
      <c r="G137" s="72">
        <v>2.59</v>
      </c>
      <c r="H137" s="74">
        <v>3.2299999999999999E-4</v>
      </c>
    </row>
    <row r="138" spans="1:8">
      <c r="A138" s="73" t="s">
        <v>876</v>
      </c>
      <c r="B138" s="73" t="s">
        <v>18</v>
      </c>
      <c r="C138" s="73" t="s">
        <v>105</v>
      </c>
      <c r="D138" s="73" t="s">
        <v>834</v>
      </c>
      <c r="E138" s="73" t="s">
        <v>386</v>
      </c>
      <c r="F138" s="73" t="s">
        <v>378</v>
      </c>
      <c r="G138" s="72">
        <v>1.46</v>
      </c>
      <c r="H138" s="74">
        <v>3.1300000000000002E-4</v>
      </c>
    </row>
    <row r="139" spans="1:8">
      <c r="A139" s="73" t="s">
        <v>876</v>
      </c>
      <c r="B139" s="73" t="s">
        <v>18</v>
      </c>
      <c r="C139" s="73" t="s">
        <v>67</v>
      </c>
      <c r="D139" s="73" t="s">
        <v>528</v>
      </c>
      <c r="E139" s="73" t="s">
        <v>386</v>
      </c>
      <c r="F139" s="73" t="s">
        <v>378</v>
      </c>
      <c r="G139" s="72">
        <v>10.119999999999999</v>
      </c>
      <c r="H139" s="74">
        <v>2.9599999999999998E-4</v>
      </c>
    </row>
    <row r="140" spans="1:8">
      <c r="A140" s="73" t="s">
        <v>876</v>
      </c>
      <c r="B140" s="73" t="s">
        <v>18</v>
      </c>
      <c r="C140" s="73" t="s">
        <v>111</v>
      </c>
      <c r="D140" s="73" t="s">
        <v>292</v>
      </c>
      <c r="E140" s="73" t="s">
        <v>386</v>
      </c>
      <c r="F140" s="73" t="s">
        <v>378</v>
      </c>
      <c r="G140" s="72">
        <v>10.83</v>
      </c>
      <c r="H140" s="74">
        <v>2.8499999999999999E-4</v>
      </c>
    </row>
    <row r="141" spans="1:8">
      <c r="A141" s="73" t="s">
        <v>876</v>
      </c>
      <c r="B141" s="73" t="s">
        <v>18</v>
      </c>
      <c r="C141" s="73" t="s">
        <v>75</v>
      </c>
      <c r="D141" s="73" t="s">
        <v>233</v>
      </c>
      <c r="E141" s="73" t="s">
        <v>386</v>
      </c>
      <c r="F141" s="73" t="s">
        <v>378</v>
      </c>
      <c r="G141" s="72">
        <v>1.38</v>
      </c>
      <c r="H141" s="74">
        <v>2.6899999999999998E-4</v>
      </c>
    </row>
    <row r="142" spans="1:8">
      <c r="A142" s="73" t="s">
        <v>876</v>
      </c>
      <c r="B142" s="73" t="s">
        <v>18</v>
      </c>
      <c r="C142" s="73" t="s">
        <v>29</v>
      </c>
      <c r="D142" s="73" t="s">
        <v>20</v>
      </c>
      <c r="E142" s="73" t="s">
        <v>385</v>
      </c>
      <c r="F142" s="73" t="s">
        <v>380</v>
      </c>
      <c r="G142" s="72">
        <v>0.61</v>
      </c>
      <c r="H142" s="74">
        <v>2.6400000000000002E-4</v>
      </c>
    </row>
    <row r="143" spans="1:8">
      <c r="A143" s="73" t="s">
        <v>876</v>
      </c>
      <c r="B143" s="73" t="s">
        <v>18</v>
      </c>
      <c r="C143" s="73" t="s">
        <v>668</v>
      </c>
      <c r="D143" s="73" t="s">
        <v>20</v>
      </c>
      <c r="E143" s="73" t="s">
        <v>385</v>
      </c>
      <c r="F143" s="73" t="s">
        <v>380</v>
      </c>
      <c r="G143" s="72">
        <v>0.71</v>
      </c>
      <c r="H143" s="74">
        <v>2.6200000000000003E-4</v>
      </c>
    </row>
    <row r="144" spans="1:8">
      <c r="A144" s="73" t="s">
        <v>876</v>
      </c>
      <c r="B144" s="73" t="s">
        <v>18</v>
      </c>
      <c r="C144" s="73" t="s">
        <v>27</v>
      </c>
      <c r="D144" s="73" t="s">
        <v>20</v>
      </c>
      <c r="E144" s="73" t="s">
        <v>385</v>
      </c>
      <c r="F144" s="73" t="s">
        <v>380</v>
      </c>
      <c r="G144" s="72">
        <v>0.79</v>
      </c>
      <c r="H144" s="74">
        <v>2.6200000000000003E-4</v>
      </c>
    </row>
    <row r="145" spans="1:8">
      <c r="A145" s="73" t="s">
        <v>876</v>
      </c>
      <c r="B145" s="73" t="s">
        <v>18</v>
      </c>
      <c r="C145" s="73" t="s">
        <v>493</v>
      </c>
      <c r="D145" s="73" t="s">
        <v>616</v>
      </c>
      <c r="E145" s="73" t="s">
        <v>386</v>
      </c>
      <c r="F145" s="73" t="s">
        <v>378</v>
      </c>
      <c r="G145" s="72">
        <v>4.42</v>
      </c>
      <c r="H145" s="74">
        <v>2.5799999999999998E-4</v>
      </c>
    </row>
    <row r="146" spans="1:8">
      <c r="A146" s="73" t="s">
        <v>876</v>
      </c>
      <c r="B146" s="73" t="s">
        <v>18</v>
      </c>
      <c r="C146" s="73" t="s">
        <v>86</v>
      </c>
      <c r="D146" s="73" t="s">
        <v>671</v>
      </c>
      <c r="E146" s="73" t="s">
        <v>386</v>
      </c>
      <c r="F146" s="73" t="s">
        <v>378</v>
      </c>
      <c r="G146" s="72">
        <v>4.04</v>
      </c>
      <c r="H146" s="74">
        <v>2.4699999999999999E-4</v>
      </c>
    </row>
    <row r="147" spans="1:8">
      <c r="A147" s="73" t="s">
        <v>876</v>
      </c>
      <c r="B147" s="73" t="s">
        <v>18</v>
      </c>
      <c r="C147" s="73" t="s">
        <v>421</v>
      </c>
      <c r="D147" s="73" t="s">
        <v>20</v>
      </c>
      <c r="E147" s="73" t="s">
        <v>385</v>
      </c>
      <c r="F147" s="73" t="s">
        <v>380</v>
      </c>
      <c r="G147" s="72">
        <v>0.7</v>
      </c>
      <c r="H147" s="74">
        <v>2.41E-4</v>
      </c>
    </row>
    <row r="148" spans="1:8">
      <c r="A148" s="73" t="s">
        <v>876</v>
      </c>
      <c r="B148" s="73" t="s">
        <v>18</v>
      </c>
      <c r="C148" s="73" t="s">
        <v>145</v>
      </c>
      <c r="D148" s="73" t="s">
        <v>146</v>
      </c>
      <c r="E148" s="73" t="s">
        <v>386</v>
      </c>
      <c r="F148" s="73" t="s">
        <v>378</v>
      </c>
      <c r="G148" s="72">
        <v>3.17</v>
      </c>
      <c r="H148" s="74">
        <v>2.24E-4</v>
      </c>
    </row>
    <row r="149" spans="1:8">
      <c r="A149" s="73" t="s">
        <v>876</v>
      </c>
      <c r="B149" s="73" t="s">
        <v>18</v>
      </c>
      <c r="C149" s="73" t="s">
        <v>163</v>
      </c>
      <c r="D149" s="73" t="s">
        <v>20</v>
      </c>
      <c r="E149" s="73" t="s">
        <v>385</v>
      </c>
      <c r="F149" s="73" t="s">
        <v>380</v>
      </c>
      <c r="G149" s="72">
        <v>0.06</v>
      </c>
      <c r="H149" s="74">
        <v>2.24E-4</v>
      </c>
    </row>
    <row r="150" spans="1:8">
      <c r="A150" s="73" t="s">
        <v>876</v>
      </c>
      <c r="B150" s="73" t="s">
        <v>18</v>
      </c>
      <c r="C150" s="73" t="s">
        <v>26</v>
      </c>
      <c r="D150" s="73" t="s">
        <v>20</v>
      </c>
      <c r="E150" s="73" t="s">
        <v>385</v>
      </c>
      <c r="F150" s="73" t="s">
        <v>380</v>
      </c>
      <c r="G150" s="72">
        <v>0.65</v>
      </c>
      <c r="H150" s="74">
        <v>2.1900000000000001E-4</v>
      </c>
    </row>
    <row r="151" spans="1:8">
      <c r="A151" s="73" t="s">
        <v>876</v>
      </c>
      <c r="B151" s="73" t="s">
        <v>18</v>
      </c>
      <c r="C151" s="73" t="s">
        <v>163</v>
      </c>
      <c r="D151" s="73" t="s">
        <v>20</v>
      </c>
      <c r="E151" s="73" t="s">
        <v>385</v>
      </c>
      <c r="F151" s="73" t="s">
        <v>380</v>
      </c>
      <c r="G151" s="72">
        <v>0.7</v>
      </c>
      <c r="H151" s="74">
        <v>2.1800000000000001E-4</v>
      </c>
    </row>
    <row r="152" spans="1:8">
      <c r="A152" s="73" t="s">
        <v>876</v>
      </c>
      <c r="B152" s="73" t="s">
        <v>18</v>
      </c>
      <c r="C152" s="73" t="s">
        <v>26</v>
      </c>
      <c r="D152" s="73" t="s">
        <v>20</v>
      </c>
      <c r="E152" s="73" t="s">
        <v>385</v>
      </c>
      <c r="F152" s="73" t="s">
        <v>380</v>
      </c>
      <c r="G152" s="72">
        <v>0.24</v>
      </c>
      <c r="H152" s="74">
        <v>2.1599999999999999E-4</v>
      </c>
    </row>
    <row r="153" spans="1:8">
      <c r="A153" s="73" t="s">
        <v>876</v>
      </c>
      <c r="B153" s="73" t="s">
        <v>18</v>
      </c>
      <c r="C153" s="73" t="s">
        <v>86</v>
      </c>
      <c r="D153" s="73" t="s">
        <v>523</v>
      </c>
      <c r="E153" s="73" t="s">
        <v>385</v>
      </c>
      <c r="F153" s="73" t="s">
        <v>378</v>
      </c>
      <c r="G153" s="72">
        <v>0.8</v>
      </c>
      <c r="H153" s="74">
        <v>2.05E-4</v>
      </c>
    </row>
    <row r="154" spans="1:8">
      <c r="A154" s="73" t="s">
        <v>876</v>
      </c>
      <c r="B154" s="73" t="s">
        <v>18</v>
      </c>
      <c r="C154" s="73" t="s">
        <v>835</v>
      </c>
      <c r="D154" s="73" t="s">
        <v>20</v>
      </c>
      <c r="E154" s="73" t="s">
        <v>385</v>
      </c>
      <c r="F154" s="73" t="s">
        <v>505</v>
      </c>
      <c r="G154" s="72">
        <v>0.22</v>
      </c>
      <c r="H154" s="74">
        <v>1.8699999999999999E-4</v>
      </c>
    </row>
    <row r="155" spans="1:8">
      <c r="A155" s="73" t="s">
        <v>876</v>
      </c>
      <c r="B155" s="73" t="s">
        <v>18</v>
      </c>
      <c r="C155" s="73" t="s">
        <v>105</v>
      </c>
      <c r="D155" s="73" t="s">
        <v>532</v>
      </c>
      <c r="E155" s="73" t="s">
        <v>386</v>
      </c>
      <c r="F155" s="73" t="s">
        <v>378</v>
      </c>
      <c r="G155" s="72">
        <v>14.49</v>
      </c>
      <c r="H155" s="74">
        <v>1.85E-4</v>
      </c>
    </row>
    <row r="156" spans="1:8">
      <c r="A156" s="73" t="s">
        <v>876</v>
      </c>
      <c r="B156" s="73" t="s">
        <v>18</v>
      </c>
      <c r="C156" s="73" t="s">
        <v>668</v>
      </c>
      <c r="D156" s="73" t="s">
        <v>20</v>
      </c>
      <c r="E156" s="73" t="s">
        <v>385</v>
      </c>
      <c r="F156" s="73" t="s">
        <v>380</v>
      </c>
      <c r="G156" s="72">
        <v>0.45</v>
      </c>
      <c r="H156" s="74">
        <v>1.76E-4</v>
      </c>
    </row>
    <row r="157" spans="1:8">
      <c r="A157" s="73" t="s">
        <v>876</v>
      </c>
      <c r="B157" s="73" t="s">
        <v>18</v>
      </c>
      <c r="C157" s="73" t="s">
        <v>21</v>
      </c>
      <c r="D157" s="73" t="s">
        <v>20</v>
      </c>
      <c r="E157" s="73" t="s">
        <v>385</v>
      </c>
      <c r="F157" s="73" t="s">
        <v>380</v>
      </c>
      <c r="G157" s="72">
        <v>0.52</v>
      </c>
      <c r="H157" s="74">
        <v>1.76E-4</v>
      </c>
    </row>
    <row r="158" spans="1:8">
      <c r="A158" s="73" t="s">
        <v>876</v>
      </c>
      <c r="B158" s="73" t="s">
        <v>18</v>
      </c>
      <c r="C158" s="73" t="s">
        <v>50</v>
      </c>
      <c r="D158" s="73" t="s">
        <v>533</v>
      </c>
      <c r="E158" s="73" t="s">
        <v>386</v>
      </c>
      <c r="F158" s="73" t="s">
        <v>378</v>
      </c>
      <c r="G158" s="72">
        <v>4.2699999999999996</v>
      </c>
      <c r="H158" s="74">
        <v>1.3999999999999999E-4</v>
      </c>
    </row>
    <row r="159" spans="1:8">
      <c r="A159" s="73" t="s">
        <v>876</v>
      </c>
      <c r="B159" s="73" t="s">
        <v>18</v>
      </c>
      <c r="C159" s="73" t="s">
        <v>363</v>
      </c>
      <c r="D159" s="73" t="s">
        <v>537</v>
      </c>
      <c r="E159" s="73" t="s">
        <v>386</v>
      </c>
      <c r="F159" s="73" t="s">
        <v>378</v>
      </c>
      <c r="G159" s="72">
        <v>8.67</v>
      </c>
      <c r="H159" s="74">
        <v>1.3799999999999999E-4</v>
      </c>
    </row>
    <row r="160" spans="1:8">
      <c r="A160" s="73" t="s">
        <v>876</v>
      </c>
      <c r="B160" s="73" t="s">
        <v>18</v>
      </c>
      <c r="C160" s="73" t="s">
        <v>421</v>
      </c>
      <c r="D160" s="73" t="s">
        <v>20</v>
      </c>
      <c r="E160" s="73" t="s">
        <v>385</v>
      </c>
      <c r="F160" s="73" t="s">
        <v>380</v>
      </c>
      <c r="G160" s="72">
        <v>0.21</v>
      </c>
      <c r="H160" s="74">
        <v>1.34E-4</v>
      </c>
    </row>
    <row r="161" spans="1:8">
      <c r="A161" s="73" t="s">
        <v>876</v>
      </c>
      <c r="B161" s="73" t="s">
        <v>18</v>
      </c>
      <c r="C161" s="73" t="s">
        <v>19</v>
      </c>
      <c r="D161" s="73" t="s">
        <v>20</v>
      </c>
      <c r="E161" s="73" t="s">
        <v>385</v>
      </c>
      <c r="F161" s="73" t="s">
        <v>380</v>
      </c>
      <c r="G161" s="72">
        <v>0.3</v>
      </c>
      <c r="H161" s="74">
        <v>1.3300000000000001E-4</v>
      </c>
    </row>
    <row r="162" spans="1:8">
      <c r="A162" s="73" t="s">
        <v>876</v>
      </c>
      <c r="B162" s="73" t="s">
        <v>18</v>
      </c>
      <c r="C162" s="73" t="s">
        <v>421</v>
      </c>
      <c r="D162" s="73" t="s">
        <v>20</v>
      </c>
      <c r="E162" s="73" t="s">
        <v>385</v>
      </c>
      <c r="F162" s="73" t="s">
        <v>380</v>
      </c>
      <c r="G162" s="72">
        <v>0.65</v>
      </c>
      <c r="H162" s="74">
        <v>1.3100000000000001E-4</v>
      </c>
    </row>
    <row r="163" spans="1:8">
      <c r="A163" s="73" t="s">
        <v>876</v>
      </c>
      <c r="B163" s="73" t="s">
        <v>18</v>
      </c>
      <c r="C163" s="73" t="s">
        <v>835</v>
      </c>
      <c r="D163" s="73" t="s">
        <v>20</v>
      </c>
      <c r="E163" s="73" t="s">
        <v>385</v>
      </c>
      <c r="F163" s="73" t="s">
        <v>505</v>
      </c>
      <c r="G163" s="72">
        <v>0.09</v>
      </c>
      <c r="H163" s="74">
        <v>1.27E-4</v>
      </c>
    </row>
    <row r="164" spans="1:8">
      <c r="A164" s="73" t="s">
        <v>876</v>
      </c>
      <c r="B164" s="73" t="s">
        <v>18</v>
      </c>
      <c r="C164" s="73" t="s">
        <v>835</v>
      </c>
      <c r="D164" s="73" t="s">
        <v>20</v>
      </c>
      <c r="E164" s="73" t="s">
        <v>385</v>
      </c>
      <c r="F164" s="73" t="s">
        <v>505</v>
      </c>
      <c r="G164" s="72">
        <v>0.24</v>
      </c>
      <c r="H164" s="74">
        <v>1.21E-4</v>
      </c>
    </row>
    <row r="165" spans="1:8">
      <c r="A165" s="73" t="s">
        <v>876</v>
      </c>
      <c r="B165" s="73" t="s">
        <v>18</v>
      </c>
      <c r="C165" s="73" t="s">
        <v>189</v>
      </c>
      <c r="D165" s="73" t="s">
        <v>836</v>
      </c>
      <c r="E165" s="73" t="s">
        <v>386</v>
      </c>
      <c r="F165" s="73" t="s">
        <v>378</v>
      </c>
      <c r="G165" s="72">
        <v>0.84</v>
      </c>
      <c r="H165" s="74">
        <v>1.15E-4</v>
      </c>
    </row>
    <row r="166" spans="1:8">
      <c r="A166" s="73" t="s">
        <v>876</v>
      </c>
      <c r="B166" s="73" t="s">
        <v>18</v>
      </c>
      <c r="C166" s="73" t="s">
        <v>539</v>
      </c>
      <c r="D166" s="73" t="s">
        <v>540</v>
      </c>
      <c r="E166" s="73" t="s">
        <v>385</v>
      </c>
      <c r="F166" s="73" t="s">
        <v>378</v>
      </c>
      <c r="G166" s="72">
        <v>3.94</v>
      </c>
      <c r="H166" s="74">
        <v>1.12E-4</v>
      </c>
    </row>
    <row r="167" spans="1:8">
      <c r="A167" s="73" t="s">
        <v>876</v>
      </c>
      <c r="B167" s="73" t="s">
        <v>18</v>
      </c>
      <c r="C167" s="73" t="s">
        <v>421</v>
      </c>
      <c r="D167" s="73" t="s">
        <v>20</v>
      </c>
      <c r="E167" s="73" t="s">
        <v>385</v>
      </c>
      <c r="F167" s="73" t="s">
        <v>380</v>
      </c>
      <c r="G167" s="72">
        <v>0.01</v>
      </c>
      <c r="H167" s="74">
        <v>1.12E-4</v>
      </c>
    </row>
    <row r="168" spans="1:8">
      <c r="A168" s="73" t="s">
        <v>876</v>
      </c>
      <c r="B168" s="73" t="s">
        <v>18</v>
      </c>
      <c r="C168" s="73" t="s">
        <v>19</v>
      </c>
      <c r="D168" s="73" t="s">
        <v>20</v>
      </c>
      <c r="E168" s="73" t="s">
        <v>385</v>
      </c>
      <c r="F168" s="73" t="s">
        <v>380</v>
      </c>
      <c r="G168" s="72">
        <v>0.66</v>
      </c>
      <c r="H168" s="74">
        <v>1.1E-4</v>
      </c>
    </row>
    <row r="169" spans="1:8">
      <c r="A169" s="73" t="s">
        <v>876</v>
      </c>
      <c r="B169" s="73" t="s">
        <v>18</v>
      </c>
      <c r="C169" s="73" t="s">
        <v>835</v>
      </c>
      <c r="D169" s="73" t="s">
        <v>20</v>
      </c>
      <c r="E169" s="73" t="s">
        <v>385</v>
      </c>
      <c r="F169" s="73" t="s">
        <v>505</v>
      </c>
      <c r="G169" s="72">
        <v>0.12</v>
      </c>
      <c r="H169" s="74">
        <v>1.02E-4</v>
      </c>
    </row>
    <row r="170" spans="1:8">
      <c r="A170" s="73" t="s">
        <v>876</v>
      </c>
      <c r="B170" s="73" t="s">
        <v>18</v>
      </c>
      <c r="C170" s="73" t="s">
        <v>835</v>
      </c>
      <c r="D170" s="73" t="s">
        <v>20</v>
      </c>
      <c r="E170" s="73" t="s">
        <v>385</v>
      </c>
      <c r="F170" s="73" t="s">
        <v>505</v>
      </c>
      <c r="G170" s="72">
        <v>0.33</v>
      </c>
      <c r="H170" s="74">
        <v>1.01E-4</v>
      </c>
    </row>
    <row r="171" spans="1:8">
      <c r="A171" s="73" t="s">
        <v>876</v>
      </c>
      <c r="B171" s="73" t="s">
        <v>18</v>
      </c>
      <c r="C171" s="73" t="s">
        <v>835</v>
      </c>
      <c r="D171" s="73" t="s">
        <v>20</v>
      </c>
      <c r="E171" s="73" t="s">
        <v>385</v>
      </c>
      <c r="F171" s="73" t="s">
        <v>505</v>
      </c>
      <c r="G171" s="72">
        <v>0.14000000000000001</v>
      </c>
      <c r="H171" s="74">
        <v>9.3999999999999994E-5</v>
      </c>
    </row>
    <row r="172" spans="1:8">
      <c r="A172" s="73" t="s">
        <v>876</v>
      </c>
      <c r="B172" s="73" t="s">
        <v>18</v>
      </c>
      <c r="C172" s="73" t="s">
        <v>23</v>
      </c>
      <c r="D172" s="73" t="s">
        <v>20</v>
      </c>
      <c r="E172" s="73" t="s">
        <v>385</v>
      </c>
      <c r="F172" s="73" t="s">
        <v>380</v>
      </c>
      <c r="G172" s="72">
        <v>0.28000000000000003</v>
      </c>
      <c r="H172" s="74">
        <v>8.8999999999999995E-5</v>
      </c>
    </row>
    <row r="173" spans="1:8">
      <c r="A173" s="73" t="s">
        <v>876</v>
      </c>
      <c r="B173" s="73" t="s">
        <v>18</v>
      </c>
      <c r="C173" s="73" t="s">
        <v>23</v>
      </c>
      <c r="D173" s="73" t="s">
        <v>20</v>
      </c>
      <c r="E173" s="73" t="s">
        <v>385</v>
      </c>
      <c r="F173" s="73" t="s">
        <v>380</v>
      </c>
      <c r="G173" s="72">
        <v>0.64</v>
      </c>
      <c r="H173" s="74">
        <v>8.7999999999999998E-5</v>
      </c>
    </row>
    <row r="174" spans="1:8">
      <c r="A174" s="73" t="s">
        <v>876</v>
      </c>
      <c r="B174" s="73" t="s">
        <v>18</v>
      </c>
      <c r="C174" s="73" t="s">
        <v>26</v>
      </c>
      <c r="D174" s="73" t="s">
        <v>20</v>
      </c>
      <c r="E174" s="73" t="s">
        <v>385</v>
      </c>
      <c r="F174" s="73" t="s">
        <v>380</v>
      </c>
      <c r="G174" s="72">
        <v>0.68</v>
      </c>
      <c r="H174" s="74">
        <v>8.7999999999999998E-5</v>
      </c>
    </row>
    <row r="175" spans="1:8">
      <c r="A175" s="73" t="s">
        <v>876</v>
      </c>
      <c r="B175" s="73" t="s">
        <v>18</v>
      </c>
      <c r="C175" s="73" t="s">
        <v>835</v>
      </c>
      <c r="D175" s="73" t="s">
        <v>20</v>
      </c>
      <c r="E175" s="73" t="s">
        <v>385</v>
      </c>
      <c r="F175" s="73" t="s">
        <v>505</v>
      </c>
      <c r="G175" s="72">
        <v>0.36</v>
      </c>
      <c r="H175" s="74">
        <v>8.0000000000000007E-5</v>
      </c>
    </row>
    <row r="176" spans="1:8">
      <c r="A176" s="73" t="s">
        <v>876</v>
      </c>
      <c r="B176" s="73" t="s">
        <v>18</v>
      </c>
      <c r="C176" s="73" t="s">
        <v>625</v>
      </c>
      <c r="D176" s="73" t="s">
        <v>20</v>
      </c>
      <c r="E176" s="73" t="s">
        <v>385</v>
      </c>
      <c r="F176" s="73" t="s">
        <v>380</v>
      </c>
      <c r="G176" s="72">
        <v>0.06</v>
      </c>
      <c r="H176" s="74">
        <v>6.7000000000000002E-5</v>
      </c>
    </row>
    <row r="177" spans="1:8">
      <c r="A177" s="73" t="s">
        <v>876</v>
      </c>
      <c r="B177" s="73" t="s">
        <v>18</v>
      </c>
      <c r="C177" s="73" t="s">
        <v>23</v>
      </c>
      <c r="D177" s="73" t="s">
        <v>20</v>
      </c>
      <c r="E177" s="73" t="s">
        <v>385</v>
      </c>
      <c r="F177" s="73" t="s">
        <v>380</v>
      </c>
      <c r="G177" s="72">
        <v>0.46</v>
      </c>
      <c r="H177" s="74">
        <v>6.6000000000000005E-5</v>
      </c>
    </row>
    <row r="178" spans="1:8">
      <c r="A178" s="73" t="s">
        <v>876</v>
      </c>
      <c r="B178" s="73" t="s">
        <v>18</v>
      </c>
      <c r="C178" s="73" t="s">
        <v>835</v>
      </c>
      <c r="D178" s="73" t="s">
        <v>20</v>
      </c>
      <c r="E178" s="73" t="s">
        <v>385</v>
      </c>
      <c r="F178" s="73" t="s">
        <v>505</v>
      </c>
      <c r="G178" s="72">
        <v>0.34</v>
      </c>
      <c r="H178" s="74">
        <v>6.6000000000000005E-5</v>
      </c>
    </row>
    <row r="179" spans="1:8">
      <c r="A179" s="73" t="s">
        <v>876</v>
      </c>
      <c r="B179" s="73" t="s">
        <v>18</v>
      </c>
      <c r="C179" s="73" t="s">
        <v>548</v>
      </c>
      <c r="D179" s="73" t="s">
        <v>549</v>
      </c>
      <c r="E179" s="73" t="s">
        <v>386</v>
      </c>
      <c r="F179" s="73" t="s">
        <v>378</v>
      </c>
      <c r="G179" s="72">
        <v>7.79</v>
      </c>
      <c r="H179" s="74">
        <v>6.4999999999999994E-5</v>
      </c>
    </row>
    <row r="180" spans="1:8">
      <c r="A180" s="73" t="s">
        <v>876</v>
      </c>
      <c r="B180" s="73" t="s">
        <v>18</v>
      </c>
      <c r="C180" s="73" t="s">
        <v>70</v>
      </c>
      <c r="D180" s="73" t="s">
        <v>837</v>
      </c>
      <c r="E180" s="73" t="s">
        <v>386</v>
      </c>
      <c r="F180" s="73" t="s">
        <v>378</v>
      </c>
      <c r="G180" s="72">
        <v>3.36</v>
      </c>
      <c r="H180" s="74">
        <v>6.3E-5</v>
      </c>
    </row>
    <row r="181" spans="1:8">
      <c r="A181" s="73" t="s">
        <v>876</v>
      </c>
      <c r="B181" s="73" t="s">
        <v>18</v>
      </c>
      <c r="C181" s="73" t="s">
        <v>51</v>
      </c>
      <c r="D181" s="73" t="s">
        <v>141</v>
      </c>
      <c r="E181" s="73" t="s">
        <v>386</v>
      </c>
      <c r="F181" s="73" t="s">
        <v>378</v>
      </c>
      <c r="G181" s="72">
        <v>0.97</v>
      </c>
      <c r="H181" s="74">
        <v>6.3E-5</v>
      </c>
    </row>
    <row r="182" spans="1:8">
      <c r="A182" s="73" t="s">
        <v>876</v>
      </c>
      <c r="B182" s="73" t="s">
        <v>18</v>
      </c>
      <c r="C182" s="73" t="s">
        <v>199</v>
      </c>
      <c r="D182" s="73" t="s">
        <v>20</v>
      </c>
      <c r="E182" s="73" t="s">
        <v>385</v>
      </c>
      <c r="F182" s="73" t="s">
        <v>380</v>
      </c>
      <c r="G182" s="72">
        <v>0.24</v>
      </c>
      <c r="H182" s="74">
        <v>5.5999999999999999E-5</v>
      </c>
    </row>
    <row r="183" spans="1:8">
      <c r="A183" s="73" t="s">
        <v>876</v>
      </c>
      <c r="B183" s="73" t="s">
        <v>18</v>
      </c>
      <c r="C183" s="73" t="s">
        <v>31</v>
      </c>
      <c r="D183" s="73" t="s">
        <v>20</v>
      </c>
      <c r="E183" s="73" t="s">
        <v>385</v>
      </c>
      <c r="F183" s="73" t="s">
        <v>380</v>
      </c>
      <c r="G183" s="72">
        <v>0.28000000000000003</v>
      </c>
      <c r="H183" s="74">
        <v>5.0000000000000002E-5</v>
      </c>
    </row>
    <row r="184" spans="1:8">
      <c r="A184" s="73" t="s">
        <v>876</v>
      </c>
      <c r="B184" s="73" t="s">
        <v>18</v>
      </c>
      <c r="C184" s="73" t="s">
        <v>239</v>
      </c>
      <c r="D184" s="73" t="s">
        <v>544</v>
      </c>
      <c r="E184" s="73" t="s">
        <v>386</v>
      </c>
      <c r="F184" s="73" t="s">
        <v>378</v>
      </c>
      <c r="G184" s="72">
        <v>10.6</v>
      </c>
      <c r="H184" s="74">
        <v>4.1999999999999998E-5</v>
      </c>
    </row>
    <row r="185" spans="1:8">
      <c r="A185" s="73" t="s">
        <v>876</v>
      </c>
      <c r="B185" s="73" t="s">
        <v>18</v>
      </c>
      <c r="C185" s="73" t="s">
        <v>86</v>
      </c>
      <c r="D185" s="73" t="s">
        <v>223</v>
      </c>
      <c r="E185" s="73" t="s">
        <v>386</v>
      </c>
      <c r="F185" s="73" t="s">
        <v>378</v>
      </c>
      <c r="G185" s="72">
        <v>0.22</v>
      </c>
      <c r="H185" s="74">
        <v>2.9E-5</v>
      </c>
    </row>
    <row r="186" spans="1:8">
      <c r="A186" s="73" t="s">
        <v>876</v>
      </c>
      <c r="B186" s="73" t="s">
        <v>18</v>
      </c>
      <c r="C186" s="73" t="s">
        <v>539</v>
      </c>
      <c r="D186" s="73" t="s">
        <v>545</v>
      </c>
      <c r="E186" s="73" t="s">
        <v>385</v>
      </c>
      <c r="F186" s="73" t="s">
        <v>378</v>
      </c>
      <c r="G186" s="72">
        <v>3.94</v>
      </c>
      <c r="H186" s="74">
        <v>1.9000000000000001E-5</v>
      </c>
    </row>
    <row r="187" spans="1:8">
      <c r="A187" s="73" t="s">
        <v>876</v>
      </c>
      <c r="B187" s="73" t="s">
        <v>18</v>
      </c>
      <c r="C187" s="73" t="s">
        <v>835</v>
      </c>
      <c r="D187" s="73" t="s">
        <v>20</v>
      </c>
      <c r="E187" s="73" t="s">
        <v>385</v>
      </c>
      <c r="F187" s="73" t="s">
        <v>505</v>
      </c>
      <c r="G187" s="72">
        <v>0.08</v>
      </c>
      <c r="H187" s="74">
        <v>1.7E-5</v>
      </c>
    </row>
    <row r="188" spans="1:8">
      <c r="A188" s="73" t="s">
        <v>876</v>
      </c>
      <c r="B188" s="73" t="s">
        <v>18</v>
      </c>
      <c r="C188" s="73" t="s">
        <v>495</v>
      </c>
      <c r="D188" s="73" t="s">
        <v>664</v>
      </c>
      <c r="E188" s="73" t="s">
        <v>386</v>
      </c>
      <c r="F188" s="73" t="s">
        <v>378</v>
      </c>
      <c r="G188" s="72">
        <v>5.57</v>
      </c>
      <c r="H188" s="74">
        <v>9.0000000000000002E-6</v>
      </c>
    </row>
    <row r="189" spans="1:8">
      <c r="A189" s="73" t="s">
        <v>876</v>
      </c>
      <c r="B189" s="73" t="s">
        <v>18</v>
      </c>
      <c r="C189" s="73" t="s">
        <v>490</v>
      </c>
      <c r="D189" s="73" t="s">
        <v>550</v>
      </c>
      <c r="E189" s="73" t="s">
        <v>386</v>
      </c>
      <c r="F189" s="73" t="s">
        <v>378</v>
      </c>
      <c r="G189" s="72">
        <v>3.43</v>
      </c>
      <c r="H189" s="74">
        <v>5.0000000000000004E-6</v>
      </c>
    </row>
    <row r="190" spans="1:8">
      <c r="A190" s="73" t="s">
        <v>876</v>
      </c>
      <c r="B190" s="73" t="s">
        <v>18</v>
      </c>
      <c r="C190" s="73" t="s">
        <v>502</v>
      </c>
      <c r="D190" s="73" t="s">
        <v>547</v>
      </c>
      <c r="E190" s="73" t="s">
        <v>386</v>
      </c>
      <c r="F190" s="73" t="s">
        <v>378</v>
      </c>
      <c r="G190" s="72">
        <v>0.48</v>
      </c>
      <c r="H190" s="74">
        <v>5.0000000000000004E-6</v>
      </c>
    </row>
    <row r="191" spans="1:8">
      <c r="A191" s="73" t="s">
        <v>876</v>
      </c>
      <c r="B191" s="73" t="s">
        <v>18</v>
      </c>
      <c r="C191" s="73" t="s">
        <v>506</v>
      </c>
      <c r="D191" s="73" t="s">
        <v>546</v>
      </c>
      <c r="E191" s="73" t="s">
        <v>385</v>
      </c>
      <c r="F191" s="73" t="s">
        <v>378</v>
      </c>
      <c r="G191" s="72">
        <v>0.18</v>
      </c>
      <c r="H191" s="74">
        <v>3.9999999999999998E-6</v>
      </c>
    </row>
    <row r="192" spans="1:8">
      <c r="A192" s="73" t="s">
        <v>876</v>
      </c>
      <c r="B192" s="73" t="s">
        <v>22</v>
      </c>
      <c r="C192" s="73" t="s">
        <v>35</v>
      </c>
      <c r="D192" s="73" t="s">
        <v>91</v>
      </c>
      <c r="E192" s="73" t="s">
        <v>386</v>
      </c>
      <c r="F192" s="73" t="s">
        <v>379</v>
      </c>
      <c r="G192" s="72">
        <v>1.95</v>
      </c>
      <c r="H192" s="74">
        <v>8.9257000000000003E-2</v>
      </c>
    </row>
    <row r="193" spans="1:8">
      <c r="A193" s="73" t="s">
        <v>876</v>
      </c>
      <c r="B193" s="73" t="s">
        <v>22</v>
      </c>
      <c r="C193" s="73" t="s">
        <v>21</v>
      </c>
      <c r="D193" s="73" t="s">
        <v>20</v>
      </c>
      <c r="E193" s="73" t="s">
        <v>385</v>
      </c>
      <c r="F193" s="73" t="s">
        <v>380</v>
      </c>
      <c r="G193" s="72">
        <v>0.48</v>
      </c>
      <c r="H193" s="74">
        <v>7.2702000000000003E-2</v>
      </c>
    </row>
    <row r="194" spans="1:8">
      <c r="A194" s="73" t="s">
        <v>876</v>
      </c>
      <c r="B194" s="73" t="s">
        <v>22</v>
      </c>
      <c r="C194" s="73" t="s">
        <v>27</v>
      </c>
      <c r="D194" s="73" t="s">
        <v>20</v>
      </c>
      <c r="E194" s="73" t="s">
        <v>385</v>
      </c>
      <c r="F194" s="73" t="s">
        <v>380</v>
      </c>
      <c r="G194" s="72">
        <v>0.51</v>
      </c>
      <c r="H194" s="74">
        <v>7.2641999999999998E-2</v>
      </c>
    </row>
    <row r="195" spans="1:8">
      <c r="A195" s="73" t="s">
        <v>876</v>
      </c>
      <c r="B195" s="73" t="s">
        <v>22</v>
      </c>
      <c r="C195" s="73" t="s">
        <v>421</v>
      </c>
      <c r="D195" s="73" t="s">
        <v>20</v>
      </c>
      <c r="E195" s="73" t="s">
        <v>385</v>
      </c>
      <c r="F195" s="73" t="s">
        <v>380</v>
      </c>
      <c r="G195" s="72">
        <v>0.67</v>
      </c>
      <c r="H195" s="74">
        <v>7.22E-2</v>
      </c>
    </row>
    <row r="196" spans="1:8">
      <c r="A196" s="73" t="s">
        <v>876</v>
      </c>
      <c r="B196" s="73" t="s">
        <v>22</v>
      </c>
      <c r="C196" s="73" t="s">
        <v>19</v>
      </c>
      <c r="D196" s="73" t="s">
        <v>20</v>
      </c>
      <c r="E196" s="73" t="s">
        <v>385</v>
      </c>
      <c r="F196" s="73" t="s">
        <v>380</v>
      </c>
      <c r="G196" s="72">
        <v>0.66</v>
      </c>
      <c r="H196" s="74">
        <v>6.0124999999999998E-2</v>
      </c>
    </row>
    <row r="197" spans="1:8">
      <c r="A197" s="73" t="s">
        <v>876</v>
      </c>
      <c r="B197" s="73" t="s">
        <v>22</v>
      </c>
      <c r="C197" s="73" t="s">
        <v>31</v>
      </c>
      <c r="D197" s="73" t="s">
        <v>20</v>
      </c>
      <c r="E197" s="73" t="s">
        <v>385</v>
      </c>
      <c r="F197" s="73" t="s">
        <v>380</v>
      </c>
      <c r="G197" s="72">
        <v>0.34</v>
      </c>
      <c r="H197" s="74">
        <v>4.8719999999999999E-2</v>
      </c>
    </row>
    <row r="198" spans="1:8">
      <c r="A198" s="73" t="s">
        <v>876</v>
      </c>
      <c r="B198" s="73" t="s">
        <v>22</v>
      </c>
      <c r="C198" s="73" t="s">
        <v>421</v>
      </c>
      <c r="D198" s="73" t="s">
        <v>20</v>
      </c>
      <c r="E198" s="73" t="s">
        <v>385</v>
      </c>
      <c r="F198" s="73" t="s">
        <v>380</v>
      </c>
      <c r="G198" s="72">
        <v>0.44</v>
      </c>
      <c r="H198" s="74">
        <v>4.6103999999999999E-2</v>
      </c>
    </row>
    <row r="199" spans="1:8">
      <c r="A199" s="73" t="s">
        <v>876</v>
      </c>
      <c r="B199" s="73" t="s">
        <v>22</v>
      </c>
      <c r="C199" s="73" t="s">
        <v>29</v>
      </c>
      <c r="D199" s="73" t="s">
        <v>20</v>
      </c>
      <c r="E199" s="73" t="s">
        <v>385</v>
      </c>
      <c r="F199" s="73" t="s">
        <v>380</v>
      </c>
      <c r="G199" s="72">
        <v>0.32</v>
      </c>
      <c r="H199" s="74">
        <v>4.2657E-2</v>
      </c>
    </row>
    <row r="200" spans="1:8">
      <c r="A200" s="73" t="s">
        <v>876</v>
      </c>
      <c r="B200" s="73" t="s">
        <v>22</v>
      </c>
      <c r="C200" s="73" t="s">
        <v>199</v>
      </c>
      <c r="D200" s="73" t="s">
        <v>20</v>
      </c>
      <c r="E200" s="73" t="s">
        <v>385</v>
      </c>
      <c r="F200" s="73" t="s">
        <v>380</v>
      </c>
      <c r="G200" s="72">
        <v>0.85</v>
      </c>
      <c r="H200" s="74">
        <v>4.1855999999999997E-2</v>
      </c>
    </row>
    <row r="201" spans="1:8">
      <c r="A201" s="73" t="s">
        <v>876</v>
      </c>
      <c r="B201" s="73" t="s">
        <v>22</v>
      </c>
      <c r="C201" s="73" t="s">
        <v>667</v>
      </c>
      <c r="D201" s="73" t="s">
        <v>20</v>
      </c>
      <c r="E201" s="73" t="s">
        <v>385</v>
      </c>
      <c r="F201" s="73" t="s">
        <v>380</v>
      </c>
      <c r="G201" s="72">
        <v>0.06</v>
      </c>
      <c r="H201" s="74">
        <v>3.6877E-2</v>
      </c>
    </row>
    <row r="202" spans="1:8">
      <c r="A202" s="73" t="s">
        <v>876</v>
      </c>
      <c r="B202" s="73" t="s">
        <v>22</v>
      </c>
      <c r="C202" s="73" t="s">
        <v>709</v>
      </c>
      <c r="D202" s="73" t="s">
        <v>20</v>
      </c>
      <c r="E202" s="73" t="s">
        <v>385</v>
      </c>
      <c r="F202" s="73" t="s">
        <v>380</v>
      </c>
      <c r="G202" s="72">
        <v>0.62</v>
      </c>
      <c r="H202" s="74">
        <v>3.6185000000000002E-2</v>
      </c>
    </row>
    <row r="203" spans="1:8">
      <c r="A203" s="73" t="s">
        <v>876</v>
      </c>
      <c r="B203" s="73" t="s">
        <v>22</v>
      </c>
      <c r="C203" s="73" t="s">
        <v>23</v>
      </c>
      <c r="D203" s="73" t="s">
        <v>20</v>
      </c>
      <c r="E203" s="73" t="s">
        <v>385</v>
      </c>
      <c r="F203" s="73" t="s">
        <v>380</v>
      </c>
      <c r="G203" s="72">
        <v>0.7</v>
      </c>
      <c r="H203" s="74">
        <v>3.6086E-2</v>
      </c>
    </row>
    <row r="204" spans="1:8">
      <c r="A204" s="73" t="s">
        <v>876</v>
      </c>
      <c r="B204" s="73" t="s">
        <v>22</v>
      </c>
      <c r="C204" s="73" t="s">
        <v>26</v>
      </c>
      <c r="D204" s="73" t="s">
        <v>20</v>
      </c>
      <c r="E204" s="73" t="s">
        <v>385</v>
      </c>
      <c r="F204" s="73" t="s">
        <v>380</v>
      </c>
      <c r="G204" s="72">
        <v>0.68</v>
      </c>
      <c r="H204" s="74">
        <v>3.6049999999999999E-2</v>
      </c>
    </row>
    <row r="205" spans="1:8">
      <c r="A205" s="73" t="s">
        <v>876</v>
      </c>
      <c r="B205" s="73" t="s">
        <v>22</v>
      </c>
      <c r="C205" s="73" t="s">
        <v>19</v>
      </c>
      <c r="D205" s="73" t="s">
        <v>20</v>
      </c>
      <c r="E205" s="73" t="s">
        <v>385</v>
      </c>
      <c r="F205" s="73" t="s">
        <v>380</v>
      </c>
      <c r="G205" s="72">
        <v>0.68</v>
      </c>
      <c r="H205" s="74">
        <v>3.6047000000000003E-2</v>
      </c>
    </row>
    <row r="206" spans="1:8">
      <c r="A206" s="73" t="s">
        <v>876</v>
      </c>
      <c r="B206" s="73" t="s">
        <v>22</v>
      </c>
      <c r="C206" s="73" t="s">
        <v>29</v>
      </c>
      <c r="D206" s="73" t="s">
        <v>20</v>
      </c>
      <c r="E206" s="73" t="s">
        <v>385</v>
      </c>
      <c r="F206" s="73" t="s">
        <v>380</v>
      </c>
      <c r="G206" s="72">
        <v>0.61</v>
      </c>
      <c r="H206" s="74">
        <v>3.0168E-2</v>
      </c>
    </row>
    <row r="207" spans="1:8">
      <c r="A207" s="73" t="s">
        <v>876</v>
      </c>
      <c r="B207" s="73" t="s">
        <v>22</v>
      </c>
      <c r="C207" s="73" t="s">
        <v>23</v>
      </c>
      <c r="D207" s="73" t="s">
        <v>20</v>
      </c>
      <c r="E207" s="73" t="s">
        <v>385</v>
      </c>
      <c r="F207" s="73" t="s">
        <v>380</v>
      </c>
      <c r="G207" s="72">
        <v>0.67</v>
      </c>
      <c r="H207" s="74">
        <v>2.4084999999999999E-2</v>
      </c>
    </row>
    <row r="208" spans="1:8">
      <c r="A208" s="73" t="s">
        <v>876</v>
      </c>
      <c r="B208" s="73" t="s">
        <v>22</v>
      </c>
      <c r="C208" s="73" t="s">
        <v>19</v>
      </c>
      <c r="D208" s="73" t="s">
        <v>20</v>
      </c>
      <c r="E208" s="73" t="s">
        <v>385</v>
      </c>
      <c r="F208" s="73" t="s">
        <v>380</v>
      </c>
      <c r="G208" s="72">
        <v>0.83</v>
      </c>
      <c r="H208" s="74">
        <v>2.3883999999999999E-2</v>
      </c>
    </row>
    <row r="209" spans="1:8">
      <c r="A209" s="73" t="s">
        <v>876</v>
      </c>
      <c r="B209" s="73" t="s">
        <v>22</v>
      </c>
      <c r="C209" s="73" t="s">
        <v>27</v>
      </c>
      <c r="D209" s="73" t="s">
        <v>20</v>
      </c>
      <c r="E209" s="73" t="s">
        <v>385</v>
      </c>
      <c r="F209" s="73" t="s">
        <v>380</v>
      </c>
      <c r="G209" s="72">
        <v>0.12</v>
      </c>
      <c r="H209" s="74">
        <v>1.9629000000000001E-2</v>
      </c>
    </row>
    <row r="210" spans="1:8">
      <c r="A210" s="73" t="s">
        <v>876</v>
      </c>
      <c r="B210" s="73" t="s">
        <v>22</v>
      </c>
      <c r="C210" s="73" t="s">
        <v>26</v>
      </c>
      <c r="D210" s="73" t="s">
        <v>20</v>
      </c>
      <c r="E210" s="73" t="s">
        <v>385</v>
      </c>
      <c r="F210" s="73" t="s">
        <v>380</v>
      </c>
      <c r="G210" s="72">
        <v>0.6</v>
      </c>
      <c r="H210" s="74">
        <v>1.8078E-2</v>
      </c>
    </row>
    <row r="211" spans="1:8">
      <c r="A211" s="73" t="s">
        <v>876</v>
      </c>
      <c r="B211" s="73" t="s">
        <v>22</v>
      </c>
      <c r="C211" s="73" t="s">
        <v>668</v>
      </c>
      <c r="D211" s="73" t="s">
        <v>20</v>
      </c>
      <c r="E211" s="73" t="s">
        <v>385</v>
      </c>
      <c r="F211" s="73" t="s">
        <v>380</v>
      </c>
      <c r="G211" s="72">
        <v>0.72</v>
      </c>
      <c r="H211" s="74">
        <v>1.797E-2</v>
      </c>
    </row>
    <row r="212" spans="1:8">
      <c r="A212" s="73" t="s">
        <v>876</v>
      </c>
      <c r="B212" s="73" t="s">
        <v>22</v>
      </c>
      <c r="C212" s="73" t="s">
        <v>470</v>
      </c>
      <c r="D212" s="73" t="s">
        <v>20</v>
      </c>
      <c r="E212" s="73" t="s">
        <v>385</v>
      </c>
      <c r="F212" s="73" t="s">
        <v>380</v>
      </c>
      <c r="G212" s="72">
        <v>0</v>
      </c>
      <c r="H212" s="74">
        <v>1.4777999999999999E-2</v>
      </c>
    </row>
    <row r="213" spans="1:8">
      <c r="A213" s="73" t="s">
        <v>876</v>
      </c>
      <c r="B213" s="73" t="s">
        <v>22</v>
      </c>
      <c r="C213" s="73" t="s">
        <v>199</v>
      </c>
      <c r="D213" s="73" t="s">
        <v>20</v>
      </c>
      <c r="E213" s="73" t="s">
        <v>385</v>
      </c>
      <c r="F213" s="73" t="s">
        <v>380</v>
      </c>
      <c r="G213" s="72">
        <v>0.16</v>
      </c>
      <c r="H213" s="74">
        <v>1.3483E-2</v>
      </c>
    </row>
    <row r="214" spans="1:8">
      <c r="A214" s="73" t="s">
        <v>876</v>
      </c>
      <c r="B214" s="73" t="s">
        <v>22</v>
      </c>
      <c r="C214" s="73" t="s">
        <v>29</v>
      </c>
      <c r="D214" s="73" t="s">
        <v>20</v>
      </c>
      <c r="E214" s="73" t="s">
        <v>385</v>
      </c>
      <c r="F214" s="73" t="s">
        <v>380</v>
      </c>
      <c r="G214" s="72">
        <v>0</v>
      </c>
      <c r="H214" s="74">
        <v>1.2315E-2</v>
      </c>
    </row>
    <row r="215" spans="1:8">
      <c r="A215" s="73" t="s">
        <v>876</v>
      </c>
      <c r="B215" s="73" t="s">
        <v>22</v>
      </c>
      <c r="C215" s="73" t="s">
        <v>21</v>
      </c>
      <c r="D215" s="73" t="s">
        <v>20</v>
      </c>
      <c r="E215" s="73" t="s">
        <v>385</v>
      </c>
      <c r="F215" s="73" t="s">
        <v>380</v>
      </c>
      <c r="G215" s="72">
        <v>0.08</v>
      </c>
      <c r="H215" s="74">
        <v>1.2285000000000001E-2</v>
      </c>
    </row>
    <row r="216" spans="1:8">
      <c r="A216" s="73" t="s">
        <v>876</v>
      </c>
      <c r="B216" s="73" t="s">
        <v>22</v>
      </c>
      <c r="C216" s="73" t="s">
        <v>31</v>
      </c>
      <c r="D216" s="73" t="s">
        <v>20</v>
      </c>
      <c r="E216" s="73" t="s">
        <v>385</v>
      </c>
      <c r="F216" s="73" t="s">
        <v>380</v>
      </c>
      <c r="G216" s="72">
        <v>0.09</v>
      </c>
      <c r="H216" s="74">
        <v>1.2283000000000001E-2</v>
      </c>
    </row>
    <row r="217" spans="1:8">
      <c r="A217" s="73" t="s">
        <v>876</v>
      </c>
      <c r="B217" s="73" t="s">
        <v>22</v>
      </c>
      <c r="C217" s="73" t="s">
        <v>31</v>
      </c>
      <c r="D217" s="73" t="s">
        <v>20</v>
      </c>
      <c r="E217" s="73" t="s">
        <v>385</v>
      </c>
      <c r="F217" s="73" t="s">
        <v>380</v>
      </c>
      <c r="G217" s="72">
        <v>0.23</v>
      </c>
      <c r="H217" s="74">
        <v>1.2226000000000001E-2</v>
      </c>
    </row>
    <row r="218" spans="1:8">
      <c r="A218" s="73" t="s">
        <v>876</v>
      </c>
      <c r="B218" s="73" t="s">
        <v>22</v>
      </c>
      <c r="C218" s="73" t="s">
        <v>19</v>
      </c>
      <c r="D218" s="73" t="s">
        <v>20</v>
      </c>
      <c r="E218" s="73" t="s">
        <v>385</v>
      </c>
      <c r="F218" s="73" t="s">
        <v>380</v>
      </c>
      <c r="G218" s="72">
        <v>0.51</v>
      </c>
      <c r="H218" s="74">
        <v>1.2099E-2</v>
      </c>
    </row>
    <row r="219" spans="1:8">
      <c r="A219" s="73" t="s">
        <v>876</v>
      </c>
      <c r="B219" s="73" t="s">
        <v>22</v>
      </c>
      <c r="C219" s="73" t="s">
        <v>26</v>
      </c>
      <c r="D219" s="73" t="s">
        <v>20</v>
      </c>
      <c r="E219" s="73" t="s">
        <v>385</v>
      </c>
      <c r="F219" s="73" t="s">
        <v>380</v>
      </c>
      <c r="G219" s="72">
        <v>0.64</v>
      </c>
      <c r="H219" s="74">
        <v>1.2036E-2</v>
      </c>
    </row>
    <row r="220" spans="1:8">
      <c r="A220" s="73" t="s">
        <v>876</v>
      </c>
      <c r="B220" s="73" t="s">
        <v>22</v>
      </c>
      <c r="C220" s="73" t="s">
        <v>421</v>
      </c>
      <c r="D220" s="73" t="s">
        <v>20</v>
      </c>
      <c r="E220" s="73" t="s">
        <v>385</v>
      </c>
      <c r="F220" s="73" t="s">
        <v>380</v>
      </c>
      <c r="G220" s="72">
        <v>0.7</v>
      </c>
      <c r="H220" s="74">
        <v>1.2017999999999999E-2</v>
      </c>
    </row>
    <row r="221" spans="1:8">
      <c r="A221" s="73" t="s">
        <v>876</v>
      </c>
      <c r="B221" s="73" t="s">
        <v>22</v>
      </c>
      <c r="C221" s="73" t="s">
        <v>199</v>
      </c>
      <c r="D221" s="73" t="s">
        <v>20</v>
      </c>
      <c r="E221" s="73" t="s">
        <v>385</v>
      </c>
      <c r="F221" s="73" t="s">
        <v>380</v>
      </c>
      <c r="G221" s="72">
        <v>0.18</v>
      </c>
      <c r="H221" s="74">
        <v>6.1240000000000001E-3</v>
      </c>
    </row>
    <row r="222" spans="1:8">
      <c r="A222" s="73" t="s">
        <v>876</v>
      </c>
      <c r="B222" s="73" t="s">
        <v>22</v>
      </c>
      <c r="C222" s="73" t="s">
        <v>25</v>
      </c>
      <c r="D222" s="73" t="s">
        <v>20</v>
      </c>
      <c r="E222" s="73" t="s">
        <v>385</v>
      </c>
      <c r="F222" s="73" t="s">
        <v>380</v>
      </c>
      <c r="G222" s="72">
        <v>0.28000000000000003</v>
      </c>
      <c r="H222" s="74">
        <v>6.1029999999999999E-3</v>
      </c>
    </row>
    <row r="223" spans="1:8">
      <c r="A223" s="73" t="s">
        <v>876</v>
      </c>
      <c r="B223" s="73" t="s">
        <v>22</v>
      </c>
      <c r="C223" s="73" t="s">
        <v>199</v>
      </c>
      <c r="D223" s="73" t="s">
        <v>20</v>
      </c>
      <c r="E223" s="73" t="s">
        <v>385</v>
      </c>
      <c r="F223" s="73" t="s">
        <v>380</v>
      </c>
      <c r="G223" s="72">
        <v>0.41</v>
      </c>
      <c r="H223" s="74">
        <v>6.0790000000000002E-3</v>
      </c>
    </row>
    <row r="224" spans="1:8">
      <c r="A224" s="73" t="s">
        <v>876</v>
      </c>
      <c r="B224" s="73" t="s">
        <v>22</v>
      </c>
      <c r="C224" s="73" t="s">
        <v>31</v>
      </c>
      <c r="D224" s="73" t="s">
        <v>20</v>
      </c>
      <c r="E224" s="73" t="s">
        <v>385</v>
      </c>
      <c r="F224" s="73" t="s">
        <v>380</v>
      </c>
      <c r="G224" s="72">
        <v>0.41</v>
      </c>
      <c r="H224" s="74">
        <v>6.0759999999999998E-3</v>
      </c>
    </row>
    <row r="225" spans="1:8">
      <c r="A225" s="73" t="s">
        <v>876</v>
      </c>
      <c r="B225" s="73" t="s">
        <v>22</v>
      </c>
      <c r="C225" s="73" t="s">
        <v>199</v>
      </c>
      <c r="D225" s="73" t="s">
        <v>20</v>
      </c>
      <c r="E225" s="73" t="s">
        <v>385</v>
      </c>
      <c r="F225" s="73" t="s">
        <v>380</v>
      </c>
      <c r="G225" s="72">
        <v>0.24</v>
      </c>
      <c r="H225" s="74">
        <v>7.5900000000000002E-4</v>
      </c>
    </row>
    <row r="226" spans="1:8">
      <c r="A226" s="73" t="s">
        <v>876</v>
      </c>
      <c r="B226" s="73" t="s">
        <v>28</v>
      </c>
      <c r="C226" s="73" t="s">
        <v>35</v>
      </c>
      <c r="D226" s="73" t="s">
        <v>91</v>
      </c>
      <c r="E226" s="73" t="s">
        <v>386</v>
      </c>
      <c r="F226" s="73" t="s">
        <v>379</v>
      </c>
      <c r="G226" s="72">
        <v>1.95</v>
      </c>
      <c r="H226" s="74">
        <v>0.14765600000000001</v>
      </c>
    </row>
    <row r="227" spans="1:8">
      <c r="A227" s="73" t="s">
        <v>876</v>
      </c>
      <c r="B227" s="73" t="s">
        <v>28</v>
      </c>
      <c r="C227" s="73" t="s">
        <v>199</v>
      </c>
      <c r="D227" s="73" t="s">
        <v>20</v>
      </c>
      <c r="E227" s="73" t="s">
        <v>385</v>
      </c>
      <c r="F227" s="73" t="s">
        <v>380</v>
      </c>
      <c r="G227" s="72">
        <v>0.7</v>
      </c>
      <c r="H227" s="74">
        <v>9.9541000000000004E-2</v>
      </c>
    </row>
    <row r="228" spans="1:8">
      <c r="A228" s="73" t="s">
        <v>876</v>
      </c>
      <c r="B228" s="73" t="s">
        <v>28</v>
      </c>
      <c r="C228" s="73" t="s">
        <v>25</v>
      </c>
      <c r="D228" s="73" t="s">
        <v>20</v>
      </c>
      <c r="E228" s="73" t="s">
        <v>385</v>
      </c>
      <c r="F228" s="73" t="s">
        <v>380</v>
      </c>
      <c r="G228" s="72">
        <v>0.12</v>
      </c>
      <c r="H228" s="74">
        <v>9.7716999999999998E-2</v>
      </c>
    </row>
    <row r="229" spans="1:8">
      <c r="A229" s="73" t="s">
        <v>876</v>
      </c>
      <c r="B229" s="73" t="s">
        <v>28</v>
      </c>
      <c r="C229" s="73" t="s">
        <v>26</v>
      </c>
      <c r="D229" s="73" t="s">
        <v>20</v>
      </c>
      <c r="E229" s="73" t="s">
        <v>385</v>
      </c>
      <c r="F229" s="73" t="s">
        <v>380</v>
      </c>
      <c r="G229" s="72">
        <v>0.6</v>
      </c>
      <c r="H229" s="74">
        <v>8.1597000000000003E-2</v>
      </c>
    </row>
    <row r="230" spans="1:8">
      <c r="A230" s="73" t="s">
        <v>876</v>
      </c>
      <c r="B230" s="73" t="s">
        <v>28</v>
      </c>
      <c r="C230" s="73" t="s">
        <v>31</v>
      </c>
      <c r="D230" s="73" t="s">
        <v>20</v>
      </c>
      <c r="E230" s="73" t="s">
        <v>385</v>
      </c>
      <c r="F230" s="73" t="s">
        <v>380</v>
      </c>
      <c r="G230" s="72">
        <v>0.41</v>
      </c>
      <c r="H230" s="74">
        <v>4.8396000000000002E-2</v>
      </c>
    </row>
    <row r="231" spans="1:8">
      <c r="A231" s="73" t="s">
        <v>876</v>
      </c>
      <c r="B231" s="73" t="s">
        <v>28</v>
      </c>
      <c r="C231" s="73" t="s">
        <v>421</v>
      </c>
      <c r="D231" s="73" t="s">
        <v>20</v>
      </c>
      <c r="E231" s="73" t="s">
        <v>385</v>
      </c>
      <c r="F231" s="73" t="s">
        <v>380</v>
      </c>
      <c r="G231" s="72">
        <v>0.45</v>
      </c>
      <c r="H231" s="74">
        <v>4.8314000000000003E-2</v>
      </c>
    </row>
    <row r="232" spans="1:8">
      <c r="A232" s="73" t="s">
        <v>876</v>
      </c>
      <c r="B232" s="73" t="s">
        <v>28</v>
      </c>
      <c r="C232" s="73" t="s">
        <v>23</v>
      </c>
      <c r="D232" s="73" t="s">
        <v>20</v>
      </c>
      <c r="E232" s="73" t="s">
        <v>385</v>
      </c>
      <c r="F232" s="73" t="s">
        <v>380</v>
      </c>
      <c r="G232" s="72">
        <v>0.47</v>
      </c>
      <c r="H232" s="74">
        <v>4.3478999999999997E-2</v>
      </c>
    </row>
    <row r="233" spans="1:8">
      <c r="A233" s="73" t="s">
        <v>876</v>
      </c>
      <c r="B233" s="73" t="s">
        <v>28</v>
      </c>
      <c r="C233" s="73" t="s">
        <v>116</v>
      </c>
      <c r="D233" s="73" t="s">
        <v>117</v>
      </c>
      <c r="E233" s="73" t="s">
        <v>385</v>
      </c>
      <c r="F233" s="73" t="s">
        <v>378</v>
      </c>
      <c r="G233" s="72">
        <v>1.44</v>
      </c>
      <c r="H233" s="74">
        <v>4.3462000000000001E-2</v>
      </c>
    </row>
    <row r="234" spans="1:8">
      <c r="A234" s="73" t="s">
        <v>876</v>
      </c>
      <c r="B234" s="73" t="s">
        <v>28</v>
      </c>
      <c r="C234" s="73" t="s">
        <v>19</v>
      </c>
      <c r="D234" s="73" t="s">
        <v>20</v>
      </c>
      <c r="E234" s="73" t="s">
        <v>385</v>
      </c>
      <c r="F234" s="73" t="s">
        <v>380</v>
      </c>
      <c r="G234" s="72">
        <v>0.66</v>
      </c>
      <c r="H234" s="74">
        <v>2.8733999999999999E-2</v>
      </c>
    </row>
    <row r="235" spans="1:8">
      <c r="A235" s="73" t="s">
        <v>876</v>
      </c>
      <c r="B235" s="73" t="s">
        <v>28</v>
      </c>
      <c r="C235" s="73" t="s">
        <v>19</v>
      </c>
      <c r="D235" s="73" t="s">
        <v>20</v>
      </c>
      <c r="E235" s="73" t="s">
        <v>385</v>
      </c>
      <c r="F235" s="73" t="s">
        <v>380</v>
      </c>
      <c r="G235" s="72">
        <v>0.68</v>
      </c>
      <c r="H235" s="74">
        <v>2.8711E-2</v>
      </c>
    </row>
    <row r="236" spans="1:8">
      <c r="A236" s="73" t="s">
        <v>876</v>
      </c>
      <c r="B236" s="73" t="s">
        <v>28</v>
      </c>
      <c r="C236" s="73" t="s">
        <v>541</v>
      </c>
      <c r="D236" s="73" t="s">
        <v>20</v>
      </c>
      <c r="E236" s="73" t="s">
        <v>385</v>
      </c>
      <c r="F236" s="73" t="s">
        <v>380</v>
      </c>
      <c r="G236" s="72">
        <v>0.05</v>
      </c>
      <c r="H236" s="74">
        <v>2.7127999999999999E-2</v>
      </c>
    </row>
    <row r="237" spans="1:8">
      <c r="A237" s="73" t="s">
        <v>876</v>
      </c>
      <c r="B237" s="73" t="s">
        <v>28</v>
      </c>
      <c r="C237" s="73" t="s">
        <v>23</v>
      </c>
      <c r="D237" s="73" t="s">
        <v>20</v>
      </c>
      <c r="E237" s="73" t="s">
        <v>385</v>
      </c>
      <c r="F237" s="73" t="s">
        <v>380</v>
      </c>
      <c r="G237" s="72">
        <v>0.42</v>
      </c>
      <c r="H237" s="74">
        <v>2.4187E-2</v>
      </c>
    </row>
    <row r="238" spans="1:8">
      <c r="A238" s="73" t="s">
        <v>876</v>
      </c>
      <c r="B238" s="73" t="s">
        <v>28</v>
      </c>
      <c r="C238" s="73" t="s">
        <v>21</v>
      </c>
      <c r="D238" s="73" t="s">
        <v>20</v>
      </c>
      <c r="E238" s="73" t="s">
        <v>385</v>
      </c>
      <c r="F238" s="73" t="s">
        <v>380</v>
      </c>
      <c r="G238" s="72">
        <v>0.48</v>
      </c>
      <c r="H238" s="74">
        <v>1.9302E-2</v>
      </c>
    </row>
    <row r="239" spans="1:8">
      <c r="A239" s="73" t="s">
        <v>876</v>
      </c>
      <c r="B239" s="73" t="s">
        <v>28</v>
      </c>
      <c r="C239" s="73" t="s">
        <v>19</v>
      </c>
      <c r="D239" s="73" t="s">
        <v>20</v>
      </c>
      <c r="E239" s="73" t="s">
        <v>385</v>
      </c>
      <c r="F239" s="73" t="s">
        <v>380</v>
      </c>
      <c r="G239" s="72">
        <v>0.51</v>
      </c>
      <c r="H239" s="74">
        <v>1.9275E-2</v>
      </c>
    </row>
    <row r="240" spans="1:8">
      <c r="A240" s="73" t="s">
        <v>876</v>
      </c>
      <c r="B240" s="73" t="s">
        <v>28</v>
      </c>
      <c r="C240" s="73" t="s">
        <v>709</v>
      </c>
      <c r="D240" s="73" t="s">
        <v>20</v>
      </c>
      <c r="E240" s="73" t="s">
        <v>385</v>
      </c>
      <c r="F240" s="73" t="s">
        <v>380</v>
      </c>
      <c r="G240" s="72">
        <v>0.62</v>
      </c>
      <c r="H240" s="74">
        <v>1.9213999999999998E-2</v>
      </c>
    </row>
    <row r="241" spans="1:8">
      <c r="A241" s="73" t="s">
        <v>876</v>
      </c>
      <c r="B241" s="73" t="s">
        <v>28</v>
      </c>
      <c r="C241" s="73" t="s">
        <v>23</v>
      </c>
      <c r="D241" s="73" t="s">
        <v>20</v>
      </c>
      <c r="E241" s="73" t="s">
        <v>385</v>
      </c>
      <c r="F241" s="73" t="s">
        <v>380</v>
      </c>
      <c r="G241" s="72">
        <v>0.67</v>
      </c>
      <c r="H241" s="74">
        <v>1.9184E-2</v>
      </c>
    </row>
    <row r="242" spans="1:8">
      <c r="A242" s="73" t="s">
        <v>876</v>
      </c>
      <c r="B242" s="73" t="s">
        <v>28</v>
      </c>
      <c r="C242" s="73" t="s">
        <v>421</v>
      </c>
      <c r="D242" s="73" t="s">
        <v>20</v>
      </c>
      <c r="E242" s="73" t="s">
        <v>385</v>
      </c>
      <c r="F242" s="73" t="s">
        <v>380</v>
      </c>
      <c r="G242" s="72">
        <v>0.72</v>
      </c>
      <c r="H242" s="74">
        <v>1.9136E-2</v>
      </c>
    </row>
    <row r="243" spans="1:8">
      <c r="A243" s="73" t="s">
        <v>876</v>
      </c>
      <c r="B243" s="73" t="s">
        <v>28</v>
      </c>
      <c r="C243" s="73" t="s">
        <v>19</v>
      </c>
      <c r="D243" s="73" t="s">
        <v>20</v>
      </c>
      <c r="E243" s="73" t="s">
        <v>385</v>
      </c>
      <c r="F243" s="73" t="s">
        <v>380</v>
      </c>
      <c r="G243" s="72">
        <v>0.83</v>
      </c>
      <c r="H243" s="74">
        <v>1.9023999999999999E-2</v>
      </c>
    </row>
    <row r="244" spans="1:8">
      <c r="A244" s="73" t="s">
        <v>876</v>
      </c>
      <c r="B244" s="73" t="s">
        <v>28</v>
      </c>
      <c r="C244" s="73" t="s">
        <v>23</v>
      </c>
      <c r="D244" s="73" t="s">
        <v>20</v>
      </c>
      <c r="E244" s="73" t="s">
        <v>385</v>
      </c>
      <c r="F244" s="73" t="s">
        <v>380</v>
      </c>
      <c r="G244" s="72">
        <v>0.72</v>
      </c>
      <c r="H244" s="74">
        <v>1.6154999999999999E-2</v>
      </c>
    </row>
    <row r="245" spans="1:8">
      <c r="A245" s="73" t="s">
        <v>876</v>
      </c>
      <c r="B245" s="73" t="s">
        <v>28</v>
      </c>
      <c r="C245" s="73" t="s">
        <v>625</v>
      </c>
      <c r="D245" s="73" t="s">
        <v>20</v>
      </c>
      <c r="E245" s="73" t="s">
        <v>385</v>
      </c>
      <c r="F245" s="73" t="s">
        <v>380</v>
      </c>
      <c r="G245" s="72">
        <v>0</v>
      </c>
      <c r="H245" s="74">
        <v>1.4713E-2</v>
      </c>
    </row>
    <row r="246" spans="1:8">
      <c r="A246" s="73" t="s">
        <v>876</v>
      </c>
      <c r="B246" s="73" t="s">
        <v>28</v>
      </c>
      <c r="C246" s="73" t="s">
        <v>199</v>
      </c>
      <c r="D246" s="73" t="s">
        <v>20</v>
      </c>
      <c r="E246" s="73" t="s">
        <v>385</v>
      </c>
      <c r="F246" s="73" t="s">
        <v>380</v>
      </c>
      <c r="G246" s="72">
        <v>0.41</v>
      </c>
      <c r="H246" s="74">
        <v>1.4525E-2</v>
      </c>
    </row>
    <row r="247" spans="1:8">
      <c r="A247" s="73" t="s">
        <v>876</v>
      </c>
      <c r="B247" s="73" t="s">
        <v>28</v>
      </c>
      <c r="C247" s="73" t="s">
        <v>421</v>
      </c>
      <c r="D247" s="73" t="s">
        <v>20</v>
      </c>
      <c r="E247" s="73" t="s">
        <v>385</v>
      </c>
      <c r="F247" s="73" t="s">
        <v>380</v>
      </c>
      <c r="G247" s="72">
        <v>0.44</v>
      </c>
      <c r="H247" s="74">
        <v>1.4494999999999999E-2</v>
      </c>
    </row>
    <row r="248" spans="1:8">
      <c r="A248" s="73" t="s">
        <v>876</v>
      </c>
      <c r="B248" s="73" t="s">
        <v>28</v>
      </c>
      <c r="C248" s="73" t="s">
        <v>668</v>
      </c>
      <c r="D248" s="73" t="s">
        <v>20</v>
      </c>
      <c r="E248" s="73" t="s">
        <v>385</v>
      </c>
      <c r="F248" s="73" t="s">
        <v>380</v>
      </c>
      <c r="G248" s="72">
        <v>0.72</v>
      </c>
      <c r="H248" s="74">
        <v>1.4312999999999999E-2</v>
      </c>
    </row>
    <row r="249" spans="1:8">
      <c r="A249" s="73" t="s">
        <v>876</v>
      </c>
      <c r="B249" s="73" t="s">
        <v>28</v>
      </c>
      <c r="C249" s="73" t="s">
        <v>199</v>
      </c>
      <c r="D249" s="73" t="s">
        <v>20</v>
      </c>
      <c r="E249" s="73" t="s">
        <v>385</v>
      </c>
      <c r="F249" s="73" t="s">
        <v>380</v>
      </c>
      <c r="G249" s="72">
        <v>0.85</v>
      </c>
      <c r="H249" s="74">
        <v>1.4288E-2</v>
      </c>
    </row>
    <row r="250" spans="1:8">
      <c r="A250" s="73" t="s">
        <v>876</v>
      </c>
      <c r="B250" s="73" t="s">
        <v>28</v>
      </c>
      <c r="C250" s="73" t="s">
        <v>19</v>
      </c>
      <c r="D250" s="73" t="s">
        <v>20</v>
      </c>
      <c r="E250" s="73" t="s">
        <v>385</v>
      </c>
      <c r="F250" s="73" t="s">
        <v>380</v>
      </c>
      <c r="G250" s="72">
        <v>0.3</v>
      </c>
      <c r="H250" s="74">
        <v>9.7109999999999991E-3</v>
      </c>
    </row>
    <row r="251" spans="1:8">
      <c r="A251" s="73" t="s">
        <v>876</v>
      </c>
      <c r="B251" s="73" t="s">
        <v>28</v>
      </c>
      <c r="C251" s="73" t="s">
        <v>29</v>
      </c>
      <c r="D251" s="73" t="s">
        <v>20</v>
      </c>
      <c r="E251" s="73" t="s">
        <v>385</v>
      </c>
      <c r="F251" s="73" t="s">
        <v>380</v>
      </c>
      <c r="G251" s="72">
        <v>0.32</v>
      </c>
      <c r="H251" s="74">
        <v>9.7070000000000004E-3</v>
      </c>
    </row>
    <row r="252" spans="1:8">
      <c r="A252" s="73" t="s">
        <v>876</v>
      </c>
      <c r="B252" s="73" t="s">
        <v>28</v>
      </c>
      <c r="C252" s="73" t="s">
        <v>29</v>
      </c>
      <c r="D252" s="73" t="s">
        <v>20</v>
      </c>
      <c r="E252" s="73" t="s">
        <v>385</v>
      </c>
      <c r="F252" s="73" t="s">
        <v>380</v>
      </c>
      <c r="G252" s="72">
        <v>0.62</v>
      </c>
      <c r="H252" s="74">
        <v>9.6080000000000002E-3</v>
      </c>
    </row>
    <row r="253" spans="1:8">
      <c r="A253" s="73" t="s">
        <v>876</v>
      </c>
      <c r="B253" s="73" t="s">
        <v>28</v>
      </c>
      <c r="C253" s="73" t="s">
        <v>122</v>
      </c>
      <c r="D253" s="73" t="s">
        <v>123</v>
      </c>
      <c r="E253" s="73" t="s">
        <v>386</v>
      </c>
      <c r="F253" s="73" t="s">
        <v>379</v>
      </c>
      <c r="G253" s="72">
        <v>3.17</v>
      </c>
      <c r="H253" s="74">
        <v>6.0060000000000001E-3</v>
      </c>
    </row>
    <row r="254" spans="1:8">
      <c r="A254" s="73" t="s">
        <v>876</v>
      </c>
      <c r="B254" s="73" t="s">
        <v>28</v>
      </c>
      <c r="C254" s="73" t="s">
        <v>119</v>
      </c>
      <c r="D254" s="73" t="s">
        <v>120</v>
      </c>
      <c r="E254" s="73" t="s">
        <v>386</v>
      </c>
      <c r="F254" s="73" t="s">
        <v>378</v>
      </c>
      <c r="G254" s="72">
        <v>1.74</v>
      </c>
      <c r="H254" s="74">
        <v>5.5789999999999998E-3</v>
      </c>
    </row>
    <row r="255" spans="1:8">
      <c r="A255" s="73" t="s">
        <v>876</v>
      </c>
      <c r="B255" s="73" t="s">
        <v>28</v>
      </c>
      <c r="C255" s="73" t="s">
        <v>21</v>
      </c>
      <c r="D255" s="73" t="s">
        <v>20</v>
      </c>
      <c r="E255" s="73" t="s">
        <v>385</v>
      </c>
      <c r="F255" s="73" t="s">
        <v>380</v>
      </c>
      <c r="G255" s="72">
        <v>0.01</v>
      </c>
      <c r="H255" s="74">
        <v>4.9040000000000004E-3</v>
      </c>
    </row>
    <row r="256" spans="1:8">
      <c r="A256" s="73" t="s">
        <v>876</v>
      </c>
      <c r="B256" s="73" t="s">
        <v>28</v>
      </c>
      <c r="C256" s="73" t="s">
        <v>25</v>
      </c>
      <c r="D256" s="73" t="s">
        <v>20</v>
      </c>
      <c r="E256" s="73" t="s">
        <v>385</v>
      </c>
      <c r="F256" s="73" t="s">
        <v>380</v>
      </c>
      <c r="G256" s="72">
        <v>0.04</v>
      </c>
      <c r="H256" s="74">
        <v>4.8979999999999996E-3</v>
      </c>
    </row>
    <row r="257" spans="1:8">
      <c r="A257" s="73" t="s">
        <v>876</v>
      </c>
      <c r="B257" s="73" t="s">
        <v>28</v>
      </c>
      <c r="C257" s="73" t="s">
        <v>19</v>
      </c>
      <c r="D257" s="73" t="s">
        <v>20</v>
      </c>
      <c r="E257" s="73" t="s">
        <v>385</v>
      </c>
      <c r="F257" s="73" t="s">
        <v>380</v>
      </c>
      <c r="G257" s="72">
        <v>7.0000000000000007E-2</v>
      </c>
      <c r="H257" s="74">
        <v>4.895E-3</v>
      </c>
    </row>
    <row r="258" spans="1:8">
      <c r="A258" s="73" t="s">
        <v>876</v>
      </c>
      <c r="B258" s="73" t="s">
        <v>28</v>
      </c>
      <c r="C258" s="73" t="s">
        <v>31</v>
      </c>
      <c r="D258" s="73" t="s">
        <v>20</v>
      </c>
      <c r="E258" s="73" t="s">
        <v>385</v>
      </c>
      <c r="F258" s="73" t="s">
        <v>380</v>
      </c>
      <c r="G258" s="72">
        <v>0.08</v>
      </c>
      <c r="H258" s="74">
        <v>4.8929999999999998E-3</v>
      </c>
    </row>
    <row r="259" spans="1:8">
      <c r="A259" s="73" t="s">
        <v>876</v>
      </c>
      <c r="B259" s="73" t="s">
        <v>28</v>
      </c>
      <c r="C259" s="73" t="s">
        <v>199</v>
      </c>
      <c r="D259" s="73" t="s">
        <v>20</v>
      </c>
      <c r="E259" s="73" t="s">
        <v>385</v>
      </c>
      <c r="F259" s="73" t="s">
        <v>380</v>
      </c>
      <c r="G259" s="72">
        <v>0.18</v>
      </c>
      <c r="H259" s="74">
        <v>4.8780000000000004E-3</v>
      </c>
    </row>
    <row r="260" spans="1:8">
      <c r="A260" s="73" t="s">
        <v>876</v>
      </c>
      <c r="B260" s="73" t="s">
        <v>28</v>
      </c>
      <c r="C260" s="73" t="s">
        <v>23</v>
      </c>
      <c r="D260" s="73" t="s">
        <v>20</v>
      </c>
      <c r="E260" s="73" t="s">
        <v>385</v>
      </c>
      <c r="F260" s="73" t="s">
        <v>380</v>
      </c>
      <c r="G260" s="72">
        <v>0.19</v>
      </c>
      <c r="H260" s="74">
        <v>4.8739999999999999E-3</v>
      </c>
    </row>
    <row r="261" spans="1:8">
      <c r="A261" s="73" t="s">
        <v>876</v>
      </c>
      <c r="B261" s="73" t="s">
        <v>28</v>
      </c>
      <c r="C261" s="73" t="s">
        <v>421</v>
      </c>
      <c r="D261" s="73" t="s">
        <v>20</v>
      </c>
      <c r="E261" s="73" t="s">
        <v>385</v>
      </c>
      <c r="F261" s="73" t="s">
        <v>380</v>
      </c>
      <c r="G261" s="72">
        <v>0.72</v>
      </c>
      <c r="H261" s="74">
        <v>4.7790000000000003E-3</v>
      </c>
    </row>
    <row r="262" spans="1:8">
      <c r="A262" s="73" t="s">
        <v>876</v>
      </c>
      <c r="B262" s="73" t="s">
        <v>28</v>
      </c>
      <c r="C262" s="73" t="s">
        <v>122</v>
      </c>
      <c r="D262" s="73" t="s">
        <v>125</v>
      </c>
      <c r="E262" s="73" t="s">
        <v>386</v>
      </c>
      <c r="F262" s="73" t="s">
        <v>379</v>
      </c>
      <c r="G262" s="72">
        <v>5.03</v>
      </c>
      <c r="H262" s="74">
        <v>1.9559999999999998E-3</v>
      </c>
    </row>
    <row r="263" spans="1:8">
      <c r="A263" s="73" t="s">
        <v>876</v>
      </c>
      <c r="B263" s="73" t="s">
        <v>28</v>
      </c>
      <c r="C263" s="73" t="s">
        <v>122</v>
      </c>
      <c r="D263" s="73" t="s">
        <v>127</v>
      </c>
      <c r="E263" s="73" t="s">
        <v>386</v>
      </c>
      <c r="F263" s="73" t="s">
        <v>379</v>
      </c>
      <c r="G263" s="72">
        <v>4.68</v>
      </c>
      <c r="H263" s="74">
        <v>5.4900000000000001E-4</v>
      </c>
    </row>
    <row r="264" spans="1:8">
      <c r="A264" s="73" t="s">
        <v>876</v>
      </c>
      <c r="B264" s="73" t="s">
        <v>28</v>
      </c>
      <c r="C264" s="73" t="s">
        <v>122</v>
      </c>
      <c r="D264" s="73" t="s">
        <v>129</v>
      </c>
      <c r="E264" s="73" t="s">
        <v>386</v>
      </c>
      <c r="F264" s="73" t="s">
        <v>379</v>
      </c>
      <c r="G264" s="72">
        <v>3.29</v>
      </c>
      <c r="H264" s="74">
        <v>1.9699999999999999E-4</v>
      </c>
    </row>
    <row r="265" spans="1:8">
      <c r="A265" s="73" t="s">
        <v>876</v>
      </c>
      <c r="B265" s="73" t="s">
        <v>28</v>
      </c>
      <c r="C265" s="73" t="s">
        <v>131</v>
      </c>
      <c r="D265" s="73" t="s">
        <v>132</v>
      </c>
      <c r="E265" s="73" t="s">
        <v>386</v>
      </c>
      <c r="F265" s="73" t="s">
        <v>379</v>
      </c>
      <c r="G265" s="72">
        <v>0.98</v>
      </c>
      <c r="H265" s="74">
        <v>9.9999999999999995E-7</v>
      </c>
    </row>
    <row r="266" spans="1:8">
      <c r="A266" s="73" t="s">
        <v>876</v>
      </c>
      <c r="B266" s="73" t="s">
        <v>30</v>
      </c>
      <c r="C266" s="73" t="s">
        <v>35</v>
      </c>
      <c r="D266" s="73" t="s">
        <v>91</v>
      </c>
      <c r="E266" s="73" t="s">
        <v>386</v>
      </c>
      <c r="F266" s="73" t="s">
        <v>379</v>
      </c>
      <c r="G266" s="72">
        <v>1.95</v>
      </c>
      <c r="H266" s="74">
        <v>0.148119</v>
      </c>
    </row>
    <row r="267" spans="1:8">
      <c r="A267" s="73" t="s">
        <v>876</v>
      </c>
      <c r="B267" s="73" t="s">
        <v>30</v>
      </c>
      <c r="C267" s="73" t="s">
        <v>35</v>
      </c>
      <c r="D267" s="73" t="s">
        <v>36</v>
      </c>
      <c r="E267" s="73" t="s">
        <v>386</v>
      </c>
      <c r="F267" s="73" t="s">
        <v>379</v>
      </c>
      <c r="G267" s="72">
        <v>6.6500000000000012</v>
      </c>
      <c r="H267" s="74">
        <v>3.2379999999999999E-2</v>
      </c>
    </row>
    <row r="268" spans="1:8">
      <c r="A268" s="73" t="s">
        <v>876</v>
      </c>
      <c r="B268" s="73" t="s">
        <v>30</v>
      </c>
      <c r="C268" s="73" t="s">
        <v>207</v>
      </c>
      <c r="D268" s="73" t="s">
        <v>208</v>
      </c>
      <c r="E268" s="73" t="s">
        <v>386</v>
      </c>
      <c r="F268" s="73" t="s">
        <v>378</v>
      </c>
      <c r="G268" s="72">
        <v>2.29</v>
      </c>
      <c r="H268" s="74">
        <v>2.4086E-2</v>
      </c>
    </row>
    <row r="269" spans="1:8">
      <c r="A269" s="73" t="s">
        <v>876</v>
      </c>
      <c r="B269" s="73" t="s">
        <v>30</v>
      </c>
      <c r="C269" s="73" t="s">
        <v>564</v>
      </c>
      <c r="D269" s="73" t="s">
        <v>565</v>
      </c>
      <c r="E269" s="73" t="s">
        <v>386</v>
      </c>
      <c r="F269" s="73" t="s">
        <v>378</v>
      </c>
      <c r="G269" s="72">
        <v>4.74</v>
      </c>
      <c r="H269" s="74">
        <v>1.8485999999999999E-2</v>
      </c>
    </row>
    <row r="270" spans="1:8">
      <c r="A270" s="73" t="s">
        <v>876</v>
      </c>
      <c r="B270" s="73" t="s">
        <v>30</v>
      </c>
      <c r="C270" s="73" t="s">
        <v>75</v>
      </c>
      <c r="D270" s="73" t="s">
        <v>761</v>
      </c>
      <c r="E270" s="73" t="s">
        <v>386</v>
      </c>
      <c r="F270" s="73" t="s">
        <v>378</v>
      </c>
      <c r="G270" s="72">
        <v>4.4000000000000004</v>
      </c>
      <c r="H270" s="74">
        <v>1.7610000000000001E-2</v>
      </c>
    </row>
    <row r="271" spans="1:8">
      <c r="A271" s="73" t="s">
        <v>876</v>
      </c>
      <c r="B271" s="73" t="s">
        <v>30</v>
      </c>
      <c r="C271" s="73" t="s">
        <v>64</v>
      </c>
      <c r="D271" s="73" t="s">
        <v>65</v>
      </c>
      <c r="E271" s="73" t="s">
        <v>386</v>
      </c>
      <c r="F271" s="73" t="s">
        <v>378</v>
      </c>
      <c r="G271" s="72">
        <v>5</v>
      </c>
      <c r="H271" s="74">
        <v>1.7381000000000001E-2</v>
      </c>
    </row>
    <row r="272" spans="1:8">
      <c r="A272" s="73" t="s">
        <v>876</v>
      </c>
      <c r="B272" s="73" t="s">
        <v>30</v>
      </c>
      <c r="C272" s="73" t="s">
        <v>530</v>
      </c>
      <c r="D272" s="73" t="s">
        <v>531</v>
      </c>
      <c r="E272" s="73" t="s">
        <v>386</v>
      </c>
      <c r="F272" s="73" t="s">
        <v>378</v>
      </c>
      <c r="G272" s="72">
        <v>6.64</v>
      </c>
      <c r="H272" s="74">
        <v>1.7356E-2</v>
      </c>
    </row>
    <row r="273" spans="1:8">
      <c r="A273" s="73" t="s">
        <v>876</v>
      </c>
      <c r="B273" s="73" t="s">
        <v>30</v>
      </c>
      <c r="C273" s="73" t="s">
        <v>506</v>
      </c>
      <c r="D273" s="73" t="s">
        <v>620</v>
      </c>
      <c r="E273" s="73" t="s">
        <v>386</v>
      </c>
      <c r="F273" s="73" t="s">
        <v>378</v>
      </c>
      <c r="G273" s="72">
        <v>4.05</v>
      </c>
      <c r="H273" s="74">
        <v>1.6872000000000002E-2</v>
      </c>
    </row>
    <row r="274" spans="1:8">
      <c r="A274" s="73" t="s">
        <v>876</v>
      </c>
      <c r="B274" s="73" t="s">
        <v>30</v>
      </c>
      <c r="C274" s="73" t="s">
        <v>54</v>
      </c>
      <c r="D274" s="73" t="s">
        <v>751</v>
      </c>
      <c r="E274" s="73" t="s">
        <v>386</v>
      </c>
      <c r="F274" s="73" t="s">
        <v>378</v>
      </c>
      <c r="G274" s="72">
        <v>1.29</v>
      </c>
      <c r="H274" s="74">
        <v>1.6295E-2</v>
      </c>
    </row>
    <row r="275" spans="1:8">
      <c r="A275" s="73" t="s">
        <v>876</v>
      </c>
      <c r="B275" s="73" t="s">
        <v>30</v>
      </c>
      <c r="C275" s="73" t="s">
        <v>81</v>
      </c>
      <c r="D275" s="73" t="s">
        <v>156</v>
      </c>
      <c r="E275" s="73" t="s">
        <v>386</v>
      </c>
      <c r="F275" s="73" t="s">
        <v>378</v>
      </c>
      <c r="G275" s="72">
        <v>2.34</v>
      </c>
      <c r="H275" s="74">
        <v>1.5587E-2</v>
      </c>
    </row>
    <row r="276" spans="1:8">
      <c r="A276" s="73" t="s">
        <v>876</v>
      </c>
      <c r="B276" s="73" t="s">
        <v>30</v>
      </c>
      <c r="C276" s="73" t="s">
        <v>50</v>
      </c>
      <c r="D276" s="73" t="s">
        <v>240</v>
      </c>
      <c r="E276" s="73" t="s">
        <v>386</v>
      </c>
      <c r="F276" s="73" t="s">
        <v>378</v>
      </c>
      <c r="G276" s="72">
        <v>1.21</v>
      </c>
      <c r="H276" s="74">
        <v>1.5395000000000001E-2</v>
      </c>
    </row>
    <row r="277" spans="1:8">
      <c r="A277" s="73" t="s">
        <v>876</v>
      </c>
      <c r="B277" s="73" t="s">
        <v>30</v>
      </c>
      <c r="C277" s="73" t="s">
        <v>424</v>
      </c>
      <c r="D277" s="73" t="s">
        <v>445</v>
      </c>
      <c r="E277" s="73" t="s">
        <v>386</v>
      </c>
      <c r="F277" s="73" t="s">
        <v>378</v>
      </c>
      <c r="G277" s="72">
        <v>3.63</v>
      </c>
      <c r="H277" s="74">
        <v>1.5172E-2</v>
      </c>
    </row>
    <row r="278" spans="1:8">
      <c r="A278" s="73" t="s">
        <v>876</v>
      </c>
      <c r="B278" s="73" t="s">
        <v>30</v>
      </c>
      <c r="C278" s="73" t="s">
        <v>70</v>
      </c>
      <c r="D278" s="73" t="s">
        <v>71</v>
      </c>
      <c r="E278" s="73" t="s">
        <v>386</v>
      </c>
      <c r="F278" s="73" t="s">
        <v>378</v>
      </c>
      <c r="G278" s="72">
        <v>2.5299999999999998</v>
      </c>
      <c r="H278" s="74">
        <v>1.5089999999999999E-2</v>
      </c>
    </row>
    <row r="279" spans="1:8">
      <c r="A279" s="73" t="s">
        <v>876</v>
      </c>
      <c r="B279" s="73" t="s">
        <v>30</v>
      </c>
      <c r="C279" s="73" t="s">
        <v>96</v>
      </c>
      <c r="D279" s="73" t="s">
        <v>136</v>
      </c>
      <c r="E279" s="73" t="s">
        <v>386</v>
      </c>
      <c r="F279" s="73" t="s">
        <v>378</v>
      </c>
      <c r="G279" s="72">
        <v>3.09</v>
      </c>
      <c r="H279" s="74">
        <v>1.3860000000000001E-2</v>
      </c>
    </row>
    <row r="280" spans="1:8">
      <c r="A280" s="73" t="s">
        <v>876</v>
      </c>
      <c r="B280" s="73" t="s">
        <v>30</v>
      </c>
      <c r="C280" s="73" t="s">
        <v>80</v>
      </c>
      <c r="D280" s="73" t="s">
        <v>644</v>
      </c>
      <c r="E280" s="73" t="s">
        <v>386</v>
      </c>
      <c r="F280" s="73" t="s">
        <v>378</v>
      </c>
      <c r="G280" s="72">
        <v>4.99</v>
      </c>
      <c r="H280" s="74">
        <v>1.3736E-2</v>
      </c>
    </row>
    <row r="281" spans="1:8">
      <c r="A281" s="73" t="s">
        <v>876</v>
      </c>
      <c r="B281" s="73" t="s">
        <v>30</v>
      </c>
      <c r="C281" s="73" t="s">
        <v>87</v>
      </c>
      <c r="D281" s="73" t="s">
        <v>134</v>
      </c>
      <c r="E281" s="73" t="s">
        <v>386</v>
      </c>
      <c r="F281" s="73" t="s">
        <v>378</v>
      </c>
      <c r="G281" s="72">
        <v>7.16</v>
      </c>
      <c r="H281" s="74">
        <v>1.3651999999999999E-2</v>
      </c>
    </row>
    <row r="282" spans="1:8">
      <c r="A282" s="73" t="s">
        <v>876</v>
      </c>
      <c r="B282" s="73" t="s">
        <v>30</v>
      </c>
      <c r="C282" s="73" t="s">
        <v>506</v>
      </c>
      <c r="D282" s="73" t="s">
        <v>518</v>
      </c>
      <c r="E282" s="73" t="s">
        <v>386</v>
      </c>
      <c r="F282" s="73" t="s">
        <v>378</v>
      </c>
      <c r="G282" s="72">
        <v>5.17</v>
      </c>
      <c r="H282" s="74">
        <v>1.3147000000000001E-2</v>
      </c>
    </row>
    <row r="283" spans="1:8">
      <c r="A283" s="73" t="s">
        <v>876</v>
      </c>
      <c r="B283" s="73" t="s">
        <v>30</v>
      </c>
      <c r="C283" s="73" t="s">
        <v>35</v>
      </c>
      <c r="D283" s="73" t="s">
        <v>629</v>
      </c>
      <c r="E283" s="73" t="s">
        <v>386</v>
      </c>
      <c r="F283" s="73" t="s">
        <v>379</v>
      </c>
      <c r="G283" s="72">
        <v>3.89</v>
      </c>
      <c r="H283" s="74">
        <v>1.2390999999999999E-2</v>
      </c>
    </row>
    <row r="284" spans="1:8">
      <c r="A284" s="73" t="s">
        <v>876</v>
      </c>
      <c r="B284" s="73" t="s">
        <v>30</v>
      </c>
      <c r="C284" s="73" t="s">
        <v>610</v>
      </c>
      <c r="D284" s="73" t="s">
        <v>611</v>
      </c>
      <c r="E284" s="73" t="s">
        <v>386</v>
      </c>
      <c r="F284" s="73" t="s">
        <v>378</v>
      </c>
      <c r="G284" s="72">
        <v>8.0500000000000007</v>
      </c>
      <c r="H284" s="74">
        <v>1.1691999999999999E-2</v>
      </c>
    </row>
    <row r="285" spans="1:8">
      <c r="A285" s="73" t="s">
        <v>876</v>
      </c>
      <c r="B285" s="73" t="s">
        <v>30</v>
      </c>
      <c r="C285" s="73" t="s">
        <v>163</v>
      </c>
      <c r="D285" s="73" t="s">
        <v>632</v>
      </c>
      <c r="E285" s="73" t="s">
        <v>386</v>
      </c>
      <c r="F285" s="73" t="s">
        <v>378</v>
      </c>
      <c r="G285" s="72">
        <v>2.9599999999999995</v>
      </c>
      <c r="H285" s="74">
        <v>1.1332999999999999E-2</v>
      </c>
    </row>
    <row r="286" spans="1:8">
      <c r="A286" s="73" t="s">
        <v>876</v>
      </c>
      <c r="B286" s="73" t="s">
        <v>30</v>
      </c>
      <c r="C286" s="73" t="s">
        <v>80</v>
      </c>
      <c r="D286" s="73" t="s">
        <v>618</v>
      </c>
      <c r="E286" s="73" t="s">
        <v>386</v>
      </c>
      <c r="F286" s="73" t="s">
        <v>378</v>
      </c>
      <c r="G286" s="72">
        <v>7.79</v>
      </c>
      <c r="H286" s="74">
        <v>1.1200999999999999E-2</v>
      </c>
    </row>
    <row r="287" spans="1:8">
      <c r="A287" s="73" t="s">
        <v>876</v>
      </c>
      <c r="B287" s="73" t="s">
        <v>30</v>
      </c>
      <c r="C287" s="73" t="s">
        <v>225</v>
      </c>
      <c r="D287" s="73" t="s">
        <v>561</v>
      </c>
      <c r="E287" s="73" t="s">
        <v>386</v>
      </c>
      <c r="F287" s="73" t="s">
        <v>378</v>
      </c>
      <c r="G287" s="72">
        <v>5.24</v>
      </c>
      <c r="H287" s="74">
        <v>1.116E-2</v>
      </c>
    </row>
    <row r="288" spans="1:8">
      <c r="A288" s="73" t="s">
        <v>876</v>
      </c>
      <c r="B288" s="73" t="s">
        <v>30</v>
      </c>
      <c r="C288" s="73" t="s">
        <v>29</v>
      </c>
      <c r="D288" s="73" t="s">
        <v>20</v>
      </c>
      <c r="E288" s="73" t="s">
        <v>385</v>
      </c>
      <c r="F288" s="73" t="s">
        <v>380</v>
      </c>
      <c r="G288" s="72">
        <v>0.62</v>
      </c>
      <c r="H288" s="74">
        <v>1.0939000000000001E-2</v>
      </c>
    </row>
    <row r="289" spans="1:8">
      <c r="A289" s="73" t="s">
        <v>876</v>
      </c>
      <c r="B289" s="73" t="s">
        <v>30</v>
      </c>
      <c r="C289" s="73" t="s">
        <v>67</v>
      </c>
      <c r="D289" s="73" t="s">
        <v>68</v>
      </c>
      <c r="E289" s="73" t="s">
        <v>386</v>
      </c>
      <c r="F289" s="73" t="s">
        <v>378</v>
      </c>
      <c r="G289" s="72">
        <v>2.87</v>
      </c>
      <c r="H289" s="74">
        <v>1.0500000000000001E-2</v>
      </c>
    </row>
    <row r="290" spans="1:8">
      <c r="A290" s="73" t="s">
        <v>876</v>
      </c>
      <c r="B290" s="73" t="s">
        <v>30</v>
      </c>
      <c r="C290" s="73" t="s">
        <v>142</v>
      </c>
      <c r="D290" s="73" t="s">
        <v>143</v>
      </c>
      <c r="E290" s="73" t="s">
        <v>386</v>
      </c>
      <c r="F290" s="73" t="s">
        <v>378</v>
      </c>
      <c r="G290" s="72">
        <v>7.22</v>
      </c>
      <c r="H290" s="74">
        <v>1.0488000000000001E-2</v>
      </c>
    </row>
    <row r="291" spans="1:8">
      <c r="A291" s="73" t="s">
        <v>876</v>
      </c>
      <c r="B291" s="73" t="s">
        <v>30</v>
      </c>
      <c r="C291" s="73" t="s">
        <v>96</v>
      </c>
      <c r="D291" s="73" t="s">
        <v>756</v>
      </c>
      <c r="E291" s="73" t="s">
        <v>386</v>
      </c>
      <c r="F291" s="73" t="s">
        <v>378</v>
      </c>
      <c r="G291" s="72">
        <v>8.35</v>
      </c>
      <c r="H291" s="74">
        <v>1.0194E-2</v>
      </c>
    </row>
    <row r="292" spans="1:8">
      <c r="A292" s="73" t="s">
        <v>876</v>
      </c>
      <c r="B292" s="73" t="s">
        <v>30</v>
      </c>
      <c r="C292" s="73" t="s">
        <v>62</v>
      </c>
      <c r="D292" s="73" t="s">
        <v>77</v>
      </c>
      <c r="E292" s="73" t="s">
        <v>385</v>
      </c>
      <c r="F292" s="73" t="s">
        <v>378</v>
      </c>
      <c r="G292" s="72">
        <v>3.01</v>
      </c>
      <c r="H292" s="74">
        <v>9.8759999999999994E-3</v>
      </c>
    </row>
    <row r="293" spans="1:8">
      <c r="A293" s="73" t="s">
        <v>876</v>
      </c>
      <c r="B293" s="73" t="s">
        <v>30</v>
      </c>
      <c r="C293" s="73" t="s">
        <v>86</v>
      </c>
      <c r="D293" s="73" t="s">
        <v>92</v>
      </c>
      <c r="E293" s="73" t="s">
        <v>386</v>
      </c>
      <c r="F293" s="73" t="s">
        <v>378</v>
      </c>
      <c r="G293" s="72">
        <v>3.73</v>
      </c>
      <c r="H293" s="74">
        <v>9.2339999999999992E-3</v>
      </c>
    </row>
    <row r="294" spans="1:8">
      <c r="A294" s="73" t="s">
        <v>876</v>
      </c>
      <c r="B294" s="73" t="s">
        <v>30</v>
      </c>
      <c r="C294" s="73" t="s">
        <v>62</v>
      </c>
      <c r="D294" s="73" t="s">
        <v>529</v>
      </c>
      <c r="E294" s="73" t="s">
        <v>386</v>
      </c>
      <c r="F294" s="73" t="s">
        <v>378</v>
      </c>
      <c r="G294" s="72">
        <v>3.14</v>
      </c>
      <c r="H294" s="74">
        <v>9.162E-3</v>
      </c>
    </row>
    <row r="295" spans="1:8">
      <c r="A295" s="73" t="s">
        <v>876</v>
      </c>
      <c r="B295" s="73" t="s">
        <v>30</v>
      </c>
      <c r="C295" s="73" t="s">
        <v>47</v>
      </c>
      <c r="D295" s="73" t="s">
        <v>48</v>
      </c>
      <c r="E295" s="73" t="s">
        <v>386</v>
      </c>
      <c r="F295" s="73" t="s">
        <v>378</v>
      </c>
      <c r="G295" s="72">
        <v>6.05</v>
      </c>
      <c r="H295" s="74">
        <v>8.9029999999999995E-3</v>
      </c>
    </row>
    <row r="296" spans="1:8">
      <c r="A296" s="73" t="s">
        <v>876</v>
      </c>
      <c r="B296" s="73" t="s">
        <v>30</v>
      </c>
      <c r="C296" s="73" t="s">
        <v>111</v>
      </c>
      <c r="D296" s="73" t="s">
        <v>770</v>
      </c>
      <c r="E296" s="73" t="s">
        <v>386</v>
      </c>
      <c r="F296" s="73" t="s">
        <v>378</v>
      </c>
      <c r="G296" s="72">
        <v>1.1200000000000001</v>
      </c>
      <c r="H296" s="74">
        <v>8.5640000000000004E-3</v>
      </c>
    </row>
    <row r="297" spans="1:8">
      <c r="A297" s="73" t="s">
        <v>876</v>
      </c>
      <c r="B297" s="73" t="s">
        <v>30</v>
      </c>
      <c r="C297" s="73" t="s">
        <v>163</v>
      </c>
      <c r="D297" s="73" t="s">
        <v>767</v>
      </c>
      <c r="E297" s="73" t="s">
        <v>386</v>
      </c>
      <c r="F297" s="73" t="s">
        <v>378</v>
      </c>
      <c r="G297" s="72">
        <v>4.26</v>
      </c>
      <c r="H297" s="74">
        <v>8.4469999999999996E-3</v>
      </c>
    </row>
    <row r="298" spans="1:8">
      <c r="A298" s="73" t="s">
        <v>876</v>
      </c>
      <c r="B298" s="73" t="s">
        <v>30</v>
      </c>
      <c r="C298" s="73" t="s">
        <v>765</v>
      </c>
      <c r="D298" s="73" t="s">
        <v>766</v>
      </c>
      <c r="E298" s="73" t="s">
        <v>386</v>
      </c>
      <c r="F298" s="73" t="s">
        <v>378</v>
      </c>
      <c r="G298" s="72">
        <v>0.06</v>
      </c>
      <c r="H298" s="74">
        <v>8.1349999999999999E-3</v>
      </c>
    </row>
    <row r="299" spans="1:8">
      <c r="A299" s="73" t="s">
        <v>876</v>
      </c>
      <c r="B299" s="73" t="s">
        <v>30</v>
      </c>
      <c r="C299" s="73" t="s">
        <v>56</v>
      </c>
      <c r="D299" s="73" t="s">
        <v>57</v>
      </c>
      <c r="E299" s="73" t="s">
        <v>386</v>
      </c>
      <c r="F299" s="73" t="s">
        <v>378</v>
      </c>
      <c r="G299" s="72">
        <v>11.2</v>
      </c>
      <c r="H299" s="74">
        <v>7.816E-3</v>
      </c>
    </row>
    <row r="300" spans="1:8">
      <c r="A300" s="73" t="s">
        <v>876</v>
      </c>
      <c r="B300" s="73" t="s">
        <v>30</v>
      </c>
      <c r="C300" s="73" t="s">
        <v>163</v>
      </c>
      <c r="D300" s="73" t="s">
        <v>20</v>
      </c>
      <c r="E300" s="73" t="s">
        <v>385</v>
      </c>
      <c r="F300" s="73" t="s">
        <v>380</v>
      </c>
      <c r="G300" s="72">
        <v>0.04</v>
      </c>
      <c r="H300" s="74">
        <v>7.7250000000000001E-3</v>
      </c>
    </row>
    <row r="301" spans="1:8">
      <c r="A301" s="73" t="s">
        <v>876</v>
      </c>
      <c r="B301" s="73" t="s">
        <v>30</v>
      </c>
      <c r="C301" s="73" t="s">
        <v>138</v>
      </c>
      <c r="D301" s="73" t="s">
        <v>139</v>
      </c>
      <c r="E301" s="73" t="s">
        <v>386</v>
      </c>
      <c r="F301" s="73" t="s">
        <v>378</v>
      </c>
      <c r="G301" s="72">
        <v>5.97</v>
      </c>
      <c r="H301" s="74">
        <v>7.6969999999999998E-3</v>
      </c>
    </row>
    <row r="302" spans="1:8">
      <c r="A302" s="73" t="s">
        <v>876</v>
      </c>
      <c r="B302" s="73" t="s">
        <v>30</v>
      </c>
      <c r="C302" s="73" t="s">
        <v>421</v>
      </c>
      <c r="D302" s="73" t="s">
        <v>20</v>
      </c>
      <c r="E302" s="73" t="s">
        <v>385</v>
      </c>
      <c r="F302" s="73" t="s">
        <v>380</v>
      </c>
      <c r="G302" s="72">
        <v>0.72</v>
      </c>
      <c r="H302" s="74">
        <v>7.5709999999999996E-3</v>
      </c>
    </row>
    <row r="303" spans="1:8">
      <c r="A303" s="73" t="s">
        <v>876</v>
      </c>
      <c r="B303" s="73" t="s">
        <v>30</v>
      </c>
      <c r="C303" s="73" t="s">
        <v>86</v>
      </c>
      <c r="D303" s="73" t="s">
        <v>773</v>
      </c>
      <c r="E303" s="73" t="s">
        <v>386</v>
      </c>
      <c r="F303" s="73" t="s">
        <v>378</v>
      </c>
      <c r="G303" s="72">
        <v>1.67</v>
      </c>
      <c r="H303" s="74">
        <v>7.2680000000000002E-3</v>
      </c>
    </row>
    <row r="304" spans="1:8">
      <c r="A304" s="73" t="s">
        <v>876</v>
      </c>
      <c r="B304" s="73" t="s">
        <v>30</v>
      </c>
      <c r="C304" s="73" t="s">
        <v>668</v>
      </c>
      <c r="D304" s="73" t="s">
        <v>20</v>
      </c>
      <c r="E304" s="73" t="s">
        <v>385</v>
      </c>
      <c r="F304" s="73" t="s">
        <v>380</v>
      </c>
      <c r="G304" s="72">
        <v>0.71</v>
      </c>
      <c r="H304" s="74">
        <v>7.247E-3</v>
      </c>
    </row>
    <row r="305" spans="1:8">
      <c r="A305" s="73" t="s">
        <v>876</v>
      </c>
      <c r="B305" s="73" t="s">
        <v>30</v>
      </c>
      <c r="C305" s="73" t="s">
        <v>163</v>
      </c>
      <c r="D305" s="73" t="s">
        <v>382</v>
      </c>
      <c r="E305" s="73" t="s">
        <v>386</v>
      </c>
      <c r="F305" s="73" t="s">
        <v>378</v>
      </c>
      <c r="G305" s="72">
        <v>2.2400000000000002</v>
      </c>
      <c r="H305" s="74">
        <v>6.9760000000000004E-3</v>
      </c>
    </row>
    <row r="306" spans="1:8">
      <c r="A306" s="73" t="s">
        <v>876</v>
      </c>
      <c r="B306" s="73" t="s">
        <v>30</v>
      </c>
      <c r="C306" s="73" t="s">
        <v>709</v>
      </c>
      <c r="D306" s="73" t="s">
        <v>20</v>
      </c>
      <c r="E306" s="73" t="s">
        <v>385</v>
      </c>
      <c r="F306" s="73" t="s">
        <v>380</v>
      </c>
      <c r="G306" s="72">
        <v>0.86</v>
      </c>
      <c r="H306" s="74">
        <v>6.8469999999999998E-3</v>
      </c>
    </row>
    <row r="307" spans="1:8">
      <c r="A307" s="73" t="s">
        <v>876</v>
      </c>
      <c r="B307" s="73" t="s">
        <v>30</v>
      </c>
      <c r="C307" s="73" t="s">
        <v>558</v>
      </c>
      <c r="D307" s="73" t="s">
        <v>569</v>
      </c>
      <c r="E307" s="73" t="s">
        <v>386</v>
      </c>
      <c r="F307" s="73" t="s">
        <v>378</v>
      </c>
      <c r="G307" s="72">
        <v>5.2</v>
      </c>
      <c r="H307" s="74">
        <v>6.7530000000000003E-3</v>
      </c>
    </row>
    <row r="308" spans="1:8">
      <c r="A308" s="73" t="s">
        <v>876</v>
      </c>
      <c r="B308" s="73" t="s">
        <v>30</v>
      </c>
      <c r="C308" s="73" t="s">
        <v>775</v>
      </c>
      <c r="D308" s="73" t="s">
        <v>776</v>
      </c>
      <c r="E308" s="73" t="s">
        <v>386</v>
      </c>
      <c r="F308" s="73" t="s">
        <v>378</v>
      </c>
      <c r="G308" s="72">
        <v>4.12</v>
      </c>
      <c r="H308" s="74">
        <v>6.5310000000000003E-3</v>
      </c>
    </row>
    <row r="309" spans="1:8">
      <c r="A309" s="73" t="s">
        <v>876</v>
      </c>
      <c r="B309" s="73" t="s">
        <v>30</v>
      </c>
      <c r="C309" s="73" t="s">
        <v>107</v>
      </c>
      <c r="D309" s="73" t="s">
        <v>669</v>
      </c>
      <c r="E309" s="73" t="s">
        <v>385</v>
      </c>
      <c r="F309" s="73" t="s">
        <v>378</v>
      </c>
      <c r="G309" s="72">
        <v>2.73</v>
      </c>
      <c r="H309" s="74">
        <v>6.208E-3</v>
      </c>
    </row>
    <row r="310" spans="1:8">
      <c r="A310" s="73" t="s">
        <v>876</v>
      </c>
      <c r="B310" s="73" t="s">
        <v>30</v>
      </c>
      <c r="C310" s="73" t="s">
        <v>51</v>
      </c>
      <c r="D310" s="73" t="s">
        <v>141</v>
      </c>
      <c r="E310" s="73" t="s">
        <v>386</v>
      </c>
      <c r="F310" s="73" t="s">
        <v>378</v>
      </c>
      <c r="G310" s="72">
        <v>0.97000000000000008</v>
      </c>
      <c r="H310" s="74">
        <v>6.1799999999999997E-3</v>
      </c>
    </row>
    <row r="311" spans="1:8">
      <c r="A311" s="73" t="s">
        <v>876</v>
      </c>
      <c r="B311" s="73" t="s">
        <v>30</v>
      </c>
      <c r="C311" s="73" t="s">
        <v>111</v>
      </c>
      <c r="D311" s="73" t="s">
        <v>221</v>
      </c>
      <c r="E311" s="73" t="s">
        <v>386</v>
      </c>
      <c r="F311" s="73" t="s">
        <v>378</v>
      </c>
      <c r="G311" s="72">
        <v>0.14000000000000001</v>
      </c>
      <c r="H311" s="74">
        <v>5.7299999999999999E-3</v>
      </c>
    </row>
    <row r="312" spans="1:8">
      <c r="A312" s="73" t="s">
        <v>876</v>
      </c>
      <c r="B312" s="73" t="s">
        <v>30</v>
      </c>
      <c r="C312" s="73" t="s">
        <v>525</v>
      </c>
      <c r="D312" s="73" t="s">
        <v>526</v>
      </c>
      <c r="E312" s="73" t="s">
        <v>386</v>
      </c>
      <c r="F312" s="73" t="s">
        <v>378</v>
      </c>
      <c r="G312" s="72">
        <v>3.44</v>
      </c>
      <c r="H312" s="74">
        <v>5.6930000000000001E-3</v>
      </c>
    </row>
    <row r="313" spans="1:8">
      <c r="A313" s="73" t="s">
        <v>876</v>
      </c>
      <c r="B313" s="73" t="s">
        <v>30</v>
      </c>
      <c r="C313" s="73" t="s">
        <v>778</v>
      </c>
      <c r="D313" s="73" t="s">
        <v>779</v>
      </c>
      <c r="E313" s="73" t="s">
        <v>386</v>
      </c>
      <c r="F313" s="73" t="s">
        <v>378</v>
      </c>
      <c r="G313" s="72">
        <v>4.62</v>
      </c>
      <c r="H313" s="74">
        <v>5.6160000000000003E-3</v>
      </c>
    </row>
    <row r="314" spans="1:8">
      <c r="A314" s="73" t="s">
        <v>876</v>
      </c>
      <c r="B314" s="73" t="s">
        <v>30</v>
      </c>
      <c r="C314" s="73" t="s">
        <v>219</v>
      </c>
      <c r="D314" s="73" t="s">
        <v>426</v>
      </c>
      <c r="E314" s="73" t="s">
        <v>386</v>
      </c>
      <c r="F314" s="73" t="s">
        <v>378</v>
      </c>
      <c r="G314" s="72">
        <v>1.04</v>
      </c>
      <c r="H314" s="74">
        <v>5.5630000000000002E-3</v>
      </c>
    </row>
    <row r="315" spans="1:8">
      <c r="A315" s="73" t="s">
        <v>876</v>
      </c>
      <c r="B315" s="73" t="s">
        <v>30</v>
      </c>
      <c r="C315" s="73" t="s">
        <v>381</v>
      </c>
      <c r="D315" s="73" t="s">
        <v>447</v>
      </c>
      <c r="E315" s="73" t="s">
        <v>386</v>
      </c>
      <c r="F315" s="73" t="s">
        <v>378</v>
      </c>
      <c r="G315" s="72">
        <v>4.4400000000000004</v>
      </c>
      <c r="H315" s="74">
        <v>5.5149999999999999E-3</v>
      </c>
    </row>
    <row r="316" spans="1:8">
      <c r="A316" s="73" t="s">
        <v>876</v>
      </c>
      <c r="B316" s="73" t="s">
        <v>30</v>
      </c>
      <c r="C316" s="73" t="s">
        <v>214</v>
      </c>
      <c r="D316" s="73" t="s">
        <v>215</v>
      </c>
      <c r="E316" s="73" t="s">
        <v>386</v>
      </c>
      <c r="F316" s="73" t="s">
        <v>378</v>
      </c>
      <c r="G316" s="72">
        <v>1.3</v>
      </c>
      <c r="H316" s="74">
        <v>5.5050000000000003E-3</v>
      </c>
    </row>
    <row r="317" spans="1:8">
      <c r="A317" s="73" t="s">
        <v>876</v>
      </c>
      <c r="B317" s="73" t="s">
        <v>30</v>
      </c>
      <c r="C317" s="73" t="s">
        <v>75</v>
      </c>
      <c r="D317" s="73" t="s">
        <v>76</v>
      </c>
      <c r="E317" s="73" t="s">
        <v>385</v>
      </c>
      <c r="F317" s="73" t="s">
        <v>378</v>
      </c>
      <c r="G317" s="72">
        <v>2.42</v>
      </c>
      <c r="H317" s="74">
        <v>5.457E-3</v>
      </c>
    </row>
    <row r="318" spans="1:8">
      <c r="A318" s="73" t="s">
        <v>876</v>
      </c>
      <c r="B318" s="73" t="s">
        <v>30</v>
      </c>
      <c r="C318" s="73" t="s">
        <v>163</v>
      </c>
      <c r="D318" s="73" t="s">
        <v>164</v>
      </c>
      <c r="E318" s="73" t="s">
        <v>386</v>
      </c>
      <c r="F318" s="73" t="s">
        <v>378</v>
      </c>
      <c r="G318" s="72">
        <v>0.51</v>
      </c>
      <c r="H318" s="74">
        <v>5.4310000000000001E-3</v>
      </c>
    </row>
    <row r="319" spans="1:8">
      <c r="A319" s="73" t="s">
        <v>876</v>
      </c>
      <c r="B319" s="73" t="s">
        <v>30</v>
      </c>
      <c r="C319" s="73" t="s">
        <v>81</v>
      </c>
      <c r="D319" s="73" t="s">
        <v>82</v>
      </c>
      <c r="E319" s="73" t="s">
        <v>386</v>
      </c>
      <c r="F319" s="73" t="s">
        <v>378</v>
      </c>
      <c r="G319" s="72">
        <v>2.17</v>
      </c>
      <c r="H319" s="74">
        <v>5.424E-3</v>
      </c>
    </row>
    <row r="320" spans="1:8">
      <c r="A320" s="73" t="s">
        <v>876</v>
      </c>
      <c r="B320" s="73" t="s">
        <v>30</v>
      </c>
      <c r="C320" s="73" t="s">
        <v>668</v>
      </c>
      <c r="D320" s="73" t="s">
        <v>20</v>
      </c>
      <c r="E320" s="73" t="s">
        <v>385</v>
      </c>
      <c r="F320" s="73" t="s">
        <v>380</v>
      </c>
      <c r="G320" s="72">
        <v>0.72</v>
      </c>
      <c r="H320" s="74">
        <v>5.4190000000000002E-3</v>
      </c>
    </row>
    <row r="321" spans="1:8">
      <c r="A321" s="73" t="s">
        <v>876</v>
      </c>
      <c r="B321" s="73" t="s">
        <v>30</v>
      </c>
      <c r="C321" s="73" t="s">
        <v>19</v>
      </c>
      <c r="D321" s="73" t="s">
        <v>20</v>
      </c>
      <c r="E321" s="73" t="s">
        <v>385</v>
      </c>
      <c r="F321" s="73" t="s">
        <v>380</v>
      </c>
      <c r="G321" s="72">
        <v>0.66</v>
      </c>
      <c r="H321" s="74">
        <v>5.3319999999999999E-3</v>
      </c>
    </row>
    <row r="322" spans="1:8">
      <c r="A322" s="73" t="s">
        <v>876</v>
      </c>
      <c r="B322" s="73" t="s">
        <v>30</v>
      </c>
      <c r="C322" s="73" t="s">
        <v>86</v>
      </c>
      <c r="D322" s="73" t="s">
        <v>671</v>
      </c>
      <c r="E322" s="73" t="s">
        <v>386</v>
      </c>
      <c r="F322" s="73" t="s">
        <v>378</v>
      </c>
      <c r="G322" s="72">
        <v>4.04</v>
      </c>
      <c r="H322" s="74">
        <v>5.3330000000000001E-3</v>
      </c>
    </row>
    <row r="323" spans="1:8">
      <c r="A323" s="73" t="s">
        <v>876</v>
      </c>
      <c r="B323" s="73" t="s">
        <v>30</v>
      </c>
      <c r="C323" s="73" t="s">
        <v>75</v>
      </c>
      <c r="D323" s="73" t="s">
        <v>153</v>
      </c>
      <c r="E323" s="73" t="s">
        <v>385</v>
      </c>
      <c r="F323" s="73" t="s">
        <v>378</v>
      </c>
      <c r="G323" s="72">
        <v>1.02</v>
      </c>
      <c r="H323" s="74">
        <v>5.2659999999999998E-3</v>
      </c>
    </row>
    <row r="324" spans="1:8">
      <c r="A324" s="73" t="s">
        <v>876</v>
      </c>
      <c r="B324" s="73" t="s">
        <v>30</v>
      </c>
      <c r="C324" s="73" t="s">
        <v>67</v>
      </c>
      <c r="D324" s="73" t="s">
        <v>103</v>
      </c>
      <c r="E324" s="73" t="s">
        <v>386</v>
      </c>
      <c r="F324" s="73" t="s">
        <v>378</v>
      </c>
      <c r="G324" s="72">
        <v>4.6900000000000004</v>
      </c>
      <c r="H324" s="74">
        <v>5.2139999999999999E-3</v>
      </c>
    </row>
    <row r="325" spans="1:8">
      <c r="A325" s="73" t="s">
        <v>876</v>
      </c>
      <c r="B325" s="73" t="s">
        <v>30</v>
      </c>
      <c r="C325" s="73" t="s">
        <v>107</v>
      </c>
      <c r="D325" s="73" t="s">
        <v>224</v>
      </c>
      <c r="E325" s="73" t="s">
        <v>385</v>
      </c>
      <c r="F325" s="73" t="s">
        <v>378</v>
      </c>
      <c r="G325" s="72">
        <v>0.8</v>
      </c>
      <c r="H325" s="74">
        <v>5.1619999999999999E-3</v>
      </c>
    </row>
    <row r="326" spans="1:8">
      <c r="A326" s="73" t="s">
        <v>876</v>
      </c>
      <c r="B326" s="73" t="s">
        <v>30</v>
      </c>
      <c r="C326" s="73" t="s">
        <v>511</v>
      </c>
      <c r="D326" s="73" t="s">
        <v>512</v>
      </c>
      <c r="E326" s="73" t="s">
        <v>386</v>
      </c>
      <c r="F326" s="73" t="s">
        <v>378</v>
      </c>
      <c r="G326" s="72">
        <v>3.17</v>
      </c>
      <c r="H326" s="74">
        <v>4.9820000000000003E-3</v>
      </c>
    </row>
    <row r="327" spans="1:8">
      <c r="A327" s="73" t="s">
        <v>876</v>
      </c>
      <c r="B327" s="73" t="s">
        <v>30</v>
      </c>
      <c r="C327" s="73" t="s">
        <v>381</v>
      </c>
      <c r="D327" s="73" t="s">
        <v>480</v>
      </c>
      <c r="E327" s="73" t="s">
        <v>386</v>
      </c>
      <c r="F327" s="73" t="s">
        <v>378</v>
      </c>
      <c r="G327" s="72">
        <v>2.11</v>
      </c>
      <c r="H327" s="74">
        <v>4.6909999999999999E-3</v>
      </c>
    </row>
    <row r="328" spans="1:8">
      <c r="A328" s="73" t="s">
        <v>876</v>
      </c>
      <c r="B328" s="73" t="s">
        <v>30</v>
      </c>
      <c r="C328" s="73" t="s">
        <v>50</v>
      </c>
      <c r="D328" s="73" t="s">
        <v>383</v>
      </c>
      <c r="E328" s="73" t="s">
        <v>385</v>
      </c>
      <c r="F328" s="73" t="s">
        <v>378</v>
      </c>
      <c r="G328" s="72">
        <v>1.27</v>
      </c>
      <c r="H328" s="74">
        <v>4.6189999999999998E-3</v>
      </c>
    </row>
    <row r="329" spans="1:8">
      <c r="A329" s="73" t="s">
        <v>876</v>
      </c>
      <c r="B329" s="73" t="s">
        <v>30</v>
      </c>
      <c r="C329" s="73" t="s">
        <v>75</v>
      </c>
      <c r="D329" s="73" t="s">
        <v>98</v>
      </c>
      <c r="E329" s="73" t="s">
        <v>386</v>
      </c>
      <c r="F329" s="73" t="s">
        <v>378</v>
      </c>
      <c r="G329" s="72">
        <v>2.91</v>
      </c>
      <c r="H329" s="74">
        <v>4.4850000000000003E-3</v>
      </c>
    </row>
    <row r="330" spans="1:8">
      <c r="A330" s="73" t="s">
        <v>876</v>
      </c>
      <c r="B330" s="73" t="s">
        <v>30</v>
      </c>
      <c r="C330" s="73" t="s">
        <v>75</v>
      </c>
      <c r="D330" s="73" t="s">
        <v>151</v>
      </c>
      <c r="E330" s="73" t="s">
        <v>385</v>
      </c>
      <c r="F330" s="73" t="s">
        <v>378</v>
      </c>
      <c r="G330" s="72">
        <v>0.28999999999999998</v>
      </c>
      <c r="H330" s="74">
        <v>4.2329999999999998E-3</v>
      </c>
    </row>
    <row r="331" spans="1:8">
      <c r="A331" s="73" t="s">
        <v>876</v>
      </c>
      <c r="B331" s="73" t="s">
        <v>30</v>
      </c>
      <c r="C331" s="73" t="s">
        <v>583</v>
      </c>
      <c r="D331" s="73" t="s">
        <v>584</v>
      </c>
      <c r="E331" s="73" t="s">
        <v>386</v>
      </c>
      <c r="F331" s="73" t="s">
        <v>378</v>
      </c>
      <c r="G331" s="72">
        <v>0.97</v>
      </c>
      <c r="H331" s="74">
        <v>4.2209999999999999E-3</v>
      </c>
    </row>
    <row r="332" spans="1:8">
      <c r="A332" s="73" t="s">
        <v>876</v>
      </c>
      <c r="B332" s="73" t="s">
        <v>30</v>
      </c>
      <c r="C332" s="73" t="s">
        <v>88</v>
      </c>
      <c r="D332" s="73" t="s">
        <v>410</v>
      </c>
      <c r="E332" s="73" t="s">
        <v>386</v>
      </c>
      <c r="F332" s="73" t="s">
        <v>378</v>
      </c>
      <c r="G332" s="72">
        <v>2.67</v>
      </c>
      <c r="H332" s="74">
        <v>4.2189999999999997E-3</v>
      </c>
    </row>
    <row r="333" spans="1:8">
      <c r="A333" s="73" t="s">
        <v>876</v>
      </c>
      <c r="B333" s="73" t="s">
        <v>30</v>
      </c>
      <c r="C333" s="73" t="s">
        <v>583</v>
      </c>
      <c r="D333" s="73" t="s">
        <v>631</v>
      </c>
      <c r="E333" s="73" t="s">
        <v>386</v>
      </c>
      <c r="F333" s="73" t="s">
        <v>378</v>
      </c>
      <c r="G333" s="72">
        <v>2.72</v>
      </c>
      <c r="H333" s="74">
        <v>4.0920000000000002E-3</v>
      </c>
    </row>
    <row r="334" spans="1:8">
      <c r="A334" s="73" t="s">
        <v>876</v>
      </c>
      <c r="B334" s="73" t="s">
        <v>30</v>
      </c>
      <c r="C334" s="73" t="s">
        <v>96</v>
      </c>
      <c r="D334" s="73" t="s">
        <v>97</v>
      </c>
      <c r="E334" s="73" t="s">
        <v>386</v>
      </c>
      <c r="F334" s="73" t="s">
        <v>378</v>
      </c>
      <c r="G334" s="72">
        <v>8.26</v>
      </c>
      <c r="H334" s="74">
        <v>4.0819999999999997E-3</v>
      </c>
    </row>
    <row r="335" spans="1:8">
      <c r="A335" s="73" t="s">
        <v>876</v>
      </c>
      <c r="B335" s="73" t="s">
        <v>30</v>
      </c>
      <c r="C335" s="73" t="s">
        <v>26</v>
      </c>
      <c r="D335" s="73" t="s">
        <v>20</v>
      </c>
      <c r="E335" s="73" t="s">
        <v>385</v>
      </c>
      <c r="F335" s="73" t="s">
        <v>380</v>
      </c>
      <c r="G335" s="72">
        <v>0.68</v>
      </c>
      <c r="H335" s="74">
        <v>3.8830000000000002E-3</v>
      </c>
    </row>
    <row r="336" spans="1:8">
      <c r="A336" s="73" t="s">
        <v>876</v>
      </c>
      <c r="B336" s="73" t="s">
        <v>30</v>
      </c>
      <c r="C336" s="73" t="s">
        <v>75</v>
      </c>
      <c r="D336" s="73" t="s">
        <v>20</v>
      </c>
      <c r="E336" s="73" t="s">
        <v>385</v>
      </c>
      <c r="F336" s="73" t="s">
        <v>380</v>
      </c>
      <c r="G336" s="72">
        <v>0.32</v>
      </c>
      <c r="H336" s="74">
        <v>3.8440000000000002E-3</v>
      </c>
    </row>
    <row r="337" spans="1:8">
      <c r="A337" s="73" t="s">
        <v>876</v>
      </c>
      <c r="B337" s="73" t="s">
        <v>30</v>
      </c>
      <c r="C337" s="73" t="s">
        <v>239</v>
      </c>
      <c r="D337" s="73" t="s">
        <v>782</v>
      </c>
      <c r="E337" s="73" t="s">
        <v>386</v>
      </c>
      <c r="F337" s="73" t="s">
        <v>378</v>
      </c>
      <c r="G337" s="72">
        <v>0.97</v>
      </c>
      <c r="H337" s="74">
        <v>3.7729999999999999E-3</v>
      </c>
    </row>
    <row r="338" spans="1:8">
      <c r="A338" s="73" t="s">
        <v>876</v>
      </c>
      <c r="B338" s="73" t="s">
        <v>30</v>
      </c>
      <c r="C338" s="73" t="s">
        <v>228</v>
      </c>
      <c r="D338" s="73" t="s">
        <v>229</v>
      </c>
      <c r="E338" s="73" t="s">
        <v>386</v>
      </c>
      <c r="F338" s="73" t="s">
        <v>378</v>
      </c>
      <c r="G338" s="72">
        <v>2.33</v>
      </c>
      <c r="H338" s="74">
        <v>3.7699999999999999E-3</v>
      </c>
    </row>
    <row r="339" spans="1:8">
      <c r="A339" s="73" t="s">
        <v>876</v>
      </c>
      <c r="B339" s="73" t="s">
        <v>30</v>
      </c>
      <c r="C339" s="73" t="s">
        <v>50</v>
      </c>
      <c r="D339" s="73" t="s">
        <v>231</v>
      </c>
      <c r="E339" s="73" t="s">
        <v>386</v>
      </c>
      <c r="F339" s="73" t="s">
        <v>378</v>
      </c>
      <c r="G339" s="72">
        <v>0.22</v>
      </c>
      <c r="H339" s="74">
        <v>3.7659999999999998E-3</v>
      </c>
    </row>
    <row r="340" spans="1:8">
      <c r="A340" s="73" t="s">
        <v>876</v>
      </c>
      <c r="B340" s="73" t="s">
        <v>30</v>
      </c>
      <c r="C340" s="73" t="s">
        <v>75</v>
      </c>
      <c r="D340" s="73" t="s">
        <v>604</v>
      </c>
      <c r="E340" s="73" t="s">
        <v>386</v>
      </c>
      <c r="F340" s="73" t="s">
        <v>378</v>
      </c>
      <c r="G340" s="72">
        <v>1.93</v>
      </c>
      <c r="H340" s="74">
        <v>3.63E-3</v>
      </c>
    </row>
    <row r="341" spans="1:8">
      <c r="A341" s="73" t="s">
        <v>876</v>
      </c>
      <c r="B341" s="73" t="s">
        <v>30</v>
      </c>
      <c r="C341" s="73" t="s">
        <v>100</v>
      </c>
      <c r="D341" s="73" t="s">
        <v>101</v>
      </c>
      <c r="E341" s="73" t="s">
        <v>386</v>
      </c>
      <c r="F341" s="73" t="s">
        <v>378</v>
      </c>
      <c r="G341" s="72">
        <v>1.03</v>
      </c>
      <c r="H341" s="74">
        <v>3.5019999999999999E-3</v>
      </c>
    </row>
    <row r="342" spans="1:8">
      <c r="A342" s="73" t="s">
        <v>876</v>
      </c>
      <c r="B342" s="73" t="s">
        <v>30</v>
      </c>
      <c r="C342" s="73" t="s">
        <v>470</v>
      </c>
      <c r="D342" s="73" t="s">
        <v>20</v>
      </c>
      <c r="E342" s="73" t="s">
        <v>385</v>
      </c>
      <c r="F342" s="73" t="s">
        <v>380</v>
      </c>
      <c r="G342" s="72">
        <v>0</v>
      </c>
      <c r="H342" s="74">
        <v>3.493E-3</v>
      </c>
    </row>
    <row r="343" spans="1:8">
      <c r="A343" s="73" t="s">
        <v>876</v>
      </c>
      <c r="B343" s="73" t="s">
        <v>30</v>
      </c>
      <c r="C343" s="73" t="s">
        <v>487</v>
      </c>
      <c r="D343" s="73" t="s">
        <v>488</v>
      </c>
      <c r="E343" s="73" t="s">
        <v>386</v>
      </c>
      <c r="F343" s="73" t="s">
        <v>378</v>
      </c>
      <c r="G343" s="72">
        <v>7.48</v>
      </c>
      <c r="H343" s="74">
        <v>3.4329999999999999E-3</v>
      </c>
    </row>
    <row r="344" spans="1:8">
      <c r="A344" s="73" t="s">
        <v>876</v>
      </c>
      <c r="B344" s="73" t="s">
        <v>30</v>
      </c>
      <c r="C344" s="73" t="s">
        <v>94</v>
      </c>
      <c r="D344" s="73" t="s">
        <v>95</v>
      </c>
      <c r="E344" s="73" t="s">
        <v>386</v>
      </c>
      <c r="F344" s="73" t="s">
        <v>378</v>
      </c>
      <c r="G344" s="72">
        <v>9.33</v>
      </c>
      <c r="H344" s="74">
        <v>3.392E-3</v>
      </c>
    </row>
    <row r="345" spans="1:8">
      <c r="A345" s="73" t="s">
        <v>876</v>
      </c>
      <c r="B345" s="73" t="s">
        <v>30</v>
      </c>
      <c r="C345" s="73" t="s">
        <v>142</v>
      </c>
      <c r="D345" s="73" t="s">
        <v>830</v>
      </c>
      <c r="E345" s="73" t="s">
        <v>386</v>
      </c>
      <c r="F345" s="73" t="s">
        <v>378</v>
      </c>
      <c r="G345" s="72">
        <v>8.5299999999999994</v>
      </c>
      <c r="H345" s="74">
        <v>3.3119999999999998E-3</v>
      </c>
    </row>
    <row r="346" spans="1:8">
      <c r="A346" s="73" t="s">
        <v>876</v>
      </c>
      <c r="B346" s="73" t="s">
        <v>30</v>
      </c>
      <c r="C346" s="73" t="s">
        <v>67</v>
      </c>
      <c r="D346" s="73" t="s">
        <v>154</v>
      </c>
      <c r="E346" s="73" t="s">
        <v>385</v>
      </c>
      <c r="F346" s="73" t="s">
        <v>378</v>
      </c>
      <c r="G346" s="72">
        <v>0.56000000000000005</v>
      </c>
      <c r="H346" s="74">
        <v>3.2940000000000001E-3</v>
      </c>
    </row>
    <row r="347" spans="1:8">
      <c r="A347" s="73" t="s">
        <v>876</v>
      </c>
      <c r="B347" s="73" t="s">
        <v>30</v>
      </c>
      <c r="C347" s="73" t="s">
        <v>27</v>
      </c>
      <c r="D347" s="73" t="s">
        <v>20</v>
      </c>
      <c r="E347" s="73" t="s">
        <v>385</v>
      </c>
      <c r="F347" s="73" t="s">
        <v>380</v>
      </c>
      <c r="G347" s="72">
        <v>0.79</v>
      </c>
      <c r="H347" s="74">
        <v>3.0400000000000002E-3</v>
      </c>
    </row>
    <row r="348" spans="1:8">
      <c r="A348" s="73" t="s">
        <v>876</v>
      </c>
      <c r="B348" s="73" t="s">
        <v>30</v>
      </c>
      <c r="C348" s="73" t="s">
        <v>522</v>
      </c>
      <c r="D348" s="73" t="s">
        <v>578</v>
      </c>
      <c r="E348" s="73" t="s">
        <v>386</v>
      </c>
      <c r="F348" s="73" t="s">
        <v>378</v>
      </c>
      <c r="G348" s="72">
        <v>1.1200000000000001</v>
      </c>
      <c r="H348" s="74">
        <v>2.7829999999999999E-3</v>
      </c>
    </row>
    <row r="349" spans="1:8">
      <c r="A349" s="73" t="s">
        <v>876</v>
      </c>
      <c r="B349" s="73" t="s">
        <v>30</v>
      </c>
      <c r="C349" s="73" t="s">
        <v>145</v>
      </c>
      <c r="D349" s="73" t="s">
        <v>146</v>
      </c>
      <c r="E349" s="73" t="s">
        <v>386</v>
      </c>
      <c r="F349" s="73" t="s">
        <v>378</v>
      </c>
      <c r="G349" s="72">
        <v>3.17</v>
      </c>
      <c r="H349" s="74">
        <v>2.666E-3</v>
      </c>
    </row>
    <row r="350" spans="1:8">
      <c r="A350" s="73" t="s">
        <v>876</v>
      </c>
      <c r="B350" s="73" t="s">
        <v>30</v>
      </c>
      <c r="C350" s="73" t="s">
        <v>116</v>
      </c>
      <c r="D350" s="73" t="s">
        <v>117</v>
      </c>
      <c r="E350" s="73" t="s">
        <v>385</v>
      </c>
      <c r="F350" s="73" t="s">
        <v>378</v>
      </c>
      <c r="G350" s="72">
        <v>1.44</v>
      </c>
      <c r="H350" s="74">
        <v>2.66E-3</v>
      </c>
    </row>
    <row r="351" spans="1:8">
      <c r="A351" s="73" t="s">
        <v>876</v>
      </c>
      <c r="B351" s="73" t="s">
        <v>30</v>
      </c>
      <c r="C351" s="73" t="s">
        <v>50</v>
      </c>
      <c r="D351" s="73" t="s">
        <v>551</v>
      </c>
      <c r="E351" s="73" t="s">
        <v>385</v>
      </c>
      <c r="F351" s="73" t="s">
        <v>378</v>
      </c>
      <c r="G351" s="72">
        <v>2.71</v>
      </c>
      <c r="H351" s="74">
        <v>2.6540000000000001E-3</v>
      </c>
    </row>
    <row r="352" spans="1:8">
      <c r="A352" s="73" t="s">
        <v>876</v>
      </c>
      <c r="B352" s="73" t="s">
        <v>30</v>
      </c>
      <c r="C352" s="73" t="s">
        <v>838</v>
      </c>
      <c r="D352" s="73" t="s">
        <v>839</v>
      </c>
      <c r="E352" s="73" t="s">
        <v>385</v>
      </c>
      <c r="F352" s="73" t="s">
        <v>378</v>
      </c>
      <c r="G352" s="72">
        <v>6.28</v>
      </c>
      <c r="H352" s="74">
        <v>2.581E-3</v>
      </c>
    </row>
    <row r="353" spans="1:8">
      <c r="A353" s="73" t="s">
        <v>876</v>
      </c>
      <c r="B353" s="73" t="s">
        <v>30</v>
      </c>
      <c r="C353" s="73" t="s">
        <v>86</v>
      </c>
      <c r="D353" s="73" t="s">
        <v>89</v>
      </c>
      <c r="E353" s="73" t="s">
        <v>385</v>
      </c>
      <c r="F353" s="73" t="s">
        <v>378</v>
      </c>
      <c r="G353" s="72">
        <v>0.64</v>
      </c>
      <c r="H353" s="74">
        <v>2.5769999999999999E-3</v>
      </c>
    </row>
    <row r="354" spans="1:8">
      <c r="A354" s="73" t="s">
        <v>876</v>
      </c>
      <c r="B354" s="73" t="s">
        <v>30</v>
      </c>
      <c r="C354" s="73" t="s">
        <v>421</v>
      </c>
      <c r="D354" s="73" t="s">
        <v>20</v>
      </c>
      <c r="E354" s="73" t="s">
        <v>385</v>
      </c>
      <c r="F354" s="73" t="s">
        <v>380</v>
      </c>
      <c r="G354" s="72">
        <v>0.01</v>
      </c>
      <c r="H354" s="74">
        <v>2.5460000000000001E-3</v>
      </c>
    </row>
    <row r="355" spans="1:8">
      <c r="A355" s="73" t="s">
        <v>876</v>
      </c>
      <c r="B355" s="73" t="s">
        <v>30</v>
      </c>
      <c r="C355" s="73" t="s">
        <v>62</v>
      </c>
      <c r="D355" s="73" t="s">
        <v>840</v>
      </c>
      <c r="E355" s="73" t="s">
        <v>386</v>
      </c>
      <c r="F355" s="73" t="s">
        <v>378</v>
      </c>
      <c r="G355" s="72">
        <v>3.84</v>
      </c>
      <c r="H355" s="74">
        <v>2.5119999999999999E-3</v>
      </c>
    </row>
    <row r="356" spans="1:8">
      <c r="A356" s="73" t="s">
        <v>876</v>
      </c>
      <c r="B356" s="73" t="s">
        <v>30</v>
      </c>
      <c r="C356" s="73" t="s">
        <v>23</v>
      </c>
      <c r="D356" s="73" t="s">
        <v>20</v>
      </c>
      <c r="E356" s="73" t="s">
        <v>385</v>
      </c>
      <c r="F356" s="73" t="s">
        <v>380</v>
      </c>
      <c r="G356" s="72">
        <v>0.08</v>
      </c>
      <c r="H356" s="74">
        <v>2.4989999999999999E-3</v>
      </c>
    </row>
    <row r="357" spans="1:8">
      <c r="A357" s="73" t="s">
        <v>876</v>
      </c>
      <c r="B357" s="73" t="s">
        <v>30</v>
      </c>
      <c r="C357" s="73" t="s">
        <v>841</v>
      </c>
      <c r="D357" s="73" t="s">
        <v>842</v>
      </c>
      <c r="E357" s="73" t="s">
        <v>386</v>
      </c>
      <c r="F357" s="73" t="s">
        <v>378</v>
      </c>
      <c r="G357" s="72">
        <v>6.14</v>
      </c>
      <c r="H357" s="74">
        <v>2.444E-3</v>
      </c>
    </row>
    <row r="358" spans="1:8">
      <c r="A358" s="73" t="s">
        <v>876</v>
      </c>
      <c r="B358" s="73" t="s">
        <v>30</v>
      </c>
      <c r="C358" s="73" t="s">
        <v>173</v>
      </c>
      <c r="D358" s="73" t="s">
        <v>843</v>
      </c>
      <c r="E358" s="73" t="s">
        <v>386</v>
      </c>
      <c r="F358" s="73" t="s">
        <v>378</v>
      </c>
      <c r="G358" s="72">
        <v>7.2</v>
      </c>
      <c r="H358" s="74">
        <v>2.4169999999999999E-3</v>
      </c>
    </row>
    <row r="359" spans="1:8">
      <c r="A359" s="73" t="s">
        <v>876</v>
      </c>
      <c r="B359" s="73" t="s">
        <v>30</v>
      </c>
      <c r="C359" s="73" t="s">
        <v>709</v>
      </c>
      <c r="D359" s="73" t="s">
        <v>20</v>
      </c>
      <c r="E359" s="73" t="s">
        <v>385</v>
      </c>
      <c r="F359" s="73" t="s">
        <v>380</v>
      </c>
      <c r="G359" s="72">
        <v>0.26</v>
      </c>
      <c r="H359" s="74">
        <v>2.4069999999999999E-3</v>
      </c>
    </row>
    <row r="360" spans="1:8">
      <c r="A360" s="73" t="s">
        <v>876</v>
      </c>
      <c r="B360" s="73" t="s">
        <v>30</v>
      </c>
      <c r="C360" s="73" t="s">
        <v>541</v>
      </c>
      <c r="D360" s="73" t="s">
        <v>20</v>
      </c>
      <c r="E360" s="73" t="s">
        <v>385</v>
      </c>
      <c r="F360" s="73" t="s">
        <v>380</v>
      </c>
      <c r="G360" s="72">
        <v>0.05</v>
      </c>
      <c r="H360" s="74">
        <v>2.3670000000000002E-3</v>
      </c>
    </row>
    <row r="361" spans="1:8">
      <c r="A361" s="73" t="s">
        <v>876</v>
      </c>
      <c r="B361" s="73" t="s">
        <v>30</v>
      </c>
      <c r="C361" s="73" t="s">
        <v>24</v>
      </c>
      <c r="D361" s="73" t="s">
        <v>20</v>
      </c>
      <c r="E361" s="73" t="s">
        <v>385</v>
      </c>
      <c r="F361" s="73" t="s">
        <v>380</v>
      </c>
      <c r="G361" s="72">
        <v>0.33</v>
      </c>
      <c r="H361" s="74">
        <v>2.3549999999999999E-3</v>
      </c>
    </row>
    <row r="362" spans="1:8">
      <c r="A362" s="73" t="s">
        <v>876</v>
      </c>
      <c r="B362" s="73" t="s">
        <v>30</v>
      </c>
      <c r="C362" s="73" t="s">
        <v>363</v>
      </c>
      <c r="D362" s="73" t="s">
        <v>623</v>
      </c>
      <c r="E362" s="73" t="s">
        <v>386</v>
      </c>
      <c r="F362" s="73" t="s">
        <v>378</v>
      </c>
      <c r="G362" s="72">
        <v>3.8</v>
      </c>
      <c r="H362" s="74">
        <v>2.3479999999999998E-3</v>
      </c>
    </row>
    <row r="363" spans="1:8">
      <c r="A363" s="73" t="s">
        <v>876</v>
      </c>
      <c r="B363" s="73" t="s">
        <v>30</v>
      </c>
      <c r="C363" s="73" t="s">
        <v>19</v>
      </c>
      <c r="D363" s="73" t="s">
        <v>20</v>
      </c>
      <c r="E363" s="73" t="s">
        <v>385</v>
      </c>
      <c r="F363" s="73" t="s">
        <v>380</v>
      </c>
      <c r="G363" s="72">
        <v>0.83</v>
      </c>
      <c r="H363" s="74">
        <v>2.2989999999999998E-3</v>
      </c>
    </row>
    <row r="364" spans="1:8">
      <c r="A364" s="73" t="s">
        <v>876</v>
      </c>
      <c r="B364" s="73" t="s">
        <v>30</v>
      </c>
      <c r="C364" s="73" t="s">
        <v>80</v>
      </c>
      <c r="D364" s="73" t="s">
        <v>752</v>
      </c>
      <c r="E364" s="73" t="s">
        <v>386</v>
      </c>
      <c r="F364" s="73" t="s">
        <v>378</v>
      </c>
      <c r="G364" s="72">
        <v>14.47</v>
      </c>
      <c r="H364" s="74">
        <v>2.294E-3</v>
      </c>
    </row>
    <row r="365" spans="1:8">
      <c r="A365" s="73" t="s">
        <v>876</v>
      </c>
      <c r="B365" s="73" t="s">
        <v>30</v>
      </c>
      <c r="C365" s="73" t="s">
        <v>107</v>
      </c>
      <c r="D365" s="73" t="s">
        <v>844</v>
      </c>
      <c r="E365" s="73" t="s">
        <v>386</v>
      </c>
      <c r="F365" s="73" t="s">
        <v>378</v>
      </c>
      <c r="G365" s="72">
        <v>1.94</v>
      </c>
      <c r="H365" s="74">
        <v>2.166E-3</v>
      </c>
    </row>
    <row r="366" spans="1:8">
      <c r="A366" s="73" t="s">
        <v>876</v>
      </c>
      <c r="B366" s="73" t="s">
        <v>30</v>
      </c>
      <c r="C366" s="73" t="s">
        <v>75</v>
      </c>
      <c r="D366" s="73" t="s">
        <v>235</v>
      </c>
      <c r="E366" s="73" t="s">
        <v>386</v>
      </c>
      <c r="F366" s="73" t="s">
        <v>378</v>
      </c>
      <c r="G366" s="72">
        <v>3.2099999999999995</v>
      </c>
      <c r="H366" s="74">
        <v>2.0969999999999999E-3</v>
      </c>
    </row>
    <row r="367" spans="1:8">
      <c r="A367" s="73" t="s">
        <v>876</v>
      </c>
      <c r="B367" s="73" t="s">
        <v>30</v>
      </c>
      <c r="C367" s="73" t="s">
        <v>21</v>
      </c>
      <c r="D367" s="73" t="s">
        <v>20</v>
      </c>
      <c r="E367" s="73" t="s">
        <v>385</v>
      </c>
      <c r="F367" s="73" t="s">
        <v>380</v>
      </c>
      <c r="G367" s="72">
        <v>0.47</v>
      </c>
      <c r="H367" s="74">
        <v>2.0860000000000002E-3</v>
      </c>
    </row>
    <row r="368" spans="1:8">
      <c r="A368" s="73" t="s">
        <v>876</v>
      </c>
      <c r="B368" s="73" t="s">
        <v>30</v>
      </c>
      <c r="C368" s="73" t="s">
        <v>87</v>
      </c>
      <c r="D368" s="73" t="s">
        <v>536</v>
      </c>
      <c r="E368" s="73" t="s">
        <v>386</v>
      </c>
      <c r="F368" s="73" t="s">
        <v>378</v>
      </c>
      <c r="G368" s="72">
        <v>7.8</v>
      </c>
      <c r="H368" s="74">
        <v>2.0449999999999999E-3</v>
      </c>
    </row>
    <row r="369" spans="1:8">
      <c r="A369" s="73" t="s">
        <v>876</v>
      </c>
      <c r="B369" s="73" t="s">
        <v>30</v>
      </c>
      <c r="C369" s="73" t="s">
        <v>86</v>
      </c>
      <c r="D369" s="73" t="s">
        <v>264</v>
      </c>
      <c r="E369" s="73" t="s">
        <v>385</v>
      </c>
      <c r="F369" s="73" t="s">
        <v>378</v>
      </c>
      <c r="G369" s="72">
        <v>2.59</v>
      </c>
      <c r="H369" s="74">
        <v>1.923E-3</v>
      </c>
    </row>
    <row r="370" spans="1:8">
      <c r="A370" s="73" t="s">
        <v>876</v>
      </c>
      <c r="B370" s="73" t="s">
        <v>30</v>
      </c>
      <c r="C370" s="73" t="s">
        <v>86</v>
      </c>
      <c r="D370" s="73" t="s">
        <v>663</v>
      </c>
      <c r="E370" s="73" t="s">
        <v>385</v>
      </c>
      <c r="F370" s="73" t="s">
        <v>378</v>
      </c>
      <c r="G370" s="72">
        <v>3.03</v>
      </c>
      <c r="H370" s="74">
        <v>1.8799999999999999E-3</v>
      </c>
    </row>
    <row r="371" spans="1:8">
      <c r="A371" s="73" t="s">
        <v>876</v>
      </c>
      <c r="B371" s="73" t="s">
        <v>30</v>
      </c>
      <c r="C371" s="73" t="s">
        <v>26</v>
      </c>
      <c r="D371" s="73" t="s">
        <v>20</v>
      </c>
      <c r="E371" s="73" t="s">
        <v>385</v>
      </c>
      <c r="F371" s="73" t="s">
        <v>380</v>
      </c>
      <c r="G371" s="72">
        <v>0.7</v>
      </c>
      <c r="H371" s="74">
        <v>1.8600000000000001E-3</v>
      </c>
    </row>
    <row r="372" spans="1:8">
      <c r="A372" s="73" t="s">
        <v>876</v>
      </c>
      <c r="B372" s="73" t="s">
        <v>30</v>
      </c>
      <c r="C372" s="73" t="s">
        <v>658</v>
      </c>
      <c r="D372" s="73" t="s">
        <v>659</v>
      </c>
      <c r="E372" s="73" t="s">
        <v>386</v>
      </c>
      <c r="F372" s="73" t="s">
        <v>378</v>
      </c>
      <c r="G372" s="72">
        <v>7.59</v>
      </c>
      <c r="H372" s="74">
        <v>1.853E-3</v>
      </c>
    </row>
    <row r="373" spans="1:8">
      <c r="A373" s="73" t="s">
        <v>876</v>
      </c>
      <c r="B373" s="73" t="s">
        <v>30</v>
      </c>
      <c r="C373" s="73" t="s">
        <v>158</v>
      </c>
      <c r="D373" s="73" t="s">
        <v>159</v>
      </c>
      <c r="E373" s="73" t="s">
        <v>386</v>
      </c>
      <c r="F373" s="73" t="s">
        <v>378</v>
      </c>
      <c r="G373" s="72">
        <v>3.41</v>
      </c>
      <c r="H373" s="74">
        <v>1.8220000000000001E-3</v>
      </c>
    </row>
    <row r="374" spans="1:8">
      <c r="A374" s="73" t="s">
        <v>876</v>
      </c>
      <c r="B374" s="73" t="s">
        <v>30</v>
      </c>
      <c r="C374" s="73" t="s">
        <v>75</v>
      </c>
      <c r="D374" s="73" t="s">
        <v>552</v>
      </c>
      <c r="E374" s="73" t="s">
        <v>386</v>
      </c>
      <c r="F374" s="73" t="s">
        <v>378</v>
      </c>
      <c r="G374" s="72">
        <v>3.5</v>
      </c>
      <c r="H374" s="74">
        <v>1.8129999999999999E-3</v>
      </c>
    </row>
    <row r="375" spans="1:8">
      <c r="A375" s="73" t="s">
        <v>876</v>
      </c>
      <c r="B375" s="73" t="s">
        <v>30</v>
      </c>
      <c r="C375" s="73" t="s">
        <v>481</v>
      </c>
      <c r="D375" s="73" t="s">
        <v>482</v>
      </c>
      <c r="E375" s="73" t="s">
        <v>386</v>
      </c>
      <c r="F375" s="73" t="s">
        <v>378</v>
      </c>
      <c r="G375" s="72">
        <v>5.29</v>
      </c>
      <c r="H375" s="74">
        <v>1.7149999999999999E-3</v>
      </c>
    </row>
    <row r="376" spans="1:8">
      <c r="A376" s="73" t="s">
        <v>876</v>
      </c>
      <c r="B376" s="73" t="s">
        <v>30</v>
      </c>
      <c r="C376" s="73" t="s">
        <v>667</v>
      </c>
      <c r="D376" s="73" t="s">
        <v>20</v>
      </c>
      <c r="E376" s="73" t="s">
        <v>385</v>
      </c>
      <c r="F376" s="73" t="s">
        <v>380</v>
      </c>
      <c r="G376" s="72">
        <v>0.06</v>
      </c>
      <c r="H376" s="74">
        <v>1.7099999999999999E-3</v>
      </c>
    </row>
    <row r="377" spans="1:8">
      <c r="A377" s="73" t="s">
        <v>876</v>
      </c>
      <c r="B377" s="73" t="s">
        <v>30</v>
      </c>
      <c r="C377" s="73" t="s">
        <v>478</v>
      </c>
      <c r="D377" s="73" t="s">
        <v>479</v>
      </c>
      <c r="E377" s="73" t="s">
        <v>386</v>
      </c>
      <c r="F377" s="73" t="s">
        <v>378</v>
      </c>
      <c r="G377" s="72">
        <v>8.6</v>
      </c>
      <c r="H377" s="74">
        <v>1.704E-3</v>
      </c>
    </row>
    <row r="378" spans="1:8">
      <c r="A378" s="73" t="s">
        <v>876</v>
      </c>
      <c r="B378" s="73" t="s">
        <v>30</v>
      </c>
      <c r="C378" s="73" t="s">
        <v>823</v>
      </c>
      <c r="D378" s="73" t="s">
        <v>824</v>
      </c>
      <c r="E378" s="73" t="s">
        <v>386</v>
      </c>
      <c r="F378" s="73" t="s">
        <v>378</v>
      </c>
      <c r="G378" s="72">
        <v>4.05</v>
      </c>
      <c r="H378" s="74">
        <v>1.7030000000000001E-3</v>
      </c>
    </row>
    <row r="379" spans="1:8">
      <c r="A379" s="73" t="s">
        <v>876</v>
      </c>
      <c r="B379" s="73" t="s">
        <v>30</v>
      </c>
      <c r="C379" s="73" t="s">
        <v>489</v>
      </c>
      <c r="D379" s="73" t="s">
        <v>334</v>
      </c>
      <c r="E379" s="73" t="s">
        <v>385</v>
      </c>
      <c r="F379" s="73" t="s">
        <v>378</v>
      </c>
      <c r="G379" s="72">
        <v>4.58</v>
      </c>
      <c r="H379" s="74">
        <v>1.6249999999999999E-3</v>
      </c>
    </row>
    <row r="380" spans="1:8">
      <c r="A380" s="73" t="s">
        <v>876</v>
      </c>
      <c r="B380" s="73" t="s">
        <v>30</v>
      </c>
      <c r="C380" s="73" t="s">
        <v>553</v>
      </c>
      <c r="D380" s="73" t="s">
        <v>554</v>
      </c>
      <c r="E380" s="73" t="s">
        <v>386</v>
      </c>
      <c r="F380" s="73" t="s">
        <v>378</v>
      </c>
      <c r="G380" s="72">
        <v>4.0199999999999996</v>
      </c>
      <c r="H380" s="74">
        <v>1.6169999999999999E-3</v>
      </c>
    </row>
    <row r="381" spans="1:8">
      <c r="A381" s="73" t="s">
        <v>876</v>
      </c>
      <c r="B381" s="73" t="s">
        <v>30</v>
      </c>
      <c r="C381" s="73" t="s">
        <v>675</v>
      </c>
      <c r="D381" s="73" t="s">
        <v>676</v>
      </c>
      <c r="E381" s="73" t="s">
        <v>385</v>
      </c>
      <c r="F381" s="73" t="s">
        <v>378</v>
      </c>
      <c r="G381" s="72">
        <v>0.14000000000000001</v>
      </c>
      <c r="H381" s="74">
        <v>1.6119999999999999E-3</v>
      </c>
    </row>
    <row r="382" spans="1:8">
      <c r="A382" s="73" t="s">
        <v>876</v>
      </c>
      <c r="B382" s="73" t="s">
        <v>30</v>
      </c>
      <c r="C382" s="73" t="s">
        <v>163</v>
      </c>
      <c r="D382" s="73" t="s">
        <v>503</v>
      </c>
      <c r="E382" s="73" t="s">
        <v>386</v>
      </c>
      <c r="F382" s="73" t="s">
        <v>378</v>
      </c>
      <c r="G382" s="72">
        <v>1.38</v>
      </c>
      <c r="H382" s="74">
        <v>1.609E-3</v>
      </c>
    </row>
    <row r="383" spans="1:8">
      <c r="A383" s="73" t="s">
        <v>876</v>
      </c>
      <c r="B383" s="73" t="s">
        <v>30</v>
      </c>
      <c r="C383" s="73" t="s">
        <v>84</v>
      </c>
      <c r="D383" s="73" t="s">
        <v>85</v>
      </c>
      <c r="E383" s="73" t="s">
        <v>386</v>
      </c>
      <c r="F383" s="73" t="s">
        <v>378</v>
      </c>
      <c r="G383" s="72">
        <v>2.98</v>
      </c>
      <c r="H383" s="74">
        <v>1.5410000000000001E-3</v>
      </c>
    </row>
    <row r="384" spans="1:8">
      <c r="A384" s="73" t="s">
        <v>876</v>
      </c>
      <c r="B384" s="73" t="s">
        <v>30</v>
      </c>
      <c r="C384" s="73" t="s">
        <v>495</v>
      </c>
      <c r="D384" s="73" t="s">
        <v>641</v>
      </c>
      <c r="E384" s="73" t="s">
        <v>386</v>
      </c>
      <c r="F384" s="73" t="s">
        <v>378</v>
      </c>
      <c r="G384" s="72">
        <v>4.4800000000000004</v>
      </c>
      <c r="H384" s="74">
        <v>1.516E-3</v>
      </c>
    </row>
    <row r="385" spans="1:8">
      <c r="A385" s="73" t="s">
        <v>876</v>
      </c>
      <c r="B385" s="73" t="s">
        <v>30</v>
      </c>
      <c r="C385" s="73" t="s">
        <v>105</v>
      </c>
      <c r="D385" s="73" t="s">
        <v>845</v>
      </c>
      <c r="E385" s="73" t="s">
        <v>386</v>
      </c>
      <c r="F385" s="73" t="s">
        <v>378</v>
      </c>
      <c r="G385" s="72">
        <v>1.99</v>
      </c>
      <c r="H385" s="74">
        <v>1.513E-3</v>
      </c>
    </row>
    <row r="386" spans="1:8">
      <c r="A386" s="73" t="s">
        <v>876</v>
      </c>
      <c r="B386" s="73" t="s">
        <v>30</v>
      </c>
      <c r="C386" s="73" t="s">
        <v>496</v>
      </c>
      <c r="D386" s="73" t="s">
        <v>497</v>
      </c>
      <c r="E386" s="73" t="s">
        <v>386</v>
      </c>
      <c r="F386" s="73" t="s">
        <v>378</v>
      </c>
      <c r="G386" s="72">
        <v>3.68</v>
      </c>
      <c r="H386" s="74">
        <v>1.4760000000000001E-3</v>
      </c>
    </row>
    <row r="387" spans="1:8">
      <c r="A387" s="73" t="s">
        <v>876</v>
      </c>
      <c r="B387" s="73" t="s">
        <v>30</v>
      </c>
      <c r="C387" s="73" t="s">
        <v>111</v>
      </c>
      <c r="D387" s="73" t="s">
        <v>555</v>
      </c>
      <c r="E387" s="73" t="s">
        <v>386</v>
      </c>
      <c r="F387" s="73" t="s">
        <v>378</v>
      </c>
      <c r="G387" s="72">
        <v>2.1800000000000002</v>
      </c>
      <c r="H387" s="74">
        <v>1.4710000000000001E-3</v>
      </c>
    </row>
    <row r="388" spans="1:8">
      <c r="A388" s="73" t="s">
        <v>876</v>
      </c>
      <c r="B388" s="73" t="s">
        <v>30</v>
      </c>
      <c r="C388" s="73" t="s">
        <v>21</v>
      </c>
      <c r="D388" s="73" t="s">
        <v>20</v>
      </c>
      <c r="E388" s="73" t="s">
        <v>385</v>
      </c>
      <c r="F388" s="73" t="s">
        <v>380</v>
      </c>
      <c r="G388" s="72">
        <v>0.08</v>
      </c>
      <c r="H388" s="74">
        <v>1.4530000000000001E-3</v>
      </c>
    </row>
    <row r="389" spans="1:8">
      <c r="A389" s="73" t="s">
        <v>876</v>
      </c>
      <c r="B389" s="73" t="s">
        <v>30</v>
      </c>
      <c r="C389" s="73" t="s">
        <v>161</v>
      </c>
      <c r="D389" s="73" t="s">
        <v>846</v>
      </c>
      <c r="E389" s="73" t="s">
        <v>386</v>
      </c>
      <c r="F389" s="73" t="s">
        <v>378</v>
      </c>
      <c r="G389" s="72">
        <v>0.72</v>
      </c>
      <c r="H389" s="74">
        <v>1.4499999999999999E-3</v>
      </c>
    </row>
    <row r="390" spans="1:8">
      <c r="A390" s="73" t="s">
        <v>876</v>
      </c>
      <c r="B390" s="73" t="s">
        <v>30</v>
      </c>
      <c r="C390" s="73" t="s">
        <v>21</v>
      </c>
      <c r="D390" s="73" t="s">
        <v>20</v>
      </c>
      <c r="E390" s="73" t="s">
        <v>385</v>
      </c>
      <c r="F390" s="73" t="s">
        <v>380</v>
      </c>
      <c r="G390" s="72">
        <v>0.33</v>
      </c>
      <c r="H390" s="74">
        <v>1.441E-3</v>
      </c>
    </row>
    <row r="391" spans="1:8">
      <c r="A391" s="73" t="s">
        <v>876</v>
      </c>
      <c r="B391" s="73" t="s">
        <v>30</v>
      </c>
      <c r="C391" s="73" t="s">
        <v>847</v>
      </c>
      <c r="D391" s="73" t="s">
        <v>848</v>
      </c>
      <c r="E391" s="73" t="s">
        <v>386</v>
      </c>
      <c r="F391" s="73" t="s">
        <v>378</v>
      </c>
      <c r="G391" s="72">
        <v>5.41</v>
      </c>
      <c r="H391" s="74">
        <v>1.4170000000000001E-3</v>
      </c>
    </row>
    <row r="392" spans="1:8">
      <c r="A392" s="73" t="s">
        <v>876</v>
      </c>
      <c r="B392" s="73" t="s">
        <v>30</v>
      </c>
      <c r="C392" s="73" t="s">
        <v>560</v>
      </c>
      <c r="D392" s="73" t="s">
        <v>338</v>
      </c>
      <c r="E392" s="73" t="s">
        <v>385</v>
      </c>
      <c r="F392" s="73" t="s">
        <v>378</v>
      </c>
      <c r="G392" s="72">
        <v>8.34</v>
      </c>
      <c r="H392" s="74">
        <v>1.4009999999999999E-3</v>
      </c>
    </row>
    <row r="393" spans="1:8">
      <c r="A393" s="73" t="s">
        <v>876</v>
      </c>
      <c r="B393" s="73" t="s">
        <v>30</v>
      </c>
      <c r="C393" s="73" t="s">
        <v>495</v>
      </c>
      <c r="D393" s="73" t="s">
        <v>825</v>
      </c>
      <c r="E393" s="73" t="s">
        <v>386</v>
      </c>
      <c r="F393" s="73" t="s">
        <v>378</v>
      </c>
      <c r="G393" s="72">
        <v>7.75</v>
      </c>
      <c r="H393" s="74">
        <v>1.3389999999999999E-3</v>
      </c>
    </row>
    <row r="394" spans="1:8">
      <c r="A394" s="73" t="s">
        <v>876</v>
      </c>
      <c r="B394" s="73" t="s">
        <v>30</v>
      </c>
      <c r="C394" s="73" t="s">
        <v>59</v>
      </c>
      <c r="D394" s="73" t="s">
        <v>60</v>
      </c>
      <c r="E394" s="73" t="s">
        <v>385</v>
      </c>
      <c r="F394" s="73" t="s">
        <v>378</v>
      </c>
      <c r="G394" s="72">
        <v>2.54</v>
      </c>
      <c r="H394" s="74">
        <v>1.3240000000000001E-3</v>
      </c>
    </row>
    <row r="395" spans="1:8">
      <c r="A395" s="73" t="s">
        <v>876</v>
      </c>
      <c r="B395" s="73" t="s">
        <v>30</v>
      </c>
      <c r="C395" s="73" t="s">
        <v>558</v>
      </c>
      <c r="D395" s="73" t="s">
        <v>559</v>
      </c>
      <c r="E395" s="73" t="s">
        <v>385</v>
      </c>
      <c r="F395" s="73" t="s">
        <v>378</v>
      </c>
      <c r="G395" s="72">
        <v>2.99</v>
      </c>
      <c r="H395" s="74">
        <v>1.323E-3</v>
      </c>
    </row>
    <row r="396" spans="1:8">
      <c r="A396" s="73" t="s">
        <v>876</v>
      </c>
      <c r="B396" s="73" t="s">
        <v>30</v>
      </c>
      <c r="C396" s="73" t="s">
        <v>107</v>
      </c>
      <c r="D396" s="73" t="s">
        <v>878</v>
      </c>
      <c r="E396" s="73" t="s">
        <v>385</v>
      </c>
      <c r="F396" s="73" t="s">
        <v>517</v>
      </c>
      <c r="G396" s="72">
        <v>2.59</v>
      </c>
      <c r="H396" s="74">
        <v>1.297E-3</v>
      </c>
    </row>
    <row r="397" spans="1:8">
      <c r="A397" s="73" t="s">
        <v>876</v>
      </c>
      <c r="B397" s="73" t="s">
        <v>30</v>
      </c>
      <c r="C397" s="73" t="s">
        <v>510</v>
      </c>
      <c r="D397" s="73" t="s">
        <v>342</v>
      </c>
      <c r="E397" s="73" t="s">
        <v>385</v>
      </c>
      <c r="F397" s="73" t="s">
        <v>378</v>
      </c>
      <c r="G397" s="72">
        <v>1.98</v>
      </c>
      <c r="H397" s="74">
        <v>1.2700000000000001E-3</v>
      </c>
    </row>
    <row r="398" spans="1:8">
      <c r="A398" s="73" t="s">
        <v>876</v>
      </c>
      <c r="B398" s="73" t="s">
        <v>30</v>
      </c>
      <c r="C398" s="73" t="s">
        <v>556</v>
      </c>
      <c r="D398" s="73" t="s">
        <v>557</v>
      </c>
      <c r="E398" s="73" t="s">
        <v>386</v>
      </c>
      <c r="F398" s="73" t="s">
        <v>378</v>
      </c>
      <c r="G398" s="72">
        <v>4.09</v>
      </c>
      <c r="H398" s="74">
        <v>1.2489999999999999E-3</v>
      </c>
    </row>
    <row r="399" spans="1:8">
      <c r="A399" s="73" t="s">
        <v>876</v>
      </c>
      <c r="B399" s="73" t="s">
        <v>30</v>
      </c>
      <c r="C399" s="73" t="s">
        <v>483</v>
      </c>
      <c r="D399" s="73" t="s">
        <v>484</v>
      </c>
      <c r="E399" s="73" t="s">
        <v>386</v>
      </c>
      <c r="F399" s="73" t="s">
        <v>378</v>
      </c>
      <c r="G399" s="72">
        <v>10.77</v>
      </c>
      <c r="H399" s="74">
        <v>1.2149999999999999E-3</v>
      </c>
    </row>
    <row r="400" spans="1:8">
      <c r="A400" s="73" t="s">
        <v>876</v>
      </c>
      <c r="B400" s="73" t="s">
        <v>30</v>
      </c>
      <c r="C400" s="73" t="s">
        <v>75</v>
      </c>
      <c r="D400" s="73" t="s">
        <v>233</v>
      </c>
      <c r="E400" s="73" t="s">
        <v>386</v>
      </c>
      <c r="F400" s="73" t="s">
        <v>378</v>
      </c>
      <c r="G400" s="72">
        <v>1.38</v>
      </c>
      <c r="H400" s="74">
        <v>1.1360000000000001E-3</v>
      </c>
    </row>
    <row r="401" spans="1:8">
      <c r="A401" s="73" t="s">
        <v>876</v>
      </c>
      <c r="B401" s="73" t="s">
        <v>30</v>
      </c>
      <c r="C401" s="73" t="s">
        <v>765</v>
      </c>
      <c r="D401" s="73" t="s">
        <v>849</v>
      </c>
      <c r="E401" s="73" t="s">
        <v>386</v>
      </c>
      <c r="F401" s="73" t="s">
        <v>378</v>
      </c>
      <c r="G401" s="72">
        <v>2.0499999999999998</v>
      </c>
      <c r="H401" s="74">
        <v>1.127E-3</v>
      </c>
    </row>
    <row r="402" spans="1:8">
      <c r="A402" s="73" t="s">
        <v>876</v>
      </c>
      <c r="B402" s="73" t="s">
        <v>30</v>
      </c>
      <c r="C402" s="73" t="s">
        <v>490</v>
      </c>
      <c r="D402" s="73" t="s">
        <v>491</v>
      </c>
      <c r="E402" s="73" t="s">
        <v>386</v>
      </c>
      <c r="F402" s="73" t="s">
        <v>378</v>
      </c>
      <c r="G402" s="72">
        <v>4.8499999999999996</v>
      </c>
      <c r="H402" s="74">
        <v>1.0989999999999999E-3</v>
      </c>
    </row>
    <row r="403" spans="1:8">
      <c r="A403" s="73" t="s">
        <v>876</v>
      </c>
      <c r="B403" s="73" t="s">
        <v>30</v>
      </c>
      <c r="C403" s="73" t="s">
        <v>166</v>
      </c>
      <c r="D403" s="73" t="s">
        <v>167</v>
      </c>
      <c r="E403" s="73" t="s">
        <v>385</v>
      </c>
      <c r="F403" s="73" t="s">
        <v>378</v>
      </c>
      <c r="G403" s="72">
        <v>0.01</v>
      </c>
      <c r="H403" s="74">
        <v>1.098E-3</v>
      </c>
    </row>
    <row r="404" spans="1:8">
      <c r="A404" s="73" t="s">
        <v>876</v>
      </c>
      <c r="B404" s="73" t="s">
        <v>30</v>
      </c>
      <c r="C404" s="73" t="s">
        <v>492</v>
      </c>
      <c r="D404" s="73" t="s">
        <v>660</v>
      </c>
      <c r="E404" s="73" t="s">
        <v>386</v>
      </c>
      <c r="F404" s="73" t="s">
        <v>378</v>
      </c>
      <c r="G404" s="72">
        <v>4.72</v>
      </c>
      <c r="H404" s="74">
        <v>1.0579999999999999E-3</v>
      </c>
    </row>
    <row r="405" spans="1:8">
      <c r="A405" s="73" t="s">
        <v>876</v>
      </c>
      <c r="B405" s="73" t="s">
        <v>30</v>
      </c>
      <c r="C405" s="73" t="s">
        <v>424</v>
      </c>
      <c r="D405" s="73" t="s">
        <v>425</v>
      </c>
      <c r="E405" s="73" t="s">
        <v>386</v>
      </c>
      <c r="F405" s="73" t="s">
        <v>378</v>
      </c>
      <c r="G405" s="72">
        <v>11.64</v>
      </c>
      <c r="H405" s="74">
        <v>1.0480000000000001E-3</v>
      </c>
    </row>
    <row r="406" spans="1:8">
      <c r="A406" s="73" t="s">
        <v>876</v>
      </c>
      <c r="B406" s="73" t="s">
        <v>30</v>
      </c>
      <c r="C406" s="73" t="s">
        <v>667</v>
      </c>
      <c r="D406" s="73" t="s">
        <v>850</v>
      </c>
      <c r="E406" s="73" t="s">
        <v>386</v>
      </c>
      <c r="F406" s="73" t="s">
        <v>378</v>
      </c>
      <c r="G406" s="72">
        <v>5.07</v>
      </c>
      <c r="H406" s="74">
        <v>1.0430000000000001E-3</v>
      </c>
    </row>
    <row r="407" spans="1:8">
      <c r="A407" s="73" t="s">
        <v>876</v>
      </c>
      <c r="B407" s="73" t="s">
        <v>30</v>
      </c>
      <c r="C407" s="73" t="s">
        <v>661</v>
      </c>
      <c r="D407" s="73" t="s">
        <v>662</v>
      </c>
      <c r="E407" s="73" t="s">
        <v>386</v>
      </c>
      <c r="F407" s="73" t="s">
        <v>378</v>
      </c>
      <c r="G407" s="72">
        <v>7.72</v>
      </c>
      <c r="H407" s="74">
        <v>1.0369999999999999E-3</v>
      </c>
    </row>
    <row r="408" spans="1:8">
      <c r="A408" s="73" t="s">
        <v>876</v>
      </c>
      <c r="B408" s="73" t="s">
        <v>30</v>
      </c>
      <c r="C408" s="73" t="s">
        <v>54</v>
      </c>
      <c r="D408" s="73" t="s">
        <v>55</v>
      </c>
      <c r="E408" s="73" t="s">
        <v>386</v>
      </c>
      <c r="F408" s="73" t="s">
        <v>378</v>
      </c>
      <c r="G408" s="72">
        <v>11.16</v>
      </c>
      <c r="H408" s="74">
        <v>1.0250000000000001E-3</v>
      </c>
    </row>
    <row r="409" spans="1:8">
      <c r="A409" s="73" t="s">
        <v>876</v>
      </c>
      <c r="B409" s="73" t="s">
        <v>30</v>
      </c>
      <c r="C409" s="73" t="s">
        <v>26</v>
      </c>
      <c r="D409" s="73" t="s">
        <v>20</v>
      </c>
      <c r="E409" s="73" t="s">
        <v>385</v>
      </c>
      <c r="F409" s="73" t="s">
        <v>380</v>
      </c>
      <c r="G409" s="72">
        <v>0.71</v>
      </c>
      <c r="H409" s="74">
        <v>1.023E-3</v>
      </c>
    </row>
    <row r="410" spans="1:8">
      <c r="A410" s="73" t="s">
        <v>876</v>
      </c>
      <c r="B410" s="73" t="s">
        <v>30</v>
      </c>
      <c r="C410" s="73" t="s">
        <v>485</v>
      </c>
      <c r="D410" s="73" t="s">
        <v>486</v>
      </c>
      <c r="E410" s="73" t="s">
        <v>386</v>
      </c>
      <c r="F410" s="73" t="s">
        <v>378</v>
      </c>
      <c r="G410" s="72">
        <v>2.99</v>
      </c>
      <c r="H410" s="74">
        <v>1.0169999999999999E-3</v>
      </c>
    </row>
    <row r="411" spans="1:8">
      <c r="A411" s="73" t="s">
        <v>876</v>
      </c>
      <c r="B411" s="73" t="s">
        <v>30</v>
      </c>
      <c r="C411" s="73" t="s">
        <v>493</v>
      </c>
      <c r="D411" s="73" t="s">
        <v>494</v>
      </c>
      <c r="E411" s="73" t="s">
        <v>386</v>
      </c>
      <c r="F411" s="73" t="s">
        <v>378</v>
      </c>
      <c r="G411" s="72">
        <v>1.94</v>
      </c>
      <c r="H411" s="74">
        <v>1.016E-3</v>
      </c>
    </row>
    <row r="412" spans="1:8">
      <c r="A412" s="73" t="s">
        <v>876</v>
      </c>
      <c r="B412" s="73" t="s">
        <v>30</v>
      </c>
      <c r="C412" s="73" t="s">
        <v>562</v>
      </c>
      <c r="D412" s="73" t="s">
        <v>563</v>
      </c>
      <c r="E412" s="73" t="s">
        <v>386</v>
      </c>
      <c r="F412" s="73" t="s">
        <v>378</v>
      </c>
      <c r="G412" s="72">
        <v>4.3</v>
      </c>
      <c r="H412" s="74">
        <v>9.7000000000000005E-4</v>
      </c>
    </row>
    <row r="413" spans="1:8">
      <c r="A413" s="73" t="s">
        <v>876</v>
      </c>
      <c r="B413" s="73" t="s">
        <v>30</v>
      </c>
      <c r="C413" s="73" t="s">
        <v>493</v>
      </c>
      <c r="D413" s="73" t="s">
        <v>498</v>
      </c>
      <c r="E413" s="73" t="s">
        <v>386</v>
      </c>
      <c r="F413" s="73" t="s">
        <v>378</v>
      </c>
      <c r="G413" s="72">
        <v>1.94</v>
      </c>
      <c r="H413" s="74">
        <v>9.6699999999999998E-4</v>
      </c>
    </row>
    <row r="414" spans="1:8">
      <c r="A414" s="73" t="s">
        <v>876</v>
      </c>
      <c r="B414" s="73" t="s">
        <v>30</v>
      </c>
      <c r="C414" s="73" t="s">
        <v>527</v>
      </c>
      <c r="D414" s="73" t="s">
        <v>353</v>
      </c>
      <c r="E414" s="73" t="s">
        <v>385</v>
      </c>
      <c r="F414" s="73" t="s">
        <v>378</v>
      </c>
      <c r="G414" s="72">
        <v>4.17</v>
      </c>
      <c r="H414" s="74">
        <v>9.6400000000000001E-4</v>
      </c>
    </row>
    <row r="415" spans="1:8">
      <c r="A415" s="73" t="s">
        <v>876</v>
      </c>
      <c r="B415" s="73" t="s">
        <v>30</v>
      </c>
      <c r="C415" s="73" t="s">
        <v>826</v>
      </c>
      <c r="D415" s="73" t="s">
        <v>827</v>
      </c>
      <c r="E415" s="73" t="s">
        <v>385</v>
      </c>
      <c r="F415" s="73" t="s">
        <v>378</v>
      </c>
      <c r="G415" s="72">
        <v>5.62</v>
      </c>
      <c r="H415" s="74">
        <v>9.5699999999999995E-4</v>
      </c>
    </row>
    <row r="416" spans="1:8">
      <c r="A416" s="73" t="s">
        <v>876</v>
      </c>
      <c r="B416" s="73" t="s">
        <v>30</v>
      </c>
      <c r="C416" s="73" t="s">
        <v>643</v>
      </c>
      <c r="D416" s="73" t="s">
        <v>20</v>
      </c>
      <c r="E416" s="73" t="s">
        <v>385</v>
      </c>
      <c r="F416" s="73" t="s">
        <v>505</v>
      </c>
      <c r="G416" s="72">
        <v>0.22</v>
      </c>
      <c r="H416" s="74">
        <v>9.5500000000000001E-4</v>
      </c>
    </row>
    <row r="417" spans="1:8">
      <c r="A417" s="73" t="s">
        <v>876</v>
      </c>
      <c r="B417" s="73" t="s">
        <v>30</v>
      </c>
      <c r="C417" s="73" t="s">
        <v>87</v>
      </c>
      <c r="D417" s="73" t="s">
        <v>789</v>
      </c>
      <c r="E417" s="73" t="s">
        <v>385</v>
      </c>
      <c r="F417" s="73" t="s">
        <v>378</v>
      </c>
      <c r="G417" s="72">
        <v>6.98</v>
      </c>
      <c r="H417" s="74">
        <v>9.0300000000000005E-4</v>
      </c>
    </row>
    <row r="418" spans="1:8">
      <c r="A418" s="73" t="s">
        <v>876</v>
      </c>
      <c r="B418" s="73" t="s">
        <v>30</v>
      </c>
      <c r="C418" s="73" t="s">
        <v>642</v>
      </c>
      <c r="D418" s="73" t="s">
        <v>639</v>
      </c>
      <c r="E418" s="73" t="s">
        <v>385</v>
      </c>
      <c r="F418" s="73" t="s">
        <v>378</v>
      </c>
      <c r="G418" s="72">
        <v>7.93</v>
      </c>
      <c r="H418" s="74">
        <v>9.0200000000000002E-4</v>
      </c>
    </row>
    <row r="419" spans="1:8">
      <c r="A419" s="73" t="s">
        <v>876</v>
      </c>
      <c r="B419" s="73" t="s">
        <v>30</v>
      </c>
      <c r="C419" s="73" t="s">
        <v>21</v>
      </c>
      <c r="D419" s="73" t="s">
        <v>20</v>
      </c>
      <c r="E419" s="73" t="s">
        <v>385</v>
      </c>
      <c r="F419" s="73" t="s">
        <v>380</v>
      </c>
      <c r="G419" s="72">
        <v>0.18</v>
      </c>
      <c r="H419" s="74">
        <v>8.8999999999999995E-4</v>
      </c>
    </row>
    <row r="420" spans="1:8">
      <c r="A420" s="73" t="s">
        <v>876</v>
      </c>
      <c r="B420" s="73" t="s">
        <v>30</v>
      </c>
      <c r="C420" s="73" t="s">
        <v>493</v>
      </c>
      <c r="D420" s="73" t="s">
        <v>513</v>
      </c>
      <c r="E420" s="73" t="s">
        <v>386</v>
      </c>
      <c r="F420" s="73" t="s">
        <v>378</v>
      </c>
      <c r="G420" s="72">
        <v>0.54</v>
      </c>
      <c r="H420" s="74">
        <v>8.7100000000000003E-4</v>
      </c>
    </row>
    <row r="421" spans="1:8">
      <c r="A421" s="73" t="s">
        <v>876</v>
      </c>
      <c r="B421" s="73" t="s">
        <v>30</v>
      </c>
      <c r="C421" s="73" t="s">
        <v>158</v>
      </c>
      <c r="D421" s="73" t="s">
        <v>800</v>
      </c>
      <c r="E421" s="73" t="s">
        <v>386</v>
      </c>
      <c r="F421" s="73" t="s">
        <v>378</v>
      </c>
      <c r="G421" s="72">
        <v>9.1300000000000008</v>
      </c>
      <c r="H421" s="74">
        <v>8.3299999999999997E-4</v>
      </c>
    </row>
    <row r="422" spans="1:8">
      <c r="A422" s="73" t="s">
        <v>876</v>
      </c>
      <c r="B422" s="73" t="s">
        <v>30</v>
      </c>
      <c r="C422" s="73" t="s">
        <v>502</v>
      </c>
      <c r="D422" s="73" t="s">
        <v>319</v>
      </c>
      <c r="E422" s="73" t="s">
        <v>386</v>
      </c>
      <c r="F422" s="73" t="s">
        <v>378</v>
      </c>
      <c r="G422" s="72">
        <v>1.53</v>
      </c>
      <c r="H422" s="74">
        <v>8.3299999999999997E-4</v>
      </c>
    </row>
    <row r="423" spans="1:8">
      <c r="A423" s="73" t="s">
        <v>876</v>
      </c>
      <c r="B423" s="73" t="s">
        <v>30</v>
      </c>
      <c r="C423" s="73" t="s">
        <v>70</v>
      </c>
      <c r="D423" s="73" t="s">
        <v>74</v>
      </c>
      <c r="E423" s="73" t="s">
        <v>386</v>
      </c>
      <c r="F423" s="73" t="s">
        <v>378</v>
      </c>
      <c r="G423" s="72">
        <v>11.09</v>
      </c>
      <c r="H423" s="74">
        <v>8.3000000000000001E-4</v>
      </c>
    </row>
    <row r="424" spans="1:8">
      <c r="A424" s="73" t="s">
        <v>876</v>
      </c>
      <c r="B424" s="73" t="s">
        <v>30</v>
      </c>
      <c r="C424" s="73" t="s">
        <v>828</v>
      </c>
      <c r="D424" s="73" t="s">
        <v>829</v>
      </c>
      <c r="E424" s="73" t="s">
        <v>386</v>
      </c>
      <c r="F424" s="73" t="s">
        <v>378</v>
      </c>
      <c r="G424" s="72">
        <v>2.3199999999999998</v>
      </c>
      <c r="H424" s="74">
        <v>8.0599999999999997E-4</v>
      </c>
    </row>
    <row r="425" spans="1:8">
      <c r="A425" s="73" t="s">
        <v>876</v>
      </c>
      <c r="B425" s="73" t="s">
        <v>30</v>
      </c>
      <c r="C425" s="73" t="s">
        <v>851</v>
      </c>
      <c r="D425" s="73" t="s">
        <v>852</v>
      </c>
      <c r="E425" s="73" t="s">
        <v>386</v>
      </c>
      <c r="F425" s="73" t="s">
        <v>378</v>
      </c>
      <c r="G425" s="72">
        <v>1.42</v>
      </c>
      <c r="H425" s="74">
        <v>7.8399999999999997E-4</v>
      </c>
    </row>
    <row r="426" spans="1:8">
      <c r="A426" s="73" t="s">
        <v>876</v>
      </c>
      <c r="B426" s="73" t="s">
        <v>30</v>
      </c>
      <c r="C426" s="73" t="s">
        <v>421</v>
      </c>
      <c r="D426" s="73" t="s">
        <v>20</v>
      </c>
      <c r="E426" s="73" t="s">
        <v>385</v>
      </c>
      <c r="F426" s="73" t="s">
        <v>380</v>
      </c>
      <c r="G426" s="72">
        <v>0.44</v>
      </c>
      <c r="H426" s="74">
        <v>7.8299999999999995E-4</v>
      </c>
    </row>
    <row r="427" spans="1:8">
      <c r="A427" s="73" t="s">
        <v>876</v>
      </c>
      <c r="B427" s="73" t="s">
        <v>30</v>
      </c>
      <c r="C427" s="73" t="s">
        <v>84</v>
      </c>
      <c r="D427" s="73" t="s">
        <v>504</v>
      </c>
      <c r="E427" s="73" t="s">
        <v>386</v>
      </c>
      <c r="F427" s="73" t="s">
        <v>378</v>
      </c>
      <c r="G427" s="72">
        <v>7.09</v>
      </c>
      <c r="H427" s="74">
        <v>7.6999999999999996E-4</v>
      </c>
    </row>
    <row r="428" spans="1:8">
      <c r="A428" s="73" t="s">
        <v>876</v>
      </c>
      <c r="B428" s="73" t="s">
        <v>30</v>
      </c>
      <c r="C428" s="73" t="s">
        <v>541</v>
      </c>
      <c r="D428" s="73" t="s">
        <v>20</v>
      </c>
      <c r="E428" s="73" t="s">
        <v>385</v>
      </c>
      <c r="F428" s="73" t="s">
        <v>380</v>
      </c>
      <c r="G428" s="72">
        <v>0.22</v>
      </c>
      <c r="H428" s="74">
        <v>7.6300000000000001E-4</v>
      </c>
    </row>
    <row r="429" spans="1:8">
      <c r="A429" s="73" t="s">
        <v>876</v>
      </c>
      <c r="B429" s="73" t="s">
        <v>30</v>
      </c>
      <c r="C429" s="73" t="s">
        <v>62</v>
      </c>
      <c r="D429" s="73" t="s">
        <v>63</v>
      </c>
      <c r="E429" s="73" t="s">
        <v>386</v>
      </c>
      <c r="F429" s="73" t="s">
        <v>378</v>
      </c>
      <c r="G429" s="72">
        <v>6.66</v>
      </c>
      <c r="H429" s="74">
        <v>7.45E-4</v>
      </c>
    </row>
    <row r="430" spans="1:8">
      <c r="A430" s="73" t="s">
        <v>876</v>
      </c>
      <c r="B430" s="73" t="s">
        <v>30</v>
      </c>
      <c r="C430" s="73" t="s">
        <v>29</v>
      </c>
      <c r="D430" s="73" t="s">
        <v>20</v>
      </c>
      <c r="E430" s="73" t="s">
        <v>385</v>
      </c>
      <c r="F430" s="73" t="s">
        <v>380</v>
      </c>
      <c r="G430" s="72">
        <v>0.16</v>
      </c>
      <c r="H430" s="74">
        <v>7.3800000000000005E-4</v>
      </c>
    </row>
    <row r="431" spans="1:8">
      <c r="A431" s="73" t="s">
        <v>876</v>
      </c>
      <c r="B431" s="73" t="s">
        <v>30</v>
      </c>
      <c r="C431" s="73" t="s">
        <v>148</v>
      </c>
      <c r="D431" s="73" t="s">
        <v>149</v>
      </c>
      <c r="E431" s="73" t="s">
        <v>386</v>
      </c>
      <c r="F431" s="73" t="s">
        <v>378</v>
      </c>
      <c r="G431" s="72">
        <v>7.03</v>
      </c>
      <c r="H431" s="74">
        <v>7.3300000000000004E-4</v>
      </c>
    </row>
    <row r="432" spans="1:8">
      <c r="A432" s="73" t="s">
        <v>876</v>
      </c>
      <c r="B432" s="73" t="s">
        <v>30</v>
      </c>
      <c r="C432" s="73" t="s">
        <v>765</v>
      </c>
      <c r="D432" s="73" t="s">
        <v>853</v>
      </c>
      <c r="E432" s="73" t="s">
        <v>386</v>
      </c>
      <c r="F432" s="73" t="s">
        <v>378</v>
      </c>
      <c r="G432" s="72">
        <v>0.39</v>
      </c>
      <c r="H432" s="74">
        <v>7.1400000000000001E-4</v>
      </c>
    </row>
    <row r="433" spans="1:8">
      <c r="A433" s="73" t="s">
        <v>876</v>
      </c>
      <c r="B433" s="73" t="s">
        <v>30</v>
      </c>
      <c r="C433" s="73" t="s">
        <v>105</v>
      </c>
      <c r="D433" s="73" t="s">
        <v>106</v>
      </c>
      <c r="E433" s="73" t="s">
        <v>386</v>
      </c>
      <c r="F433" s="73" t="s">
        <v>378</v>
      </c>
      <c r="G433" s="72">
        <v>10.16</v>
      </c>
      <c r="H433" s="74">
        <v>7.1199999999999996E-4</v>
      </c>
    </row>
    <row r="434" spans="1:8">
      <c r="A434" s="73" t="s">
        <v>876</v>
      </c>
      <c r="B434" s="73" t="s">
        <v>30</v>
      </c>
      <c r="C434" s="73" t="s">
        <v>542</v>
      </c>
      <c r="D434" s="73" t="s">
        <v>543</v>
      </c>
      <c r="E434" s="73" t="s">
        <v>386</v>
      </c>
      <c r="F434" s="73" t="s">
        <v>378</v>
      </c>
      <c r="G434" s="72">
        <v>5.5</v>
      </c>
      <c r="H434" s="74">
        <v>6.9499999999999998E-4</v>
      </c>
    </row>
    <row r="435" spans="1:8">
      <c r="A435" s="73" t="s">
        <v>876</v>
      </c>
      <c r="B435" s="73" t="s">
        <v>30</v>
      </c>
      <c r="C435" s="73" t="s">
        <v>161</v>
      </c>
      <c r="D435" s="73" t="s">
        <v>162</v>
      </c>
      <c r="E435" s="73" t="s">
        <v>386</v>
      </c>
      <c r="F435" s="73" t="s">
        <v>378</v>
      </c>
      <c r="G435" s="72">
        <v>3.49</v>
      </c>
      <c r="H435" s="74">
        <v>6.9099999999999999E-4</v>
      </c>
    </row>
    <row r="436" spans="1:8">
      <c r="A436" s="73" t="s">
        <v>876</v>
      </c>
      <c r="B436" s="73" t="s">
        <v>30</v>
      </c>
      <c r="C436" s="73" t="s">
        <v>86</v>
      </c>
      <c r="D436" s="73" t="s">
        <v>523</v>
      </c>
      <c r="E436" s="73" t="s">
        <v>385</v>
      </c>
      <c r="F436" s="73" t="s">
        <v>378</v>
      </c>
      <c r="G436" s="72">
        <v>0.8</v>
      </c>
      <c r="H436" s="74">
        <v>6.87E-4</v>
      </c>
    </row>
    <row r="437" spans="1:8">
      <c r="A437" s="73" t="s">
        <v>876</v>
      </c>
      <c r="B437" s="73" t="s">
        <v>30</v>
      </c>
      <c r="C437" s="73" t="s">
        <v>506</v>
      </c>
      <c r="D437" s="73" t="s">
        <v>507</v>
      </c>
      <c r="E437" s="73" t="s">
        <v>386</v>
      </c>
      <c r="F437" s="73" t="s">
        <v>378</v>
      </c>
      <c r="G437" s="72">
        <v>10.78</v>
      </c>
      <c r="H437" s="74">
        <v>6.7000000000000002E-4</v>
      </c>
    </row>
    <row r="438" spans="1:8">
      <c r="A438" s="73" t="s">
        <v>876</v>
      </c>
      <c r="B438" s="73" t="s">
        <v>30</v>
      </c>
      <c r="C438" s="73" t="s">
        <v>46</v>
      </c>
      <c r="D438" s="73" t="s">
        <v>568</v>
      </c>
      <c r="E438" s="73" t="s">
        <v>386</v>
      </c>
      <c r="F438" s="73" t="s">
        <v>378</v>
      </c>
      <c r="G438" s="72">
        <v>2.6</v>
      </c>
      <c r="H438" s="74">
        <v>6.4999999999999997E-4</v>
      </c>
    </row>
    <row r="439" spans="1:8">
      <c r="A439" s="73" t="s">
        <v>876</v>
      </c>
      <c r="B439" s="73" t="s">
        <v>30</v>
      </c>
      <c r="C439" s="73" t="s">
        <v>50</v>
      </c>
      <c r="D439" s="73" t="s">
        <v>256</v>
      </c>
      <c r="E439" s="73" t="s">
        <v>386</v>
      </c>
      <c r="F439" s="73" t="s">
        <v>378</v>
      </c>
      <c r="G439" s="72">
        <v>11.84</v>
      </c>
      <c r="H439" s="74">
        <v>6.3100000000000005E-4</v>
      </c>
    </row>
    <row r="440" spans="1:8">
      <c r="A440" s="73" t="s">
        <v>876</v>
      </c>
      <c r="B440" s="73" t="s">
        <v>30</v>
      </c>
      <c r="C440" s="73" t="s">
        <v>161</v>
      </c>
      <c r="D440" s="73" t="s">
        <v>566</v>
      </c>
      <c r="E440" s="73" t="s">
        <v>386</v>
      </c>
      <c r="F440" s="73" t="s">
        <v>378</v>
      </c>
      <c r="G440" s="72">
        <v>1.55</v>
      </c>
      <c r="H440" s="74">
        <v>6.2699999999999995E-4</v>
      </c>
    </row>
    <row r="441" spans="1:8">
      <c r="A441" s="73" t="s">
        <v>876</v>
      </c>
      <c r="B441" s="73" t="s">
        <v>30</v>
      </c>
      <c r="C441" s="73" t="s">
        <v>831</v>
      </c>
      <c r="D441" s="73" t="s">
        <v>832</v>
      </c>
      <c r="E441" s="73" t="s">
        <v>385</v>
      </c>
      <c r="F441" s="73" t="s">
        <v>517</v>
      </c>
      <c r="G441" s="72">
        <v>0</v>
      </c>
      <c r="H441" s="74">
        <v>6.2200000000000005E-4</v>
      </c>
    </row>
    <row r="442" spans="1:8">
      <c r="A442" s="73" t="s">
        <v>876</v>
      </c>
      <c r="B442" s="73" t="s">
        <v>30</v>
      </c>
      <c r="C442" s="73" t="s">
        <v>62</v>
      </c>
      <c r="D442" s="73" t="s">
        <v>519</v>
      </c>
      <c r="E442" s="73" t="s">
        <v>386</v>
      </c>
      <c r="F442" s="73" t="s">
        <v>378</v>
      </c>
      <c r="G442" s="72">
        <v>5.89</v>
      </c>
      <c r="H442" s="74">
        <v>6.1499999999999999E-4</v>
      </c>
    </row>
    <row r="443" spans="1:8">
      <c r="A443" s="73" t="s">
        <v>876</v>
      </c>
      <c r="B443" s="73" t="s">
        <v>30</v>
      </c>
      <c r="C443" s="73" t="s">
        <v>508</v>
      </c>
      <c r="D443" s="73" t="s">
        <v>509</v>
      </c>
      <c r="E443" s="73" t="s">
        <v>386</v>
      </c>
      <c r="F443" s="73" t="s">
        <v>378</v>
      </c>
      <c r="G443" s="72">
        <v>7.76</v>
      </c>
      <c r="H443" s="74">
        <v>5.7799999999999995E-4</v>
      </c>
    </row>
    <row r="444" spans="1:8">
      <c r="A444" s="73" t="s">
        <v>876</v>
      </c>
      <c r="B444" s="73" t="s">
        <v>30</v>
      </c>
      <c r="C444" s="73" t="s">
        <v>119</v>
      </c>
      <c r="D444" s="73" t="s">
        <v>169</v>
      </c>
      <c r="E444" s="73" t="s">
        <v>386</v>
      </c>
      <c r="F444" s="73" t="s">
        <v>378</v>
      </c>
      <c r="G444" s="72">
        <v>2.4300000000000002</v>
      </c>
      <c r="H444" s="74">
        <v>5.7499999999999999E-4</v>
      </c>
    </row>
    <row r="445" spans="1:8">
      <c r="A445" s="73" t="s">
        <v>876</v>
      </c>
      <c r="B445" s="73" t="s">
        <v>30</v>
      </c>
      <c r="C445" s="73" t="s">
        <v>59</v>
      </c>
      <c r="D445" s="73" t="s">
        <v>570</v>
      </c>
      <c r="E445" s="73" t="s">
        <v>385</v>
      </c>
      <c r="F445" s="73" t="s">
        <v>378</v>
      </c>
      <c r="G445" s="72">
        <v>2.2000000000000002</v>
      </c>
      <c r="H445" s="74">
        <v>5.5800000000000001E-4</v>
      </c>
    </row>
    <row r="446" spans="1:8">
      <c r="A446" s="73" t="s">
        <v>876</v>
      </c>
      <c r="B446" s="73" t="s">
        <v>30</v>
      </c>
      <c r="C446" s="73" t="s">
        <v>213</v>
      </c>
      <c r="D446" s="73" t="s">
        <v>784</v>
      </c>
      <c r="E446" s="73" t="s">
        <v>386</v>
      </c>
      <c r="F446" s="73" t="s">
        <v>378</v>
      </c>
      <c r="G446" s="72">
        <v>2.16</v>
      </c>
      <c r="H446" s="74">
        <v>5.5500000000000005E-4</v>
      </c>
    </row>
    <row r="447" spans="1:8">
      <c r="A447" s="73" t="s">
        <v>876</v>
      </c>
      <c r="B447" s="73" t="s">
        <v>30</v>
      </c>
      <c r="C447" s="73" t="s">
        <v>50</v>
      </c>
      <c r="D447" s="73" t="s">
        <v>514</v>
      </c>
      <c r="E447" s="73" t="s">
        <v>386</v>
      </c>
      <c r="F447" s="73" t="s">
        <v>378</v>
      </c>
      <c r="G447" s="72">
        <v>11.01</v>
      </c>
      <c r="H447" s="74">
        <v>5.4500000000000002E-4</v>
      </c>
    </row>
    <row r="448" spans="1:8">
      <c r="A448" s="73" t="s">
        <v>876</v>
      </c>
      <c r="B448" s="73" t="s">
        <v>30</v>
      </c>
      <c r="C448" s="73" t="s">
        <v>46</v>
      </c>
      <c r="D448" s="73" t="s">
        <v>259</v>
      </c>
      <c r="E448" s="73" t="s">
        <v>386</v>
      </c>
      <c r="F448" s="73" t="s">
        <v>378</v>
      </c>
      <c r="G448" s="72">
        <v>5.76</v>
      </c>
      <c r="H448" s="74">
        <v>5.31E-4</v>
      </c>
    </row>
    <row r="449" spans="1:8">
      <c r="A449" s="73" t="s">
        <v>876</v>
      </c>
      <c r="B449" s="73" t="s">
        <v>30</v>
      </c>
      <c r="C449" s="73" t="s">
        <v>219</v>
      </c>
      <c r="D449" s="73" t="s">
        <v>572</v>
      </c>
      <c r="E449" s="73" t="s">
        <v>386</v>
      </c>
      <c r="F449" s="73" t="s">
        <v>378</v>
      </c>
      <c r="G449" s="72">
        <v>3.06</v>
      </c>
      <c r="H449" s="74">
        <v>5.2999999999999998E-4</v>
      </c>
    </row>
    <row r="450" spans="1:8">
      <c r="A450" s="73" t="s">
        <v>876</v>
      </c>
      <c r="B450" s="73" t="s">
        <v>30</v>
      </c>
      <c r="C450" s="73" t="s">
        <v>535</v>
      </c>
      <c r="D450" s="73" t="s">
        <v>316</v>
      </c>
      <c r="E450" s="73" t="s">
        <v>385</v>
      </c>
      <c r="F450" s="73" t="s">
        <v>378</v>
      </c>
      <c r="G450" s="72">
        <v>1.19</v>
      </c>
      <c r="H450" s="74">
        <v>5.1800000000000001E-4</v>
      </c>
    </row>
    <row r="451" spans="1:8">
      <c r="A451" s="73" t="s">
        <v>876</v>
      </c>
      <c r="B451" s="73" t="s">
        <v>30</v>
      </c>
      <c r="C451" s="73" t="s">
        <v>421</v>
      </c>
      <c r="D451" s="73" t="s">
        <v>20</v>
      </c>
      <c r="E451" s="73" t="s">
        <v>385</v>
      </c>
      <c r="F451" s="73" t="s">
        <v>380</v>
      </c>
      <c r="G451" s="72">
        <v>0.65</v>
      </c>
      <c r="H451" s="74">
        <v>5.1599999999999997E-4</v>
      </c>
    </row>
    <row r="452" spans="1:8">
      <c r="A452" s="73" t="s">
        <v>876</v>
      </c>
      <c r="B452" s="73" t="s">
        <v>30</v>
      </c>
      <c r="C452" s="73" t="s">
        <v>421</v>
      </c>
      <c r="D452" s="73" t="s">
        <v>20</v>
      </c>
      <c r="E452" s="73" t="s">
        <v>385</v>
      </c>
      <c r="F452" s="73" t="s">
        <v>380</v>
      </c>
      <c r="G452" s="72">
        <v>0.72</v>
      </c>
      <c r="H452" s="74">
        <v>5.0000000000000001E-4</v>
      </c>
    </row>
    <row r="453" spans="1:8">
      <c r="A453" s="73" t="s">
        <v>876</v>
      </c>
      <c r="B453" s="73" t="s">
        <v>30</v>
      </c>
      <c r="C453" s="73" t="s">
        <v>625</v>
      </c>
      <c r="D453" s="73" t="s">
        <v>20</v>
      </c>
      <c r="E453" s="73" t="s">
        <v>385</v>
      </c>
      <c r="F453" s="73" t="s">
        <v>380</v>
      </c>
      <c r="G453" s="72">
        <v>0</v>
      </c>
      <c r="H453" s="74">
        <v>4.8500000000000003E-4</v>
      </c>
    </row>
    <row r="454" spans="1:8">
      <c r="A454" s="73" t="s">
        <v>876</v>
      </c>
      <c r="B454" s="73" t="s">
        <v>30</v>
      </c>
      <c r="C454" s="73" t="s">
        <v>31</v>
      </c>
      <c r="D454" s="73" t="s">
        <v>20</v>
      </c>
      <c r="E454" s="73" t="s">
        <v>385</v>
      </c>
      <c r="F454" s="73" t="s">
        <v>380</v>
      </c>
      <c r="G454" s="72">
        <v>0.09</v>
      </c>
      <c r="H454" s="74">
        <v>4.84E-4</v>
      </c>
    </row>
    <row r="455" spans="1:8">
      <c r="A455" s="73" t="s">
        <v>876</v>
      </c>
      <c r="B455" s="73" t="s">
        <v>30</v>
      </c>
      <c r="C455" s="73" t="s">
        <v>23</v>
      </c>
      <c r="D455" s="73" t="s">
        <v>20</v>
      </c>
      <c r="E455" s="73" t="s">
        <v>385</v>
      </c>
      <c r="F455" s="73" t="s">
        <v>380</v>
      </c>
      <c r="G455" s="72">
        <v>0.17</v>
      </c>
      <c r="H455" s="74">
        <v>4.8299999999999998E-4</v>
      </c>
    </row>
    <row r="456" spans="1:8">
      <c r="A456" s="73" t="s">
        <v>876</v>
      </c>
      <c r="B456" s="73" t="s">
        <v>30</v>
      </c>
      <c r="C456" s="73" t="s">
        <v>421</v>
      </c>
      <c r="D456" s="73" t="s">
        <v>20</v>
      </c>
      <c r="E456" s="73" t="s">
        <v>385</v>
      </c>
      <c r="F456" s="73" t="s">
        <v>380</v>
      </c>
      <c r="G456" s="72">
        <v>0.2</v>
      </c>
      <c r="H456" s="74">
        <v>4.8200000000000001E-4</v>
      </c>
    </row>
    <row r="457" spans="1:8">
      <c r="A457" s="73" t="s">
        <v>876</v>
      </c>
      <c r="B457" s="73" t="s">
        <v>30</v>
      </c>
      <c r="C457" s="73" t="s">
        <v>515</v>
      </c>
      <c r="D457" s="73" t="s">
        <v>516</v>
      </c>
      <c r="E457" s="73" t="s">
        <v>385</v>
      </c>
      <c r="F457" s="73" t="s">
        <v>517</v>
      </c>
      <c r="G457" s="72">
        <v>0</v>
      </c>
      <c r="H457" s="74">
        <v>4.8099999999999998E-4</v>
      </c>
    </row>
    <row r="458" spans="1:8">
      <c r="A458" s="73" t="s">
        <v>876</v>
      </c>
      <c r="B458" s="73" t="s">
        <v>30</v>
      </c>
      <c r="C458" s="73" t="s">
        <v>31</v>
      </c>
      <c r="D458" s="73" t="s">
        <v>20</v>
      </c>
      <c r="E458" s="73" t="s">
        <v>385</v>
      </c>
      <c r="F458" s="73" t="s">
        <v>380</v>
      </c>
      <c r="G458" s="72">
        <v>0.41</v>
      </c>
      <c r="H458" s="74">
        <v>4.7899999999999999E-4</v>
      </c>
    </row>
    <row r="459" spans="1:8">
      <c r="A459" s="73" t="s">
        <v>876</v>
      </c>
      <c r="B459" s="73" t="s">
        <v>30</v>
      </c>
      <c r="C459" s="73" t="s">
        <v>500</v>
      </c>
      <c r="D459" s="73" t="s">
        <v>501</v>
      </c>
      <c r="E459" s="73" t="s">
        <v>386</v>
      </c>
      <c r="F459" s="73" t="s">
        <v>378</v>
      </c>
      <c r="G459" s="72">
        <v>7.46</v>
      </c>
      <c r="H459" s="74">
        <v>4.7399999999999997E-4</v>
      </c>
    </row>
    <row r="460" spans="1:8">
      <c r="A460" s="73" t="s">
        <v>876</v>
      </c>
      <c r="B460" s="73" t="s">
        <v>30</v>
      </c>
      <c r="C460" s="73" t="s">
        <v>51</v>
      </c>
      <c r="D460" s="73" t="s">
        <v>52</v>
      </c>
      <c r="E460" s="73" t="s">
        <v>386</v>
      </c>
      <c r="F460" s="73" t="s">
        <v>378</v>
      </c>
      <c r="G460" s="72">
        <v>0.06</v>
      </c>
      <c r="H460" s="74">
        <v>4.6000000000000001E-4</v>
      </c>
    </row>
    <row r="461" spans="1:8">
      <c r="A461" s="73" t="s">
        <v>876</v>
      </c>
      <c r="B461" s="73" t="s">
        <v>30</v>
      </c>
      <c r="C461" s="73" t="s">
        <v>21</v>
      </c>
      <c r="D461" s="73" t="s">
        <v>20</v>
      </c>
      <c r="E461" s="73" t="s">
        <v>385</v>
      </c>
      <c r="F461" s="73" t="s">
        <v>380</v>
      </c>
      <c r="G461" s="72">
        <v>0.52</v>
      </c>
      <c r="H461" s="74">
        <v>4.3899999999999999E-4</v>
      </c>
    </row>
    <row r="462" spans="1:8">
      <c r="A462" s="73" t="s">
        <v>876</v>
      </c>
      <c r="B462" s="73" t="s">
        <v>30</v>
      </c>
      <c r="C462" s="73" t="s">
        <v>110</v>
      </c>
      <c r="D462" s="73" t="s">
        <v>573</v>
      </c>
      <c r="E462" s="73" t="s">
        <v>386</v>
      </c>
      <c r="F462" s="73" t="s">
        <v>378</v>
      </c>
      <c r="G462" s="72">
        <v>1.1599999999999999</v>
      </c>
      <c r="H462" s="74">
        <v>4.3800000000000002E-4</v>
      </c>
    </row>
    <row r="463" spans="1:8">
      <c r="A463" s="73" t="s">
        <v>876</v>
      </c>
      <c r="B463" s="73" t="s">
        <v>30</v>
      </c>
      <c r="C463" s="73" t="s">
        <v>119</v>
      </c>
      <c r="D463" s="73" t="s">
        <v>171</v>
      </c>
      <c r="E463" s="73" t="s">
        <v>386</v>
      </c>
      <c r="F463" s="73" t="s">
        <v>378</v>
      </c>
      <c r="G463" s="72">
        <v>2.89</v>
      </c>
      <c r="H463" s="74">
        <v>4.37E-4</v>
      </c>
    </row>
    <row r="464" spans="1:8">
      <c r="A464" s="73" t="s">
        <v>876</v>
      </c>
      <c r="B464" s="73" t="s">
        <v>30</v>
      </c>
      <c r="C464" s="73" t="s">
        <v>508</v>
      </c>
      <c r="D464" s="73" t="s">
        <v>538</v>
      </c>
      <c r="E464" s="73" t="s">
        <v>386</v>
      </c>
      <c r="F464" s="73" t="s">
        <v>378</v>
      </c>
      <c r="G464" s="72">
        <v>3.26</v>
      </c>
      <c r="H464" s="74">
        <v>4.2700000000000002E-4</v>
      </c>
    </row>
    <row r="465" spans="1:8">
      <c r="A465" s="73" t="s">
        <v>876</v>
      </c>
      <c r="B465" s="73" t="s">
        <v>30</v>
      </c>
      <c r="C465" s="73" t="s">
        <v>492</v>
      </c>
      <c r="D465" s="73" t="s">
        <v>833</v>
      </c>
      <c r="E465" s="73" t="s">
        <v>386</v>
      </c>
      <c r="F465" s="73" t="s">
        <v>378</v>
      </c>
      <c r="G465" s="72">
        <v>4.25</v>
      </c>
      <c r="H465" s="74">
        <v>4.15E-4</v>
      </c>
    </row>
    <row r="466" spans="1:8">
      <c r="A466" s="73" t="s">
        <v>876</v>
      </c>
      <c r="B466" s="73" t="s">
        <v>30</v>
      </c>
      <c r="C466" s="73" t="s">
        <v>520</v>
      </c>
      <c r="D466" s="73" t="s">
        <v>521</v>
      </c>
      <c r="E466" s="73" t="s">
        <v>386</v>
      </c>
      <c r="F466" s="73" t="s">
        <v>378</v>
      </c>
      <c r="G466" s="72">
        <v>3.03</v>
      </c>
      <c r="H466" s="74">
        <v>4.15E-4</v>
      </c>
    </row>
    <row r="467" spans="1:8">
      <c r="A467" s="73" t="s">
        <v>876</v>
      </c>
      <c r="B467" s="73" t="s">
        <v>30</v>
      </c>
      <c r="C467" s="73" t="s">
        <v>86</v>
      </c>
      <c r="D467" s="73" t="s">
        <v>636</v>
      </c>
      <c r="E467" s="73" t="s">
        <v>386</v>
      </c>
      <c r="F467" s="73" t="s">
        <v>378</v>
      </c>
      <c r="G467" s="72">
        <v>4.54</v>
      </c>
      <c r="H467" s="74">
        <v>4.08E-4</v>
      </c>
    </row>
    <row r="468" spans="1:8">
      <c r="A468" s="73" t="s">
        <v>876</v>
      </c>
      <c r="B468" s="73" t="s">
        <v>30</v>
      </c>
      <c r="C468" s="73" t="s">
        <v>502</v>
      </c>
      <c r="D468" s="73" t="s">
        <v>759</v>
      </c>
      <c r="E468" s="73" t="s">
        <v>386</v>
      </c>
      <c r="F468" s="73" t="s">
        <v>378</v>
      </c>
      <c r="G468" s="72">
        <v>3.55</v>
      </c>
      <c r="H468" s="74">
        <v>4.0200000000000001E-4</v>
      </c>
    </row>
    <row r="469" spans="1:8">
      <c r="A469" s="73" t="s">
        <v>876</v>
      </c>
      <c r="B469" s="73" t="s">
        <v>30</v>
      </c>
      <c r="C469" s="73" t="s">
        <v>54</v>
      </c>
      <c r="D469" s="73" t="s">
        <v>567</v>
      </c>
      <c r="E469" s="73" t="s">
        <v>385</v>
      </c>
      <c r="F469" s="73" t="s">
        <v>378</v>
      </c>
      <c r="G469" s="72">
        <v>2.36</v>
      </c>
      <c r="H469" s="74">
        <v>3.9300000000000001E-4</v>
      </c>
    </row>
    <row r="470" spans="1:8">
      <c r="A470" s="73" t="s">
        <v>876</v>
      </c>
      <c r="B470" s="73" t="s">
        <v>30</v>
      </c>
      <c r="C470" s="73" t="s">
        <v>500</v>
      </c>
      <c r="D470" s="73" t="s">
        <v>534</v>
      </c>
      <c r="E470" s="73" t="s">
        <v>386</v>
      </c>
      <c r="F470" s="73" t="s">
        <v>378</v>
      </c>
      <c r="G470" s="72">
        <v>5.05</v>
      </c>
      <c r="H470" s="74">
        <v>3.9199999999999999E-4</v>
      </c>
    </row>
    <row r="471" spans="1:8">
      <c r="A471" s="73" t="s">
        <v>876</v>
      </c>
      <c r="B471" s="73" t="s">
        <v>30</v>
      </c>
      <c r="C471" s="73" t="s">
        <v>80</v>
      </c>
      <c r="D471" s="73" t="s">
        <v>524</v>
      </c>
      <c r="E471" s="73" t="s">
        <v>386</v>
      </c>
      <c r="F471" s="73" t="s">
        <v>378</v>
      </c>
      <c r="G471" s="72">
        <v>11.16</v>
      </c>
      <c r="H471" s="74">
        <v>3.8000000000000002E-4</v>
      </c>
    </row>
    <row r="472" spans="1:8">
      <c r="A472" s="73" t="s">
        <v>876</v>
      </c>
      <c r="B472" s="73" t="s">
        <v>30</v>
      </c>
      <c r="C472" s="73" t="s">
        <v>50</v>
      </c>
      <c r="D472" s="73" t="s">
        <v>576</v>
      </c>
      <c r="E472" s="73" t="s">
        <v>386</v>
      </c>
      <c r="F472" s="73" t="s">
        <v>378</v>
      </c>
      <c r="G472" s="72">
        <v>6</v>
      </c>
      <c r="H472" s="74">
        <v>3.7599999999999998E-4</v>
      </c>
    </row>
    <row r="473" spans="1:8">
      <c r="A473" s="73" t="s">
        <v>876</v>
      </c>
      <c r="B473" s="73" t="s">
        <v>30</v>
      </c>
      <c r="C473" s="73" t="s">
        <v>225</v>
      </c>
      <c r="D473" s="73" t="s">
        <v>226</v>
      </c>
      <c r="E473" s="73" t="s">
        <v>386</v>
      </c>
      <c r="F473" s="73" t="s">
        <v>378</v>
      </c>
      <c r="G473" s="72">
        <v>0.92</v>
      </c>
      <c r="H473" s="74">
        <v>3.7300000000000001E-4</v>
      </c>
    </row>
    <row r="474" spans="1:8">
      <c r="A474" s="73" t="s">
        <v>876</v>
      </c>
      <c r="B474" s="73" t="s">
        <v>30</v>
      </c>
      <c r="C474" s="73" t="s">
        <v>219</v>
      </c>
      <c r="D474" s="73" t="s">
        <v>574</v>
      </c>
      <c r="E474" s="73" t="s">
        <v>386</v>
      </c>
      <c r="F474" s="73" t="s">
        <v>378</v>
      </c>
      <c r="G474" s="72">
        <v>2.4</v>
      </c>
      <c r="H474" s="74">
        <v>3.6999999999999999E-4</v>
      </c>
    </row>
    <row r="475" spans="1:8">
      <c r="A475" s="73" t="s">
        <v>876</v>
      </c>
      <c r="B475" s="73" t="s">
        <v>30</v>
      </c>
      <c r="C475" s="73" t="s">
        <v>511</v>
      </c>
      <c r="D475" s="73" t="s">
        <v>590</v>
      </c>
      <c r="E475" s="73" t="s">
        <v>386</v>
      </c>
      <c r="F475" s="73" t="s">
        <v>378</v>
      </c>
      <c r="G475" s="72">
        <v>7.08</v>
      </c>
      <c r="H475" s="74">
        <v>3.6499999999999998E-4</v>
      </c>
    </row>
    <row r="476" spans="1:8">
      <c r="A476" s="73" t="s">
        <v>876</v>
      </c>
      <c r="B476" s="73" t="s">
        <v>30</v>
      </c>
      <c r="C476" s="73" t="s">
        <v>105</v>
      </c>
      <c r="D476" s="73" t="s">
        <v>577</v>
      </c>
      <c r="E476" s="73" t="s">
        <v>385</v>
      </c>
      <c r="F476" s="73" t="s">
        <v>378</v>
      </c>
      <c r="G476" s="72">
        <v>1.1000000000000001</v>
      </c>
      <c r="H476" s="74">
        <v>3.4699999999999998E-4</v>
      </c>
    </row>
    <row r="477" spans="1:8">
      <c r="A477" s="73" t="s">
        <v>876</v>
      </c>
      <c r="B477" s="73" t="s">
        <v>30</v>
      </c>
      <c r="C477" s="73" t="s">
        <v>174</v>
      </c>
      <c r="D477" s="73" t="s">
        <v>175</v>
      </c>
      <c r="E477" s="73" t="s">
        <v>386</v>
      </c>
      <c r="F477" s="73" t="s">
        <v>575</v>
      </c>
      <c r="G477" s="72">
        <v>4.05</v>
      </c>
      <c r="H477" s="74">
        <v>3.3700000000000001E-4</v>
      </c>
    </row>
    <row r="478" spans="1:8">
      <c r="A478" s="73" t="s">
        <v>876</v>
      </c>
      <c r="B478" s="73" t="s">
        <v>30</v>
      </c>
      <c r="C478" s="73" t="s">
        <v>105</v>
      </c>
      <c r="D478" s="73" t="s">
        <v>834</v>
      </c>
      <c r="E478" s="73" t="s">
        <v>386</v>
      </c>
      <c r="F478" s="73" t="s">
        <v>378</v>
      </c>
      <c r="G478" s="72">
        <v>1.46</v>
      </c>
      <c r="H478" s="74">
        <v>3.3300000000000002E-4</v>
      </c>
    </row>
    <row r="479" spans="1:8">
      <c r="A479" s="73" t="s">
        <v>876</v>
      </c>
      <c r="B479" s="73" t="s">
        <v>30</v>
      </c>
      <c r="C479" s="73" t="s">
        <v>67</v>
      </c>
      <c r="D479" s="73" t="s">
        <v>528</v>
      </c>
      <c r="E479" s="73" t="s">
        <v>386</v>
      </c>
      <c r="F479" s="73" t="s">
        <v>378</v>
      </c>
      <c r="G479" s="72">
        <v>10.119999999999999</v>
      </c>
      <c r="H479" s="74">
        <v>3.1399999999999999E-4</v>
      </c>
    </row>
    <row r="480" spans="1:8">
      <c r="A480" s="73" t="s">
        <v>876</v>
      </c>
      <c r="B480" s="73" t="s">
        <v>30</v>
      </c>
      <c r="C480" s="73" t="s">
        <v>31</v>
      </c>
      <c r="D480" s="73" t="s">
        <v>177</v>
      </c>
      <c r="E480" s="73" t="s">
        <v>386</v>
      </c>
      <c r="F480" s="73" t="s">
        <v>575</v>
      </c>
      <c r="G480" s="72">
        <v>2.85</v>
      </c>
      <c r="H480" s="74">
        <v>3.0699999999999998E-4</v>
      </c>
    </row>
    <row r="481" spans="1:8">
      <c r="A481" s="73" t="s">
        <v>876</v>
      </c>
      <c r="B481" s="73" t="s">
        <v>30</v>
      </c>
      <c r="C481" s="73" t="s">
        <v>111</v>
      </c>
      <c r="D481" s="73" t="s">
        <v>292</v>
      </c>
      <c r="E481" s="73" t="s">
        <v>386</v>
      </c>
      <c r="F481" s="73" t="s">
        <v>378</v>
      </c>
      <c r="G481" s="72">
        <v>10.83</v>
      </c>
      <c r="H481" s="74">
        <v>3.0299999999999999E-4</v>
      </c>
    </row>
    <row r="482" spans="1:8">
      <c r="A482" s="73" t="s">
        <v>876</v>
      </c>
      <c r="B482" s="73" t="s">
        <v>30</v>
      </c>
      <c r="C482" s="73" t="s">
        <v>107</v>
      </c>
      <c r="D482" s="73" t="s">
        <v>217</v>
      </c>
      <c r="E482" s="73" t="s">
        <v>385</v>
      </c>
      <c r="F482" s="73" t="s">
        <v>378</v>
      </c>
      <c r="G482" s="72">
        <v>0.22</v>
      </c>
      <c r="H482" s="74">
        <v>2.9700000000000001E-4</v>
      </c>
    </row>
    <row r="483" spans="1:8">
      <c r="A483" s="73" t="s">
        <v>876</v>
      </c>
      <c r="B483" s="73" t="s">
        <v>30</v>
      </c>
      <c r="C483" s="73" t="s">
        <v>29</v>
      </c>
      <c r="D483" s="73" t="s">
        <v>20</v>
      </c>
      <c r="E483" s="73" t="s">
        <v>385</v>
      </c>
      <c r="F483" s="73" t="s">
        <v>380</v>
      </c>
      <c r="G483" s="72">
        <v>0.61</v>
      </c>
      <c r="H483" s="74">
        <v>2.7999999999999998E-4</v>
      </c>
    </row>
    <row r="484" spans="1:8">
      <c r="A484" s="73" t="s">
        <v>876</v>
      </c>
      <c r="B484" s="73" t="s">
        <v>30</v>
      </c>
      <c r="C484" s="73" t="s">
        <v>493</v>
      </c>
      <c r="D484" s="73" t="s">
        <v>616</v>
      </c>
      <c r="E484" s="73" t="s">
        <v>386</v>
      </c>
      <c r="F484" s="73" t="s">
        <v>378</v>
      </c>
      <c r="G484" s="72">
        <v>4.42</v>
      </c>
      <c r="H484" s="74">
        <v>2.7399999999999999E-4</v>
      </c>
    </row>
    <row r="485" spans="1:8">
      <c r="A485" s="73" t="s">
        <v>876</v>
      </c>
      <c r="B485" s="73" t="s">
        <v>30</v>
      </c>
      <c r="C485" s="73" t="s">
        <v>107</v>
      </c>
      <c r="D485" s="73" t="s">
        <v>571</v>
      </c>
      <c r="E485" s="73" t="s">
        <v>385</v>
      </c>
      <c r="F485" s="73" t="s">
        <v>378</v>
      </c>
      <c r="G485" s="72">
        <v>1.9</v>
      </c>
      <c r="H485" s="74">
        <v>2.6499999999999999E-4</v>
      </c>
    </row>
    <row r="486" spans="1:8">
      <c r="A486" s="73" t="s">
        <v>876</v>
      </c>
      <c r="B486" s="73" t="s">
        <v>30</v>
      </c>
      <c r="C486" s="73" t="s">
        <v>107</v>
      </c>
      <c r="D486" s="73" t="s">
        <v>579</v>
      </c>
      <c r="E486" s="73" t="s">
        <v>385</v>
      </c>
      <c r="F486" s="73" t="s">
        <v>378</v>
      </c>
      <c r="G486" s="72">
        <v>0.96</v>
      </c>
      <c r="H486" s="74">
        <v>2.5900000000000001E-4</v>
      </c>
    </row>
    <row r="487" spans="1:8">
      <c r="A487" s="73" t="s">
        <v>876</v>
      </c>
      <c r="B487" s="73" t="s">
        <v>30</v>
      </c>
      <c r="C487" s="73" t="s">
        <v>421</v>
      </c>
      <c r="D487" s="73" t="s">
        <v>20</v>
      </c>
      <c r="E487" s="73" t="s">
        <v>385</v>
      </c>
      <c r="F487" s="73" t="s">
        <v>380</v>
      </c>
      <c r="G487" s="72">
        <v>0.7</v>
      </c>
      <c r="H487" s="74">
        <v>2.5599999999999999E-4</v>
      </c>
    </row>
    <row r="488" spans="1:8">
      <c r="A488" s="73" t="s">
        <v>876</v>
      </c>
      <c r="B488" s="73" t="s">
        <v>30</v>
      </c>
      <c r="C488" s="73" t="s">
        <v>21</v>
      </c>
      <c r="D488" s="73" t="s">
        <v>20</v>
      </c>
      <c r="E488" s="73" t="s">
        <v>385</v>
      </c>
      <c r="F488" s="73" t="s">
        <v>380</v>
      </c>
      <c r="G488" s="72">
        <v>0.09</v>
      </c>
      <c r="H488" s="74">
        <v>2.5599999999999999E-4</v>
      </c>
    </row>
    <row r="489" spans="1:8">
      <c r="A489" s="73" t="s">
        <v>876</v>
      </c>
      <c r="B489" s="73" t="s">
        <v>30</v>
      </c>
      <c r="C489" s="73" t="s">
        <v>163</v>
      </c>
      <c r="D489" s="73" t="s">
        <v>20</v>
      </c>
      <c r="E489" s="73" t="s">
        <v>385</v>
      </c>
      <c r="F489" s="73" t="s">
        <v>380</v>
      </c>
      <c r="G489" s="72">
        <v>0.06</v>
      </c>
      <c r="H489" s="74">
        <v>2.3800000000000001E-4</v>
      </c>
    </row>
    <row r="490" spans="1:8">
      <c r="A490" s="73" t="s">
        <v>876</v>
      </c>
      <c r="B490" s="73" t="s">
        <v>30</v>
      </c>
      <c r="C490" s="73" t="s">
        <v>26</v>
      </c>
      <c r="D490" s="73" t="s">
        <v>20</v>
      </c>
      <c r="E490" s="73" t="s">
        <v>385</v>
      </c>
      <c r="F490" s="73" t="s">
        <v>380</v>
      </c>
      <c r="G490" s="72">
        <v>0.65</v>
      </c>
      <c r="H490" s="74">
        <v>2.33E-4</v>
      </c>
    </row>
    <row r="491" spans="1:8">
      <c r="A491" s="73" t="s">
        <v>876</v>
      </c>
      <c r="B491" s="73" t="s">
        <v>30</v>
      </c>
      <c r="C491" s="73" t="s">
        <v>163</v>
      </c>
      <c r="D491" s="73" t="s">
        <v>20</v>
      </c>
      <c r="E491" s="73" t="s">
        <v>385</v>
      </c>
      <c r="F491" s="73" t="s">
        <v>380</v>
      </c>
      <c r="G491" s="72">
        <v>0.7</v>
      </c>
      <c r="H491" s="74">
        <v>2.32E-4</v>
      </c>
    </row>
    <row r="492" spans="1:8">
      <c r="A492" s="73" t="s">
        <v>876</v>
      </c>
      <c r="B492" s="73" t="s">
        <v>30</v>
      </c>
      <c r="C492" s="73" t="s">
        <v>26</v>
      </c>
      <c r="D492" s="73" t="s">
        <v>20</v>
      </c>
      <c r="E492" s="73" t="s">
        <v>385</v>
      </c>
      <c r="F492" s="73" t="s">
        <v>380</v>
      </c>
      <c r="G492" s="72">
        <v>0.24</v>
      </c>
      <c r="H492" s="74">
        <v>2.3000000000000001E-4</v>
      </c>
    </row>
    <row r="493" spans="1:8">
      <c r="A493" s="73" t="s">
        <v>876</v>
      </c>
      <c r="B493" s="73" t="s">
        <v>30</v>
      </c>
      <c r="C493" s="73" t="s">
        <v>31</v>
      </c>
      <c r="D493" s="73" t="s">
        <v>179</v>
      </c>
      <c r="E493" s="73" t="s">
        <v>386</v>
      </c>
      <c r="F493" s="73" t="s">
        <v>575</v>
      </c>
      <c r="G493" s="72">
        <v>8.4</v>
      </c>
      <c r="H493" s="74">
        <v>2.1699999999999999E-4</v>
      </c>
    </row>
    <row r="494" spans="1:8">
      <c r="A494" s="73" t="s">
        <v>876</v>
      </c>
      <c r="B494" s="73" t="s">
        <v>30</v>
      </c>
      <c r="C494" s="73" t="s">
        <v>210</v>
      </c>
      <c r="D494" s="73" t="s">
        <v>211</v>
      </c>
      <c r="E494" s="73" t="s">
        <v>386</v>
      </c>
      <c r="F494" s="73" t="s">
        <v>378</v>
      </c>
      <c r="G494" s="72">
        <v>0.93</v>
      </c>
      <c r="H494" s="74">
        <v>2.04E-4</v>
      </c>
    </row>
    <row r="495" spans="1:8">
      <c r="A495" s="73" t="s">
        <v>876</v>
      </c>
      <c r="B495" s="73" t="s">
        <v>30</v>
      </c>
      <c r="C495" s="73" t="s">
        <v>835</v>
      </c>
      <c r="D495" s="73" t="s">
        <v>20</v>
      </c>
      <c r="E495" s="73" t="s">
        <v>385</v>
      </c>
      <c r="F495" s="73" t="s">
        <v>505</v>
      </c>
      <c r="G495" s="72">
        <v>0.22</v>
      </c>
      <c r="H495" s="74">
        <v>1.9900000000000001E-4</v>
      </c>
    </row>
    <row r="496" spans="1:8">
      <c r="A496" s="73" t="s">
        <v>876</v>
      </c>
      <c r="B496" s="73" t="s">
        <v>30</v>
      </c>
      <c r="C496" s="73" t="s">
        <v>105</v>
      </c>
      <c r="D496" s="73" t="s">
        <v>532</v>
      </c>
      <c r="E496" s="73" t="s">
        <v>386</v>
      </c>
      <c r="F496" s="73" t="s">
        <v>378</v>
      </c>
      <c r="G496" s="72">
        <v>14.49</v>
      </c>
      <c r="H496" s="74">
        <v>1.9599999999999999E-4</v>
      </c>
    </row>
    <row r="497" spans="1:8">
      <c r="A497" s="73" t="s">
        <v>876</v>
      </c>
      <c r="B497" s="73" t="s">
        <v>30</v>
      </c>
      <c r="C497" s="73" t="s">
        <v>174</v>
      </c>
      <c r="D497" s="73" t="s">
        <v>181</v>
      </c>
      <c r="E497" s="73" t="s">
        <v>386</v>
      </c>
      <c r="F497" s="73" t="s">
        <v>575</v>
      </c>
      <c r="G497" s="72">
        <v>5.14</v>
      </c>
      <c r="H497" s="74">
        <v>1.9599999999999999E-4</v>
      </c>
    </row>
    <row r="498" spans="1:8">
      <c r="A498" s="73" t="s">
        <v>876</v>
      </c>
      <c r="B498" s="73" t="s">
        <v>30</v>
      </c>
      <c r="C498" s="73" t="s">
        <v>668</v>
      </c>
      <c r="D498" s="73" t="s">
        <v>20</v>
      </c>
      <c r="E498" s="73" t="s">
        <v>385</v>
      </c>
      <c r="F498" s="73" t="s">
        <v>380</v>
      </c>
      <c r="G498" s="72">
        <v>0.45</v>
      </c>
      <c r="H498" s="74">
        <v>1.8799999999999999E-4</v>
      </c>
    </row>
    <row r="499" spans="1:8">
      <c r="A499" s="73" t="s">
        <v>876</v>
      </c>
      <c r="B499" s="73" t="s">
        <v>30</v>
      </c>
      <c r="C499" s="73" t="s">
        <v>854</v>
      </c>
      <c r="D499" s="73" t="s">
        <v>855</v>
      </c>
      <c r="E499" s="73" t="s">
        <v>386</v>
      </c>
      <c r="F499" s="73" t="s">
        <v>378</v>
      </c>
      <c r="G499" s="72">
        <v>1.75</v>
      </c>
      <c r="H499" s="74">
        <v>1.85E-4</v>
      </c>
    </row>
    <row r="500" spans="1:8">
      <c r="A500" s="73" t="s">
        <v>876</v>
      </c>
      <c r="B500" s="73" t="s">
        <v>30</v>
      </c>
      <c r="C500" s="73" t="s">
        <v>86</v>
      </c>
      <c r="D500" s="73" t="s">
        <v>223</v>
      </c>
      <c r="E500" s="73" t="s">
        <v>386</v>
      </c>
      <c r="F500" s="73" t="s">
        <v>378</v>
      </c>
      <c r="G500" s="72">
        <v>0.22</v>
      </c>
      <c r="H500" s="74">
        <v>1.7100000000000001E-4</v>
      </c>
    </row>
    <row r="501" spans="1:8">
      <c r="A501" s="73" t="s">
        <v>876</v>
      </c>
      <c r="B501" s="73" t="s">
        <v>30</v>
      </c>
      <c r="C501" s="73" t="s">
        <v>189</v>
      </c>
      <c r="D501" s="73" t="s">
        <v>190</v>
      </c>
      <c r="E501" s="73" t="s">
        <v>386</v>
      </c>
      <c r="F501" s="73" t="s">
        <v>378</v>
      </c>
      <c r="G501" s="72">
        <v>9.3000000000000007</v>
      </c>
      <c r="H501" s="74">
        <v>1.5300000000000001E-4</v>
      </c>
    </row>
    <row r="502" spans="1:8">
      <c r="A502" s="73" t="s">
        <v>876</v>
      </c>
      <c r="B502" s="73" t="s">
        <v>30</v>
      </c>
      <c r="C502" s="73" t="s">
        <v>50</v>
      </c>
      <c r="D502" s="73" t="s">
        <v>533</v>
      </c>
      <c r="E502" s="73" t="s">
        <v>386</v>
      </c>
      <c r="F502" s="73" t="s">
        <v>378</v>
      </c>
      <c r="G502" s="72">
        <v>4.2699999999999996</v>
      </c>
      <c r="H502" s="74">
        <v>1.4899999999999999E-4</v>
      </c>
    </row>
    <row r="503" spans="1:8">
      <c r="A503" s="73" t="s">
        <v>876</v>
      </c>
      <c r="B503" s="73" t="s">
        <v>30</v>
      </c>
      <c r="C503" s="73" t="s">
        <v>363</v>
      </c>
      <c r="D503" s="73" t="s">
        <v>537</v>
      </c>
      <c r="E503" s="73" t="s">
        <v>386</v>
      </c>
      <c r="F503" s="73" t="s">
        <v>378</v>
      </c>
      <c r="G503" s="72">
        <v>8.67</v>
      </c>
      <c r="H503" s="74">
        <v>1.47E-4</v>
      </c>
    </row>
    <row r="504" spans="1:8">
      <c r="A504" s="73" t="s">
        <v>876</v>
      </c>
      <c r="B504" s="73" t="s">
        <v>30</v>
      </c>
      <c r="C504" s="73" t="s">
        <v>421</v>
      </c>
      <c r="D504" s="73" t="s">
        <v>20</v>
      </c>
      <c r="E504" s="73" t="s">
        <v>385</v>
      </c>
      <c r="F504" s="73" t="s">
        <v>380</v>
      </c>
      <c r="G504" s="72">
        <v>0.21</v>
      </c>
      <c r="H504" s="74">
        <v>1.4200000000000001E-4</v>
      </c>
    </row>
    <row r="505" spans="1:8">
      <c r="A505" s="73" t="s">
        <v>876</v>
      </c>
      <c r="B505" s="73" t="s">
        <v>30</v>
      </c>
      <c r="C505" s="73" t="s">
        <v>19</v>
      </c>
      <c r="D505" s="73" t="s">
        <v>20</v>
      </c>
      <c r="E505" s="73" t="s">
        <v>385</v>
      </c>
      <c r="F505" s="73" t="s">
        <v>380</v>
      </c>
      <c r="G505" s="72">
        <v>0.3</v>
      </c>
      <c r="H505" s="74">
        <v>1.4200000000000001E-4</v>
      </c>
    </row>
    <row r="506" spans="1:8">
      <c r="A506" s="73" t="s">
        <v>876</v>
      </c>
      <c r="B506" s="73" t="s">
        <v>30</v>
      </c>
      <c r="C506" s="73" t="s">
        <v>23</v>
      </c>
      <c r="D506" s="73" t="s">
        <v>20</v>
      </c>
      <c r="E506" s="73" t="s">
        <v>385</v>
      </c>
      <c r="F506" s="73" t="s">
        <v>380</v>
      </c>
      <c r="G506" s="72">
        <v>0.01</v>
      </c>
      <c r="H506" s="74">
        <v>1.4100000000000001E-4</v>
      </c>
    </row>
    <row r="507" spans="1:8">
      <c r="A507" s="73" t="s">
        <v>876</v>
      </c>
      <c r="B507" s="73" t="s">
        <v>30</v>
      </c>
      <c r="C507" s="73" t="s">
        <v>105</v>
      </c>
      <c r="D507" s="73" t="s">
        <v>232</v>
      </c>
      <c r="E507" s="73" t="s">
        <v>386</v>
      </c>
      <c r="F507" s="73" t="s">
        <v>378</v>
      </c>
      <c r="G507" s="72">
        <v>0.06</v>
      </c>
      <c r="H507" s="74">
        <v>1.35E-4</v>
      </c>
    </row>
    <row r="508" spans="1:8">
      <c r="A508" s="73" t="s">
        <v>876</v>
      </c>
      <c r="B508" s="73" t="s">
        <v>30</v>
      </c>
      <c r="C508" s="73" t="s">
        <v>835</v>
      </c>
      <c r="D508" s="73" t="s">
        <v>20</v>
      </c>
      <c r="E508" s="73" t="s">
        <v>385</v>
      </c>
      <c r="F508" s="73" t="s">
        <v>505</v>
      </c>
      <c r="G508" s="72">
        <v>0.09</v>
      </c>
      <c r="H508" s="74">
        <v>1.35E-4</v>
      </c>
    </row>
    <row r="509" spans="1:8">
      <c r="A509" s="73" t="s">
        <v>876</v>
      </c>
      <c r="B509" s="73" t="s">
        <v>30</v>
      </c>
      <c r="C509" s="73" t="s">
        <v>174</v>
      </c>
      <c r="D509" s="73" t="s">
        <v>183</v>
      </c>
      <c r="E509" s="73" t="s">
        <v>386</v>
      </c>
      <c r="F509" s="73" t="s">
        <v>575</v>
      </c>
      <c r="G509" s="72">
        <v>3.31</v>
      </c>
      <c r="H509" s="74">
        <v>1.3200000000000001E-4</v>
      </c>
    </row>
    <row r="510" spans="1:8">
      <c r="A510" s="73" t="s">
        <v>876</v>
      </c>
      <c r="B510" s="73" t="s">
        <v>30</v>
      </c>
      <c r="C510" s="73" t="s">
        <v>835</v>
      </c>
      <c r="D510" s="73" t="s">
        <v>20</v>
      </c>
      <c r="E510" s="73" t="s">
        <v>385</v>
      </c>
      <c r="F510" s="73" t="s">
        <v>505</v>
      </c>
      <c r="G510" s="72">
        <v>0.24</v>
      </c>
      <c r="H510" s="74">
        <v>1.2799999999999999E-4</v>
      </c>
    </row>
    <row r="511" spans="1:8">
      <c r="A511" s="73" t="s">
        <v>876</v>
      </c>
      <c r="B511" s="73" t="s">
        <v>30</v>
      </c>
      <c r="C511" s="73" t="s">
        <v>189</v>
      </c>
      <c r="D511" s="73" t="s">
        <v>836</v>
      </c>
      <c r="E511" s="73" t="s">
        <v>386</v>
      </c>
      <c r="F511" s="73" t="s">
        <v>378</v>
      </c>
      <c r="G511" s="72">
        <v>0.84</v>
      </c>
      <c r="H511" s="74">
        <v>1.22E-4</v>
      </c>
    </row>
    <row r="512" spans="1:8">
      <c r="A512" s="73" t="s">
        <v>876</v>
      </c>
      <c r="B512" s="73" t="s">
        <v>30</v>
      </c>
      <c r="C512" s="73" t="s">
        <v>185</v>
      </c>
      <c r="D512" s="73" t="s">
        <v>186</v>
      </c>
      <c r="E512" s="73" t="s">
        <v>386</v>
      </c>
      <c r="F512" s="73" t="s">
        <v>575</v>
      </c>
      <c r="G512" s="72">
        <v>3.32</v>
      </c>
      <c r="H512" s="74">
        <v>1.2E-4</v>
      </c>
    </row>
    <row r="513" spans="1:8">
      <c r="A513" s="73" t="s">
        <v>876</v>
      </c>
      <c r="B513" s="73" t="s">
        <v>30</v>
      </c>
      <c r="C513" s="73" t="s">
        <v>539</v>
      </c>
      <c r="D513" s="73" t="s">
        <v>540</v>
      </c>
      <c r="E513" s="73" t="s">
        <v>385</v>
      </c>
      <c r="F513" s="73" t="s">
        <v>378</v>
      </c>
      <c r="G513" s="72">
        <v>3.94</v>
      </c>
      <c r="H513" s="74">
        <v>1.1900000000000001E-4</v>
      </c>
    </row>
    <row r="514" spans="1:8">
      <c r="A514" s="73" t="s">
        <v>876</v>
      </c>
      <c r="B514" s="73" t="s">
        <v>30</v>
      </c>
      <c r="C514" s="73" t="s">
        <v>835</v>
      </c>
      <c r="D514" s="73" t="s">
        <v>20</v>
      </c>
      <c r="E514" s="73" t="s">
        <v>385</v>
      </c>
      <c r="F514" s="73" t="s">
        <v>505</v>
      </c>
      <c r="G514" s="72">
        <v>0.12</v>
      </c>
      <c r="H514" s="74">
        <v>1.08E-4</v>
      </c>
    </row>
    <row r="515" spans="1:8">
      <c r="A515" s="73" t="s">
        <v>876</v>
      </c>
      <c r="B515" s="73" t="s">
        <v>30</v>
      </c>
      <c r="C515" s="73" t="s">
        <v>27</v>
      </c>
      <c r="D515" s="73" t="s">
        <v>187</v>
      </c>
      <c r="E515" s="73" t="s">
        <v>386</v>
      </c>
      <c r="F515" s="73" t="s">
        <v>575</v>
      </c>
      <c r="G515" s="72">
        <v>1.37</v>
      </c>
      <c r="H515" s="74">
        <v>1.07E-4</v>
      </c>
    </row>
    <row r="516" spans="1:8">
      <c r="A516" s="73" t="s">
        <v>876</v>
      </c>
      <c r="B516" s="73" t="s">
        <v>30</v>
      </c>
      <c r="C516" s="73" t="s">
        <v>835</v>
      </c>
      <c r="D516" s="73" t="s">
        <v>20</v>
      </c>
      <c r="E516" s="73" t="s">
        <v>385</v>
      </c>
      <c r="F516" s="73" t="s">
        <v>505</v>
      </c>
      <c r="G516" s="72">
        <v>0.33</v>
      </c>
      <c r="H516" s="74">
        <v>1.07E-4</v>
      </c>
    </row>
    <row r="517" spans="1:8">
      <c r="A517" s="73" t="s">
        <v>876</v>
      </c>
      <c r="B517" s="73" t="s">
        <v>30</v>
      </c>
      <c r="C517" s="73" t="s">
        <v>667</v>
      </c>
      <c r="D517" s="73" t="s">
        <v>856</v>
      </c>
      <c r="E517" s="73" t="s">
        <v>386</v>
      </c>
      <c r="F517" s="73" t="s">
        <v>378</v>
      </c>
      <c r="G517" s="72">
        <v>8.5399999999999991</v>
      </c>
      <c r="H517" s="74">
        <v>1.01E-4</v>
      </c>
    </row>
    <row r="518" spans="1:8">
      <c r="A518" s="73" t="s">
        <v>876</v>
      </c>
      <c r="B518" s="73" t="s">
        <v>30</v>
      </c>
      <c r="C518" s="73" t="s">
        <v>31</v>
      </c>
      <c r="D518" s="73" t="s">
        <v>193</v>
      </c>
      <c r="E518" s="73" t="s">
        <v>386</v>
      </c>
      <c r="F518" s="73" t="s">
        <v>575</v>
      </c>
      <c r="G518" s="72">
        <v>8.0399999999999991</v>
      </c>
      <c r="H518" s="74">
        <v>1.01E-4</v>
      </c>
    </row>
    <row r="519" spans="1:8">
      <c r="A519" s="73" t="s">
        <v>876</v>
      </c>
      <c r="B519" s="73" t="s">
        <v>30</v>
      </c>
      <c r="C519" s="73" t="s">
        <v>835</v>
      </c>
      <c r="D519" s="73" t="s">
        <v>20</v>
      </c>
      <c r="E519" s="73" t="s">
        <v>385</v>
      </c>
      <c r="F519" s="73" t="s">
        <v>505</v>
      </c>
      <c r="G519" s="72">
        <v>0.14000000000000001</v>
      </c>
      <c r="H519" s="74">
        <v>1E-4</v>
      </c>
    </row>
    <row r="520" spans="1:8">
      <c r="A520" s="73" t="s">
        <v>876</v>
      </c>
      <c r="B520" s="73" t="s">
        <v>30</v>
      </c>
      <c r="C520" s="73" t="s">
        <v>23</v>
      </c>
      <c r="D520" s="73" t="s">
        <v>20</v>
      </c>
      <c r="E520" s="73" t="s">
        <v>385</v>
      </c>
      <c r="F520" s="73" t="s">
        <v>380</v>
      </c>
      <c r="G520" s="72">
        <v>0.28000000000000003</v>
      </c>
      <c r="H520" s="74">
        <v>9.3999999999999994E-5</v>
      </c>
    </row>
    <row r="521" spans="1:8">
      <c r="A521" s="73" t="s">
        <v>876</v>
      </c>
      <c r="B521" s="73" t="s">
        <v>30</v>
      </c>
      <c r="C521" s="73" t="s">
        <v>23</v>
      </c>
      <c r="D521" s="73" t="s">
        <v>20</v>
      </c>
      <c r="E521" s="73" t="s">
        <v>385</v>
      </c>
      <c r="F521" s="73" t="s">
        <v>380</v>
      </c>
      <c r="G521" s="72">
        <v>0.64</v>
      </c>
      <c r="H521" s="74">
        <v>9.2999999999999997E-5</v>
      </c>
    </row>
    <row r="522" spans="1:8">
      <c r="A522" s="73" t="s">
        <v>876</v>
      </c>
      <c r="B522" s="73" t="s">
        <v>30</v>
      </c>
      <c r="C522" s="73" t="s">
        <v>835</v>
      </c>
      <c r="D522" s="73" t="s">
        <v>20</v>
      </c>
      <c r="E522" s="73" t="s">
        <v>385</v>
      </c>
      <c r="F522" s="73" t="s">
        <v>505</v>
      </c>
      <c r="G522" s="72">
        <v>0.36</v>
      </c>
      <c r="H522" s="74">
        <v>8.5000000000000006E-5</v>
      </c>
    </row>
    <row r="523" spans="1:8">
      <c r="A523" s="73" t="s">
        <v>876</v>
      </c>
      <c r="B523" s="73" t="s">
        <v>30</v>
      </c>
      <c r="C523" s="73" t="s">
        <v>625</v>
      </c>
      <c r="D523" s="73" t="s">
        <v>20</v>
      </c>
      <c r="E523" s="73" t="s">
        <v>385</v>
      </c>
      <c r="F523" s="73" t="s">
        <v>380</v>
      </c>
      <c r="G523" s="72">
        <v>0.06</v>
      </c>
      <c r="H523" s="74">
        <v>7.1000000000000005E-5</v>
      </c>
    </row>
    <row r="524" spans="1:8">
      <c r="A524" s="73" t="s">
        <v>876</v>
      </c>
      <c r="B524" s="73" t="s">
        <v>30</v>
      </c>
      <c r="C524" s="73" t="s">
        <v>23</v>
      </c>
      <c r="D524" s="73" t="s">
        <v>20</v>
      </c>
      <c r="E524" s="73" t="s">
        <v>385</v>
      </c>
      <c r="F524" s="73" t="s">
        <v>380</v>
      </c>
      <c r="G524" s="72">
        <v>0.46</v>
      </c>
      <c r="H524" s="74">
        <v>6.9999999999999994E-5</v>
      </c>
    </row>
    <row r="525" spans="1:8">
      <c r="A525" s="73" t="s">
        <v>876</v>
      </c>
      <c r="B525" s="73" t="s">
        <v>30</v>
      </c>
      <c r="C525" s="73" t="s">
        <v>835</v>
      </c>
      <c r="D525" s="73" t="s">
        <v>20</v>
      </c>
      <c r="E525" s="73" t="s">
        <v>385</v>
      </c>
      <c r="F525" s="73" t="s">
        <v>505</v>
      </c>
      <c r="G525" s="72">
        <v>0.34</v>
      </c>
      <c r="H525" s="74">
        <v>6.9999999999999994E-5</v>
      </c>
    </row>
    <row r="526" spans="1:8">
      <c r="A526" s="73" t="s">
        <v>876</v>
      </c>
      <c r="B526" s="73" t="s">
        <v>30</v>
      </c>
      <c r="C526" s="73" t="s">
        <v>27</v>
      </c>
      <c r="D526" s="73" t="s">
        <v>192</v>
      </c>
      <c r="E526" s="73" t="s">
        <v>386</v>
      </c>
      <c r="F526" s="73" t="s">
        <v>575</v>
      </c>
      <c r="G526" s="72">
        <v>0.94</v>
      </c>
      <c r="H526" s="74">
        <v>6.8999999999999997E-5</v>
      </c>
    </row>
    <row r="527" spans="1:8">
      <c r="A527" s="73" t="s">
        <v>876</v>
      </c>
      <c r="B527" s="73" t="s">
        <v>30</v>
      </c>
      <c r="C527" s="73" t="s">
        <v>548</v>
      </c>
      <c r="D527" s="73" t="s">
        <v>549</v>
      </c>
      <c r="E527" s="73" t="s">
        <v>386</v>
      </c>
      <c r="F527" s="73" t="s">
        <v>378</v>
      </c>
      <c r="G527" s="72">
        <v>7.79</v>
      </c>
      <c r="H527" s="74">
        <v>6.8999999999999997E-5</v>
      </c>
    </row>
    <row r="528" spans="1:8">
      <c r="A528" s="73" t="s">
        <v>876</v>
      </c>
      <c r="B528" s="73" t="s">
        <v>30</v>
      </c>
      <c r="C528" s="73" t="s">
        <v>173</v>
      </c>
      <c r="D528" s="73" t="s">
        <v>237</v>
      </c>
      <c r="E528" s="73" t="s">
        <v>386</v>
      </c>
      <c r="F528" s="73" t="s">
        <v>378</v>
      </c>
      <c r="G528" s="72">
        <v>0.27</v>
      </c>
      <c r="H528" s="74">
        <v>6.7999999999999999E-5</v>
      </c>
    </row>
    <row r="529" spans="1:8">
      <c r="A529" s="73" t="s">
        <v>876</v>
      </c>
      <c r="B529" s="73" t="s">
        <v>30</v>
      </c>
      <c r="C529" s="73" t="s">
        <v>70</v>
      </c>
      <c r="D529" s="73" t="s">
        <v>837</v>
      </c>
      <c r="E529" s="73" t="s">
        <v>386</v>
      </c>
      <c r="F529" s="73" t="s">
        <v>378</v>
      </c>
      <c r="G529" s="72">
        <v>3.36</v>
      </c>
      <c r="H529" s="74">
        <v>6.7000000000000002E-5</v>
      </c>
    </row>
    <row r="530" spans="1:8">
      <c r="A530" s="73" t="s">
        <v>876</v>
      </c>
      <c r="B530" s="73" t="s">
        <v>30</v>
      </c>
      <c r="C530" s="73" t="s">
        <v>580</v>
      </c>
      <c r="D530" s="73" t="s">
        <v>581</v>
      </c>
      <c r="E530" s="73" t="s">
        <v>386</v>
      </c>
      <c r="F530" s="73" t="s">
        <v>378</v>
      </c>
      <c r="G530" s="72">
        <v>0.06</v>
      </c>
      <c r="H530" s="74">
        <v>6.3999999999999997E-5</v>
      </c>
    </row>
    <row r="531" spans="1:8">
      <c r="A531" s="73" t="s">
        <v>876</v>
      </c>
      <c r="B531" s="73" t="s">
        <v>30</v>
      </c>
      <c r="C531" s="73" t="s">
        <v>199</v>
      </c>
      <c r="D531" s="73" t="s">
        <v>20</v>
      </c>
      <c r="E531" s="73" t="s">
        <v>385</v>
      </c>
      <c r="F531" s="73" t="s">
        <v>380</v>
      </c>
      <c r="G531" s="72">
        <v>0.24</v>
      </c>
      <c r="H531" s="74">
        <v>5.8999999999999998E-5</v>
      </c>
    </row>
    <row r="532" spans="1:8">
      <c r="A532" s="73" t="s">
        <v>876</v>
      </c>
      <c r="B532" s="73" t="s">
        <v>30</v>
      </c>
      <c r="C532" s="73" t="s">
        <v>31</v>
      </c>
      <c r="D532" s="73" t="s">
        <v>20</v>
      </c>
      <c r="E532" s="73" t="s">
        <v>385</v>
      </c>
      <c r="F532" s="73" t="s">
        <v>380</v>
      </c>
      <c r="G532" s="72">
        <v>0.28000000000000003</v>
      </c>
      <c r="H532" s="74">
        <v>5.3000000000000001E-5</v>
      </c>
    </row>
    <row r="533" spans="1:8">
      <c r="A533" s="73" t="s">
        <v>876</v>
      </c>
      <c r="B533" s="73" t="s">
        <v>30</v>
      </c>
      <c r="C533" s="73" t="s">
        <v>582</v>
      </c>
      <c r="D533" s="73" t="s">
        <v>370</v>
      </c>
      <c r="E533" s="73" t="s">
        <v>386</v>
      </c>
      <c r="F533" s="73" t="s">
        <v>378</v>
      </c>
      <c r="G533" s="72">
        <v>0.89</v>
      </c>
      <c r="H533" s="74">
        <v>5.3000000000000001E-5</v>
      </c>
    </row>
    <row r="534" spans="1:8">
      <c r="A534" s="73" t="s">
        <v>876</v>
      </c>
      <c r="B534" s="73" t="s">
        <v>30</v>
      </c>
      <c r="C534" s="73" t="s">
        <v>239</v>
      </c>
      <c r="D534" s="73" t="s">
        <v>544</v>
      </c>
      <c r="E534" s="73" t="s">
        <v>386</v>
      </c>
      <c r="F534" s="73" t="s">
        <v>378</v>
      </c>
      <c r="G534" s="72">
        <v>10.6</v>
      </c>
      <c r="H534" s="74">
        <v>4.3999999999999999E-5</v>
      </c>
    </row>
    <row r="535" spans="1:8">
      <c r="A535" s="73" t="s">
        <v>876</v>
      </c>
      <c r="B535" s="73" t="s">
        <v>30</v>
      </c>
      <c r="C535" s="73" t="s">
        <v>21</v>
      </c>
      <c r="D535" s="73" t="s">
        <v>20</v>
      </c>
      <c r="E535" s="73" t="s">
        <v>385</v>
      </c>
      <c r="F535" s="73" t="s">
        <v>380</v>
      </c>
      <c r="G535" s="72">
        <v>0.02</v>
      </c>
      <c r="H535" s="74">
        <v>3.8000000000000002E-5</v>
      </c>
    </row>
    <row r="536" spans="1:8">
      <c r="A536" s="73" t="s">
        <v>876</v>
      </c>
      <c r="B536" s="73" t="s">
        <v>30</v>
      </c>
      <c r="C536" s="73" t="s">
        <v>27</v>
      </c>
      <c r="D536" s="73" t="s">
        <v>195</v>
      </c>
      <c r="E536" s="73" t="s">
        <v>386</v>
      </c>
      <c r="F536" s="73" t="s">
        <v>575</v>
      </c>
      <c r="G536" s="72">
        <v>0.74</v>
      </c>
      <c r="H536" s="74">
        <v>3.1999999999999999E-5</v>
      </c>
    </row>
    <row r="537" spans="1:8">
      <c r="A537" s="73" t="s">
        <v>876</v>
      </c>
      <c r="B537" s="73" t="s">
        <v>30</v>
      </c>
      <c r="C537" s="73" t="s">
        <v>26</v>
      </c>
      <c r="D537" s="73" t="s">
        <v>198</v>
      </c>
      <c r="E537" s="73" t="s">
        <v>386</v>
      </c>
      <c r="F537" s="73" t="s">
        <v>575</v>
      </c>
      <c r="G537" s="72">
        <v>2.85</v>
      </c>
      <c r="H537" s="74">
        <v>2.9E-5</v>
      </c>
    </row>
    <row r="538" spans="1:8">
      <c r="A538" s="73" t="s">
        <v>876</v>
      </c>
      <c r="B538" s="73" t="s">
        <v>30</v>
      </c>
      <c r="C538" s="73" t="s">
        <v>110</v>
      </c>
      <c r="D538" s="73" t="s">
        <v>585</v>
      </c>
      <c r="E538" s="73" t="s">
        <v>385</v>
      </c>
      <c r="F538" s="73" t="s">
        <v>378</v>
      </c>
      <c r="G538" s="72">
        <v>1.27</v>
      </c>
      <c r="H538" s="74">
        <v>2.5999999999999998E-5</v>
      </c>
    </row>
    <row r="539" spans="1:8">
      <c r="A539" s="73" t="s">
        <v>876</v>
      </c>
      <c r="B539" s="73" t="s">
        <v>30</v>
      </c>
      <c r="C539" s="73" t="s">
        <v>539</v>
      </c>
      <c r="D539" s="73" t="s">
        <v>545</v>
      </c>
      <c r="E539" s="73" t="s">
        <v>385</v>
      </c>
      <c r="F539" s="73" t="s">
        <v>378</v>
      </c>
      <c r="G539" s="72">
        <v>3.94</v>
      </c>
      <c r="H539" s="74">
        <v>2.0999999999999999E-5</v>
      </c>
    </row>
    <row r="540" spans="1:8">
      <c r="A540" s="73" t="s">
        <v>876</v>
      </c>
      <c r="B540" s="73" t="s">
        <v>30</v>
      </c>
      <c r="C540" s="73" t="s">
        <v>586</v>
      </c>
      <c r="D540" s="73" t="s">
        <v>587</v>
      </c>
      <c r="E540" s="73" t="s">
        <v>385</v>
      </c>
      <c r="F540" s="73" t="s">
        <v>378</v>
      </c>
      <c r="G540" s="72">
        <v>1.42</v>
      </c>
      <c r="H540" s="74">
        <v>2.0000000000000002E-5</v>
      </c>
    </row>
    <row r="541" spans="1:8">
      <c r="A541" s="73" t="s">
        <v>876</v>
      </c>
      <c r="B541" s="73" t="s">
        <v>30</v>
      </c>
      <c r="C541" s="73" t="s">
        <v>835</v>
      </c>
      <c r="D541" s="73" t="s">
        <v>20</v>
      </c>
      <c r="E541" s="73" t="s">
        <v>385</v>
      </c>
      <c r="F541" s="73" t="s">
        <v>505</v>
      </c>
      <c r="G541" s="72">
        <v>0.08</v>
      </c>
      <c r="H541" s="74">
        <v>1.8E-5</v>
      </c>
    </row>
    <row r="542" spans="1:8">
      <c r="A542" s="73" t="s">
        <v>876</v>
      </c>
      <c r="B542" s="73" t="s">
        <v>30</v>
      </c>
      <c r="C542" s="73" t="s">
        <v>21</v>
      </c>
      <c r="D542" s="73" t="s">
        <v>197</v>
      </c>
      <c r="E542" s="73" t="s">
        <v>386</v>
      </c>
      <c r="F542" s="73" t="s">
        <v>575</v>
      </c>
      <c r="G542" s="72">
        <v>0.92</v>
      </c>
      <c r="H542" s="74">
        <v>1.5999999999999999E-5</v>
      </c>
    </row>
    <row r="543" spans="1:8">
      <c r="A543" s="73" t="s">
        <v>876</v>
      </c>
      <c r="B543" s="73" t="s">
        <v>30</v>
      </c>
      <c r="C543" s="73" t="s">
        <v>470</v>
      </c>
      <c r="D543" s="73" t="s">
        <v>20</v>
      </c>
      <c r="E543" s="73" t="s">
        <v>385</v>
      </c>
      <c r="F543" s="73" t="s">
        <v>380</v>
      </c>
      <c r="G543" s="72">
        <v>0.03</v>
      </c>
      <c r="H543" s="74">
        <v>1.2999999999999999E-5</v>
      </c>
    </row>
    <row r="544" spans="1:8">
      <c r="A544" s="73" t="s">
        <v>876</v>
      </c>
      <c r="B544" s="73" t="s">
        <v>30</v>
      </c>
      <c r="C544" s="73" t="s">
        <v>199</v>
      </c>
      <c r="D544" s="73" t="s">
        <v>200</v>
      </c>
      <c r="E544" s="73" t="s">
        <v>386</v>
      </c>
      <c r="F544" s="73" t="s">
        <v>575</v>
      </c>
      <c r="G544" s="72">
        <v>1.89</v>
      </c>
      <c r="H544" s="74">
        <v>1.1E-5</v>
      </c>
    </row>
    <row r="545" spans="1:8">
      <c r="A545" s="73" t="s">
        <v>876</v>
      </c>
      <c r="B545" s="73" t="s">
        <v>30</v>
      </c>
      <c r="C545" s="73" t="s">
        <v>495</v>
      </c>
      <c r="D545" s="73" t="s">
        <v>664</v>
      </c>
      <c r="E545" s="73" t="s">
        <v>386</v>
      </c>
      <c r="F545" s="73" t="s">
        <v>378</v>
      </c>
      <c r="G545" s="72">
        <v>5.57</v>
      </c>
      <c r="H545" s="74">
        <v>1.0000000000000001E-5</v>
      </c>
    </row>
    <row r="546" spans="1:8">
      <c r="A546" s="73" t="s">
        <v>876</v>
      </c>
      <c r="B546" s="73" t="s">
        <v>30</v>
      </c>
      <c r="C546" s="73" t="s">
        <v>490</v>
      </c>
      <c r="D546" s="73" t="s">
        <v>550</v>
      </c>
      <c r="E546" s="73" t="s">
        <v>386</v>
      </c>
      <c r="F546" s="73" t="s">
        <v>378</v>
      </c>
      <c r="G546" s="72">
        <v>3.43</v>
      </c>
      <c r="H546" s="74">
        <v>5.0000000000000004E-6</v>
      </c>
    </row>
    <row r="547" spans="1:8">
      <c r="A547" s="73" t="s">
        <v>876</v>
      </c>
      <c r="B547" s="73" t="s">
        <v>30</v>
      </c>
      <c r="C547" s="73" t="s">
        <v>502</v>
      </c>
      <c r="D547" s="73" t="s">
        <v>547</v>
      </c>
      <c r="E547" s="73" t="s">
        <v>386</v>
      </c>
      <c r="F547" s="73" t="s">
        <v>378</v>
      </c>
      <c r="G547" s="72">
        <v>0.48</v>
      </c>
      <c r="H547" s="74">
        <v>5.0000000000000004E-6</v>
      </c>
    </row>
    <row r="548" spans="1:8">
      <c r="A548" s="73" t="s">
        <v>876</v>
      </c>
      <c r="B548" s="73" t="s">
        <v>30</v>
      </c>
      <c r="C548" s="73" t="s">
        <v>506</v>
      </c>
      <c r="D548" s="73" t="s">
        <v>546</v>
      </c>
      <c r="E548" s="73" t="s">
        <v>385</v>
      </c>
      <c r="F548" s="73" t="s">
        <v>378</v>
      </c>
      <c r="G548" s="72">
        <v>0.18</v>
      </c>
      <c r="H548" s="74">
        <v>5.0000000000000004E-6</v>
      </c>
    </row>
    <row r="549" spans="1:8">
      <c r="A549" s="73" t="s">
        <v>876</v>
      </c>
      <c r="B549" s="73" t="s">
        <v>30</v>
      </c>
      <c r="C549" s="73" t="s">
        <v>21</v>
      </c>
      <c r="D549" s="73" t="s">
        <v>202</v>
      </c>
      <c r="E549" s="73" t="s">
        <v>386</v>
      </c>
      <c r="F549" s="73" t="s">
        <v>575</v>
      </c>
      <c r="G549" s="72">
        <v>0.92</v>
      </c>
      <c r="H549" s="74">
        <v>3.0000000000000001E-6</v>
      </c>
    </row>
    <row r="550" spans="1:8">
      <c r="A550" s="73" t="s">
        <v>876</v>
      </c>
      <c r="B550" s="73" t="s">
        <v>30</v>
      </c>
      <c r="C550" s="73" t="s">
        <v>174</v>
      </c>
      <c r="D550" s="73" t="s">
        <v>203</v>
      </c>
      <c r="E550" s="73" t="s">
        <v>386</v>
      </c>
      <c r="F550" s="73" t="s">
        <v>575</v>
      </c>
      <c r="G550" s="72">
        <v>3.76</v>
      </c>
      <c r="H550" s="74">
        <v>1.9999999999999999E-6</v>
      </c>
    </row>
    <row r="551" spans="1:8">
      <c r="A551" s="73"/>
      <c r="B551" s="73"/>
      <c r="C551" s="73"/>
      <c r="D551" s="73"/>
      <c r="E551" s="73"/>
      <c r="F551" s="73"/>
      <c r="G551" s="72"/>
      <c r="H551" s="74"/>
    </row>
    <row r="552" spans="1:8">
      <c r="A552" s="73"/>
      <c r="B552" s="73"/>
      <c r="C552" s="73"/>
      <c r="D552" s="73"/>
      <c r="E552" s="73"/>
      <c r="F552" s="73"/>
      <c r="G552" s="72"/>
      <c r="H552" s="74"/>
    </row>
    <row r="553" spans="1:8">
      <c r="A553" s="73"/>
      <c r="B553" s="73"/>
      <c r="C553" s="73"/>
      <c r="D553" s="73"/>
      <c r="E553" s="73"/>
      <c r="F553" s="73"/>
      <c r="G553" s="72"/>
      <c r="H553" s="74"/>
    </row>
    <row r="554" spans="1:8">
      <c r="A554" s="73"/>
      <c r="B554" s="73"/>
      <c r="C554" s="73"/>
      <c r="D554" s="73"/>
      <c r="E554" s="73"/>
      <c r="F554" s="73"/>
      <c r="G554" s="72"/>
      <c r="H554" s="74"/>
    </row>
    <row r="555" spans="1:8">
      <c r="A555" s="73"/>
      <c r="B555" s="73"/>
      <c r="C555" s="73"/>
      <c r="D555" s="73"/>
      <c r="E555" s="73"/>
      <c r="F555" s="73"/>
      <c r="G555" s="72"/>
      <c r="H555" s="74"/>
    </row>
    <row r="556" spans="1:8">
      <c r="A556" s="73"/>
      <c r="B556" s="73"/>
      <c r="C556" s="73"/>
      <c r="D556" s="73"/>
      <c r="E556" s="73"/>
      <c r="F556" s="73"/>
      <c r="G556" s="72"/>
      <c r="H556" s="74"/>
    </row>
    <row r="557" spans="1:8">
      <c r="A557" s="73"/>
      <c r="B557" s="73"/>
      <c r="C557" s="73"/>
      <c r="D557" s="73"/>
      <c r="E557" s="73"/>
      <c r="F557" s="73"/>
      <c r="G557" s="72"/>
      <c r="H557" s="74"/>
    </row>
    <row r="558" spans="1:8">
      <c r="A558" s="73"/>
      <c r="B558" s="73"/>
      <c r="C558" s="73"/>
      <c r="D558" s="73"/>
      <c r="E558" s="73"/>
      <c r="F558" s="73"/>
      <c r="G558" s="72"/>
      <c r="H558" s="74"/>
    </row>
    <row r="559" spans="1:8">
      <c r="A559" s="73"/>
      <c r="B559" s="73"/>
      <c r="C559" s="73"/>
      <c r="D559" s="73"/>
      <c r="E559" s="73"/>
      <c r="F559" s="73"/>
      <c r="G559" s="72"/>
      <c r="H559" s="74"/>
    </row>
    <row r="560" spans="1:8">
      <c r="A560" s="73"/>
      <c r="B560" s="73"/>
      <c r="C560" s="73"/>
      <c r="D560" s="73"/>
      <c r="E560" s="73"/>
      <c r="F560" s="73"/>
      <c r="G560" s="72"/>
      <c r="H560" s="74"/>
    </row>
    <row r="561" spans="1:8">
      <c r="A561" s="73"/>
      <c r="B561" s="73"/>
      <c r="C561" s="73"/>
      <c r="D561" s="73"/>
      <c r="E561" s="73"/>
      <c r="F561" s="73"/>
      <c r="G561" s="72"/>
      <c r="H561" s="74"/>
    </row>
    <row r="562" spans="1:8">
      <c r="A562" s="73"/>
      <c r="B562" s="73"/>
      <c r="C562" s="73"/>
      <c r="D562" s="73"/>
      <c r="E562" s="73"/>
      <c r="F562" s="73"/>
      <c r="G562" s="72"/>
      <c r="H562" s="74"/>
    </row>
    <row r="563" spans="1:8">
      <c r="A563" s="73"/>
      <c r="B563" s="73"/>
      <c r="C563" s="73"/>
      <c r="D563" s="73"/>
      <c r="E563" s="73"/>
      <c r="F563" s="73"/>
      <c r="G563" s="72"/>
      <c r="H563" s="74"/>
    </row>
    <row r="564" spans="1:8">
      <c r="A564" s="73"/>
      <c r="B564" s="73"/>
      <c r="C564" s="73"/>
      <c r="D564" s="73"/>
      <c r="E564" s="73"/>
      <c r="F564" s="73"/>
      <c r="G564" s="72"/>
      <c r="H564" s="74"/>
    </row>
    <row r="565" spans="1:8">
      <c r="A565" s="73"/>
      <c r="B565" s="73"/>
      <c r="C565" s="73"/>
      <c r="D565" s="73"/>
      <c r="E565" s="73"/>
      <c r="F565" s="73"/>
      <c r="G565" s="72"/>
      <c r="H565" s="74"/>
    </row>
    <row r="566" spans="1:8">
      <c r="A566" s="73"/>
      <c r="B566" s="73"/>
      <c r="C566" s="73"/>
      <c r="D566" s="73"/>
      <c r="E566" s="73"/>
      <c r="F566" s="73"/>
      <c r="G566" s="72"/>
      <c r="H566" s="74"/>
    </row>
    <row r="567" spans="1:8">
      <c r="A567" s="73"/>
      <c r="B567" s="73"/>
      <c r="C567" s="73"/>
      <c r="D567" s="73"/>
      <c r="E567" s="73"/>
      <c r="F567" s="73"/>
      <c r="G567" s="72"/>
      <c r="H567" s="74"/>
    </row>
    <row r="568" spans="1:8">
      <c r="A568" s="73"/>
      <c r="B568" s="73"/>
      <c r="C568" s="73"/>
      <c r="D568" s="73"/>
      <c r="E568" s="73"/>
      <c r="F568" s="73"/>
      <c r="G568" s="72"/>
      <c r="H568" s="74"/>
    </row>
    <row r="569" spans="1:8">
      <c r="A569" s="73"/>
      <c r="B569" s="73"/>
      <c r="C569" s="73"/>
      <c r="D569" s="73"/>
      <c r="E569" s="73"/>
      <c r="F569" s="73"/>
      <c r="G569" s="72"/>
      <c r="H569" s="74"/>
    </row>
    <row r="570" spans="1:8">
      <c r="A570" s="73"/>
      <c r="B570" s="73"/>
      <c r="C570" s="73"/>
      <c r="D570" s="73"/>
      <c r="E570" s="73"/>
      <c r="F570" s="73"/>
      <c r="G570" s="72"/>
      <c r="H570" s="74"/>
    </row>
    <row r="571" spans="1:8">
      <c r="A571" s="73"/>
      <c r="B571" s="73"/>
      <c r="C571" s="73"/>
      <c r="D571" s="73"/>
      <c r="E571" s="73"/>
      <c r="F571" s="73"/>
      <c r="G571" s="72"/>
      <c r="H571" s="74"/>
    </row>
    <row r="572" spans="1:8">
      <c r="A572" s="73"/>
      <c r="B572" s="73"/>
      <c r="C572" s="73"/>
      <c r="D572" s="73"/>
      <c r="E572" s="73"/>
      <c r="F572" s="73"/>
      <c r="G572" s="72"/>
      <c r="H572" s="74"/>
    </row>
    <row r="573" spans="1:8">
      <c r="A573" s="73"/>
      <c r="B573" s="73"/>
      <c r="C573" s="73"/>
      <c r="D573" s="73"/>
      <c r="E573" s="73"/>
      <c r="F573" s="73"/>
      <c r="G573" s="72"/>
      <c r="H573" s="74"/>
    </row>
    <row r="574" spans="1:8">
      <c r="A574" s="73"/>
      <c r="B574" s="73"/>
      <c r="C574" s="73"/>
      <c r="D574" s="73"/>
      <c r="E574" s="73"/>
      <c r="F574" s="73"/>
      <c r="G574" s="72"/>
      <c r="H574" s="74"/>
    </row>
    <row r="575" spans="1:8">
      <c r="A575" s="73"/>
      <c r="B575" s="73"/>
      <c r="C575" s="73"/>
      <c r="D575" s="73"/>
      <c r="E575" s="73"/>
      <c r="F575" s="73"/>
      <c r="G575" s="72"/>
      <c r="H575" s="74"/>
    </row>
    <row r="576" spans="1:8">
      <c r="A576" s="73"/>
      <c r="B576" s="73"/>
      <c r="C576" s="73"/>
      <c r="D576" s="73"/>
      <c r="E576" s="73"/>
      <c r="F576" s="73"/>
      <c r="G576" s="72"/>
      <c r="H576" s="74"/>
    </row>
    <row r="577" spans="1:8">
      <c r="A577" s="73"/>
      <c r="B577" s="73"/>
      <c r="C577" s="73"/>
      <c r="D577" s="73"/>
      <c r="E577" s="73"/>
      <c r="F577" s="73"/>
      <c r="G577" s="72"/>
      <c r="H577" s="74"/>
    </row>
    <row r="578" spans="1:8">
      <c r="A578" s="73"/>
      <c r="B578" s="73"/>
      <c r="C578" s="73"/>
      <c r="D578" s="73"/>
      <c r="E578" s="73"/>
      <c r="F578" s="73"/>
      <c r="G578" s="72"/>
      <c r="H578" s="74"/>
    </row>
    <row r="579" spans="1:8">
      <c r="A579" s="73"/>
      <c r="B579" s="73"/>
      <c r="C579" s="73"/>
      <c r="D579" s="73"/>
      <c r="E579" s="73"/>
      <c r="F579" s="73"/>
      <c r="G579" s="72"/>
      <c r="H579" s="74"/>
    </row>
    <row r="580" spans="1:8">
      <c r="A580" s="73"/>
      <c r="B580" s="73"/>
      <c r="C580" s="73"/>
      <c r="D580" s="73"/>
      <c r="E580" s="73"/>
      <c r="F580" s="73"/>
      <c r="G580" s="72"/>
      <c r="H580" s="74"/>
    </row>
    <row r="581" spans="1:8">
      <c r="A581" s="73"/>
      <c r="B581" s="73"/>
      <c r="C581" s="73"/>
      <c r="D581" s="73"/>
      <c r="E581" s="73"/>
      <c r="F581" s="73"/>
      <c r="G581" s="72"/>
      <c r="H581" s="74"/>
    </row>
    <row r="582" spans="1:8">
      <c r="A582" s="73"/>
      <c r="B582" s="73"/>
      <c r="C582" s="73"/>
      <c r="D582" s="73"/>
      <c r="E582" s="73"/>
      <c r="F582" s="73"/>
      <c r="G582" s="72"/>
      <c r="H582" s="74"/>
    </row>
    <row r="583" spans="1:8">
      <c r="A583" s="73"/>
      <c r="B583" s="73"/>
      <c r="C583" s="73"/>
      <c r="D583" s="73"/>
      <c r="E583" s="73"/>
      <c r="F583" s="73"/>
      <c r="G583" s="72"/>
      <c r="H583" s="74"/>
    </row>
    <row r="584" spans="1:8">
      <c r="A584" s="73"/>
      <c r="B584" s="73"/>
      <c r="C584" s="73"/>
      <c r="D584" s="73"/>
      <c r="E584" s="73"/>
      <c r="F584" s="73"/>
      <c r="G584" s="72"/>
      <c r="H584" s="74"/>
    </row>
    <row r="585" spans="1:8">
      <c r="A585" s="73"/>
      <c r="B585" s="73"/>
      <c r="C585" s="73"/>
      <c r="D585" s="73"/>
      <c r="E585" s="73"/>
      <c r="F585" s="73"/>
      <c r="G585" s="72"/>
      <c r="H585" s="74"/>
    </row>
    <row r="586" spans="1:8">
      <c r="A586" s="73"/>
      <c r="B586" s="73"/>
      <c r="C586" s="73"/>
      <c r="D586" s="73"/>
      <c r="E586" s="73"/>
      <c r="F586" s="73"/>
      <c r="G586" s="72"/>
      <c r="H586" s="74"/>
    </row>
    <row r="587" spans="1:8">
      <c r="A587" s="73"/>
      <c r="B587" s="73"/>
      <c r="C587" s="73"/>
      <c r="D587" s="73"/>
      <c r="E587" s="73"/>
      <c r="F587" s="73"/>
      <c r="G587" s="72"/>
      <c r="H587" s="74"/>
    </row>
    <row r="588" spans="1:8">
      <c r="A588" s="73"/>
      <c r="B588" s="73"/>
      <c r="C588" s="73"/>
      <c r="D588" s="73"/>
      <c r="E588" s="73"/>
      <c r="F588" s="73"/>
      <c r="G588" s="72"/>
      <c r="H588" s="74"/>
    </row>
    <row r="589" spans="1:8">
      <c r="A589" s="73"/>
      <c r="B589" s="73"/>
      <c r="C589" s="73"/>
      <c r="D589" s="73"/>
      <c r="E589" s="73"/>
      <c r="F589" s="73"/>
      <c r="G589" s="72"/>
      <c r="H589" s="74"/>
    </row>
    <row r="590" spans="1:8">
      <c r="A590" s="73"/>
      <c r="B590" s="73"/>
      <c r="C590" s="73"/>
      <c r="D590" s="73"/>
      <c r="E590" s="73"/>
      <c r="F590" s="73"/>
      <c r="G590" s="72"/>
      <c r="H590" s="74"/>
    </row>
    <row r="591" spans="1:8">
      <c r="A591" s="73"/>
      <c r="B591" s="73"/>
      <c r="C591" s="73"/>
      <c r="D591" s="73"/>
      <c r="E591" s="73"/>
      <c r="F591" s="73"/>
      <c r="G591" s="72"/>
      <c r="H591" s="74"/>
    </row>
    <row r="592" spans="1:8">
      <c r="A592" s="73"/>
      <c r="B592" s="73"/>
      <c r="C592" s="73"/>
      <c r="D592" s="73"/>
      <c r="E592" s="73"/>
      <c r="F592" s="73"/>
      <c r="G592" s="72"/>
      <c r="H592" s="74"/>
    </row>
    <row r="593" spans="1:8">
      <c r="A593" s="73"/>
      <c r="B593" s="73"/>
      <c r="C593" s="73"/>
      <c r="D593" s="73"/>
      <c r="E593" s="73"/>
      <c r="F593" s="73"/>
      <c r="G593" s="72"/>
      <c r="H593" s="74"/>
    </row>
    <row r="594" spans="1:8">
      <c r="A594" s="73"/>
      <c r="B594" s="73"/>
      <c r="C594" s="73"/>
      <c r="D594" s="73"/>
      <c r="E594" s="73"/>
      <c r="F594" s="73"/>
      <c r="G594" s="72"/>
      <c r="H594" s="74"/>
    </row>
    <row r="595" spans="1:8">
      <c r="A595" s="73"/>
      <c r="B595" s="73"/>
      <c r="C595" s="73"/>
      <c r="D595" s="73"/>
      <c r="E595" s="73"/>
      <c r="F595" s="73"/>
      <c r="G595" s="72"/>
      <c r="H595" s="74"/>
    </row>
    <row r="596" spans="1:8">
      <c r="A596" s="73"/>
      <c r="B596" s="73"/>
      <c r="C596" s="73"/>
      <c r="D596" s="73"/>
      <c r="E596" s="73"/>
      <c r="F596" s="73"/>
      <c r="G596" s="72"/>
      <c r="H596" s="74"/>
    </row>
    <row r="597" spans="1:8">
      <c r="A597" s="73"/>
      <c r="B597" s="73"/>
      <c r="C597" s="73"/>
      <c r="D597" s="73"/>
      <c r="E597" s="73"/>
      <c r="F597" s="73"/>
      <c r="G597" s="72"/>
      <c r="H597" s="74"/>
    </row>
    <row r="598" spans="1:8">
      <c r="A598" s="73"/>
      <c r="B598" s="73"/>
      <c r="C598" s="73"/>
      <c r="D598" s="73"/>
      <c r="E598" s="73"/>
      <c r="F598" s="73"/>
      <c r="G598" s="72"/>
      <c r="H598" s="74"/>
    </row>
    <row r="599" spans="1:8">
      <c r="A599" s="73"/>
      <c r="B599" s="73"/>
      <c r="C599" s="73"/>
      <c r="D599" s="73"/>
      <c r="E599" s="73"/>
      <c r="F599" s="73"/>
      <c r="G599" s="72"/>
      <c r="H599" s="74"/>
    </row>
    <row r="600" spans="1:8">
      <c r="A600" s="73"/>
      <c r="B600" s="73"/>
      <c r="C600" s="73"/>
      <c r="D600" s="73"/>
      <c r="E600" s="73"/>
      <c r="F600" s="73"/>
      <c r="G600" s="72"/>
      <c r="H600" s="74"/>
    </row>
    <row r="601" spans="1:8">
      <c r="A601" s="73"/>
      <c r="B601" s="73"/>
      <c r="C601" s="73"/>
      <c r="D601" s="73"/>
      <c r="E601" s="73"/>
      <c r="F601" s="73"/>
      <c r="G601" s="72"/>
      <c r="H601" s="74"/>
    </row>
    <row r="602" spans="1:8">
      <c r="A602" s="73"/>
      <c r="B602" s="73"/>
      <c r="C602" s="73"/>
      <c r="D602" s="73"/>
      <c r="E602" s="73"/>
      <c r="F602" s="73"/>
      <c r="G602" s="72"/>
      <c r="H602" s="74"/>
    </row>
    <row r="603" spans="1:8">
      <c r="A603" s="73"/>
      <c r="B603" s="73"/>
      <c r="C603" s="73"/>
      <c r="D603" s="73"/>
      <c r="E603" s="73"/>
      <c r="F603" s="73"/>
      <c r="G603" s="72"/>
      <c r="H603" s="74"/>
    </row>
    <row r="604" spans="1:8">
      <c r="A604" s="73"/>
      <c r="B604" s="73"/>
      <c r="C604" s="73"/>
      <c r="D604" s="73"/>
      <c r="E604" s="73"/>
      <c r="F604" s="73"/>
      <c r="G604" s="72"/>
      <c r="H604" s="74"/>
    </row>
    <row r="605" spans="1:8">
      <c r="A605" s="73"/>
      <c r="B605" s="73"/>
      <c r="C605" s="73"/>
      <c r="D605" s="73"/>
      <c r="E605" s="73"/>
      <c r="F605" s="73"/>
      <c r="G605" s="72"/>
      <c r="H605" s="74"/>
    </row>
    <row r="606" spans="1:8">
      <c r="A606" s="73"/>
      <c r="B606" s="73"/>
      <c r="C606" s="73"/>
      <c r="D606" s="73"/>
      <c r="E606" s="73"/>
      <c r="F606" s="73"/>
      <c r="G606" s="72"/>
      <c r="H606" s="74"/>
    </row>
    <row r="607" spans="1:8">
      <c r="A607" s="73"/>
      <c r="B607" s="73"/>
      <c r="C607" s="73"/>
      <c r="D607" s="73"/>
      <c r="E607" s="73"/>
      <c r="F607" s="73"/>
      <c r="G607" s="72"/>
      <c r="H607" s="74"/>
    </row>
    <row r="608" spans="1:8">
      <c r="A608" s="73"/>
      <c r="B608" s="73"/>
      <c r="C608" s="73"/>
      <c r="D608" s="73"/>
      <c r="E608" s="73"/>
      <c r="F608" s="73"/>
      <c r="G608" s="72"/>
      <c r="H608" s="74"/>
    </row>
    <row r="609" spans="1:8">
      <c r="A609" s="73"/>
      <c r="B609" s="73"/>
      <c r="C609" s="73"/>
      <c r="D609" s="73"/>
      <c r="E609" s="73"/>
      <c r="F609" s="73"/>
      <c r="G609" s="72"/>
      <c r="H609" s="74"/>
    </row>
    <row r="610" spans="1:8">
      <c r="A610" s="73"/>
      <c r="B610" s="73"/>
      <c r="C610" s="73"/>
      <c r="D610" s="73"/>
      <c r="E610" s="73"/>
      <c r="F610" s="73"/>
      <c r="G610" s="72"/>
      <c r="H610" s="74"/>
    </row>
    <row r="611" spans="1:8">
      <c r="A611" s="73"/>
      <c r="B611" s="73"/>
      <c r="C611" s="73"/>
      <c r="D611" s="73"/>
      <c r="E611" s="73"/>
      <c r="F611" s="73"/>
      <c r="G611" s="72"/>
      <c r="H611" s="74"/>
    </row>
    <row r="612" spans="1:8">
      <c r="A612" s="73"/>
      <c r="B612" s="73"/>
      <c r="C612" s="73"/>
      <c r="D612" s="73"/>
      <c r="E612" s="73"/>
      <c r="F612" s="73"/>
      <c r="G612" s="72"/>
      <c r="H612" s="74"/>
    </row>
    <row r="613" spans="1:8">
      <c r="A613" s="73"/>
      <c r="B613" s="73"/>
      <c r="C613" s="73"/>
      <c r="D613" s="73"/>
      <c r="E613" s="73"/>
      <c r="F613" s="73"/>
      <c r="G613" s="72"/>
      <c r="H613" s="74"/>
    </row>
    <row r="614" spans="1:8">
      <c r="A614" s="73"/>
      <c r="B614" s="73"/>
      <c r="C614" s="73"/>
      <c r="D614" s="73"/>
      <c r="E614" s="73"/>
      <c r="F614" s="73"/>
      <c r="G614" s="72"/>
      <c r="H614" s="74"/>
    </row>
    <row r="615" spans="1:8">
      <c r="A615" s="73"/>
      <c r="B615" s="73"/>
      <c r="C615" s="73"/>
      <c r="D615" s="73"/>
      <c r="E615" s="73"/>
      <c r="F615" s="73"/>
      <c r="G615" s="72"/>
      <c r="H615" s="74"/>
    </row>
    <row r="616" spans="1:8">
      <c r="A616" s="73"/>
      <c r="B616" s="73"/>
      <c r="C616" s="73"/>
      <c r="D616" s="73"/>
      <c r="E616" s="73"/>
      <c r="F616" s="73"/>
      <c r="G616" s="72"/>
      <c r="H616" s="74"/>
    </row>
    <row r="617" spans="1:8">
      <c r="A617" s="73"/>
      <c r="B617" s="73"/>
      <c r="C617" s="73"/>
      <c r="D617" s="73"/>
      <c r="E617" s="73"/>
      <c r="F617" s="73"/>
      <c r="G617" s="72"/>
      <c r="H617" s="74"/>
    </row>
    <row r="618" spans="1:8">
      <c r="A618" s="73"/>
      <c r="B618" s="73"/>
      <c r="C618" s="73"/>
      <c r="D618" s="73"/>
      <c r="E618" s="73"/>
      <c r="F618" s="73"/>
      <c r="G618" s="72"/>
      <c r="H618" s="74"/>
    </row>
    <row r="619" spans="1:8">
      <c r="A619" s="73"/>
      <c r="B619" s="73"/>
      <c r="C619" s="73"/>
      <c r="D619" s="73"/>
      <c r="E619" s="73"/>
      <c r="F619" s="73"/>
      <c r="G619" s="72"/>
      <c r="H619" s="74"/>
    </row>
    <row r="620" spans="1:8">
      <c r="A620" s="73"/>
      <c r="B620" s="73"/>
      <c r="C620" s="73"/>
      <c r="D620" s="73"/>
      <c r="E620" s="73"/>
      <c r="F620" s="73"/>
      <c r="G620" s="72"/>
      <c r="H620" s="74"/>
    </row>
    <row r="621" spans="1:8">
      <c r="A621" s="73"/>
      <c r="B621" s="73"/>
      <c r="C621" s="73"/>
      <c r="D621" s="73"/>
      <c r="E621" s="73"/>
      <c r="F621" s="73"/>
      <c r="G621" s="72"/>
      <c r="H621" s="74"/>
    </row>
    <row r="622" spans="1:8">
      <c r="A622" s="73"/>
      <c r="B622" s="73"/>
      <c r="C622" s="73"/>
      <c r="D622" s="73"/>
      <c r="E622" s="73"/>
      <c r="F622" s="73"/>
      <c r="G622" s="72"/>
      <c r="H622" s="74"/>
    </row>
    <row r="623" spans="1:8">
      <c r="A623" s="73"/>
      <c r="B623" s="73"/>
      <c r="C623" s="73"/>
      <c r="D623" s="73"/>
      <c r="E623" s="73"/>
      <c r="F623" s="73"/>
      <c r="G623" s="72"/>
      <c r="H623" s="74"/>
    </row>
    <row r="624" spans="1:8">
      <c r="A624" s="73"/>
      <c r="B624" s="73"/>
      <c r="C624" s="73"/>
      <c r="D624" s="73"/>
      <c r="E624" s="73"/>
      <c r="F624" s="73"/>
      <c r="G624" s="72"/>
      <c r="H624" s="74"/>
    </row>
    <row r="625" spans="1:8">
      <c r="A625" s="73"/>
      <c r="B625" s="73"/>
      <c r="C625" s="73"/>
      <c r="D625" s="73"/>
      <c r="E625" s="73"/>
      <c r="F625" s="73"/>
      <c r="G625" s="72"/>
      <c r="H625" s="74"/>
    </row>
    <row r="626" spans="1:8">
      <c r="A626" s="73"/>
      <c r="B626" s="73"/>
      <c r="C626" s="73"/>
      <c r="D626" s="73"/>
      <c r="E626" s="73"/>
      <c r="F626" s="73"/>
      <c r="G626" s="72"/>
      <c r="H626" s="74"/>
    </row>
    <row r="627" spans="1:8">
      <c r="A627" s="73"/>
      <c r="B627" s="73"/>
      <c r="C627" s="73"/>
      <c r="D627" s="73"/>
      <c r="E627" s="73"/>
      <c r="F627" s="73"/>
      <c r="G627" s="72"/>
      <c r="H627" s="74"/>
    </row>
    <row r="628" spans="1:8">
      <c r="A628" s="73"/>
      <c r="B628" s="73"/>
      <c r="C628" s="73"/>
      <c r="D628" s="73"/>
      <c r="E628" s="73"/>
      <c r="F628" s="73"/>
      <c r="G628" s="72"/>
      <c r="H628" s="74"/>
    </row>
    <row r="629" spans="1:8">
      <c r="A629" s="73"/>
      <c r="B629" s="73"/>
      <c r="C629" s="73"/>
      <c r="D629" s="73"/>
      <c r="E629" s="73"/>
      <c r="F629" s="73"/>
      <c r="G629" s="72"/>
      <c r="H629" s="74"/>
    </row>
    <row r="630" spans="1:8">
      <c r="A630" s="73"/>
      <c r="B630" s="73"/>
      <c r="C630" s="73"/>
      <c r="D630" s="73"/>
      <c r="E630" s="73"/>
      <c r="F630" s="73"/>
      <c r="G630" s="72"/>
      <c r="H630" s="74"/>
    </row>
    <row r="631" spans="1:8">
      <c r="A631" s="73"/>
      <c r="B631" s="73"/>
      <c r="C631" s="73"/>
      <c r="D631" s="73"/>
      <c r="E631" s="73"/>
      <c r="F631" s="73"/>
      <c r="G631" s="72"/>
      <c r="H631" s="74"/>
    </row>
    <row r="632" spans="1:8">
      <c r="A632" s="73"/>
      <c r="B632" s="73"/>
      <c r="C632" s="73"/>
      <c r="D632" s="73"/>
      <c r="E632" s="73"/>
      <c r="F632" s="73"/>
      <c r="G632" s="72"/>
      <c r="H632" s="74"/>
    </row>
    <row r="633" spans="1:8">
      <c r="A633" s="73"/>
      <c r="B633" s="73"/>
      <c r="C633" s="73"/>
      <c r="D633" s="73"/>
      <c r="E633" s="73"/>
      <c r="F633" s="73"/>
      <c r="G633" s="72"/>
      <c r="H633" s="74"/>
    </row>
    <row r="634" spans="1:8">
      <c r="A634" s="73"/>
      <c r="B634" s="73"/>
      <c r="C634" s="73"/>
      <c r="D634" s="73"/>
      <c r="E634" s="73"/>
      <c r="F634" s="73"/>
      <c r="G634" s="72"/>
      <c r="H634" s="74"/>
    </row>
    <row r="635" spans="1:8">
      <c r="A635" s="73"/>
      <c r="B635" s="73"/>
      <c r="C635" s="73"/>
      <c r="D635" s="73"/>
      <c r="E635" s="73"/>
      <c r="F635" s="73"/>
      <c r="G635" s="72"/>
      <c r="H635" s="74"/>
    </row>
    <row r="636" spans="1:8">
      <c r="A636" s="73"/>
      <c r="B636" s="73"/>
      <c r="C636" s="73"/>
      <c r="D636" s="73"/>
      <c r="E636" s="73"/>
      <c r="F636" s="73"/>
      <c r="G636" s="72"/>
      <c r="H636" s="74"/>
    </row>
    <row r="637" spans="1:8">
      <c r="A637" s="73"/>
      <c r="B637" s="73"/>
      <c r="C637" s="73"/>
      <c r="D637" s="73"/>
      <c r="E637" s="73"/>
      <c r="F637" s="73"/>
      <c r="G637" s="72"/>
      <c r="H637" s="74"/>
    </row>
    <row r="638" spans="1:8">
      <c r="A638" s="73"/>
      <c r="B638" s="73"/>
      <c r="C638" s="73"/>
      <c r="D638" s="73"/>
      <c r="E638" s="73"/>
      <c r="F638" s="73"/>
      <c r="G638" s="72"/>
      <c r="H638" s="74"/>
    </row>
    <row r="639" spans="1:8">
      <c r="A639" s="73"/>
      <c r="B639" s="73"/>
      <c r="C639" s="73"/>
      <c r="D639" s="73"/>
      <c r="E639" s="73"/>
      <c r="F639" s="73"/>
      <c r="G639" s="72"/>
      <c r="H639" s="74"/>
    </row>
    <row r="640" spans="1:8">
      <c r="A640" s="73"/>
      <c r="B640" s="73"/>
      <c r="C640" s="73"/>
      <c r="D640" s="73"/>
      <c r="E640" s="73"/>
      <c r="F640" s="73"/>
      <c r="G640" s="72"/>
      <c r="H640" s="74"/>
    </row>
    <row r="641" spans="1:8">
      <c r="A641" s="73"/>
      <c r="B641" s="73"/>
      <c r="C641" s="73"/>
      <c r="D641" s="73"/>
      <c r="E641" s="73"/>
      <c r="F641" s="73"/>
      <c r="G641" s="72"/>
      <c r="H641" s="74"/>
    </row>
    <row r="642" spans="1:8">
      <c r="A642" s="73"/>
      <c r="B642" s="73"/>
      <c r="C642" s="73"/>
      <c r="D642" s="73"/>
      <c r="E642" s="73"/>
      <c r="F642" s="73"/>
      <c r="G642" s="72"/>
      <c r="H642" s="74"/>
    </row>
    <row r="643" spans="1:8">
      <c r="A643" s="73"/>
      <c r="B643" s="73"/>
      <c r="C643" s="73"/>
      <c r="D643" s="73"/>
      <c r="E643" s="73"/>
      <c r="F643" s="73"/>
      <c r="G643" s="72"/>
      <c r="H643" s="74"/>
    </row>
    <row r="644" spans="1:8">
      <c r="A644" s="73"/>
      <c r="B644" s="73"/>
      <c r="C644" s="73"/>
      <c r="D644" s="73"/>
      <c r="E644" s="73"/>
      <c r="F644" s="73"/>
      <c r="G644" s="72"/>
      <c r="H644" s="74"/>
    </row>
    <row r="645" spans="1:8">
      <c r="A645" s="73"/>
      <c r="B645" s="73"/>
      <c r="C645" s="73"/>
      <c r="D645" s="73"/>
      <c r="E645" s="73"/>
      <c r="F645" s="73"/>
      <c r="G645" s="72"/>
      <c r="H645" s="74"/>
    </row>
    <row r="646" spans="1:8">
      <c r="A646" s="73"/>
      <c r="B646" s="73"/>
      <c r="C646" s="73"/>
      <c r="D646" s="73"/>
      <c r="E646" s="73"/>
      <c r="F646" s="73"/>
      <c r="G646" s="72"/>
      <c r="H646" s="74"/>
    </row>
    <row r="647" spans="1:8">
      <c r="A647" s="73"/>
      <c r="B647" s="73"/>
      <c r="C647" s="73"/>
      <c r="D647" s="73"/>
      <c r="E647" s="73"/>
      <c r="F647" s="73"/>
      <c r="G647" s="72"/>
      <c r="H647" s="74"/>
    </row>
    <row r="648" spans="1:8">
      <c r="A648" s="73"/>
      <c r="B648" s="73"/>
      <c r="C648" s="73"/>
      <c r="D648" s="73"/>
      <c r="E648" s="73"/>
      <c r="F648" s="73"/>
      <c r="G648" s="72"/>
      <c r="H648" s="74"/>
    </row>
    <row r="649" spans="1:8">
      <c r="A649" s="73"/>
      <c r="B649" s="73"/>
      <c r="C649" s="73"/>
      <c r="D649" s="73"/>
      <c r="E649" s="73"/>
      <c r="F649" s="73"/>
      <c r="G649" s="72"/>
      <c r="H649" s="74"/>
    </row>
    <row r="650" spans="1:8">
      <c r="A650" s="73"/>
      <c r="B650" s="73"/>
      <c r="C650" s="73"/>
      <c r="D650" s="73"/>
      <c r="E650" s="73"/>
      <c r="F650" s="73"/>
      <c r="G650" s="72"/>
      <c r="H650" s="74"/>
    </row>
    <row r="651" spans="1:8">
      <c r="A651" s="73"/>
      <c r="B651" s="73"/>
      <c r="C651" s="73"/>
      <c r="D651" s="73"/>
      <c r="E651" s="73"/>
      <c r="F651" s="73"/>
      <c r="G651" s="72"/>
      <c r="H651" s="74"/>
    </row>
    <row r="652" spans="1:8">
      <c r="A652" s="73"/>
      <c r="B652" s="73"/>
      <c r="C652" s="73"/>
      <c r="D652" s="73"/>
      <c r="E652" s="73"/>
      <c r="F652" s="73"/>
      <c r="G652" s="72"/>
      <c r="H652" s="74"/>
    </row>
    <row r="653" spans="1:8">
      <c r="A653" s="73"/>
      <c r="B653" s="73"/>
      <c r="C653" s="73"/>
      <c r="D653" s="73"/>
      <c r="E653" s="73"/>
      <c r="F653" s="73"/>
      <c r="G653" s="72"/>
      <c r="H653" s="74"/>
    </row>
    <row r="654" spans="1:8">
      <c r="A654" s="73"/>
      <c r="B654" s="73"/>
      <c r="C654" s="73"/>
      <c r="D654" s="73"/>
      <c r="E654" s="73"/>
      <c r="F654" s="73"/>
      <c r="G654" s="72"/>
      <c r="H654" s="74"/>
    </row>
    <row r="655" spans="1:8">
      <c r="A655" s="73"/>
      <c r="B655" s="73"/>
      <c r="C655" s="73"/>
      <c r="D655" s="73"/>
      <c r="E655" s="73"/>
      <c r="F655" s="73"/>
      <c r="G655" s="72"/>
      <c r="H655" s="74"/>
    </row>
    <row r="656" spans="1:8">
      <c r="A656" s="73"/>
      <c r="B656" s="73"/>
      <c r="C656" s="73"/>
      <c r="D656" s="73"/>
      <c r="E656" s="73"/>
      <c r="F656" s="73"/>
      <c r="G656" s="72"/>
      <c r="H656" s="74"/>
    </row>
    <row r="657" spans="1:8">
      <c r="A657" s="73"/>
      <c r="B657" s="73"/>
      <c r="C657" s="73"/>
      <c r="D657" s="73"/>
      <c r="E657" s="73"/>
      <c r="F657" s="73"/>
      <c r="G657" s="72"/>
      <c r="H657" s="74"/>
    </row>
    <row r="658" spans="1:8">
      <c r="A658" s="73"/>
      <c r="B658" s="73"/>
      <c r="C658" s="73"/>
      <c r="D658" s="73"/>
      <c r="E658" s="73"/>
      <c r="F658" s="73"/>
      <c r="G658" s="72"/>
      <c r="H658" s="74"/>
    </row>
    <row r="659" spans="1:8">
      <c r="A659" s="73"/>
      <c r="B659" s="73"/>
      <c r="C659" s="73"/>
      <c r="D659" s="73"/>
      <c r="E659" s="73"/>
      <c r="F659" s="73"/>
      <c r="G659" s="72"/>
      <c r="H659" s="74"/>
    </row>
    <row r="660" spans="1:8">
      <c r="A660" s="73"/>
      <c r="B660" s="73"/>
      <c r="C660" s="73"/>
      <c r="D660" s="73"/>
      <c r="E660" s="73"/>
      <c r="F660" s="73"/>
      <c r="G660" s="72"/>
      <c r="H660" s="74"/>
    </row>
    <row r="661" spans="1:8">
      <c r="A661" s="73"/>
      <c r="B661" s="73"/>
      <c r="C661" s="73"/>
      <c r="D661" s="73"/>
      <c r="E661" s="73"/>
      <c r="F661" s="73"/>
      <c r="G661" s="72"/>
      <c r="H661" s="74"/>
    </row>
    <row r="662" spans="1:8">
      <c r="A662" s="73"/>
      <c r="B662" s="73"/>
      <c r="C662" s="73"/>
      <c r="D662" s="73"/>
      <c r="E662" s="73"/>
      <c r="F662" s="73"/>
      <c r="G662" s="72"/>
      <c r="H662" s="74"/>
    </row>
    <row r="663" spans="1:8">
      <c r="A663" s="73"/>
      <c r="B663" s="73"/>
      <c r="C663" s="73"/>
      <c r="D663" s="73"/>
      <c r="E663" s="73"/>
      <c r="F663" s="73"/>
      <c r="G663" s="72"/>
      <c r="H663" s="74"/>
    </row>
    <row r="664" spans="1:8">
      <c r="A664" s="73"/>
      <c r="B664" s="73"/>
      <c r="C664" s="73"/>
      <c r="D664" s="73"/>
      <c r="E664" s="73"/>
      <c r="F664" s="73"/>
      <c r="G664" s="72"/>
      <c r="H664" s="74"/>
    </row>
    <row r="665" spans="1:8">
      <c r="A665" s="73"/>
      <c r="B665" s="73"/>
      <c r="C665" s="73"/>
      <c r="D665" s="73"/>
      <c r="E665" s="73"/>
      <c r="F665" s="73"/>
      <c r="G665" s="72"/>
      <c r="H665" s="74"/>
    </row>
    <row r="666" spans="1:8">
      <c r="A666" s="73"/>
      <c r="B666" s="73"/>
      <c r="C666" s="73"/>
      <c r="D666" s="73"/>
      <c r="E666" s="73"/>
      <c r="F666" s="73"/>
      <c r="G666" s="72"/>
      <c r="H666" s="74"/>
    </row>
    <row r="667" spans="1:8">
      <c r="A667" s="73"/>
      <c r="B667" s="73"/>
      <c r="C667" s="73"/>
      <c r="D667" s="73"/>
      <c r="E667" s="73"/>
      <c r="F667" s="73"/>
      <c r="G667" s="72"/>
      <c r="H667" s="74"/>
    </row>
    <row r="668" spans="1:8">
      <c r="A668" s="73"/>
      <c r="B668" s="73"/>
      <c r="C668" s="73"/>
      <c r="D668" s="73"/>
      <c r="E668" s="73"/>
      <c r="F668" s="73"/>
      <c r="G668" s="72"/>
      <c r="H668" s="74"/>
    </row>
    <row r="669" spans="1:8">
      <c r="A669" s="73"/>
      <c r="B669" s="73"/>
      <c r="C669" s="73"/>
      <c r="D669" s="73"/>
      <c r="E669" s="73"/>
      <c r="F669" s="73"/>
      <c r="G669" s="72"/>
      <c r="H669" s="74"/>
    </row>
    <row r="670" spans="1:8">
      <c r="A670" s="73"/>
      <c r="B670" s="73"/>
      <c r="C670" s="73"/>
      <c r="D670" s="73"/>
      <c r="E670" s="73"/>
      <c r="F670" s="73"/>
      <c r="G670" s="72"/>
      <c r="H670" s="74"/>
    </row>
    <row r="671" spans="1:8">
      <c r="A671" s="73"/>
      <c r="B671" s="73"/>
      <c r="C671" s="73"/>
      <c r="D671" s="73"/>
      <c r="E671" s="73"/>
      <c r="F671" s="73"/>
      <c r="G671" s="72"/>
      <c r="H671" s="74"/>
    </row>
    <row r="672" spans="1:8">
      <c r="A672" s="73"/>
      <c r="B672" s="73"/>
      <c r="C672" s="73"/>
      <c r="D672" s="73"/>
      <c r="E672" s="73"/>
      <c r="F672" s="73"/>
      <c r="G672" s="72"/>
      <c r="H672" s="74"/>
    </row>
    <row r="673" spans="1:8">
      <c r="A673" s="73"/>
      <c r="B673" s="73"/>
      <c r="C673" s="73"/>
      <c r="D673" s="73"/>
      <c r="E673" s="73"/>
      <c r="F673" s="73"/>
      <c r="G673" s="72"/>
      <c r="H673" s="74"/>
    </row>
    <row r="674" spans="1:8">
      <c r="A674" s="73"/>
      <c r="B674" s="73"/>
      <c r="C674" s="73"/>
      <c r="D674" s="73"/>
      <c r="E674" s="73"/>
      <c r="F674" s="73"/>
      <c r="G674" s="72"/>
      <c r="H674" s="74"/>
    </row>
    <row r="675" spans="1:8">
      <c r="A675" s="73"/>
      <c r="B675" s="73"/>
      <c r="C675" s="73"/>
      <c r="D675" s="73"/>
      <c r="E675" s="73"/>
      <c r="F675" s="73"/>
      <c r="G675" s="72"/>
      <c r="H675" s="74"/>
    </row>
    <row r="676" spans="1:8">
      <c r="A676" s="73"/>
      <c r="B676" s="73"/>
      <c r="C676" s="73"/>
      <c r="D676" s="73"/>
      <c r="E676" s="73"/>
      <c r="F676" s="73"/>
      <c r="G676" s="72"/>
      <c r="H676" s="74"/>
    </row>
    <row r="677" spans="1:8">
      <c r="A677" s="73"/>
      <c r="B677" s="73"/>
      <c r="C677" s="73"/>
      <c r="D677" s="73"/>
      <c r="E677" s="73"/>
      <c r="F677" s="73"/>
      <c r="G677" s="72"/>
      <c r="H677" s="74"/>
    </row>
    <row r="678" spans="1:8">
      <c r="A678" s="73"/>
      <c r="B678" s="73"/>
      <c r="C678" s="73"/>
      <c r="D678" s="73"/>
      <c r="E678" s="73"/>
      <c r="F678" s="73"/>
      <c r="G678" s="72"/>
      <c r="H678" s="74"/>
    </row>
    <row r="679" spans="1:8">
      <c r="A679" s="73"/>
      <c r="B679" s="73"/>
      <c r="C679" s="73"/>
      <c r="D679" s="73"/>
      <c r="E679" s="73"/>
      <c r="F679" s="73"/>
      <c r="G679" s="72"/>
      <c r="H679" s="74"/>
    </row>
    <row r="680" spans="1:8">
      <c r="A680" s="73"/>
      <c r="B680" s="73"/>
      <c r="C680" s="73"/>
      <c r="D680" s="73"/>
      <c r="E680" s="73"/>
      <c r="F680" s="73"/>
      <c r="G680" s="72"/>
      <c r="H680" s="74"/>
    </row>
    <row r="681" spans="1:8">
      <c r="A681" s="73"/>
      <c r="B681" s="73"/>
      <c r="C681" s="73"/>
      <c r="D681" s="73"/>
      <c r="E681" s="73"/>
      <c r="F681" s="73"/>
      <c r="G681" s="72"/>
      <c r="H681" s="74"/>
    </row>
    <row r="682" spans="1:8">
      <c r="A682" s="73"/>
      <c r="B682" s="73"/>
      <c r="C682" s="73"/>
      <c r="D682" s="73"/>
      <c r="E682" s="73"/>
      <c r="F682" s="73"/>
      <c r="G682" s="72"/>
      <c r="H682" s="74"/>
    </row>
    <row r="683" spans="1:8">
      <c r="A683" s="73"/>
      <c r="B683" s="73"/>
      <c r="C683" s="73"/>
      <c r="D683" s="73"/>
      <c r="E683" s="73"/>
      <c r="F683" s="73"/>
      <c r="G683" s="72"/>
      <c r="H683" s="74"/>
    </row>
    <row r="684" spans="1:8">
      <c r="A684" s="73"/>
      <c r="B684" s="73"/>
      <c r="C684" s="73"/>
      <c r="D684" s="73"/>
      <c r="E684" s="73"/>
      <c r="F684" s="73"/>
      <c r="G684" s="72"/>
      <c r="H684" s="74"/>
    </row>
    <row r="685" spans="1:8">
      <c r="A685" s="73"/>
      <c r="B685" s="73"/>
      <c r="C685" s="73"/>
      <c r="D685" s="73"/>
      <c r="E685" s="73"/>
      <c r="F685" s="73"/>
      <c r="G685" s="72"/>
      <c r="H685" s="74"/>
    </row>
    <row r="686" spans="1:8">
      <c r="A686" s="73"/>
      <c r="B686" s="73"/>
      <c r="C686" s="73"/>
      <c r="D686" s="73"/>
      <c r="E686" s="73"/>
      <c r="F686" s="73"/>
      <c r="G686" s="72"/>
      <c r="H686" s="74"/>
    </row>
    <row r="687" spans="1:8">
      <c r="A687" s="73"/>
      <c r="B687" s="73"/>
      <c r="C687" s="73"/>
      <c r="D687" s="73"/>
      <c r="E687" s="73"/>
      <c r="F687" s="73"/>
      <c r="G687" s="72"/>
      <c r="H687" s="74"/>
    </row>
    <row r="688" spans="1:8">
      <c r="A688" s="73"/>
      <c r="B688" s="73"/>
      <c r="C688" s="73"/>
      <c r="D688" s="73"/>
      <c r="E688" s="73"/>
      <c r="F688" s="73"/>
      <c r="G688" s="72"/>
      <c r="H688" s="74"/>
    </row>
    <row r="689" spans="1:8">
      <c r="A689" s="73"/>
      <c r="B689" s="73"/>
      <c r="C689" s="73"/>
      <c r="D689" s="73"/>
      <c r="E689" s="73"/>
      <c r="F689" s="73"/>
      <c r="G689" s="72"/>
      <c r="H689" s="74"/>
    </row>
    <row r="690" spans="1:8">
      <c r="A690" s="73"/>
      <c r="B690" s="73"/>
      <c r="C690" s="73"/>
      <c r="D690" s="73"/>
      <c r="E690" s="73"/>
      <c r="F690" s="73"/>
      <c r="G690" s="72"/>
      <c r="H690" s="74"/>
    </row>
    <row r="691" spans="1:8">
      <c r="A691" s="73"/>
      <c r="B691" s="73"/>
      <c r="C691" s="73"/>
      <c r="D691" s="73"/>
      <c r="E691" s="73"/>
      <c r="F691" s="73"/>
      <c r="G691" s="72"/>
      <c r="H691" s="74"/>
    </row>
    <row r="692" spans="1:8">
      <c r="A692" s="73"/>
      <c r="B692" s="73"/>
      <c r="C692" s="73"/>
      <c r="D692" s="73"/>
      <c r="E692" s="73"/>
      <c r="F692" s="73"/>
      <c r="G692" s="72"/>
      <c r="H692" s="74"/>
    </row>
    <row r="693" spans="1:8">
      <c r="A693" s="73"/>
      <c r="B693" s="73"/>
      <c r="C693" s="73"/>
      <c r="D693" s="73"/>
      <c r="E693" s="73"/>
      <c r="F693" s="73"/>
      <c r="G693" s="72"/>
      <c r="H693" s="74"/>
    </row>
    <row r="694" spans="1:8">
      <c r="A694" s="73"/>
      <c r="B694" s="73"/>
      <c r="C694" s="73"/>
      <c r="D694" s="73"/>
      <c r="E694" s="73"/>
      <c r="F694" s="73"/>
      <c r="G694" s="72"/>
      <c r="H694" s="74"/>
    </row>
    <row r="695" spans="1:8">
      <c r="A695" s="73"/>
      <c r="B695" s="73"/>
      <c r="C695" s="73"/>
      <c r="D695" s="73"/>
      <c r="E695" s="73"/>
      <c r="F695" s="73"/>
      <c r="G695" s="72"/>
      <c r="H695" s="74"/>
    </row>
    <row r="696" spans="1:8">
      <c r="A696" s="73"/>
      <c r="B696" s="73"/>
      <c r="C696" s="73"/>
      <c r="D696" s="73"/>
      <c r="E696" s="73"/>
      <c r="F696" s="73"/>
      <c r="G696" s="72"/>
      <c r="H696" s="74"/>
    </row>
    <row r="697" spans="1:8">
      <c r="A697" s="73"/>
      <c r="B697" s="73"/>
      <c r="C697" s="73"/>
      <c r="D697" s="73"/>
      <c r="E697" s="73"/>
      <c r="F697" s="73"/>
      <c r="G697" s="72"/>
      <c r="H697" s="74"/>
    </row>
    <row r="698" spans="1:8">
      <c r="A698" s="73"/>
      <c r="B698" s="73"/>
      <c r="C698" s="73"/>
      <c r="D698" s="73"/>
      <c r="E698" s="73"/>
      <c r="F698" s="73"/>
      <c r="G698" s="72"/>
      <c r="H698" s="74"/>
    </row>
    <row r="699" spans="1:8">
      <c r="A699" s="73"/>
      <c r="B699" s="73"/>
      <c r="C699" s="73"/>
      <c r="D699" s="73"/>
      <c r="E699" s="73"/>
      <c r="F699" s="73"/>
      <c r="G699" s="72"/>
      <c r="H699" s="74"/>
    </row>
    <row r="700" spans="1:8">
      <c r="A700" s="73"/>
      <c r="B700" s="73"/>
      <c r="C700" s="73"/>
      <c r="D700" s="73"/>
      <c r="E700" s="73"/>
      <c r="F700" s="73"/>
      <c r="G700" s="72"/>
      <c r="H700" s="74"/>
    </row>
    <row r="701" spans="1:8">
      <c r="A701" s="73"/>
      <c r="B701" s="73"/>
      <c r="C701" s="73"/>
      <c r="D701" s="73"/>
      <c r="E701" s="73"/>
      <c r="F701" s="73"/>
      <c r="G701" s="72"/>
      <c r="H701" s="74"/>
    </row>
    <row r="702" spans="1:8">
      <c r="A702" s="73"/>
      <c r="B702" s="73"/>
      <c r="C702" s="73"/>
      <c r="D702" s="73"/>
      <c r="E702" s="73"/>
      <c r="F702" s="73"/>
      <c r="G702" s="72"/>
      <c r="H702" s="74"/>
    </row>
    <row r="703" spans="1:8">
      <c r="A703" s="73"/>
      <c r="B703" s="73"/>
      <c r="C703" s="73"/>
      <c r="D703" s="73"/>
      <c r="E703" s="73"/>
      <c r="F703" s="73"/>
      <c r="G703" s="72"/>
      <c r="H703" s="74"/>
    </row>
    <row r="704" spans="1:8">
      <c r="A704" s="73"/>
      <c r="B704" s="73"/>
      <c r="C704" s="73"/>
      <c r="D704" s="73"/>
      <c r="E704" s="73"/>
      <c r="F704" s="73"/>
      <c r="G704" s="72"/>
      <c r="H704" s="74"/>
    </row>
    <row r="705" spans="1:8">
      <c r="A705" s="73"/>
      <c r="B705" s="73"/>
      <c r="C705" s="73"/>
      <c r="D705" s="73"/>
      <c r="E705" s="73"/>
      <c r="F705" s="73"/>
      <c r="G705" s="72"/>
      <c r="H705" s="74"/>
    </row>
    <row r="706" spans="1:8">
      <c r="A706" s="73"/>
      <c r="B706" s="73"/>
      <c r="C706" s="73"/>
      <c r="D706" s="73"/>
      <c r="E706" s="73"/>
      <c r="F706" s="73"/>
      <c r="G706" s="72"/>
      <c r="H706" s="74"/>
    </row>
    <row r="707" spans="1:8">
      <c r="A707" s="73"/>
      <c r="B707" s="73"/>
      <c r="C707" s="73"/>
      <c r="D707" s="73"/>
      <c r="E707" s="73"/>
      <c r="F707" s="73"/>
      <c r="G707" s="72"/>
      <c r="H707" s="74"/>
    </row>
    <row r="708" spans="1:8">
      <c r="A708" s="73"/>
      <c r="B708" s="73"/>
      <c r="C708" s="73"/>
      <c r="D708" s="73"/>
      <c r="E708" s="73"/>
      <c r="F708" s="73"/>
      <c r="G708" s="72"/>
      <c r="H708" s="74"/>
    </row>
    <row r="709" spans="1:8">
      <c r="A709" s="73"/>
      <c r="B709" s="73"/>
      <c r="C709" s="73"/>
      <c r="D709" s="73"/>
      <c r="E709" s="73"/>
      <c r="F709" s="73"/>
      <c r="G709" s="72"/>
      <c r="H709" s="74"/>
    </row>
    <row r="710" spans="1:8">
      <c r="A710" s="73"/>
      <c r="B710" s="73"/>
      <c r="C710" s="73"/>
      <c r="D710" s="73"/>
      <c r="E710" s="73"/>
      <c r="F710" s="73"/>
      <c r="G710" s="72"/>
      <c r="H710" s="74"/>
    </row>
    <row r="711" spans="1:8">
      <c r="A711" s="73"/>
      <c r="B711" s="73"/>
      <c r="C711" s="73"/>
      <c r="D711" s="73"/>
      <c r="E711" s="73"/>
      <c r="F711" s="73"/>
      <c r="G711" s="72"/>
      <c r="H711" s="74"/>
    </row>
    <row r="712" spans="1:8">
      <c r="A712" s="73"/>
      <c r="B712" s="73"/>
      <c r="C712" s="73"/>
      <c r="D712" s="73"/>
      <c r="E712" s="73"/>
      <c r="F712" s="73"/>
      <c r="G712" s="72"/>
      <c r="H712" s="74"/>
    </row>
    <row r="713" spans="1:8">
      <c r="A713" s="73"/>
      <c r="B713" s="73"/>
      <c r="C713" s="73"/>
      <c r="D713" s="73"/>
      <c r="E713" s="73"/>
      <c r="F713" s="73"/>
      <c r="G713" s="72"/>
      <c r="H713" s="74"/>
    </row>
    <row r="714" spans="1:8">
      <c r="A714" s="73"/>
      <c r="B714" s="73"/>
      <c r="C714" s="73"/>
      <c r="D714" s="73"/>
      <c r="E714" s="73"/>
      <c r="F714" s="73"/>
      <c r="G714" s="72"/>
      <c r="H714" s="74"/>
    </row>
    <row r="715" spans="1:8">
      <c r="A715" s="73"/>
      <c r="B715" s="73"/>
      <c r="C715" s="73"/>
      <c r="D715" s="73"/>
      <c r="E715" s="73"/>
      <c r="F715" s="73"/>
      <c r="G715" s="72"/>
      <c r="H715" s="74"/>
    </row>
    <row r="716" spans="1:8">
      <c r="A716" s="73"/>
      <c r="B716" s="73"/>
      <c r="C716" s="73"/>
      <c r="D716" s="73"/>
      <c r="E716" s="73"/>
      <c r="F716" s="73"/>
      <c r="G716" s="72"/>
      <c r="H716" s="74"/>
    </row>
    <row r="717" spans="1:8">
      <c r="A717" s="73"/>
      <c r="B717" s="73"/>
      <c r="C717" s="73"/>
      <c r="D717" s="73"/>
      <c r="E717" s="73"/>
      <c r="F717" s="73"/>
      <c r="G717" s="72"/>
      <c r="H717" s="74"/>
    </row>
    <row r="718" spans="1:8">
      <c r="A718" s="73"/>
      <c r="B718" s="73"/>
      <c r="C718" s="73"/>
      <c r="D718" s="73"/>
      <c r="E718" s="73"/>
      <c r="F718" s="73"/>
      <c r="G718" s="72"/>
      <c r="H718" s="74"/>
    </row>
    <row r="719" spans="1:8">
      <c r="A719" s="73"/>
      <c r="B719" s="73"/>
      <c r="C719" s="73"/>
      <c r="D719" s="73"/>
      <c r="E719" s="73"/>
      <c r="F719" s="73"/>
      <c r="G719" s="72"/>
      <c r="H719" s="74"/>
    </row>
    <row r="720" spans="1:8">
      <c r="A720" s="73"/>
      <c r="B720" s="73"/>
      <c r="C720" s="73"/>
      <c r="D720" s="73"/>
      <c r="E720" s="73"/>
      <c r="F720" s="73"/>
      <c r="G720" s="72"/>
      <c r="H720" s="74"/>
    </row>
    <row r="721" spans="1:8">
      <c r="A721" s="73"/>
      <c r="B721" s="73"/>
      <c r="C721" s="73"/>
      <c r="D721" s="73"/>
      <c r="E721" s="73"/>
      <c r="F721" s="73"/>
      <c r="G721" s="72"/>
      <c r="H721" s="74"/>
    </row>
    <row r="722" spans="1:8">
      <c r="A722" s="73"/>
      <c r="B722" s="73"/>
      <c r="C722" s="73"/>
      <c r="D722" s="73"/>
      <c r="E722" s="73"/>
      <c r="F722" s="73"/>
      <c r="G722" s="72"/>
      <c r="H722" s="74"/>
    </row>
    <row r="723" spans="1:8">
      <c r="A723" s="73"/>
      <c r="B723" s="73"/>
      <c r="C723" s="73"/>
      <c r="D723" s="73"/>
      <c r="E723" s="73"/>
      <c r="F723" s="73"/>
      <c r="G723" s="72"/>
      <c r="H723" s="74"/>
    </row>
    <row r="724" spans="1:8">
      <c r="A724" s="73"/>
      <c r="B724" s="73"/>
      <c r="C724" s="73"/>
      <c r="D724" s="73"/>
      <c r="E724" s="73"/>
      <c r="F724" s="73"/>
      <c r="G724" s="72"/>
      <c r="H724" s="74"/>
    </row>
    <row r="725" spans="1:8">
      <c r="A725" s="73"/>
      <c r="B725" s="73"/>
      <c r="C725" s="73"/>
      <c r="D725" s="73"/>
      <c r="E725" s="73"/>
      <c r="F725" s="73"/>
      <c r="G725" s="72"/>
      <c r="H725" s="74"/>
    </row>
    <row r="726" spans="1:8">
      <c r="A726" s="73"/>
      <c r="B726" s="73"/>
      <c r="C726" s="73"/>
      <c r="D726" s="73"/>
      <c r="E726" s="73"/>
      <c r="F726" s="73"/>
      <c r="G726" s="72"/>
      <c r="H726" s="74"/>
    </row>
    <row r="727" spans="1:8">
      <c r="A727" s="73"/>
      <c r="B727" s="73"/>
      <c r="C727" s="73"/>
      <c r="D727" s="73"/>
      <c r="E727" s="73"/>
      <c r="F727" s="73"/>
      <c r="G727" s="72"/>
      <c r="H727" s="74"/>
    </row>
    <row r="728" spans="1:8">
      <c r="A728" s="73"/>
      <c r="B728" s="73"/>
      <c r="C728" s="73"/>
      <c r="D728" s="73"/>
      <c r="E728" s="73"/>
      <c r="F728" s="73"/>
      <c r="G728" s="72"/>
      <c r="H728" s="74"/>
    </row>
    <row r="729" spans="1:8">
      <c r="A729" s="73"/>
      <c r="B729" s="73"/>
      <c r="C729" s="73"/>
      <c r="D729" s="73"/>
      <c r="E729" s="73"/>
      <c r="F729" s="73"/>
      <c r="G729" s="72"/>
      <c r="H729" s="74"/>
    </row>
    <row r="730" spans="1:8">
      <c r="A730" s="73"/>
      <c r="B730" s="73"/>
      <c r="C730" s="73"/>
      <c r="D730" s="73"/>
      <c r="E730" s="73"/>
      <c r="F730" s="73"/>
      <c r="G730" s="72"/>
      <c r="H730" s="74"/>
    </row>
    <row r="731" spans="1:8">
      <c r="A731" s="73"/>
      <c r="B731" s="73"/>
      <c r="C731" s="73"/>
      <c r="D731" s="73"/>
      <c r="E731" s="73"/>
      <c r="F731" s="73"/>
      <c r="G731" s="72"/>
      <c r="H731" s="74"/>
    </row>
    <row r="732" spans="1:8">
      <c r="A732" s="73"/>
      <c r="B732" s="73"/>
      <c r="C732" s="73"/>
      <c r="D732" s="73"/>
      <c r="E732" s="73"/>
      <c r="F732" s="73"/>
      <c r="G732" s="72"/>
      <c r="H732" s="74"/>
    </row>
    <row r="733" spans="1:8">
      <c r="A733" s="73"/>
      <c r="B733" s="73"/>
      <c r="C733" s="73"/>
      <c r="D733" s="73"/>
      <c r="E733" s="73"/>
      <c r="F733" s="73"/>
      <c r="G733" s="72"/>
      <c r="H733" s="74"/>
    </row>
    <row r="734" spans="1:8">
      <c r="A734" s="73"/>
      <c r="B734" s="73"/>
      <c r="C734" s="73"/>
      <c r="D734" s="73"/>
      <c r="E734" s="73"/>
      <c r="F734" s="73"/>
      <c r="G734" s="72"/>
      <c r="H734" s="74"/>
    </row>
    <row r="735" spans="1:8">
      <c r="A735" s="73"/>
      <c r="B735" s="73"/>
      <c r="C735" s="73"/>
      <c r="D735" s="73"/>
      <c r="E735" s="73"/>
      <c r="F735" s="73"/>
      <c r="G735" s="72"/>
      <c r="H735" s="74"/>
    </row>
    <row r="736" spans="1:8">
      <c r="A736" s="73"/>
      <c r="B736" s="73"/>
      <c r="C736" s="73"/>
      <c r="D736" s="73"/>
      <c r="E736" s="73"/>
      <c r="F736" s="73"/>
      <c r="G736" s="72"/>
      <c r="H736" s="74"/>
    </row>
    <row r="737" spans="1:8">
      <c r="A737" s="73"/>
      <c r="B737" s="73"/>
      <c r="C737" s="73"/>
      <c r="D737" s="73"/>
      <c r="E737" s="73"/>
      <c r="F737" s="73"/>
      <c r="G737" s="72"/>
      <c r="H737" s="74"/>
    </row>
    <row r="738" spans="1:8">
      <c r="A738" s="73"/>
      <c r="B738" s="73"/>
      <c r="C738" s="73"/>
      <c r="D738" s="73"/>
      <c r="E738" s="73"/>
      <c r="F738" s="73"/>
      <c r="G738" s="72"/>
      <c r="H738" s="74"/>
    </row>
    <row r="739" spans="1:8">
      <c r="A739" s="73"/>
      <c r="B739" s="73"/>
      <c r="C739" s="73"/>
      <c r="D739" s="73"/>
      <c r="E739" s="73"/>
      <c r="F739" s="73"/>
      <c r="G739" s="72"/>
      <c r="H739" s="74"/>
    </row>
    <row r="740" spans="1:8">
      <c r="A740" s="73"/>
      <c r="B740" s="73"/>
      <c r="C740" s="73"/>
      <c r="D740" s="73"/>
      <c r="E740" s="73"/>
      <c r="F740" s="73"/>
      <c r="G740" s="72"/>
      <c r="H740" s="74"/>
    </row>
    <row r="741" spans="1:8">
      <c r="A741" s="73"/>
      <c r="B741" s="73"/>
      <c r="C741" s="73"/>
      <c r="D741" s="73"/>
      <c r="E741" s="73"/>
      <c r="F741" s="73"/>
      <c r="G741" s="72"/>
      <c r="H741" s="74"/>
    </row>
    <row r="742" spans="1:8">
      <c r="A742" s="73"/>
      <c r="B742" s="73"/>
      <c r="C742" s="73"/>
      <c r="D742" s="73"/>
      <c r="E742" s="73"/>
      <c r="F742" s="73"/>
      <c r="G742" s="72"/>
      <c r="H742" s="74"/>
    </row>
    <row r="743" spans="1:8">
      <c r="A743" s="73"/>
      <c r="B743" s="73"/>
      <c r="C743" s="73"/>
      <c r="D743" s="73"/>
      <c r="E743" s="73"/>
      <c r="F743" s="73"/>
      <c r="G743" s="72"/>
      <c r="H743" s="74"/>
    </row>
    <row r="744" spans="1:8">
      <c r="A744" s="73"/>
      <c r="B744" s="73"/>
      <c r="C744" s="73"/>
      <c r="D744" s="73"/>
      <c r="E744" s="73"/>
      <c r="F744" s="73"/>
      <c r="G744" s="72"/>
      <c r="H744" s="74"/>
    </row>
    <row r="745" spans="1:8">
      <c r="A745" s="73"/>
      <c r="B745" s="73"/>
      <c r="C745" s="73"/>
      <c r="D745" s="73"/>
      <c r="E745" s="73"/>
      <c r="F745" s="73"/>
      <c r="G745" s="72"/>
      <c r="H745" s="74"/>
    </row>
    <row r="746" spans="1:8">
      <c r="A746" s="73"/>
      <c r="B746" s="73"/>
      <c r="C746" s="73"/>
      <c r="D746" s="73"/>
      <c r="E746" s="73"/>
      <c r="F746" s="73"/>
      <c r="G746" s="72"/>
      <c r="H746" s="74"/>
    </row>
    <row r="747" spans="1:8">
      <c r="A747" s="73"/>
      <c r="B747" s="73"/>
      <c r="C747" s="73"/>
      <c r="D747" s="73"/>
      <c r="E747" s="73"/>
      <c r="F747" s="73"/>
      <c r="G747" s="72"/>
      <c r="H747" s="74"/>
    </row>
    <row r="748" spans="1:8">
      <c r="A748" s="73"/>
      <c r="B748" s="73"/>
      <c r="C748" s="73"/>
      <c r="D748" s="73"/>
      <c r="E748" s="73"/>
      <c r="F748" s="73"/>
      <c r="G748" s="72"/>
      <c r="H748" s="74"/>
    </row>
    <row r="749" spans="1:8">
      <c r="A749" s="73"/>
      <c r="B749" s="73"/>
      <c r="C749" s="73"/>
      <c r="D749" s="73"/>
      <c r="E749" s="73"/>
      <c r="F749" s="73"/>
      <c r="G749" s="72"/>
      <c r="H749" s="74"/>
    </row>
    <row r="750" spans="1:8">
      <c r="A750" s="73"/>
      <c r="B750" s="73"/>
      <c r="C750" s="73"/>
      <c r="D750" s="73"/>
      <c r="E750" s="73"/>
      <c r="F750" s="73"/>
      <c r="G750" s="72"/>
      <c r="H750" s="74"/>
    </row>
    <row r="751" spans="1:8">
      <c r="A751" s="73"/>
      <c r="B751" s="73"/>
      <c r="C751" s="73"/>
      <c r="D751" s="73"/>
      <c r="E751" s="73"/>
      <c r="F751" s="73"/>
      <c r="G751" s="72"/>
      <c r="H751" s="74"/>
    </row>
    <row r="752" spans="1:8">
      <c r="A752" s="73"/>
      <c r="B752" s="73"/>
      <c r="C752" s="73"/>
      <c r="D752" s="73"/>
      <c r="E752" s="73"/>
      <c r="F752" s="73"/>
      <c r="G752" s="72"/>
      <c r="H752" s="74"/>
    </row>
    <row r="753" spans="1:8">
      <c r="A753" s="73"/>
      <c r="B753" s="73"/>
      <c r="C753" s="73"/>
      <c r="D753" s="73"/>
      <c r="E753" s="73"/>
      <c r="F753" s="73"/>
      <c r="G753" s="72"/>
      <c r="H753" s="74"/>
    </row>
    <row r="754" spans="1:8">
      <c r="A754" s="73"/>
      <c r="B754" s="73"/>
      <c r="C754" s="73"/>
      <c r="D754" s="73"/>
      <c r="E754" s="73"/>
      <c r="F754" s="73"/>
      <c r="G754" s="72"/>
      <c r="H754" s="74"/>
    </row>
    <row r="755" spans="1:8">
      <c r="A755" s="73"/>
      <c r="B755" s="73"/>
      <c r="C755" s="73"/>
      <c r="D755" s="73"/>
      <c r="E755" s="73"/>
      <c r="F755" s="73"/>
      <c r="G755" s="72"/>
      <c r="H755" s="74"/>
    </row>
    <row r="756" spans="1:8">
      <c r="A756" s="73"/>
      <c r="B756" s="73"/>
      <c r="C756" s="73"/>
      <c r="D756" s="73"/>
      <c r="E756" s="73"/>
      <c r="F756" s="73"/>
      <c r="G756" s="72"/>
      <c r="H756" s="74"/>
    </row>
    <row r="757" spans="1:8">
      <c r="A757" s="73"/>
      <c r="B757" s="73"/>
      <c r="C757" s="73"/>
      <c r="D757" s="73"/>
      <c r="E757" s="73"/>
      <c r="F757" s="73"/>
      <c r="G757" s="72"/>
      <c r="H757" s="74"/>
    </row>
    <row r="758" spans="1:8">
      <c r="A758" s="73"/>
      <c r="B758" s="73"/>
      <c r="C758" s="73"/>
      <c r="D758" s="73"/>
      <c r="E758" s="73"/>
      <c r="F758" s="73"/>
      <c r="G758" s="72"/>
      <c r="H758" s="74"/>
    </row>
    <row r="759" spans="1:8">
      <c r="A759" s="73"/>
      <c r="B759" s="73"/>
      <c r="C759" s="73"/>
      <c r="D759" s="73"/>
      <c r="E759" s="73"/>
      <c r="F759" s="73"/>
      <c r="G759" s="72"/>
      <c r="H759" s="74"/>
    </row>
    <row r="760" spans="1:8">
      <c r="A760" s="73"/>
      <c r="B760" s="73"/>
      <c r="C760" s="73"/>
      <c r="D760" s="73"/>
      <c r="E760" s="73"/>
      <c r="F760" s="73"/>
      <c r="G760" s="72"/>
      <c r="H760" s="74"/>
    </row>
    <row r="761" spans="1:8">
      <c r="A761" s="73"/>
      <c r="B761" s="73"/>
      <c r="C761" s="73"/>
      <c r="D761" s="73"/>
      <c r="E761" s="73"/>
      <c r="F761" s="73"/>
      <c r="G761" s="72"/>
      <c r="H761" s="74"/>
    </row>
    <row r="762" spans="1:8">
      <c r="A762" s="73"/>
      <c r="B762" s="73"/>
      <c r="C762" s="73"/>
      <c r="D762" s="73"/>
      <c r="E762" s="73"/>
      <c r="F762" s="73"/>
      <c r="G762" s="72"/>
      <c r="H762" s="74"/>
    </row>
    <row r="763" spans="1:8">
      <c r="A763" s="73"/>
      <c r="B763" s="73"/>
      <c r="C763" s="73"/>
      <c r="D763" s="73"/>
      <c r="E763" s="73"/>
      <c r="F763" s="73"/>
      <c r="G763" s="72"/>
      <c r="H763" s="74"/>
    </row>
    <row r="764" spans="1:8">
      <c r="A764" s="73"/>
      <c r="B764" s="73"/>
      <c r="C764" s="73"/>
      <c r="D764" s="73"/>
      <c r="E764" s="73"/>
      <c r="F764" s="73"/>
      <c r="G764" s="72"/>
      <c r="H764" s="74"/>
    </row>
    <row r="765" spans="1:8">
      <c r="A765" s="73"/>
      <c r="B765" s="73"/>
      <c r="C765" s="73"/>
      <c r="D765" s="73"/>
      <c r="E765" s="73"/>
      <c r="F765" s="73"/>
      <c r="G765" s="72"/>
      <c r="H765" s="74"/>
    </row>
    <row r="766" spans="1:8">
      <c r="A766" s="73"/>
      <c r="B766" s="73"/>
      <c r="C766" s="73"/>
      <c r="D766" s="73"/>
      <c r="E766" s="73"/>
      <c r="F766" s="73"/>
      <c r="G766" s="72"/>
      <c r="H766" s="74"/>
    </row>
    <row r="767" spans="1:8">
      <c r="A767" s="73"/>
      <c r="B767" s="73"/>
      <c r="C767" s="73"/>
      <c r="D767" s="73"/>
      <c r="E767" s="73"/>
      <c r="F767" s="73"/>
      <c r="G767" s="72"/>
      <c r="H767" s="74"/>
    </row>
    <row r="768" spans="1:8">
      <c r="A768" s="73"/>
      <c r="B768" s="73"/>
      <c r="C768" s="73"/>
      <c r="D768" s="73"/>
      <c r="E768" s="73"/>
      <c r="F768" s="73"/>
      <c r="G768" s="72"/>
      <c r="H768" s="74"/>
    </row>
    <row r="769" spans="1:8">
      <c r="A769" s="73"/>
      <c r="B769" s="73"/>
      <c r="C769" s="73"/>
      <c r="D769" s="73"/>
      <c r="E769" s="73"/>
      <c r="F769" s="73"/>
      <c r="G769" s="72"/>
      <c r="H769" s="74"/>
    </row>
    <row r="770" spans="1:8">
      <c r="A770" s="73"/>
      <c r="B770" s="73"/>
      <c r="C770" s="73"/>
      <c r="D770" s="73"/>
      <c r="E770" s="73"/>
      <c r="F770" s="73"/>
      <c r="G770" s="72"/>
      <c r="H770" s="74"/>
    </row>
    <row r="771" spans="1:8">
      <c r="A771" s="73"/>
      <c r="B771" s="73"/>
      <c r="C771" s="73"/>
      <c r="D771" s="73"/>
      <c r="E771" s="73"/>
      <c r="F771" s="73"/>
      <c r="G771" s="72"/>
      <c r="H771" s="74"/>
    </row>
    <row r="772" spans="1:8">
      <c r="A772" s="73"/>
      <c r="B772" s="73"/>
      <c r="C772" s="73"/>
      <c r="D772" s="73"/>
      <c r="E772" s="73"/>
      <c r="F772" s="73"/>
      <c r="G772" s="72"/>
      <c r="H772" s="74"/>
    </row>
    <row r="773" spans="1:8">
      <c r="A773" s="73"/>
      <c r="B773" s="73"/>
      <c r="C773" s="73"/>
      <c r="D773" s="73"/>
      <c r="E773" s="73"/>
      <c r="F773" s="73"/>
      <c r="G773" s="72"/>
      <c r="H773" s="74"/>
    </row>
    <row r="774" spans="1:8">
      <c r="A774" s="73"/>
      <c r="B774" s="73"/>
      <c r="C774" s="73"/>
      <c r="D774" s="73"/>
      <c r="E774" s="73"/>
      <c r="F774" s="73"/>
      <c r="G774" s="72"/>
      <c r="H774" s="74"/>
    </row>
    <row r="775" spans="1:8">
      <c r="A775" s="73"/>
      <c r="B775" s="73"/>
      <c r="C775" s="73"/>
      <c r="D775" s="73"/>
      <c r="E775" s="73"/>
      <c r="F775" s="73"/>
      <c r="G775" s="72"/>
      <c r="H775" s="74"/>
    </row>
    <row r="776" spans="1:8">
      <c r="A776" s="73"/>
      <c r="B776" s="73"/>
      <c r="C776" s="73"/>
      <c r="D776" s="73"/>
      <c r="E776" s="73"/>
      <c r="F776" s="73"/>
      <c r="G776" s="72"/>
      <c r="H776" s="74"/>
    </row>
    <row r="777" spans="1:8">
      <c r="A777" s="73"/>
      <c r="B777" s="73"/>
      <c r="C777" s="73"/>
      <c r="D777" s="73"/>
      <c r="E777" s="73"/>
      <c r="F777" s="73"/>
      <c r="G777" s="72"/>
      <c r="H777" s="74"/>
    </row>
    <row r="778" spans="1:8">
      <c r="A778" s="73"/>
      <c r="B778" s="73"/>
      <c r="C778" s="73"/>
      <c r="D778" s="73"/>
      <c r="E778" s="73"/>
      <c r="F778" s="73"/>
      <c r="G778" s="72"/>
      <c r="H778" s="74"/>
    </row>
    <row r="779" spans="1:8">
      <c r="A779" s="73"/>
      <c r="B779" s="73"/>
      <c r="C779" s="73"/>
      <c r="D779" s="73"/>
      <c r="E779" s="73"/>
      <c r="F779" s="73"/>
      <c r="G779" s="72"/>
      <c r="H779" s="74"/>
    </row>
    <row r="780" spans="1:8">
      <c r="A780" s="73"/>
      <c r="B780" s="73"/>
      <c r="C780" s="73"/>
      <c r="D780" s="73"/>
      <c r="E780" s="73"/>
      <c r="F780" s="73"/>
      <c r="G780" s="72"/>
      <c r="H780" s="74"/>
    </row>
    <row r="781" spans="1:8">
      <c r="A781" s="73"/>
      <c r="B781" s="73"/>
      <c r="C781" s="73"/>
      <c r="D781" s="73"/>
      <c r="E781" s="73"/>
      <c r="F781" s="73"/>
      <c r="G781" s="72"/>
      <c r="H781" s="74"/>
    </row>
    <row r="782" spans="1:8">
      <c r="A782" s="73"/>
      <c r="B782" s="73"/>
      <c r="C782" s="73"/>
      <c r="D782" s="73"/>
      <c r="E782" s="73"/>
      <c r="F782" s="73"/>
      <c r="G782" s="72"/>
      <c r="H782" s="74"/>
    </row>
    <row r="783" spans="1:8">
      <c r="A783" s="73"/>
      <c r="B783" s="73"/>
      <c r="C783" s="73"/>
      <c r="D783" s="73"/>
      <c r="E783" s="73"/>
      <c r="F783" s="73"/>
      <c r="G783" s="72"/>
      <c r="H783" s="74"/>
    </row>
    <row r="784" spans="1:8">
      <c r="A784" s="73"/>
      <c r="B784" s="73"/>
      <c r="C784" s="73"/>
      <c r="D784" s="73"/>
      <c r="E784" s="73"/>
      <c r="F784" s="73"/>
      <c r="G784" s="72"/>
      <c r="H784" s="74"/>
    </row>
    <row r="785" spans="1:8">
      <c r="A785" s="73"/>
      <c r="B785" s="73"/>
      <c r="C785" s="73"/>
      <c r="D785" s="73"/>
      <c r="E785" s="73"/>
      <c r="F785" s="73"/>
      <c r="G785" s="72"/>
      <c r="H785" s="74"/>
    </row>
    <row r="786" spans="1:8">
      <c r="A786" s="73"/>
      <c r="B786" s="73"/>
      <c r="C786" s="73"/>
      <c r="D786" s="73"/>
      <c r="E786" s="73"/>
      <c r="F786" s="73"/>
      <c r="G786" s="72"/>
      <c r="H786" s="74"/>
    </row>
    <row r="787" spans="1:8">
      <c r="A787" s="73"/>
      <c r="B787" s="73"/>
      <c r="C787" s="73"/>
      <c r="D787" s="73"/>
      <c r="E787" s="73"/>
      <c r="F787" s="73"/>
      <c r="G787" s="72"/>
      <c r="H787" s="74"/>
    </row>
    <row r="788" spans="1:8">
      <c r="A788" s="73"/>
      <c r="B788" s="73"/>
      <c r="C788" s="73"/>
      <c r="D788" s="73"/>
      <c r="E788" s="73"/>
      <c r="F788" s="73"/>
      <c r="G788" s="72"/>
      <c r="H788" s="74"/>
    </row>
    <row r="789" spans="1:8">
      <c r="A789" s="73"/>
      <c r="B789" s="73"/>
      <c r="C789" s="73"/>
      <c r="D789" s="73"/>
      <c r="E789" s="73"/>
      <c r="F789" s="73"/>
      <c r="G789" s="72"/>
      <c r="H789" s="74"/>
    </row>
    <row r="790" spans="1:8">
      <c r="A790" s="73"/>
      <c r="B790" s="73"/>
      <c r="C790" s="73"/>
      <c r="D790" s="73"/>
      <c r="E790" s="73"/>
      <c r="F790" s="73"/>
      <c r="G790" s="72"/>
      <c r="H790" s="74"/>
    </row>
    <row r="791" spans="1:8">
      <c r="A791" s="73"/>
      <c r="B791" s="73"/>
      <c r="C791" s="73"/>
      <c r="D791" s="73"/>
      <c r="E791" s="73"/>
      <c r="F791" s="73"/>
      <c r="G791" s="72"/>
      <c r="H791" s="74"/>
    </row>
    <row r="792" spans="1:8">
      <c r="A792" s="73"/>
      <c r="B792" s="73"/>
      <c r="C792" s="73"/>
      <c r="D792" s="73"/>
      <c r="E792" s="73"/>
      <c r="F792" s="73"/>
      <c r="G792" s="72"/>
      <c r="H792" s="74"/>
    </row>
    <row r="793" spans="1:8">
      <c r="A793" s="73"/>
      <c r="B793" s="73"/>
      <c r="C793" s="73"/>
      <c r="D793" s="73"/>
      <c r="E793" s="73"/>
      <c r="F793" s="73"/>
      <c r="G793" s="72"/>
      <c r="H793" s="74"/>
    </row>
    <row r="794" spans="1:8">
      <c r="A794" s="73"/>
      <c r="B794" s="73"/>
      <c r="C794" s="73"/>
      <c r="D794" s="73"/>
      <c r="E794" s="73"/>
      <c r="F794" s="73"/>
      <c r="G794" s="72"/>
      <c r="H794" s="74"/>
    </row>
    <row r="795" spans="1:8">
      <c r="A795" s="73"/>
      <c r="B795" s="73"/>
      <c r="C795" s="73"/>
      <c r="D795" s="73"/>
      <c r="E795" s="73"/>
      <c r="F795" s="73"/>
      <c r="G795" s="72"/>
      <c r="H795" s="74"/>
    </row>
    <row r="796" spans="1:8">
      <c r="A796" s="73"/>
      <c r="B796" s="73"/>
      <c r="C796" s="73"/>
      <c r="D796" s="73"/>
      <c r="E796" s="73"/>
      <c r="F796" s="73"/>
      <c r="G796" s="72"/>
      <c r="H796" s="74"/>
    </row>
    <row r="797" spans="1:8">
      <c r="A797" s="73"/>
      <c r="B797" s="73"/>
      <c r="C797" s="73"/>
      <c r="D797" s="73"/>
      <c r="E797" s="73"/>
      <c r="F797" s="73"/>
      <c r="G797" s="72"/>
      <c r="H797" s="74"/>
    </row>
    <row r="798" spans="1:8">
      <c r="A798" s="73"/>
      <c r="B798" s="73"/>
      <c r="C798" s="73"/>
      <c r="D798" s="73"/>
      <c r="E798" s="73"/>
      <c r="F798" s="73"/>
      <c r="G798" s="72"/>
      <c r="H798" s="74"/>
    </row>
    <row r="799" spans="1:8">
      <c r="A799" s="73"/>
      <c r="B799" s="73"/>
      <c r="C799" s="73"/>
      <c r="D799" s="73"/>
      <c r="E799" s="73"/>
      <c r="F799" s="73"/>
      <c r="G799" s="72"/>
      <c r="H799" s="74"/>
    </row>
    <row r="800" spans="1:8">
      <c r="A800" s="73"/>
      <c r="B800" s="73"/>
      <c r="C800" s="73"/>
      <c r="D800" s="73"/>
      <c r="E800" s="73"/>
      <c r="F800" s="73"/>
      <c r="G800" s="72"/>
      <c r="H800" s="74"/>
    </row>
    <row r="801" spans="1:8">
      <c r="A801" s="73"/>
      <c r="B801" s="73"/>
      <c r="C801" s="73"/>
      <c r="D801" s="73"/>
      <c r="E801" s="73"/>
      <c r="F801" s="73"/>
      <c r="G801" s="72"/>
      <c r="H801" s="74"/>
    </row>
    <row r="802" spans="1:8">
      <c r="A802" s="73"/>
      <c r="B802" s="73"/>
      <c r="C802" s="73"/>
      <c r="D802" s="73"/>
      <c r="E802" s="73"/>
      <c r="F802" s="73"/>
      <c r="G802" s="72"/>
      <c r="H802" s="74"/>
    </row>
    <row r="803" spans="1:8">
      <c r="A803" s="73"/>
      <c r="B803" s="73"/>
      <c r="C803" s="73"/>
      <c r="D803" s="73"/>
      <c r="E803" s="73"/>
      <c r="F803" s="73"/>
      <c r="G803" s="72"/>
      <c r="H803" s="74"/>
    </row>
    <row r="804" spans="1:8">
      <c r="A804" s="73"/>
      <c r="B804" s="73"/>
      <c r="C804" s="73"/>
      <c r="D804" s="73"/>
      <c r="E804" s="73"/>
      <c r="F804" s="73"/>
      <c r="G804" s="72"/>
      <c r="H804" s="74"/>
    </row>
    <row r="805" spans="1:8">
      <c r="A805" s="73"/>
      <c r="B805" s="73"/>
      <c r="C805" s="73"/>
      <c r="D805" s="73"/>
      <c r="E805" s="73"/>
      <c r="F805" s="73"/>
      <c r="G805" s="72"/>
      <c r="H805" s="74"/>
    </row>
    <row r="806" spans="1:8">
      <c r="A806" s="73"/>
      <c r="B806" s="73"/>
      <c r="C806" s="73"/>
      <c r="D806" s="73"/>
      <c r="E806" s="73"/>
      <c r="F806" s="73"/>
      <c r="G806" s="72"/>
      <c r="H806" s="74"/>
    </row>
    <row r="807" spans="1:8">
      <c r="A807" s="73"/>
      <c r="B807" s="73"/>
      <c r="C807" s="73"/>
      <c r="D807" s="73"/>
      <c r="E807" s="73"/>
      <c r="F807" s="73"/>
      <c r="G807" s="72"/>
      <c r="H807" s="74"/>
    </row>
    <row r="808" spans="1:8">
      <c r="A808" s="73"/>
      <c r="B808" s="73"/>
      <c r="C808" s="73"/>
      <c r="D808" s="73"/>
      <c r="E808" s="73"/>
      <c r="F808" s="73"/>
      <c r="G808" s="72"/>
      <c r="H808" s="74"/>
    </row>
    <row r="809" spans="1:8">
      <c r="A809" s="73"/>
      <c r="B809" s="73"/>
      <c r="C809" s="73"/>
      <c r="D809" s="73"/>
      <c r="E809" s="73"/>
      <c r="F809" s="73"/>
      <c r="G809" s="72"/>
      <c r="H809" s="74"/>
    </row>
    <row r="810" spans="1:8">
      <c r="A810" s="73"/>
      <c r="B810" s="73"/>
      <c r="C810" s="73"/>
      <c r="D810" s="73"/>
      <c r="E810" s="73"/>
      <c r="F810" s="73"/>
      <c r="G810" s="72"/>
      <c r="H810" s="74"/>
    </row>
    <row r="811" spans="1:8">
      <c r="A811" s="73"/>
      <c r="B811" s="73"/>
      <c r="C811" s="73"/>
      <c r="D811" s="73"/>
      <c r="E811" s="73"/>
      <c r="F811" s="73"/>
      <c r="G811" s="72"/>
      <c r="H811" s="74"/>
    </row>
    <row r="812" spans="1:8">
      <c r="A812" s="73"/>
      <c r="B812" s="73"/>
      <c r="C812" s="73"/>
      <c r="D812" s="73"/>
      <c r="E812" s="73"/>
      <c r="F812" s="73"/>
      <c r="G812" s="72"/>
      <c r="H812" s="74"/>
    </row>
    <row r="813" spans="1:8">
      <c r="A813" s="73"/>
      <c r="B813" s="73"/>
      <c r="C813" s="73"/>
      <c r="D813" s="73"/>
      <c r="E813" s="73"/>
      <c r="F813" s="73"/>
      <c r="G813" s="72"/>
      <c r="H813" s="74"/>
    </row>
    <row r="814" spans="1:8">
      <c r="A814" s="73"/>
      <c r="B814" s="73"/>
      <c r="C814" s="73"/>
      <c r="D814" s="73"/>
      <c r="E814" s="73"/>
      <c r="F814" s="73"/>
      <c r="G814" s="72"/>
      <c r="H814" s="74"/>
    </row>
    <row r="815" spans="1:8">
      <c r="A815" s="73"/>
      <c r="B815" s="73"/>
      <c r="C815" s="73"/>
      <c r="D815" s="73"/>
      <c r="E815" s="73"/>
      <c r="F815" s="73"/>
      <c r="G815" s="72"/>
      <c r="H815" s="74"/>
    </row>
    <row r="816" spans="1:8">
      <c r="A816" s="73"/>
      <c r="B816" s="73"/>
      <c r="C816" s="73"/>
      <c r="D816" s="73"/>
      <c r="E816" s="73"/>
      <c r="F816" s="73"/>
      <c r="G816" s="72"/>
      <c r="H816" s="74"/>
    </row>
    <row r="817" spans="1:8">
      <c r="A817" s="73"/>
      <c r="B817" s="73"/>
      <c r="C817" s="73"/>
      <c r="D817" s="73"/>
      <c r="E817" s="73"/>
      <c r="F817" s="73"/>
      <c r="G817" s="72"/>
      <c r="H817" s="74"/>
    </row>
    <row r="818" spans="1:8">
      <c r="A818" s="73"/>
      <c r="B818" s="73"/>
      <c r="C818" s="73"/>
      <c r="D818" s="73"/>
      <c r="E818" s="73"/>
      <c r="F818" s="73"/>
      <c r="G818" s="72"/>
      <c r="H818" s="74"/>
    </row>
    <row r="819" spans="1:8">
      <c r="A819" s="73"/>
      <c r="B819" s="73"/>
      <c r="C819" s="73"/>
      <c r="D819" s="73"/>
      <c r="E819" s="73"/>
      <c r="F819" s="73"/>
      <c r="G819" s="72"/>
      <c r="H819" s="74"/>
    </row>
    <row r="820" spans="1:8">
      <c r="A820" s="73"/>
      <c r="B820" s="73"/>
      <c r="C820" s="73"/>
      <c r="D820" s="73"/>
      <c r="E820" s="73"/>
      <c r="F820" s="73"/>
      <c r="G820" s="72"/>
      <c r="H820" s="74"/>
    </row>
    <row r="821" spans="1:8">
      <c r="A821" s="73"/>
      <c r="B821" s="73"/>
      <c r="C821" s="73"/>
      <c r="D821" s="73"/>
      <c r="E821" s="73"/>
      <c r="F821" s="73"/>
      <c r="G821" s="72"/>
      <c r="H821" s="74"/>
    </row>
    <row r="822" spans="1:8">
      <c r="A822" s="73"/>
      <c r="B822" s="73"/>
      <c r="C822" s="73"/>
      <c r="D822" s="73"/>
      <c r="E822" s="73"/>
      <c r="F822" s="73"/>
      <c r="G822" s="72"/>
      <c r="H822" s="74"/>
    </row>
    <row r="823" spans="1:8">
      <c r="A823" s="73"/>
      <c r="B823" s="73"/>
      <c r="C823" s="73"/>
      <c r="D823" s="73"/>
      <c r="E823" s="73"/>
      <c r="F823" s="73"/>
      <c r="G823" s="72"/>
      <c r="H823" s="74"/>
    </row>
    <row r="824" spans="1:8">
      <c r="A824" s="73"/>
      <c r="B824" s="73"/>
      <c r="C824" s="73"/>
      <c r="D824" s="73"/>
      <c r="E824" s="73"/>
      <c r="F824" s="73"/>
      <c r="G824" s="72"/>
      <c r="H824" s="74"/>
    </row>
    <row r="1077" spans="5:5">
      <c r="E1077" s="6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5F424-1024-40D8-8827-4AFB6B2D25CB}">
  <sheetPr codeName="Hoja14">
    <tabColor theme="2" tint="0.249977111117893"/>
  </sheetPr>
  <dimension ref="A1:D20"/>
  <sheetViews>
    <sheetView workbookViewId="0">
      <selection activeCell="F21" sqref="F21"/>
    </sheetView>
  </sheetViews>
  <sheetFormatPr baseColWidth="10" defaultRowHeight="14.25"/>
  <cols>
    <col min="2" max="2" width="16.5" customWidth="1"/>
    <col min="3" max="3" width="16" style="132" customWidth="1"/>
    <col min="4" max="4" width="18.375" customWidth="1"/>
  </cols>
  <sheetData>
    <row r="1" spans="1:4" ht="15.75" thickBot="1">
      <c r="A1" s="134" t="s">
        <v>588</v>
      </c>
      <c r="B1" s="135" t="s">
        <v>4</v>
      </c>
      <c r="C1" s="142" t="s">
        <v>589</v>
      </c>
    </row>
    <row r="2" spans="1:4" ht="15" thickTop="1">
      <c r="A2" s="136" t="s">
        <v>876</v>
      </c>
      <c r="B2" s="137" t="s">
        <v>18</v>
      </c>
      <c r="C2" s="143">
        <v>0</v>
      </c>
    </row>
    <row r="3" spans="1:4">
      <c r="A3" s="138" t="s">
        <v>876</v>
      </c>
      <c r="B3" s="139" t="s">
        <v>28</v>
      </c>
      <c r="C3" s="144">
        <v>0</v>
      </c>
    </row>
    <row r="4" spans="1:4">
      <c r="A4" s="140" t="s">
        <v>876</v>
      </c>
      <c r="B4" s="141" t="s">
        <v>28</v>
      </c>
      <c r="C4" s="145">
        <v>0</v>
      </c>
    </row>
    <row r="5" spans="1:4">
      <c r="A5" s="138"/>
      <c r="B5" s="139"/>
      <c r="C5" s="144"/>
    </row>
    <row r="6" spans="1:4">
      <c r="A6" s="140"/>
      <c r="B6" s="141"/>
      <c r="C6" s="145"/>
    </row>
    <row r="7" spans="1:4">
      <c r="A7" s="138"/>
      <c r="B7" s="139"/>
      <c r="C7" s="144"/>
      <c r="D7" s="133"/>
    </row>
    <row r="8" spans="1:4">
      <c r="A8" s="140"/>
      <c r="B8" s="141"/>
      <c r="C8" s="145"/>
      <c r="D8" s="133"/>
    </row>
    <row r="9" spans="1:4">
      <c r="A9" s="138"/>
      <c r="B9" s="139"/>
      <c r="C9" s="144"/>
      <c r="D9" s="133"/>
    </row>
    <row r="10" spans="1:4">
      <c r="A10" s="140"/>
      <c r="B10" s="141"/>
      <c r="C10" s="145"/>
      <c r="D10" s="133"/>
    </row>
    <row r="11" spans="1:4">
      <c r="A11" s="138"/>
      <c r="B11" s="139"/>
      <c r="C11" s="144"/>
      <c r="D11" s="133"/>
    </row>
    <row r="12" spans="1:4">
      <c r="A12" s="140"/>
      <c r="B12" s="141"/>
      <c r="C12" s="145"/>
      <c r="D12" s="133"/>
    </row>
    <row r="13" spans="1:4">
      <c r="A13" s="138"/>
      <c r="B13" s="139"/>
      <c r="C13" s="144"/>
      <c r="D13" s="133"/>
    </row>
    <row r="14" spans="1:4">
      <c r="A14" s="140"/>
      <c r="B14" s="141"/>
      <c r="C14" s="145"/>
      <c r="D14" s="133"/>
    </row>
    <row r="15" spans="1:4">
      <c r="A15" s="138"/>
      <c r="B15" s="139"/>
      <c r="C15" s="144"/>
      <c r="D15" s="133"/>
    </row>
    <row r="16" spans="1:4">
      <c r="A16" s="140"/>
      <c r="B16" s="141"/>
      <c r="C16" s="145"/>
    </row>
    <row r="17" spans="1:3">
      <c r="A17" s="138"/>
      <c r="B17" s="139"/>
      <c r="C17" s="144"/>
    </row>
    <row r="18" spans="1:3">
      <c r="A18" s="140"/>
      <c r="B18" s="141"/>
      <c r="C18" s="145"/>
    </row>
    <row r="19" spans="1:3">
      <c r="A19" s="138"/>
      <c r="B19" s="139"/>
      <c r="C19" s="144"/>
    </row>
    <row r="20" spans="1:3">
      <c r="A20" s="140"/>
      <c r="B20" s="141"/>
      <c r="C20" s="14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D1C80-A58D-4AEE-A03E-767B0B5698BD}">
  <sheetPr codeName="Hoja11">
    <tabColor theme="9"/>
  </sheetPr>
  <dimension ref="A1:U89"/>
  <sheetViews>
    <sheetView showGridLines="0" showZeros="0" tabSelected="1" zoomScale="130" zoomScaleNormal="130" workbookViewId="0">
      <selection activeCell="S15" sqref="S15"/>
    </sheetView>
  </sheetViews>
  <sheetFormatPr baseColWidth="10" defaultRowHeight="14.25"/>
  <cols>
    <col min="1" max="1" width="9" customWidth="1"/>
    <col min="2" max="2" width="20" customWidth="1"/>
    <col min="3" max="3" width="17.75" customWidth="1"/>
    <col min="4" max="5" width="16.625" style="76" customWidth="1"/>
    <col min="6" max="6" width="24.25" style="76" customWidth="1"/>
    <col min="7" max="7" width="20.875" style="76" customWidth="1"/>
    <col min="8" max="8" width="13.625" style="76" customWidth="1"/>
    <col min="9" max="9" width="16.625" style="76" customWidth="1"/>
    <col min="10" max="10" width="19.125" style="76" bestFit="1" customWidth="1"/>
    <col min="11" max="11" width="16.375" bestFit="1" customWidth="1"/>
    <col min="12" max="12" width="15.25" bestFit="1" customWidth="1"/>
    <col min="13" max="14" width="23.5" customWidth="1"/>
    <col min="15" max="15" width="13.375" bestFit="1" customWidth="1"/>
    <col min="16" max="16" width="17.25" customWidth="1"/>
    <col min="17" max="17" width="12" bestFit="1" customWidth="1"/>
    <col min="18" max="18" width="17.875" bestFit="1" customWidth="1"/>
    <col min="19" max="19" width="16.25" bestFit="1" customWidth="1"/>
    <col min="20" max="20" width="15.625" customWidth="1"/>
  </cols>
  <sheetData>
    <row r="1" spans="1:20">
      <c r="A1" s="1"/>
      <c r="B1" s="1"/>
      <c r="C1" s="1"/>
      <c r="D1" s="75"/>
      <c r="E1" s="75"/>
      <c r="F1" s="75"/>
      <c r="G1" s="75"/>
      <c r="H1" s="75"/>
      <c r="I1" s="75"/>
      <c r="J1" s="75"/>
    </row>
    <row r="2" spans="1:20">
      <c r="A2" s="1"/>
      <c r="B2" s="1"/>
      <c r="C2" s="1"/>
      <c r="D2" s="75"/>
      <c r="E2" s="75"/>
      <c r="F2" s="75"/>
      <c r="G2" s="75"/>
      <c r="H2" s="75"/>
      <c r="I2" s="75"/>
      <c r="J2" s="75"/>
      <c r="L2" s="69" t="s">
        <v>388</v>
      </c>
      <c r="M2" s="70">
        <v>5000000000</v>
      </c>
      <c r="N2" s="203"/>
    </row>
    <row r="3" spans="1:20" ht="15.75">
      <c r="F3" s="228" t="s">
        <v>390</v>
      </c>
      <c r="G3" s="228"/>
      <c r="H3" s="228"/>
      <c r="L3" s="69" t="s">
        <v>389</v>
      </c>
      <c r="M3" s="70" t="s">
        <v>30</v>
      </c>
      <c r="N3" s="203"/>
    </row>
    <row r="5" spans="1:20" ht="15">
      <c r="D5" s="243" t="s">
        <v>378</v>
      </c>
      <c r="E5" s="244"/>
      <c r="F5" s="243" t="s">
        <v>379</v>
      </c>
      <c r="G5" s="244"/>
      <c r="H5" s="243" t="s">
        <v>380</v>
      </c>
      <c r="I5" s="244"/>
      <c r="J5" s="104" t="s">
        <v>384</v>
      </c>
    </row>
    <row r="6" spans="1:20" ht="15">
      <c r="B6" s="240" t="s">
        <v>16</v>
      </c>
      <c r="C6" s="241"/>
      <c r="D6" s="78" t="s">
        <v>385</v>
      </c>
      <c r="E6" s="77" t="s">
        <v>386</v>
      </c>
      <c r="F6" s="78" t="s">
        <v>385</v>
      </c>
      <c r="G6" s="77" t="s">
        <v>386</v>
      </c>
      <c r="H6" s="78" t="s">
        <v>385</v>
      </c>
      <c r="I6" s="77" t="s">
        <v>386</v>
      </c>
      <c r="J6" s="79"/>
    </row>
    <row r="7" spans="1:20" ht="15">
      <c r="B7" s="101">
        <v>0</v>
      </c>
      <c r="C7" s="80">
        <v>2</v>
      </c>
      <c r="D7" s="84">
        <f>+SUMIFS(full_portfolios_recursive!$H:$H,full_portfolios_recursive!$B:$B,allocation!$M$3,full_portfolios_recursive!$G:$G,"&gt;="&amp;allocation!$B7,full_portfolios_recursive!$G:$G,"&lt;"&amp;allocation!$C7,full_portfolios_recursive!$E:$E,allocation!D$6,full_portfolios_recursive!$F:$F,allocation!D$5)</f>
        <v>3.4214999999999988E-2</v>
      </c>
      <c r="E7" s="83">
        <f>+SUMIFS(full_portfolios_recursive!$H:$H,full_portfolios_recursive!$B:$B,allocation!$M$3,full_portfolios_recursive!$G:$G,"&gt;="&amp;allocation!$B7,full_portfolios_recursive!$G:$G,"&lt;"&amp;allocation!$C7,full_portfolios_recursive!$E:$E,allocation!E$6,full_portfolios_recursive!$F:$F,allocation!D$5)</f>
        <v>0.12203799999999999</v>
      </c>
      <c r="F7" s="84">
        <f>+SUMIFS(full_portfolios_recursive!$H:$H,full_portfolios_recursive!$B:$B,allocation!$M$3,full_portfolios_recursive!$G:$G,"&gt;="&amp;allocation!$B7,full_portfolios_recursive!$G:$G,"&lt;"&amp;allocation!$C7,full_portfolios_recursive!$E:$E,allocation!F$6,full_portfolios_recursive!$F:$F,allocation!F$5)</f>
        <v>0</v>
      </c>
      <c r="G7" s="83">
        <f>+SUMIFS(full_portfolios_recursive!$H:$H,full_portfolios_recursive!$B:$B,allocation!$M$3,full_portfolios_recursive!$G:$G,"&gt;="&amp;allocation!$B7,full_portfolios_recursive!$G:$G,"&lt;"&amp;allocation!$C7,full_portfolios_recursive!$E:$E,allocation!G$6,full_portfolios_recursive!$F:$F,allocation!F$5)</f>
        <v>0.148119</v>
      </c>
      <c r="H7" s="84">
        <f>+SUMIFS(full_portfolios_recursive!$H:$H,full_portfolios_recursive!$B:$B,allocation!$M$3,full_portfolios_recursive!$G:$G,"&gt;="&amp;allocation!$B7,full_portfolios_recursive!$G:$G,"&lt;"&amp;allocation!$C7,full_portfolios_recursive!$E:$E,allocation!H$6,full_portfolios_recursive!$F:$F,allocation!H$5)</f>
        <v>9.9256999999999984E-2</v>
      </c>
      <c r="I7" s="83">
        <f>+SUMIFS(full_portfolios_recursive!$H:$H,full_portfolios_recursive!$B:$B,allocation!$M$3,full_portfolios_recursive!$G:$G,"&gt;="&amp;allocation!$B7,full_portfolios_recursive!$G:$G,"&lt;"&amp;allocation!$C7,full_portfolios_recursive!$E:$E,allocation!I$6,full_portfolios_recursive!$F:$F,allocation!H$5)</f>
        <v>0</v>
      </c>
      <c r="J7" s="85">
        <f>+SUMIFS(full_portfolios_recursive!$H:$H,full_portfolios_recursive!$B:$B,allocation!$M$3,full_portfolios_recursive!$G:$G,"&gt;="&amp;allocation!$B7,full_portfolios_recursive!$G:$G,"&lt;"&amp;allocation!$C7,full_portfolios_recursive!$F:$F,"&lt;&gt;Bono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7,full_portfolios_recursive!$G:$G,"&lt;"&amp;allocation!$C7,full_portfolios_recursive!$E:$E,"&lt;&gt;$",full_portfolios_recursive!$E:$E,"&lt;&gt;UF")</f>
        <v>3.2459999999999998E-3</v>
      </c>
      <c r="R7" s="148"/>
    </row>
    <row r="8" spans="1:20" ht="15">
      <c r="B8" s="102">
        <v>2</v>
      </c>
      <c r="C8" s="81">
        <v>5</v>
      </c>
      <c r="D8" s="87">
        <f>+SUMIFS(full_portfolios_recursive!$H:$H,full_portfolios_recursive!$B:$B,allocation!$M$3,full_portfolios_recursive!$G:$G,"&gt;="&amp;allocation!$B8,full_portfolios_recursive!$G:$G,"&lt;"&amp;allocation!$C8,full_portfolios_recursive!$E:$E,allocation!D$6,full_portfolios_recursive!$F:$F,allocation!D$5)</f>
        <v>3.4325000000000001E-2</v>
      </c>
      <c r="E8" s="86">
        <f>+SUMIFS(full_portfolios_recursive!$H:$H,full_portfolios_recursive!$B:$B,allocation!$M$3,full_portfolios_recursive!$G:$G,"&gt;="&amp;allocation!$B8,full_portfolios_recursive!$G:$G,"&lt;"&amp;allocation!$C8,full_portfolios_recursive!$E:$E,allocation!E$6,full_portfolios_recursive!$F:$F,allocation!D$5)</f>
        <v>0.3079940000000001</v>
      </c>
      <c r="F8" s="87">
        <f>+SUMIFS(full_portfolios_recursive!$H:$H,full_portfolios_recursive!$B:$B,allocation!$M$3,full_portfolios_recursive!$G:$G,"&gt;="&amp;allocation!$B8,full_portfolios_recursive!$G:$G,"&lt;"&amp;allocation!$C8,full_portfolios_recursive!$E:$E,allocation!F$6,full_portfolios_recursive!$F:$F,allocation!F$5)</f>
        <v>0</v>
      </c>
      <c r="G8" s="86">
        <f>+SUMIFS(full_portfolios_recursive!$H:$H,full_portfolios_recursive!$B:$B,allocation!$M$3,full_portfolios_recursive!$G:$G,"&gt;="&amp;allocation!$B8,full_portfolios_recursive!$G:$G,"&lt;"&amp;allocation!$C8,full_portfolios_recursive!$E:$E,allocation!G$6,full_portfolios_recursive!$F:$F,allocation!F$5)</f>
        <v>1.2390999999999999E-2</v>
      </c>
      <c r="H8" s="87">
        <f>+SUMIFS(full_portfolios_recursive!$H:$H,full_portfolios_recursive!$B:$B,allocation!$M$3,full_portfolios_recursive!$G:$G,"&gt;="&amp;allocation!$B8,full_portfolios_recursive!$G:$G,"&lt;"&amp;allocation!$C8,full_portfolios_recursive!$E:$E,allocation!H$6,full_portfolios_recursive!$F:$F,allocation!H$5)</f>
        <v>0</v>
      </c>
      <c r="I8" s="86">
        <f>+SUMIFS(full_portfolios_recursive!$H:$H,full_portfolios_recursive!$B:$B,allocation!$M$3,full_portfolios_recursive!$G:$G,"&gt;="&amp;allocation!$B8,full_portfolios_recursive!$G:$G,"&lt;"&amp;allocation!$C8,full_portfolios_recursive!$E:$E,allocation!I$6,full_portfolios_recursive!$F:$F,allocation!H$5)</f>
        <v>0</v>
      </c>
      <c r="J8" s="88">
        <f>+SUMIFS(full_portfolios_recursive!$H:$H,full_portfolios_recursive!$B:$B,allocation!$M$3,full_portfolios_recursive!$G:$G,"&gt;="&amp;allocation!$B8,full_portfolios_recursive!$G:$G,"&lt;"&amp;allocation!$C8,full_portfolios_recursive!$F:$F,"&lt;&gt;Bono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8,full_portfolios_recursive!$G:$G,"&lt;"&amp;allocation!$C8,full_portfolios_recursive!$E:$E,"&lt;&gt;$",full_portfolios_recursive!$E:$E,"&lt;&gt;UF")</f>
        <v>2.2239999999999998E-3</v>
      </c>
    </row>
    <row r="9" spans="1:20" ht="15">
      <c r="B9" s="102">
        <v>5</v>
      </c>
      <c r="C9" s="81">
        <v>10</v>
      </c>
      <c r="D9" s="87">
        <f>+SUMIFS(full_portfolios_recursive!$H:$H,full_portfolios_recursive!$B:$B,allocation!$M$3,full_portfolios_recursive!$G:$G,"&gt;="&amp;allocation!$B9,full_portfolios_recursive!$G:$G,"&lt;"&amp;allocation!$C9,full_portfolios_recursive!$E:$E,allocation!D$6,full_portfolios_recursive!$F:$F,allocation!D$5)</f>
        <v>6.7439999999999991E-3</v>
      </c>
      <c r="E9" s="86">
        <f>+SUMIFS(full_portfolios_recursive!$H:$H,full_portfolios_recursive!$B:$B,allocation!$M$3,full_portfolios_recursive!$G:$G,"&gt;="&amp;allocation!$B9,full_portfolios_recursive!$G:$G,"&lt;"&amp;allocation!$C9,full_portfolios_recursive!$E:$E,allocation!E$6,full_portfolios_recursive!$F:$F,allocation!D$5)</f>
        <v>0.17844400000000005</v>
      </c>
      <c r="F9" s="87">
        <f>+SUMIFS(full_portfolios_recursive!$H:$H,full_portfolios_recursive!$B:$B,allocation!$M$3,full_portfolios_recursive!$G:$G,"&gt;="&amp;allocation!$B9,full_portfolios_recursive!$G:$G,"&lt;"&amp;allocation!$C9,full_portfolios_recursive!$E:$E,allocation!F$6,full_portfolios_recursive!$F:$F,allocation!F$5)</f>
        <v>0</v>
      </c>
      <c r="G9" s="86">
        <f>+SUMIFS(full_portfolios_recursive!$H:$H,full_portfolios_recursive!$B:$B,allocation!$M$3,full_portfolios_recursive!$G:$G,"&gt;="&amp;allocation!$B9,full_portfolios_recursive!$G:$G,"&lt;"&amp;allocation!$C9,full_portfolios_recursive!$E:$E,allocation!G$6,full_portfolios_recursive!$F:$F,allocation!F$5)</f>
        <v>3.2379999999999999E-2</v>
      </c>
      <c r="H9" s="87">
        <f>+SUMIFS(full_portfolios_recursive!$H:$H,full_portfolios_recursive!$B:$B,allocation!$M$3,full_portfolios_recursive!$G:$G,"&gt;="&amp;allocation!$B9,full_portfolios_recursive!$G:$G,"&lt;"&amp;allocation!$C9,full_portfolios_recursive!$E:$E,allocation!H$6,full_portfolios_recursive!$F:$F,allocation!H$5)</f>
        <v>0</v>
      </c>
      <c r="I9" s="86">
        <f>+SUMIFS(full_portfolios_recursive!$H:$H,full_portfolios_recursive!$B:$B,allocation!$M$3,full_portfolios_recursive!$G:$G,"&gt;="&amp;allocation!$B9,full_portfolios_recursive!$G:$G,"&lt;"&amp;allocation!$C9,full_portfolios_recursive!$E:$E,allocation!I$6,full_portfolios_recursive!$F:$F,allocation!H$5)</f>
        <v>0</v>
      </c>
      <c r="J9" s="88">
        <f>+SUMIFS(full_portfolios_recursive!$H:$H,full_portfolios_recursive!$B:$B,allocation!$M$3,full_portfolios_recursive!$G:$G,"&gt;="&amp;allocation!$B9,full_portfolios_recursive!$G:$G,"&lt;"&amp;allocation!$C9,full_portfolios_recursive!$F:$F,"&lt;&gt;Bono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9,full_portfolios_recursive!$G:$G,"&lt;"&amp;allocation!$C9,full_portfolios_recursive!$E:$E,"&lt;&gt;$",full_portfolios_recursive!$E:$E,"&lt;&gt;UF")</f>
        <v>5.1399999999999992E-4</v>
      </c>
    </row>
    <row r="10" spans="1:20" ht="15">
      <c r="B10" s="102">
        <v>10</v>
      </c>
      <c r="C10" s="81">
        <v>20</v>
      </c>
      <c r="D10" s="87">
        <f>+SUMIFS(full_portfolios_recursive!$H:$H,full_portfolios_recursive!$B:$B,allocation!$M$3,full_portfolios_recursive!$G:$G,"&gt;="&amp;allocation!$B10,full_portfolios_recursive!$G:$G,"&lt;"&amp;allocation!$C10,full_portfolios_recursive!$E:$E,allocation!D$6,full_portfolios_recursive!$F:$F,allocation!D$5)</f>
        <v>0</v>
      </c>
      <c r="E10" s="86">
        <f>+SUMIFS(full_portfolios_recursive!$H:$H,full_portfolios_recursive!$B:$B,allocation!$M$3,full_portfolios_recursive!$G:$G,"&gt;="&amp;allocation!$B10,full_portfolios_recursive!$G:$G,"&lt;"&amp;allocation!$C10,full_portfolios_recursive!$E:$E,allocation!E$6,full_portfolios_recursive!$F:$F,allocation!D$5)</f>
        <v>1.8023000000000001E-2</v>
      </c>
      <c r="F10" s="87">
        <f>+SUMIFS(full_portfolios_recursive!$H:$H,full_portfolios_recursive!$B:$B,allocation!$M$3,full_portfolios_recursive!$G:$G,"&gt;="&amp;allocation!$B10,full_portfolios_recursive!$G:$G,"&lt;"&amp;allocation!$C10,full_portfolios_recursive!$E:$E,allocation!F$6,full_portfolios_recursive!$F:$F,allocation!F$5)</f>
        <v>0</v>
      </c>
      <c r="G10" s="86">
        <f>+SUMIFS(full_portfolios_recursive!$H:$H,full_portfolios_recursive!$B:$B,allocation!$M$3,full_portfolios_recursive!$G:$G,"&gt;="&amp;allocation!$B10,full_portfolios_recursive!$G:$G,"&lt;"&amp;allocation!$C10,full_portfolios_recursive!$E:$E,allocation!G$6,full_portfolios_recursive!$F:$F,allocation!F$5)</f>
        <v>0</v>
      </c>
      <c r="H10" s="87">
        <f>+SUMIFS(full_portfolios_recursive!$H:$H,full_portfolios_recursive!$B:$B,allocation!$M$3,full_portfolios_recursive!$G:$G,"&gt;="&amp;allocation!$B10,full_portfolios_recursive!$G:$G,"&lt;"&amp;allocation!$C10,full_portfolios_recursive!$E:$E,allocation!H$6,full_portfolios_recursive!$F:$F,allocation!H$5)</f>
        <v>0</v>
      </c>
      <c r="I10" s="86">
        <f>+SUMIFS(full_portfolios_recursive!$H:$H,full_portfolios_recursive!$B:$B,allocation!$M$3,full_portfolios_recursive!$G:$G,"&gt;="&amp;allocation!$B10,full_portfolios_recursive!$G:$G,"&lt;"&amp;allocation!$C10,full_portfolios_recursive!$E:$E,allocation!I$6,full_portfolios_recursive!$F:$F,allocation!H$5)</f>
        <v>0</v>
      </c>
      <c r="J10" s="88">
        <f>+SUMIFS(full_portfolios_recursive!$H:$H,full_portfolios_recursive!$B:$B,allocation!$M$3,full_portfolios_recursive!$G:$G,"&gt;="&amp;allocation!$B10,full_portfolios_recursive!$G:$G,"&lt;"&amp;allocation!$C10,full_portfolios_recursive!$F:$F,"&lt;&gt;Bono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10,full_portfolios_recursive!$G:$G,"&lt;"&amp;allocation!$C10,full_portfolios_recursive!$E:$E,"&lt;&gt;$",full_portfolios_recursive!$E:$E,"&lt;&gt;UF")</f>
        <v>0</v>
      </c>
    </row>
    <row r="11" spans="1:20" ht="15">
      <c r="B11" s="103">
        <v>20</v>
      </c>
      <c r="C11" s="82">
        <v>30</v>
      </c>
      <c r="D11" s="90">
        <f>+SUMIFS(full_portfolios_recursive!$H:$H,full_portfolios_recursive!$B:$B,allocation!$M$3,full_portfolios_recursive!$G:$G,"&gt;="&amp;allocation!$B11,full_portfolios_recursive!$G:$G,"&lt;"&amp;allocation!$C11,full_portfolios_recursive!$E:$E,allocation!D$6,full_portfolios_recursive!$F:$F,allocation!D$5)</f>
        <v>0</v>
      </c>
      <c r="E11" s="89">
        <f>+SUMIFS(full_portfolios_recursive!$H:$H,full_portfolios_recursive!$B:$B,allocation!$M$3,full_portfolios_recursive!$G:$G,"&gt;="&amp;allocation!$B11,full_portfolios_recursive!$G:$G,"&lt;"&amp;allocation!$C11,full_portfolios_recursive!$E:$E,allocation!E$6,full_portfolios_recursive!$F:$F,allocation!D$5)</f>
        <v>0</v>
      </c>
      <c r="F11" s="90">
        <f>+SUMIFS(full_portfolios_recursive!$H:$H,full_portfolios_recursive!$B:$B,allocation!$M$3,full_portfolios_recursive!$G:$G,"&gt;="&amp;allocation!$B11,full_portfolios_recursive!$G:$G,"&lt;"&amp;allocation!$C11,full_portfolios_recursive!$E:$E,allocation!F$6,full_portfolios_recursive!$F:$F,allocation!F$5)</f>
        <v>0</v>
      </c>
      <c r="G11" s="89">
        <f>+SUMIFS(full_portfolios_recursive!$H:$H,full_portfolios_recursive!$B:$B,allocation!$M$3,full_portfolios_recursive!$G:$G,"&gt;="&amp;allocation!$B11,full_portfolios_recursive!$G:$G,"&lt;"&amp;allocation!$C11,full_portfolios_recursive!$E:$E,allocation!G$6,full_portfolios_recursive!$F:$F,allocation!F$5)</f>
        <v>0</v>
      </c>
      <c r="H11" s="90">
        <f>+SUMIFS(full_portfolios_recursive!$H:$H,full_portfolios_recursive!$B:$B,allocation!$M$3,full_portfolios_recursive!$G:$G,"&gt;="&amp;allocation!$B11,full_portfolios_recursive!$G:$G,"&lt;"&amp;allocation!$C11,full_portfolios_recursive!$E:$E,allocation!H$6,full_portfolios_recursive!$F:$F,allocation!H$5)</f>
        <v>0</v>
      </c>
      <c r="I11" s="89">
        <f>+SUMIFS(full_portfolios_recursive!$H:$H,full_portfolios_recursive!$B:$B,allocation!$M$3,full_portfolios_recursive!$G:$G,"&gt;="&amp;allocation!$B11,full_portfolios_recursive!$G:$G,"&lt;"&amp;allocation!$C11,full_portfolios_recursive!$E:$E,allocation!I$6,full_portfolios_recursive!$F:$F,allocation!H$5)</f>
        <v>0</v>
      </c>
      <c r="J11" s="91">
        <f>+SUMIFS(full_portfolios_recursive!$H:$H,full_portfolios_recursive!$B:$B,allocation!$M$3,full_portfolios_recursive!$G:$G,"&gt;="&amp;allocation!$B11,full_portfolios_recursive!$G:$G,"&lt;"&amp;allocation!$C11,full_portfolios_recursive!$F:$F,"&lt;&gt;Bono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11,full_portfolios_recursive!$G:$G,"&lt;"&amp;allocation!$C11,full_portfolios_recursive!$E:$E,"&lt;&gt;$",full_portfolios_recursive!$E:$E,"&lt;&gt;UF")</f>
        <v>0</v>
      </c>
    </row>
    <row r="12" spans="1:20" ht="15">
      <c r="M12" s="117" t="s">
        <v>414</v>
      </c>
      <c r="N12" s="117"/>
      <c r="O12" s="121">
        <v>100000</v>
      </c>
    </row>
    <row r="13" spans="1:20" ht="15.75">
      <c r="F13" s="228" t="s">
        <v>391</v>
      </c>
      <c r="G13" s="228"/>
      <c r="H13" s="228"/>
    </row>
    <row r="14" spans="1:20" ht="15">
      <c r="L14" s="118"/>
      <c r="M14" s="81" t="s">
        <v>415</v>
      </c>
      <c r="N14" s="81"/>
      <c r="O14" s="81" t="s">
        <v>416</v>
      </c>
      <c r="P14" s="81" t="s">
        <v>417</v>
      </c>
      <c r="Q14" s="81" t="s">
        <v>418</v>
      </c>
      <c r="R14" s="119" t="s">
        <v>419</v>
      </c>
    </row>
    <row r="15" spans="1:20" ht="15">
      <c r="D15" s="243" t="s">
        <v>378</v>
      </c>
      <c r="E15" s="244"/>
      <c r="F15" s="243" t="s">
        <v>379</v>
      </c>
      <c r="G15" s="244"/>
      <c r="H15" s="243" t="s">
        <v>380</v>
      </c>
      <c r="I15" s="244"/>
      <c r="J15" s="104" t="s">
        <v>384</v>
      </c>
      <c r="L15" s="81" t="s">
        <v>22</v>
      </c>
      <c r="M15" s="122">
        <f>+SUMIFS(full_portfolios!$G:$G,full_portfolios!$B:$B,allocation!L15)</f>
        <v>8119432001</v>
      </c>
      <c r="N15" s="123"/>
      <c r="O15" s="123">
        <f>+SUMIFS(leverage!$C$2:$C$20,leverage!$B$2:$B$20,allocation!L15)</f>
        <v>0</v>
      </c>
      <c r="P15" s="123">
        <f>+M15-O15</f>
        <v>8119432001</v>
      </c>
      <c r="Q15" s="124">
        <v>1.5</v>
      </c>
      <c r="R15" s="125">
        <f>+Q15*P15*$O$12/SUMPRODUCT($P$15:$P$18,$Q$15:$Q$18)</f>
        <v>28482.220700782251</v>
      </c>
      <c r="S15" s="132">
        <f>+MROUND(R15,500)</f>
        <v>28500</v>
      </c>
      <c r="T15" s="132">
        <f>+MROUND(S15,5000000)</f>
        <v>0</v>
      </c>
    </row>
    <row r="16" spans="1:20" ht="15">
      <c r="B16" s="242" t="s">
        <v>16</v>
      </c>
      <c r="C16" s="240"/>
      <c r="D16" s="78" t="s">
        <v>385</v>
      </c>
      <c r="E16" s="77" t="s">
        <v>386</v>
      </c>
      <c r="F16" s="78" t="s">
        <v>385</v>
      </c>
      <c r="G16" s="77" t="s">
        <v>386</v>
      </c>
      <c r="H16" s="78" t="s">
        <v>385</v>
      </c>
      <c r="I16" s="77" t="s">
        <v>386</v>
      </c>
      <c r="J16" s="79"/>
      <c r="L16" s="81" t="s">
        <v>28</v>
      </c>
      <c r="M16" s="126">
        <f>+SUMIFS(full_portfolios!$G:$G,full_portfolios!$B:$B,allocation!L16)</f>
        <v>10193793384</v>
      </c>
      <c r="N16" s="113"/>
      <c r="O16" s="113">
        <f>+SUMIFS(leverage!$C$2:$C$20,leverage!$B$2:$B$20,allocation!L16)</f>
        <v>0</v>
      </c>
      <c r="P16" s="113">
        <f>+M16-O16</f>
        <v>10193793384</v>
      </c>
      <c r="Q16" s="120">
        <v>3</v>
      </c>
      <c r="R16" s="127">
        <f t="shared" ref="R16" si="0">+Q16*P16*$O$12/SUMPRODUCT($P$15:$P$18,$Q$15:$Q$18)</f>
        <v>71517.779299217742</v>
      </c>
      <c r="S16" s="132">
        <f t="shared" ref="S16" si="1">+MROUND(R16,500)</f>
        <v>71500</v>
      </c>
      <c r="T16" s="132">
        <f t="shared" ref="T16" si="2">+MROUND(S16,5000000)</f>
        <v>0</v>
      </c>
    </row>
    <row r="17" spans="2:20" ht="15">
      <c r="B17" s="101">
        <v>0</v>
      </c>
      <c r="C17" s="80">
        <v>2</v>
      </c>
      <c r="D17" s="93">
        <f>+D7*$M$2</f>
        <v>171074999.99999994</v>
      </c>
      <c r="E17" s="92">
        <f t="shared" ref="E17:J17" si="3">+E7*$M$2</f>
        <v>610190000</v>
      </c>
      <c r="F17" s="93">
        <f t="shared" si="3"/>
        <v>0</v>
      </c>
      <c r="G17" s="92">
        <f t="shared" si="3"/>
        <v>740595000</v>
      </c>
      <c r="H17" s="93">
        <f t="shared" si="3"/>
        <v>496284999.99999994</v>
      </c>
      <c r="I17" s="92">
        <f t="shared" si="3"/>
        <v>0</v>
      </c>
      <c r="J17" s="94">
        <f t="shared" si="3"/>
        <v>16229999.999999998</v>
      </c>
      <c r="L17" s="81"/>
      <c r="M17" s="126"/>
      <c r="N17" s="113"/>
      <c r="O17" s="113"/>
      <c r="P17" s="113"/>
      <c r="Q17" s="120"/>
      <c r="R17" s="127"/>
      <c r="S17" s="132"/>
      <c r="T17" s="132"/>
    </row>
    <row r="18" spans="2:20" ht="15">
      <c r="B18" s="102">
        <v>2</v>
      </c>
      <c r="C18" s="81">
        <v>5</v>
      </c>
      <c r="D18" s="96">
        <f t="shared" ref="D18:J21" si="4">+D8*$M$2</f>
        <v>171625000</v>
      </c>
      <c r="E18" s="95">
        <f t="shared" si="4"/>
        <v>1539970000.0000005</v>
      </c>
      <c r="F18" s="96">
        <f t="shared" si="4"/>
        <v>0</v>
      </c>
      <c r="G18" s="95">
        <f t="shared" si="4"/>
        <v>61954999.999999993</v>
      </c>
      <c r="H18" s="96">
        <f t="shared" si="4"/>
        <v>0</v>
      </c>
      <c r="I18" s="95">
        <f t="shared" si="4"/>
        <v>0</v>
      </c>
      <c r="J18" s="97">
        <f t="shared" si="4"/>
        <v>11120000</v>
      </c>
      <c r="L18" s="82"/>
      <c r="M18" s="128"/>
      <c r="N18" s="129"/>
      <c r="O18" s="129"/>
      <c r="P18" s="129"/>
      <c r="Q18" s="130"/>
      <c r="R18" s="131"/>
      <c r="S18" s="132"/>
      <c r="T18" s="132"/>
    </row>
    <row r="19" spans="2:20" ht="15">
      <c r="B19" s="102">
        <v>5</v>
      </c>
      <c r="C19" s="81">
        <v>10</v>
      </c>
      <c r="D19" s="96">
        <f t="shared" si="4"/>
        <v>33719999.999999993</v>
      </c>
      <c r="E19" s="95">
        <f t="shared" si="4"/>
        <v>892220000.00000024</v>
      </c>
      <c r="F19" s="96">
        <f t="shared" si="4"/>
        <v>0</v>
      </c>
      <c r="G19" s="95">
        <f t="shared" si="4"/>
        <v>161900000</v>
      </c>
      <c r="H19" s="96">
        <f t="shared" si="4"/>
        <v>0</v>
      </c>
      <c r="I19" s="95">
        <f t="shared" si="4"/>
        <v>0</v>
      </c>
      <c r="J19" s="97">
        <f t="shared" si="4"/>
        <v>2569999.9999999995</v>
      </c>
    </row>
    <row r="20" spans="2:20" ht="15">
      <c r="B20" s="102">
        <v>10</v>
      </c>
      <c r="C20" s="81">
        <v>20</v>
      </c>
      <c r="D20" s="96">
        <f t="shared" si="4"/>
        <v>0</v>
      </c>
      <c r="E20" s="95">
        <f t="shared" si="4"/>
        <v>90115000</v>
      </c>
      <c r="F20" s="96">
        <f t="shared" si="4"/>
        <v>0</v>
      </c>
      <c r="G20" s="95">
        <f t="shared" si="4"/>
        <v>0</v>
      </c>
      <c r="H20" s="96">
        <f t="shared" si="4"/>
        <v>0</v>
      </c>
      <c r="I20" s="95">
        <f t="shared" si="4"/>
        <v>0</v>
      </c>
      <c r="J20" s="97">
        <f t="shared" si="4"/>
        <v>0</v>
      </c>
    </row>
    <row r="21" spans="2:20" ht="15">
      <c r="B21" s="103">
        <v>20</v>
      </c>
      <c r="C21" s="82">
        <v>30</v>
      </c>
      <c r="D21" s="99">
        <f t="shared" si="4"/>
        <v>0</v>
      </c>
      <c r="E21" s="98">
        <f t="shared" si="4"/>
        <v>0</v>
      </c>
      <c r="F21" s="99">
        <f t="shared" si="4"/>
        <v>0</v>
      </c>
      <c r="G21" s="98">
        <f t="shared" si="4"/>
        <v>0</v>
      </c>
      <c r="H21" s="99">
        <f t="shared" si="4"/>
        <v>0</v>
      </c>
      <c r="I21" s="98">
        <f t="shared" si="4"/>
        <v>0</v>
      </c>
      <c r="J21" s="100">
        <f t="shared" si="4"/>
        <v>0</v>
      </c>
      <c r="L21" s="115"/>
    </row>
    <row r="22" spans="2:20">
      <c r="F22"/>
      <c r="G22"/>
      <c r="H22"/>
      <c r="I22"/>
      <c r="J22"/>
      <c r="O22" s="147"/>
    </row>
    <row r="23" spans="2:20">
      <c r="F23"/>
      <c r="G23"/>
      <c r="H23"/>
      <c r="I23"/>
      <c r="J23"/>
      <c r="O23" s="147"/>
    </row>
    <row r="24" spans="2:20">
      <c r="E24" s="171"/>
      <c r="F24" s="172" t="s">
        <v>680</v>
      </c>
      <c r="G24" s="172" t="s">
        <v>405</v>
      </c>
      <c r="H24"/>
      <c r="I24"/>
      <c r="J24"/>
      <c r="O24" s="147"/>
    </row>
    <row r="25" spans="2:20" ht="15">
      <c r="E25" s="170" t="s">
        <v>677</v>
      </c>
      <c r="F25" s="73">
        <v>1400000</v>
      </c>
      <c r="G25" s="73">
        <v>27</v>
      </c>
      <c r="H25"/>
      <c r="I25"/>
      <c r="J25"/>
      <c r="M25" s="81"/>
      <c r="N25" s="81"/>
      <c r="O25" s="147"/>
    </row>
    <row r="26" spans="2:20" ht="15">
      <c r="E26" s="170" t="s">
        <v>678</v>
      </c>
      <c r="F26" s="73">
        <v>1400000</v>
      </c>
      <c r="G26" s="73">
        <v>28.08</v>
      </c>
      <c r="H26"/>
      <c r="I26"/>
      <c r="J26"/>
      <c r="M26" s="81"/>
      <c r="N26" s="81"/>
      <c r="O26" s="147"/>
    </row>
    <row r="27" spans="2:20">
      <c r="E27" s="171" t="s">
        <v>679</v>
      </c>
      <c r="F27" s="172">
        <v>1400000</v>
      </c>
      <c r="G27" s="172">
        <v>28.06</v>
      </c>
      <c r="H27"/>
      <c r="I27"/>
      <c r="J27"/>
      <c r="O27" s="147"/>
    </row>
    <row r="28" spans="2:20" ht="15">
      <c r="E28" s="73"/>
      <c r="F28" s="173" t="s">
        <v>681</v>
      </c>
      <c r="G28" s="72">
        <f>+SUMPRODUCT(F25:F27,G25:G27)/SUM(F25:F27)</f>
        <v>27.713333333333335</v>
      </c>
      <c r="H28"/>
      <c r="I28"/>
      <c r="J28"/>
      <c r="O28" s="147"/>
    </row>
    <row r="29" spans="2:20">
      <c r="E29"/>
      <c r="F29"/>
      <c r="G29"/>
      <c r="H29"/>
      <c r="I29"/>
      <c r="J29"/>
    </row>
    <row r="30" spans="2:20">
      <c r="E30"/>
      <c r="F30"/>
      <c r="G30"/>
      <c r="H30"/>
      <c r="I30"/>
      <c r="J30"/>
    </row>
    <row r="31" spans="2:20">
      <c r="B31" s="248" t="s">
        <v>666</v>
      </c>
      <c r="C31" s="248"/>
      <c r="D31" s="248"/>
      <c r="E31"/>
      <c r="F31" s="248" t="s">
        <v>470</v>
      </c>
      <c r="G31" s="248"/>
      <c r="H31" s="248"/>
      <c r="I31"/>
      <c r="J31" s="248" t="s">
        <v>666</v>
      </c>
      <c r="K31" s="248"/>
      <c r="L31" s="248"/>
    </row>
    <row r="32" spans="2:20" ht="15.75">
      <c r="B32" s="228" t="s">
        <v>394</v>
      </c>
      <c r="C32" s="228"/>
      <c r="D32" s="228"/>
      <c r="E32"/>
      <c r="F32" s="228" t="s">
        <v>394</v>
      </c>
      <c r="G32" s="228"/>
      <c r="H32" s="228"/>
      <c r="I32"/>
      <c r="J32" s="228" t="s">
        <v>685</v>
      </c>
      <c r="K32" s="228"/>
      <c r="L32" s="228"/>
      <c r="P32" t="s">
        <v>857</v>
      </c>
    </row>
    <row r="33" spans="2:18" ht="15">
      <c r="B33" s="106" t="s">
        <v>404</v>
      </c>
      <c r="C33" s="249">
        <v>70000</v>
      </c>
      <c r="D33" s="249"/>
      <c r="E33"/>
      <c r="F33" s="106" t="s">
        <v>404</v>
      </c>
      <c r="G33" s="249">
        <v>2800000</v>
      </c>
      <c r="H33" s="249"/>
      <c r="I33" s="147"/>
      <c r="J33" s="106" t="s">
        <v>404</v>
      </c>
      <c r="K33" s="249">
        <v>100000</v>
      </c>
      <c r="L33" s="249"/>
      <c r="O33" t="s">
        <v>858</v>
      </c>
      <c r="P33" s="199">
        <v>95344674</v>
      </c>
    </row>
    <row r="34" spans="2:18" ht="15">
      <c r="B34" s="106" t="s">
        <v>403</v>
      </c>
      <c r="C34" s="231" t="s">
        <v>684</v>
      </c>
      <c r="D34" s="231"/>
      <c r="E34"/>
      <c r="F34" s="106" t="s">
        <v>403</v>
      </c>
      <c r="G34" s="231" t="s">
        <v>684</v>
      </c>
      <c r="H34" s="231"/>
      <c r="I34"/>
      <c r="J34" s="106" t="s">
        <v>686</v>
      </c>
      <c r="K34" s="231" t="s">
        <v>870</v>
      </c>
      <c r="L34" s="231"/>
      <c r="O34" t="s">
        <v>859</v>
      </c>
      <c r="P34" s="199">
        <v>2000000</v>
      </c>
    </row>
    <row r="35" spans="2:18" ht="15">
      <c r="B35" s="106" t="s">
        <v>406</v>
      </c>
      <c r="C35" s="232" t="e">
        <f ca="1">+VLOOKUP(C34,LEBACS!$B:$D,2,FALSE)</f>
        <v>#N/A</v>
      </c>
      <c r="D35" s="233"/>
      <c r="E35"/>
      <c r="F35" s="106" t="s">
        <v>406</v>
      </c>
      <c r="G35" s="232" t="e">
        <f ca="1">+VLOOKUP(G34,LEBACS!$B:$D,2,FALSE)</f>
        <v>#N/A</v>
      </c>
      <c r="H35" s="233"/>
      <c r="I35"/>
      <c r="J35" s="106" t="s">
        <v>406</v>
      </c>
      <c r="K35" s="254">
        <v>43553</v>
      </c>
      <c r="L35" s="233"/>
      <c r="O35" t="s">
        <v>860</v>
      </c>
      <c r="P35" s="200">
        <f>+P33-P34</f>
        <v>93344674</v>
      </c>
    </row>
    <row r="36" spans="2:18" ht="15">
      <c r="B36" s="106" t="s">
        <v>400</v>
      </c>
      <c r="C36" s="247">
        <v>0.48499999999999999</v>
      </c>
      <c r="D36" s="235"/>
      <c r="E36"/>
      <c r="F36" s="106" t="s">
        <v>400</v>
      </c>
      <c r="G36" s="247">
        <v>0.50749999999999995</v>
      </c>
      <c r="H36" s="235"/>
      <c r="I36" s="147"/>
      <c r="J36" s="76" t="s">
        <v>697</v>
      </c>
      <c r="K36" s="252">
        <v>43532</v>
      </c>
      <c r="L36" s="253"/>
      <c r="M36" t="s">
        <v>874</v>
      </c>
      <c r="O36" t="s">
        <v>861</v>
      </c>
      <c r="P36">
        <v>1.204</v>
      </c>
    </row>
    <row r="37" spans="2:18" ht="15">
      <c r="B37" s="106" t="s">
        <v>405</v>
      </c>
      <c r="C37" s="216">
        <v>29.35</v>
      </c>
      <c r="D37" s="217"/>
      <c r="E37"/>
      <c r="F37" s="106" t="s">
        <v>405</v>
      </c>
      <c r="G37" s="216">
        <f>+G28</f>
        <v>27.713333333333335</v>
      </c>
      <c r="H37" s="217"/>
      <c r="I37"/>
      <c r="J37" s="106" t="s">
        <v>405</v>
      </c>
      <c r="K37" s="216">
        <v>41.66</v>
      </c>
      <c r="L37" s="217"/>
      <c r="M37">
        <v>41.2</v>
      </c>
      <c r="O37" t="s">
        <v>862</v>
      </c>
      <c r="P37" s="199">
        <f>+P35*P36</f>
        <v>112386987.49599999</v>
      </c>
      <c r="Q37" t="s">
        <v>873</v>
      </c>
    </row>
    <row r="38" spans="2:18" ht="15">
      <c r="B38" s="106" t="s">
        <v>395</v>
      </c>
      <c r="C38" s="245">
        <v>0.99340001300000003</v>
      </c>
      <c r="D38" s="246"/>
      <c r="E38"/>
      <c r="F38" s="106" t="s">
        <v>395</v>
      </c>
      <c r="G38" s="218">
        <v>0.99172700000000003</v>
      </c>
      <c r="H38" s="219"/>
      <c r="I38"/>
      <c r="J38" s="106" t="s">
        <v>698</v>
      </c>
      <c r="K38" s="245">
        <v>120.25</v>
      </c>
      <c r="L38" s="246"/>
      <c r="O38" t="s">
        <v>599</v>
      </c>
      <c r="P38" s="201">
        <v>40.481699999999996</v>
      </c>
      <c r="Q38">
        <v>41.55</v>
      </c>
      <c r="R38" s="57">
        <f>+P38/Q38-1</f>
        <v>-2.5711191335740069E-2</v>
      </c>
    </row>
    <row r="39" spans="2:18" ht="15">
      <c r="B39" s="106" t="s">
        <v>396</v>
      </c>
      <c r="C39" s="220">
        <v>2068149</v>
      </c>
      <c r="D39" s="221"/>
      <c r="E39"/>
      <c r="F39" s="106" t="s">
        <v>396</v>
      </c>
      <c r="G39" s="220">
        <v>79251649</v>
      </c>
      <c r="H39" s="221"/>
      <c r="I39"/>
      <c r="J39" s="106" t="s">
        <v>396</v>
      </c>
      <c r="K39" s="255">
        <v>40000000</v>
      </c>
      <c r="L39" s="256"/>
      <c r="O39" t="s">
        <v>863</v>
      </c>
      <c r="P39" s="199">
        <f>+P37/P38</f>
        <v>2776241.7955767666</v>
      </c>
      <c r="R39" s="202">
        <f>+R38*P39</f>
        <v>-71380.484000352808</v>
      </c>
    </row>
    <row r="40" spans="2:18" ht="15">
      <c r="B40" s="107" t="s">
        <v>397</v>
      </c>
      <c r="C40" s="222">
        <f>+C37*C33</f>
        <v>2054500</v>
      </c>
      <c r="D40" s="223"/>
      <c r="E40" s="146"/>
      <c r="F40" s="107" t="s">
        <v>397</v>
      </c>
      <c r="G40" s="222">
        <f>+G37*G33</f>
        <v>77597333.333333343</v>
      </c>
      <c r="H40" s="223"/>
      <c r="I40"/>
      <c r="J40" s="107"/>
      <c r="K40" s="257"/>
      <c r="L40" s="258"/>
    </row>
    <row r="41" spans="2:18" ht="15">
      <c r="B41" s="106" t="s">
        <v>592</v>
      </c>
      <c r="C41" s="208" t="e">
        <f ca="1">+C40/C42</f>
        <v>#N/A</v>
      </c>
      <c r="D41" s="209"/>
      <c r="E41" s="146"/>
      <c r="F41" s="106" t="s">
        <v>396</v>
      </c>
      <c r="G41" s="161"/>
      <c r="H41" s="162" t="e">
        <f ca="1">+G40/G42</f>
        <v>#N/A</v>
      </c>
      <c r="I41"/>
      <c r="J41" s="106" t="s">
        <v>871</v>
      </c>
      <c r="K41" s="250">
        <f>+K39*K38/100</f>
        <v>48100000</v>
      </c>
      <c r="L41" s="251"/>
      <c r="R41" s="199"/>
    </row>
    <row r="42" spans="2:18" ht="15">
      <c r="B42" s="106" t="s">
        <v>395</v>
      </c>
      <c r="C42" s="224" t="e">
        <f ca="1">ROUND(1/(1+C36*(C35-TODAY())/365),7)</f>
        <v>#N/A</v>
      </c>
      <c r="D42" s="225"/>
      <c r="E42" s="146"/>
      <c r="F42" s="106" t="s">
        <v>395</v>
      </c>
      <c r="G42" s="224" t="e">
        <f ca="1">ROUND(1/(1+G36*(G35-TODAY())/365),6)</f>
        <v>#N/A</v>
      </c>
      <c r="H42" s="225"/>
      <c r="I42"/>
      <c r="J42" s="106" t="s">
        <v>872</v>
      </c>
      <c r="K42" s="259">
        <f>+K41/K37</f>
        <v>1154584.7335573693</v>
      </c>
      <c r="L42" s="260"/>
      <c r="O42" t="s">
        <v>864</v>
      </c>
      <c r="P42">
        <v>13349705.606899999</v>
      </c>
    </row>
    <row r="43" spans="2:18" ht="15">
      <c r="B43" s="106" t="s">
        <v>398</v>
      </c>
      <c r="C43" s="208" t="e">
        <f ca="1">+C42*C39</f>
        <v>#N/A</v>
      </c>
      <c r="D43" s="209"/>
      <c r="E43"/>
      <c r="F43" s="106" t="s">
        <v>398</v>
      </c>
      <c r="G43" s="208" t="e">
        <f ca="1">+G42*G39</f>
        <v>#N/A</v>
      </c>
      <c r="H43" s="209"/>
      <c r="I43"/>
      <c r="J43" s="106"/>
      <c r="K43" s="250"/>
      <c r="L43" s="251"/>
      <c r="O43" t="s">
        <v>865</v>
      </c>
      <c r="P43" s="199">
        <v>1667</v>
      </c>
    </row>
    <row r="44" spans="2:18" ht="15">
      <c r="B44" s="106" t="s">
        <v>402</v>
      </c>
      <c r="C44" s="210" t="e">
        <f ca="1">+C40-C43</f>
        <v>#N/A</v>
      </c>
      <c r="D44" s="211"/>
      <c r="E44"/>
      <c r="F44" s="106" t="s">
        <v>402</v>
      </c>
      <c r="G44" s="210" t="e">
        <f ca="1">+G40-G43</f>
        <v>#N/A</v>
      </c>
      <c r="H44" s="211"/>
      <c r="I44"/>
      <c r="J44" s="106"/>
      <c r="K44" s="163"/>
      <c r="L44" s="164"/>
      <c r="O44" t="s">
        <v>866</v>
      </c>
      <c r="P44" t="s">
        <v>867</v>
      </c>
    </row>
    <row r="45" spans="2:18" ht="15">
      <c r="B45" s="106" t="s">
        <v>401</v>
      </c>
      <c r="C45" s="212" t="e">
        <f ca="1">+C38-C42</f>
        <v>#N/A</v>
      </c>
      <c r="D45" s="213"/>
      <c r="E45"/>
      <c r="F45" s="106" t="s">
        <v>401</v>
      </c>
      <c r="G45" s="212" t="e">
        <f ca="1">+G38-G42</f>
        <v>#N/A</v>
      </c>
      <c r="H45" s="213"/>
      <c r="I45"/>
      <c r="J45" s="106"/>
      <c r="K45" s="167"/>
      <c r="L45" s="168"/>
      <c r="O45" t="s">
        <v>869</v>
      </c>
      <c r="P45">
        <v>666.96140000000003</v>
      </c>
    </row>
    <row r="46" spans="2:18" ht="15">
      <c r="B46" s="108" t="s">
        <v>399</v>
      </c>
      <c r="C46" s="214" t="e">
        <f ca="1">+IF(ABS(C44)&lt;1,"Check","Error")</f>
        <v>#N/A</v>
      </c>
      <c r="D46" s="215"/>
      <c r="E46"/>
      <c r="F46" s="108" t="s">
        <v>399</v>
      </c>
      <c r="G46" s="214" t="e">
        <f ca="1">+IF(ABS(G44)&lt;1,"Check","Error")</f>
        <v>#N/A</v>
      </c>
      <c r="H46" s="215"/>
      <c r="I46"/>
      <c r="J46" s="108"/>
      <c r="K46" s="165"/>
      <c r="L46" s="166"/>
      <c r="O46" t="s">
        <v>868</v>
      </c>
      <c r="P46" s="199">
        <f>+P43*P45</f>
        <v>1111824.6538</v>
      </c>
      <c r="Q46" s="57">
        <f>+P46/P42</f>
        <v>8.3284582187740264E-2</v>
      </c>
    </row>
    <row r="47" spans="2:18">
      <c r="B47" s="109"/>
      <c r="E47"/>
      <c r="F47"/>
      <c r="G47"/>
      <c r="H47"/>
      <c r="I47"/>
      <c r="J47"/>
      <c r="O47" t="s">
        <v>597</v>
      </c>
      <c r="P47" s="200">
        <f>+K42-P46</f>
        <v>42760.079757369356</v>
      </c>
      <c r="Q47" s="57">
        <f>+P47/P42</f>
        <v>3.2030728629152808E-3</v>
      </c>
    </row>
    <row r="48" spans="2:18">
      <c r="B48" s="109"/>
      <c r="E48"/>
      <c r="F48"/>
      <c r="G48"/>
      <c r="H48"/>
      <c r="I48"/>
      <c r="J48"/>
      <c r="O48" t="s">
        <v>875</v>
      </c>
      <c r="P48" s="57">
        <f>+(M37/K37-1)*Q46</f>
        <v>-9.1960892478060651E-4</v>
      </c>
    </row>
    <row r="49" spans="1:21">
      <c r="B49" s="109"/>
      <c r="E49"/>
      <c r="F49"/>
      <c r="G49"/>
      <c r="H49"/>
      <c r="I49"/>
      <c r="J49"/>
    </row>
    <row r="50" spans="1:21">
      <c r="C50" s="146"/>
      <c r="E50"/>
      <c r="F50"/>
      <c r="G50"/>
      <c r="H50"/>
      <c r="I50"/>
      <c r="J50"/>
    </row>
    <row r="51" spans="1:21">
      <c r="E51"/>
      <c r="F51"/>
      <c r="G51"/>
      <c r="H51"/>
      <c r="I51"/>
      <c r="J51"/>
      <c r="K51" s="199">
        <v>2000000</v>
      </c>
      <c r="L51" s="199">
        <f>+K51*1.203</f>
        <v>2406000</v>
      </c>
    </row>
    <row r="52" spans="1:21">
      <c r="E52"/>
      <c r="F52"/>
      <c r="G52"/>
      <c r="H52"/>
      <c r="I52"/>
      <c r="J52"/>
      <c r="L52" s="199">
        <f>+L51/40.66</f>
        <v>59173.635022134782</v>
      </c>
      <c r="N52" s="200"/>
    </row>
    <row r="53" spans="1:21">
      <c r="D53" s="148"/>
      <c r="E53"/>
      <c r="F53"/>
      <c r="G53"/>
      <c r="H53"/>
      <c r="I53"/>
      <c r="J53"/>
    </row>
    <row r="54" spans="1:21">
      <c r="E54"/>
      <c r="F54"/>
      <c r="G54"/>
      <c r="H54"/>
      <c r="I54"/>
      <c r="J54"/>
    </row>
    <row r="55" spans="1:21">
      <c r="E55"/>
      <c r="F55"/>
      <c r="G55"/>
      <c r="H55"/>
      <c r="I55"/>
    </row>
    <row r="56" spans="1:21">
      <c r="J56" s="169"/>
      <c r="K56" s="169"/>
      <c r="L56" s="169"/>
    </row>
    <row r="57" spans="1:21">
      <c r="A57" s="169" t="s">
        <v>591</v>
      </c>
      <c r="B57" s="169"/>
      <c r="C57" s="169"/>
      <c r="D57" s="169"/>
      <c r="E57" s="169"/>
      <c r="F57" s="169"/>
      <c r="G57" s="169"/>
      <c r="H57" s="169"/>
      <c r="I57" s="169"/>
      <c r="M57" s="169"/>
      <c r="N57" s="169"/>
      <c r="O57" s="169"/>
      <c r="P57" s="169"/>
      <c r="Q57" s="169"/>
      <c r="R57" s="169"/>
      <c r="S57" s="169"/>
      <c r="T57" s="169"/>
      <c r="U57" s="169"/>
    </row>
    <row r="61" spans="1:21" ht="15">
      <c r="B61" s="157" t="s">
        <v>593</v>
      </c>
      <c r="C61" s="157" t="s">
        <v>592</v>
      </c>
      <c r="E61" s="157" t="s">
        <v>599</v>
      </c>
      <c r="F61" s="159">
        <v>20.239999999999998</v>
      </c>
      <c r="H61" s="76" t="s">
        <v>603</v>
      </c>
    </row>
    <row r="62" spans="1:21" ht="15">
      <c r="B62" s="157" t="s">
        <v>594</v>
      </c>
      <c r="C62" s="158">
        <v>1306104263</v>
      </c>
    </row>
    <row r="63" spans="1:21" ht="15">
      <c r="B63" s="157" t="s">
        <v>595</v>
      </c>
      <c r="C63" s="158">
        <v>145814606</v>
      </c>
    </row>
    <row r="64" spans="1:21">
      <c r="C64" s="156"/>
      <c r="E64" s="148"/>
      <c r="F64" s="148"/>
    </row>
    <row r="65" spans="2:10">
      <c r="C65" s="160"/>
      <c r="D65" s="148"/>
    </row>
    <row r="66" spans="2:10">
      <c r="C66" s="148"/>
      <c r="D66" s="148"/>
    </row>
    <row r="70" spans="2:10">
      <c r="J70"/>
    </row>
    <row r="71" spans="2:10" ht="15.75">
      <c r="B71" s="228" t="s">
        <v>594</v>
      </c>
      <c r="C71" s="228"/>
      <c r="D71" s="228"/>
      <c r="F71" s="228" t="s">
        <v>595</v>
      </c>
      <c r="G71" s="228"/>
      <c r="H71" s="228"/>
      <c r="I71"/>
      <c r="J71"/>
    </row>
    <row r="72" spans="2:10" ht="15">
      <c r="B72" s="106" t="s">
        <v>597</v>
      </c>
      <c r="C72" s="230">
        <v>1400000</v>
      </c>
      <c r="D72" s="230"/>
      <c r="F72" s="106" t="s">
        <v>597</v>
      </c>
      <c r="G72" s="229">
        <v>145814606</v>
      </c>
      <c r="H72" s="230"/>
      <c r="I72"/>
      <c r="J72"/>
    </row>
    <row r="73" spans="2:10" ht="15">
      <c r="B73" s="106" t="s">
        <v>403</v>
      </c>
      <c r="C73" s="231" t="s">
        <v>665</v>
      </c>
      <c r="D73" s="231"/>
      <c r="F73" s="106" t="s">
        <v>403</v>
      </c>
      <c r="G73" s="231" t="s">
        <v>596</v>
      </c>
      <c r="H73" s="231"/>
      <c r="I73"/>
      <c r="J73"/>
    </row>
    <row r="74" spans="2:10" ht="15">
      <c r="B74" s="106" t="s">
        <v>406</v>
      </c>
      <c r="C74" s="232" t="e">
        <f ca="1">+VLOOKUP(C73,LEBACS!$B:$D,2,FALSE)</f>
        <v>#N/A</v>
      </c>
      <c r="D74" s="233"/>
      <c r="F74" s="106" t="s">
        <v>406</v>
      </c>
      <c r="G74" s="232" t="e">
        <f ca="1">+VLOOKUP(G73,LEBACS!$B:$D,2,FALSE)</f>
        <v>#N/A</v>
      </c>
      <c r="H74" s="233"/>
      <c r="I74"/>
      <c r="J74"/>
    </row>
    <row r="75" spans="2:10" ht="15">
      <c r="B75" s="106" t="s">
        <v>601</v>
      </c>
      <c r="C75" s="150"/>
      <c r="D75" s="149">
        <v>500000</v>
      </c>
      <c r="F75" s="106" t="s">
        <v>601</v>
      </c>
      <c r="G75" s="150"/>
      <c r="H75" s="149">
        <v>500000</v>
      </c>
      <c r="I75"/>
      <c r="J75"/>
    </row>
    <row r="76" spans="2:10" ht="15">
      <c r="B76" s="106" t="s">
        <v>400</v>
      </c>
      <c r="C76" s="234">
        <v>0.505</v>
      </c>
      <c r="D76" s="235"/>
      <c r="F76" s="106" t="s">
        <v>400</v>
      </c>
      <c r="G76" s="234">
        <v>0.26500000000000001</v>
      </c>
      <c r="H76" s="235"/>
      <c r="I76"/>
      <c r="J76"/>
    </row>
    <row r="77" spans="2:10" ht="15">
      <c r="B77" s="106" t="s">
        <v>396</v>
      </c>
      <c r="C77" s="236">
        <v>1332145938.6823063</v>
      </c>
      <c r="D77" s="237"/>
      <c r="F77" s="106" t="s">
        <v>396</v>
      </c>
      <c r="G77" s="236">
        <v>148268711.81418586</v>
      </c>
      <c r="H77" s="237"/>
      <c r="I77"/>
      <c r="J77"/>
    </row>
    <row r="78" spans="2:10" ht="15">
      <c r="B78" s="107" t="s">
        <v>395</v>
      </c>
      <c r="C78" s="238" t="e">
        <f ca="1">ROUND(1/(1+C76*(C74-TODAY()-1)/365),6)</f>
        <v>#N/A</v>
      </c>
      <c r="D78" s="239"/>
      <c r="F78" s="107" t="s">
        <v>395</v>
      </c>
      <c r="G78" s="238" t="e">
        <f ca="1">ROUND(1/(1+G76*(G74-TODAY()-1)/365),6)</f>
        <v>#N/A</v>
      </c>
      <c r="H78" s="239"/>
      <c r="I78"/>
      <c r="J78"/>
    </row>
    <row r="79" spans="2:10" ht="15">
      <c r="B79" s="106" t="s">
        <v>600</v>
      </c>
      <c r="C79" s="208" t="e">
        <f ca="1">+C72/C78</f>
        <v>#N/A</v>
      </c>
      <c r="D79" s="209"/>
      <c r="F79" s="106" t="s">
        <v>600</v>
      </c>
      <c r="G79" s="208" t="e">
        <f ca="1">+G72/G78</f>
        <v>#N/A</v>
      </c>
      <c r="H79" s="209"/>
      <c r="I79"/>
      <c r="J79"/>
    </row>
    <row r="80" spans="2:10" ht="15">
      <c r="B80" s="106" t="s">
        <v>398</v>
      </c>
      <c r="C80" s="208" t="e">
        <f ca="1">+C78*C77</f>
        <v>#N/A</v>
      </c>
      <c r="D80" s="209"/>
      <c r="F80" s="106" t="s">
        <v>398</v>
      </c>
      <c r="G80" s="208" t="e">
        <f ca="1">+G78*G77</f>
        <v>#N/A</v>
      </c>
      <c r="H80" s="209"/>
      <c r="I80"/>
      <c r="J80"/>
    </row>
    <row r="81" spans="2:10" ht="15">
      <c r="B81" s="106" t="s">
        <v>402</v>
      </c>
      <c r="C81" s="226" t="e">
        <f ca="1">+C72-C80</f>
        <v>#N/A</v>
      </c>
      <c r="D81" s="227"/>
      <c r="F81" s="106" t="s">
        <v>402</v>
      </c>
      <c r="G81" s="226" t="e">
        <f ca="1">+G72-G80</f>
        <v>#N/A</v>
      </c>
      <c r="H81" s="227"/>
      <c r="I81"/>
      <c r="J81"/>
    </row>
    <row r="82" spans="2:10" ht="15">
      <c r="B82" s="106" t="s">
        <v>598</v>
      </c>
      <c r="C82" s="226" t="e">
        <f ca="1">+C81/$F$61</f>
        <v>#N/A</v>
      </c>
      <c r="D82" s="227"/>
      <c r="F82" s="106" t="s">
        <v>598</v>
      </c>
      <c r="G82" s="226" t="e">
        <f ca="1">+G81/$F$61</f>
        <v>#N/A</v>
      </c>
      <c r="H82" s="227"/>
      <c r="I82"/>
      <c r="J82"/>
    </row>
    <row r="83" spans="2:10" ht="15">
      <c r="B83" s="108" t="s">
        <v>602</v>
      </c>
      <c r="C83" s="214" t="e">
        <f ca="1">+(C72-D75)/C78</f>
        <v>#N/A</v>
      </c>
      <c r="D83" s="215"/>
      <c r="F83" s="108" t="s">
        <v>602</v>
      </c>
      <c r="G83" s="214" t="e">
        <f ca="1">+(G72-H75)/G78</f>
        <v>#N/A</v>
      </c>
      <c r="H83" s="215"/>
      <c r="I83"/>
      <c r="J83"/>
    </row>
    <row r="84" spans="2:10">
      <c r="F84"/>
      <c r="G84"/>
      <c r="H84"/>
      <c r="I84"/>
      <c r="J84"/>
    </row>
    <row r="85" spans="2:10">
      <c r="F85"/>
      <c r="G85"/>
      <c r="H85"/>
      <c r="I85"/>
      <c r="J85"/>
    </row>
    <row r="86" spans="2:10">
      <c r="F86"/>
      <c r="G86"/>
      <c r="H86"/>
      <c r="I86"/>
      <c r="J86"/>
    </row>
    <row r="87" spans="2:10">
      <c r="F87"/>
      <c r="G87"/>
      <c r="H87"/>
      <c r="I87"/>
      <c r="J87"/>
    </row>
    <row r="88" spans="2:10">
      <c r="F88"/>
      <c r="G88"/>
      <c r="H88"/>
      <c r="I88"/>
      <c r="J88"/>
    </row>
    <row r="89" spans="2:10">
      <c r="F89"/>
      <c r="G89"/>
      <c r="H89"/>
      <c r="I89"/>
    </row>
  </sheetData>
  <mergeCells count="78">
    <mergeCell ref="K43:L43"/>
    <mergeCell ref="K36:L36"/>
    <mergeCell ref="K37:L37"/>
    <mergeCell ref="J31:L31"/>
    <mergeCell ref="J32:L32"/>
    <mergeCell ref="K33:L33"/>
    <mergeCell ref="K34:L34"/>
    <mergeCell ref="K35:L35"/>
    <mergeCell ref="K38:L38"/>
    <mergeCell ref="K39:L39"/>
    <mergeCell ref="K40:L40"/>
    <mergeCell ref="K41:L41"/>
    <mergeCell ref="K42:L42"/>
    <mergeCell ref="F31:H31"/>
    <mergeCell ref="B31:D31"/>
    <mergeCell ref="C41:D41"/>
    <mergeCell ref="C37:D37"/>
    <mergeCell ref="C33:D33"/>
    <mergeCell ref="C34:D34"/>
    <mergeCell ref="F32:H32"/>
    <mergeCell ref="G33:H33"/>
    <mergeCell ref="G34:H34"/>
    <mergeCell ref="G35:H35"/>
    <mergeCell ref="G36:H36"/>
    <mergeCell ref="C44:D44"/>
    <mergeCell ref="C35:D35"/>
    <mergeCell ref="C36:D36"/>
    <mergeCell ref="C40:D40"/>
    <mergeCell ref="C42:D42"/>
    <mergeCell ref="C46:D46"/>
    <mergeCell ref="F3:H3"/>
    <mergeCell ref="F13:H13"/>
    <mergeCell ref="B6:C6"/>
    <mergeCell ref="B16:C16"/>
    <mergeCell ref="D5:E5"/>
    <mergeCell ref="F5:G5"/>
    <mergeCell ref="H5:I5"/>
    <mergeCell ref="D15:E15"/>
    <mergeCell ref="F15:G15"/>
    <mergeCell ref="H15:I15"/>
    <mergeCell ref="C38:D38"/>
    <mergeCell ref="B32:D32"/>
    <mergeCell ref="C39:D39"/>
    <mergeCell ref="C43:D43"/>
    <mergeCell ref="C45:D45"/>
    <mergeCell ref="C78:D78"/>
    <mergeCell ref="C77:D77"/>
    <mergeCell ref="B71:D71"/>
    <mergeCell ref="C72:D72"/>
    <mergeCell ref="C73:D73"/>
    <mergeCell ref="C74:D74"/>
    <mergeCell ref="C76:D76"/>
    <mergeCell ref="F71:H71"/>
    <mergeCell ref="G72:H72"/>
    <mergeCell ref="G73:H73"/>
    <mergeCell ref="G74:H74"/>
    <mergeCell ref="G82:H82"/>
    <mergeCell ref="G76:H76"/>
    <mergeCell ref="G77:H77"/>
    <mergeCell ref="G78:H78"/>
    <mergeCell ref="G79:H79"/>
    <mergeCell ref="G80:H80"/>
    <mergeCell ref="G83:H83"/>
    <mergeCell ref="C79:D79"/>
    <mergeCell ref="C80:D80"/>
    <mergeCell ref="C81:D81"/>
    <mergeCell ref="C82:D82"/>
    <mergeCell ref="C83:D83"/>
    <mergeCell ref="G81:H81"/>
    <mergeCell ref="G43:H43"/>
    <mergeCell ref="G44:H44"/>
    <mergeCell ref="G45:H45"/>
    <mergeCell ref="G46:H46"/>
    <mergeCell ref="G37:H37"/>
    <mergeCell ref="G38:H38"/>
    <mergeCell ref="G39:H39"/>
    <mergeCell ref="G40:H40"/>
    <mergeCell ref="G42:H42"/>
  </mergeCells>
  <conditionalFormatting sqref="D7:J11">
    <cfRule type="colorScale" priority="32">
      <colorScale>
        <cfvo type="min"/>
        <cfvo type="max"/>
        <color theme="0"/>
        <color theme="7" tint="-0.249977111117893"/>
      </colorScale>
    </cfRule>
  </conditionalFormatting>
  <conditionalFormatting sqref="D17:J21">
    <cfRule type="colorScale" priority="31">
      <colorScale>
        <cfvo type="min"/>
        <cfvo type="max"/>
        <color theme="0"/>
        <color theme="7" tint="-0.249977111117893"/>
      </colorScale>
    </cfRule>
  </conditionalFormatting>
  <conditionalFormatting sqref="C45:D45">
    <cfRule type="cellIs" dxfId="2" priority="30" operator="notEqual">
      <formula>0</formula>
    </cfRule>
  </conditionalFormatting>
  <conditionalFormatting sqref="G45:H45">
    <cfRule type="cellIs" dxfId="1" priority="3" operator="notEqual">
      <formula>0</formula>
    </cfRule>
  </conditionalFormatting>
  <conditionalFormatting sqref="K45:L45">
    <cfRule type="cellIs" dxfId="0" priority="1" operator="not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806580-43FB-4AD1-A2F9-1E14C0062BFA}">
          <x14:formula1>
            <xm:f>LEBACS!$B$2:$B$10</xm:f>
          </x14:formula1>
          <xm:sqref>C34:D34 C73:D73 G73:H73 G34:H34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68CE0-3A94-4E19-9D55-945302CE6343}">
  <sheetPr codeName="Hoja16"/>
  <dimension ref="A1:M13"/>
  <sheetViews>
    <sheetView workbookViewId="0">
      <selection activeCell="J43" sqref="J43"/>
    </sheetView>
  </sheetViews>
  <sheetFormatPr baseColWidth="10" defaultRowHeight="14.25"/>
  <cols>
    <col min="1" max="1" width="22.5" customWidth="1"/>
    <col min="2" max="2" width="18.5" bestFit="1" customWidth="1"/>
    <col min="12" max="12" width="11.25" hidden="1" customWidth="1"/>
    <col min="13" max="13" width="0" hidden="1" customWidth="1"/>
  </cols>
  <sheetData>
    <row r="1" spans="1:13">
      <c r="A1" t="s">
        <v>427</v>
      </c>
      <c r="B1" t="s">
        <v>428</v>
      </c>
      <c r="C1" t="s">
        <v>429</v>
      </c>
      <c r="D1" t="s">
        <v>430</v>
      </c>
      <c r="L1" t="s">
        <v>431</v>
      </c>
      <c r="M1" t="s">
        <v>432</v>
      </c>
    </row>
    <row r="2" spans="1:13">
      <c r="A2" t="s">
        <v>682</v>
      </c>
      <c r="B2" t="e">
        <f t="shared" ref="B2" ca="1" si="0">+"Lebac "&amp;DAY(C2)&amp;"-"&amp;VLOOKUP(MONTH(C2),$L$2:$M$13,2,FALSE)</f>
        <v>#NAME?</v>
      </c>
      <c r="C2" t="e">
        <f ca="1">+_xll.BDP(A2,$C$1)</f>
        <v>#NAME?</v>
      </c>
      <c r="D2" t="e">
        <f ca="1">IF(C2&gt;TODAY(),"Vigente","Vencida")</f>
        <v>#NAME?</v>
      </c>
      <c r="L2">
        <v>1</v>
      </c>
      <c r="M2" t="s">
        <v>433</v>
      </c>
    </row>
    <row r="3" spans="1:13">
      <c r="A3" t="s">
        <v>683</v>
      </c>
      <c r="B3" t="e">
        <f t="shared" ref="B3" ca="1" si="1">+"Lebac "&amp;DAY(C3)&amp;"-"&amp;VLOOKUP(MONTH(C3),$L$2:$M$13,2,FALSE)</f>
        <v>#NAME?</v>
      </c>
      <c r="C3" t="e">
        <f ca="1">+_xll.BDP(A3,$C$1)</f>
        <v>#NAME?</v>
      </c>
      <c r="D3" t="e">
        <f ca="1">IF(C3&gt;TODAY(),"Vigente","Vencida")</f>
        <v>#NAME?</v>
      </c>
      <c r="L3">
        <v>2</v>
      </c>
      <c r="M3" t="s">
        <v>434</v>
      </c>
    </row>
    <row r="4" spans="1:13">
      <c r="L4">
        <v>3</v>
      </c>
      <c r="M4" t="s">
        <v>435</v>
      </c>
    </row>
    <row r="5" spans="1:13">
      <c r="L5">
        <v>4</v>
      </c>
      <c r="M5" t="s">
        <v>436</v>
      </c>
    </row>
    <row r="6" spans="1:13">
      <c r="L6">
        <v>5</v>
      </c>
      <c r="M6" t="s">
        <v>437</v>
      </c>
    </row>
    <row r="7" spans="1:13">
      <c r="L7">
        <v>6</v>
      </c>
      <c r="M7" t="s">
        <v>438</v>
      </c>
    </row>
    <row r="8" spans="1:13">
      <c r="L8">
        <v>7</v>
      </c>
      <c r="M8" t="s">
        <v>439</v>
      </c>
    </row>
    <row r="9" spans="1:13">
      <c r="L9">
        <v>8</v>
      </c>
      <c r="M9" t="s">
        <v>440</v>
      </c>
    </row>
    <row r="10" spans="1:13">
      <c r="L10">
        <v>9</v>
      </c>
      <c r="M10" t="s">
        <v>441</v>
      </c>
    </row>
    <row r="11" spans="1:13">
      <c r="L11">
        <v>10</v>
      </c>
      <c r="M11" t="s">
        <v>442</v>
      </c>
    </row>
    <row r="12" spans="1:13">
      <c r="L12">
        <v>11</v>
      </c>
      <c r="M12" t="s">
        <v>443</v>
      </c>
    </row>
    <row r="13" spans="1:13">
      <c r="L13">
        <v>12</v>
      </c>
      <c r="M13" t="s">
        <v>444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F6974-E3AD-4E33-B922-32E40E159856}">
  <sheetPr codeName="Hoja17"/>
  <dimension ref="B2:J7"/>
  <sheetViews>
    <sheetView workbookViewId="0">
      <selection activeCell="K14" sqref="K14"/>
    </sheetView>
  </sheetViews>
  <sheetFormatPr baseColWidth="10" defaultRowHeight="14.25"/>
  <cols>
    <col min="2" max="2" width="14" bestFit="1" customWidth="1"/>
    <col min="3" max="3" width="10.125" bestFit="1" customWidth="1"/>
    <col min="4" max="4" width="0.625" customWidth="1"/>
    <col min="5" max="5" width="18.625" bestFit="1" customWidth="1"/>
    <col min="7" max="7" width="0.5" customWidth="1"/>
    <col min="8" max="8" width="0.75" customWidth="1"/>
    <col min="9" max="9" width="18.625" bestFit="1" customWidth="1"/>
    <col min="10" max="10" width="7.875" bestFit="1" customWidth="1"/>
  </cols>
  <sheetData>
    <row r="2" spans="2:10" ht="15" thickBot="1"/>
    <row r="3" spans="2:10" ht="15.75" thickBot="1">
      <c r="B3" s="261" t="s">
        <v>687</v>
      </c>
      <c r="C3" s="262"/>
      <c r="D3" s="174"/>
      <c r="E3" s="263" t="s">
        <v>688</v>
      </c>
      <c r="F3" s="264"/>
      <c r="G3" s="175"/>
      <c r="H3" s="176"/>
      <c r="I3" s="263" t="s">
        <v>689</v>
      </c>
      <c r="J3" s="264"/>
    </row>
    <row r="4" spans="2:10" ht="15">
      <c r="B4" s="177" t="s">
        <v>690</v>
      </c>
      <c r="C4" s="178">
        <f ca="1">+TODAY()</f>
        <v>43535</v>
      </c>
      <c r="E4" s="179" t="s">
        <v>691</v>
      </c>
      <c r="F4" s="180">
        <f>+allocation!K38*10</f>
        <v>1202.5</v>
      </c>
      <c r="I4" s="181" t="s">
        <v>693</v>
      </c>
      <c r="J4" s="182">
        <v>0.37330000000000002</v>
      </c>
    </row>
    <row r="5" spans="2:10" ht="15">
      <c r="B5" s="177" t="s">
        <v>694</v>
      </c>
      <c r="C5" s="178">
        <v>43434</v>
      </c>
      <c r="D5" s="160"/>
      <c r="E5" s="183" t="s">
        <v>695</v>
      </c>
      <c r="F5" s="184">
        <v>1106.81356070588</v>
      </c>
      <c r="I5" s="185" t="s">
        <v>692</v>
      </c>
      <c r="J5" s="186">
        <f ca="1">+(J7/J6-1)*365/(C5-C4)</f>
        <v>0.37848472222222179</v>
      </c>
    </row>
    <row r="6" spans="2:10" ht="15">
      <c r="B6" s="177" t="s">
        <v>696</v>
      </c>
      <c r="C6" s="187">
        <v>0.03</v>
      </c>
      <c r="D6" s="160"/>
      <c r="E6" s="185" t="s">
        <v>693</v>
      </c>
      <c r="F6" s="198">
        <f ca="1">+(F5/F4-1)*360/(DAYS360(C4,C5))</f>
        <v>0.2836262583798867</v>
      </c>
      <c r="G6" s="188"/>
      <c r="I6" s="183" t="s">
        <v>691</v>
      </c>
      <c r="J6" s="184">
        <f ca="1">+J7/(1+J4*(DAYS360(C4,C5)/360))</f>
        <v>1236.2921551915263</v>
      </c>
    </row>
    <row r="7" spans="2:10" ht="15" thickBot="1">
      <c r="B7" s="189"/>
      <c r="C7" s="190"/>
      <c r="D7" s="191"/>
      <c r="E7" s="192" t="s">
        <v>692</v>
      </c>
      <c r="F7" s="193">
        <f ca="1">+(F5/F4-1)*365/(C5-C4)</f>
        <v>0.28756551196849622</v>
      </c>
      <c r="G7" s="194"/>
      <c r="H7" s="195"/>
      <c r="I7" s="196" t="s">
        <v>695</v>
      </c>
      <c r="J7" s="197">
        <v>1106.81356070588</v>
      </c>
    </row>
  </sheetData>
  <mergeCells count="3">
    <mergeCell ref="B3:C3"/>
    <mergeCell ref="E3:F3"/>
    <mergeCell ref="I3:J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1FA2-6BF1-4994-9554-10ABBC0A32B3}">
  <sheetPr codeName="Hoja2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22"/>
  </cols>
  <sheetData>
    <row r="1" spans="1:21" ht="14.25" customHeight="1">
      <c r="A1" s="265" t="s">
        <v>1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</row>
    <row r="2" spans="1:21" ht="14.25" customHeight="1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</row>
    <row r="3" spans="1:21" ht="14.25" customHeight="1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</row>
    <row r="4" spans="1:21" ht="14.25" customHeight="1">
      <c r="A4" s="265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</row>
    <row r="5" spans="1:21" ht="14.25" customHeight="1">
      <c r="A5" s="265"/>
      <c r="B5" s="265"/>
      <c r="C5" s="265"/>
      <c r="D5" s="265"/>
      <c r="E5" s="265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</row>
    <row r="6" spans="1:21" ht="14.25" customHeight="1">
      <c r="A6" s="265"/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</row>
    <row r="7" spans="1:21" ht="14.25" customHeight="1">
      <c r="A7" s="265"/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</row>
    <row r="8" spans="1:21" ht="14.25" customHeight="1">
      <c r="A8" s="265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</row>
    <row r="9" spans="1:21" ht="14.25" customHeight="1">
      <c r="A9" s="265"/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</row>
    <row r="10" spans="1:21" ht="14.25" customHeight="1">
      <c r="A10" s="265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</row>
    <row r="11" spans="1:21" ht="14.25" customHeight="1">
      <c r="A11" s="265"/>
      <c r="B11" s="265"/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</row>
    <row r="12" spans="1:21" ht="14.25" customHeight="1">
      <c r="A12" s="265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</row>
    <row r="13" spans="1:21" ht="14.25" customHeight="1">
      <c r="A13" s="265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</row>
    <row r="14" spans="1:21" ht="14.25" customHeight="1">
      <c r="A14" s="265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</row>
    <row r="15" spans="1:21" ht="14.25" customHeight="1">
      <c r="A15" s="265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</row>
    <row r="16" spans="1:21" ht="14.25" customHeight="1">
      <c r="A16" s="265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</row>
    <row r="17" spans="1:21" ht="14.25" customHeight="1">
      <c r="A17" s="265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</row>
    <row r="18" spans="1:21" ht="14.25" customHeight="1">
      <c r="A18" s="265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</row>
    <row r="19" spans="1:21" ht="14.25" customHeight="1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</row>
    <row r="20" spans="1:21" ht="14.25" customHeight="1">
      <c r="A20" s="265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</row>
    <row r="21" spans="1:21" ht="14.25" customHeight="1">
      <c r="A21" s="265"/>
      <c r="B21" s="265"/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</row>
    <row r="22" spans="1:21" ht="14.25" customHeight="1">
      <c r="A22" s="265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</row>
    <row r="23" spans="1:21" ht="14.25" customHeight="1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</row>
    <row r="24" spans="1:21" ht="14.25" customHeight="1">
      <c r="A24" s="265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</row>
    <row r="25" spans="1:21" ht="14.25" customHeight="1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</row>
    <row r="26" spans="1:21" ht="14.25" customHeight="1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</row>
    <row r="27" spans="1:21" ht="14.25" customHeight="1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</row>
    <row r="28" spans="1:21" ht="14.25" customHeight="1">
      <c r="A28" s="265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</row>
    <row r="29" spans="1:21" ht="14.25" customHeight="1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</row>
    <row r="30" spans="1:21" ht="14.25" customHeight="1">
      <c r="A30" s="265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</row>
    <row r="31" spans="1:21" ht="14.25" customHeight="1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</row>
    <row r="32" spans="1:21" ht="14.25" customHeight="1">
      <c r="A32" s="265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</row>
    <row r="33" spans="1:21" ht="14.25" customHeight="1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</row>
    <row r="34" spans="1:21" ht="14.25" customHeight="1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</row>
    <row r="35" spans="1:21" ht="14.25" customHeight="1">
      <c r="A35" s="265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</row>
    <row r="36" spans="1:21" ht="14.25" customHeight="1">
      <c r="A36" s="265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</row>
    <row r="37" spans="1:21" ht="14.25" customHeight="1">
      <c r="A37" s="265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</row>
    <row r="38" spans="1:21" ht="14.25" customHeight="1">
      <c r="A38" s="265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</row>
    <row r="39" spans="1:21" ht="14.25" customHeight="1">
      <c r="A39" s="265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</row>
    <row r="40" spans="1:21" ht="14.25" customHeight="1">
      <c r="A40" s="265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</row>
    <row r="41" spans="1:21" ht="14.25" customHeight="1">
      <c r="A41" s="265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</row>
    <row r="42" spans="1:21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</row>
    <row r="43" spans="1:21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</row>
  </sheetData>
  <mergeCells count="1">
    <mergeCell ref="A1:U4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436F-774B-4D52-B63C-32498783396D}">
  <sheetPr codeName="Hoja5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22"/>
  </cols>
  <sheetData>
    <row r="1" spans="1:21" ht="14.25" customHeight="1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</row>
    <row r="2" spans="1:21" ht="14.25" customHeight="1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</row>
    <row r="3" spans="1:21" ht="14.25" customHeight="1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</row>
    <row r="4" spans="1:21" ht="14.25" customHeight="1">
      <c r="A4" s="265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</row>
    <row r="5" spans="1:21" ht="14.25" customHeight="1">
      <c r="A5" s="265"/>
      <c r="B5" s="265"/>
      <c r="C5" s="265"/>
      <c r="D5" s="265"/>
      <c r="E5" s="265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</row>
    <row r="6" spans="1:21" ht="14.25" customHeight="1">
      <c r="A6" s="265"/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</row>
    <row r="7" spans="1:21" ht="14.25" customHeight="1">
      <c r="A7" s="265"/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</row>
    <row r="8" spans="1:21" ht="14.25" customHeight="1">
      <c r="A8" s="265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</row>
    <row r="9" spans="1:21" ht="14.25" customHeight="1">
      <c r="A9" s="265"/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</row>
    <row r="10" spans="1:21" ht="14.25" customHeight="1">
      <c r="A10" s="265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</row>
    <row r="11" spans="1:21" ht="14.25" customHeight="1">
      <c r="A11" s="265"/>
      <c r="B11" s="265"/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</row>
    <row r="12" spans="1:21" ht="14.25" customHeight="1">
      <c r="A12" s="265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</row>
    <row r="13" spans="1:21" ht="14.25" customHeight="1">
      <c r="A13" s="265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</row>
    <row r="14" spans="1:21" ht="14.25" customHeight="1">
      <c r="A14" s="265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</row>
    <row r="15" spans="1:21" ht="14.25" customHeight="1">
      <c r="A15" s="265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</row>
    <row r="16" spans="1:21" ht="14.25" customHeight="1">
      <c r="A16" s="265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</row>
    <row r="17" spans="1:21" ht="14.25" customHeight="1">
      <c r="A17" s="265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</row>
    <row r="18" spans="1:21" ht="14.25" customHeight="1">
      <c r="A18" s="265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</row>
    <row r="19" spans="1:21" ht="14.25" customHeight="1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</row>
    <row r="20" spans="1:21" ht="14.25" customHeight="1">
      <c r="A20" s="265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</row>
    <row r="21" spans="1:21" ht="14.25" customHeight="1">
      <c r="A21" s="265"/>
      <c r="B21" s="265"/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</row>
    <row r="22" spans="1:21" ht="14.25" customHeight="1">
      <c r="A22" s="265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</row>
    <row r="23" spans="1:21" ht="14.25" customHeight="1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</row>
    <row r="24" spans="1:21" ht="14.25" customHeight="1">
      <c r="A24" s="265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</row>
    <row r="25" spans="1:21" ht="14.25" customHeight="1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</row>
    <row r="26" spans="1:21" ht="14.25" customHeight="1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</row>
    <row r="27" spans="1:21" ht="14.25" customHeight="1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</row>
    <row r="28" spans="1:21" ht="14.25" customHeight="1">
      <c r="A28" s="265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</row>
    <row r="29" spans="1:21" ht="14.25" customHeight="1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</row>
    <row r="30" spans="1:21" ht="14.25" customHeight="1">
      <c r="A30" s="265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</row>
    <row r="31" spans="1:21" ht="14.25" customHeight="1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</row>
    <row r="32" spans="1:21" ht="14.25" customHeight="1">
      <c r="A32" s="265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</row>
    <row r="33" spans="1:21" ht="14.25" customHeight="1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</row>
    <row r="34" spans="1:21" ht="14.25" customHeight="1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</row>
    <row r="35" spans="1:21" ht="14.25" customHeight="1">
      <c r="A35" s="265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</row>
    <row r="36" spans="1:21" ht="14.25" customHeight="1">
      <c r="A36" s="265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</row>
    <row r="37" spans="1:21" ht="14.25" customHeight="1">
      <c r="A37" s="265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</row>
    <row r="38" spans="1:21" ht="14.25" customHeight="1">
      <c r="A38" s="265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</row>
    <row r="39" spans="1:21" ht="14.25" customHeight="1">
      <c r="A39" s="265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</row>
    <row r="40" spans="1:21" ht="14.25" customHeight="1">
      <c r="A40" s="265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</row>
    <row r="41" spans="1:21" ht="14.25" customHeight="1">
      <c r="A41" s="265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</row>
    <row r="42" spans="1:21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</row>
    <row r="43" spans="1:21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</row>
  </sheetData>
  <mergeCells count="1">
    <mergeCell ref="A1:U4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4D6B-FAFE-4BB8-B9A4-01FA69C7F062}">
  <sheetPr codeName="Hoja7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22"/>
  </cols>
  <sheetData>
    <row r="1" spans="1:21" ht="14.25" customHeight="1">
      <c r="A1" s="265" t="s">
        <v>2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</row>
    <row r="2" spans="1:21" ht="14.25" customHeight="1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</row>
    <row r="3" spans="1:21" ht="14.25" customHeight="1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</row>
    <row r="4" spans="1:21" ht="14.25" customHeight="1">
      <c r="A4" s="265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</row>
    <row r="5" spans="1:21" ht="14.25" customHeight="1">
      <c r="A5" s="265"/>
      <c r="B5" s="265"/>
      <c r="C5" s="265"/>
      <c r="D5" s="265"/>
      <c r="E5" s="265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</row>
    <row r="6" spans="1:21" ht="14.25" customHeight="1">
      <c r="A6" s="265"/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</row>
    <row r="7" spans="1:21" ht="14.25" customHeight="1">
      <c r="A7" s="265"/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</row>
    <row r="8" spans="1:21" ht="14.25" customHeight="1">
      <c r="A8" s="265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</row>
    <row r="9" spans="1:21" ht="14.25" customHeight="1">
      <c r="A9" s="265"/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</row>
    <row r="10" spans="1:21" ht="14.25" customHeight="1">
      <c r="A10" s="265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</row>
    <row r="11" spans="1:21" ht="14.25" customHeight="1">
      <c r="A11" s="265"/>
      <c r="B11" s="265"/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</row>
    <row r="12" spans="1:21" ht="14.25" customHeight="1">
      <c r="A12" s="265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</row>
    <row r="13" spans="1:21" ht="14.25" customHeight="1">
      <c r="A13" s="265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</row>
    <row r="14" spans="1:21" ht="14.25" customHeight="1">
      <c r="A14" s="265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</row>
    <row r="15" spans="1:21" ht="14.25" customHeight="1">
      <c r="A15" s="265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</row>
    <row r="16" spans="1:21" ht="14.25" customHeight="1">
      <c r="A16" s="265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</row>
    <row r="17" spans="1:21" ht="14.25" customHeight="1">
      <c r="A17" s="265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</row>
    <row r="18" spans="1:21" ht="14.25" customHeight="1">
      <c r="A18" s="265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</row>
    <row r="19" spans="1:21" ht="14.25" customHeight="1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</row>
    <row r="20" spans="1:21" ht="14.25" customHeight="1">
      <c r="A20" s="265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</row>
    <row r="21" spans="1:21" ht="14.25" customHeight="1">
      <c r="A21" s="265"/>
      <c r="B21" s="265"/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</row>
    <row r="22" spans="1:21" ht="14.25" customHeight="1">
      <c r="A22" s="265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</row>
    <row r="23" spans="1:21" ht="14.25" customHeight="1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</row>
    <row r="24" spans="1:21" ht="14.25" customHeight="1">
      <c r="A24" s="265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</row>
    <row r="25" spans="1:21" ht="14.25" customHeight="1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</row>
    <row r="26" spans="1:21" ht="14.25" customHeight="1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</row>
    <row r="27" spans="1:21" ht="14.25" customHeight="1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</row>
    <row r="28" spans="1:21" ht="14.25" customHeight="1">
      <c r="A28" s="265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</row>
    <row r="29" spans="1:21" ht="14.25" customHeight="1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</row>
    <row r="30" spans="1:21" ht="14.25" customHeight="1">
      <c r="A30" s="265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</row>
    <row r="31" spans="1:21" ht="14.25" customHeight="1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</row>
    <row r="32" spans="1:21" ht="14.25" customHeight="1">
      <c r="A32" s="265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</row>
    <row r="33" spans="1:21" ht="14.25" customHeight="1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</row>
    <row r="34" spans="1:21" ht="14.25" customHeight="1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</row>
    <row r="35" spans="1:21" ht="14.25" customHeight="1">
      <c r="A35" s="265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</row>
    <row r="36" spans="1:21" ht="14.25" customHeight="1">
      <c r="A36" s="265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</row>
    <row r="37" spans="1:21" ht="14.25" customHeight="1">
      <c r="A37" s="265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</row>
    <row r="38" spans="1:21" ht="14.25" customHeight="1">
      <c r="A38" s="265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</row>
    <row r="39" spans="1:21" ht="14.25" customHeight="1">
      <c r="A39" s="265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</row>
    <row r="40" spans="1:21" ht="14.25" customHeight="1">
      <c r="A40" s="265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</row>
    <row r="41" spans="1:21" ht="14.25" customHeight="1">
      <c r="A41" s="265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</row>
    <row r="42" spans="1:21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</row>
    <row r="43" spans="1:21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</row>
  </sheetData>
  <mergeCells count="1">
    <mergeCell ref="A1:U4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BFD6-A85F-4E67-B7A5-126D9E2093DD}">
  <sheetPr codeName="Hoja9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22"/>
  </cols>
  <sheetData>
    <row r="1" spans="1:21" ht="14.25" customHeight="1">
      <c r="A1" s="265" t="s">
        <v>206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</row>
    <row r="2" spans="1:21" ht="14.25" customHeight="1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</row>
    <row r="3" spans="1:21" ht="14.25" customHeight="1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</row>
    <row r="4" spans="1:21" ht="14.25" customHeight="1">
      <c r="A4" s="265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</row>
    <row r="5" spans="1:21" ht="14.25" customHeight="1">
      <c r="A5" s="265"/>
      <c r="B5" s="265"/>
      <c r="C5" s="265"/>
      <c r="D5" s="265"/>
      <c r="E5" s="265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</row>
    <row r="6" spans="1:21" ht="14.25" customHeight="1">
      <c r="A6" s="265"/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</row>
    <row r="7" spans="1:21" ht="14.25" customHeight="1">
      <c r="A7" s="265"/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</row>
    <row r="8" spans="1:21" ht="14.25" customHeight="1">
      <c r="A8" s="265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</row>
    <row r="9" spans="1:21" ht="14.25" customHeight="1">
      <c r="A9" s="265"/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</row>
    <row r="10" spans="1:21" ht="14.25" customHeight="1">
      <c r="A10" s="265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</row>
    <row r="11" spans="1:21" ht="14.25" customHeight="1">
      <c r="A11" s="265"/>
      <c r="B11" s="265"/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</row>
    <row r="12" spans="1:21" ht="14.25" customHeight="1">
      <c r="A12" s="265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</row>
    <row r="13" spans="1:21" ht="14.25" customHeight="1">
      <c r="A13" s="265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</row>
    <row r="14" spans="1:21" ht="14.25" customHeight="1">
      <c r="A14" s="265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</row>
    <row r="15" spans="1:21" ht="14.25" customHeight="1">
      <c r="A15" s="265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</row>
    <row r="16" spans="1:21" ht="14.25" customHeight="1">
      <c r="A16" s="265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</row>
    <row r="17" spans="1:21" ht="14.25" customHeight="1">
      <c r="A17" s="265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</row>
    <row r="18" spans="1:21" ht="14.25" customHeight="1">
      <c r="A18" s="265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</row>
    <row r="19" spans="1:21" ht="14.25" customHeight="1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</row>
    <row r="20" spans="1:21" ht="14.25" customHeight="1">
      <c r="A20" s="265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</row>
    <row r="21" spans="1:21" ht="14.25" customHeight="1">
      <c r="A21" s="265"/>
      <c r="B21" s="265"/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</row>
    <row r="22" spans="1:21" ht="14.25" customHeight="1">
      <c r="A22" s="265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</row>
    <row r="23" spans="1:21" ht="14.25" customHeight="1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</row>
    <row r="24" spans="1:21" ht="14.25" customHeight="1">
      <c r="A24" s="265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</row>
    <row r="25" spans="1:21" ht="14.25" customHeight="1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</row>
    <row r="26" spans="1:21" ht="14.25" customHeight="1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</row>
    <row r="27" spans="1:21" ht="14.25" customHeight="1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</row>
    <row r="28" spans="1:21" ht="14.25" customHeight="1">
      <c r="A28" s="265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</row>
    <row r="29" spans="1:21" ht="14.25" customHeight="1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</row>
    <row r="30" spans="1:21" ht="14.25" customHeight="1">
      <c r="A30" s="265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</row>
    <row r="31" spans="1:21" ht="14.25" customHeight="1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</row>
    <row r="32" spans="1:21" ht="14.25" customHeight="1">
      <c r="A32" s="265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</row>
    <row r="33" spans="1:21" ht="14.25" customHeight="1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</row>
    <row r="34" spans="1:21" ht="14.25" customHeight="1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</row>
    <row r="35" spans="1:21" ht="14.25" customHeight="1">
      <c r="A35" s="265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</row>
    <row r="36" spans="1:21" ht="14.25" customHeight="1">
      <c r="A36" s="265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</row>
    <row r="37" spans="1:21" ht="14.25" customHeight="1">
      <c r="A37" s="265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</row>
    <row r="38" spans="1:21" ht="14.25" customHeight="1">
      <c r="A38" s="265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</row>
    <row r="39" spans="1:21" ht="14.25" customHeight="1">
      <c r="A39" s="265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</row>
    <row r="40" spans="1:21" ht="14.25" customHeight="1">
      <c r="A40" s="265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</row>
    <row r="41" spans="1:21" ht="14.25" customHeight="1">
      <c r="A41" s="265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</row>
    <row r="42" spans="1:21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</row>
    <row r="43" spans="1:21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</row>
  </sheetData>
  <mergeCells count="1">
    <mergeCell ref="A1:U4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74A38-E335-4521-AB59-63F663EB318C}">
  <sheetPr codeName="Hoja10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22"/>
  </cols>
  <sheetData>
    <row r="1" spans="1:21" ht="14.25" customHeight="1">
      <c r="A1" s="265" t="s">
        <v>387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</row>
    <row r="2" spans="1:21" ht="14.25" customHeight="1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</row>
    <row r="3" spans="1:21" ht="14.25" customHeight="1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</row>
    <row r="4" spans="1:21" ht="14.25" customHeight="1">
      <c r="A4" s="265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</row>
    <row r="5" spans="1:21" ht="14.25" customHeight="1">
      <c r="A5" s="265"/>
      <c r="B5" s="265"/>
      <c r="C5" s="265"/>
      <c r="D5" s="265"/>
      <c r="E5" s="265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</row>
    <row r="6" spans="1:21" ht="14.25" customHeight="1">
      <c r="A6" s="265"/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</row>
    <row r="7" spans="1:21" ht="14.25" customHeight="1">
      <c r="A7" s="265"/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</row>
    <row r="8" spans="1:21" ht="14.25" customHeight="1">
      <c r="A8" s="265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</row>
    <row r="9" spans="1:21" ht="14.25" customHeight="1">
      <c r="A9" s="265"/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</row>
    <row r="10" spans="1:21" ht="14.25" customHeight="1">
      <c r="A10" s="265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</row>
    <row r="11" spans="1:21" ht="14.25" customHeight="1">
      <c r="A11" s="265"/>
      <c r="B11" s="265"/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</row>
    <row r="12" spans="1:21" ht="14.25" customHeight="1">
      <c r="A12" s="265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</row>
    <row r="13" spans="1:21" ht="14.25" customHeight="1">
      <c r="A13" s="265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</row>
    <row r="14" spans="1:21" ht="14.25" customHeight="1">
      <c r="A14" s="265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</row>
    <row r="15" spans="1:21" ht="14.25" customHeight="1">
      <c r="A15" s="265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</row>
    <row r="16" spans="1:21" ht="14.25" customHeight="1">
      <c r="A16" s="265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</row>
    <row r="17" spans="1:21" ht="14.25" customHeight="1">
      <c r="A17" s="265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</row>
    <row r="18" spans="1:21" ht="14.25" customHeight="1">
      <c r="A18" s="265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</row>
    <row r="19" spans="1:21" ht="14.25" customHeight="1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</row>
    <row r="20" spans="1:21" ht="14.25" customHeight="1">
      <c r="A20" s="265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</row>
    <row r="21" spans="1:21" ht="14.25" customHeight="1">
      <c r="A21" s="265"/>
      <c r="B21" s="265"/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</row>
    <row r="22" spans="1:21" ht="14.25" customHeight="1">
      <c r="A22" s="265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</row>
    <row r="23" spans="1:21" ht="14.25" customHeight="1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</row>
    <row r="24" spans="1:21" ht="14.25" customHeight="1">
      <c r="A24" s="265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</row>
    <row r="25" spans="1:21" ht="14.25" customHeight="1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</row>
    <row r="26" spans="1:21" ht="14.25" customHeight="1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</row>
    <row r="27" spans="1:21" ht="14.25" customHeight="1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</row>
    <row r="28" spans="1:21" ht="14.25" customHeight="1">
      <c r="A28" s="265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</row>
    <row r="29" spans="1:21" ht="14.25" customHeight="1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</row>
    <row r="30" spans="1:21" ht="14.25" customHeight="1">
      <c r="A30" s="265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</row>
    <row r="31" spans="1:21" ht="14.25" customHeight="1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</row>
    <row r="32" spans="1:21" ht="14.25" customHeight="1">
      <c r="A32" s="265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</row>
    <row r="33" spans="1:21" ht="14.25" customHeight="1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</row>
    <row r="34" spans="1:21" ht="14.25" customHeight="1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</row>
    <row r="35" spans="1:21" ht="14.25" customHeight="1">
      <c r="A35" s="265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</row>
    <row r="36" spans="1:21" ht="14.25" customHeight="1">
      <c r="A36" s="265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</row>
    <row r="37" spans="1:21" ht="14.25" customHeight="1">
      <c r="A37" s="265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</row>
    <row r="38" spans="1:21" ht="14.25" customHeight="1">
      <c r="A38" s="265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</row>
    <row r="39" spans="1:21" ht="14.25" customHeight="1">
      <c r="A39" s="265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</row>
    <row r="40" spans="1:21" ht="14.25" customHeight="1">
      <c r="A40" s="265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</row>
    <row r="41" spans="1:21" ht="14.25" customHeight="1">
      <c r="A41" s="265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</row>
    <row r="42" spans="1:21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</row>
    <row r="43" spans="1:21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</row>
  </sheetData>
  <mergeCells count="1">
    <mergeCell ref="A1:U4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00FDB-E872-479B-B494-3CE6908825BF}">
  <sheetPr codeName="Hoja13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22"/>
  </cols>
  <sheetData>
    <row r="1" spans="1:21" ht="14.25" customHeight="1">
      <c r="A1" s="265" t="s">
        <v>420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</row>
    <row r="2" spans="1:21" ht="14.25" customHeight="1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</row>
    <row r="3" spans="1:21" ht="14.25" customHeight="1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</row>
    <row r="4" spans="1:21" ht="14.25" customHeight="1">
      <c r="A4" s="265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</row>
    <row r="5" spans="1:21" ht="14.25" customHeight="1">
      <c r="A5" s="265"/>
      <c r="B5" s="265"/>
      <c r="C5" s="265"/>
      <c r="D5" s="265"/>
      <c r="E5" s="265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</row>
    <row r="6" spans="1:21" ht="14.25" customHeight="1">
      <c r="A6" s="265"/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</row>
    <row r="7" spans="1:21" ht="14.25" customHeight="1">
      <c r="A7" s="265"/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</row>
    <row r="8" spans="1:21" ht="14.25" customHeight="1">
      <c r="A8" s="265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</row>
    <row r="9" spans="1:21" ht="14.25" customHeight="1">
      <c r="A9" s="265"/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</row>
    <row r="10" spans="1:21" ht="14.25" customHeight="1">
      <c r="A10" s="265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</row>
    <row r="11" spans="1:21" ht="14.25" customHeight="1">
      <c r="A11" s="265"/>
      <c r="B11" s="265"/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</row>
    <row r="12" spans="1:21" ht="14.25" customHeight="1">
      <c r="A12" s="265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</row>
    <row r="13" spans="1:21" ht="14.25" customHeight="1">
      <c r="A13" s="265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</row>
    <row r="14" spans="1:21" ht="14.25" customHeight="1">
      <c r="A14" s="265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</row>
    <row r="15" spans="1:21" ht="14.25" customHeight="1">
      <c r="A15" s="265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</row>
    <row r="16" spans="1:21" ht="14.25" customHeight="1">
      <c r="A16" s="265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</row>
    <row r="17" spans="1:21" ht="14.25" customHeight="1">
      <c r="A17" s="265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</row>
    <row r="18" spans="1:21" ht="14.25" customHeight="1">
      <c r="A18" s="265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</row>
    <row r="19" spans="1:21" ht="14.25" customHeight="1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</row>
    <row r="20" spans="1:21" ht="14.25" customHeight="1">
      <c r="A20" s="265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</row>
    <row r="21" spans="1:21" ht="14.25" customHeight="1">
      <c r="A21" s="265"/>
      <c r="B21" s="265"/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</row>
    <row r="22" spans="1:21" ht="14.25" customHeight="1">
      <c r="A22" s="265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</row>
    <row r="23" spans="1:21" ht="14.25" customHeight="1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</row>
    <row r="24" spans="1:21" ht="14.25" customHeight="1">
      <c r="A24" s="265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</row>
    <row r="25" spans="1:21" ht="14.25" customHeight="1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</row>
    <row r="26" spans="1:21" ht="14.25" customHeight="1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</row>
    <row r="27" spans="1:21" ht="14.25" customHeight="1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</row>
    <row r="28" spans="1:21" ht="14.25" customHeight="1">
      <c r="A28" s="265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</row>
    <row r="29" spans="1:21" ht="14.25" customHeight="1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</row>
    <row r="30" spans="1:21" ht="14.25" customHeight="1">
      <c r="A30" s="265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</row>
    <row r="31" spans="1:21" ht="14.25" customHeight="1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</row>
    <row r="32" spans="1:21" ht="14.25" customHeight="1">
      <c r="A32" s="265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</row>
    <row r="33" spans="1:21" ht="14.25" customHeight="1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</row>
    <row r="34" spans="1:21" ht="14.25" customHeight="1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</row>
    <row r="35" spans="1:21" ht="14.25" customHeight="1">
      <c r="A35" s="265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</row>
    <row r="36" spans="1:21" ht="14.25" customHeight="1">
      <c r="A36" s="265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</row>
    <row r="37" spans="1:21" ht="14.25" customHeight="1">
      <c r="A37" s="265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</row>
    <row r="38" spans="1:21" ht="14.25" customHeight="1">
      <c r="A38" s="265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</row>
    <row r="39" spans="1:21" ht="14.25" customHeight="1">
      <c r="A39" s="265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</row>
    <row r="40" spans="1:21" ht="14.25" customHeight="1">
      <c r="A40" s="265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</row>
    <row r="41" spans="1:21" ht="14.25" customHeight="1">
      <c r="A41" s="265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</row>
    <row r="42" spans="1:21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</row>
    <row r="43" spans="1:21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</row>
  </sheetData>
  <mergeCells count="1">
    <mergeCell ref="A1:U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dashboard</vt:lpstr>
      <vt:lpstr>iif_portfolios</vt:lpstr>
      <vt:lpstr>spread_portfolios</vt:lpstr>
      <vt:lpstr>full_portfolios</vt:lpstr>
      <vt:lpstr>grouped_portfolios</vt:lpstr>
      <vt:lpstr>full_portfolios_recursive</vt:lpstr>
      <vt:lpstr>leverage</vt:lpstr>
      <vt:lpstr>allocation</vt:lpstr>
      <vt:lpstr>LEBACS</vt:lpstr>
      <vt:lpstr>LETES</vt:lpstr>
      <vt:lpstr>query_iif_portfolios</vt:lpstr>
      <vt:lpstr>query_full_portfolios</vt:lpstr>
      <vt:lpstr>query_spread_portfolios</vt:lpstr>
      <vt:lpstr>query_grouped_portfolios</vt:lpstr>
      <vt:lpstr>query_full_portfolios_recursive</vt:lpstr>
      <vt:lpstr>query_leverage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Suarez B.</dc:creator>
  <cp:lastModifiedBy>Diego Posch Ponce</cp:lastModifiedBy>
  <cp:lastPrinted>2018-04-03T19:13:19Z</cp:lastPrinted>
  <dcterms:created xsi:type="dcterms:W3CDTF">2017-10-31T13:51:12Z</dcterms:created>
  <dcterms:modified xsi:type="dcterms:W3CDTF">2019-03-11T19:26:22Z</dcterms:modified>
</cp:coreProperties>
</file>
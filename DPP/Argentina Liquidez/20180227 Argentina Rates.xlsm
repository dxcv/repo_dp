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9001" codeName="{320AAD7A-AEEB-3B57-35EE-6C7AAB037B02}"/>
  <workbookPr codeName="ThisWorkbook"/>
  <mc:AlternateContent xmlns:mc="http://schemas.openxmlformats.org/markup-compatibility/2006">
    <mc:Choice Requires="x15">
      <x15ac:absPath xmlns:x15ac="http://schemas.microsoft.com/office/spreadsheetml/2010/11/ac" url="L:\Rates &amp; FX\DPP\Fondo Argentina\"/>
    </mc:Choice>
  </mc:AlternateContent>
  <bookViews>
    <workbookView xWindow="0" yWindow="0" windowWidth="28800" windowHeight="12210" xr2:uid="{525CC684-D3BD-44E9-8FDE-3D1E96EED6F9}"/>
  </bookViews>
  <sheets>
    <sheet name="new analisis" sheetId="4" r:id="rId1"/>
    <sheet name="analisis" sheetId="1" r:id="rId2"/>
    <sheet name="Hoja2" sheetId="2" r:id="rId3"/>
    <sheet name="Hoja3" sheetId="3" r:id="rId4"/>
  </sheets>
  <functionGroups builtInGroupCount="19"/>
  <definedNames>
    <definedName name="solver_adj" localSheetId="1" hidden="1">analisis!$G$21:$G$37</definedName>
    <definedName name="solver_adj" localSheetId="0" hidden="1">'new analisis'!$G$21:$G$37</definedName>
    <definedName name="solver_cvg" localSheetId="1" hidden="1">0.0001</definedName>
    <definedName name="solver_cvg" localSheetId="0" hidden="1">0.0001</definedName>
    <definedName name="solver_drv" localSheetId="1" hidden="1">1</definedName>
    <definedName name="solver_drv" localSheetId="0" hidden="1">1</definedName>
    <definedName name="solver_eng" localSheetId="1" hidden="1">1</definedName>
    <definedName name="solver_eng" localSheetId="0" hidden="1">1</definedName>
    <definedName name="solver_est" localSheetId="1" hidden="1">1</definedName>
    <definedName name="solver_est" localSheetId="0" hidden="1">1</definedName>
    <definedName name="solver_itr" localSheetId="1" hidden="1">2147483647</definedName>
    <definedName name="solver_itr" localSheetId="0" hidden="1">2147483647</definedName>
    <definedName name="solver_lhs1" localSheetId="1" hidden="1">analisis!$G$21:$G$37</definedName>
    <definedName name="solver_lhs1" localSheetId="0" hidden="1">'new analisis'!$G$21:$G$37</definedName>
    <definedName name="solver_lhs2" localSheetId="1" hidden="1">analisis!$I$22:$I$37</definedName>
    <definedName name="solver_lhs2" localSheetId="0" hidden="1">'new analisis'!$I$22:$I$37</definedName>
    <definedName name="solver_mip" localSheetId="1" hidden="1">2147483647</definedName>
    <definedName name="solver_mip" localSheetId="0" hidden="1">2147483647</definedName>
    <definedName name="solver_mni" localSheetId="1" hidden="1">30</definedName>
    <definedName name="solver_mni" localSheetId="0" hidden="1">30</definedName>
    <definedName name="solver_mrt" localSheetId="1" hidden="1">0.075</definedName>
    <definedName name="solver_mrt" localSheetId="0" hidden="1">0.075</definedName>
    <definedName name="solver_msl" localSheetId="1" hidden="1">2</definedName>
    <definedName name="solver_msl" localSheetId="0" hidden="1">2</definedName>
    <definedName name="solver_neg" localSheetId="1" hidden="1">2</definedName>
    <definedName name="solver_neg" localSheetId="0" hidden="1">2</definedName>
    <definedName name="solver_nod" localSheetId="1" hidden="1">2147483647</definedName>
    <definedName name="solver_nod" localSheetId="0" hidden="1">2147483647</definedName>
    <definedName name="solver_num" localSheetId="1" hidden="1">2</definedName>
    <definedName name="solver_num" localSheetId="0" hidden="1">2</definedName>
    <definedName name="solver_nwt" localSheetId="1" hidden="1">1</definedName>
    <definedName name="solver_nwt" localSheetId="0" hidden="1">1</definedName>
    <definedName name="solver_opt" localSheetId="1" hidden="1">analisis!$B$13</definedName>
    <definedName name="solver_opt" localSheetId="0" hidden="1">'new analisis'!$B$13</definedName>
    <definedName name="solver_pre" localSheetId="1" hidden="1">0.000001</definedName>
    <definedName name="solver_pre" localSheetId="0" hidden="1">0.000001</definedName>
    <definedName name="solver_rbv" localSheetId="1" hidden="1">1</definedName>
    <definedName name="solver_rbv" localSheetId="0" hidden="1">1</definedName>
    <definedName name="solver_rel1" localSheetId="1" hidden="1">4</definedName>
    <definedName name="solver_rel1" localSheetId="0" hidden="1">4</definedName>
    <definedName name="solver_rel2" localSheetId="1" hidden="1">2</definedName>
    <definedName name="solver_rel2" localSheetId="0" hidden="1">2</definedName>
    <definedName name="solver_rhs1" localSheetId="1" hidden="1">entero</definedName>
    <definedName name="solver_rhs1" localSheetId="0" hidden="1">entero</definedName>
    <definedName name="solver_rhs2" localSheetId="1" hidden="1">1</definedName>
    <definedName name="solver_rhs2" localSheetId="0" hidden="1">1</definedName>
    <definedName name="solver_rlx" localSheetId="1" hidden="1">2</definedName>
    <definedName name="solver_rlx" localSheetId="0" hidden="1">2</definedName>
    <definedName name="solver_rsd" localSheetId="1" hidden="1">0</definedName>
    <definedName name="solver_rsd" localSheetId="0" hidden="1">0</definedName>
    <definedName name="solver_scl" localSheetId="1" hidden="1">1</definedName>
    <definedName name="solver_scl" localSheetId="0" hidden="1">1</definedName>
    <definedName name="solver_sho" localSheetId="1" hidden="1">2</definedName>
    <definedName name="solver_sho" localSheetId="0" hidden="1">2</definedName>
    <definedName name="solver_ssz" localSheetId="1" hidden="1">100</definedName>
    <definedName name="solver_ssz" localSheetId="0" hidden="1">100</definedName>
    <definedName name="solver_tim" localSheetId="1" hidden="1">2147483647</definedName>
    <definedName name="solver_tim" localSheetId="0" hidden="1">2147483647</definedName>
    <definedName name="solver_tol" localSheetId="1" hidden="1">0.01</definedName>
    <definedName name="solver_tol" localSheetId="0" hidden="1">0.01</definedName>
    <definedName name="solver_typ" localSheetId="1" hidden="1">2</definedName>
    <definedName name="solver_typ" localSheetId="0" hidden="1">2</definedName>
    <definedName name="solver_val" localSheetId="1" hidden="1">0</definedName>
    <definedName name="solver_val" localSheetId="0" hidden="1">0</definedName>
    <definedName name="solver_ver" localSheetId="1" hidden="1">3</definedName>
    <definedName name="solver_ver" localSheetId="0" hidden="1">3</definedName>
  </definedNames>
  <calcPr calcId="171027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3" i="4" l="1"/>
  <c r="J4" i="4"/>
  <c r="J5" i="4"/>
  <c r="J6" i="4"/>
  <c r="J7" i="4"/>
  <c r="J8" i="4"/>
  <c r="J9" i="4"/>
  <c r="J3" i="4"/>
  <c r="B12" i="4"/>
  <c r="J2" i="4"/>
  <c r="B2" i="4"/>
  <c r="C2" i="4"/>
  <c r="K2" i="4"/>
  <c r="M2" i="4"/>
  <c r="B3" i="4"/>
  <c r="C3" i="4"/>
  <c r="M3" i="4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" i="2"/>
  <c r="A20" i="1"/>
  <c r="A20" i="4"/>
  <c r="B21" i="4"/>
  <c r="B22" i="4"/>
  <c r="I2" i="4"/>
  <c r="H2" i="4"/>
  <c r="E22" i="4"/>
  <c r="B23" i="4"/>
  <c r="E23" i="4"/>
  <c r="E24" i="4"/>
  <c r="B24" i="4"/>
  <c r="I3" i="4"/>
  <c r="H3" i="4"/>
  <c r="L3" i="4"/>
  <c r="L4" i="4"/>
  <c r="L5" i="4"/>
  <c r="L6" i="4"/>
  <c r="L7" i="4"/>
  <c r="L8" i="4"/>
  <c r="L9" i="4"/>
  <c r="L2" i="4"/>
  <c r="D22" i="4"/>
  <c r="D23" i="4"/>
  <c r="D24" i="4"/>
  <c r="D25" i="4"/>
  <c r="E25" i="4"/>
  <c r="B25" i="4"/>
  <c r="D26" i="4"/>
  <c r="E26" i="4"/>
  <c r="B26" i="4"/>
  <c r="D27" i="4"/>
  <c r="E27" i="4"/>
  <c r="B27" i="4"/>
  <c r="D28" i="4"/>
  <c r="E28" i="4"/>
  <c r="B28" i="4"/>
  <c r="D29" i="4"/>
  <c r="E29" i="4"/>
  <c r="B29" i="4"/>
  <c r="D30" i="4"/>
  <c r="E30" i="4"/>
  <c r="B30" i="4"/>
  <c r="D31" i="4"/>
  <c r="E31" i="4"/>
  <c r="B31" i="4"/>
  <c r="D32" i="4"/>
  <c r="E32" i="4"/>
  <c r="B32" i="4"/>
  <c r="D33" i="4"/>
  <c r="E33" i="4"/>
  <c r="B33" i="4"/>
  <c r="D34" i="4"/>
  <c r="E34" i="4"/>
  <c r="B34" i="4"/>
  <c r="D35" i="4"/>
  <c r="E35" i="4"/>
  <c r="B35" i="4"/>
  <c r="D36" i="4"/>
  <c r="E36" i="4"/>
  <c r="B36" i="4"/>
  <c r="D37" i="4"/>
  <c r="E37" i="4"/>
  <c r="B4" i="4"/>
  <c r="C4" i="4"/>
  <c r="I4" i="4"/>
  <c r="H4" i="4"/>
  <c r="M4" i="4"/>
  <c r="B5" i="4"/>
  <c r="C5" i="4"/>
  <c r="I5" i="4"/>
  <c r="H5" i="4"/>
  <c r="M5" i="4"/>
  <c r="B6" i="4"/>
  <c r="C6" i="4"/>
  <c r="I6" i="4"/>
  <c r="H6" i="4"/>
  <c r="M6" i="4"/>
  <c r="B7" i="4"/>
  <c r="C7" i="4"/>
  <c r="I7" i="4"/>
  <c r="H7" i="4"/>
  <c r="M7" i="4"/>
  <c r="B8" i="4"/>
  <c r="C8" i="4"/>
  <c r="I8" i="4"/>
  <c r="H8" i="4"/>
  <c r="M8" i="4"/>
  <c r="B9" i="4"/>
  <c r="C9" i="4"/>
  <c r="I9" i="4"/>
  <c r="H9" i="4"/>
  <c r="M9" i="4"/>
  <c r="D21" i="4"/>
  <c r="E21" i="4"/>
  <c r="C21" i="4"/>
  <c r="F21" i="4"/>
  <c r="F3" i="4"/>
  <c r="F4" i="4"/>
  <c r="F5" i="4"/>
  <c r="F6" i="4"/>
  <c r="F7" i="4"/>
  <c r="F8" i="4"/>
  <c r="F9" i="4"/>
  <c r="B37" i="4"/>
  <c r="C37" i="4"/>
  <c r="F37" i="4"/>
  <c r="C36" i="4"/>
  <c r="F36" i="4"/>
  <c r="C35" i="4"/>
  <c r="F35" i="4"/>
  <c r="C34" i="4"/>
  <c r="F34" i="4"/>
  <c r="C33" i="4"/>
  <c r="F33" i="4"/>
  <c r="C32" i="4"/>
  <c r="F32" i="4"/>
  <c r="C31" i="4"/>
  <c r="F31" i="4"/>
  <c r="C30" i="4"/>
  <c r="F30" i="4"/>
  <c r="C29" i="4"/>
  <c r="F29" i="4"/>
  <c r="C28" i="4"/>
  <c r="F28" i="4"/>
  <c r="C27" i="4"/>
  <c r="F27" i="4"/>
  <c r="C26" i="4"/>
  <c r="F26" i="4"/>
  <c r="C25" i="4"/>
  <c r="F25" i="4"/>
  <c r="C24" i="4"/>
  <c r="F24" i="4"/>
  <c r="C23" i="4"/>
  <c r="F23" i="4"/>
  <c r="C22" i="4"/>
  <c r="F22" i="4"/>
  <c r="F2" i="4"/>
  <c r="N2" i="4"/>
  <c r="N3" i="4"/>
  <c r="N4" i="4"/>
  <c r="N5" i="4"/>
  <c r="N6" i="4"/>
  <c r="N7" i="4"/>
  <c r="N8" i="4"/>
  <c r="N9" i="4"/>
  <c r="B13" i="4"/>
  <c r="G9" i="4"/>
  <c r="G8" i="4"/>
  <c r="G7" i="4"/>
  <c r="G6" i="4"/>
  <c r="G5" i="4"/>
  <c r="G4" i="4"/>
  <c r="G3" i="4"/>
  <c r="B21" i="1"/>
  <c r="B12" i="1"/>
  <c r="H2" i="1"/>
  <c r="H3" i="1"/>
  <c r="H4" i="1"/>
  <c r="H5" i="1"/>
  <c r="H6" i="1"/>
  <c r="H7" i="1"/>
  <c r="H8" i="1"/>
  <c r="H9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B22" i="1"/>
  <c r="C21" i="1"/>
  <c r="B2" i="1"/>
  <c r="B9" i="1"/>
  <c r="C9" i="1"/>
  <c r="B8" i="1"/>
  <c r="B6" i="1"/>
  <c r="C6" i="1"/>
  <c r="B3" i="1"/>
  <c r="C3" i="1"/>
  <c r="B7" i="1"/>
  <c r="C7" i="1"/>
  <c r="B5" i="1"/>
  <c r="C5" i="1"/>
  <c r="B4" i="1"/>
  <c r="C29" i="1"/>
  <c r="C28" i="1"/>
  <c r="C35" i="1"/>
  <c r="C27" i="1"/>
  <c r="C37" i="1"/>
  <c r="C36" i="1"/>
  <c r="C34" i="1"/>
  <c r="C26" i="1"/>
  <c r="C25" i="1"/>
  <c r="C33" i="1"/>
  <c r="C32" i="1"/>
  <c r="C24" i="1"/>
  <c r="C23" i="1"/>
  <c r="C31" i="1"/>
  <c r="C38" i="1"/>
  <c r="C30" i="1"/>
  <c r="C22" i="1"/>
  <c r="D21" i="1"/>
  <c r="F2" i="1"/>
  <c r="B23" i="1"/>
  <c r="I2" i="1"/>
  <c r="C4" i="1"/>
  <c r="C8" i="1"/>
  <c r="C2" i="1"/>
  <c r="E21" i="1"/>
  <c r="F3" i="1"/>
  <c r="F4" i="1"/>
  <c r="F5" i="1"/>
  <c r="F6" i="1"/>
  <c r="F7" i="1"/>
  <c r="F8" i="1"/>
  <c r="F9" i="1"/>
  <c r="B24" i="1"/>
  <c r="B25" i="1"/>
  <c r="G4" i="1"/>
  <c r="G8" i="1"/>
  <c r="G5" i="1"/>
  <c r="G3" i="1"/>
  <c r="E22" i="1"/>
  <c r="F22" i="1"/>
  <c r="F21" i="1"/>
  <c r="G9" i="1"/>
  <c r="G7" i="1"/>
  <c r="G6" i="1"/>
  <c r="B26" i="1"/>
  <c r="B27" i="1"/>
  <c r="I3" i="1"/>
  <c r="E23" i="1"/>
  <c r="J2" i="1"/>
  <c r="B28" i="1"/>
  <c r="B29" i="1"/>
  <c r="I4" i="1"/>
  <c r="K2" i="1"/>
  <c r="F23" i="1"/>
  <c r="E24" i="1"/>
  <c r="E25" i="1"/>
  <c r="J3" i="1"/>
  <c r="B30" i="1"/>
  <c r="B31" i="1"/>
  <c r="I5" i="1"/>
  <c r="K3" i="1"/>
  <c r="F24" i="1"/>
  <c r="E26" i="1"/>
  <c r="F25" i="1"/>
  <c r="B32" i="1"/>
  <c r="B33" i="1"/>
  <c r="I6" i="1"/>
  <c r="E27" i="1"/>
  <c r="J4" i="1"/>
  <c r="F26" i="1"/>
  <c r="B34" i="1"/>
  <c r="B35" i="1"/>
  <c r="I7" i="1"/>
  <c r="K4" i="1"/>
  <c r="E28" i="1"/>
  <c r="F27" i="1"/>
  <c r="B36" i="1"/>
  <c r="B37" i="1"/>
  <c r="I8" i="1"/>
  <c r="E29" i="1"/>
  <c r="J5" i="1"/>
  <c r="F28" i="1"/>
  <c r="B38" i="1"/>
  <c r="I9" i="1"/>
  <c r="K5" i="1"/>
  <c r="E30" i="1"/>
  <c r="F29" i="1"/>
  <c r="E31" i="1"/>
  <c r="J6" i="1"/>
  <c r="F30" i="1"/>
  <c r="K6" i="1"/>
  <c r="E32" i="1"/>
  <c r="F31" i="1"/>
  <c r="E33" i="1"/>
  <c r="J7" i="1"/>
  <c r="F32" i="1"/>
  <c r="K7" i="1"/>
  <c r="E34" i="1"/>
  <c r="F33" i="1"/>
  <c r="E35" i="1"/>
  <c r="J8" i="1"/>
  <c r="F34" i="1"/>
  <c r="K8" i="1"/>
  <c r="E36" i="1"/>
  <c r="F35" i="1"/>
  <c r="E37" i="1"/>
  <c r="J9" i="1"/>
  <c r="F36" i="1"/>
  <c r="K9" i="1"/>
  <c r="B13" i="1"/>
  <c r="E38" i="1"/>
  <c r="F38" i="1"/>
  <c r="F37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Diego Posch Ponce</author>
  </authors>
  <commentList>
    <comment ref="G19" authorId="0" shapeId="0" xr:uid="{AE8325A9-6F02-40E5-9885-80331AC6193D}">
      <text>
        <r>
          <rPr>
            <b/>
            <sz val="9"/>
            <color indexed="81"/>
            <rFont val="Tahoma"/>
            <family val="2"/>
          </rPr>
          <t>Diego Posch Ponce:</t>
        </r>
        <r>
          <rPr>
            <sz val="9"/>
            <color indexed="81"/>
            <rFont val="Tahoma"/>
            <family val="2"/>
          </rPr>
          <t xml:space="preserve">
Esto se va variando dependiendo de cuanto ba bajar(subir) la tasa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Diego Posch Ponce</author>
  </authors>
  <commentList>
    <comment ref="G19" authorId="0" shapeId="0" xr:uid="{5A16AE23-2A96-47E5-AE27-7FEABE3E2AE6}">
      <text>
        <r>
          <rPr>
            <b/>
            <sz val="9"/>
            <color indexed="81"/>
            <rFont val="Tahoma"/>
            <family val="2"/>
          </rPr>
          <t>Diego Posch Ponce:</t>
        </r>
        <r>
          <rPr>
            <sz val="9"/>
            <color indexed="81"/>
            <rFont val="Tahoma"/>
            <family val="2"/>
          </rPr>
          <t xml:space="preserve">
Esto se va variando dependiendo de cuanto ba bajar(subir) la tasa
</t>
        </r>
      </text>
    </comment>
  </commentList>
</comments>
</file>

<file path=xl/sharedStrings.xml><?xml version="1.0" encoding="utf-8"?>
<sst xmlns="http://schemas.openxmlformats.org/spreadsheetml/2006/main" count="48" uniqueCount="25">
  <si>
    <t>Fecha_Hoy</t>
  </si>
  <si>
    <t>FO</t>
  </si>
  <si>
    <t>implied tpm</t>
  </si>
  <si>
    <t>date</t>
  </si>
  <si>
    <t>forward</t>
  </si>
  <si>
    <t>last_rpm</t>
  </si>
  <si>
    <t>Market</t>
  </si>
  <si>
    <t>Estimated</t>
  </si>
  <si>
    <t>diff * diff</t>
  </si>
  <si>
    <t>last_rpm rate</t>
  </si>
  <si>
    <t>bid</t>
  </si>
  <si>
    <t>offer</t>
  </si>
  <si>
    <t>Term [years]</t>
  </si>
  <si>
    <t>Term [days]</t>
  </si>
  <si>
    <t>Lebac</t>
  </si>
  <si>
    <t>term</t>
  </si>
  <si>
    <t>term_between</t>
  </si>
  <si>
    <t>Devengo</t>
  </si>
  <si>
    <t>rate</t>
  </si>
  <si>
    <t>#</t>
  </si>
  <si>
    <t>base tasa</t>
  </si>
  <si>
    <t>LACT365</t>
  </si>
  <si>
    <t>interes acumulado</t>
  </si>
  <si>
    <t>fecha rolleo</t>
  </si>
  <si>
    <t>retorno lebac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</si>
</sst>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%"/>
    <numFmt numFmtId="165" formatCode="0.00000"/>
    <numFmt numFmtId="166" formatCode="0.000"/>
    <numFmt numFmtId="167" formatCode="0.00000%"/>
  </numFmts>
  <fonts count="5" x14ac:knownFonts="1"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b/>
      <sz val="11"/>
      <color theme="1"/>
      <name val="Arial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9">
    <xf numFmtId="0" fontId="0" fillId="0" borderId="0" xfId="0"/>
    <xf numFmtId="164" fontId="0" fillId="0" borderId="0" xfId="1" applyNumberFormat="1" applyFont="1"/>
    <xf numFmtId="0" fontId="0" fillId="0" borderId="0" xfId="0" applyAlignment="1">
      <alignment horizontal="center"/>
    </xf>
    <xf numFmtId="164" fontId="0" fillId="0" borderId="0" xfId="1" applyNumberFormat="1" applyFont="1" applyAlignment="1">
      <alignment horizontal="center"/>
    </xf>
    <xf numFmtId="0" fontId="2" fillId="0" borderId="0" xfId="0" applyFont="1" applyAlignment="1">
      <alignment horizontal="center"/>
    </xf>
    <xf numFmtId="2" fontId="0" fillId="0" borderId="0" xfId="0" applyNumberFormat="1" applyAlignment="1">
      <alignment horizontal="center"/>
    </xf>
    <xf numFmtId="10" fontId="0" fillId="0" borderId="0" xfId="1" applyNumberFormat="1" applyFont="1" applyAlignment="1">
      <alignment horizontal="center"/>
    </xf>
    <xf numFmtId="0" fontId="0" fillId="0" borderId="0" xfId="0" applyNumberFormat="1"/>
    <xf numFmtId="9" fontId="0" fillId="0" borderId="0" xfId="0" applyNumberFormat="1"/>
    <xf numFmtId="14" fontId="0" fillId="0" borderId="0" xfId="0" applyNumberFormat="1" applyAlignment="1">
      <alignment horizontal="center"/>
    </xf>
    <xf numFmtId="14" fontId="0" fillId="0" borderId="0" xfId="0" applyNumberFormat="1"/>
    <xf numFmtId="17" fontId="0" fillId="0" borderId="0" xfId="0" applyNumberFormat="1"/>
    <xf numFmtId="166" fontId="0" fillId="0" borderId="0" xfId="0" applyNumberFormat="1" applyAlignment="1">
      <alignment horizontal="center"/>
    </xf>
    <xf numFmtId="0" fontId="0" fillId="0" borderId="0" xfId="0" applyNumberFormat="1" applyAlignment="1">
      <alignment horizontal="center"/>
    </xf>
    <xf numFmtId="17" fontId="0" fillId="0" borderId="0" xfId="0" applyNumberFormat="1" applyAlignment="1">
      <alignment horizontal="center"/>
    </xf>
    <xf numFmtId="10" fontId="0" fillId="0" borderId="0" xfId="1" applyNumberFormat="1" applyFont="1"/>
    <xf numFmtId="165" fontId="0" fillId="0" borderId="0" xfId="0" applyNumberFormat="1" applyAlignment="1">
      <alignment horizontal="center"/>
    </xf>
    <xf numFmtId="167" fontId="0" fillId="0" borderId="0" xfId="1" applyNumberFormat="1" applyFont="1"/>
    <xf numFmtId="14" fontId="0" fillId="0" borderId="0" xfId="0" applyNumberFormat="1" applyFill="1" applyAlignment="1">
      <alignment horizontal="center"/>
    </xf>
    <xf numFmtId="0" fontId="0" fillId="0" borderId="0" xfId="0" applyFill="1" applyAlignment="1">
      <alignment horizontal="center"/>
    </xf>
    <xf numFmtId="0" fontId="0" fillId="0" borderId="0" xfId="0" applyFill="1"/>
    <xf numFmtId="164" fontId="0" fillId="0" borderId="0" xfId="1" applyNumberFormat="1" applyFont="1" applyFill="1" applyAlignment="1">
      <alignment horizontal="center"/>
    </xf>
    <xf numFmtId="166" fontId="0" fillId="0" borderId="0" xfId="0" applyNumberFormat="1" applyFill="1" applyAlignment="1">
      <alignment horizontal="center"/>
    </xf>
    <xf numFmtId="10" fontId="0" fillId="0" borderId="0" xfId="0" applyNumberFormat="1" applyFill="1"/>
    <xf numFmtId="0" fontId="0" fillId="0" borderId="0" xfId="1" applyNumberFormat="1" applyFont="1" applyFill="1" applyAlignment="1">
      <alignment horizontal="center"/>
    </xf>
    <xf numFmtId="0" fontId="0" fillId="2" borderId="0" xfId="1" applyNumberFormat="1" applyFont="1" applyFill="1" applyAlignment="1">
      <alignment horizontal="center"/>
    </xf>
    <xf numFmtId="10" fontId="0" fillId="0" borderId="0" xfId="0" applyNumberFormat="1" applyAlignment="1">
      <alignment horizontal="center"/>
    </xf>
    <xf numFmtId="10" fontId="0" fillId="0" borderId="0" xfId="1" applyNumberFormat="1" applyFont="1" applyFill="1" applyAlignment="1">
      <alignment horizontal="center"/>
    </xf>
    <xf numFmtId="0" fontId="2" fillId="0" borderId="0" xfId="0" applyNumberFormat="1" applyFont="1" applyAlignment="1">
      <alignment horizontal="center"/>
    </xf>
    <xf numFmtId="14" fontId="0" fillId="0" borderId="1" xfId="0" applyNumberFormat="1" applyFill="1" applyBorder="1" applyAlignment="1">
      <alignment horizontal="center"/>
    </xf>
    <xf numFmtId="10" fontId="0" fillId="0" borderId="1" xfId="0" applyNumberFormat="1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2" fillId="0" borderId="1" xfId="0" applyNumberFormat="1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17" fontId="2" fillId="0" borderId="1" xfId="0" applyNumberFormat="1" applyFont="1" applyBorder="1" applyAlignment="1">
      <alignment horizontal="center"/>
    </xf>
    <xf numFmtId="164" fontId="2" fillId="0" borderId="1" xfId="1" applyNumberFormat="1" applyFont="1" applyBorder="1" applyAlignment="1">
      <alignment horizontal="center"/>
    </xf>
    <xf numFmtId="164" fontId="2" fillId="2" borderId="1" xfId="1" applyNumberFormat="1" applyFont="1" applyFill="1" applyBorder="1" applyAlignment="1">
      <alignment horizontal="center"/>
    </xf>
    <xf numFmtId="0" fontId="0" fillId="2" borderId="1" xfId="1" applyNumberFormat="1" applyFont="1" applyFill="1" applyBorder="1" applyAlignment="1">
      <alignment horizontal="center"/>
    </xf>
    <xf numFmtId="0" fontId="2" fillId="0" borderId="0" xfId="0" applyNumberFormat="1" applyFont="1"/>
  </cellXfs>
  <cellStyles count="2">
    <cellStyle name="Normal" xfId="0" builtinId="0"/>
    <cellStyle name="Porcentaj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'new analisis'!$B$12</c:f>
              <c:strCache>
                <c:ptCount val="1"/>
                <c:pt idx="0">
                  <c:v>27/02/2018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'new analisis'!$B$13:$B$377</c:f>
              <c:numCache>
                <c:formatCode>General</c:formatCode>
                <c:ptCount val="365"/>
                <c:pt idx="0" formatCode="0.00000">
                  <c:v>4.6338292997905783E-6</c:v>
                </c:pt>
                <c:pt idx="1">
                  <c:v>0</c:v>
                </c:pt>
                <c:pt idx="6">
                  <c:v>0</c:v>
                </c:pt>
                <c:pt idx="7" formatCode="0.00%">
                  <c:v>0.27250000000000002</c:v>
                </c:pt>
                <c:pt idx="8" formatCode="0.00%">
                  <c:v>0.26750000000000002</c:v>
                </c:pt>
                <c:pt idx="9" formatCode="0.00%">
                  <c:v>0.26250000000000001</c:v>
                </c:pt>
                <c:pt idx="10" formatCode="0.00%">
                  <c:v>0.25750000000000001</c:v>
                </c:pt>
                <c:pt idx="11" formatCode="0.00%">
                  <c:v>0.25</c:v>
                </c:pt>
                <c:pt idx="12" formatCode="0.00%">
                  <c:v>0.24249999999999999</c:v>
                </c:pt>
                <c:pt idx="13" formatCode="0.00%">
                  <c:v>0.23749999999999999</c:v>
                </c:pt>
                <c:pt idx="14" formatCode="0.00%">
                  <c:v>0.23249999999999998</c:v>
                </c:pt>
                <c:pt idx="15" formatCode="0.00%">
                  <c:v>0.22249999999999998</c:v>
                </c:pt>
                <c:pt idx="16" formatCode="0.00%">
                  <c:v>0.21249999999999997</c:v>
                </c:pt>
                <c:pt idx="17" formatCode="0.00%">
                  <c:v>0.20249999999999996</c:v>
                </c:pt>
                <c:pt idx="18" formatCode="0.00%">
                  <c:v>0.20249999999999996</c:v>
                </c:pt>
                <c:pt idx="19" formatCode="0.00%">
                  <c:v>0.20249999999999996</c:v>
                </c:pt>
                <c:pt idx="20" formatCode="0.00%">
                  <c:v>0.20249999999999996</c:v>
                </c:pt>
                <c:pt idx="21" formatCode="0.00%">
                  <c:v>0.19249999999999995</c:v>
                </c:pt>
                <c:pt idx="22" formatCode="0.00%">
                  <c:v>0.19249999999999995</c:v>
                </c:pt>
                <c:pt idx="23" formatCode="0.00%">
                  <c:v>0.19249999999999995</c:v>
                </c:pt>
                <c:pt idx="24" formatCode="0.00%">
                  <c:v>0.19249999999999995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0CC-4E2E-A0F5-57042CEFEE2C}"/>
            </c:ext>
          </c:extLst>
        </c:ser>
        <c:ser>
          <c:idx val="2"/>
          <c:order val="1"/>
          <c:tx>
            <c:strRef>
              <c:f>'new analisis'!$C$12</c:f>
              <c:strCache>
                <c:ptCount val="1"/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'new analisis'!$C$13:$C$377</c:f>
              <c:numCache>
                <c:formatCode>General</c:formatCode>
                <c:ptCount val="365"/>
                <c:pt idx="6">
                  <c:v>0</c:v>
                </c:pt>
                <c:pt idx="8">
                  <c:v>0</c:v>
                </c:pt>
                <c:pt idx="9">
                  <c:v>3.8356164383561646E-2</c:v>
                </c:pt>
                <c:pt idx="10">
                  <c:v>7.6712328767123292E-2</c:v>
                </c:pt>
                <c:pt idx="11">
                  <c:v>0.11506849315068493</c:v>
                </c:pt>
                <c:pt idx="12">
                  <c:v>0.15342465753424658</c:v>
                </c:pt>
                <c:pt idx="13">
                  <c:v>0.19178082191780821</c:v>
                </c:pt>
                <c:pt idx="14">
                  <c:v>0.23013698630136986</c:v>
                </c:pt>
                <c:pt idx="15">
                  <c:v>0.28767123287671231</c:v>
                </c:pt>
                <c:pt idx="16">
                  <c:v>0.32602739726027397</c:v>
                </c:pt>
                <c:pt idx="17">
                  <c:v>0.36438356164383562</c:v>
                </c:pt>
                <c:pt idx="18">
                  <c:v>0.40273972602739727</c:v>
                </c:pt>
                <c:pt idx="19">
                  <c:v>0.44109589041095892</c:v>
                </c:pt>
                <c:pt idx="20">
                  <c:v>0.47945205479452052</c:v>
                </c:pt>
                <c:pt idx="21">
                  <c:v>0.53698630136986303</c:v>
                </c:pt>
                <c:pt idx="22">
                  <c:v>0.57534246575342463</c:v>
                </c:pt>
                <c:pt idx="23">
                  <c:v>0.61369863013698633</c:v>
                </c:pt>
                <c:pt idx="24">
                  <c:v>0.65205479452054793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0CC-4E2E-A0F5-57042CEFEE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4571327"/>
        <c:axId val="601103199"/>
      </c:lineChart>
      <c:catAx>
        <c:axId val="1284571327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601103199"/>
        <c:crosses val="autoZero"/>
        <c:auto val="1"/>
        <c:lblAlgn val="ctr"/>
        <c:lblOffset val="100"/>
        <c:noMultiLvlLbl val="0"/>
      </c:catAx>
      <c:valAx>
        <c:axId val="601103199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2845713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s-CL" b="1"/>
              <a:t>Argentina Lebac Market</a:t>
            </a:r>
          </a:p>
        </c:rich>
      </c:tx>
      <c:layout>
        <c:manualLayout>
          <c:xMode val="edge"/>
          <c:yMode val="edge"/>
          <c:x val="0.36913739147991115"/>
          <c:y val="5.46397664147403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lotArea>
      <c:layout>
        <c:manualLayout>
          <c:layoutTarget val="inner"/>
          <c:xMode val="edge"/>
          <c:yMode val="edge"/>
          <c:x val="0.12521609236144518"/>
          <c:y val="0.16696086902180707"/>
          <c:w val="0.8268851371489554"/>
          <c:h val="0.61724382873783568"/>
        </c:manualLayout>
      </c:layout>
      <c:scatterChart>
        <c:scatterStyle val="smoothMarker"/>
        <c:varyColors val="0"/>
        <c:ser>
          <c:idx val="2"/>
          <c:order val="0"/>
          <c:tx>
            <c:v>Implied Repo Rate Lebacs</c:v>
          </c:tx>
          <c:spPr>
            <a:ln w="28575" cap="rnd" cmpd="thinThick">
              <a:solidFill>
                <a:schemeClr val="accent5">
                  <a:lumMod val="7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Hoja2!$A$2:$A$243</c:f>
              <c:numCache>
                <c:formatCode>m/d/yyyy</c:formatCode>
                <c:ptCount val="242"/>
                <c:pt idx="0">
                  <c:v>43158</c:v>
                </c:pt>
                <c:pt idx="1">
                  <c:v>43159</c:v>
                </c:pt>
                <c:pt idx="2">
                  <c:v>43160</c:v>
                </c:pt>
                <c:pt idx="3">
                  <c:v>43161</c:v>
                </c:pt>
                <c:pt idx="4">
                  <c:v>43162</c:v>
                </c:pt>
                <c:pt idx="5">
                  <c:v>43163</c:v>
                </c:pt>
                <c:pt idx="6">
                  <c:v>43164</c:v>
                </c:pt>
                <c:pt idx="7">
                  <c:v>43165</c:v>
                </c:pt>
                <c:pt idx="8">
                  <c:v>43166</c:v>
                </c:pt>
                <c:pt idx="9">
                  <c:v>43167</c:v>
                </c:pt>
                <c:pt idx="10">
                  <c:v>43168</c:v>
                </c:pt>
                <c:pt idx="11">
                  <c:v>43169</c:v>
                </c:pt>
                <c:pt idx="12">
                  <c:v>43170</c:v>
                </c:pt>
                <c:pt idx="13">
                  <c:v>43171</c:v>
                </c:pt>
                <c:pt idx="14">
                  <c:v>43172</c:v>
                </c:pt>
                <c:pt idx="15">
                  <c:v>43173</c:v>
                </c:pt>
                <c:pt idx="16">
                  <c:v>43174</c:v>
                </c:pt>
                <c:pt idx="17">
                  <c:v>43175</c:v>
                </c:pt>
                <c:pt idx="18">
                  <c:v>43176</c:v>
                </c:pt>
                <c:pt idx="19">
                  <c:v>43177</c:v>
                </c:pt>
                <c:pt idx="20">
                  <c:v>43178</c:v>
                </c:pt>
                <c:pt idx="21">
                  <c:v>43179</c:v>
                </c:pt>
                <c:pt idx="22">
                  <c:v>43180</c:v>
                </c:pt>
                <c:pt idx="23">
                  <c:v>43181</c:v>
                </c:pt>
                <c:pt idx="24">
                  <c:v>43182</c:v>
                </c:pt>
                <c:pt idx="25">
                  <c:v>43183</c:v>
                </c:pt>
                <c:pt idx="26">
                  <c:v>43184</c:v>
                </c:pt>
                <c:pt idx="27">
                  <c:v>43185</c:v>
                </c:pt>
                <c:pt idx="28">
                  <c:v>43186</c:v>
                </c:pt>
                <c:pt idx="29">
                  <c:v>43187</c:v>
                </c:pt>
                <c:pt idx="30">
                  <c:v>43188</c:v>
                </c:pt>
                <c:pt idx="31">
                  <c:v>43189</c:v>
                </c:pt>
                <c:pt idx="32">
                  <c:v>43190</c:v>
                </c:pt>
                <c:pt idx="33">
                  <c:v>43191</c:v>
                </c:pt>
                <c:pt idx="34">
                  <c:v>43192</c:v>
                </c:pt>
                <c:pt idx="35">
                  <c:v>43193</c:v>
                </c:pt>
                <c:pt idx="36">
                  <c:v>43194</c:v>
                </c:pt>
                <c:pt idx="37">
                  <c:v>43195</c:v>
                </c:pt>
                <c:pt idx="38">
                  <c:v>43196</c:v>
                </c:pt>
                <c:pt idx="39">
                  <c:v>43197</c:v>
                </c:pt>
                <c:pt idx="40">
                  <c:v>43198</c:v>
                </c:pt>
                <c:pt idx="41">
                  <c:v>43199</c:v>
                </c:pt>
                <c:pt idx="42">
                  <c:v>43200</c:v>
                </c:pt>
                <c:pt idx="43">
                  <c:v>43201</c:v>
                </c:pt>
                <c:pt idx="44">
                  <c:v>43202</c:v>
                </c:pt>
                <c:pt idx="45">
                  <c:v>43203</c:v>
                </c:pt>
                <c:pt idx="46">
                  <c:v>43204</c:v>
                </c:pt>
                <c:pt idx="47">
                  <c:v>43205</c:v>
                </c:pt>
                <c:pt idx="48">
                  <c:v>43206</c:v>
                </c:pt>
                <c:pt idx="49">
                  <c:v>43207</c:v>
                </c:pt>
                <c:pt idx="50">
                  <c:v>43208</c:v>
                </c:pt>
                <c:pt idx="51">
                  <c:v>43209</c:v>
                </c:pt>
                <c:pt idx="52">
                  <c:v>43210</c:v>
                </c:pt>
                <c:pt idx="53">
                  <c:v>43211</c:v>
                </c:pt>
                <c:pt idx="54">
                  <c:v>43212</c:v>
                </c:pt>
                <c:pt idx="55">
                  <c:v>43213</c:v>
                </c:pt>
                <c:pt idx="56">
                  <c:v>43214</c:v>
                </c:pt>
                <c:pt idx="57">
                  <c:v>43215</c:v>
                </c:pt>
                <c:pt idx="58">
                  <c:v>43216</c:v>
                </c:pt>
                <c:pt idx="59">
                  <c:v>43217</c:v>
                </c:pt>
                <c:pt idx="60">
                  <c:v>43218</c:v>
                </c:pt>
                <c:pt idx="61">
                  <c:v>43219</c:v>
                </c:pt>
                <c:pt idx="62">
                  <c:v>43220</c:v>
                </c:pt>
                <c:pt idx="63">
                  <c:v>43221</c:v>
                </c:pt>
                <c:pt idx="64">
                  <c:v>43222</c:v>
                </c:pt>
                <c:pt idx="65">
                  <c:v>43223</c:v>
                </c:pt>
                <c:pt idx="66">
                  <c:v>43224</c:v>
                </c:pt>
                <c:pt idx="67">
                  <c:v>43225</c:v>
                </c:pt>
                <c:pt idx="68">
                  <c:v>43226</c:v>
                </c:pt>
                <c:pt idx="69">
                  <c:v>43227</c:v>
                </c:pt>
                <c:pt idx="70">
                  <c:v>43228</c:v>
                </c:pt>
                <c:pt idx="71">
                  <c:v>43229</c:v>
                </c:pt>
                <c:pt idx="72">
                  <c:v>43230</c:v>
                </c:pt>
                <c:pt idx="73">
                  <c:v>43231</c:v>
                </c:pt>
                <c:pt idx="74">
                  <c:v>43232</c:v>
                </c:pt>
                <c:pt idx="75">
                  <c:v>43233</c:v>
                </c:pt>
                <c:pt idx="76">
                  <c:v>43234</c:v>
                </c:pt>
                <c:pt idx="77">
                  <c:v>43235</c:v>
                </c:pt>
                <c:pt idx="78">
                  <c:v>43236</c:v>
                </c:pt>
                <c:pt idx="79">
                  <c:v>43237</c:v>
                </c:pt>
                <c:pt idx="80">
                  <c:v>43238</c:v>
                </c:pt>
                <c:pt idx="81">
                  <c:v>43239</c:v>
                </c:pt>
                <c:pt idx="82">
                  <c:v>43240</c:v>
                </c:pt>
                <c:pt idx="83">
                  <c:v>43241</c:v>
                </c:pt>
                <c:pt idx="84">
                  <c:v>43242</c:v>
                </c:pt>
                <c:pt idx="85">
                  <c:v>43243</c:v>
                </c:pt>
                <c:pt idx="86">
                  <c:v>43244</c:v>
                </c:pt>
                <c:pt idx="87">
                  <c:v>43245</c:v>
                </c:pt>
                <c:pt idx="88">
                  <c:v>43246</c:v>
                </c:pt>
                <c:pt idx="89">
                  <c:v>43247</c:v>
                </c:pt>
                <c:pt idx="90">
                  <c:v>43248</c:v>
                </c:pt>
                <c:pt idx="91">
                  <c:v>43249</c:v>
                </c:pt>
                <c:pt idx="92">
                  <c:v>43250</c:v>
                </c:pt>
                <c:pt idx="93">
                  <c:v>43251</c:v>
                </c:pt>
                <c:pt idx="94">
                  <c:v>43252</c:v>
                </c:pt>
                <c:pt idx="95">
                  <c:v>43253</c:v>
                </c:pt>
                <c:pt idx="96">
                  <c:v>43254</c:v>
                </c:pt>
                <c:pt idx="97">
                  <c:v>43255</c:v>
                </c:pt>
                <c:pt idx="98">
                  <c:v>43256</c:v>
                </c:pt>
                <c:pt idx="99">
                  <c:v>43257</c:v>
                </c:pt>
                <c:pt idx="100">
                  <c:v>43258</c:v>
                </c:pt>
                <c:pt idx="101">
                  <c:v>43259</c:v>
                </c:pt>
                <c:pt idx="102">
                  <c:v>43260</c:v>
                </c:pt>
                <c:pt idx="103">
                  <c:v>43261</c:v>
                </c:pt>
                <c:pt idx="104">
                  <c:v>43262</c:v>
                </c:pt>
                <c:pt idx="105">
                  <c:v>43263</c:v>
                </c:pt>
                <c:pt idx="106">
                  <c:v>43264</c:v>
                </c:pt>
                <c:pt idx="107">
                  <c:v>43265</c:v>
                </c:pt>
                <c:pt idx="108">
                  <c:v>43266</c:v>
                </c:pt>
                <c:pt idx="109">
                  <c:v>43267</c:v>
                </c:pt>
                <c:pt idx="110">
                  <c:v>43268</c:v>
                </c:pt>
                <c:pt idx="111">
                  <c:v>43269</c:v>
                </c:pt>
                <c:pt idx="112">
                  <c:v>43270</c:v>
                </c:pt>
                <c:pt idx="113">
                  <c:v>43271</c:v>
                </c:pt>
                <c:pt idx="114">
                  <c:v>43272</c:v>
                </c:pt>
                <c:pt idx="115">
                  <c:v>43273</c:v>
                </c:pt>
                <c:pt idx="116">
                  <c:v>43274</c:v>
                </c:pt>
                <c:pt idx="117">
                  <c:v>43275</c:v>
                </c:pt>
                <c:pt idx="118">
                  <c:v>43276</c:v>
                </c:pt>
                <c:pt idx="119">
                  <c:v>43277</c:v>
                </c:pt>
                <c:pt idx="120">
                  <c:v>43278</c:v>
                </c:pt>
                <c:pt idx="121">
                  <c:v>43279</c:v>
                </c:pt>
                <c:pt idx="122">
                  <c:v>43280</c:v>
                </c:pt>
                <c:pt idx="123">
                  <c:v>43281</c:v>
                </c:pt>
                <c:pt idx="124">
                  <c:v>43282</c:v>
                </c:pt>
                <c:pt idx="125">
                  <c:v>43283</c:v>
                </c:pt>
                <c:pt idx="126">
                  <c:v>43284</c:v>
                </c:pt>
                <c:pt idx="127">
                  <c:v>43285</c:v>
                </c:pt>
                <c:pt idx="128">
                  <c:v>43286</c:v>
                </c:pt>
                <c:pt idx="129">
                  <c:v>43287</c:v>
                </c:pt>
                <c:pt idx="130">
                  <c:v>43288</c:v>
                </c:pt>
                <c:pt idx="131">
                  <c:v>43289</c:v>
                </c:pt>
                <c:pt idx="132">
                  <c:v>43290</c:v>
                </c:pt>
                <c:pt idx="133">
                  <c:v>43291</c:v>
                </c:pt>
                <c:pt idx="134">
                  <c:v>43292</c:v>
                </c:pt>
                <c:pt idx="135">
                  <c:v>43293</c:v>
                </c:pt>
                <c:pt idx="136">
                  <c:v>43294</c:v>
                </c:pt>
                <c:pt idx="137">
                  <c:v>43295</c:v>
                </c:pt>
                <c:pt idx="138">
                  <c:v>43296</c:v>
                </c:pt>
                <c:pt idx="139">
                  <c:v>43297</c:v>
                </c:pt>
                <c:pt idx="140">
                  <c:v>43298</c:v>
                </c:pt>
                <c:pt idx="141">
                  <c:v>43299</c:v>
                </c:pt>
                <c:pt idx="142">
                  <c:v>43300</c:v>
                </c:pt>
                <c:pt idx="143">
                  <c:v>43301</c:v>
                </c:pt>
                <c:pt idx="144">
                  <c:v>43302</c:v>
                </c:pt>
                <c:pt idx="145">
                  <c:v>43303</c:v>
                </c:pt>
                <c:pt idx="146">
                  <c:v>43304</c:v>
                </c:pt>
                <c:pt idx="147">
                  <c:v>43305</c:v>
                </c:pt>
                <c:pt idx="148">
                  <c:v>43306</c:v>
                </c:pt>
                <c:pt idx="149">
                  <c:v>43307</c:v>
                </c:pt>
                <c:pt idx="150">
                  <c:v>43308</c:v>
                </c:pt>
                <c:pt idx="151">
                  <c:v>43309</c:v>
                </c:pt>
                <c:pt idx="152">
                  <c:v>43310</c:v>
                </c:pt>
                <c:pt idx="153">
                  <c:v>43311</c:v>
                </c:pt>
                <c:pt idx="154">
                  <c:v>43312</c:v>
                </c:pt>
                <c:pt idx="155">
                  <c:v>43313</c:v>
                </c:pt>
                <c:pt idx="156">
                  <c:v>43314</c:v>
                </c:pt>
                <c:pt idx="157">
                  <c:v>43315</c:v>
                </c:pt>
                <c:pt idx="158">
                  <c:v>43316</c:v>
                </c:pt>
                <c:pt idx="159">
                  <c:v>43317</c:v>
                </c:pt>
                <c:pt idx="160">
                  <c:v>43318</c:v>
                </c:pt>
                <c:pt idx="161">
                  <c:v>43319</c:v>
                </c:pt>
                <c:pt idx="162">
                  <c:v>43320</c:v>
                </c:pt>
                <c:pt idx="163">
                  <c:v>43321</c:v>
                </c:pt>
                <c:pt idx="164">
                  <c:v>43322</c:v>
                </c:pt>
                <c:pt idx="165">
                  <c:v>43323</c:v>
                </c:pt>
                <c:pt idx="166">
                  <c:v>43324</c:v>
                </c:pt>
                <c:pt idx="167">
                  <c:v>43325</c:v>
                </c:pt>
                <c:pt idx="168">
                  <c:v>43326</c:v>
                </c:pt>
                <c:pt idx="169">
                  <c:v>43327</c:v>
                </c:pt>
                <c:pt idx="170">
                  <c:v>43328</c:v>
                </c:pt>
                <c:pt idx="171">
                  <c:v>43329</c:v>
                </c:pt>
                <c:pt idx="172">
                  <c:v>43330</c:v>
                </c:pt>
                <c:pt idx="173">
                  <c:v>43331</c:v>
                </c:pt>
                <c:pt idx="174">
                  <c:v>43332</c:v>
                </c:pt>
                <c:pt idx="175">
                  <c:v>43333</c:v>
                </c:pt>
                <c:pt idx="176">
                  <c:v>43334</c:v>
                </c:pt>
                <c:pt idx="177">
                  <c:v>43335</c:v>
                </c:pt>
                <c:pt idx="178">
                  <c:v>43336</c:v>
                </c:pt>
                <c:pt idx="179">
                  <c:v>43337</c:v>
                </c:pt>
                <c:pt idx="180">
                  <c:v>43338</c:v>
                </c:pt>
                <c:pt idx="181">
                  <c:v>43339</c:v>
                </c:pt>
                <c:pt idx="182">
                  <c:v>43340</c:v>
                </c:pt>
                <c:pt idx="183">
                  <c:v>43341</c:v>
                </c:pt>
                <c:pt idx="184">
                  <c:v>43342</c:v>
                </c:pt>
                <c:pt idx="185">
                  <c:v>43343</c:v>
                </c:pt>
                <c:pt idx="186">
                  <c:v>43344</c:v>
                </c:pt>
                <c:pt idx="187">
                  <c:v>43345</c:v>
                </c:pt>
                <c:pt idx="188">
                  <c:v>43346</c:v>
                </c:pt>
                <c:pt idx="189">
                  <c:v>43347</c:v>
                </c:pt>
                <c:pt idx="190">
                  <c:v>43348</c:v>
                </c:pt>
                <c:pt idx="191">
                  <c:v>43349</c:v>
                </c:pt>
                <c:pt idx="192">
                  <c:v>43350</c:v>
                </c:pt>
                <c:pt idx="193">
                  <c:v>43351</c:v>
                </c:pt>
                <c:pt idx="194">
                  <c:v>43352</c:v>
                </c:pt>
                <c:pt idx="195">
                  <c:v>43353</c:v>
                </c:pt>
                <c:pt idx="196">
                  <c:v>43354</c:v>
                </c:pt>
                <c:pt idx="197">
                  <c:v>43355</c:v>
                </c:pt>
                <c:pt idx="198">
                  <c:v>43356</c:v>
                </c:pt>
                <c:pt idx="199">
                  <c:v>43357</c:v>
                </c:pt>
                <c:pt idx="200">
                  <c:v>43358</c:v>
                </c:pt>
                <c:pt idx="201">
                  <c:v>43359</c:v>
                </c:pt>
                <c:pt idx="202">
                  <c:v>43360</c:v>
                </c:pt>
                <c:pt idx="203">
                  <c:v>43361</c:v>
                </c:pt>
                <c:pt idx="204">
                  <c:v>43362</c:v>
                </c:pt>
                <c:pt idx="205">
                  <c:v>43363</c:v>
                </c:pt>
                <c:pt idx="206">
                  <c:v>43364</c:v>
                </c:pt>
                <c:pt idx="207">
                  <c:v>43365</c:v>
                </c:pt>
                <c:pt idx="208">
                  <c:v>43366</c:v>
                </c:pt>
                <c:pt idx="209">
                  <c:v>43367</c:v>
                </c:pt>
                <c:pt idx="210">
                  <c:v>43368</c:v>
                </c:pt>
                <c:pt idx="211">
                  <c:v>43369</c:v>
                </c:pt>
                <c:pt idx="212">
                  <c:v>43370</c:v>
                </c:pt>
                <c:pt idx="213">
                  <c:v>43371</c:v>
                </c:pt>
                <c:pt idx="214">
                  <c:v>43372</c:v>
                </c:pt>
                <c:pt idx="215">
                  <c:v>43373</c:v>
                </c:pt>
                <c:pt idx="216">
                  <c:v>43374</c:v>
                </c:pt>
                <c:pt idx="217">
                  <c:v>43375</c:v>
                </c:pt>
                <c:pt idx="218">
                  <c:v>43376</c:v>
                </c:pt>
                <c:pt idx="219">
                  <c:v>43377</c:v>
                </c:pt>
                <c:pt idx="220">
                  <c:v>43378</c:v>
                </c:pt>
                <c:pt idx="221">
                  <c:v>43379</c:v>
                </c:pt>
                <c:pt idx="222">
                  <c:v>43380</c:v>
                </c:pt>
                <c:pt idx="223">
                  <c:v>43381</c:v>
                </c:pt>
                <c:pt idx="224">
                  <c:v>43382</c:v>
                </c:pt>
                <c:pt idx="225">
                  <c:v>43383</c:v>
                </c:pt>
                <c:pt idx="226">
                  <c:v>43384</c:v>
                </c:pt>
                <c:pt idx="227">
                  <c:v>43385</c:v>
                </c:pt>
                <c:pt idx="228">
                  <c:v>43386</c:v>
                </c:pt>
                <c:pt idx="229">
                  <c:v>43387</c:v>
                </c:pt>
                <c:pt idx="230">
                  <c:v>43388</c:v>
                </c:pt>
                <c:pt idx="231">
                  <c:v>43389</c:v>
                </c:pt>
                <c:pt idx="232">
                  <c:v>43390</c:v>
                </c:pt>
                <c:pt idx="233">
                  <c:v>43391</c:v>
                </c:pt>
                <c:pt idx="234">
                  <c:v>43392</c:v>
                </c:pt>
                <c:pt idx="235">
                  <c:v>43393</c:v>
                </c:pt>
                <c:pt idx="236">
                  <c:v>43394</c:v>
                </c:pt>
                <c:pt idx="237">
                  <c:v>43395</c:v>
                </c:pt>
                <c:pt idx="238">
                  <c:v>43396</c:v>
                </c:pt>
                <c:pt idx="239">
                  <c:v>43397</c:v>
                </c:pt>
                <c:pt idx="240">
                  <c:v>43398</c:v>
                </c:pt>
                <c:pt idx="241">
                  <c:v>43399</c:v>
                </c:pt>
              </c:numCache>
            </c:numRef>
          </c:xVal>
          <c:yVal>
            <c:numRef>
              <c:f>Hoja2!$B$2:$B$243</c:f>
              <c:numCache>
                <c:formatCode>0.00%</c:formatCode>
                <c:ptCount val="242"/>
                <c:pt idx="0">
                  <c:v>0.26750000000000002</c:v>
                </c:pt>
                <c:pt idx="1">
                  <c:v>0.26750000000000002</c:v>
                </c:pt>
                <c:pt idx="2">
                  <c:v>0.26750000000000002</c:v>
                </c:pt>
                <c:pt idx="3">
                  <c:v>0.26750000000000002</c:v>
                </c:pt>
                <c:pt idx="4">
                  <c:v>0.26750000000000002</c:v>
                </c:pt>
                <c:pt idx="5">
                  <c:v>0.26750000000000002</c:v>
                </c:pt>
                <c:pt idx="6">
                  <c:v>0.26750000000000002</c:v>
                </c:pt>
                <c:pt idx="7">
                  <c:v>0.26750000000000002</c:v>
                </c:pt>
                <c:pt idx="8">
                  <c:v>0.26750000000000002</c:v>
                </c:pt>
                <c:pt idx="9">
                  <c:v>0.26750000000000002</c:v>
                </c:pt>
                <c:pt idx="10">
                  <c:v>0.26750000000000002</c:v>
                </c:pt>
                <c:pt idx="11">
                  <c:v>0.26750000000000002</c:v>
                </c:pt>
                <c:pt idx="12">
                  <c:v>0.26750000000000002</c:v>
                </c:pt>
                <c:pt idx="13">
                  <c:v>0.26750000000000002</c:v>
                </c:pt>
                <c:pt idx="14">
                  <c:v>0.26250000000000001</c:v>
                </c:pt>
                <c:pt idx="15">
                  <c:v>0.26250000000000001</c:v>
                </c:pt>
                <c:pt idx="16">
                  <c:v>0.26250000000000001</c:v>
                </c:pt>
                <c:pt idx="17">
                  <c:v>0.26250000000000001</c:v>
                </c:pt>
                <c:pt idx="18">
                  <c:v>0.26250000000000001</c:v>
                </c:pt>
                <c:pt idx="19">
                  <c:v>0.26250000000000001</c:v>
                </c:pt>
                <c:pt idx="20">
                  <c:v>0.26250000000000001</c:v>
                </c:pt>
                <c:pt idx="21">
                  <c:v>0.26250000000000001</c:v>
                </c:pt>
                <c:pt idx="22">
                  <c:v>0.26250000000000001</c:v>
                </c:pt>
                <c:pt idx="23">
                  <c:v>0.26250000000000001</c:v>
                </c:pt>
                <c:pt idx="24">
                  <c:v>0.26250000000000001</c:v>
                </c:pt>
                <c:pt idx="25">
                  <c:v>0.26250000000000001</c:v>
                </c:pt>
                <c:pt idx="26">
                  <c:v>0.26250000000000001</c:v>
                </c:pt>
                <c:pt idx="27">
                  <c:v>0.26250000000000001</c:v>
                </c:pt>
                <c:pt idx="28">
                  <c:v>0.25750000000000001</c:v>
                </c:pt>
                <c:pt idx="29">
                  <c:v>0.25750000000000001</c:v>
                </c:pt>
                <c:pt idx="30">
                  <c:v>0.25750000000000001</c:v>
                </c:pt>
                <c:pt idx="31">
                  <c:v>0.25750000000000001</c:v>
                </c:pt>
                <c:pt idx="32">
                  <c:v>0.25750000000000001</c:v>
                </c:pt>
                <c:pt idx="33">
                  <c:v>0.25750000000000001</c:v>
                </c:pt>
                <c:pt idx="34">
                  <c:v>0.25750000000000001</c:v>
                </c:pt>
                <c:pt idx="35">
                  <c:v>0.25750000000000001</c:v>
                </c:pt>
                <c:pt idx="36">
                  <c:v>0.25750000000000001</c:v>
                </c:pt>
                <c:pt idx="37">
                  <c:v>0.25750000000000001</c:v>
                </c:pt>
                <c:pt idx="38">
                  <c:v>0.25750000000000001</c:v>
                </c:pt>
                <c:pt idx="39">
                  <c:v>0.25750000000000001</c:v>
                </c:pt>
                <c:pt idx="40">
                  <c:v>0.25750000000000001</c:v>
                </c:pt>
                <c:pt idx="41">
                  <c:v>0.25750000000000001</c:v>
                </c:pt>
                <c:pt idx="42">
                  <c:v>0.25</c:v>
                </c:pt>
                <c:pt idx="43">
                  <c:v>0.25</c:v>
                </c:pt>
                <c:pt idx="44">
                  <c:v>0.25</c:v>
                </c:pt>
                <c:pt idx="45">
                  <c:v>0.25</c:v>
                </c:pt>
                <c:pt idx="46">
                  <c:v>0.25</c:v>
                </c:pt>
                <c:pt idx="47">
                  <c:v>0.25</c:v>
                </c:pt>
                <c:pt idx="48">
                  <c:v>0.25</c:v>
                </c:pt>
                <c:pt idx="49">
                  <c:v>0.25</c:v>
                </c:pt>
                <c:pt idx="50">
                  <c:v>0.25</c:v>
                </c:pt>
                <c:pt idx="51">
                  <c:v>0.25</c:v>
                </c:pt>
                <c:pt idx="52">
                  <c:v>0.25</c:v>
                </c:pt>
                <c:pt idx="53">
                  <c:v>0.25</c:v>
                </c:pt>
                <c:pt idx="54">
                  <c:v>0.25</c:v>
                </c:pt>
                <c:pt idx="55">
                  <c:v>0.25</c:v>
                </c:pt>
                <c:pt idx="56">
                  <c:v>0.24249999999999999</c:v>
                </c:pt>
                <c:pt idx="57">
                  <c:v>0.24249999999999999</c:v>
                </c:pt>
                <c:pt idx="58">
                  <c:v>0.24249999999999999</c:v>
                </c:pt>
                <c:pt idx="59">
                  <c:v>0.24249999999999999</c:v>
                </c:pt>
                <c:pt idx="60">
                  <c:v>0.24249999999999999</c:v>
                </c:pt>
                <c:pt idx="61">
                  <c:v>0.24249999999999999</c:v>
                </c:pt>
                <c:pt idx="62">
                  <c:v>0.24249999999999999</c:v>
                </c:pt>
                <c:pt idx="63">
                  <c:v>0.24249999999999999</c:v>
                </c:pt>
                <c:pt idx="64">
                  <c:v>0.24249999999999999</c:v>
                </c:pt>
                <c:pt idx="65">
                  <c:v>0.24249999999999999</c:v>
                </c:pt>
                <c:pt idx="66">
                  <c:v>0.24249999999999999</c:v>
                </c:pt>
                <c:pt idx="67">
                  <c:v>0.24249999999999999</c:v>
                </c:pt>
                <c:pt idx="68">
                  <c:v>0.24249999999999999</c:v>
                </c:pt>
                <c:pt idx="69">
                  <c:v>0.24249999999999999</c:v>
                </c:pt>
                <c:pt idx="70">
                  <c:v>0.23749999999999999</c:v>
                </c:pt>
                <c:pt idx="71">
                  <c:v>0.23749999999999999</c:v>
                </c:pt>
                <c:pt idx="72">
                  <c:v>0.23749999999999999</c:v>
                </c:pt>
                <c:pt idx="73">
                  <c:v>0.23749999999999999</c:v>
                </c:pt>
                <c:pt idx="74">
                  <c:v>0.23749999999999999</c:v>
                </c:pt>
                <c:pt idx="75">
                  <c:v>0.23749999999999999</c:v>
                </c:pt>
                <c:pt idx="76">
                  <c:v>0.23749999999999999</c:v>
                </c:pt>
                <c:pt idx="77">
                  <c:v>0.23749999999999999</c:v>
                </c:pt>
                <c:pt idx="78">
                  <c:v>0.23749999999999999</c:v>
                </c:pt>
                <c:pt idx="79">
                  <c:v>0.23749999999999999</c:v>
                </c:pt>
                <c:pt idx="80">
                  <c:v>0.23749999999999999</c:v>
                </c:pt>
                <c:pt idx="81">
                  <c:v>0.23749999999999999</c:v>
                </c:pt>
                <c:pt idx="82">
                  <c:v>0.23749999999999999</c:v>
                </c:pt>
                <c:pt idx="83">
                  <c:v>0.23749999999999999</c:v>
                </c:pt>
                <c:pt idx="84">
                  <c:v>0.23249999999999998</c:v>
                </c:pt>
                <c:pt idx="85">
                  <c:v>0.23249999999999998</c:v>
                </c:pt>
                <c:pt idx="86">
                  <c:v>0.23249999999999998</c:v>
                </c:pt>
                <c:pt idx="87">
                  <c:v>0.23249999999999998</c:v>
                </c:pt>
                <c:pt idx="88">
                  <c:v>0.23249999999999998</c:v>
                </c:pt>
                <c:pt idx="89">
                  <c:v>0.23249999999999998</c:v>
                </c:pt>
                <c:pt idx="90">
                  <c:v>0.23249999999999998</c:v>
                </c:pt>
                <c:pt idx="91">
                  <c:v>0.23249999999999998</c:v>
                </c:pt>
                <c:pt idx="92">
                  <c:v>0.23249999999999998</c:v>
                </c:pt>
                <c:pt idx="93">
                  <c:v>0.23249999999999998</c:v>
                </c:pt>
                <c:pt idx="94">
                  <c:v>0.23249999999999998</c:v>
                </c:pt>
                <c:pt idx="95">
                  <c:v>0.23249999999999998</c:v>
                </c:pt>
                <c:pt idx="96">
                  <c:v>0.23249999999999998</c:v>
                </c:pt>
                <c:pt idx="97">
                  <c:v>0.23249999999999998</c:v>
                </c:pt>
                <c:pt idx="98">
                  <c:v>0.23249999999999998</c:v>
                </c:pt>
                <c:pt idx="99">
                  <c:v>0.23249999999999998</c:v>
                </c:pt>
                <c:pt idx="100">
                  <c:v>0.23249999999999998</c:v>
                </c:pt>
                <c:pt idx="101">
                  <c:v>0.23249999999999998</c:v>
                </c:pt>
                <c:pt idx="102">
                  <c:v>0.23249999999999998</c:v>
                </c:pt>
                <c:pt idx="103">
                  <c:v>0.23249999999999998</c:v>
                </c:pt>
                <c:pt idx="104">
                  <c:v>0.23249999999999998</c:v>
                </c:pt>
                <c:pt idx="105">
                  <c:v>0.22249999999999998</c:v>
                </c:pt>
                <c:pt idx="106">
                  <c:v>0.22249999999999998</c:v>
                </c:pt>
                <c:pt idx="107">
                  <c:v>0.22249999999999998</c:v>
                </c:pt>
                <c:pt idx="108">
                  <c:v>0.22249999999999998</c:v>
                </c:pt>
                <c:pt idx="109">
                  <c:v>0.22249999999999998</c:v>
                </c:pt>
                <c:pt idx="110">
                  <c:v>0.22249999999999998</c:v>
                </c:pt>
                <c:pt idx="111">
                  <c:v>0.22249999999999998</c:v>
                </c:pt>
                <c:pt idx="112">
                  <c:v>0.22249999999999998</c:v>
                </c:pt>
                <c:pt idx="113">
                  <c:v>0.22249999999999998</c:v>
                </c:pt>
                <c:pt idx="114">
                  <c:v>0.22249999999999998</c:v>
                </c:pt>
                <c:pt idx="115">
                  <c:v>0.22249999999999998</c:v>
                </c:pt>
                <c:pt idx="116">
                  <c:v>0.22249999999999998</c:v>
                </c:pt>
                <c:pt idx="117">
                  <c:v>0.22249999999999998</c:v>
                </c:pt>
                <c:pt idx="118">
                  <c:v>0.22249999999999998</c:v>
                </c:pt>
                <c:pt idx="119">
                  <c:v>0.21249999999999997</c:v>
                </c:pt>
                <c:pt idx="120">
                  <c:v>0.21249999999999997</c:v>
                </c:pt>
                <c:pt idx="121">
                  <c:v>0.21249999999999997</c:v>
                </c:pt>
                <c:pt idx="122">
                  <c:v>0.21249999999999997</c:v>
                </c:pt>
                <c:pt idx="123">
                  <c:v>0.21249999999999997</c:v>
                </c:pt>
                <c:pt idx="124">
                  <c:v>0.21249999999999997</c:v>
                </c:pt>
                <c:pt idx="125">
                  <c:v>0.21249999999999997</c:v>
                </c:pt>
                <c:pt idx="126">
                  <c:v>0.21249999999999997</c:v>
                </c:pt>
                <c:pt idx="127">
                  <c:v>0.21249999999999997</c:v>
                </c:pt>
                <c:pt idx="128">
                  <c:v>0.21249999999999997</c:v>
                </c:pt>
                <c:pt idx="129">
                  <c:v>0.21249999999999997</c:v>
                </c:pt>
                <c:pt idx="130">
                  <c:v>0.21249999999999997</c:v>
                </c:pt>
                <c:pt idx="131">
                  <c:v>0.21249999999999997</c:v>
                </c:pt>
                <c:pt idx="132">
                  <c:v>0.21249999999999997</c:v>
                </c:pt>
                <c:pt idx="133">
                  <c:v>0.20249999999999996</c:v>
                </c:pt>
                <c:pt idx="134">
                  <c:v>0.20249999999999996</c:v>
                </c:pt>
                <c:pt idx="135">
                  <c:v>0.20249999999999996</c:v>
                </c:pt>
                <c:pt idx="136">
                  <c:v>0.20249999999999996</c:v>
                </c:pt>
                <c:pt idx="137">
                  <c:v>0.20249999999999996</c:v>
                </c:pt>
                <c:pt idx="138">
                  <c:v>0.20249999999999996</c:v>
                </c:pt>
                <c:pt idx="139">
                  <c:v>0.20249999999999996</c:v>
                </c:pt>
                <c:pt idx="140">
                  <c:v>0.20249999999999996</c:v>
                </c:pt>
                <c:pt idx="141">
                  <c:v>0.20249999999999996</c:v>
                </c:pt>
                <c:pt idx="142">
                  <c:v>0.20249999999999996</c:v>
                </c:pt>
                <c:pt idx="143">
                  <c:v>0.20249999999999996</c:v>
                </c:pt>
                <c:pt idx="144">
                  <c:v>0.20249999999999996</c:v>
                </c:pt>
                <c:pt idx="145">
                  <c:v>0.20249999999999996</c:v>
                </c:pt>
                <c:pt idx="146">
                  <c:v>0.20249999999999996</c:v>
                </c:pt>
                <c:pt idx="147">
                  <c:v>0.20249999999999996</c:v>
                </c:pt>
                <c:pt idx="148">
                  <c:v>0.20249999999999996</c:v>
                </c:pt>
                <c:pt idx="149">
                  <c:v>0.20249999999999996</c:v>
                </c:pt>
                <c:pt idx="150">
                  <c:v>0.20249999999999996</c:v>
                </c:pt>
                <c:pt idx="151">
                  <c:v>0.20249999999999996</c:v>
                </c:pt>
                <c:pt idx="152">
                  <c:v>0.20249999999999996</c:v>
                </c:pt>
                <c:pt idx="153">
                  <c:v>0.20249999999999996</c:v>
                </c:pt>
                <c:pt idx="154">
                  <c:v>0.20249999999999996</c:v>
                </c:pt>
                <c:pt idx="155">
                  <c:v>0.20249999999999996</c:v>
                </c:pt>
                <c:pt idx="156">
                  <c:v>0.20249999999999996</c:v>
                </c:pt>
                <c:pt idx="157">
                  <c:v>0.20249999999999996</c:v>
                </c:pt>
                <c:pt idx="158">
                  <c:v>0.20249999999999996</c:v>
                </c:pt>
                <c:pt idx="159">
                  <c:v>0.20249999999999996</c:v>
                </c:pt>
                <c:pt idx="160">
                  <c:v>0.20249999999999996</c:v>
                </c:pt>
                <c:pt idx="161">
                  <c:v>0.20249999999999996</c:v>
                </c:pt>
                <c:pt idx="162">
                  <c:v>0.20249999999999996</c:v>
                </c:pt>
                <c:pt idx="163">
                  <c:v>0.20249999999999996</c:v>
                </c:pt>
                <c:pt idx="164">
                  <c:v>0.20249999999999996</c:v>
                </c:pt>
                <c:pt idx="165">
                  <c:v>0.20249999999999996</c:v>
                </c:pt>
                <c:pt idx="166">
                  <c:v>0.20249999999999996</c:v>
                </c:pt>
                <c:pt idx="167">
                  <c:v>0.20249999999999996</c:v>
                </c:pt>
                <c:pt idx="168">
                  <c:v>0.20249999999999996</c:v>
                </c:pt>
                <c:pt idx="169">
                  <c:v>0.20249999999999996</c:v>
                </c:pt>
                <c:pt idx="170">
                  <c:v>0.20249999999999996</c:v>
                </c:pt>
                <c:pt idx="171">
                  <c:v>0.20249999999999996</c:v>
                </c:pt>
                <c:pt idx="172">
                  <c:v>0.20249999999999996</c:v>
                </c:pt>
                <c:pt idx="173">
                  <c:v>0.20249999999999996</c:v>
                </c:pt>
                <c:pt idx="174">
                  <c:v>0.20249999999999996</c:v>
                </c:pt>
                <c:pt idx="175">
                  <c:v>0.20249999999999996</c:v>
                </c:pt>
                <c:pt idx="176">
                  <c:v>0.20249999999999996</c:v>
                </c:pt>
                <c:pt idx="177">
                  <c:v>0.20249999999999996</c:v>
                </c:pt>
                <c:pt idx="178">
                  <c:v>0.20249999999999996</c:v>
                </c:pt>
                <c:pt idx="179">
                  <c:v>0.20249999999999996</c:v>
                </c:pt>
                <c:pt idx="180">
                  <c:v>0.20249999999999996</c:v>
                </c:pt>
                <c:pt idx="181">
                  <c:v>0.20249999999999996</c:v>
                </c:pt>
                <c:pt idx="182">
                  <c:v>0.20249999999999996</c:v>
                </c:pt>
                <c:pt idx="183">
                  <c:v>0.20249999999999996</c:v>
                </c:pt>
                <c:pt idx="184">
                  <c:v>0.20249999999999996</c:v>
                </c:pt>
                <c:pt idx="185">
                  <c:v>0.20249999999999996</c:v>
                </c:pt>
                <c:pt idx="186">
                  <c:v>0.20249999999999996</c:v>
                </c:pt>
                <c:pt idx="187">
                  <c:v>0.20249999999999996</c:v>
                </c:pt>
                <c:pt idx="188">
                  <c:v>0.20249999999999996</c:v>
                </c:pt>
                <c:pt idx="189">
                  <c:v>0.20249999999999996</c:v>
                </c:pt>
                <c:pt idx="190">
                  <c:v>0.20249999999999996</c:v>
                </c:pt>
                <c:pt idx="191">
                  <c:v>0.20249999999999996</c:v>
                </c:pt>
                <c:pt idx="192">
                  <c:v>0.20249999999999996</c:v>
                </c:pt>
                <c:pt idx="193">
                  <c:v>0.20249999999999996</c:v>
                </c:pt>
                <c:pt idx="194">
                  <c:v>0.20249999999999996</c:v>
                </c:pt>
                <c:pt idx="195">
                  <c:v>0.20249999999999996</c:v>
                </c:pt>
                <c:pt idx="196">
                  <c:v>0.19249999999999995</c:v>
                </c:pt>
                <c:pt idx="197">
                  <c:v>0.19249999999999995</c:v>
                </c:pt>
                <c:pt idx="198">
                  <c:v>0.19249999999999995</c:v>
                </c:pt>
                <c:pt idx="199">
                  <c:v>0.19249999999999995</c:v>
                </c:pt>
                <c:pt idx="200">
                  <c:v>0.19249999999999995</c:v>
                </c:pt>
                <c:pt idx="201">
                  <c:v>0.19249999999999995</c:v>
                </c:pt>
                <c:pt idx="202">
                  <c:v>0.19249999999999995</c:v>
                </c:pt>
                <c:pt idx="203">
                  <c:v>0.19249999999999995</c:v>
                </c:pt>
                <c:pt idx="204">
                  <c:v>0.19249999999999995</c:v>
                </c:pt>
                <c:pt idx="205">
                  <c:v>0.19249999999999995</c:v>
                </c:pt>
                <c:pt idx="206">
                  <c:v>0.19249999999999995</c:v>
                </c:pt>
                <c:pt idx="207">
                  <c:v>0.19249999999999995</c:v>
                </c:pt>
                <c:pt idx="208">
                  <c:v>0.19249999999999995</c:v>
                </c:pt>
                <c:pt idx="209">
                  <c:v>0.19249999999999995</c:v>
                </c:pt>
                <c:pt idx="210">
                  <c:v>0.19249999999999995</c:v>
                </c:pt>
                <c:pt idx="211">
                  <c:v>0.19249999999999995</c:v>
                </c:pt>
                <c:pt idx="212">
                  <c:v>0.19249999999999995</c:v>
                </c:pt>
                <c:pt idx="213">
                  <c:v>0.19249999999999995</c:v>
                </c:pt>
                <c:pt idx="214">
                  <c:v>0.19249999999999995</c:v>
                </c:pt>
                <c:pt idx="215">
                  <c:v>0.19249999999999995</c:v>
                </c:pt>
                <c:pt idx="216">
                  <c:v>0.19249999999999995</c:v>
                </c:pt>
                <c:pt idx="217">
                  <c:v>0.19249999999999995</c:v>
                </c:pt>
                <c:pt idx="218">
                  <c:v>0.19249999999999995</c:v>
                </c:pt>
                <c:pt idx="219">
                  <c:v>0.19249999999999995</c:v>
                </c:pt>
                <c:pt idx="220">
                  <c:v>0.19249999999999995</c:v>
                </c:pt>
                <c:pt idx="221">
                  <c:v>0.19249999999999995</c:v>
                </c:pt>
                <c:pt idx="222">
                  <c:v>0.19249999999999995</c:v>
                </c:pt>
                <c:pt idx="223">
                  <c:v>0.19249999999999995</c:v>
                </c:pt>
                <c:pt idx="224">
                  <c:v>0.19249999999999995</c:v>
                </c:pt>
                <c:pt idx="225">
                  <c:v>0.19249999999999995</c:v>
                </c:pt>
                <c:pt idx="226">
                  <c:v>0.19249999999999995</c:v>
                </c:pt>
                <c:pt idx="227">
                  <c:v>0.19249999999999995</c:v>
                </c:pt>
                <c:pt idx="228">
                  <c:v>0.19249999999999995</c:v>
                </c:pt>
                <c:pt idx="229">
                  <c:v>0.19249999999999995</c:v>
                </c:pt>
                <c:pt idx="230">
                  <c:v>0.19249999999999995</c:v>
                </c:pt>
                <c:pt idx="231">
                  <c:v>0.19249999999999995</c:v>
                </c:pt>
                <c:pt idx="232">
                  <c:v>0.19249999999999995</c:v>
                </c:pt>
                <c:pt idx="233">
                  <c:v>0.19249999999999995</c:v>
                </c:pt>
                <c:pt idx="234">
                  <c:v>0.19249999999999995</c:v>
                </c:pt>
                <c:pt idx="235">
                  <c:v>0.19249999999999995</c:v>
                </c:pt>
                <c:pt idx="236">
                  <c:v>0.19249999999999995</c:v>
                </c:pt>
                <c:pt idx="237">
                  <c:v>0.19249999999999995</c:v>
                </c:pt>
                <c:pt idx="238">
                  <c:v>0.19249999999999995</c:v>
                </c:pt>
                <c:pt idx="239">
                  <c:v>0.19249999999999995</c:v>
                </c:pt>
                <c:pt idx="240">
                  <c:v>0.19249999999999995</c:v>
                </c:pt>
                <c:pt idx="241">
                  <c:v>0.19249999999999995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5E3-4BC7-99C1-0D64F0C323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241408"/>
        <c:axId val="180172416"/>
      </c:scatterChart>
      <c:scatterChart>
        <c:scatterStyle val="lineMarker"/>
        <c:varyColors val="0"/>
        <c:ser>
          <c:idx val="0"/>
          <c:order val="1"/>
          <c:tx>
            <c:strRef>
              <c:f>'new analisis'!$F$1</c:f>
              <c:strCache>
                <c:ptCount val="1"/>
                <c:pt idx="0">
                  <c:v>Market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tx1">
                      <a:lumMod val="50000"/>
                    </a:schemeClr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E5E3-4BC7-99C1-0D64F0C3234F}"/>
              </c:ext>
            </c:extLst>
          </c:dPt>
          <c:dPt>
            <c:idx val="1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tx1">
                      <a:lumMod val="50000"/>
                    </a:schemeClr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E5E3-4BC7-99C1-0D64F0C3234F}"/>
              </c:ext>
            </c:extLst>
          </c:dPt>
          <c:dPt>
            <c:idx val="3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tx1">
                      <a:lumMod val="50000"/>
                    </a:schemeClr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E5E3-4BC7-99C1-0D64F0C3234F}"/>
              </c:ext>
            </c:extLst>
          </c:dPt>
          <c:dPt>
            <c:idx val="4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tx1">
                      <a:lumMod val="50000"/>
                    </a:schemeClr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E5E3-4BC7-99C1-0D64F0C3234F}"/>
              </c:ext>
            </c:extLst>
          </c:dPt>
          <c:dPt>
            <c:idx val="6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tx1">
                      <a:lumMod val="50000"/>
                    </a:schemeClr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E5E3-4BC7-99C1-0D64F0C3234F}"/>
              </c:ext>
            </c:extLst>
          </c:dPt>
          <c:xVal>
            <c:numRef>
              <c:f>'new analisis'!$A$2:$A$9</c:f>
              <c:numCache>
                <c:formatCode>m/d/yyyy</c:formatCode>
                <c:ptCount val="8"/>
                <c:pt idx="0">
                  <c:v>43180</c:v>
                </c:pt>
                <c:pt idx="1">
                  <c:v>43208</c:v>
                </c:pt>
                <c:pt idx="2">
                  <c:v>43236</c:v>
                </c:pt>
                <c:pt idx="3">
                  <c:v>43272</c:v>
                </c:pt>
                <c:pt idx="4">
                  <c:v>43299</c:v>
                </c:pt>
                <c:pt idx="5">
                  <c:v>43327</c:v>
                </c:pt>
                <c:pt idx="6">
                  <c:v>43362</c:v>
                </c:pt>
                <c:pt idx="7">
                  <c:v>43390</c:v>
                </c:pt>
              </c:numCache>
            </c:numRef>
          </c:xVal>
          <c:yVal>
            <c:numRef>
              <c:f>'new analisis'!$F$2:$F$9</c:f>
              <c:numCache>
                <c:formatCode>0.00%</c:formatCode>
                <c:ptCount val="8"/>
                <c:pt idx="0">
                  <c:v>0.26522200000000001</c:v>
                </c:pt>
                <c:pt idx="1">
                  <c:v>0.26477449999999997</c:v>
                </c:pt>
                <c:pt idx="2">
                  <c:v>0.26307550000000002</c:v>
                </c:pt>
                <c:pt idx="3">
                  <c:v>0.26112550000000001</c:v>
                </c:pt>
                <c:pt idx="4">
                  <c:v>0.25783499999999998</c:v>
                </c:pt>
                <c:pt idx="5">
                  <c:v>0.2569245</c:v>
                </c:pt>
                <c:pt idx="6">
                  <c:v>0.25622799999999996</c:v>
                </c:pt>
                <c:pt idx="7">
                  <c:v>0.25534649999999998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E5E3-4BC7-99C1-0D64F0C3234F}"/>
            </c:ext>
          </c:extLst>
        </c:ser>
        <c:ser>
          <c:idx val="1"/>
          <c:order val="2"/>
          <c:tx>
            <c:strRef>
              <c:f>'new analisis'!$M$1</c:f>
              <c:strCache>
                <c:ptCount val="1"/>
                <c:pt idx="0">
                  <c:v>Estimated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bg1">
                  <a:lumMod val="75000"/>
                </a:schemeClr>
              </a:solidFill>
              <a:ln w="9525">
                <a:solidFill>
                  <a:schemeClr val="tx1">
                    <a:lumMod val="50000"/>
                  </a:schemeClr>
                </a:solidFill>
              </a:ln>
              <a:effectLst/>
            </c:spPr>
          </c:marker>
          <c:xVal>
            <c:numRef>
              <c:f>'new analisis'!$A$2:$A$9</c:f>
              <c:numCache>
                <c:formatCode>m/d/yyyy</c:formatCode>
                <c:ptCount val="8"/>
                <c:pt idx="0">
                  <c:v>43180</c:v>
                </c:pt>
                <c:pt idx="1">
                  <c:v>43208</c:v>
                </c:pt>
                <c:pt idx="2">
                  <c:v>43236</c:v>
                </c:pt>
                <c:pt idx="3">
                  <c:v>43272</c:v>
                </c:pt>
                <c:pt idx="4">
                  <c:v>43299</c:v>
                </c:pt>
                <c:pt idx="5">
                  <c:v>43327</c:v>
                </c:pt>
                <c:pt idx="6">
                  <c:v>43362</c:v>
                </c:pt>
                <c:pt idx="7">
                  <c:v>43390</c:v>
                </c:pt>
              </c:numCache>
            </c:numRef>
          </c:xVal>
          <c:yVal>
            <c:numRef>
              <c:f>'new analisis'!$M$2:$M$9</c:f>
              <c:numCache>
                <c:formatCode>0.00%</c:formatCode>
                <c:ptCount val="8"/>
                <c:pt idx="0">
                  <c:v>0.26568181818181819</c:v>
                </c:pt>
                <c:pt idx="1">
                  <c:v>0.26467156849315071</c:v>
                </c:pt>
                <c:pt idx="2">
                  <c:v>0.26331540303395551</c:v>
                </c:pt>
                <c:pt idx="3">
                  <c:v>0.26063929003635961</c:v>
                </c:pt>
                <c:pt idx="4">
                  <c:v>0.25951806169888286</c:v>
                </c:pt>
                <c:pt idx="5">
                  <c:v>0.2572083615949125</c:v>
                </c:pt>
                <c:pt idx="6">
                  <c:v>0.25516920403962218</c:v>
                </c:pt>
                <c:pt idx="7">
                  <c:v>0.25563550705335403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5E3-4BC7-99C1-0D64F0C3234F}"/>
            </c:ext>
          </c:extLst>
        </c:ser>
        <c:ser>
          <c:idx val="3"/>
          <c:order val="3"/>
          <c:tx>
            <c:strRef>
              <c:f>'new analisis'!$G$1</c:f>
              <c:strCache>
                <c:ptCount val="1"/>
                <c:pt idx="0">
                  <c:v>forward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ash"/>
            <c:size val="5"/>
            <c:spPr>
              <a:solidFill>
                <a:srgbClr val="002060"/>
              </a:solidFill>
              <a:ln w="9525">
                <a:solidFill>
                  <a:srgbClr val="002060"/>
                </a:solidFill>
              </a:ln>
              <a:effectLst/>
            </c:spPr>
          </c:marker>
          <c:xVal>
            <c:numRef>
              <c:f>'new analisis'!$A$2:$A$9</c:f>
              <c:numCache>
                <c:formatCode>m/d/yyyy</c:formatCode>
                <c:ptCount val="8"/>
                <c:pt idx="0">
                  <c:v>43180</c:v>
                </c:pt>
                <c:pt idx="1">
                  <c:v>43208</c:v>
                </c:pt>
                <c:pt idx="2">
                  <c:v>43236</c:v>
                </c:pt>
                <c:pt idx="3">
                  <c:v>43272</c:v>
                </c:pt>
                <c:pt idx="4">
                  <c:v>43299</c:v>
                </c:pt>
                <c:pt idx="5">
                  <c:v>43327</c:v>
                </c:pt>
                <c:pt idx="6">
                  <c:v>43362</c:v>
                </c:pt>
                <c:pt idx="7">
                  <c:v>43390</c:v>
                </c:pt>
              </c:numCache>
            </c:numRef>
          </c:xVal>
          <c:yVal>
            <c:numRef>
              <c:f>'new analisis'!$G$2:$G$9</c:f>
              <c:numCache>
                <c:formatCode>0.00%</c:formatCode>
                <c:ptCount val="8"/>
                <c:pt idx="1">
                  <c:v>0.26026234331519227</c:v>
                </c:pt>
                <c:pt idx="2">
                  <c:v>0.2509398623089939</c:v>
                </c:pt>
                <c:pt idx="3">
                  <c:v>0.24322657578893367</c:v>
                </c:pt>
                <c:pt idx="4">
                  <c:v>0.22554685193836854</c:v>
                </c:pt>
                <c:pt idx="5">
                  <c:v>0.22948255732461337</c:v>
                </c:pt>
                <c:pt idx="6">
                  <c:v>0.22598216089145848</c:v>
                </c:pt>
                <c:pt idx="7">
                  <c:v>0.21774199117827608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E5E3-4BC7-99C1-0D64F0C323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241408"/>
        <c:axId val="180172416"/>
      </c:scatterChart>
      <c:valAx>
        <c:axId val="180241408"/>
        <c:scaling>
          <c:orientation val="minMax"/>
          <c:min val="43125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s-MX"/>
          </a:p>
        </c:txPr>
        <c:crossAx val="180172416"/>
        <c:crosses val="autoZero"/>
        <c:crossBetween val="midCat"/>
        <c:majorUnit val="40"/>
        <c:minorUnit val="30"/>
      </c:valAx>
      <c:valAx>
        <c:axId val="180172416"/>
        <c:scaling>
          <c:orientation val="minMax"/>
          <c:max val="0.28000000000000003"/>
          <c:min val="0.1900000000000000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0.0%" sourceLinked="0"/>
        <c:majorTickMark val="none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s-MX"/>
          </a:p>
        </c:txPr>
        <c:crossAx val="180241408"/>
        <c:crosses val="autoZero"/>
        <c:crossBetween val="midCat"/>
        <c:minorUnit val="2.5000000000000005E-3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9.8919242811690344E-2"/>
          <c:y val="0.920454291039707"/>
          <c:w val="0.75113079615048117"/>
          <c:h val="4.298760250159110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b="0">
          <a:solidFill>
            <a:schemeClr val="tx1"/>
          </a:solidFill>
          <a:latin typeface="Arial Narrow" panose="020B0606020202030204" pitchFamily="34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analisis!$B$12</c:f>
              <c:strCache>
                <c:ptCount val="1"/>
                <c:pt idx="0">
                  <c:v>27/02/2018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analisis!$B$13:$B$377</c:f>
              <c:numCache>
                <c:formatCode>General</c:formatCode>
                <c:ptCount val="365"/>
                <c:pt idx="0" formatCode="0.00000">
                  <c:v>1.0913731594268978E-3</c:v>
                </c:pt>
                <c:pt idx="1">
                  <c:v>0</c:v>
                </c:pt>
                <c:pt idx="6">
                  <c:v>0</c:v>
                </c:pt>
                <c:pt idx="7" formatCode="0.00%">
                  <c:v>0.27250000000000002</c:v>
                </c:pt>
                <c:pt idx="8" formatCode="0.0%">
                  <c:v>0.26</c:v>
                </c:pt>
                <c:pt idx="9" formatCode="0.0%">
                  <c:v>0.26</c:v>
                </c:pt>
                <c:pt idx="10" formatCode="0.0%">
                  <c:v>0.255</c:v>
                </c:pt>
                <c:pt idx="11" formatCode="0.0%">
                  <c:v>0.2475</c:v>
                </c:pt>
                <c:pt idx="12" formatCode="0.0%">
                  <c:v>0.2475</c:v>
                </c:pt>
                <c:pt idx="13" formatCode="0.0%">
                  <c:v>0.24</c:v>
                </c:pt>
                <c:pt idx="14" formatCode="0.0%">
                  <c:v>0.23749999999999999</c:v>
                </c:pt>
                <c:pt idx="15" formatCode="0.0%">
                  <c:v>0.23499999999999999</c:v>
                </c:pt>
                <c:pt idx="16" formatCode="0.0%">
                  <c:v>0.22749999999999998</c:v>
                </c:pt>
                <c:pt idx="17" formatCode="0.0%">
                  <c:v>0.21999999999999997</c:v>
                </c:pt>
                <c:pt idx="18" formatCode="0.0%">
                  <c:v>0.21499999999999997</c:v>
                </c:pt>
                <c:pt idx="19" formatCode="0.0%">
                  <c:v>0.21499999999999997</c:v>
                </c:pt>
                <c:pt idx="20" formatCode="0.0%">
                  <c:v>0.21499999999999997</c:v>
                </c:pt>
                <c:pt idx="21" formatCode="0.0%">
                  <c:v>0.21499999999999997</c:v>
                </c:pt>
                <c:pt idx="22" formatCode="0.0%">
                  <c:v>0.21499999999999997</c:v>
                </c:pt>
                <c:pt idx="23" formatCode="0.0%">
                  <c:v>0.20749999999999996</c:v>
                </c:pt>
                <c:pt idx="24" formatCode="0.0%">
                  <c:v>0.20749999999999996</c:v>
                </c:pt>
                <c:pt idx="25" formatCode="0.0%">
                  <c:v>0.20749999999999996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A62-45F6-92C8-0EF7B61F1B8C}"/>
            </c:ext>
          </c:extLst>
        </c:ser>
        <c:ser>
          <c:idx val="2"/>
          <c:order val="1"/>
          <c:tx>
            <c:strRef>
              <c:f>analisis!$C$12</c:f>
              <c:strCache>
                <c:ptCount val="1"/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analisis!$C$13:$C$377</c:f>
              <c:numCache>
                <c:formatCode>General</c:formatCode>
                <c:ptCount val="365"/>
                <c:pt idx="6">
                  <c:v>0</c:v>
                </c:pt>
                <c:pt idx="8">
                  <c:v>-3.5616438356164383E-2</c:v>
                </c:pt>
                <c:pt idx="9">
                  <c:v>0</c:v>
                </c:pt>
                <c:pt idx="10">
                  <c:v>3.8356164383561646E-2</c:v>
                </c:pt>
                <c:pt idx="11">
                  <c:v>7.6712328767123292E-2</c:v>
                </c:pt>
                <c:pt idx="12">
                  <c:v>0.11506849315068493</c:v>
                </c:pt>
                <c:pt idx="13">
                  <c:v>0.15342465753424658</c:v>
                </c:pt>
                <c:pt idx="14">
                  <c:v>0.19178082191780821</c:v>
                </c:pt>
                <c:pt idx="15">
                  <c:v>0.23013698630136986</c:v>
                </c:pt>
                <c:pt idx="16">
                  <c:v>0.28767123287671231</c:v>
                </c:pt>
                <c:pt idx="17">
                  <c:v>0.32602739726027397</c:v>
                </c:pt>
                <c:pt idx="18">
                  <c:v>0.36438356164383562</c:v>
                </c:pt>
                <c:pt idx="19">
                  <c:v>0.40273972602739727</c:v>
                </c:pt>
                <c:pt idx="20">
                  <c:v>0.44109589041095892</c:v>
                </c:pt>
                <c:pt idx="21">
                  <c:v>0.47945205479452052</c:v>
                </c:pt>
                <c:pt idx="22">
                  <c:v>0.53698630136986303</c:v>
                </c:pt>
                <c:pt idx="23">
                  <c:v>0.57534246575342463</c:v>
                </c:pt>
                <c:pt idx="24">
                  <c:v>0.61369863013698633</c:v>
                </c:pt>
                <c:pt idx="25">
                  <c:v>0.65205479452054793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A62-45F6-92C8-0EF7B61F1B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4571327"/>
        <c:axId val="601103199"/>
      </c:lineChart>
      <c:catAx>
        <c:axId val="1284571327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601103199"/>
        <c:crosses val="autoZero"/>
        <c:auto val="1"/>
        <c:lblAlgn val="ctr"/>
        <c:lblOffset val="100"/>
        <c:noMultiLvlLbl val="0"/>
      </c:catAx>
      <c:valAx>
        <c:axId val="601103199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2845713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s-CL" b="1"/>
              <a:t>Argentina Lebac Market</a:t>
            </a:r>
          </a:p>
        </c:rich>
      </c:tx>
      <c:layout>
        <c:manualLayout>
          <c:xMode val="edge"/>
          <c:yMode val="edge"/>
          <c:x val="0.36913739147991115"/>
          <c:y val="5.46397664147403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lotArea>
      <c:layout>
        <c:manualLayout>
          <c:layoutTarget val="inner"/>
          <c:xMode val="edge"/>
          <c:yMode val="edge"/>
          <c:x val="0.12521609236144518"/>
          <c:y val="0.16696086902180707"/>
          <c:w val="0.8268851371489554"/>
          <c:h val="0.61724382873783568"/>
        </c:manualLayout>
      </c:layout>
      <c:scatterChart>
        <c:scatterStyle val="smoothMarker"/>
        <c:varyColors val="0"/>
        <c:ser>
          <c:idx val="2"/>
          <c:order val="0"/>
          <c:tx>
            <c:v>Implied Repo Rate Lebacs</c:v>
          </c:tx>
          <c:spPr>
            <a:ln w="28575" cap="rnd" cmpd="thinThick">
              <a:solidFill>
                <a:schemeClr val="accent5">
                  <a:lumMod val="7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Hoja2!$A$2:$A$243</c:f>
              <c:numCache>
                <c:formatCode>m/d/yyyy</c:formatCode>
                <c:ptCount val="242"/>
                <c:pt idx="0">
                  <c:v>43158</c:v>
                </c:pt>
                <c:pt idx="1">
                  <c:v>43159</c:v>
                </c:pt>
                <c:pt idx="2">
                  <c:v>43160</c:v>
                </c:pt>
                <c:pt idx="3">
                  <c:v>43161</c:v>
                </c:pt>
                <c:pt idx="4">
                  <c:v>43162</c:v>
                </c:pt>
                <c:pt idx="5">
                  <c:v>43163</c:v>
                </c:pt>
                <c:pt idx="6">
                  <c:v>43164</c:v>
                </c:pt>
                <c:pt idx="7">
                  <c:v>43165</c:v>
                </c:pt>
                <c:pt idx="8">
                  <c:v>43166</c:v>
                </c:pt>
                <c:pt idx="9">
                  <c:v>43167</c:v>
                </c:pt>
                <c:pt idx="10">
                  <c:v>43168</c:v>
                </c:pt>
                <c:pt idx="11">
                  <c:v>43169</c:v>
                </c:pt>
                <c:pt idx="12">
                  <c:v>43170</c:v>
                </c:pt>
                <c:pt idx="13">
                  <c:v>43171</c:v>
                </c:pt>
                <c:pt idx="14">
                  <c:v>43172</c:v>
                </c:pt>
                <c:pt idx="15">
                  <c:v>43173</c:v>
                </c:pt>
                <c:pt idx="16">
                  <c:v>43174</c:v>
                </c:pt>
                <c:pt idx="17">
                  <c:v>43175</c:v>
                </c:pt>
                <c:pt idx="18">
                  <c:v>43176</c:v>
                </c:pt>
                <c:pt idx="19">
                  <c:v>43177</c:v>
                </c:pt>
                <c:pt idx="20">
                  <c:v>43178</c:v>
                </c:pt>
                <c:pt idx="21">
                  <c:v>43179</c:v>
                </c:pt>
                <c:pt idx="22">
                  <c:v>43180</c:v>
                </c:pt>
                <c:pt idx="23">
                  <c:v>43181</c:v>
                </c:pt>
                <c:pt idx="24">
                  <c:v>43182</c:v>
                </c:pt>
                <c:pt idx="25">
                  <c:v>43183</c:v>
                </c:pt>
                <c:pt idx="26">
                  <c:v>43184</c:v>
                </c:pt>
                <c:pt idx="27">
                  <c:v>43185</c:v>
                </c:pt>
                <c:pt idx="28">
                  <c:v>43186</c:v>
                </c:pt>
                <c:pt idx="29">
                  <c:v>43187</c:v>
                </c:pt>
                <c:pt idx="30">
                  <c:v>43188</c:v>
                </c:pt>
                <c:pt idx="31">
                  <c:v>43189</c:v>
                </c:pt>
                <c:pt idx="32">
                  <c:v>43190</c:v>
                </c:pt>
                <c:pt idx="33">
                  <c:v>43191</c:v>
                </c:pt>
                <c:pt idx="34">
                  <c:v>43192</c:v>
                </c:pt>
                <c:pt idx="35">
                  <c:v>43193</c:v>
                </c:pt>
                <c:pt idx="36">
                  <c:v>43194</c:v>
                </c:pt>
                <c:pt idx="37">
                  <c:v>43195</c:v>
                </c:pt>
                <c:pt idx="38">
                  <c:v>43196</c:v>
                </c:pt>
                <c:pt idx="39">
                  <c:v>43197</c:v>
                </c:pt>
                <c:pt idx="40">
                  <c:v>43198</c:v>
                </c:pt>
                <c:pt idx="41">
                  <c:v>43199</c:v>
                </c:pt>
                <c:pt idx="42">
                  <c:v>43200</c:v>
                </c:pt>
                <c:pt idx="43">
                  <c:v>43201</c:v>
                </c:pt>
                <c:pt idx="44">
                  <c:v>43202</c:v>
                </c:pt>
                <c:pt idx="45">
                  <c:v>43203</c:v>
                </c:pt>
                <c:pt idx="46">
                  <c:v>43204</c:v>
                </c:pt>
                <c:pt idx="47">
                  <c:v>43205</c:v>
                </c:pt>
                <c:pt idx="48">
                  <c:v>43206</c:v>
                </c:pt>
                <c:pt idx="49">
                  <c:v>43207</c:v>
                </c:pt>
                <c:pt idx="50">
                  <c:v>43208</c:v>
                </c:pt>
                <c:pt idx="51">
                  <c:v>43209</c:v>
                </c:pt>
                <c:pt idx="52">
                  <c:v>43210</c:v>
                </c:pt>
                <c:pt idx="53">
                  <c:v>43211</c:v>
                </c:pt>
                <c:pt idx="54">
                  <c:v>43212</c:v>
                </c:pt>
                <c:pt idx="55">
                  <c:v>43213</c:v>
                </c:pt>
                <c:pt idx="56">
                  <c:v>43214</c:v>
                </c:pt>
                <c:pt idx="57">
                  <c:v>43215</c:v>
                </c:pt>
                <c:pt idx="58">
                  <c:v>43216</c:v>
                </c:pt>
                <c:pt idx="59">
                  <c:v>43217</c:v>
                </c:pt>
                <c:pt idx="60">
                  <c:v>43218</c:v>
                </c:pt>
                <c:pt idx="61">
                  <c:v>43219</c:v>
                </c:pt>
                <c:pt idx="62">
                  <c:v>43220</c:v>
                </c:pt>
                <c:pt idx="63">
                  <c:v>43221</c:v>
                </c:pt>
                <c:pt idx="64">
                  <c:v>43222</c:v>
                </c:pt>
                <c:pt idx="65">
                  <c:v>43223</c:v>
                </c:pt>
                <c:pt idx="66">
                  <c:v>43224</c:v>
                </c:pt>
                <c:pt idx="67">
                  <c:v>43225</c:v>
                </c:pt>
                <c:pt idx="68">
                  <c:v>43226</c:v>
                </c:pt>
                <c:pt idx="69">
                  <c:v>43227</c:v>
                </c:pt>
                <c:pt idx="70">
                  <c:v>43228</c:v>
                </c:pt>
                <c:pt idx="71">
                  <c:v>43229</c:v>
                </c:pt>
                <c:pt idx="72">
                  <c:v>43230</c:v>
                </c:pt>
                <c:pt idx="73">
                  <c:v>43231</c:v>
                </c:pt>
                <c:pt idx="74">
                  <c:v>43232</c:v>
                </c:pt>
                <c:pt idx="75">
                  <c:v>43233</c:v>
                </c:pt>
                <c:pt idx="76">
                  <c:v>43234</c:v>
                </c:pt>
                <c:pt idx="77">
                  <c:v>43235</c:v>
                </c:pt>
                <c:pt idx="78">
                  <c:v>43236</c:v>
                </c:pt>
                <c:pt idx="79">
                  <c:v>43237</c:v>
                </c:pt>
                <c:pt idx="80">
                  <c:v>43238</c:v>
                </c:pt>
                <c:pt idx="81">
                  <c:v>43239</c:v>
                </c:pt>
                <c:pt idx="82">
                  <c:v>43240</c:v>
                </c:pt>
                <c:pt idx="83">
                  <c:v>43241</c:v>
                </c:pt>
                <c:pt idx="84">
                  <c:v>43242</c:v>
                </c:pt>
                <c:pt idx="85">
                  <c:v>43243</c:v>
                </c:pt>
                <c:pt idx="86">
                  <c:v>43244</c:v>
                </c:pt>
                <c:pt idx="87">
                  <c:v>43245</c:v>
                </c:pt>
                <c:pt idx="88">
                  <c:v>43246</c:v>
                </c:pt>
                <c:pt idx="89">
                  <c:v>43247</c:v>
                </c:pt>
                <c:pt idx="90">
                  <c:v>43248</c:v>
                </c:pt>
                <c:pt idx="91">
                  <c:v>43249</c:v>
                </c:pt>
                <c:pt idx="92">
                  <c:v>43250</c:v>
                </c:pt>
                <c:pt idx="93">
                  <c:v>43251</c:v>
                </c:pt>
                <c:pt idx="94">
                  <c:v>43252</c:v>
                </c:pt>
                <c:pt idx="95">
                  <c:v>43253</c:v>
                </c:pt>
                <c:pt idx="96">
                  <c:v>43254</c:v>
                </c:pt>
                <c:pt idx="97">
                  <c:v>43255</c:v>
                </c:pt>
                <c:pt idx="98">
                  <c:v>43256</c:v>
                </c:pt>
                <c:pt idx="99">
                  <c:v>43257</c:v>
                </c:pt>
                <c:pt idx="100">
                  <c:v>43258</c:v>
                </c:pt>
                <c:pt idx="101">
                  <c:v>43259</c:v>
                </c:pt>
                <c:pt idx="102">
                  <c:v>43260</c:v>
                </c:pt>
                <c:pt idx="103">
                  <c:v>43261</c:v>
                </c:pt>
                <c:pt idx="104">
                  <c:v>43262</c:v>
                </c:pt>
                <c:pt idx="105">
                  <c:v>43263</c:v>
                </c:pt>
                <c:pt idx="106">
                  <c:v>43264</c:v>
                </c:pt>
                <c:pt idx="107">
                  <c:v>43265</c:v>
                </c:pt>
                <c:pt idx="108">
                  <c:v>43266</c:v>
                </c:pt>
                <c:pt idx="109">
                  <c:v>43267</c:v>
                </c:pt>
                <c:pt idx="110">
                  <c:v>43268</c:v>
                </c:pt>
                <c:pt idx="111">
                  <c:v>43269</c:v>
                </c:pt>
                <c:pt idx="112">
                  <c:v>43270</c:v>
                </c:pt>
                <c:pt idx="113">
                  <c:v>43271</c:v>
                </c:pt>
                <c:pt idx="114">
                  <c:v>43272</c:v>
                </c:pt>
                <c:pt idx="115">
                  <c:v>43273</c:v>
                </c:pt>
                <c:pt idx="116">
                  <c:v>43274</c:v>
                </c:pt>
                <c:pt idx="117">
                  <c:v>43275</c:v>
                </c:pt>
                <c:pt idx="118">
                  <c:v>43276</c:v>
                </c:pt>
                <c:pt idx="119">
                  <c:v>43277</c:v>
                </c:pt>
                <c:pt idx="120">
                  <c:v>43278</c:v>
                </c:pt>
                <c:pt idx="121">
                  <c:v>43279</c:v>
                </c:pt>
                <c:pt idx="122">
                  <c:v>43280</c:v>
                </c:pt>
                <c:pt idx="123">
                  <c:v>43281</c:v>
                </c:pt>
                <c:pt idx="124">
                  <c:v>43282</c:v>
                </c:pt>
                <c:pt idx="125">
                  <c:v>43283</c:v>
                </c:pt>
                <c:pt idx="126">
                  <c:v>43284</c:v>
                </c:pt>
                <c:pt idx="127">
                  <c:v>43285</c:v>
                </c:pt>
                <c:pt idx="128">
                  <c:v>43286</c:v>
                </c:pt>
                <c:pt idx="129">
                  <c:v>43287</c:v>
                </c:pt>
                <c:pt idx="130">
                  <c:v>43288</c:v>
                </c:pt>
                <c:pt idx="131">
                  <c:v>43289</c:v>
                </c:pt>
                <c:pt idx="132">
                  <c:v>43290</c:v>
                </c:pt>
                <c:pt idx="133">
                  <c:v>43291</c:v>
                </c:pt>
                <c:pt idx="134">
                  <c:v>43292</c:v>
                </c:pt>
                <c:pt idx="135">
                  <c:v>43293</c:v>
                </c:pt>
                <c:pt idx="136">
                  <c:v>43294</c:v>
                </c:pt>
                <c:pt idx="137">
                  <c:v>43295</c:v>
                </c:pt>
                <c:pt idx="138">
                  <c:v>43296</c:v>
                </c:pt>
                <c:pt idx="139">
                  <c:v>43297</c:v>
                </c:pt>
                <c:pt idx="140">
                  <c:v>43298</c:v>
                </c:pt>
                <c:pt idx="141">
                  <c:v>43299</c:v>
                </c:pt>
                <c:pt idx="142">
                  <c:v>43300</c:v>
                </c:pt>
                <c:pt idx="143">
                  <c:v>43301</c:v>
                </c:pt>
                <c:pt idx="144">
                  <c:v>43302</c:v>
                </c:pt>
                <c:pt idx="145">
                  <c:v>43303</c:v>
                </c:pt>
                <c:pt idx="146">
                  <c:v>43304</c:v>
                </c:pt>
                <c:pt idx="147">
                  <c:v>43305</c:v>
                </c:pt>
                <c:pt idx="148">
                  <c:v>43306</c:v>
                </c:pt>
                <c:pt idx="149">
                  <c:v>43307</c:v>
                </c:pt>
                <c:pt idx="150">
                  <c:v>43308</c:v>
                </c:pt>
                <c:pt idx="151">
                  <c:v>43309</c:v>
                </c:pt>
                <c:pt idx="152">
                  <c:v>43310</c:v>
                </c:pt>
                <c:pt idx="153">
                  <c:v>43311</c:v>
                </c:pt>
                <c:pt idx="154">
                  <c:v>43312</c:v>
                </c:pt>
                <c:pt idx="155">
                  <c:v>43313</c:v>
                </c:pt>
                <c:pt idx="156">
                  <c:v>43314</c:v>
                </c:pt>
                <c:pt idx="157">
                  <c:v>43315</c:v>
                </c:pt>
                <c:pt idx="158">
                  <c:v>43316</c:v>
                </c:pt>
                <c:pt idx="159">
                  <c:v>43317</c:v>
                </c:pt>
                <c:pt idx="160">
                  <c:v>43318</c:v>
                </c:pt>
                <c:pt idx="161">
                  <c:v>43319</c:v>
                </c:pt>
                <c:pt idx="162">
                  <c:v>43320</c:v>
                </c:pt>
                <c:pt idx="163">
                  <c:v>43321</c:v>
                </c:pt>
                <c:pt idx="164">
                  <c:v>43322</c:v>
                </c:pt>
                <c:pt idx="165">
                  <c:v>43323</c:v>
                </c:pt>
                <c:pt idx="166">
                  <c:v>43324</c:v>
                </c:pt>
                <c:pt idx="167">
                  <c:v>43325</c:v>
                </c:pt>
                <c:pt idx="168">
                  <c:v>43326</c:v>
                </c:pt>
                <c:pt idx="169">
                  <c:v>43327</c:v>
                </c:pt>
                <c:pt idx="170">
                  <c:v>43328</c:v>
                </c:pt>
                <c:pt idx="171">
                  <c:v>43329</c:v>
                </c:pt>
                <c:pt idx="172">
                  <c:v>43330</c:v>
                </c:pt>
                <c:pt idx="173">
                  <c:v>43331</c:v>
                </c:pt>
                <c:pt idx="174">
                  <c:v>43332</c:v>
                </c:pt>
                <c:pt idx="175">
                  <c:v>43333</c:v>
                </c:pt>
                <c:pt idx="176">
                  <c:v>43334</c:v>
                </c:pt>
                <c:pt idx="177">
                  <c:v>43335</c:v>
                </c:pt>
                <c:pt idx="178">
                  <c:v>43336</c:v>
                </c:pt>
                <c:pt idx="179">
                  <c:v>43337</c:v>
                </c:pt>
                <c:pt idx="180">
                  <c:v>43338</c:v>
                </c:pt>
                <c:pt idx="181">
                  <c:v>43339</c:v>
                </c:pt>
                <c:pt idx="182">
                  <c:v>43340</c:v>
                </c:pt>
                <c:pt idx="183">
                  <c:v>43341</c:v>
                </c:pt>
                <c:pt idx="184">
                  <c:v>43342</c:v>
                </c:pt>
                <c:pt idx="185">
                  <c:v>43343</c:v>
                </c:pt>
                <c:pt idx="186">
                  <c:v>43344</c:v>
                </c:pt>
                <c:pt idx="187">
                  <c:v>43345</c:v>
                </c:pt>
                <c:pt idx="188">
                  <c:v>43346</c:v>
                </c:pt>
                <c:pt idx="189">
                  <c:v>43347</c:v>
                </c:pt>
                <c:pt idx="190">
                  <c:v>43348</c:v>
                </c:pt>
                <c:pt idx="191">
                  <c:v>43349</c:v>
                </c:pt>
                <c:pt idx="192">
                  <c:v>43350</c:v>
                </c:pt>
                <c:pt idx="193">
                  <c:v>43351</c:v>
                </c:pt>
                <c:pt idx="194">
                  <c:v>43352</c:v>
                </c:pt>
                <c:pt idx="195">
                  <c:v>43353</c:v>
                </c:pt>
                <c:pt idx="196">
                  <c:v>43354</c:v>
                </c:pt>
                <c:pt idx="197">
                  <c:v>43355</c:v>
                </c:pt>
                <c:pt idx="198">
                  <c:v>43356</c:v>
                </c:pt>
                <c:pt idx="199">
                  <c:v>43357</c:v>
                </c:pt>
                <c:pt idx="200">
                  <c:v>43358</c:v>
                </c:pt>
                <c:pt idx="201">
                  <c:v>43359</c:v>
                </c:pt>
                <c:pt idx="202">
                  <c:v>43360</c:v>
                </c:pt>
                <c:pt idx="203">
                  <c:v>43361</c:v>
                </c:pt>
                <c:pt idx="204">
                  <c:v>43362</c:v>
                </c:pt>
                <c:pt idx="205">
                  <c:v>43363</c:v>
                </c:pt>
                <c:pt idx="206">
                  <c:v>43364</c:v>
                </c:pt>
                <c:pt idx="207">
                  <c:v>43365</c:v>
                </c:pt>
                <c:pt idx="208">
                  <c:v>43366</c:v>
                </c:pt>
                <c:pt idx="209">
                  <c:v>43367</c:v>
                </c:pt>
                <c:pt idx="210">
                  <c:v>43368</c:v>
                </c:pt>
                <c:pt idx="211">
                  <c:v>43369</c:v>
                </c:pt>
                <c:pt idx="212">
                  <c:v>43370</c:v>
                </c:pt>
                <c:pt idx="213">
                  <c:v>43371</c:v>
                </c:pt>
                <c:pt idx="214">
                  <c:v>43372</c:v>
                </c:pt>
                <c:pt idx="215">
                  <c:v>43373</c:v>
                </c:pt>
                <c:pt idx="216">
                  <c:v>43374</c:v>
                </c:pt>
                <c:pt idx="217">
                  <c:v>43375</c:v>
                </c:pt>
                <c:pt idx="218">
                  <c:v>43376</c:v>
                </c:pt>
                <c:pt idx="219">
                  <c:v>43377</c:v>
                </c:pt>
                <c:pt idx="220">
                  <c:v>43378</c:v>
                </c:pt>
                <c:pt idx="221">
                  <c:v>43379</c:v>
                </c:pt>
                <c:pt idx="222">
                  <c:v>43380</c:v>
                </c:pt>
                <c:pt idx="223">
                  <c:v>43381</c:v>
                </c:pt>
                <c:pt idx="224">
                  <c:v>43382</c:v>
                </c:pt>
                <c:pt idx="225">
                  <c:v>43383</c:v>
                </c:pt>
                <c:pt idx="226">
                  <c:v>43384</c:v>
                </c:pt>
                <c:pt idx="227">
                  <c:v>43385</c:v>
                </c:pt>
                <c:pt idx="228">
                  <c:v>43386</c:v>
                </c:pt>
                <c:pt idx="229">
                  <c:v>43387</c:v>
                </c:pt>
                <c:pt idx="230">
                  <c:v>43388</c:v>
                </c:pt>
                <c:pt idx="231">
                  <c:v>43389</c:v>
                </c:pt>
                <c:pt idx="232">
                  <c:v>43390</c:v>
                </c:pt>
                <c:pt idx="233">
                  <c:v>43391</c:v>
                </c:pt>
                <c:pt idx="234">
                  <c:v>43392</c:v>
                </c:pt>
                <c:pt idx="235">
                  <c:v>43393</c:v>
                </c:pt>
                <c:pt idx="236">
                  <c:v>43394</c:v>
                </c:pt>
                <c:pt idx="237">
                  <c:v>43395</c:v>
                </c:pt>
                <c:pt idx="238">
                  <c:v>43396</c:v>
                </c:pt>
                <c:pt idx="239">
                  <c:v>43397</c:v>
                </c:pt>
                <c:pt idx="240">
                  <c:v>43398</c:v>
                </c:pt>
                <c:pt idx="241">
                  <c:v>43399</c:v>
                </c:pt>
              </c:numCache>
            </c:numRef>
          </c:xVal>
          <c:yVal>
            <c:numRef>
              <c:f>Hoja2!$B$2:$B$243</c:f>
              <c:numCache>
                <c:formatCode>0.00%</c:formatCode>
                <c:ptCount val="242"/>
                <c:pt idx="0">
                  <c:v>0.26750000000000002</c:v>
                </c:pt>
                <c:pt idx="1">
                  <c:v>0.26750000000000002</c:v>
                </c:pt>
                <c:pt idx="2">
                  <c:v>0.26750000000000002</c:v>
                </c:pt>
                <c:pt idx="3">
                  <c:v>0.26750000000000002</c:v>
                </c:pt>
                <c:pt idx="4">
                  <c:v>0.26750000000000002</c:v>
                </c:pt>
                <c:pt idx="5">
                  <c:v>0.26750000000000002</c:v>
                </c:pt>
                <c:pt idx="6">
                  <c:v>0.26750000000000002</c:v>
                </c:pt>
                <c:pt idx="7">
                  <c:v>0.26750000000000002</c:v>
                </c:pt>
                <c:pt idx="8">
                  <c:v>0.26750000000000002</c:v>
                </c:pt>
                <c:pt idx="9">
                  <c:v>0.26750000000000002</c:v>
                </c:pt>
                <c:pt idx="10">
                  <c:v>0.26750000000000002</c:v>
                </c:pt>
                <c:pt idx="11">
                  <c:v>0.26750000000000002</c:v>
                </c:pt>
                <c:pt idx="12">
                  <c:v>0.26750000000000002</c:v>
                </c:pt>
                <c:pt idx="13">
                  <c:v>0.26750000000000002</c:v>
                </c:pt>
                <c:pt idx="14">
                  <c:v>0.26250000000000001</c:v>
                </c:pt>
                <c:pt idx="15">
                  <c:v>0.26250000000000001</c:v>
                </c:pt>
                <c:pt idx="16">
                  <c:v>0.26250000000000001</c:v>
                </c:pt>
                <c:pt idx="17">
                  <c:v>0.26250000000000001</c:v>
                </c:pt>
                <c:pt idx="18">
                  <c:v>0.26250000000000001</c:v>
                </c:pt>
                <c:pt idx="19">
                  <c:v>0.26250000000000001</c:v>
                </c:pt>
                <c:pt idx="20">
                  <c:v>0.26250000000000001</c:v>
                </c:pt>
                <c:pt idx="21">
                  <c:v>0.26250000000000001</c:v>
                </c:pt>
                <c:pt idx="22">
                  <c:v>0.26250000000000001</c:v>
                </c:pt>
                <c:pt idx="23">
                  <c:v>0.26250000000000001</c:v>
                </c:pt>
                <c:pt idx="24">
                  <c:v>0.26250000000000001</c:v>
                </c:pt>
                <c:pt idx="25">
                  <c:v>0.26250000000000001</c:v>
                </c:pt>
                <c:pt idx="26">
                  <c:v>0.26250000000000001</c:v>
                </c:pt>
                <c:pt idx="27">
                  <c:v>0.26250000000000001</c:v>
                </c:pt>
                <c:pt idx="28">
                  <c:v>0.25750000000000001</c:v>
                </c:pt>
                <c:pt idx="29">
                  <c:v>0.25750000000000001</c:v>
                </c:pt>
                <c:pt idx="30">
                  <c:v>0.25750000000000001</c:v>
                </c:pt>
                <c:pt idx="31">
                  <c:v>0.25750000000000001</c:v>
                </c:pt>
                <c:pt idx="32">
                  <c:v>0.25750000000000001</c:v>
                </c:pt>
                <c:pt idx="33">
                  <c:v>0.25750000000000001</c:v>
                </c:pt>
                <c:pt idx="34">
                  <c:v>0.25750000000000001</c:v>
                </c:pt>
                <c:pt idx="35">
                  <c:v>0.25750000000000001</c:v>
                </c:pt>
                <c:pt idx="36">
                  <c:v>0.25750000000000001</c:v>
                </c:pt>
                <c:pt idx="37">
                  <c:v>0.25750000000000001</c:v>
                </c:pt>
                <c:pt idx="38">
                  <c:v>0.25750000000000001</c:v>
                </c:pt>
                <c:pt idx="39">
                  <c:v>0.25750000000000001</c:v>
                </c:pt>
                <c:pt idx="40">
                  <c:v>0.25750000000000001</c:v>
                </c:pt>
                <c:pt idx="41">
                  <c:v>0.25750000000000001</c:v>
                </c:pt>
                <c:pt idx="42">
                  <c:v>0.25</c:v>
                </c:pt>
                <c:pt idx="43">
                  <c:v>0.25</c:v>
                </c:pt>
                <c:pt idx="44">
                  <c:v>0.25</c:v>
                </c:pt>
                <c:pt idx="45">
                  <c:v>0.25</c:v>
                </c:pt>
                <c:pt idx="46">
                  <c:v>0.25</c:v>
                </c:pt>
                <c:pt idx="47">
                  <c:v>0.25</c:v>
                </c:pt>
                <c:pt idx="48">
                  <c:v>0.25</c:v>
                </c:pt>
                <c:pt idx="49">
                  <c:v>0.25</c:v>
                </c:pt>
                <c:pt idx="50">
                  <c:v>0.25</c:v>
                </c:pt>
                <c:pt idx="51">
                  <c:v>0.25</c:v>
                </c:pt>
                <c:pt idx="52">
                  <c:v>0.25</c:v>
                </c:pt>
                <c:pt idx="53">
                  <c:v>0.25</c:v>
                </c:pt>
                <c:pt idx="54">
                  <c:v>0.25</c:v>
                </c:pt>
                <c:pt idx="55">
                  <c:v>0.25</c:v>
                </c:pt>
                <c:pt idx="56">
                  <c:v>0.24249999999999999</c:v>
                </c:pt>
                <c:pt idx="57">
                  <c:v>0.24249999999999999</c:v>
                </c:pt>
                <c:pt idx="58">
                  <c:v>0.24249999999999999</c:v>
                </c:pt>
                <c:pt idx="59">
                  <c:v>0.24249999999999999</c:v>
                </c:pt>
                <c:pt idx="60">
                  <c:v>0.24249999999999999</c:v>
                </c:pt>
                <c:pt idx="61">
                  <c:v>0.24249999999999999</c:v>
                </c:pt>
                <c:pt idx="62">
                  <c:v>0.24249999999999999</c:v>
                </c:pt>
                <c:pt idx="63">
                  <c:v>0.24249999999999999</c:v>
                </c:pt>
                <c:pt idx="64">
                  <c:v>0.24249999999999999</c:v>
                </c:pt>
                <c:pt idx="65">
                  <c:v>0.24249999999999999</c:v>
                </c:pt>
                <c:pt idx="66">
                  <c:v>0.24249999999999999</c:v>
                </c:pt>
                <c:pt idx="67">
                  <c:v>0.24249999999999999</c:v>
                </c:pt>
                <c:pt idx="68">
                  <c:v>0.24249999999999999</c:v>
                </c:pt>
                <c:pt idx="69">
                  <c:v>0.24249999999999999</c:v>
                </c:pt>
                <c:pt idx="70">
                  <c:v>0.23749999999999999</c:v>
                </c:pt>
                <c:pt idx="71">
                  <c:v>0.23749999999999999</c:v>
                </c:pt>
                <c:pt idx="72">
                  <c:v>0.23749999999999999</c:v>
                </c:pt>
                <c:pt idx="73">
                  <c:v>0.23749999999999999</c:v>
                </c:pt>
                <c:pt idx="74">
                  <c:v>0.23749999999999999</c:v>
                </c:pt>
                <c:pt idx="75">
                  <c:v>0.23749999999999999</c:v>
                </c:pt>
                <c:pt idx="76">
                  <c:v>0.23749999999999999</c:v>
                </c:pt>
                <c:pt idx="77">
                  <c:v>0.23749999999999999</c:v>
                </c:pt>
                <c:pt idx="78">
                  <c:v>0.23749999999999999</c:v>
                </c:pt>
                <c:pt idx="79">
                  <c:v>0.23749999999999999</c:v>
                </c:pt>
                <c:pt idx="80">
                  <c:v>0.23749999999999999</c:v>
                </c:pt>
                <c:pt idx="81">
                  <c:v>0.23749999999999999</c:v>
                </c:pt>
                <c:pt idx="82">
                  <c:v>0.23749999999999999</c:v>
                </c:pt>
                <c:pt idx="83">
                  <c:v>0.23749999999999999</c:v>
                </c:pt>
                <c:pt idx="84">
                  <c:v>0.23249999999999998</c:v>
                </c:pt>
                <c:pt idx="85">
                  <c:v>0.23249999999999998</c:v>
                </c:pt>
                <c:pt idx="86">
                  <c:v>0.23249999999999998</c:v>
                </c:pt>
                <c:pt idx="87">
                  <c:v>0.23249999999999998</c:v>
                </c:pt>
                <c:pt idx="88">
                  <c:v>0.23249999999999998</c:v>
                </c:pt>
                <c:pt idx="89">
                  <c:v>0.23249999999999998</c:v>
                </c:pt>
                <c:pt idx="90">
                  <c:v>0.23249999999999998</c:v>
                </c:pt>
                <c:pt idx="91">
                  <c:v>0.23249999999999998</c:v>
                </c:pt>
                <c:pt idx="92">
                  <c:v>0.23249999999999998</c:v>
                </c:pt>
                <c:pt idx="93">
                  <c:v>0.23249999999999998</c:v>
                </c:pt>
                <c:pt idx="94">
                  <c:v>0.23249999999999998</c:v>
                </c:pt>
                <c:pt idx="95">
                  <c:v>0.23249999999999998</c:v>
                </c:pt>
                <c:pt idx="96">
                  <c:v>0.23249999999999998</c:v>
                </c:pt>
                <c:pt idx="97">
                  <c:v>0.23249999999999998</c:v>
                </c:pt>
                <c:pt idx="98">
                  <c:v>0.23249999999999998</c:v>
                </c:pt>
                <c:pt idx="99">
                  <c:v>0.23249999999999998</c:v>
                </c:pt>
                <c:pt idx="100">
                  <c:v>0.23249999999999998</c:v>
                </c:pt>
                <c:pt idx="101">
                  <c:v>0.23249999999999998</c:v>
                </c:pt>
                <c:pt idx="102">
                  <c:v>0.23249999999999998</c:v>
                </c:pt>
                <c:pt idx="103">
                  <c:v>0.23249999999999998</c:v>
                </c:pt>
                <c:pt idx="104">
                  <c:v>0.23249999999999998</c:v>
                </c:pt>
                <c:pt idx="105">
                  <c:v>0.22249999999999998</c:v>
                </c:pt>
                <c:pt idx="106">
                  <c:v>0.22249999999999998</c:v>
                </c:pt>
                <c:pt idx="107">
                  <c:v>0.22249999999999998</c:v>
                </c:pt>
                <c:pt idx="108">
                  <c:v>0.22249999999999998</c:v>
                </c:pt>
                <c:pt idx="109">
                  <c:v>0.22249999999999998</c:v>
                </c:pt>
                <c:pt idx="110">
                  <c:v>0.22249999999999998</c:v>
                </c:pt>
                <c:pt idx="111">
                  <c:v>0.22249999999999998</c:v>
                </c:pt>
                <c:pt idx="112">
                  <c:v>0.22249999999999998</c:v>
                </c:pt>
                <c:pt idx="113">
                  <c:v>0.22249999999999998</c:v>
                </c:pt>
                <c:pt idx="114">
                  <c:v>0.22249999999999998</c:v>
                </c:pt>
                <c:pt idx="115">
                  <c:v>0.22249999999999998</c:v>
                </c:pt>
                <c:pt idx="116">
                  <c:v>0.22249999999999998</c:v>
                </c:pt>
                <c:pt idx="117">
                  <c:v>0.22249999999999998</c:v>
                </c:pt>
                <c:pt idx="118">
                  <c:v>0.22249999999999998</c:v>
                </c:pt>
                <c:pt idx="119">
                  <c:v>0.21249999999999997</c:v>
                </c:pt>
                <c:pt idx="120">
                  <c:v>0.21249999999999997</c:v>
                </c:pt>
                <c:pt idx="121">
                  <c:v>0.21249999999999997</c:v>
                </c:pt>
                <c:pt idx="122">
                  <c:v>0.21249999999999997</c:v>
                </c:pt>
                <c:pt idx="123">
                  <c:v>0.21249999999999997</c:v>
                </c:pt>
                <c:pt idx="124">
                  <c:v>0.21249999999999997</c:v>
                </c:pt>
                <c:pt idx="125">
                  <c:v>0.21249999999999997</c:v>
                </c:pt>
                <c:pt idx="126">
                  <c:v>0.21249999999999997</c:v>
                </c:pt>
                <c:pt idx="127">
                  <c:v>0.21249999999999997</c:v>
                </c:pt>
                <c:pt idx="128">
                  <c:v>0.21249999999999997</c:v>
                </c:pt>
                <c:pt idx="129">
                  <c:v>0.21249999999999997</c:v>
                </c:pt>
                <c:pt idx="130">
                  <c:v>0.21249999999999997</c:v>
                </c:pt>
                <c:pt idx="131">
                  <c:v>0.21249999999999997</c:v>
                </c:pt>
                <c:pt idx="132">
                  <c:v>0.21249999999999997</c:v>
                </c:pt>
                <c:pt idx="133">
                  <c:v>0.20249999999999996</c:v>
                </c:pt>
                <c:pt idx="134">
                  <c:v>0.20249999999999996</c:v>
                </c:pt>
                <c:pt idx="135">
                  <c:v>0.20249999999999996</c:v>
                </c:pt>
                <c:pt idx="136">
                  <c:v>0.20249999999999996</c:v>
                </c:pt>
                <c:pt idx="137">
                  <c:v>0.20249999999999996</c:v>
                </c:pt>
                <c:pt idx="138">
                  <c:v>0.20249999999999996</c:v>
                </c:pt>
                <c:pt idx="139">
                  <c:v>0.20249999999999996</c:v>
                </c:pt>
                <c:pt idx="140">
                  <c:v>0.20249999999999996</c:v>
                </c:pt>
                <c:pt idx="141">
                  <c:v>0.20249999999999996</c:v>
                </c:pt>
                <c:pt idx="142">
                  <c:v>0.20249999999999996</c:v>
                </c:pt>
                <c:pt idx="143">
                  <c:v>0.20249999999999996</c:v>
                </c:pt>
                <c:pt idx="144">
                  <c:v>0.20249999999999996</c:v>
                </c:pt>
                <c:pt idx="145">
                  <c:v>0.20249999999999996</c:v>
                </c:pt>
                <c:pt idx="146">
                  <c:v>0.20249999999999996</c:v>
                </c:pt>
                <c:pt idx="147">
                  <c:v>0.20249999999999996</c:v>
                </c:pt>
                <c:pt idx="148">
                  <c:v>0.20249999999999996</c:v>
                </c:pt>
                <c:pt idx="149">
                  <c:v>0.20249999999999996</c:v>
                </c:pt>
                <c:pt idx="150">
                  <c:v>0.20249999999999996</c:v>
                </c:pt>
                <c:pt idx="151">
                  <c:v>0.20249999999999996</c:v>
                </c:pt>
                <c:pt idx="152">
                  <c:v>0.20249999999999996</c:v>
                </c:pt>
                <c:pt idx="153">
                  <c:v>0.20249999999999996</c:v>
                </c:pt>
                <c:pt idx="154">
                  <c:v>0.20249999999999996</c:v>
                </c:pt>
                <c:pt idx="155">
                  <c:v>0.20249999999999996</c:v>
                </c:pt>
                <c:pt idx="156">
                  <c:v>0.20249999999999996</c:v>
                </c:pt>
                <c:pt idx="157">
                  <c:v>0.20249999999999996</c:v>
                </c:pt>
                <c:pt idx="158">
                  <c:v>0.20249999999999996</c:v>
                </c:pt>
                <c:pt idx="159">
                  <c:v>0.20249999999999996</c:v>
                </c:pt>
                <c:pt idx="160">
                  <c:v>0.20249999999999996</c:v>
                </c:pt>
                <c:pt idx="161">
                  <c:v>0.20249999999999996</c:v>
                </c:pt>
                <c:pt idx="162">
                  <c:v>0.20249999999999996</c:v>
                </c:pt>
                <c:pt idx="163">
                  <c:v>0.20249999999999996</c:v>
                </c:pt>
                <c:pt idx="164">
                  <c:v>0.20249999999999996</c:v>
                </c:pt>
                <c:pt idx="165">
                  <c:v>0.20249999999999996</c:v>
                </c:pt>
                <c:pt idx="166">
                  <c:v>0.20249999999999996</c:v>
                </c:pt>
                <c:pt idx="167">
                  <c:v>0.20249999999999996</c:v>
                </c:pt>
                <c:pt idx="168">
                  <c:v>0.20249999999999996</c:v>
                </c:pt>
                <c:pt idx="169">
                  <c:v>0.20249999999999996</c:v>
                </c:pt>
                <c:pt idx="170">
                  <c:v>0.20249999999999996</c:v>
                </c:pt>
                <c:pt idx="171">
                  <c:v>0.20249999999999996</c:v>
                </c:pt>
                <c:pt idx="172">
                  <c:v>0.20249999999999996</c:v>
                </c:pt>
                <c:pt idx="173">
                  <c:v>0.20249999999999996</c:v>
                </c:pt>
                <c:pt idx="174">
                  <c:v>0.20249999999999996</c:v>
                </c:pt>
                <c:pt idx="175">
                  <c:v>0.20249999999999996</c:v>
                </c:pt>
                <c:pt idx="176">
                  <c:v>0.20249999999999996</c:v>
                </c:pt>
                <c:pt idx="177">
                  <c:v>0.20249999999999996</c:v>
                </c:pt>
                <c:pt idx="178">
                  <c:v>0.20249999999999996</c:v>
                </c:pt>
                <c:pt idx="179">
                  <c:v>0.20249999999999996</c:v>
                </c:pt>
                <c:pt idx="180">
                  <c:v>0.20249999999999996</c:v>
                </c:pt>
                <c:pt idx="181">
                  <c:v>0.20249999999999996</c:v>
                </c:pt>
                <c:pt idx="182">
                  <c:v>0.20249999999999996</c:v>
                </c:pt>
                <c:pt idx="183">
                  <c:v>0.20249999999999996</c:v>
                </c:pt>
                <c:pt idx="184">
                  <c:v>0.20249999999999996</c:v>
                </c:pt>
                <c:pt idx="185">
                  <c:v>0.20249999999999996</c:v>
                </c:pt>
                <c:pt idx="186">
                  <c:v>0.20249999999999996</c:v>
                </c:pt>
                <c:pt idx="187">
                  <c:v>0.20249999999999996</c:v>
                </c:pt>
                <c:pt idx="188">
                  <c:v>0.20249999999999996</c:v>
                </c:pt>
                <c:pt idx="189">
                  <c:v>0.20249999999999996</c:v>
                </c:pt>
                <c:pt idx="190">
                  <c:v>0.20249999999999996</c:v>
                </c:pt>
                <c:pt idx="191">
                  <c:v>0.20249999999999996</c:v>
                </c:pt>
                <c:pt idx="192">
                  <c:v>0.20249999999999996</c:v>
                </c:pt>
                <c:pt idx="193">
                  <c:v>0.20249999999999996</c:v>
                </c:pt>
                <c:pt idx="194">
                  <c:v>0.20249999999999996</c:v>
                </c:pt>
                <c:pt idx="195">
                  <c:v>0.20249999999999996</c:v>
                </c:pt>
                <c:pt idx="196">
                  <c:v>0.19249999999999995</c:v>
                </c:pt>
                <c:pt idx="197">
                  <c:v>0.19249999999999995</c:v>
                </c:pt>
                <c:pt idx="198">
                  <c:v>0.19249999999999995</c:v>
                </c:pt>
                <c:pt idx="199">
                  <c:v>0.19249999999999995</c:v>
                </c:pt>
                <c:pt idx="200">
                  <c:v>0.19249999999999995</c:v>
                </c:pt>
                <c:pt idx="201">
                  <c:v>0.19249999999999995</c:v>
                </c:pt>
                <c:pt idx="202">
                  <c:v>0.19249999999999995</c:v>
                </c:pt>
                <c:pt idx="203">
                  <c:v>0.19249999999999995</c:v>
                </c:pt>
                <c:pt idx="204">
                  <c:v>0.19249999999999995</c:v>
                </c:pt>
                <c:pt idx="205">
                  <c:v>0.19249999999999995</c:v>
                </c:pt>
                <c:pt idx="206">
                  <c:v>0.19249999999999995</c:v>
                </c:pt>
                <c:pt idx="207">
                  <c:v>0.19249999999999995</c:v>
                </c:pt>
                <c:pt idx="208">
                  <c:v>0.19249999999999995</c:v>
                </c:pt>
                <c:pt idx="209">
                  <c:v>0.19249999999999995</c:v>
                </c:pt>
                <c:pt idx="210">
                  <c:v>0.19249999999999995</c:v>
                </c:pt>
                <c:pt idx="211">
                  <c:v>0.19249999999999995</c:v>
                </c:pt>
                <c:pt idx="212">
                  <c:v>0.19249999999999995</c:v>
                </c:pt>
                <c:pt idx="213">
                  <c:v>0.19249999999999995</c:v>
                </c:pt>
                <c:pt idx="214">
                  <c:v>0.19249999999999995</c:v>
                </c:pt>
                <c:pt idx="215">
                  <c:v>0.19249999999999995</c:v>
                </c:pt>
                <c:pt idx="216">
                  <c:v>0.19249999999999995</c:v>
                </c:pt>
                <c:pt idx="217">
                  <c:v>0.19249999999999995</c:v>
                </c:pt>
                <c:pt idx="218">
                  <c:v>0.19249999999999995</c:v>
                </c:pt>
                <c:pt idx="219">
                  <c:v>0.19249999999999995</c:v>
                </c:pt>
                <c:pt idx="220">
                  <c:v>0.19249999999999995</c:v>
                </c:pt>
                <c:pt idx="221">
                  <c:v>0.19249999999999995</c:v>
                </c:pt>
                <c:pt idx="222">
                  <c:v>0.19249999999999995</c:v>
                </c:pt>
                <c:pt idx="223">
                  <c:v>0.19249999999999995</c:v>
                </c:pt>
                <c:pt idx="224">
                  <c:v>0.19249999999999995</c:v>
                </c:pt>
                <c:pt idx="225">
                  <c:v>0.19249999999999995</c:v>
                </c:pt>
                <c:pt idx="226">
                  <c:v>0.19249999999999995</c:v>
                </c:pt>
                <c:pt idx="227">
                  <c:v>0.19249999999999995</c:v>
                </c:pt>
                <c:pt idx="228">
                  <c:v>0.19249999999999995</c:v>
                </c:pt>
                <c:pt idx="229">
                  <c:v>0.19249999999999995</c:v>
                </c:pt>
                <c:pt idx="230">
                  <c:v>0.19249999999999995</c:v>
                </c:pt>
                <c:pt idx="231">
                  <c:v>0.19249999999999995</c:v>
                </c:pt>
                <c:pt idx="232">
                  <c:v>0.19249999999999995</c:v>
                </c:pt>
                <c:pt idx="233">
                  <c:v>0.19249999999999995</c:v>
                </c:pt>
                <c:pt idx="234">
                  <c:v>0.19249999999999995</c:v>
                </c:pt>
                <c:pt idx="235">
                  <c:v>0.19249999999999995</c:v>
                </c:pt>
                <c:pt idx="236">
                  <c:v>0.19249999999999995</c:v>
                </c:pt>
                <c:pt idx="237">
                  <c:v>0.19249999999999995</c:v>
                </c:pt>
                <c:pt idx="238">
                  <c:v>0.19249999999999995</c:v>
                </c:pt>
                <c:pt idx="239">
                  <c:v>0.19249999999999995</c:v>
                </c:pt>
                <c:pt idx="240">
                  <c:v>0.19249999999999995</c:v>
                </c:pt>
                <c:pt idx="241">
                  <c:v>0.19249999999999995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5DA-4370-A320-7EE6AFBCAE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241408"/>
        <c:axId val="180172416"/>
      </c:scatterChart>
      <c:scatterChart>
        <c:scatterStyle val="lineMarker"/>
        <c:varyColors val="0"/>
        <c:ser>
          <c:idx val="0"/>
          <c:order val="1"/>
          <c:tx>
            <c:strRef>
              <c:f>analisis!$F$1</c:f>
              <c:strCache>
                <c:ptCount val="1"/>
                <c:pt idx="0">
                  <c:v>Market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tx1">
                      <a:lumMod val="50000"/>
                    </a:schemeClr>
                  </a:solidFill>
                </a:ln>
                <a:effectLst/>
              </c:spPr>
            </c:marker>
            <c:bubble3D val="0"/>
          </c:dPt>
          <c:dPt>
            <c:idx val="1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tx1">
                      <a:lumMod val="50000"/>
                    </a:schemeClr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D-65DA-4370-A320-7EE6AFBCAE0C}"/>
              </c:ext>
            </c:extLst>
          </c:dPt>
          <c:dPt>
            <c:idx val="3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tx1">
                      <a:lumMod val="50000"/>
                    </a:schemeClr>
                  </a:solidFill>
                </a:ln>
                <a:effectLst/>
              </c:spPr>
            </c:marker>
            <c:bubble3D val="0"/>
          </c:dPt>
          <c:dPt>
            <c:idx val="4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tx1">
                      <a:lumMod val="50000"/>
                    </a:schemeClr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C-65DA-4370-A320-7EE6AFBCAE0C}"/>
              </c:ext>
            </c:extLst>
          </c:dPt>
          <c:dPt>
            <c:idx val="6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tx1">
                      <a:lumMod val="50000"/>
                    </a:schemeClr>
                  </a:solidFill>
                </a:ln>
                <a:effectLst/>
              </c:spPr>
            </c:marker>
            <c:bubble3D val="0"/>
          </c:dPt>
          <c:xVal>
            <c:numRef>
              <c:f>analisis!$A$2:$A$9</c:f>
              <c:numCache>
                <c:formatCode>m/d/yyyy</c:formatCode>
                <c:ptCount val="8"/>
                <c:pt idx="0">
                  <c:v>43180</c:v>
                </c:pt>
                <c:pt idx="1">
                  <c:v>43208</c:v>
                </c:pt>
                <c:pt idx="2">
                  <c:v>43236</c:v>
                </c:pt>
                <c:pt idx="3">
                  <c:v>43272</c:v>
                </c:pt>
                <c:pt idx="4">
                  <c:v>43299</c:v>
                </c:pt>
                <c:pt idx="5">
                  <c:v>43327</c:v>
                </c:pt>
                <c:pt idx="6">
                  <c:v>43362</c:v>
                </c:pt>
                <c:pt idx="7">
                  <c:v>43390</c:v>
                </c:pt>
              </c:numCache>
            </c:numRef>
          </c:xVal>
          <c:yVal>
            <c:numRef>
              <c:f>analisis!$F$2:$F$9</c:f>
              <c:numCache>
                <c:formatCode>0.00%</c:formatCode>
                <c:ptCount val="8"/>
                <c:pt idx="0">
                  <c:v>0.26522200000000001</c:v>
                </c:pt>
                <c:pt idx="1">
                  <c:v>0.26477449999999997</c:v>
                </c:pt>
                <c:pt idx="2">
                  <c:v>0.26307550000000002</c:v>
                </c:pt>
                <c:pt idx="3">
                  <c:v>0.26112550000000001</c:v>
                </c:pt>
                <c:pt idx="4">
                  <c:v>0.25783499999999998</c:v>
                </c:pt>
                <c:pt idx="5">
                  <c:v>0.2569245</c:v>
                </c:pt>
                <c:pt idx="6">
                  <c:v>0.25622799999999996</c:v>
                </c:pt>
                <c:pt idx="7">
                  <c:v>0.25534649999999998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5DA-4370-A320-7EE6AFBCAE0C}"/>
            </c:ext>
          </c:extLst>
        </c:ser>
        <c:ser>
          <c:idx val="1"/>
          <c:order val="2"/>
          <c:tx>
            <c:strRef>
              <c:f>analisis!$J$1</c:f>
              <c:strCache>
                <c:ptCount val="1"/>
                <c:pt idx="0">
                  <c:v>Estimated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bg1">
                  <a:lumMod val="75000"/>
                </a:schemeClr>
              </a:solidFill>
              <a:ln w="9525">
                <a:solidFill>
                  <a:schemeClr val="tx1">
                    <a:lumMod val="50000"/>
                  </a:schemeClr>
                </a:solidFill>
              </a:ln>
              <a:effectLst/>
            </c:spPr>
          </c:marker>
          <c:xVal>
            <c:numRef>
              <c:f>analisis!$A$2:$A$9</c:f>
              <c:numCache>
                <c:formatCode>m/d/yyyy</c:formatCode>
                <c:ptCount val="8"/>
                <c:pt idx="0">
                  <c:v>43180</c:v>
                </c:pt>
                <c:pt idx="1">
                  <c:v>43208</c:v>
                </c:pt>
                <c:pt idx="2">
                  <c:v>43236</c:v>
                </c:pt>
                <c:pt idx="3">
                  <c:v>43272</c:v>
                </c:pt>
                <c:pt idx="4">
                  <c:v>43299</c:v>
                </c:pt>
                <c:pt idx="5">
                  <c:v>43327</c:v>
                </c:pt>
                <c:pt idx="6">
                  <c:v>43362</c:v>
                </c:pt>
                <c:pt idx="7">
                  <c:v>43390</c:v>
                </c:pt>
              </c:numCache>
            </c:numRef>
          </c:xVal>
          <c:yVal>
            <c:numRef>
              <c:f>analisis!$J$2:$J$9</c:f>
              <c:numCache>
                <c:formatCode>0.00%</c:formatCode>
                <c:ptCount val="8"/>
                <c:pt idx="0">
                  <c:v>0.25009042926858011</c:v>
                </c:pt>
                <c:pt idx="1">
                  <c:v>0.25231394298062143</c:v>
                </c:pt>
                <c:pt idx="2">
                  <c:v>0.25161189604401774</c:v>
                </c:pt>
                <c:pt idx="3">
                  <c:v>0.25031033468679059</c:v>
                </c:pt>
                <c:pt idx="4">
                  <c:v>0.24795716916505736</c:v>
                </c:pt>
                <c:pt idx="5">
                  <c:v>0.2460697843545048</c:v>
                </c:pt>
                <c:pt idx="6">
                  <c:v>0.245145195678624</c:v>
                </c:pt>
                <c:pt idx="7">
                  <c:v>0.24436759825128765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5DA-4370-A320-7EE6AFBCAE0C}"/>
            </c:ext>
          </c:extLst>
        </c:ser>
        <c:ser>
          <c:idx val="3"/>
          <c:order val="3"/>
          <c:tx>
            <c:strRef>
              <c:f>analisis!$G$1</c:f>
              <c:strCache>
                <c:ptCount val="1"/>
                <c:pt idx="0">
                  <c:v>forward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ash"/>
            <c:size val="5"/>
            <c:spPr>
              <a:solidFill>
                <a:srgbClr val="002060"/>
              </a:solidFill>
              <a:ln w="9525">
                <a:solidFill>
                  <a:srgbClr val="002060"/>
                </a:solidFill>
              </a:ln>
              <a:effectLst/>
            </c:spPr>
          </c:marker>
          <c:xVal>
            <c:numRef>
              <c:f>analisis!$A$2:$A$9</c:f>
              <c:numCache>
                <c:formatCode>m/d/yyyy</c:formatCode>
                <c:ptCount val="8"/>
                <c:pt idx="0">
                  <c:v>43180</c:v>
                </c:pt>
                <c:pt idx="1">
                  <c:v>43208</c:v>
                </c:pt>
                <c:pt idx="2">
                  <c:v>43236</c:v>
                </c:pt>
                <c:pt idx="3">
                  <c:v>43272</c:v>
                </c:pt>
                <c:pt idx="4">
                  <c:v>43299</c:v>
                </c:pt>
                <c:pt idx="5">
                  <c:v>43327</c:v>
                </c:pt>
                <c:pt idx="6">
                  <c:v>43362</c:v>
                </c:pt>
                <c:pt idx="7">
                  <c:v>43390</c:v>
                </c:pt>
              </c:numCache>
            </c:numRef>
          </c:xVal>
          <c:yVal>
            <c:numRef>
              <c:f>analisis!$G$2:$G$9</c:f>
              <c:numCache>
                <c:formatCode>0.00%</c:formatCode>
                <c:ptCount val="8"/>
                <c:pt idx="1">
                  <c:v>0.26026234331519227</c:v>
                </c:pt>
                <c:pt idx="2">
                  <c:v>0.2509398623089939</c:v>
                </c:pt>
                <c:pt idx="3">
                  <c:v>0.24322657578893367</c:v>
                </c:pt>
                <c:pt idx="4">
                  <c:v>0.22554685193836854</c:v>
                </c:pt>
                <c:pt idx="5">
                  <c:v>0.22948255732461337</c:v>
                </c:pt>
                <c:pt idx="6">
                  <c:v>0.22598216089145848</c:v>
                </c:pt>
                <c:pt idx="7">
                  <c:v>0.21774199117827608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65DA-4370-A320-7EE6AFBCAE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241408"/>
        <c:axId val="180172416"/>
      </c:scatterChart>
      <c:valAx>
        <c:axId val="180241408"/>
        <c:scaling>
          <c:orientation val="minMax"/>
          <c:min val="43125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s-MX"/>
          </a:p>
        </c:txPr>
        <c:crossAx val="180172416"/>
        <c:crosses val="autoZero"/>
        <c:crossBetween val="midCat"/>
        <c:majorUnit val="40"/>
        <c:minorUnit val="30"/>
      </c:valAx>
      <c:valAx>
        <c:axId val="180172416"/>
        <c:scaling>
          <c:orientation val="minMax"/>
          <c:max val="0.28000000000000003"/>
          <c:min val="0.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0.0%" sourceLinked="0"/>
        <c:majorTickMark val="none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s-MX"/>
          </a:p>
        </c:txPr>
        <c:crossAx val="180241408"/>
        <c:crosses val="autoZero"/>
        <c:crossBetween val="midCat"/>
        <c:minorUnit val="2.5000000000000005E-3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9.8919242811690344E-2"/>
          <c:y val="0.920454291039707"/>
          <c:w val="0.75113079615048117"/>
          <c:h val="4.298760250159110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b="0">
          <a:solidFill>
            <a:schemeClr val="tx1"/>
          </a:solidFill>
          <a:latin typeface="Arial Narrow" panose="020B0606020202030204" pitchFamily="34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s-CL" b="1"/>
              <a:t>Implied Rate in Bonds Curve</a:t>
            </a:r>
          </a:p>
        </c:rich>
      </c:tx>
      <c:layout>
        <c:manualLayout>
          <c:xMode val="edge"/>
          <c:yMode val="edge"/>
          <c:x val="0.27512022327436314"/>
          <c:y val="2.786605165122834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lotArea>
      <c:layout>
        <c:manualLayout>
          <c:layoutTarget val="inner"/>
          <c:xMode val="edge"/>
          <c:yMode val="edge"/>
          <c:x val="0.12521603457967384"/>
          <c:y val="0.16696085001139888"/>
          <c:w val="0.8268851371489554"/>
          <c:h val="0.61724382873783568"/>
        </c:manualLayout>
      </c:layout>
      <c:lineChart>
        <c:grouping val="standard"/>
        <c:varyColors val="0"/>
        <c:ser>
          <c:idx val="2"/>
          <c:order val="0"/>
          <c:tx>
            <c:v>Implied Rate</c:v>
          </c:tx>
          <c:spPr>
            <a:ln w="28575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Hoja2!$A$2:$A$243</c:f>
              <c:numCache>
                <c:formatCode>m/d/yyyy</c:formatCode>
                <c:ptCount val="242"/>
                <c:pt idx="0">
                  <c:v>43158</c:v>
                </c:pt>
                <c:pt idx="1">
                  <c:v>43159</c:v>
                </c:pt>
                <c:pt idx="2">
                  <c:v>43160</c:v>
                </c:pt>
                <c:pt idx="3">
                  <c:v>43161</c:v>
                </c:pt>
                <c:pt idx="4">
                  <c:v>43162</c:v>
                </c:pt>
                <c:pt idx="5">
                  <c:v>43163</c:v>
                </c:pt>
                <c:pt idx="6">
                  <c:v>43164</c:v>
                </c:pt>
                <c:pt idx="7">
                  <c:v>43165</c:v>
                </c:pt>
                <c:pt idx="8">
                  <c:v>43166</c:v>
                </c:pt>
                <c:pt idx="9">
                  <c:v>43167</c:v>
                </c:pt>
                <c:pt idx="10">
                  <c:v>43168</c:v>
                </c:pt>
                <c:pt idx="11">
                  <c:v>43169</c:v>
                </c:pt>
                <c:pt idx="12">
                  <c:v>43170</c:v>
                </c:pt>
                <c:pt idx="13">
                  <c:v>43171</c:v>
                </c:pt>
                <c:pt idx="14">
                  <c:v>43172</c:v>
                </c:pt>
                <c:pt idx="15">
                  <c:v>43173</c:v>
                </c:pt>
                <c:pt idx="16">
                  <c:v>43174</c:v>
                </c:pt>
                <c:pt idx="17">
                  <c:v>43175</c:v>
                </c:pt>
                <c:pt idx="18">
                  <c:v>43176</c:v>
                </c:pt>
                <c:pt idx="19">
                  <c:v>43177</c:v>
                </c:pt>
                <c:pt idx="20">
                  <c:v>43178</c:v>
                </c:pt>
                <c:pt idx="21">
                  <c:v>43179</c:v>
                </c:pt>
                <c:pt idx="22">
                  <c:v>43180</c:v>
                </c:pt>
                <c:pt idx="23">
                  <c:v>43181</c:v>
                </c:pt>
                <c:pt idx="24">
                  <c:v>43182</c:v>
                </c:pt>
                <c:pt idx="25">
                  <c:v>43183</c:v>
                </c:pt>
                <c:pt idx="26">
                  <c:v>43184</c:v>
                </c:pt>
                <c:pt idx="27">
                  <c:v>43185</c:v>
                </c:pt>
                <c:pt idx="28">
                  <c:v>43186</c:v>
                </c:pt>
                <c:pt idx="29">
                  <c:v>43187</c:v>
                </c:pt>
                <c:pt idx="30">
                  <c:v>43188</c:v>
                </c:pt>
                <c:pt idx="31">
                  <c:v>43189</c:v>
                </c:pt>
                <c:pt idx="32">
                  <c:v>43190</c:v>
                </c:pt>
                <c:pt idx="33">
                  <c:v>43191</c:v>
                </c:pt>
                <c:pt idx="34">
                  <c:v>43192</c:v>
                </c:pt>
                <c:pt idx="35">
                  <c:v>43193</c:v>
                </c:pt>
                <c:pt idx="36">
                  <c:v>43194</c:v>
                </c:pt>
                <c:pt idx="37">
                  <c:v>43195</c:v>
                </c:pt>
                <c:pt idx="38">
                  <c:v>43196</c:v>
                </c:pt>
                <c:pt idx="39">
                  <c:v>43197</c:v>
                </c:pt>
                <c:pt idx="40">
                  <c:v>43198</c:v>
                </c:pt>
                <c:pt idx="41">
                  <c:v>43199</c:v>
                </c:pt>
                <c:pt idx="42">
                  <c:v>43200</c:v>
                </c:pt>
                <c:pt idx="43">
                  <c:v>43201</c:v>
                </c:pt>
                <c:pt idx="44">
                  <c:v>43202</c:v>
                </c:pt>
                <c:pt idx="45">
                  <c:v>43203</c:v>
                </c:pt>
                <c:pt idx="46">
                  <c:v>43204</c:v>
                </c:pt>
                <c:pt idx="47">
                  <c:v>43205</c:v>
                </c:pt>
                <c:pt idx="48">
                  <c:v>43206</c:v>
                </c:pt>
                <c:pt idx="49">
                  <c:v>43207</c:v>
                </c:pt>
                <c:pt idx="50">
                  <c:v>43208</c:v>
                </c:pt>
                <c:pt idx="51">
                  <c:v>43209</c:v>
                </c:pt>
                <c:pt idx="52">
                  <c:v>43210</c:v>
                </c:pt>
                <c:pt idx="53">
                  <c:v>43211</c:v>
                </c:pt>
                <c:pt idx="54">
                  <c:v>43212</c:v>
                </c:pt>
                <c:pt idx="55">
                  <c:v>43213</c:v>
                </c:pt>
                <c:pt idx="56">
                  <c:v>43214</c:v>
                </c:pt>
                <c:pt idx="57">
                  <c:v>43215</c:v>
                </c:pt>
                <c:pt idx="58">
                  <c:v>43216</c:v>
                </c:pt>
                <c:pt idx="59">
                  <c:v>43217</c:v>
                </c:pt>
                <c:pt idx="60">
                  <c:v>43218</c:v>
                </c:pt>
                <c:pt idx="61">
                  <c:v>43219</c:v>
                </c:pt>
                <c:pt idx="62">
                  <c:v>43220</c:v>
                </c:pt>
                <c:pt idx="63">
                  <c:v>43221</c:v>
                </c:pt>
                <c:pt idx="64">
                  <c:v>43222</c:v>
                </c:pt>
                <c:pt idx="65">
                  <c:v>43223</c:v>
                </c:pt>
                <c:pt idx="66">
                  <c:v>43224</c:v>
                </c:pt>
                <c:pt idx="67">
                  <c:v>43225</c:v>
                </c:pt>
                <c:pt idx="68">
                  <c:v>43226</c:v>
                </c:pt>
                <c:pt idx="69">
                  <c:v>43227</c:v>
                </c:pt>
                <c:pt idx="70">
                  <c:v>43228</c:v>
                </c:pt>
                <c:pt idx="71">
                  <c:v>43229</c:v>
                </c:pt>
                <c:pt idx="72">
                  <c:v>43230</c:v>
                </c:pt>
                <c:pt idx="73">
                  <c:v>43231</c:v>
                </c:pt>
                <c:pt idx="74">
                  <c:v>43232</c:v>
                </c:pt>
                <c:pt idx="75">
                  <c:v>43233</c:v>
                </c:pt>
                <c:pt idx="76">
                  <c:v>43234</c:v>
                </c:pt>
                <c:pt idx="77">
                  <c:v>43235</c:v>
                </c:pt>
                <c:pt idx="78">
                  <c:v>43236</c:v>
                </c:pt>
                <c:pt idx="79">
                  <c:v>43237</c:v>
                </c:pt>
                <c:pt idx="80">
                  <c:v>43238</c:v>
                </c:pt>
                <c:pt idx="81">
                  <c:v>43239</c:v>
                </c:pt>
                <c:pt idx="82">
                  <c:v>43240</c:v>
                </c:pt>
                <c:pt idx="83">
                  <c:v>43241</c:v>
                </c:pt>
                <c:pt idx="84">
                  <c:v>43242</c:v>
                </c:pt>
                <c:pt idx="85">
                  <c:v>43243</c:v>
                </c:pt>
                <c:pt idx="86">
                  <c:v>43244</c:v>
                </c:pt>
                <c:pt idx="87">
                  <c:v>43245</c:v>
                </c:pt>
                <c:pt idx="88">
                  <c:v>43246</c:v>
                </c:pt>
                <c:pt idx="89">
                  <c:v>43247</c:v>
                </c:pt>
                <c:pt idx="90">
                  <c:v>43248</c:v>
                </c:pt>
                <c:pt idx="91">
                  <c:v>43249</c:v>
                </c:pt>
                <c:pt idx="92">
                  <c:v>43250</c:v>
                </c:pt>
                <c:pt idx="93">
                  <c:v>43251</c:v>
                </c:pt>
                <c:pt idx="94">
                  <c:v>43252</c:v>
                </c:pt>
                <c:pt idx="95">
                  <c:v>43253</c:v>
                </c:pt>
                <c:pt idx="96">
                  <c:v>43254</c:v>
                </c:pt>
                <c:pt idx="97">
                  <c:v>43255</c:v>
                </c:pt>
                <c:pt idx="98">
                  <c:v>43256</c:v>
                </c:pt>
                <c:pt idx="99">
                  <c:v>43257</c:v>
                </c:pt>
                <c:pt idx="100">
                  <c:v>43258</c:v>
                </c:pt>
                <c:pt idx="101">
                  <c:v>43259</c:v>
                </c:pt>
                <c:pt idx="102">
                  <c:v>43260</c:v>
                </c:pt>
                <c:pt idx="103">
                  <c:v>43261</c:v>
                </c:pt>
                <c:pt idx="104">
                  <c:v>43262</c:v>
                </c:pt>
                <c:pt idx="105">
                  <c:v>43263</c:v>
                </c:pt>
                <c:pt idx="106">
                  <c:v>43264</c:v>
                </c:pt>
                <c:pt idx="107">
                  <c:v>43265</c:v>
                </c:pt>
                <c:pt idx="108">
                  <c:v>43266</c:v>
                </c:pt>
                <c:pt idx="109">
                  <c:v>43267</c:v>
                </c:pt>
                <c:pt idx="110">
                  <c:v>43268</c:v>
                </c:pt>
                <c:pt idx="111">
                  <c:v>43269</c:v>
                </c:pt>
                <c:pt idx="112">
                  <c:v>43270</c:v>
                </c:pt>
                <c:pt idx="113">
                  <c:v>43271</c:v>
                </c:pt>
                <c:pt idx="114">
                  <c:v>43272</c:v>
                </c:pt>
                <c:pt idx="115">
                  <c:v>43273</c:v>
                </c:pt>
                <c:pt idx="116">
                  <c:v>43274</c:v>
                </c:pt>
                <c:pt idx="117">
                  <c:v>43275</c:v>
                </c:pt>
                <c:pt idx="118">
                  <c:v>43276</c:v>
                </c:pt>
                <c:pt idx="119">
                  <c:v>43277</c:v>
                </c:pt>
                <c:pt idx="120">
                  <c:v>43278</c:v>
                </c:pt>
                <c:pt idx="121">
                  <c:v>43279</c:v>
                </c:pt>
                <c:pt idx="122">
                  <c:v>43280</c:v>
                </c:pt>
                <c:pt idx="123">
                  <c:v>43281</c:v>
                </c:pt>
                <c:pt idx="124">
                  <c:v>43282</c:v>
                </c:pt>
                <c:pt idx="125">
                  <c:v>43283</c:v>
                </c:pt>
                <c:pt idx="126">
                  <c:v>43284</c:v>
                </c:pt>
                <c:pt idx="127">
                  <c:v>43285</c:v>
                </c:pt>
                <c:pt idx="128">
                  <c:v>43286</c:v>
                </c:pt>
                <c:pt idx="129">
                  <c:v>43287</c:v>
                </c:pt>
                <c:pt idx="130">
                  <c:v>43288</c:v>
                </c:pt>
                <c:pt idx="131">
                  <c:v>43289</c:v>
                </c:pt>
                <c:pt idx="132">
                  <c:v>43290</c:v>
                </c:pt>
                <c:pt idx="133">
                  <c:v>43291</c:v>
                </c:pt>
                <c:pt idx="134">
                  <c:v>43292</c:v>
                </c:pt>
                <c:pt idx="135">
                  <c:v>43293</c:v>
                </c:pt>
                <c:pt idx="136">
                  <c:v>43294</c:v>
                </c:pt>
                <c:pt idx="137">
                  <c:v>43295</c:v>
                </c:pt>
                <c:pt idx="138">
                  <c:v>43296</c:v>
                </c:pt>
                <c:pt idx="139">
                  <c:v>43297</c:v>
                </c:pt>
                <c:pt idx="140">
                  <c:v>43298</c:v>
                </c:pt>
                <c:pt idx="141">
                  <c:v>43299</c:v>
                </c:pt>
                <c:pt idx="142">
                  <c:v>43300</c:v>
                </c:pt>
                <c:pt idx="143">
                  <c:v>43301</c:v>
                </c:pt>
                <c:pt idx="144">
                  <c:v>43302</c:v>
                </c:pt>
                <c:pt idx="145">
                  <c:v>43303</c:v>
                </c:pt>
                <c:pt idx="146">
                  <c:v>43304</c:v>
                </c:pt>
                <c:pt idx="147">
                  <c:v>43305</c:v>
                </c:pt>
                <c:pt idx="148">
                  <c:v>43306</c:v>
                </c:pt>
                <c:pt idx="149">
                  <c:v>43307</c:v>
                </c:pt>
                <c:pt idx="150">
                  <c:v>43308</c:v>
                </c:pt>
                <c:pt idx="151">
                  <c:v>43309</c:v>
                </c:pt>
                <c:pt idx="152">
                  <c:v>43310</c:v>
                </c:pt>
                <c:pt idx="153">
                  <c:v>43311</c:v>
                </c:pt>
                <c:pt idx="154">
                  <c:v>43312</c:v>
                </c:pt>
                <c:pt idx="155">
                  <c:v>43313</c:v>
                </c:pt>
                <c:pt idx="156">
                  <c:v>43314</c:v>
                </c:pt>
                <c:pt idx="157">
                  <c:v>43315</c:v>
                </c:pt>
                <c:pt idx="158">
                  <c:v>43316</c:v>
                </c:pt>
                <c:pt idx="159">
                  <c:v>43317</c:v>
                </c:pt>
                <c:pt idx="160">
                  <c:v>43318</c:v>
                </c:pt>
                <c:pt idx="161">
                  <c:v>43319</c:v>
                </c:pt>
                <c:pt idx="162">
                  <c:v>43320</c:v>
                </c:pt>
                <c:pt idx="163">
                  <c:v>43321</c:v>
                </c:pt>
                <c:pt idx="164">
                  <c:v>43322</c:v>
                </c:pt>
                <c:pt idx="165">
                  <c:v>43323</c:v>
                </c:pt>
                <c:pt idx="166">
                  <c:v>43324</c:v>
                </c:pt>
                <c:pt idx="167">
                  <c:v>43325</c:v>
                </c:pt>
                <c:pt idx="168">
                  <c:v>43326</c:v>
                </c:pt>
                <c:pt idx="169">
                  <c:v>43327</c:v>
                </c:pt>
                <c:pt idx="170">
                  <c:v>43328</c:v>
                </c:pt>
                <c:pt idx="171">
                  <c:v>43329</c:v>
                </c:pt>
                <c:pt idx="172">
                  <c:v>43330</c:v>
                </c:pt>
                <c:pt idx="173">
                  <c:v>43331</c:v>
                </c:pt>
                <c:pt idx="174">
                  <c:v>43332</c:v>
                </c:pt>
                <c:pt idx="175">
                  <c:v>43333</c:v>
                </c:pt>
                <c:pt idx="176">
                  <c:v>43334</c:v>
                </c:pt>
                <c:pt idx="177">
                  <c:v>43335</c:v>
                </c:pt>
                <c:pt idx="178">
                  <c:v>43336</c:v>
                </c:pt>
                <c:pt idx="179">
                  <c:v>43337</c:v>
                </c:pt>
                <c:pt idx="180">
                  <c:v>43338</c:v>
                </c:pt>
                <c:pt idx="181">
                  <c:v>43339</c:v>
                </c:pt>
                <c:pt idx="182">
                  <c:v>43340</c:v>
                </c:pt>
                <c:pt idx="183">
                  <c:v>43341</c:v>
                </c:pt>
                <c:pt idx="184">
                  <c:v>43342</c:v>
                </c:pt>
                <c:pt idx="185">
                  <c:v>43343</c:v>
                </c:pt>
                <c:pt idx="186">
                  <c:v>43344</c:v>
                </c:pt>
                <c:pt idx="187">
                  <c:v>43345</c:v>
                </c:pt>
                <c:pt idx="188">
                  <c:v>43346</c:v>
                </c:pt>
                <c:pt idx="189">
                  <c:v>43347</c:v>
                </c:pt>
                <c:pt idx="190">
                  <c:v>43348</c:v>
                </c:pt>
                <c:pt idx="191">
                  <c:v>43349</c:v>
                </c:pt>
                <c:pt idx="192">
                  <c:v>43350</c:v>
                </c:pt>
                <c:pt idx="193">
                  <c:v>43351</c:v>
                </c:pt>
                <c:pt idx="194">
                  <c:v>43352</c:v>
                </c:pt>
                <c:pt idx="195">
                  <c:v>43353</c:v>
                </c:pt>
                <c:pt idx="196">
                  <c:v>43354</c:v>
                </c:pt>
                <c:pt idx="197">
                  <c:v>43355</c:v>
                </c:pt>
                <c:pt idx="198">
                  <c:v>43356</c:v>
                </c:pt>
                <c:pt idx="199">
                  <c:v>43357</c:v>
                </c:pt>
                <c:pt idx="200">
                  <c:v>43358</c:v>
                </c:pt>
                <c:pt idx="201">
                  <c:v>43359</c:v>
                </c:pt>
                <c:pt idx="202">
                  <c:v>43360</c:v>
                </c:pt>
                <c:pt idx="203">
                  <c:v>43361</c:v>
                </c:pt>
                <c:pt idx="204">
                  <c:v>43362</c:v>
                </c:pt>
                <c:pt idx="205">
                  <c:v>43363</c:v>
                </c:pt>
                <c:pt idx="206">
                  <c:v>43364</c:v>
                </c:pt>
                <c:pt idx="207">
                  <c:v>43365</c:v>
                </c:pt>
                <c:pt idx="208">
                  <c:v>43366</c:v>
                </c:pt>
                <c:pt idx="209">
                  <c:v>43367</c:v>
                </c:pt>
                <c:pt idx="210">
                  <c:v>43368</c:v>
                </c:pt>
                <c:pt idx="211">
                  <c:v>43369</c:v>
                </c:pt>
                <c:pt idx="212">
                  <c:v>43370</c:v>
                </c:pt>
                <c:pt idx="213">
                  <c:v>43371</c:v>
                </c:pt>
                <c:pt idx="214">
                  <c:v>43372</c:v>
                </c:pt>
                <c:pt idx="215">
                  <c:v>43373</c:v>
                </c:pt>
                <c:pt idx="216">
                  <c:v>43374</c:v>
                </c:pt>
                <c:pt idx="217">
                  <c:v>43375</c:v>
                </c:pt>
                <c:pt idx="218">
                  <c:v>43376</c:v>
                </c:pt>
                <c:pt idx="219">
                  <c:v>43377</c:v>
                </c:pt>
                <c:pt idx="220">
                  <c:v>43378</c:v>
                </c:pt>
                <c:pt idx="221">
                  <c:v>43379</c:v>
                </c:pt>
                <c:pt idx="222">
                  <c:v>43380</c:v>
                </c:pt>
                <c:pt idx="223">
                  <c:v>43381</c:v>
                </c:pt>
                <c:pt idx="224">
                  <c:v>43382</c:v>
                </c:pt>
                <c:pt idx="225">
                  <c:v>43383</c:v>
                </c:pt>
                <c:pt idx="226">
                  <c:v>43384</c:v>
                </c:pt>
                <c:pt idx="227">
                  <c:v>43385</c:v>
                </c:pt>
                <c:pt idx="228">
                  <c:v>43386</c:v>
                </c:pt>
                <c:pt idx="229">
                  <c:v>43387</c:v>
                </c:pt>
                <c:pt idx="230">
                  <c:v>43388</c:v>
                </c:pt>
                <c:pt idx="231">
                  <c:v>43389</c:v>
                </c:pt>
                <c:pt idx="232">
                  <c:v>43390</c:v>
                </c:pt>
                <c:pt idx="233">
                  <c:v>43391</c:v>
                </c:pt>
                <c:pt idx="234">
                  <c:v>43392</c:v>
                </c:pt>
                <c:pt idx="235">
                  <c:v>43393</c:v>
                </c:pt>
                <c:pt idx="236">
                  <c:v>43394</c:v>
                </c:pt>
                <c:pt idx="237">
                  <c:v>43395</c:v>
                </c:pt>
                <c:pt idx="238">
                  <c:v>43396</c:v>
                </c:pt>
                <c:pt idx="239">
                  <c:v>43397</c:v>
                </c:pt>
                <c:pt idx="240">
                  <c:v>43398</c:v>
                </c:pt>
                <c:pt idx="241">
                  <c:v>43399</c:v>
                </c:pt>
              </c:numCache>
            </c:numRef>
          </c:cat>
          <c:val>
            <c:numRef>
              <c:f>Hoja2!$B$2:$B$243</c:f>
              <c:numCache>
                <c:formatCode>0.00%</c:formatCode>
                <c:ptCount val="242"/>
                <c:pt idx="0">
                  <c:v>0.26750000000000002</c:v>
                </c:pt>
                <c:pt idx="1">
                  <c:v>0.26750000000000002</c:v>
                </c:pt>
                <c:pt idx="2">
                  <c:v>0.26750000000000002</c:v>
                </c:pt>
                <c:pt idx="3">
                  <c:v>0.26750000000000002</c:v>
                </c:pt>
                <c:pt idx="4">
                  <c:v>0.26750000000000002</c:v>
                </c:pt>
                <c:pt idx="5">
                  <c:v>0.26750000000000002</c:v>
                </c:pt>
                <c:pt idx="6">
                  <c:v>0.26750000000000002</c:v>
                </c:pt>
                <c:pt idx="7">
                  <c:v>0.26750000000000002</c:v>
                </c:pt>
                <c:pt idx="8">
                  <c:v>0.26750000000000002</c:v>
                </c:pt>
                <c:pt idx="9">
                  <c:v>0.26750000000000002</c:v>
                </c:pt>
                <c:pt idx="10">
                  <c:v>0.26750000000000002</c:v>
                </c:pt>
                <c:pt idx="11">
                  <c:v>0.26750000000000002</c:v>
                </c:pt>
                <c:pt idx="12">
                  <c:v>0.26750000000000002</c:v>
                </c:pt>
                <c:pt idx="13">
                  <c:v>0.26750000000000002</c:v>
                </c:pt>
                <c:pt idx="14">
                  <c:v>0.26250000000000001</c:v>
                </c:pt>
                <c:pt idx="15">
                  <c:v>0.26250000000000001</c:v>
                </c:pt>
                <c:pt idx="16">
                  <c:v>0.26250000000000001</c:v>
                </c:pt>
                <c:pt idx="17">
                  <c:v>0.26250000000000001</c:v>
                </c:pt>
                <c:pt idx="18">
                  <c:v>0.26250000000000001</c:v>
                </c:pt>
                <c:pt idx="19">
                  <c:v>0.26250000000000001</c:v>
                </c:pt>
                <c:pt idx="20">
                  <c:v>0.26250000000000001</c:v>
                </c:pt>
                <c:pt idx="21">
                  <c:v>0.26250000000000001</c:v>
                </c:pt>
                <c:pt idx="22">
                  <c:v>0.26250000000000001</c:v>
                </c:pt>
                <c:pt idx="23">
                  <c:v>0.26250000000000001</c:v>
                </c:pt>
                <c:pt idx="24">
                  <c:v>0.26250000000000001</c:v>
                </c:pt>
                <c:pt idx="25">
                  <c:v>0.26250000000000001</c:v>
                </c:pt>
                <c:pt idx="26">
                  <c:v>0.26250000000000001</c:v>
                </c:pt>
                <c:pt idx="27">
                  <c:v>0.26250000000000001</c:v>
                </c:pt>
                <c:pt idx="28">
                  <c:v>0.25750000000000001</c:v>
                </c:pt>
                <c:pt idx="29">
                  <c:v>0.25750000000000001</c:v>
                </c:pt>
                <c:pt idx="30">
                  <c:v>0.25750000000000001</c:v>
                </c:pt>
                <c:pt idx="31">
                  <c:v>0.25750000000000001</c:v>
                </c:pt>
                <c:pt idx="32">
                  <c:v>0.25750000000000001</c:v>
                </c:pt>
                <c:pt idx="33">
                  <c:v>0.25750000000000001</c:v>
                </c:pt>
                <c:pt idx="34">
                  <c:v>0.25750000000000001</c:v>
                </c:pt>
                <c:pt idx="35">
                  <c:v>0.25750000000000001</c:v>
                </c:pt>
                <c:pt idx="36">
                  <c:v>0.25750000000000001</c:v>
                </c:pt>
                <c:pt idx="37">
                  <c:v>0.25750000000000001</c:v>
                </c:pt>
                <c:pt idx="38">
                  <c:v>0.25750000000000001</c:v>
                </c:pt>
                <c:pt idx="39">
                  <c:v>0.25750000000000001</c:v>
                </c:pt>
                <c:pt idx="40">
                  <c:v>0.25750000000000001</c:v>
                </c:pt>
                <c:pt idx="41">
                  <c:v>0.25750000000000001</c:v>
                </c:pt>
                <c:pt idx="42">
                  <c:v>0.25</c:v>
                </c:pt>
                <c:pt idx="43">
                  <c:v>0.25</c:v>
                </c:pt>
                <c:pt idx="44">
                  <c:v>0.25</c:v>
                </c:pt>
                <c:pt idx="45">
                  <c:v>0.25</c:v>
                </c:pt>
                <c:pt idx="46">
                  <c:v>0.25</c:v>
                </c:pt>
                <c:pt idx="47">
                  <c:v>0.25</c:v>
                </c:pt>
                <c:pt idx="48">
                  <c:v>0.25</c:v>
                </c:pt>
                <c:pt idx="49">
                  <c:v>0.25</c:v>
                </c:pt>
                <c:pt idx="50">
                  <c:v>0.25</c:v>
                </c:pt>
                <c:pt idx="51">
                  <c:v>0.25</c:v>
                </c:pt>
                <c:pt idx="52">
                  <c:v>0.25</c:v>
                </c:pt>
                <c:pt idx="53">
                  <c:v>0.25</c:v>
                </c:pt>
                <c:pt idx="54">
                  <c:v>0.25</c:v>
                </c:pt>
                <c:pt idx="55">
                  <c:v>0.25</c:v>
                </c:pt>
                <c:pt idx="56">
                  <c:v>0.24249999999999999</c:v>
                </c:pt>
                <c:pt idx="57">
                  <c:v>0.24249999999999999</c:v>
                </c:pt>
                <c:pt idx="58">
                  <c:v>0.24249999999999999</c:v>
                </c:pt>
                <c:pt idx="59">
                  <c:v>0.24249999999999999</c:v>
                </c:pt>
                <c:pt idx="60">
                  <c:v>0.24249999999999999</c:v>
                </c:pt>
                <c:pt idx="61">
                  <c:v>0.24249999999999999</c:v>
                </c:pt>
                <c:pt idx="62">
                  <c:v>0.24249999999999999</c:v>
                </c:pt>
                <c:pt idx="63">
                  <c:v>0.24249999999999999</c:v>
                </c:pt>
                <c:pt idx="64">
                  <c:v>0.24249999999999999</c:v>
                </c:pt>
                <c:pt idx="65">
                  <c:v>0.24249999999999999</c:v>
                </c:pt>
                <c:pt idx="66">
                  <c:v>0.24249999999999999</c:v>
                </c:pt>
                <c:pt idx="67">
                  <c:v>0.24249999999999999</c:v>
                </c:pt>
                <c:pt idx="68">
                  <c:v>0.24249999999999999</c:v>
                </c:pt>
                <c:pt idx="69">
                  <c:v>0.24249999999999999</c:v>
                </c:pt>
                <c:pt idx="70">
                  <c:v>0.23749999999999999</c:v>
                </c:pt>
                <c:pt idx="71">
                  <c:v>0.23749999999999999</c:v>
                </c:pt>
                <c:pt idx="72">
                  <c:v>0.23749999999999999</c:v>
                </c:pt>
                <c:pt idx="73">
                  <c:v>0.23749999999999999</c:v>
                </c:pt>
                <c:pt idx="74">
                  <c:v>0.23749999999999999</c:v>
                </c:pt>
                <c:pt idx="75">
                  <c:v>0.23749999999999999</c:v>
                </c:pt>
                <c:pt idx="76">
                  <c:v>0.23749999999999999</c:v>
                </c:pt>
                <c:pt idx="77">
                  <c:v>0.23749999999999999</c:v>
                </c:pt>
                <c:pt idx="78">
                  <c:v>0.23749999999999999</c:v>
                </c:pt>
                <c:pt idx="79">
                  <c:v>0.23749999999999999</c:v>
                </c:pt>
                <c:pt idx="80">
                  <c:v>0.23749999999999999</c:v>
                </c:pt>
                <c:pt idx="81">
                  <c:v>0.23749999999999999</c:v>
                </c:pt>
                <c:pt idx="82">
                  <c:v>0.23749999999999999</c:v>
                </c:pt>
                <c:pt idx="83">
                  <c:v>0.23749999999999999</c:v>
                </c:pt>
                <c:pt idx="84">
                  <c:v>0.23249999999999998</c:v>
                </c:pt>
                <c:pt idx="85">
                  <c:v>0.23249999999999998</c:v>
                </c:pt>
                <c:pt idx="86">
                  <c:v>0.23249999999999998</c:v>
                </c:pt>
                <c:pt idx="87">
                  <c:v>0.23249999999999998</c:v>
                </c:pt>
                <c:pt idx="88">
                  <c:v>0.23249999999999998</c:v>
                </c:pt>
                <c:pt idx="89">
                  <c:v>0.23249999999999998</c:v>
                </c:pt>
                <c:pt idx="90">
                  <c:v>0.23249999999999998</c:v>
                </c:pt>
                <c:pt idx="91">
                  <c:v>0.23249999999999998</c:v>
                </c:pt>
                <c:pt idx="92">
                  <c:v>0.23249999999999998</c:v>
                </c:pt>
                <c:pt idx="93">
                  <c:v>0.23249999999999998</c:v>
                </c:pt>
                <c:pt idx="94">
                  <c:v>0.23249999999999998</c:v>
                </c:pt>
                <c:pt idx="95">
                  <c:v>0.23249999999999998</c:v>
                </c:pt>
                <c:pt idx="96">
                  <c:v>0.23249999999999998</c:v>
                </c:pt>
                <c:pt idx="97">
                  <c:v>0.23249999999999998</c:v>
                </c:pt>
                <c:pt idx="98">
                  <c:v>0.23249999999999998</c:v>
                </c:pt>
                <c:pt idx="99">
                  <c:v>0.23249999999999998</c:v>
                </c:pt>
                <c:pt idx="100">
                  <c:v>0.23249999999999998</c:v>
                </c:pt>
                <c:pt idx="101">
                  <c:v>0.23249999999999998</c:v>
                </c:pt>
                <c:pt idx="102">
                  <c:v>0.23249999999999998</c:v>
                </c:pt>
                <c:pt idx="103">
                  <c:v>0.23249999999999998</c:v>
                </c:pt>
                <c:pt idx="104">
                  <c:v>0.23249999999999998</c:v>
                </c:pt>
                <c:pt idx="105">
                  <c:v>0.22249999999999998</c:v>
                </c:pt>
                <c:pt idx="106">
                  <c:v>0.22249999999999998</c:v>
                </c:pt>
                <c:pt idx="107">
                  <c:v>0.22249999999999998</c:v>
                </c:pt>
                <c:pt idx="108">
                  <c:v>0.22249999999999998</c:v>
                </c:pt>
                <c:pt idx="109">
                  <c:v>0.22249999999999998</c:v>
                </c:pt>
                <c:pt idx="110">
                  <c:v>0.22249999999999998</c:v>
                </c:pt>
                <c:pt idx="111">
                  <c:v>0.22249999999999998</c:v>
                </c:pt>
                <c:pt idx="112">
                  <c:v>0.22249999999999998</c:v>
                </c:pt>
                <c:pt idx="113">
                  <c:v>0.22249999999999998</c:v>
                </c:pt>
                <c:pt idx="114">
                  <c:v>0.22249999999999998</c:v>
                </c:pt>
                <c:pt idx="115">
                  <c:v>0.22249999999999998</c:v>
                </c:pt>
                <c:pt idx="116">
                  <c:v>0.22249999999999998</c:v>
                </c:pt>
                <c:pt idx="117">
                  <c:v>0.22249999999999998</c:v>
                </c:pt>
                <c:pt idx="118">
                  <c:v>0.22249999999999998</c:v>
                </c:pt>
                <c:pt idx="119">
                  <c:v>0.21249999999999997</c:v>
                </c:pt>
                <c:pt idx="120">
                  <c:v>0.21249999999999997</c:v>
                </c:pt>
                <c:pt idx="121">
                  <c:v>0.21249999999999997</c:v>
                </c:pt>
                <c:pt idx="122">
                  <c:v>0.21249999999999997</c:v>
                </c:pt>
                <c:pt idx="123">
                  <c:v>0.21249999999999997</c:v>
                </c:pt>
                <c:pt idx="124">
                  <c:v>0.21249999999999997</c:v>
                </c:pt>
                <c:pt idx="125">
                  <c:v>0.21249999999999997</c:v>
                </c:pt>
                <c:pt idx="126">
                  <c:v>0.21249999999999997</c:v>
                </c:pt>
                <c:pt idx="127">
                  <c:v>0.21249999999999997</c:v>
                </c:pt>
                <c:pt idx="128">
                  <c:v>0.21249999999999997</c:v>
                </c:pt>
                <c:pt idx="129">
                  <c:v>0.21249999999999997</c:v>
                </c:pt>
                <c:pt idx="130">
                  <c:v>0.21249999999999997</c:v>
                </c:pt>
                <c:pt idx="131">
                  <c:v>0.21249999999999997</c:v>
                </c:pt>
                <c:pt idx="132">
                  <c:v>0.21249999999999997</c:v>
                </c:pt>
                <c:pt idx="133">
                  <c:v>0.20249999999999996</c:v>
                </c:pt>
                <c:pt idx="134">
                  <c:v>0.20249999999999996</c:v>
                </c:pt>
                <c:pt idx="135">
                  <c:v>0.20249999999999996</c:v>
                </c:pt>
                <c:pt idx="136">
                  <c:v>0.20249999999999996</c:v>
                </c:pt>
                <c:pt idx="137">
                  <c:v>0.20249999999999996</c:v>
                </c:pt>
                <c:pt idx="138">
                  <c:v>0.20249999999999996</c:v>
                </c:pt>
                <c:pt idx="139">
                  <c:v>0.20249999999999996</c:v>
                </c:pt>
                <c:pt idx="140">
                  <c:v>0.20249999999999996</c:v>
                </c:pt>
                <c:pt idx="141">
                  <c:v>0.20249999999999996</c:v>
                </c:pt>
                <c:pt idx="142">
                  <c:v>0.20249999999999996</c:v>
                </c:pt>
                <c:pt idx="143">
                  <c:v>0.20249999999999996</c:v>
                </c:pt>
                <c:pt idx="144">
                  <c:v>0.20249999999999996</c:v>
                </c:pt>
                <c:pt idx="145">
                  <c:v>0.20249999999999996</c:v>
                </c:pt>
                <c:pt idx="146">
                  <c:v>0.20249999999999996</c:v>
                </c:pt>
                <c:pt idx="147">
                  <c:v>0.20249999999999996</c:v>
                </c:pt>
                <c:pt idx="148">
                  <c:v>0.20249999999999996</c:v>
                </c:pt>
                <c:pt idx="149">
                  <c:v>0.20249999999999996</c:v>
                </c:pt>
                <c:pt idx="150">
                  <c:v>0.20249999999999996</c:v>
                </c:pt>
                <c:pt idx="151">
                  <c:v>0.20249999999999996</c:v>
                </c:pt>
                <c:pt idx="152">
                  <c:v>0.20249999999999996</c:v>
                </c:pt>
                <c:pt idx="153">
                  <c:v>0.20249999999999996</c:v>
                </c:pt>
                <c:pt idx="154">
                  <c:v>0.20249999999999996</c:v>
                </c:pt>
                <c:pt idx="155">
                  <c:v>0.20249999999999996</c:v>
                </c:pt>
                <c:pt idx="156">
                  <c:v>0.20249999999999996</c:v>
                </c:pt>
                <c:pt idx="157">
                  <c:v>0.20249999999999996</c:v>
                </c:pt>
                <c:pt idx="158">
                  <c:v>0.20249999999999996</c:v>
                </c:pt>
                <c:pt idx="159">
                  <c:v>0.20249999999999996</c:v>
                </c:pt>
                <c:pt idx="160">
                  <c:v>0.20249999999999996</c:v>
                </c:pt>
                <c:pt idx="161">
                  <c:v>0.20249999999999996</c:v>
                </c:pt>
                <c:pt idx="162">
                  <c:v>0.20249999999999996</c:v>
                </c:pt>
                <c:pt idx="163">
                  <c:v>0.20249999999999996</c:v>
                </c:pt>
                <c:pt idx="164">
                  <c:v>0.20249999999999996</c:v>
                </c:pt>
                <c:pt idx="165">
                  <c:v>0.20249999999999996</c:v>
                </c:pt>
                <c:pt idx="166">
                  <c:v>0.20249999999999996</c:v>
                </c:pt>
                <c:pt idx="167">
                  <c:v>0.20249999999999996</c:v>
                </c:pt>
                <c:pt idx="168">
                  <c:v>0.20249999999999996</c:v>
                </c:pt>
                <c:pt idx="169">
                  <c:v>0.20249999999999996</c:v>
                </c:pt>
                <c:pt idx="170">
                  <c:v>0.20249999999999996</c:v>
                </c:pt>
                <c:pt idx="171">
                  <c:v>0.20249999999999996</c:v>
                </c:pt>
                <c:pt idx="172">
                  <c:v>0.20249999999999996</c:v>
                </c:pt>
                <c:pt idx="173">
                  <c:v>0.20249999999999996</c:v>
                </c:pt>
                <c:pt idx="174">
                  <c:v>0.20249999999999996</c:v>
                </c:pt>
                <c:pt idx="175">
                  <c:v>0.20249999999999996</c:v>
                </c:pt>
                <c:pt idx="176">
                  <c:v>0.20249999999999996</c:v>
                </c:pt>
                <c:pt idx="177">
                  <c:v>0.20249999999999996</c:v>
                </c:pt>
                <c:pt idx="178">
                  <c:v>0.20249999999999996</c:v>
                </c:pt>
                <c:pt idx="179">
                  <c:v>0.20249999999999996</c:v>
                </c:pt>
                <c:pt idx="180">
                  <c:v>0.20249999999999996</c:v>
                </c:pt>
                <c:pt idx="181">
                  <c:v>0.20249999999999996</c:v>
                </c:pt>
                <c:pt idx="182">
                  <c:v>0.20249999999999996</c:v>
                </c:pt>
                <c:pt idx="183">
                  <c:v>0.20249999999999996</c:v>
                </c:pt>
                <c:pt idx="184">
                  <c:v>0.20249999999999996</c:v>
                </c:pt>
                <c:pt idx="185">
                  <c:v>0.20249999999999996</c:v>
                </c:pt>
                <c:pt idx="186">
                  <c:v>0.20249999999999996</c:v>
                </c:pt>
                <c:pt idx="187">
                  <c:v>0.20249999999999996</c:v>
                </c:pt>
                <c:pt idx="188">
                  <c:v>0.20249999999999996</c:v>
                </c:pt>
                <c:pt idx="189">
                  <c:v>0.20249999999999996</c:v>
                </c:pt>
                <c:pt idx="190">
                  <c:v>0.20249999999999996</c:v>
                </c:pt>
                <c:pt idx="191">
                  <c:v>0.20249999999999996</c:v>
                </c:pt>
                <c:pt idx="192">
                  <c:v>0.20249999999999996</c:v>
                </c:pt>
                <c:pt idx="193">
                  <c:v>0.20249999999999996</c:v>
                </c:pt>
                <c:pt idx="194">
                  <c:v>0.20249999999999996</c:v>
                </c:pt>
                <c:pt idx="195">
                  <c:v>0.20249999999999996</c:v>
                </c:pt>
                <c:pt idx="196">
                  <c:v>0.19249999999999995</c:v>
                </c:pt>
                <c:pt idx="197">
                  <c:v>0.19249999999999995</c:v>
                </c:pt>
                <c:pt idx="198">
                  <c:v>0.19249999999999995</c:v>
                </c:pt>
                <c:pt idx="199">
                  <c:v>0.19249999999999995</c:v>
                </c:pt>
                <c:pt idx="200">
                  <c:v>0.19249999999999995</c:v>
                </c:pt>
                <c:pt idx="201">
                  <c:v>0.19249999999999995</c:v>
                </c:pt>
                <c:pt idx="202">
                  <c:v>0.19249999999999995</c:v>
                </c:pt>
                <c:pt idx="203">
                  <c:v>0.19249999999999995</c:v>
                </c:pt>
                <c:pt idx="204">
                  <c:v>0.19249999999999995</c:v>
                </c:pt>
                <c:pt idx="205">
                  <c:v>0.19249999999999995</c:v>
                </c:pt>
                <c:pt idx="206">
                  <c:v>0.19249999999999995</c:v>
                </c:pt>
                <c:pt idx="207">
                  <c:v>0.19249999999999995</c:v>
                </c:pt>
                <c:pt idx="208">
                  <c:v>0.19249999999999995</c:v>
                </c:pt>
                <c:pt idx="209">
                  <c:v>0.19249999999999995</c:v>
                </c:pt>
                <c:pt idx="210">
                  <c:v>0.19249999999999995</c:v>
                </c:pt>
                <c:pt idx="211">
                  <c:v>0.19249999999999995</c:v>
                </c:pt>
                <c:pt idx="212">
                  <c:v>0.19249999999999995</c:v>
                </c:pt>
                <c:pt idx="213">
                  <c:v>0.19249999999999995</c:v>
                </c:pt>
                <c:pt idx="214">
                  <c:v>0.19249999999999995</c:v>
                </c:pt>
                <c:pt idx="215">
                  <c:v>0.19249999999999995</c:v>
                </c:pt>
                <c:pt idx="216">
                  <c:v>0.19249999999999995</c:v>
                </c:pt>
                <c:pt idx="217">
                  <c:v>0.19249999999999995</c:v>
                </c:pt>
                <c:pt idx="218">
                  <c:v>0.19249999999999995</c:v>
                </c:pt>
                <c:pt idx="219">
                  <c:v>0.19249999999999995</c:v>
                </c:pt>
                <c:pt idx="220">
                  <c:v>0.19249999999999995</c:v>
                </c:pt>
                <c:pt idx="221">
                  <c:v>0.19249999999999995</c:v>
                </c:pt>
                <c:pt idx="222">
                  <c:v>0.19249999999999995</c:v>
                </c:pt>
                <c:pt idx="223">
                  <c:v>0.19249999999999995</c:v>
                </c:pt>
                <c:pt idx="224">
                  <c:v>0.19249999999999995</c:v>
                </c:pt>
                <c:pt idx="225">
                  <c:v>0.19249999999999995</c:v>
                </c:pt>
                <c:pt idx="226">
                  <c:v>0.19249999999999995</c:v>
                </c:pt>
                <c:pt idx="227">
                  <c:v>0.19249999999999995</c:v>
                </c:pt>
                <c:pt idx="228">
                  <c:v>0.19249999999999995</c:v>
                </c:pt>
                <c:pt idx="229">
                  <c:v>0.19249999999999995</c:v>
                </c:pt>
                <c:pt idx="230">
                  <c:v>0.19249999999999995</c:v>
                </c:pt>
                <c:pt idx="231">
                  <c:v>0.19249999999999995</c:v>
                </c:pt>
                <c:pt idx="232">
                  <c:v>0.19249999999999995</c:v>
                </c:pt>
                <c:pt idx="233">
                  <c:v>0.19249999999999995</c:v>
                </c:pt>
                <c:pt idx="234">
                  <c:v>0.19249999999999995</c:v>
                </c:pt>
                <c:pt idx="235">
                  <c:v>0.19249999999999995</c:v>
                </c:pt>
                <c:pt idx="236">
                  <c:v>0.19249999999999995</c:v>
                </c:pt>
                <c:pt idx="237">
                  <c:v>0.19249999999999995</c:v>
                </c:pt>
                <c:pt idx="238">
                  <c:v>0.19249999999999995</c:v>
                </c:pt>
                <c:pt idx="239">
                  <c:v>0.19249999999999995</c:v>
                </c:pt>
                <c:pt idx="240">
                  <c:v>0.19249999999999995</c:v>
                </c:pt>
                <c:pt idx="241">
                  <c:v>0.19249999999999995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601-43B3-A8DF-990C71FC22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0241408"/>
        <c:axId val="180172416"/>
      </c:lineChart>
      <c:dateAx>
        <c:axId val="180241408"/>
        <c:scaling>
          <c:orientation val="minMax"/>
        </c:scaling>
        <c:delete val="0"/>
        <c:axPos val="b"/>
        <c:numFmt formatCode="[$-409]mmm/yy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s-MX"/>
          </a:p>
        </c:txPr>
        <c:crossAx val="180172416"/>
        <c:crosses val="autoZero"/>
        <c:auto val="1"/>
        <c:lblOffset val="100"/>
        <c:baseTimeUnit val="days"/>
        <c:majorUnit val="4"/>
      </c:dateAx>
      <c:valAx>
        <c:axId val="180172416"/>
        <c:scaling>
          <c:orientation val="minMax"/>
          <c:min val="0.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0.0%" sourceLinked="0"/>
        <c:majorTickMark val="none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s-MX"/>
          </a:p>
        </c:txPr>
        <c:crossAx val="180241408"/>
        <c:crosses val="autoZero"/>
        <c:crossBetween val="between"/>
        <c:minorUnit val="2.5000000000000005E-3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8897860741275575E-2"/>
          <c:y val="0.8983700930979106"/>
          <c:w val="0.92525268139437322"/>
          <c:h val="8.472036341760071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b="0">
          <a:solidFill>
            <a:schemeClr val="tx1"/>
          </a:solidFill>
          <a:latin typeface="Arial Narrow" panose="020B0606020202030204" pitchFamily="34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256</xdr:row>
      <xdr:rowOff>109536</xdr:rowOff>
    </xdr:from>
    <xdr:to>
      <xdr:col>14</xdr:col>
      <xdr:colOff>752474</xdr:colOff>
      <xdr:row>283</xdr:row>
      <xdr:rowOff>104774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D3768F5-3192-4026-8EFB-B45312FD4E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152400</xdr:colOff>
      <xdr:row>1</xdr:row>
      <xdr:rowOff>161925</xdr:rowOff>
    </xdr:from>
    <xdr:to>
      <xdr:col>27</xdr:col>
      <xdr:colOff>438150</xdr:colOff>
      <xdr:row>27</xdr:row>
      <xdr:rowOff>171450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7461CFF5-01F9-4ECB-BBAD-4CE94B2762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256</xdr:row>
      <xdr:rowOff>109536</xdr:rowOff>
    </xdr:from>
    <xdr:to>
      <xdr:col>11</xdr:col>
      <xdr:colOff>752474</xdr:colOff>
      <xdr:row>283</xdr:row>
      <xdr:rowOff>104774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3F6757C9-06CD-46B9-AAAB-D3BB035D4BD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133350</xdr:colOff>
      <xdr:row>11</xdr:row>
      <xdr:rowOff>76200</xdr:rowOff>
    </xdr:from>
    <xdr:to>
      <xdr:col>17</xdr:col>
      <xdr:colOff>19050</xdr:colOff>
      <xdr:row>37</xdr:row>
      <xdr:rowOff>85725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CBEA63C3-736D-4A04-A13B-DA4F159667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19050</xdr:colOff>
      <xdr:row>3</xdr:row>
      <xdr:rowOff>104775</xdr:rowOff>
    </xdr:from>
    <xdr:to>
      <xdr:col>12</xdr:col>
      <xdr:colOff>657225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F8745B67-D600-428E-8A4A-8F3B6C3E88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Excel">
  <a:themeElements>
    <a:clrScheme name="CC">
      <a:dk1>
        <a:srgbClr val="59594F"/>
      </a:dk1>
      <a:lt1>
        <a:sysClr val="window" lastClr="FFFFFF"/>
      </a:lt1>
      <a:dk2>
        <a:srgbClr val="CE6116"/>
      </a:dk2>
      <a:lt2>
        <a:srgbClr val="151929"/>
      </a:lt2>
      <a:accent1>
        <a:srgbClr val="E87D1E"/>
      </a:accent1>
      <a:accent2>
        <a:srgbClr val="8D5615"/>
      </a:accent2>
      <a:accent3>
        <a:srgbClr val="9BB0B0"/>
      </a:accent3>
      <a:accent4>
        <a:srgbClr val="EDBE86"/>
      </a:accent4>
      <a:accent5>
        <a:srgbClr val="C3D0D0"/>
      </a:accent5>
      <a:accent6>
        <a:srgbClr val="597B7C"/>
      </a:accent6>
      <a:hlink>
        <a:srgbClr val="0000FF"/>
      </a:hlink>
      <a:folHlink>
        <a:srgbClr val="800080"/>
      </a:folHlink>
    </a:clrScheme>
    <a:fontScheme name="Clásico de Office 2">
      <a:majorFont>
        <a:latin typeface="Arial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ajorFont>
      <a:minorFont>
        <a:latin typeface="Arial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C1D61A-427F-40AB-9718-4019B585C1F7}">
  <sheetPr codeName="Hoja2"/>
  <dimension ref="A1:P397"/>
  <sheetViews>
    <sheetView tabSelected="1" zoomScaleNormal="100" workbookViewId="0">
      <selection activeCell="N16" sqref="N16"/>
    </sheetView>
  </sheetViews>
  <sheetFormatPr baseColWidth="10" defaultRowHeight="14.25" x14ac:dyDescent="0.2"/>
  <cols>
    <col min="2" max="2" width="11.25" bestFit="1" customWidth="1"/>
    <col min="4" max="4" width="13.5" bestFit="1" customWidth="1"/>
    <col min="5" max="5" width="11.875" bestFit="1" customWidth="1"/>
    <col min="6" max="6" width="9.625" bestFit="1" customWidth="1"/>
    <col min="7" max="7" width="8" style="1" customWidth="1"/>
    <col min="8" max="8" width="11" customWidth="1"/>
    <col min="9" max="9" width="12.375" bestFit="1" customWidth="1"/>
    <col min="10" max="12" width="12.375" customWidth="1"/>
    <col min="13" max="13" width="9.625" bestFit="1" customWidth="1"/>
    <col min="14" max="14" width="12.25" bestFit="1" customWidth="1"/>
    <col min="16" max="16" width="12.25" bestFit="1" customWidth="1"/>
  </cols>
  <sheetData>
    <row r="1" spans="1:14" ht="15" x14ac:dyDescent="0.25">
      <c r="A1" s="33" t="s">
        <v>14</v>
      </c>
      <c r="B1" s="33" t="s">
        <v>13</v>
      </c>
      <c r="C1" s="33" t="s">
        <v>12</v>
      </c>
      <c r="D1" s="33" t="s">
        <v>10</v>
      </c>
      <c r="E1" s="33" t="s">
        <v>11</v>
      </c>
      <c r="F1" s="35" t="s">
        <v>6</v>
      </c>
      <c r="G1" s="33" t="s">
        <v>4</v>
      </c>
      <c r="H1" s="33" t="s">
        <v>5</v>
      </c>
      <c r="I1" s="33" t="s">
        <v>9</v>
      </c>
      <c r="J1" s="33" t="s">
        <v>23</v>
      </c>
      <c r="K1" s="33" t="s">
        <v>24</v>
      </c>
      <c r="L1" s="33" t="s">
        <v>6</v>
      </c>
      <c r="M1" s="33" t="s">
        <v>7</v>
      </c>
      <c r="N1" s="33" t="s">
        <v>8</v>
      </c>
    </row>
    <row r="2" spans="1:14" x14ac:dyDescent="0.2">
      <c r="A2" s="9">
        <v>43180</v>
      </c>
      <c r="B2" s="13">
        <f t="shared" ref="B2:B9" ca="1" si="0">+A2-$B$12</f>
        <v>22</v>
      </c>
      <c r="C2" s="5">
        <f t="shared" ref="C2:C9" ca="1" si="1">+B2/365</f>
        <v>6.0273972602739728E-2</v>
      </c>
      <c r="D2" s="2">
        <v>26.593900000000001</v>
      </c>
      <c r="E2" s="2">
        <v>26.450500000000002</v>
      </c>
      <c r="F2" s="6">
        <f t="shared" ref="F2:F9" si="2">+AVERAGE(D2:E2)/100</f>
        <v>0.26522200000000001</v>
      </c>
      <c r="G2" s="6"/>
      <c r="H2" s="9">
        <f>+VLOOKUP(A2,$A$20:$E$38,1,TRUE)</f>
        <v>43172</v>
      </c>
      <c r="I2" s="26">
        <f>+VLOOKUP($A2,$A$20:$E$38,2,TRUE)</f>
        <v>0.26250000000000001</v>
      </c>
      <c r="J2" s="9">
        <f ca="1">+B12</f>
        <v>43158</v>
      </c>
      <c r="K2" s="26">
        <f ca="1">+(VLOOKUP(A2,$A$20:$E$38,5,TRUE)+I2*(A2-H2)/365)/C2</f>
        <v>0.26568181818181819</v>
      </c>
      <c r="L2" s="26">
        <f>+AVERAGE(D2:E2)/100</f>
        <v>0.26522200000000001</v>
      </c>
      <c r="M2" s="27">
        <f ca="1">+(VLOOKUP(A2,$A$20:$E$38,5,TRUE)+I2*(A2-H2)/365)/C2</f>
        <v>0.26568181818181819</v>
      </c>
      <c r="N2" s="2">
        <f t="shared" ref="N2:N9" ca="1" si="3">+(F2-M2)^2</f>
        <v>2.1143276033056982E-7</v>
      </c>
    </row>
    <row r="3" spans="1:14" x14ac:dyDescent="0.2">
      <c r="A3" s="9">
        <v>43208</v>
      </c>
      <c r="B3" s="13">
        <f t="shared" ca="1" si="0"/>
        <v>50</v>
      </c>
      <c r="C3" s="5">
        <f t="shared" ca="1" si="1"/>
        <v>0.13698630136986301</v>
      </c>
      <c r="D3" s="2">
        <v>26.529399999999999</v>
      </c>
      <c r="E3" s="2">
        <v>26.4255</v>
      </c>
      <c r="F3" s="6">
        <f t="shared" si="2"/>
        <v>0.26477449999999997</v>
      </c>
      <c r="G3" s="6">
        <f t="shared" ref="G3:G9" ca="1" si="4">+((1+F3*C3)/(1+F2*C2)-1)/(C3-C2)</f>
        <v>0.26026234331519227</v>
      </c>
      <c r="H3" s="9">
        <f>+VLOOKUP(A3,$A$20:$E$38,1,TRUE)</f>
        <v>43200</v>
      </c>
      <c r="I3" s="26">
        <f>+VLOOKUP($A3,$A$20:$E$38,2,TRUE)</f>
        <v>0.25</v>
      </c>
      <c r="J3" s="9">
        <f>+A2</f>
        <v>43180</v>
      </c>
      <c r="K3" s="26" t="e">
        <f>+retornoLebac(J3,A22:A31,B22:B31,COUNT(B22:B31))</f>
        <v>#VALUE!</v>
      </c>
      <c r="L3" s="26">
        <f t="shared" ref="L3:L9" si="5">+AVERAGE(D3:E3)/100</f>
        <v>0.26477449999999997</v>
      </c>
      <c r="M3" s="27">
        <f ca="1">((VLOOKUP(A3,$A$20:$E$38,5,TRUE)+I3*(A3-H3)/365)*(1+M2*C2))/C3</f>
        <v>0.26467156849315071</v>
      </c>
      <c r="N3" s="2">
        <f t="shared" ca="1" si="3"/>
        <v>1.0594895102258755E-8</v>
      </c>
    </row>
    <row r="4" spans="1:14" x14ac:dyDescent="0.2">
      <c r="A4" s="9">
        <v>43236</v>
      </c>
      <c r="B4" s="13">
        <f t="shared" ca="1" si="0"/>
        <v>78</v>
      </c>
      <c r="C4" s="5">
        <f t="shared" ca="1" si="1"/>
        <v>0.21369863013698631</v>
      </c>
      <c r="D4" s="2">
        <v>26.349799999999998</v>
      </c>
      <c r="E4" s="2">
        <v>26.2653</v>
      </c>
      <c r="F4" s="6">
        <f t="shared" si="2"/>
        <v>0.26307550000000002</v>
      </c>
      <c r="G4" s="6">
        <f t="shared" ca="1" si="4"/>
        <v>0.2509398623089939</v>
      </c>
      <c r="H4" s="9">
        <f>+VLOOKUP(A4,$A$20:$E$38,1,TRUE)</f>
        <v>43228</v>
      </c>
      <c r="I4" s="26">
        <f>+VLOOKUP($A4,$A$20:$E$38,2,TRUE)</f>
        <v>0.23749999999999999</v>
      </c>
      <c r="J4" s="9">
        <f t="shared" ref="J4:J9" si="6">+A3</f>
        <v>43208</v>
      </c>
      <c r="K4" s="26"/>
      <c r="L4" s="26">
        <f t="shared" si="5"/>
        <v>0.26307550000000002</v>
      </c>
      <c r="M4" s="27">
        <f t="shared" ref="M4:M9" ca="1" si="7">((VLOOKUP(A4,$A$20:$E$38,5,TRUE)+I4*(A4-H4)/365)*(1+M3*C3))/C4</f>
        <v>0.26331540303395551</v>
      </c>
      <c r="N4" s="2">
        <f t="shared" ca="1" si="3"/>
        <v>5.7553465701049392E-8</v>
      </c>
    </row>
    <row r="5" spans="1:14" x14ac:dyDescent="0.2">
      <c r="A5" s="9">
        <v>43272</v>
      </c>
      <c r="B5" s="13">
        <f t="shared" ca="1" si="0"/>
        <v>114</v>
      </c>
      <c r="C5" s="5">
        <f t="shared" ca="1" si="1"/>
        <v>0.31232876712328766</v>
      </c>
      <c r="D5" s="2">
        <v>26.148399999999999</v>
      </c>
      <c r="E5" s="2">
        <v>26.076699999999999</v>
      </c>
      <c r="F5" s="6">
        <f t="shared" si="2"/>
        <v>0.26112550000000001</v>
      </c>
      <c r="G5" s="6">
        <f t="shared" ca="1" si="4"/>
        <v>0.24322657578893367</v>
      </c>
      <c r="H5" s="9">
        <f>+VLOOKUP(A5,$A$20:$E$38,1,TRUE)</f>
        <v>43263</v>
      </c>
      <c r="I5" s="26">
        <f>+VLOOKUP($A5,$A$20:$E$38,2,TRUE)</f>
        <v>0.22249999999999998</v>
      </c>
      <c r="J5" s="9">
        <f t="shared" si="6"/>
        <v>43236</v>
      </c>
      <c r="K5" s="26"/>
      <c r="L5" s="26">
        <f t="shared" si="5"/>
        <v>0.26112550000000001</v>
      </c>
      <c r="M5" s="27">
        <f t="shared" ca="1" si="7"/>
        <v>0.26063929003635961</v>
      </c>
      <c r="N5" s="2">
        <f t="shared" ca="1" si="3"/>
        <v>2.3640012874320387E-7</v>
      </c>
    </row>
    <row r="6" spans="1:14" x14ac:dyDescent="0.2">
      <c r="A6" s="9">
        <v>43299</v>
      </c>
      <c r="B6" s="13">
        <f t="shared" ca="1" si="0"/>
        <v>141</v>
      </c>
      <c r="C6" s="5">
        <f t="shared" ca="1" si="1"/>
        <v>0.38630136986301372</v>
      </c>
      <c r="D6" s="2">
        <v>25.995999999999999</v>
      </c>
      <c r="E6" s="2">
        <v>25.571000000000002</v>
      </c>
      <c r="F6" s="6">
        <f t="shared" si="2"/>
        <v>0.25783499999999998</v>
      </c>
      <c r="G6" s="6">
        <f t="shared" ca="1" si="4"/>
        <v>0.22554685193836854</v>
      </c>
      <c r="H6" s="9">
        <f>+VLOOKUP(A6,$A$20:$E$38,1,TRUE)</f>
        <v>43291</v>
      </c>
      <c r="I6" s="26">
        <f>+VLOOKUP($A6,$A$20:$E$38,2,TRUE)</f>
        <v>0.20249999999999996</v>
      </c>
      <c r="J6" s="9">
        <f t="shared" si="6"/>
        <v>43272</v>
      </c>
      <c r="K6" s="26"/>
      <c r="L6" s="26">
        <f t="shared" si="5"/>
        <v>0.25783499999999998</v>
      </c>
      <c r="M6" s="27">
        <f t="shared" ca="1" si="7"/>
        <v>0.25951806169888286</v>
      </c>
      <c r="N6" s="2">
        <f t="shared" ca="1" si="3"/>
        <v>2.8326966822465319E-6</v>
      </c>
    </row>
    <row r="7" spans="1:14" x14ac:dyDescent="0.2">
      <c r="A7" s="9">
        <v>43327</v>
      </c>
      <c r="B7" s="13">
        <f t="shared" ca="1" si="0"/>
        <v>169</v>
      </c>
      <c r="C7" s="5">
        <f t="shared" ca="1" si="1"/>
        <v>0.46301369863013697</v>
      </c>
      <c r="D7" s="2">
        <v>25.763100000000001</v>
      </c>
      <c r="E7" s="2">
        <v>25.6218</v>
      </c>
      <c r="F7" s="6">
        <f t="shared" si="2"/>
        <v>0.2569245</v>
      </c>
      <c r="G7" s="6">
        <f t="shared" ca="1" si="4"/>
        <v>0.22948255732461337</v>
      </c>
      <c r="H7" s="9">
        <f>+VLOOKUP(A7,$A$20:$E$38,1,TRUE)</f>
        <v>43319</v>
      </c>
      <c r="I7" s="26">
        <f>+VLOOKUP($A7,$A$20:$E$38,2,TRUE)</f>
        <v>0.20249999999999996</v>
      </c>
      <c r="J7" s="9">
        <f t="shared" si="6"/>
        <v>43299</v>
      </c>
      <c r="K7" s="26"/>
      <c r="L7" s="26">
        <f t="shared" si="5"/>
        <v>0.2569245</v>
      </c>
      <c r="M7" s="27">
        <f t="shared" ca="1" si="7"/>
        <v>0.2572083615949125</v>
      </c>
      <c r="N7" s="2">
        <f t="shared" ca="1" si="3"/>
        <v>8.0577405066270807E-8</v>
      </c>
    </row>
    <row r="8" spans="1:14" x14ac:dyDescent="0.2">
      <c r="A8" s="9">
        <v>43362</v>
      </c>
      <c r="B8" s="13">
        <f t="shared" ca="1" si="0"/>
        <v>204</v>
      </c>
      <c r="C8" s="5">
        <f t="shared" ca="1" si="1"/>
        <v>0.55890410958904113</v>
      </c>
      <c r="D8" s="2">
        <v>25.7331</v>
      </c>
      <c r="E8" s="2">
        <v>25.512499999999999</v>
      </c>
      <c r="F8" s="6">
        <f t="shared" si="2"/>
        <v>0.25622799999999996</v>
      </c>
      <c r="G8" s="6">
        <f t="shared" ca="1" si="4"/>
        <v>0.22598216089145848</v>
      </c>
      <c r="H8" s="9">
        <f>+VLOOKUP(A8,$A$20:$E$38,1,TRUE)</f>
        <v>43354</v>
      </c>
      <c r="I8" s="26">
        <f>+VLOOKUP($A8,$A$20:$E$38,2,TRUE)</f>
        <v>0.19249999999999995</v>
      </c>
      <c r="J8" s="9">
        <f t="shared" si="6"/>
        <v>43327</v>
      </c>
      <c r="K8" s="26"/>
      <c r="L8" s="26">
        <f t="shared" si="5"/>
        <v>0.25622799999999996</v>
      </c>
      <c r="M8" s="27">
        <f t="shared" ca="1" si="7"/>
        <v>0.25516920403962218</v>
      </c>
      <c r="N8" s="2">
        <f t="shared" ca="1" si="3"/>
        <v>1.1210488857123025E-6</v>
      </c>
    </row>
    <row r="9" spans="1:14" x14ac:dyDescent="0.2">
      <c r="A9" s="9">
        <v>43390</v>
      </c>
      <c r="B9" s="13">
        <f t="shared" ca="1" si="0"/>
        <v>232</v>
      </c>
      <c r="C9" s="5">
        <f t="shared" ca="1" si="1"/>
        <v>0.63561643835616444</v>
      </c>
      <c r="D9" s="2">
        <v>25.698799999999999</v>
      </c>
      <c r="E9" s="2">
        <v>25.3705</v>
      </c>
      <c r="F9" s="6">
        <f t="shared" si="2"/>
        <v>0.25534649999999998</v>
      </c>
      <c r="G9" s="6">
        <f t="shared" ca="1" si="4"/>
        <v>0.21774199117827608</v>
      </c>
      <c r="H9" s="9">
        <f>+VLOOKUP(A9,$A$20:$E$38,1,TRUE)</f>
        <v>43382</v>
      </c>
      <c r="I9" s="26">
        <f>+VLOOKUP($A9,$A$20:$E$38,2,TRUE)</f>
        <v>0.19249999999999995</v>
      </c>
      <c r="J9" s="9">
        <f t="shared" si="6"/>
        <v>43362</v>
      </c>
      <c r="K9" s="26"/>
      <c r="L9" s="26">
        <f t="shared" si="5"/>
        <v>0.25534649999999998</v>
      </c>
      <c r="M9" s="27">
        <f t="shared" ca="1" si="7"/>
        <v>0.25563550705335403</v>
      </c>
      <c r="N9" s="2">
        <f t="shared" ca="1" si="3"/>
        <v>8.3525076888391395E-8</v>
      </c>
    </row>
    <row r="11" spans="1:14" x14ac:dyDescent="0.2">
      <c r="B11" s="8"/>
    </row>
    <row r="12" spans="1:14" ht="15" x14ac:dyDescent="0.25">
      <c r="A12" s="4" t="s">
        <v>0</v>
      </c>
      <c r="B12" s="9">
        <f ca="1">+TODAY()</f>
        <v>43158</v>
      </c>
    </row>
    <row r="13" spans="1:14" ht="15" x14ac:dyDescent="0.25">
      <c r="A13" s="28" t="s">
        <v>1</v>
      </c>
      <c r="B13" s="16">
        <f ca="1">+SUM(N2:N9)</f>
        <v>4.6338292997905783E-6</v>
      </c>
    </row>
    <row r="14" spans="1:14" ht="15" x14ac:dyDescent="0.25">
      <c r="A14" s="38" t="s">
        <v>20</v>
      </c>
      <c r="B14" s="2" t="s">
        <v>21</v>
      </c>
    </row>
    <row r="15" spans="1:14" x14ac:dyDescent="0.2">
      <c r="A15" s="7"/>
    </row>
    <row r="16" spans="1:14" x14ac:dyDescent="0.2">
      <c r="A16" s="7"/>
      <c r="G16" s="17"/>
    </row>
    <row r="17" spans="1:16" x14ac:dyDescent="0.2">
      <c r="A17" s="10"/>
    </row>
    <row r="18" spans="1:16" x14ac:dyDescent="0.2">
      <c r="A18" s="7"/>
    </row>
    <row r="19" spans="1:16" ht="15" x14ac:dyDescent="0.25">
      <c r="A19" s="32" t="s">
        <v>3</v>
      </c>
      <c r="B19" s="33" t="s">
        <v>2</v>
      </c>
      <c r="C19" s="33" t="s">
        <v>15</v>
      </c>
      <c r="D19" s="33" t="s">
        <v>16</v>
      </c>
      <c r="E19" s="33" t="s">
        <v>22</v>
      </c>
      <c r="F19" s="34" t="s">
        <v>18</v>
      </c>
      <c r="G19" s="36" t="s">
        <v>19</v>
      </c>
      <c r="H19" s="14"/>
      <c r="I19" s="14"/>
      <c r="J19" s="14"/>
      <c r="K19" s="14"/>
      <c r="L19" s="14"/>
      <c r="M19" s="11"/>
      <c r="N19" s="11"/>
      <c r="O19" s="11"/>
      <c r="P19" s="11"/>
    </row>
    <row r="20" spans="1:16" s="20" customFormat="1" x14ac:dyDescent="0.2">
      <c r="A20" s="29">
        <f ca="1">+TODAY()</f>
        <v>43158</v>
      </c>
      <c r="B20" s="30">
        <v>0.27250000000000002</v>
      </c>
      <c r="C20" s="31"/>
      <c r="D20" s="31"/>
      <c r="E20" s="31"/>
      <c r="F20" s="31"/>
      <c r="G20" s="37"/>
      <c r="H20" s="19"/>
      <c r="I20" s="19"/>
      <c r="J20" s="19"/>
      <c r="K20" s="19"/>
      <c r="L20" s="19"/>
    </row>
    <row r="21" spans="1:16" s="20" customFormat="1" x14ac:dyDescent="0.2">
      <c r="A21" s="18">
        <v>43158</v>
      </c>
      <c r="B21" s="27">
        <f>+B20-G21*0.25%</f>
        <v>0.26750000000000002</v>
      </c>
      <c r="C21" s="19">
        <f ca="1">+(A21-$A$20)/365</f>
        <v>0</v>
      </c>
      <c r="D21" s="22">
        <f t="shared" ref="D21:D37" ca="1" si="8">+(A21-A20)/365</f>
        <v>0</v>
      </c>
      <c r="E21" s="19">
        <f ca="1">+B20*D21</f>
        <v>0</v>
      </c>
      <c r="F21" s="21" t="e">
        <f ca="1">+(E21-1)/D21</f>
        <v>#DIV/0!</v>
      </c>
      <c r="G21" s="25">
        <v>2</v>
      </c>
      <c r="H21" s="19"/>
      <c r="I21" s="19"/>
      <c r="J21" s="19"/>
      <c r="K21" s="19"/>
      <c r="L21" s="19"/>
      <c r="M21" s="23"/>
    </row>
    <row r="22" spans="1:16" x14ac:dyDescent="0.2">
      <c r="A22" s="9">
        <v>43172</v>
      </c>
      <c r="B22" s="27">
        <f>+B21-G22*0.25%</f>
        <v>0.26250000000000001</v>
      </c>
      <c r="C22" s="2">
        <f t="shared" ref="C22:C37" ca="1" si="9">+(A22-$A$20)/365</f>
        <v>3.8356164383561646E-2</v>
      </c>
      <c r="D22" s="12">
        <f>+(A22-A21)/365</f>
        <v>3.8356164383561646E-2</v>
      </c>
      <c r="E22" s="2">
        <f>+(B21*D22)</f>
        <v>1.0260273972602742E-2</v>
      </c>
      <c r="F22" s="3">
        <f ca="1">+(E22-1)/C22</f>
        <v>-25.803928571428571</v>
      </c>
      <c r="G22" s="25">
        <v>2</v>
      </c>
      <c r="H22" s="19"/>
      <c r="I22" s="19"/>
      <c r="J22" s="19"/>
      <c r="K22" s="19"/>
      <c r="L22" s="19"/>
    </row>
    <row r="23" spans="1:16" x14ac:dyDescent="0.2">
      <c r="A23" s="9">
        <v>43186</v>
      </c>
      <c r="B23" s="27">
        <f t="shared" ref="B23:B37" si="10">+B22-G23*0.25%</f>
        <v>0.25750000000000001</v>
      </c>
      <c r="C23" s="2">
        <f t="shared" ca="1" si="9"/>
        <v>7.6712328767123292E-2</v>
      </c>
      <c r="D23" s="12">
        <f t="shared" si="8"/>
        <v>3.8356164383561646E-2</v>
      </c>
      <c r="E23" s="2">
        <f>+(B22*D23)+E22</f>
        <v>2.0328767123287676E-2</v>
      </c>
      <c r="F23" s="3">
        <f t="shared" ref="F23:F37" ca="1" si="11">+(E23-1)/C23</f>
        <v>-12.770714285714284</v>
      </c>
      <c r="G23" s="25">
        <v>2</v>
      </c>
      <c r="H23" s="19"/>
      <c r="I23" s="19"/>
      <c r="J23" s="19"/>
      <c r="K23" s="19"/>
      <c r="L23" s="19"/>
    </row>
    <row r="24" spans="1:16" x14ac:dyDescent="0.2">
      <c r="A24" s="9">
        <v>43200</v>
      </c>
      <c r="B24" s="27">
        <f t="shared" si="10"/>
        <v>0.25</v>
      </c>
      <c r="C24" s="2">
        <f t="shared" ca="1" si="9"/>
        <v>0.11506849315068493</v>
      </c>
      <c r="D24" s="12">
        <f t="shared" si="8"/>
        <v>3.8356164383561646E-2</v>
      </c>
      <c r="E24" s="2">
        <f t="shared" ref="E24:E37" si="12">+(B23*D24)+E23</f>
        <v>3.02054794520548E-2</v>
      </c>
      <c r="F24" s="3">
        <f t="shared" ca="1" si="11"/>
        <v>-8.4279761904761905</v>
      </c>
      <c r="G24" s="25">
        <v>3</v>
      </c>
      <c r="H24" s="19"/>
      <c r="I24" s="19"/>
      <c r="J24" s="19"/>
      <c r="K24" s="19"/>
      <c r="L24" s="19"/>
    </row>
    <row r="25" spans="1:16" x14ac:dyDescent="0.2">
      <c r="A25" s="9">
        <v>43214</v>
      </c>
      <c r="B25" s="27">
        <f t="shared" si="10"/>
        <v>0.24249999999999999</v>
      </c>
      <c r="C25" s="2">
        <f t="shared" ca="1" si="9"/>
        <v>0.15342465753424658</v>
      </c>
      <c r="D25" s="12">
        <f t="shared" si="8"/>
        <v>3.8356164383561646E-2</v>
      </c>
      <c r="E25" s="2">
        <f t="shared" si="12"/>
        <v>3.979452054794521E-2</v>
      </c>
      <c r="F25" s="3">
        <f t="shared" ca="1" si="11"/>
        <v>-6.2584821428571429</v>
      </c>
      <c r="G25" s="25">
        <v>3</v>
      </c>
      <c r="H25" s="19"/>
      <c r="I25" s="19"/>
      <c r="J25" s="19"/>
      <c r="K25" s="19"/>
      <c r="L25" s="19"/>
    </row>
    <row r="26" spans="1:16" x14ac:dyDescent="0.2">
      <c r="A26" s="9">
        <v>43228</v>
      </c>
      <c r="B26" s="27">
        <f t="shared" si="10"/>
        <v>0.23749999999999999</v>
      </c>
      <c r="C26" s="2">
        <f t="shared" ca="1" si="9"/>
        <v>0.19178082191780821</v>
      </c>
      <c r="D26" s="12">
        <f t="shared" si="8"/>
        <v>3.8356164383561646E-2</v>
      </c>
      <c r="E26" s="2">
        <f t="shared" si="12"/>
        <v>4.9095890410958909E-2</v>
      </c>
      <c r="F26" s="3">
        <f t="shared" ca="1" si="11"/>
        <v>-4.9582857142857151</v>
      </c>
      <c r="G26" s="25">
        <v>2</v>
      </c>
      <c r="H26" s="19"/>
      <c r="I26" s="19"/>
      <c r="J26" s="19"/>
      <c r="K26" s="19"/>
      <c r="L26" s="19"/>
    </row>
    <row r="27" spans="1:16" x14ac:dyDescent="0.2">
      <c r="A27" s="9">
        <v>43242</v>
      </c>
      <c r="B27" s="27">
        <f t="shared" si="10"/>
        <v>0.23249999999999998</v>
      </c>
      <c r="C27" s="2">
        <f t="shared" ca="1" si="9"/>
        <v>0.23013698630136986</v>
      </c>
      <c r="D27" s="12">
        <f t="shared" si="8"/>
        <v>3.8356164383561646E-2</v>
      </c>
      <c r="E27" s="2">
        <f t="shared" si="12"/>
        <v>5.8205479452054801E-2</v>
      </c>
      <c r="F27" s="3">
        <f t="shared" ca="1" si="11"/>
        <v>-4.0923214285714282</v>
      </c>
      <c r="G27" s="25">
        <v>2</v>
      </c>
      <c r="H27" s="19"/>
      <c r="I27" s="19"/>
      <c r="J27" s="19"/>
      <c r="K27" s="19"/>
      <c r="L27" s="19"/>
    </row>
    <row r="28" spans="1:16" x14ac:dyDescent="0.2">
      <c r="A28" s="9">
        <v>43263</v>
      </c>
      <c r="B28" s="27">
        <f t="shared" si="10"/>
        <v>0.22249999999999998</v>
      </c>
      <c r="C28" s="2">
        <f t="shared" ca="1" si="9"/>
        <v>0.28767123287671231</v>
      </c>
      <c r="D28" s="12">
        <f t="shared" si="8"/>
        <v>5.7534246575342465E-2</v>
      </c>
      <c r="E28" s="2">
        <f t="shared" si="12"/>
        <v>7.1582191780821924E-2</v>
      </c>
      <c r="F28" s="3">
        <f t="shared" ca="1" si="11"/>
        <v>-3.227357142857143</v>
      </c>
      <c r="G28" s="25">
        <v>4</v>
      </c>
      <c r="H28" s="19"/>
      <c r="I28" s="19"/>
      <c r="J28" s="19"/>
      <c r="K28" s="19"/>
      <c r="L28" s="19"/>
    </row>
    <row r="29" spans="1:16" x14ac:dyDescent="0.2">
      <c r="A29" s="9">
        <v>43277</v>
      </c>
      <c r="B29" s="27">
        <f t="shared" si="10"/>
        <v>0.21249999999999997</v>
      </c>
      <c r="C29" s="2">
        <f t="shared" ca="1" si="9"/>
        <v>0.32602739726027397</v>
      </c>
      <c r="D29" s="12">
        <f t="shared" si="8"/>
        <v>3.8356164383561646E-2</v>
      </c>
      <c r="E29" s="2">
        <f t="shared" si="12"/>
        <v>8.0116438356164388E-2</v>
      </c>
      <c r="F29" s="3">
        <f t="shared" ca="1" si="11"/>
        <v>-2.8214915966386558</v>
      </c>
      <c r="G29" s="25">
        <v>4</v>
      </c>
      <c r="H29" s="19"/>
      <c r="I29" s="19"/>
      <c r="J29" s="19"/>
      <c r="K29" s="19"/>
      <c r="L29" s="19"/>
    </row>
    <row r="30" spans="1:16" x14ac:dyDescent="0.2">
      <c r="A30" s="9">
        <v>43291</v>
      </c>
      <c r="B30" s="27">
        <f t="shared" si="10"/>
        <v>0.20249999999999996</v>
      </c>
      <c r="C30" s="2">
        <f t="shared" ca="1" si="9"/>
        <v>0.36438356164383562</v>
      </c>
      <c r="D30" s="12">
        <f t="shared" si="8"/>
        <v>3.8356164383561646E-2</v>
      </c>
      <c r="E30" s="2">
        <f t="shared" si="12"/>
        <v>8.8267123287671237E-2</v>
      </c>
      <c r="F30" s="3">
        <f t="shared" ca="1" si="11"/>
        <v>-2.5021240601503756</v>
      </c>
      <c r="G30" s="25">
        <v>4</v>
      </c>
      <c r="H30" s="19"/>
      <c r="I30" s="19"/>
      <c r="J30" s="19"/>
      <c r="K30" s="19"/>
      <c r="L30" s="19"/>
    </row>
    <row r="31" spans="1:16" x14ac:dyDescent="0.2">
      <c r="A31" s="9">
        <v>43305</v>
      </c>
      <c r="B31" s="27">
        <f t="shared" si="10"/>
        <v>0.20249999999999996</v>
      </c>
      <c r="C31" s="2">
        <f t="shared" ca="1" si="9"/>
        <v>0.40273972602739727</v>
      </c>
      <c r="D31" s="12">
        <f t="shared" si="8"/>
        <v>3.8356164383561646E-2</v>
      </c>
      <c r="E31" s="2">
        <f t="shared" si="12"/>
        <v>9.6034246575342472E-2</v>
      </c>
      <c r="F31" s="3">
        <f t="shared" ca="1" si="11"/>
        <v>-2.2445408163265306</v>
      </c>
      <c r="G31" s="25">
        <v>0</v>
      </c>
      <c r="H31" s="19"/>
      <c r="I31" s="19"/>
      <c r="J31" s="19"/>
      <c r="K31" s="19"/>
      <c r="L31" s="19"/>
    </row>
    <row r="32" spans="1:16" x14ac:dyDescent="0.2">
      <c r="A32" s="9">
        <v>43319</v>
      </c>
      <c r="B32" s="27">
        <f t="shared" si="10"/>
        <v>0.20249999999999996</v>
      </c>
      <c r="C32" s="2">
        <f t="shared" ca="1" si="9"/>
        <v>0.44109589041095892</v>
      </c>
      <c r="D32" s="12">
        <f t="shared" si="8"/>
        <v>3.8356164383561646E-2</v>
      </c>
      <c r="E32" s="2">
        <f t="shared" si="12"/>
        <v>0.10380136986301371</v>
      </c>
      <c r="F32" s="3">
        <f t="shared" ca="1" si="11"/>
        <v>-2.0317546583850929</v>
      </c>
      <c r="G32" s="25">
        <v>0</v>
      </c>
      <c r="H32" s="19"/>
      <c r="I32" s="19"/>
      <c r="J32" s="19"/>
      <c r="K32" s="19"/>
      <c r="L32" s="19"/>
    </row>
    <row r="33" spans="1:12" x14ac:dyDescent="0.2">
      <c r="A33" s="9">
        <v>43333</v>
      </c>
      <c r="B33" s="27">
        <f t="shared" si="10"/>
        <v>0.20249999999999996</v>
      </c>
      <c r="C33" s="2">
        <f t="shared" ca="1" si="9"/>
        <v>0.47945205479452052</v>
      </c>
      <c r="D33" s="12">
        <f t="shared" si="8"/>
        <v>3.8356164383561646E-2</v>
      </c>
      <c r="E33" s="2">
        <f t="shared" si="12"/>
        <v>0.11156849315068494</v>
      </c>
      <c r="F33" s="3">
        <f t="shared" ca="1" si="11"/>
        <v>-1.8530142857142857</v>
      </c>
      <c r="G33" s="25">
        <v>0</v>
      </c>
      <c r="H33" s="19"/>
      <c r="I33" s="19"/>
      <c r="J33" s="19"/>
      <c r="K33" s="19"/>
      <c r="L33" s="19"/>
    </row>
    <row r="34" spans="1:12" x14ac:dyDescent="0.2">
      <c r="A34" s="9">
        <v>43354</v>
      </c>
      <c r="B34" s="27">
        <f t="shared" si="10"/>
        <v>0.19249999999999995</v>
      </c>
      <c r="C34" s="2">
        <f t="shared" ca="1" si="9"/>
        <v>0.53698630136986303</v>
      </c>
      <c r="D34" s="12">
        <f t="shared" si="8"/>
        <v>5.7534246575342465E-2</v>
      </c>
      <c r="E34" s="2">
        <f t="shared" si="12"/>
        <v>0.12321917808219179</v>
      </c>
      <c r="F34" s="3">
        <f t="shared" ca="1" si="11"/>
        <v>-1.6327806122448978</v>
      </c>
      <c r="G34" s="25">
        <v>4</v>
      </c>
      <c r="H34" s="19"/>
      <c r="I34" s="19"/>
      <c r="J34" s="19"/>
      <c r="K34" s="19"/>
      <c r="L34" s="19"/>
    </row>
    <row r="35" spans="1:12" x14ac:dyDescent="0.2">
      <c r="A35" s="9">
        <v>43368</v>
      </c>
      <c r="B35" s="27">
        <f t="shared" si="10"/>
        <v>0.19249999999999995</v>
      </c>
      <c r="C35" s="2">
        <f t="shared" ca="1" si="9"/>
        <v>0.57534246575342463</v>
      </c>
      <c r="D35" s="12">
        <f t="shared" si="8"/>
        <v>3.8356164383561646E-2</v>
      </c>
      <c r="E35" s="2">
        <f t="shared" si="12"/>
        <v>0.1306027397260274</v>
      </c>
      <c r="F35" s="3">
        <f t="shared" ca="1" si="11"/>
        <v>-1.511095238095238</v>
      </c>
      <c r="G35" s="25">
        <v>0</v>
      </c>
      <c r="H35" s="19"/>
      <c r="I35" s="19"/>
      <c r="J35" s="19"/>
      <c r="K35" s="19"/>
      <c r="L35" s="19"/>
    </row>
    <row r="36" spans="1:12" x14ac:dyDescent="0.2">
      <c r="A36" s="9">
        <v>43382</v>
      </c>
      <c r="B36" s="27">
        <f t="shared" si="10"/>
        <v>0.19249999999999995</v>
      </c>
      <c r="C36" s="2">
        <f t="shared" ca="1" si="9"/>
        <v>0.61369863013698633</v>
      </c>
      <c r="D36" s="12">
        <f t="shared" si="8"/>
        <v>3.8356164383561646E-2</v>
      </c>
      <c r="E36" s="2">
        <f t="shared" si="12"/>
        <v>0.13798630136986301</v>
      </c>
      <c r="F36" s="3">
        <f t="shared" ca="1" si="11"/>
        <v>-1.4046205357142856</v>
      </c>
      <c r="G36" s="25"/>
      <c r="H36" s="19"/>
      <c r="I36" s="19"/>
      <c r="J36" s="19"/>
      <c r="K36" s="19"/>
      <c r="L36" s="19"/>
    </row>
    <row r="37" spans="1:12" x14ac:dyDescent="0.2">
      <c r="A37" s="9">
        <v>43396</v>
      </c>
      <c r="B37" s="27">
        <f t="shared" si="10"/>
        <v>0.19249999999999995</v>
      </c>
      <c r="C37" s="2">
        <f t="shared" ca="1" si="9"/>
        <v>0.65205479452054793</v>
      </c>
      <c r="D37" s="12">
        <f t="shared" si="8"/>
        <v>3.8356164383561646E-2</v>
      </c>
      <c r="E37" s="2">
        <f t="shared" si="12"/>
        <v>0.14536986301369861</v>
      </c>
      <c r="F37" s="3">
        <f t="shared" ca="1" si="11"/>
        <v>-1.3106722689075632</v>
      </c>
      <c r="G37" s="25"/>
      <c r="H37" s="19"/>
      <c r="I37" s="19"/>
      <c r="J37" s="19"/>
      <c r="K37" s="19"/>
      <c r="L37" s="19"/>
    </row>
    <row r="38" spans="1:12" x14ac:dyDescent="0.2">
      <c r="A38" s="9"/>
      <c r="B38" s="21"/>
      <c r="C38" s="2"/>
      <c r="D38" s="12"/>
      <c r="E38" s="2"/>
      <c r="F38" s="3"/>
      <c r="G38" s="24"/>
      <c r="H38" s="19"/>
      <c r="I38" s="19"/>
      <c r="J38" s="19"/>
      <c r="K38" s="19"/>
      <c r="L38" s="19"/>
    </row>
    <row r="39" spans="1:12" x14ac:dyDescent="0.2">
      <c r="A39" s="7"/>
    </row>
    <row r="40" spans="1:12" x14ac:dyDescent="0.2">
      <c r="A40" s="7"/>
    </row>
    <row r="41" spans="1:12" x14ac:dyDescent="0.2">
      <c r="A41" s="7"/>
    </row>
    <row r="42" spans="1:12" x14ac:dyDescent="0.2">
      <c r="A42" s="7"/>
    </row>
    <row r="43" spans="1:12" x14ac:dyDescent="0.2">
      <c r="A43" s="7"/>
    </row>
    <row r="44" spans="1:12" x14ac:dyDescent="0.2">
      <c r="A44" s="7"/>
    </row>
    <row r="45" spans="1:12" x14ac:dyDescent="0.2">
      <c r="A45" s="7"/>
    </row>
    <row r="46" spans="1:12" x14ac:dyDescent="0.2">
      <c r="A46" s="7"/>
    </row>
    <row r="47" spans="1:12" x14ac:dyDescent="0.2">
      <c r="A47" s="7"/>
    </row>
    <row r="48" spans="1:12" x14ac:dyDescent="0.2">
      <c r="A48" s="7"/>
    </row>
    <row r="49" spans="1:1" x14ac:dyDescent="0.2">
      <c r="A49" s="7"/>
    </row>
    <row r="50" spans="1:1" x14ac:dyDescent="0.2">
      <c r="A50" s="7"/>
    </row>
    <row r="51" spans="1:1" x14ac:dyDescent="0.2">
      <c r="A51" s="7"/>
    </row>
    <row r="52" spans="1:1" x14ac:dyDescent="0.2">
      <c r="A52" s="7"/>
    </row>
    <row r="53" spans="1:1" x14ac:dyDescent="0.2">
      <c r="A53" s="7"/>
    </row>
    <row r="54" spans="1:1" x14ac:dyDescent="0.2">
      <c r="A54" s="7"/>
    </row>
    <row r="55" spans="1:1" x14ac:dyDescent="0.2">
      <c r="A55" s="7"/>
    </row>
    <row r="56" spans="1:1" x14ac:dyDescent="0.2">
      <c r="A56" s="7"/>
    </row>
    <row r="57" spans="1:1" x14ac:dyDescent="0.2">
      <c r="A57" s="7"/>
    </row>
    <row r="58" spans="1:1" x14ac:dyDescent="0.2">
      <c r="A58" s="7"/>
    </row>
    <row r="59" spans="1:1" x14ac:dyDescent="0.2">
      <c r="A59" s="7"/>
    </row>
    <row r="60" spans="1:1" x14ac:dyDescent="0.2">
      <c r="A60" s="7"/>
    </row>
    <row r="61" spans="1:1" x14ac:dyDescent="0.2">
      <c r="A61" s="7"/>
    </row>
    <row r="62" spans="1:1" x14ac:dyDescent="0.2">
      <c r="A62" s="7"/>
    </row>
    <row r="63" spans="1:1" x14ac:dyDescent="0.2">
      <c r="A63" s="7"/>
    </row>
    <row r="64" spans="1:1" x14ac:dyDescent="0.2">
      <c r="A64" s="7"/>
    </row>
    <row r="65" spans="1:1" x14ac:dyDescent="0.2">
      <c r="A65" s="7"/>
    </row>
    <row r="66" spans="1:1" x14ac:dyDescent="0.2">
      <c r="A66" s="7"/>
    </row>
    <row r="67" spans="1:1" x14ac:dyDescent="0.2">
      <c r="A67" s="7"/>
    </row>
    <row r="68" spans="1:1" x14ac:dyDescent="0.2">
      <c r="A68" s="7"/>
    </row>
    <row r="69" spans="1:1" x14ac:dyDescent="0.2">
      <c r="A69" s="7"/>
    </row>
    <row r="70" spans="1:1" x14ac:dyDescent="0.2">
      <c r="A70" s="7"/>
    </row>
    <row r="71" spans="1:1" x14ac:dyDescent="0.2">
      <c r="A71" s="7"/>
    </row>
    <row r="72" spans="1:1" x14ac:dyDescent="0.2">
      <c r="A72" s="7"/>
    </row>
    <row r="73" spans="1:1" x14ac:dyDescent="0.2">
      <c r="A73" s="7"/>
    </row>
    <row r="74" spans="1:1" x14ac:dyDescent="0.2">
      <c r="A74" s="7"/>
    </row>
    <row r="75" spans="1:1" x14ac:dyDescent="0.2">
      <c r="A75" s="7"/>
    </row>
    <row r="76" spans="1:1" x14ac:dyDescent="0.2">
      <c r="A76" s="7"/>
    </row>
    <row r="77" spans="1:1" x14ac:dyDescent="0.2">
      <c r="A77" s="7"/>
    </row>
    <row r="78" spans="1:1" x14ac:dyDescent="0.2">
      <c r="A78" s="7"/>
    </row>
    <row r="79" spans="1:1" x14ac:dyDescent="0.2">
      <c r="A79" s="7"/>
    </row>
    <row r="80" spans="1:1" x14ac:dyDescent="0.2">
      <c r="A80" s="7"/>
    </row>
    <row r="81" spans="1:1" x14ac:dyDescent="0.2">
      <c r="A81" s="7"/>
    </row>
    <row r="82" spans="1:1" x14ac:dyDescent="0.2">
      <c r="A82" s="7"/>
    </row>
    <row r="83" spans="1:1" x14ac:dyDescent="0.2">
      <c r="A83" s="7"/>
    </row>
    <row r="84" spans="1:1" x14ac:dyDescent="0.2">
      <c r="A84" s="7"/>
    </row>
    <row r="85" spans="1:1" x14ac:dyDescent="0.2">
      <c r="A85" s="7"/>
    </row>
    <row r="86" spans="1:1" x14ac:dyDescent="0.2">
      <c r="A86" s="7"/>
    </row>
    <row r="87" spans="1:1" x14ac:dyDescent="0.2">
      <c r="A87" s="7"/>
    </row>
    <row r="88" spans="1:1" x14ac:dyDescent="0.2">
      <c r="A88" s="7"/>
    </row>
    <row r="89" spans="1:1" x14ac:dyDescent="0.2">
      <c r="A89" s="7"/>
    </row>
    <row r="90" spans="1:1" x14ac:dyDescent="0.2">
      <c r="A90" s="7"/>
    </row>
    <row r="91" spans="1:1" x14ac:dyDescent="0.2">
      <c r="A91" s="7"/>
    </row>
    <row r="92" spans="1:1" x14ac:dyDescent="0.2">
      <c r="A92" s="7"/>
    </row>
    <row r="93" spans="1:1" x14ac:dyDescent="0.2">
      <c r="A93" s="7"/>
    </row>
    <row r="94" spans="1:1" x14ac:dyDescent="0.2">
      <c r="A94" s="7"/>
    </row>
    <row r="95" spans="1:1" x14ac:dyDescent="0.2">
      <c r="A95" s="7"/>
    </row>
    <row r="96" spans="1:1" x14ac:dyDescent="0.2">
      <c r="A96" s="7"/>
    </row>
    <row r="97" spans="1:1" x14ac:dyDescent="0.2">
      <c r="A97" s="7"/>
    </row>
    <row r="98" spans="1:1" x14ac:dyDescent="0.2">
      <c r="A98" s="7"/>
    </row>
    <row r="99" spans="1:1" x14ac:dyDescent="0.2">
      <c r="A99" s="7"/>
    </row>
    <row r="100" spans="1:1" x14ac:dyDescent="0.2">
      <c r="A100" s="7"/>
    </row>
    <row r="101" spans="1:1" x14ac:dyDescent="0.2">
      <c r="A101" s="7"/>
    </row>
    <row r="102" spans="1:1" x14ac:dyDescent="0.2">
      <c r="A102" s="7"/>
    </row>
    <row r="103" spans="1:1" x14ac:dyDescent="0.2">
      <c r="A103" s="7"/>
    </row>
    <row r="104" spans="1:1" x14ac:dyDescent="0.2">
      <c r="A104" s="7"/>
    </row>
    <row r="105" spans="1:1" x14ac:dyDescent="0.2">
      <c r="A105" s="7"/>
    </row>
    <row r="106" spans="1:1" x14ac:dyDescent="0.2">
      <c r="A106" s="7"/>
    </row>
    <row r="107" spans="1:1" x14ac:dyDescent="0.2">
      <c r="A107" s="7"/>
    </row>
    <row r="108" spans="1:1" x14ac:dyDescent="0.2">
      <c r="A108" s="7"/>
    </row>
    <row r="109" spans="1:1" x14ac:dyDescent="0.2">
      <c r="A109" s="7"/>
    </row>
    <row r="110" spans="1:1" x14ac:dyDescent="0.2">
      <c r="A110" s="7"/>
    </row>
    <row r="111" spans="1:1" x14ac:dyDescent="0.2">
      <c r="A111" s="7"/>
    </row>
    <row r="112" spans="1:1" x14ac:dyDescent="0.2">
      <c r="A112" s="7"/>
    </row>
    <row r="113" spans="1:1" x14ac:dyDescent="0.2">
      <c r="A113" s="7"/>
    </row>
    <row r="114" spans="1:1" x14ac:dyDescent="0.2">
      <c r="A114" s="7"/>
    </row>
    <row r="115" spans="1:1" x14ac:dyDescent="0.2">
      <c r="A115" s="7"/>
    </row>
    <row r="116" spans="1:1" x14ac:dyDescent="0.2">
      <c r="A116" s="7"/>
    </row>
    <row r="117" spans="1:1" x14ac:dyDescent="0.2">
      <c r="A117" s="7"/>
    </row>
    <row r="118" spans="1:1" x14ac:dyDescent="0.2">
      <c r="A118" s="7"/>
    </row>
    <row r="119" spans="1:1" x14ac:dyDescent="0.2">
      <c r="A119" s="7"/>
    </row>
    <row r="120" spans="1:1" x14ac:dyDescent="0.2">
      <c r="A120" s="7"/>
    </row>
    <row r="121" spans="1:1" x14ac:dyDescent="0.2">
      <c r="A121" s="7"/>
    </row>
    <row r="122" spans="1:1" x14ac:dyDescent="0.2">
      <c r="A122" s="7"/>
    </row>
    <row r="123" spans="1:1" x14ac:dyDescent="0.2">
      <c r="A123" s="7"/>
    </row>
    <row r="124" spans="1:1" x14ac:dyDescent="0.2">
      <c r="A124" s="7"/>
    </row>
    <row r="125" spans="1:1" x14ac:dyDescent="0.2">
      <c r="A125" s="7"/>
    </row>
    <row r="126" spans="1:1" x14ac:dyDescent="0.2">
      <c r="A126" s="7"/>
    </row>
    <row r="127" spans="1:1" x14ac:dyDescent="0.2">
      <c r="A127" s="7"/>
    </row>
    <row r="128" spans="1:1" x14ac:dyDescent="0.2">
      <c r="A128" s="7"/>
    </row>
    <row r="129" spans="1:1" x14ac:dyDescent="0.2">
      <c r="A129" s="7"/>
    </row>
    <row r="130" spans="1:1" x14ac:dyDescent="0.2">
      <c r="A130" s="7"/>
    </row>
    <row r="131" spans="1:1" x14ac:dyDescent="0.2">
      <c r="A131" s="7"/>
    </row>
    <row r="132" spans="1:1" x14ac:dyDescent="0.2">
      <c r="A132" s="7"/>
    </row>
    <row r="133" spans="1:1" x14ac:dyDescent="0.2">
      <c r="A133" s="7"/>
    </row>
    <row r="134" spans="1:1" x14ac:dyDescent="0.2">
      <c r="A134" s="7"/>
    </row>
    <row r="135" spans="1:1" x14ac:dyDescent="0.2">
      <c r="A135" s="7"/>
    </row>
    <row r="136" spans="1:1" x14ac:dyDescent="0.2">
      <c r="A136" s="7"/>
    </row>
    <row r="137" spans="1:1" x14ac:dyDescent="0.2">
      <c r="A137" s="7"/>
    </row>
    <row r="138" spans="1:1" x14ac:dyDescent="0.2">
      <c r="A138" s="7"/>
    </row>
    <row r="139" spans="1:1" x14ac:dyDescent="0.2">
      <c r="A139" s="7"/>
    </row>
    <row r="140" spans="1:1" x14ac:dyDescent="0.2">
      <c r="A140" s="7"/>
    </row>
    <row r="141" spans="1:1" x14ac:dyDescent="0.2">
      <c r="A141" s="7"/>
    </row>
    <row r="142" spans="1:1" x14ac:dyDescent="0.2">
      <c r="A142" s="7"/>
    </row>
    <row r="143" spans="1:1" x14ac:dyDescent="0.2">
      <c r="A143" s="7"/>
    </row>
    <row r="144" spans="1:1" x14ac:dyDescent="0.2">
      <c r="A144" s="7"/>
    </row>
    <row r="145" spans="1:1" x14ac:dyDescent="0.2">
      <c r="A145" s="7"/>
    </row>
    <row r="146" spans="1:1" x14ac:dyDescent="0.2">
      <c r="A146" s="7"/>
    </row>
    <row r="147" spans="1:1" x14ac:dyDescent="0.2">
      <c r="A147" s="7"/>
    </row>
    <row r="148" spans="1:1" x14ac:dyDescent="0.2">
      <c r="A148" s="7"/>
    </row>
    <row r="149" spans="1:1" x14ac:dyDescent="0.2">
      <c r="A149" s="7"/>
    </row>
    <row r="150" spans="1:1" x14ac:dyDescent="0.2">
      <c r="A150" s="7"/>
    </row>
    <row r="151" spans="1:1" x14ac:dyDescent="0.2">
      <c r="A151" s="7"/>
    </row>
    <row r="152" spans="1:1" x14ac:dyDescent="0.2">
      <c r="A152" s="7"/>
    </row>
    <row r="153" spans="1:1" x14ac:dyDescent="0.2">
      <c r="A153" s="7"/>
    </row>
    <row r="154" spans="1:1" x14ac:dyDescent="0.2">
      <c r="A154" s="7"/>
    </row>
    <row r="155" spans="1:1" x14ac:dyDescent="0.2">
      <c r="A155" s="7"/>
    </row>
    <row r="156" spans="1:1" x14ac:dyDescent="0.2">
      <c r="A156" s="7"/>
    </row>
    <row r="157" spans="1:1" x14ac:dyDescent="0.2">
      <c r="A157" s="7"/>
    </row>
    <row r="158" spans="1:1" x14ac:dyDescent="0.2">
      <c r="A158" s="7"/>
    </row>
    <row r="159" spans="1:1" x14ac:dyDescent="0.2">
      <c r="A159" s="7"/>
    </row>
    <row r="160" spans="1:1" x14ac:dyDescent="0.2">
      <c r="A160" s="7"/>
    </row>
    <row r="161" spans="1:1" x14ac:dyDescent="0.2">
      <c r="A161" s="7"/>
    </row>
    <row r="162" spans="1:1" x14ac:dyDescent="0.2">
      <c r="A162" s="7"/>
    </row>
    <row r="163" spans="1:1" x14ac:dyDescent="0.2">
      <c r="A163" s="7"/>
    </row>
    <row r="164" spans="1:1" x14ac:dyDescent="0.2">
      <c r="A164" s="7"/>
    </row>
    <row r="165" spans="1:1" x14ac:dyDescent="0.2">
      <c r="A165" s="7"/>
    </row>
    <row r="166" spans="1:1" x14ac:dyDescent="0.2">
      <c r="A166" s="7"/>
    </row>
    <row r="167" spans="1:1" x14ac:dyDescent="0.2">
      <c r="A167" s="7"/>
    </row>
    <row r="168" spans="1:1" x14ac:dyDescent="0.2">
      <c r="A168" s="7"/>
    </row>
    <row r="169" spans="1:1" x14ac:dyDescent="0.2">
      <c r="A169" s="7"/>
    </row>
    <row r="170" spans="1:1" x14ac:dyDescent="0.2">
      <c r="A170" s="7"/>
    </row>
    <row r="171" spans="1:1" x14ac:dyDescent="0.2">
      <c r="A171" s="7"/>
    </row>
    <row r="172" spans="1:1" x14ac:dyDescent="0.2">
      <c r="A172" s="7"/>
    </row>
    <row r="173" spans="1:1" x14ac:dyDescent="0.2">
      <c r="A173" s="7"/>
    </row>
    <row r="174" spans="1:1" x14ac:dyDescent="0.2">
      <c r="A174" s="7"/>
    </row>
    <row r="175" spans="1:1" x14ac:dyDescent="0.2">
      <c r="A175" s="7"/>
    </row>
    <row r="176" spans="1:1" x14ac:dyDescent="0.2">
      <c r="A176" s="7"/>
    </row>
    <row r="177" spans="1:1" x14ac:dyDescent="0.2">
      <c r="A177" s="7"/>
    </row>
    <row r="178" spans="1:1" x14ac:dyDescent="0.2">
      <c r="A178" s="7"/>
    </row>
    <row r="179" spans="1:1" x14ac:dyDescent="0.2">
      <c r="A179" s="7"/>
    </row>
    <row r="180" spans="1:1" x14ac:dyDescent="0.2">
      <c r="A180" s="7"/>
    </row>
    <row r="181" spans="1:1" x14ac:dyDescent="0.2">
      <c r="A181" s="7"/>
    </row>
    <row r="182" spans="1:1" x14ac:dyDescent="0.2">
      <c r="A182" s="7"/>
    </row>
    <row r="183" spans="1:1" x14ac:dyDescent="0.2">
      <c r="A183" s="7"/>
    </row>
    <row r="184" spans="1:1" x14ac:dyDescent="0.2">
      <c r="A184" s="7"/>
    </row>
    <row r="185" spans="1:1" x14ac:dyDescent="0.2">
      <c r="A185" s="7"/>
    </row>
    <row r="186" spans="1:1" x14ac:dyDescent="0.2">
      <c r="A186" s="7"/>
    </row>
    <row r="187" spans="1:1" x14ac:dyDescent="0.2">
      <c r="A187" s="7"/>
    </row>
    <row r="188" spans="1:1" x14ac:dyDescent="0.2">
      <c r="A188" s="7"/>
    </row>
    <row r="189" spans="1:1" x14ac:dyDescent="0.2">
      <c r="A189" s="7"/>
    </row>
    <row r="190" spans="1:1" x14ac:dyDescent="0.2">
      <c r="A190" s="7"/>
    </row>
    <row r="191" spans="1:1" x14ac:dyDescent="0.2">
      <c r="A191" s="7"/>
    </row>
    <row r="192" spans="1:1" x14ac:dyDescent="0.2">
      <c r="A192" s="7"/>
    </row>
    <row r="193" spans="1:1" x14ac:dyDescent="0.2">
      <c r="A193" s="7"/>
    </row>
    <row r="194" spans="1:1" x14ac:dyDescent="0.2">
      <c r="A194" s="7"/>
    </row>
    <row r="195" spans="1:1" x14ac:dyDescent="0.2">
      <c r="A195" s="7"/>
    </row>
    <row r="196" spans="1:1" x14ac:dyDescent="0.2">
      <c r="A196" s="7"/>
    </row>
    <row r="197" spans="1:1" x14ac:dyDescent="0.2">
      <c r="A197" s="7"/>
    </row>
    <row r="198" spans="1:1" x14ac:dyDescent="0.2">
      <c r="A198" s="7"/>
    </row>
    <row r="199" spans="1:1" x14ac:dyDescent="0.2">
      <c r="A199" s="7"/>
    </row>
    <row r="200" spans="1:1" x14ac:dyDescent="0.2">
      <c r="A200" s="7"/>
    </row>
    <row r="201" spans="1:1" x14ac:dyDescent="0.2">
      <c r="A201" s="7"/>
    </row>
    <row r="202" spans="1:1" x14ac:dyDescent="0.2">
      <c r="A202" s="7"/>
    </row>
    <row r="203" spans="1:1" x14ac:dyDescent="0.2">
      <c r="A203" s="7"/>
    </row>
    <row r="204" spans="1:1" x14ac:dyDescent="0.2">
      <c r="A204" s="7"/>
    </row>
    <row r="205" spans="1:1" x14ac:dyDescent="0.2">
      <c r="A205" s="7"/>
    </row>
    <row r="206" spans="1:1" x14ac:dyDescent="0.2">
      <c r="A206" s="7"/>
    </row>
    <row r="207" spans="1:1" x14ac:dyDescent="0.2">
      <c r="A207" s="7"/>
    </row>
    <row r="208" spans="1:1" x14ac:dyDescent="0.2">
      <c r="A208" s="7"/>
    </row>
    <row r="209" spans="1:1" x14ac:dyDescent="0.2">
      <c r="A209" s="7"/>
    </row>
    <row r="210" spans="1:1" x14ac:dyDescent="0.2">
      <c r="A210" s="7"/>
    </row>
    <row r="211" spans="1:1" x14ac:dyDescent="0.2">
      <c r="A211" s="7"/>
    </row>
    <row r="212" spans="1:1" x14ac:dyDescent="0.2">
      <c r="A212" s="7"/>
    </row>
    <row r="213" spans="1:1" x14ac:dyDescent="0.2">
      <c r="A213" s="7"/>
    </row>
    <row r="214" spans="1:1" x14ac:dyDescent="0.2">
      <c r="A214" s="7"/>
    </row>
    <row r="215" spans="1:1" x14ac:dyDescent="0.2">
      <c r="A215" s="7"/>
    </row>
    <row r="216" spans="1:1" x14ac:dyDescent="0.2">
      <c r="A216" s="7"/>
    </row>
    <row r="217" spans="1:1" x14ac:dyDescent="0.2">
      <c r="A217" s="7"/>
    </row>
    <row r="218" spans="1:1" x14ac:dyDescent="0.2">
      <c r="A218" s="7"/>
    </row>
    <row r="219" spans="1:1" x14ac:dyDescent="0.2">
      <c r="A219" s="7"/>
    </row>
    <row r="220" spans="1:1" x14ac:dyDescent="0.2">
      <c r="A220" s="7"/>
    </row>
    <row r="221" spans="1:1" x14ac:dyDescent="0.2">
      <c r="A221" s="7"/>
    </row>
    <row r="222" spans="1:1" x14ac:dyDescent="0.2">
      <c r="A222" s="7"/>
    </row>
    <row r="223" spans="1:1" x14ac:dyDescent="0.2">
      <c r="A223" s="7"/>
    </row>
    <row r="224" spans="1:1" x14ac:dyDescent="0.2">
      <c r="A224" s="7"/>
    </row>
    <row r="225" spans="1:1" x14ac:dyDescent="0.2">
      <c r="A225" s="7"/>
    </row>
    <row r="226" spans="1:1" x14ac:dyDescent="0.2">
      <c r="A226" s="7"/>
    </row>
    <row r="227" spans="1:1" x14ac:dyDescent="0.2">
      <c r="A227" s="7"/>
    </row>
    <row r="228" spans="1:1" x14ac:dyDescent="0.2">
      <c r="A228" s="7"/>
    </row>
    <row r="229" spans="1:1" x14ac:dyDescent="0.2">
      <c r="A229" s="7"/>
    </row>
    <row r="230" spans="1:1" x14ac:dyDescent="0.2">
      <c r="A230" s="7"/>
    </row>
    <row r="231" spans="1:1" x14ac:dyDescent="0.2">
      <c r="A231" s="7"/>
    </row>
    <row r="232" spans="1:1" x14ac:dyDescent="0.2">
      <c r="A232" s="7"/>
    </row>
    <row r="233" spans="1:1" x14ac:dyDescent="0.2">
      <c r="A233" s="7"/>
    </row>
    <row r="234" spans="1:1" x14ac:dyDescent="0.2">
      <c r="A234" s="7"/>
    </row>
    <row r="235" spans="1:1" x14ac:dyDescent="0.2">
      <c r="A235" s="7"/>
    </row>
    <row r="236" spans="1:1" x14ac:dyDescent="0.2">
      <c r="A236" s="7"/>
    </row>
    <row r="237" spans="1:1" x14ac:dyDescent="0.2">
      <c r="A237" s="7"/>
    </row>
    <row r="238" spans="1:1" x14ac:dyDescent="0.2">
      <c r="A238" s="7"/>
    </row>
    <row r="239" spans="1:1" x14ac:dyDescent="0.2">
      <c r="A239" s="7"/>
    </row>
    <row r="240" spans="1:1" x14ac:dyDescent="0.2">
      <c r="A240" s="7"/>
    </row>
    <row r="241" spans="1:1" x14ac:dyDescent="0.2">
      <c r="A241" s="7"/>
    </row>
    <row r="242" spans="1:1" x14ac:dyDescent="0.2">
      <c r="A242" s="7"/>
    </row>
    <row r="243" spans="1:1" x14ac:dyDescent="0.2">
      <c r="A243" s="7"/>
    </row>
    <row r="244" spans="1:1" x14ac:dyDescent="0.2">
      <c r="A244" s="7"/>
    </row>
    <row r="245" spans="1:1" x14ac:dyDescent="0.2">
      <c r="A245" s="7"/>
    </row>
    <row r="246" spans="1:1" x14ac:dyDescent="0.2">
      <c r="A246" s="7"/>
    </row>
    <row r="247" spans="1:1" x14ac:dyDescent="0.2">
      <c r="A247" s="7"/>
    </row>
    <row r="248" spans="1:1" x14ac:dyDescent="0.2">
      <c r="A248" s="7"/>
    </row>
    <row r="249" spans="1:1" x14ac:dyDescent="0.2">
      <c r="A249" s="7"/>
    </row>
    <row r="250" spans="1:1" x14ac:dyDescent="0.2">
      <c r="A250" s="7"/>
    </row>
    <row r="251" spans="1:1" x14ac:dyDescent="0.2">
      <c r="A251" s="7"/>
    </row>
    <row r="252" spans="1:1" x14ac:dyDescent="0.2">
      <c r="A252" s="7"/>
    </row>
    <row r="253" spans="1:1" x14ac:dyDescent="0.2">
      <c r="A253" s="7"/>
    </row>
    <row r="254" spans="1:1" x14ac:dyDescent="0.2">
      <c r="A254" s="7"/>
    </row>
    <row r="255" spans="1:1" x14ac:dyDescent="0.2">
      <c r="A255" s="7"/>
    </row>
    <row r="256" spans="1:1" x14ac:dyDescent="0.2">
      <c r="A256" s="7"/>
    </row>
    <row r="257" spans="1:1" x14ac:dyDescent="0.2">
      <c r="A257" s="7"/>
    </row>
    <row r="258" spans="1:1" x14ac:dyDescent="0.2">
      <c r="A258" s="7"/>
    </row>
    <row r="259" spans="1:1" x14ac:dyDescent="0.2">
      <c r="A259" s="7"/>
    </row>
    <row r="260" spans="1:1" x14ac:dyDescent="0.2">
      <c r="A260" s="7"/>
    </row>
    <row r="261" spans="1:1" x14ac:dyDescent="0.2">
      <c r="A261" s="7"/>
    </row>
    <row r="262" spans="1:1" x14ac:dyDescent="0.2">
      <c r="A262" s="7"/>
    </row>
    <row r="263" spans="1:1" x14ac:dyDescent="0.2">
      <c r="A263" s="7"/>
    </row>
    <row r="264" spans="1:1" x14ac:dyDescent="0.2">
      <c r="A264" s="7"/>
    </row>
    <row r="265" spans="1:1" x14ac:dyDescent="0.2">
      <c r="A265" s="7"/>
    </row>
    <row r="266" spans="1:1" x14ac:dyDescent="0.2">
      <c r="A266" s="7"/>
    </row>
    <row r="267" spans="1:1" x14ac:dyDescent="0.2">
      <c r="A267" s="7"/>
    </row>
    <row r="268" spans="1:1" x14ac:dyDescent="0.2">
      <c r="A268" s="7"/>
    </row>
    <row r="269" spans="1:1" x14ac:dyDescent="0.2">
      <c r="A269" s="7"/>
    </row>
    <row r="270" spans="1:1" x14ac:dyDescent="0.2">
      <c r="A270" s="7"/>
    </row>
    <row r="271" spans="1:1" x14ac:dyDescent="0.2">
      <c r="A271" s="7"/>
    </row>
    <row r="272" spans="1:1" x14ac:dyDescent="0.2">
      <c r="A272" s="7"/>
    </row>
    <row r="273" spans="1:1" x14ac:dyDescent="0.2">
      <c r="A273" s="7"/>
    </row>
    <row r="274" spans="1:1" x14ac:dyDescent="0.2">
      <c r="A274" s="7"/>
    </row>
    <row r="275" spans="1:1" x14ac:dyDescent="0.2">
      <c r="A275" s="7"/>
    </row>
    <row r="276" spans="1:1" x14ac:dyDescent="0.2">
      <c r="A276" s="7"/>
    </row>
    <row r="277" spans="1:1" x14ac:dyDescent="0.2">
      <c r="A277" s="7"/>
    </row>
    <row r="278" spans="1:1" x14ac:dyDescent="0.2">
      <c r="A278" s="7"/>
    </row>
    <row r="279" spans="1:1" x14ac:dyDescent="0.2">
      <c r="A279" s="7"/>
    </row>
    <row r="280" spans="1:1" x14ac:dyDescent="0.2">
      <c r="A280" s="7"/>
    </row>
    <row r="281" spans="1:1" x14ac:dyDescent="0.2">
      <c r="A281" s="7"/>
    </row>
    <row r="282" spans="1:1" x14ac:dyDescent="0.2">
      <c r="A282" s="7"/>
    </row>
    <row r="283" spans="1:1" x14ac:dyDescent="0.2">
      <c r="A283" s="7"/>
    </row>
    <row r="284" spans="1:1" x14ac:dyDescent="0.2">
      <c r="A284" s="7"/>
    </row>
    <row r="285" spans="1:1" x14ac:dyDescent="0.2">
      <c r="A285" s="7"/>
    </row>
    <row r="286" spans="1:1" x14ac:dyDescent="0.2">
      <c r="A286" s="7"/>
    </row>
    <row r="287" spans="1:1" x14ac:dyDescent="0.2">
      <c r="A287" s="7"/>
    </row>
    <row r="288" spans="1:1" x14ac:dyDescent="0.2">
      <c r="A288" s="7"/>
    </row>
    <row r="289" spans="1:1" x14ac:dyDescent="0.2">
      <c r="A289" s="7"/>
    </row>
    <row r="290" spans="1:1" x14ac:dyDescent="0.2">
      <c r="A290" s="7"/>
    </row>
    <row r="291" spans="1:1" x14ac:dyDescent="0.2">
      <c r="A291" s="7"/>
    </row>
    <row r="292" spans="1:1" x14ac:dyDescent="0.2">
      <c r="A292" s="7"/>
    </row>
    <row r="293" spans="1:1" x14ac:dyDescent="0.2">
      <c r="A293" s="7"/>
    </row>
    <row r="294" spans="1:1" x14ac:dyDescent="0.2">
      <c r="A294" s="7"/>
    </row>
    <row r="295" spans="1:1" x14ac:dyDescent="0.2">
      <c r="A295" s="7"/>
    </row>
    <row r="296" spans="1:1" x14ac:dyDescent="0.2">
      <c r="A296" s="7"/>
    </row>
    <row r="297" spans="1:1" x14ac:dyDescent="0.2">
      <c r="A297" s="7"/>
    </row>
    <row r="298" spans="1:1" x14ac:dyDescent="0.2">
      <c r="A298" s="7"/>
    </row>
    <row r="299" spans="1:1" x14ac:dyDescent="0.2">
      <c r="A299" s="7"/>
    </row>
    <row r="300" spans="1:1" x14ac:dyDescent="0.2">
      <c r="A300" s="7"/>
    </row>
    <row r="301" spans="1:1" x14ac:dyDescent="0.2">
      <c r="A301" s="7"/>
    </row>
    <row r="302" spans="1:1" x14ac:dyDescent="0.2">
      <c r="A302" s="7"/>
    </row>
    <row r="303" spans="1:1" x14ac:dyDescent="0.2">
      <c r="A303" s="7"/>
    </row>
    <row r="304" spans="1:1" x14ac:dyDescent="0.2">
      <c r="A304" s="7"/>
    </row>
    <row r="305" spans="1:1" x14ac:dyDescent="0.2">
      <c r="A305" s="7"/>
    </row>
    <row r="306" spans="1:1" x14ac:dyDescent="0.2">
      <c r="A306" s="7"/>
    </row>
    <row r="307" spans="1:1" x14ac:dyDescent="0.2">
      <c r="A307" s="7"/>
    </row>
    <row r="308" spans="1:1" x14ac:dyDescent="0.2">
      <c r="A308" s="7"/>
    </row>
    <row r="309" spans="1:1" x14ac:dyDescent="0.2">
      <c r="A309" s="7"/>
    </row>
    <row r="310" spans="1:1" x14ac:dyDescent="0.2">
      <c r="A310" s="7"/>
    </row>
    <row r="311" spans="1:1" x14ac:dyDescent="0.2">
      <c r="A311" s="7"/>
    </row>
    <row r="312" spans="1:1" x14ac:dyDescent="0.2">
      <c r="A312" s="7"/>
    </row>
    <row r="313" spans="1:1" x14ac:dyDescent="0.2">
      <c r="A313" s="7"/>
    </row>
    <row r="314" spans="1:1" x14ac:dyDescent="0.2">
      <c r="A314" s="7"/>
    </row>
    <row r="315" spans="1:1" x14ac:dyDescent="0.2">
      <c r="A315" s="7"/>
    </row>
    <row r="316" spans="1:1" x14ac:dyDescent="0.2">
      <c r="A316" s="7"/>
    </row>
    <row r="317" spans="1:1" x14ac:dyDescent="0.2">
      <c r="A317" s="7"/>
    </row>
    <row r="318" spans="1:1" x14ac:dyDescent="0.2">
      <c r="A318" s="7"/>
    </row>
    <row r="319" spans="1:1" x14ac:dyDescent="0.2">
      <c r="A319" s="7"/>
    </row>
    <row r="320" spans="1:1" x14ac:dyDescent="0.2">
      <c r="A320" s="7"/>
    </row>
    <row r="321" spans="1:1" x14ac:dyDescent="0.2">
      <c r="A321" s="7"/>
    </row>
    <row r="322" spans="1:1" x14ac:dyDescent="0.2">
      <c r="A322" s="7"/>
    </row>
    <row r="323" spans="1:1" x14ac:dyDescent="0.2">
      <c r="A323" s="7"/>
    </row>
    <row r="324" spans="1:1" x14ac:dyDescent="0.2">
      <c r="A324" s="7"/>
    </row>
    <row r="325" spans="1:1" x14ac:dyDescent="0.2">
      <c r="A325" s="7"/>
    </row>
    <row r="326" spans="1:1" x14ac:dyDescent="0.2">
      <c r="A326" s="7"/>
    </row>
    <row r="327" spans="1:1" x14ac:dyDescent="0.2">
      <c r="A327" s="7"/>
    </row>
    <row r="328" spans="1:1" x14ac:dyDescent="0.2">
      <c r="A328" s="7"/>
    </row>
    <row r="329" spans="1:1" x14ac:dyDescent="0.2">
      <c r="A329" s="7"/>
    </row>
    <row r="330" spans="1:1" x14ac:dyDescent="0.2">
      <c r="A330" s="7"/>
    </row>
    <row r="331" spans="1:1" x14ac:dyDescent="0.2">
      <c r="A331" s="7"/>
    </row>
    <row r="332" spans="1:1" x14ac:dyDescent="0.2">
      <c r="A332" s="7"/>
    </row>
    <row r="333" spans="1:1" x14ac:dyDescent="0.2">
      <c r="A333" s="7"/>
    </row>
    <row r="334" spans="1:1" x14ac:dyDescent="0.2">
      <c r="A334" s="7"/>
    </row>
    <row r="335" spans="1:1" x14ac:dyDescent="0.2">
      <c r="A335" s="7"/>
    </row>
    <row r="336" spans="1:1" x14ac:dyDescent="0.2">
      <c r="A336" s="7"/>
    </row>
    <row r="337" spans="1:1" x14ac:dyDescent="0.2">
      <c r="A337" s="7"/>
    </row>
    <row r="338" spans="1:1" x14ac:dyDescent="0.2">
      <c r="A338" s="7"/>
    </row>
    <row r="339" spans="1:1" x14ac:dyDescent="0.2">
      <c r="A339" s="7"/>
    </row>
    <row r="340" spans="1:1" x14ac:dyDescent="0.2">
      <c r="A340" s="7"/>
    </row>
    <row r="341" spans="1:1" x14ac:dyDescent="0.2">
      <c r="A341" s="7"/>
    </row>
    <row r="342" spans="1:1" x14ac:dyDescent="0.2">
      <c r="A342" s="7"/>
    </row>
    <row r="343" spans="1:1" x14ac:dyDescent="0.2">
      <c r="A343" s="7"/>
    </row>
    <row r="344" spans="1:1" x14ac:dyDescent="0.2">
      <c r="A344" s="7"/>
    </row>
    <row r="345" spans="1:1" x14ac:dyDescent="0.2">
      <c r="A345" s="7"/>
    </row>
    <row r="346" spans="1:1" x14ac:dyDescent="0.2">
      <c r="A346" s="7"/>
    </row>
    <row r="347" spans="1:1" x14ac:dyDescent="0.2">
      <c r="A347" s="7"/>
    </row>
    <row r="348" spans="1:1" x14ac:dyDescent="0.2">
      <c r="A348" s="7"/>
    </row>
    <row r="349" spans="1:1" x14ac:dyDescent="0.2">
      <c r="A349" s="7"/>
    </row>
    <row r="350" spans="1:1" x14ac:dyDescent="0.2">
      <c r="A350" s="7"/>
    </row>
    <row r="351" spans="1:1" x14ac:dyDescent="0.2">
      <c r="A351" s="7"/>
    </row>
    <row r="352" spans="1:1" x14ac:dyDescent="0.2">
      <c r="A352" s="7"/>
    </row>
    <row r="353" spans="1:1" x14ac:dyDescent="0.2">
      <c r="A353" s="7"/>
    </row>
    <row r="354" spans="1:1" x14ac:dyDescent="0.2">
      <c r="A354" s="7"/>
    </row>
    <row r="355" spans="1:1" x14ac:dyDescent="0.2">
      <c r="A355" s="7"/>
    </row>
    <row r="356" spans="1:1" x14ac:dyDescent="0.2">
      <c r="A356" s="7"/>
    </row>
    <row r="357" spans="1:1" x14ac:dyDescent="0.2">
      <c r="A357" s="7"/>
    </row>
    <row r="358" spans="1:1" x14ac:dyDescent="0.2">
      <c r="A358" s="7"/>
    </row>
    <row r="359" spans="1:1" x14ac:dyDescent="0.2">
      <c r="A359" s="7"/>
    </row>
    <row r="360" spans="1:1" x14ac:dyDescent="0.2">
      <c r="A360" s="7"/>
    </row>
    <row r="361" spans="1:1" x14ac:dyDescent="0.2">
      <c r="A361" s="7"/>
    </row>
    <row r="362" spans="1:1" x14ac:dyDescent="0.2">
      <c r="A362" s="7"/>
    </row>
    <row r="363" spans="1:1" x14ac:dyDescent="0.2">
      <c r="A363" s="7"/>
    </row>
    <row r="364" spans="1:1" x14ac:dyDescent="0.2">
      <c r="A364" s="7"/>
    </row>
    <row r="365" spans="1:1" x14ac:dyDescent="0.2">
      <c r="A365" s="7"/>
    </row>
    <row r="366" spans="1:1" x14ac:dyDescent="0.2">
      <c r="A366" s="7"/>
    </row>
    <row r="367" spans="1:1" x14ac:dyDescent="0.2">
      <c r="A367" s="7"/>
    </row>
    <row r="368" spans="1:1" x14ac:dyDescent="0.2">
      <c r="A368" s="7"/>
    </row>
    <row r="369" spans="1:1" x14ac:dyDescent="0.2">
      <c r="A369" s="7"/>
    </row>
    <row r="370" spans="1:1" x14ac:dyDescent="0.2">
      <c r="A370" s="7"/>
    </row>
    <row r="371" spans="1:1" x14ac:dyDescent="0.2">
      <c r="A371" s="7"/>
    </row>
    <row r="372" spans="1:1" x14ac:dyDescent="0.2">
      <c r="A372" s="7"/>
    </row>
    <row r="373" spans="1:1" x14ac:dyDescent="0.2">
      <c r="A373" s="7"/>
    </row>
    <row r="374" spans="1:1" x14ac:dyDescent="0.2">
      <c r="A374" s="7"/>
    </row>
    <row r="375" spans="1:1" x14ac:dyDescent="0.2">
      <c r="A375" s="7"/>
    </row>
    <row r="376" spans="1:1" x14ac:dyDescent="0.2">
      <c r="A376" s="7"/>
    </row>
    <row r="377" spans="1:1" x14ac:dyDescent="0.2">
      <c r="A377" s="7"/>
    </row>
    <row r="378" spans="1:1" x14ac:dyDescent="0.2">
      <c r="A378" s="7"/>
    </row>
    <row r="379" spans="1:1" x14ac:dyDescent="0.2">
      <c r="A379" s="7"/>
    </row>
    <row r="380" spans="1:1" x14ac:dyDescent="0.2">
      <c r="A380" s="7"/>
    </row>
    <row r="381" spans="1:1" x14ac:dyDescent="0.2">
      <c r="A381" s="7"/>
    </row>
    <row r="382" spans="1:1" x14ac:dyDescent="0.2">
      <c r="A382" s="7"/>
    </row>
    <row r="383" spans="1:1" x14ac:dyDescent="0.2">
      <c r="A383" s="7"/>
    </row>
    <row r="384" spans="1:1" x14ac:dyDescent="0.2">
      <c r="A384" s="7"/>
    </row>
    <row r="385" spans="1:1" x14ac:dyDescent="0.2">
      <c r="A385" s="7"/>
    </row>
    <row r="386" spans="1:1" x14ac:dyDescent="0.2">
      <c r="A386" s="7"/>
    </row>
    <row r="387" spans="1:1" x14ac:dyDescent="0.2">
      <c r="A387" s="7"/>
    </row>
    <row r="388" spans="1:1" x14ac:dyDescent="0.2">
      <c r="A388" s="7"/>
    </row>
    <row r="389" spans="1:1" x14ac:dyDescent="0.2">
      <c r="A389" s="7"/>
    </row>
    <row r="390" spans="1:1" x14ac:dyDescent="0.2">
      <c r="A390" s="7"/>
    </row>
    <row r="391" spans="1:1" x14ac:dyDescent="0.2">
      <c r="A391" s="7"/>
    </row>
    <row r="392" spans="1:1" x14ac:dyDescent="0.2">
      <c r="A392" s="7"/>
    </row>
    <row r="393" spans="1:1" x14ac:dyDescent="0.2">
      <c r="A393" s="7"/>
    </row>
    <row r="394" spans="1:1" x14ac:dyDescent="0.2">
      <c r="A394" s="7"/>
    </row>
    <row r="395" spans="1:1" x14ac:dyDescent="0.2">
      <c r="A395" s="7"/>
    </row>
    <row r="396" spans="1:1" x14ac:dyDescent="0.2">
      <c r="A396" s="7"/>
    </row>
    <row r="397" spans="1:1" x14ac:dyDescent="0.2">
      <c r="A397" s="7"/>
    </row>
  </sheetData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230BE7-876E-44EB-B72E-ADA3F755727B}">
  <sheetPr codeName="Hoja1"/>
  <dimension ref="A1:M397"/>
  <sheetViews>
    <sheetView zoomScaleNormal="100" workbookViewId="0">
      <selection activeCell="I2" sqref="I2"/>
    </sheetView>
  </sheetViews>
  <sheetFormatPr baseColWidth="10" defaultRowHeight="14.25" x14ac:dyDescent="0.2"/>
  <cols>
    <col min="2" max="2" width="11.25" bestFit="1" customWidth="1"/>
    <col min="4" max="4" width="13.5" bestFit="1" customWidth="1"/>
    <col min="5" max="5" width="11.875" bestFit="1" customWidth="1"/>
    <col min="6" max="6" width="9.625" bestFit="1" customWidth="1"/>
    <col min="7" max="7" width="8" style="1" customWidth="1"/>
    <col min="8" max="8" width="11" customWidth="1"/>
    <col min="9" max="9" width="12.375" bestFit="1" customWidth="1"/>
    <col min="10" max="10" width="9.625" bestFit="1" customWidth="1"/>
    <col min="11" max="11" width="12.25" bestFit="1" customWidth="1"/>
    <col min="13" max="13" width="12.25" bestFit="1" customWidth="1"/>
  </cols>
  <sheetData>
    <row r="1" spans="1:11" ht="15" x14ac:dyDescent="0.25">
      <c r="A1" s="33" t="s">
        <v>14</v>
      </c>
      <c r="B1" s="33" t="s">
        <v>13</v>
      </c>
      <c r="C1" s="33" t="s">
        <v>12</v>
      </c>
      <c r="D1" s="33" t="s">
        <v>10</v>
      </c>
      <c r="E1" s="33" t="s">
        <v>11</v>
      </c>
      <c r="F1" s="35" t="s">
        <v>6</v>
      </c>
      <c r="G1" s="33" t="s">
        <v>4</v>
      </c>
      <c r="H1" s="33" t="s">
        <v>5</v>
      </c>
      <c r="I1" s="33" t="s">
        <v>9</v>
      </c>
      <c r="J1" s="33" t="s">
        <v>7</v>
      </c>
      <c r="K1" s="33" t="s">
        <v>8</v>
      </c>
    </row>
    <row r="2" spans="1:11" x14ac:dyDescent="0.2">
      <c r="A2" s="9">
        <v>43180</v>
      </c>
      <c r="B2" s="13">
        <f t="shared" ref="B2:B9" ca="1" si="0">+A2-$B$12</f>
        <v>22</v>
      </c>
      <c r="C2" s="5">
        <f t="shared" ref="C2:C9" ca="1" si="1">+B2/365</f>
        <v>6.0273972602739728E-2</v>
      </c>
      <c r="D2" s="2">
        <v>26.593900000000001</v>
      </c>
      <c r="E2" s="2">
        <v>26.450500000000002</v>
      </c>
      <c r="F2" s="6">
        <f t="shared" ref="F2:F9" si="2">+AVERAGE(D2:E2)/100</f>
        <v>0.26522200000000001</v>
      </c>
      <c r="G2" s="6"/>
      <c r="H2" s="9">
        <f t="shared" ref="H2:H9" si="3">+VLOOKUP(A2,$A$20:$E$38,1,TRUE)</f>
        <v>43172</v>
      </c>
      <c r="I2" s="26">
        <f t="shared" ref="I2:I9" si="4">+VLOOKUP($A2,$A$20:$E$38,2,TRUE)</f>
        <v>0.255</v>
      </c>
      <c r="J2" s="27">
        <f ca="1">+(VLOOKUP(A2,$A$20:$E$38,5,TRUE)*(1+I2*(A2-H2)/365)-1)/C2</f>
        <v>0.25009042926858011</v>
      </c>
      <c r="K2" s="2">
        <f t="shared" ref="K2:K9" ca="1" si="5">+(F2-J2)^2</f>
        <v>2.289644327999636E-4</v>
      </c>
    </row>
    <row r="3" spans="1:11" x14ac:dyDescent="0.2">
      <c r="A3" s="9">
        <v>43208</v>
      </c>
      <c r="B3" s="13">
        <f t="shared" ca="1" si="0"/>
        <v>50</v>
      </c>
      <c r="C3" s="5">
        <f t="shared" ca="1" si="1"/>
        <v>0.13698630136986301</v>
      </c>
      <c r="D3" s="2">
        <v>26.529399999999999</v>
      </c>
      <c r="E3" s="2">
        <v>26.4255</v>
      </c>
      <c r="F3" s="6">
        <f t="shared" si="2"/>
        <v>0.26477449999999997</v>
      </c>
      <c r="G3" s="6">
        <f t="shared" ref="G3:G9" ca="1" si="6">+((1+F3*C3)/(1+F2*C2)-1)/(C3-C2)</f>
        <v>0.26026234331519227</v>
      </c>
      <c r="H3" s="9">
        <f t="shared" si="3"/>
        <v>43200</v>
      </c>
      <c r="I3" s="26">
        <f t="shared" si="4"/>
        <v>0.2475</v>
      </c>
      <c r="J3" s="27">
        <f ca="1">+(VLOOKUP(A3,$A$20:$E$38,5,TRUE)*(1+I3*(A3-H3)/365)-1)/C3</f>
        <v>0.25231394298062143</v>
      </c>
      <c r="K3" s="2">
        <f t="shared" ca="1" si="5"/>
        <v>1.5526548123318375E-4</v>
      </c>
    </row>
    <row r="4" spans="1:11" x14ac:dyDescent="0.2">
      <c r="A4" s="9">
        <v>43236</v>
      </c>
      <c r="B4" s="13">
        <f t="shared" ca="1" si="0"/>
        <v>78</v>
      </c>
      <c r="C4" s="5">
        <f t="shared" ca="1" si="1"/>
        <v>0.21369863013698631</v>
      </c>
      <c r="D4" s="2">
        <v>26.349799999999998</v>
      </c>
      <c r="E4" s="2">
        <v>26.2653</v>
      </c>
      <c r="F4" s="6">
        <f t="shared" si="2"/>
        <v>0.26307550000000002</v>
      </c>
      <c r="G4" s="6">
        <f t="shared" ca="1" si="6"/>
        <v>0.2509398623089939</v>
      </c>
      <c r="H4" s="9">
        <f t="shared" si="3"/>
        <v>43228</v>
      </c>
      <c r="I4" s="26">
        <f t="shared" si="4"/>
        <v>0.23749999999999999</v>
      </c>
      <c r="J4" s="27">
        <f ca="1">+(VLOOKUP(A4,$A$20:$E$38,5,TRUE)*(1+I4*(A4-H4)/365)-1)/C4</f>
        <v>0.25161189604401774</v>
      </c>
      <c r="K4" s="2">
        <f t="shared" ca="1" si="5"/>
        <v>1.3141421565961262E-4</v>
      </c>
    </row>
    <row r="5" spans="1:11" x14ac:dyDescent="0.2">
      <c r="A5" s="9">
        <v>43272</v>
      </c>
      <c r="B5" s="13">
        <f t="shared" ca="1" si="0"/>
        <v>114</v>
      </c>
      <c r="C5" s="5">
        <f t="shared" ca="1" si="1"/>
        <v>0.31232876712328766</v>
      </c>
      <c r="D5" s="2">
        <v>26.148399999999999</v>
      </c>
      <c r="E5" s="2">
        <v>26.076699999999999</v>
      </c>
      <c r="F5" s="6">
        <f t="shared" si="2"/>
        <v>0.26112550000000001</v>
      </c>
      <c r="G5" s="6">
        <f t="shared" ca="1" si="6"/>
        <v>0.24322657578893367</v>
      </c>
      <c r="H5" s="9">
        <f t="shared" si="3"/>
        <v>43263</v>
      </c>
      <c r="I5" s="26">
        <f t="shared" si="4"/>
        <v>0.22749999999999998</v>
      </c>
      <c r="J5" s="27">
        <f ca="1">+(VLOOKUP(A5,$A$20:$E$38,5,TRUE)*(1+I5*(A5-H5)/365)-1)/C5</f>
        <v>0.25031033468679059</v>
      </c>
      <c r="K5" s="2">
        <f t="shared" ca="1" si="5"/>
        <v>1.1696780075204817E-4</v>
      </c>
    </row>
    <row r="6" spans="1:11" x14ac:dyDescent="0.2">
      <c r="A6" s="9">
        <v>43299</v>
      </c>
      <c r="B6" s="13">
        <f t="shared" ca="1" si="0"/>
        <v>141</v>
      </c>
      <c r="C6" s="5">
        <f t="shared" ca="1" si="1"/>
        <v>0.38630136986301372</v>
      </c>
      <c r="D6" s="2">
        <v>25.995999999999999</v>
      </c>
      <c r="E6" s="2">
        <v>25.571000000000002</v>
      </c>
      <c r="F6" s="6">
        <f t="shared" si="2"/>
        <v>0.25783499999999998</v>
      </c>
      <c r="G6" s="6">
        <f t="shared" ca="1" si="6"/>
        <v>0.22554685193836854</v>
      </c>
      <c r="H6" s="9">
        <f t="shared" si="3"/>
        <v>43291</v>
      </c>
      <c r="I6" s="26">
        <f t="shared" si="4"/>
        <v>0.21499999999999997</v>
      </c>
      <c r="J6" s="27">
        <f ca="1">+(VLOOKUP(A6,$A$20:$E$38,5,TRUE)*(1+I6*(A6-H6)/365)-1)/C6</f>
        <v>0.24795716916505736</v>
      </c>
      <c r="K6" s="2">
        <f t="shared" ca="1" si="5"/>
        <v>9.7571542003743202E-5</v>
      </c>
    </row>
    <row r="7" spans="1:11" x14ac:dyDescent="0.2">
      <c r="A7" s="9">
        <v>43327</v>
      </c>
      <c r="B7" s="13">
        <f t="shared" ca="1" si="0"/>
        <v>169</v>
      </c>
      <c r="C7" s="5">
        <f t="shared" ca="1" si="1"/>
        <v>0.46301369863013697</v>
      </c>
      <c r="D7" s="2">
        <v>25.763100000000001</v>
      </c>
      <c r="E7" s="2">
        <v>25.6218</v>
      </c>
      <c r="F7" s="6">
        <f t="shared" si="2"/>
        <v>0.2569245</v>
      </c>
      <c r="G7" s="6">
        <f t="shared" ca="1" si="6"/>
        <v>0.22948255732461337</v>
      </c>
      <c r="H7" s="9">
        <f t="shared" si="3"/>
        <v>43319</v>
      </c>
      <c r="I7" s="26">
        <f t="shared" si="4"/>
        <v>0.21499999999999997</v>
      </c>
      <c r="J7" s="27">
        <f ca="1">+(VLOOKUP(A7,$A$20:$E$38,5,TRUE)*(1+I7*(A7-H7)/365)-1)/C7</f>
        <v>0.2460697843545048</v>
      </c>
      <c r="K7" s="2">
        <f t="shared" ca="1" si="5"/>
        <v>1.1782485174455827E-4</v>
      </c>
    </row>
    <row r="8" spans="1:11" x14ac:dyDescent="0.2">
      <c r="A8" s="9">
        <v>43362</v>
      </c>
      <c r="B8" s="13">
        <f t="shared" ca="1" si="0"/>
        <v>204</v>
      </c>
      <c r="C8" s="5">
        <f t="shared" ca="1" si="1"/>
        <v>0.55890410958904113</v>
      </c>
      <c r="D8" s="2">
        <v>25.7331</v>
      </c>
      <c r="E8" s="2">
        <v>25.512499999999999</v>
      </c>
      <c r="F8" s="6">
        <f t="shared" si="2"/>
        <v>0.25622799999999996</v>
      </c>
      <c r="G8" s="6">
        <f t="shared" ca="1" si="6"/>
        <v>0.22598216089145848</v>
      </c>
      <c r="H8" s="9">
        <f t="shared" si="3"/>
        <v>43354</v>
      </c>
      <c r="I8" s="26">
        <f t="shared" si="4"/>
        <v>0.21499999999999997</v>
      </c>
      <c r="J8" s="27">
        <f ca="1">+(VLOOKUP(A8,$A$20:$E$38,5,TRUE)*(1+I8*(A8-H8)/365)-1)/C8</f>
        <v>0.245145195678624</v>
      </c>
      <c r="K8" s="2">
        <f t="shared" ca="1" si="5"/>
        <v>1.2282855162590954E-4</v>
      </c>
    </row>
    <row r="9" spans="1:11" x14ac:dyDescent="0.2">
      <c r="A9" s="9">
        <v>43390</v>
      </c>
      <c r="B9" s="13">
        <f t="shared" ca="1" si="0"/>
        <v>232</v>
      </c>
      <c r="C9" s="5">
        <f t="shared" ca="1" si="1"/>
        <v>0.63561643835616444</v>
      </c>
      <c r="D9" s="2">
        <v>25.698799999999999</v>
      </c>
      <c r="E9" s="2">
        <v>25.3705</v>
      </c>
      <c r="F9" s="6">
        <f t="shared" si="2"/>
        <v>0.25534649999999998</v>
      </c>
      <c r="G9" s="6">
        <f t="shared" ca="1" si="6"/>
        <v>0.21774199117827608</v>
      </c>
      <c r="H9" s="9">
        <f t="shared" si="3"/>
        <v>43382</v>
      </c>
      <c r="I9" s="26">
        <f t="shared" si="4"/>
        <v>0.20749999999999996</v>
      </c>
      <c r="J9" s="27">
        <f ca="1">+(VLOOKUP(A9,$A$20:$E$38,5,TRUE)*(1+I9*(A9-H9)/365)-1)/C9</f>
        <v>0.24436759825128765</v>
      </c>
      <c r="K9" s="2">
        <f t="shared" ca="1" si="5"/>
        <v>1.2053628360787861E-4</v>
      </c>
    </row>
    <row r="11" spans="1:11" x14ac:dyDescent="0.2">
      <c r="B11" s="8"/>
    </row>
    <row r="12" spans="1:11" ht="15" x14ac:dyDescent="0.25">
      <c r="A12" s="4" t="s">
        <v>0</v>
      </c>
      <c r="B12" s="9">
        <f ca="1">+TODAY()</f>
        <v>43158</v>
      </c>
    </row>
    <row r="13" spans="1:11" ht="15" x14ac:dyDescent="0.25">
      <c r="A13" s="28" t="s">
        <v>1</v>
      </c>
      <c r="B13" s="16">
        <f ca="1">+SUM(K2:K9)</f>
        <v>1.0913731594268978E-3</v>
      </c>
    </row>
    <row r="14" spans="1:11" ht="15" x14ac:dyDescent="0.25">
      <c r="A14" s="38" t="s">
        <v>20</v>
      </c>
      <c r="B14" s="2" t="s">
        <v>21</v>
      </c>
    </row>
    <row r="15" spans="1:11" x14ac:dyDescent="0.2">
      <c r="A15" s="7"/>
    </row>
    <row r="16" spans="1:11" x14ac:dyDescent="0.2">
      <c r="A16" s="7"/>
      <c r="G16" s="17"/>
    </row>
    <row r="17" spans="1:13" x14ac:dyDescent="0.2">
      <c r="A17" s="10"/>
    </row>
    <row r="18" spans="1:13" x14ac:dyDescent="0.2">
      <c r="A18" s="7"/>
    </row>
    <row r="19" spans="1:13" ht="15" x14ac:dyDescent="0.25">
      <c r="A19" s="32" t="s">
        <v>3</v>
      </c>
      <c r="B19" s="33" t="s">
        <v>2</v>
      </c>
      <c r="C19" s="33" t="s">
        <v>15</v>
      </c>
      <c r="D19" s="33" t="s">
        <v>16</v>
      </c>
      <c r="E19" s="33" t="s">
        <v>17</v>
      </c>
      <c r="F19" s="34" t="s">
        <v>18</v>
      </c>
      <c r="G19" s="36" t="s">
        <v>19</v>
      </c>
      <c r="H19" s="14"/>
      <c r="I19" s="14"/>
      <c r="J19" s="11"/>
      <c r="K19" s="11"/>
      <c r="L19" s="11"/>
      <c r="M19" s="11"/>
    </row>
    <row r="20" spans="1:13" s="20" customFormat="1" x14ac:dyDescent="0.2">
      <c r="A20" s="29">
        <f ca="1">+TODAY()</f>
        <v>43158</v>
      </c>
      <c r="B20" s="30">
        <v>0.27250000000000002</v>
      </c>
      <c r="C20" s="31"/>
      <c r="D20" s="31"/>
      <c r="E20" s="31"/>
      <c r="F20" s="31"/>
      <c r="G20" s="37"/>
      <c r="H20" s="19"/>
      <c r="I20" s="19"/>
    </row>
    <row r="21" spans="1:13" s="20" customFormat="1" x14ac:dyDescent="0.2">
      <c r="A21" s="18">
        <v>43145</v>
      </c>
      <c r="B21" s="21">
        <f>+B20-G21*0.25%</f>
        <v>0.26</v>
      </c>
      <c r="C21" s="19">
        <f ca="1">+(A21-$A$20)/365</f>
        <v>-3.5616438356164383E-2</v>
      </c>
      <c r="D21" s="22">
        <f t="shared" ref="D21:D38" ca="1" si="7">+(A21-A20)/365</f>
        <v>-3.5616438356164383E-2</v>
      </c>
      <c r="E21" s="19">
        <f ca="1">+(1+B20*D21)</f>
        <v>0.9902945205479452</v>
      </c>
      <c r="F21" s="21">
        <f ca="1">+(E21-1)/D21</f>
        <v>0.27250000000000013</v>
      </c>
      <c r="G21" s="25">
        <v>5</v>
      </c>
      <c r="H21" s="19"/>
      <c r="I21" s="19"/>
      <c r="J21" s="23"/>
    </row>
    <row r="22" spans="1:13" x14ac:dyDescent="0.2">
      <c r="A22" s="9">
        <v>43158</v>
      </c>
      <c r="B22" s="21">
        <f t="shared" ref="B22:B38" si="8">+B21-G22*0.25%</f>
        <v>0.26</v>
      </c>
      <c r="C22" s="2">
        <f t="shared" ref="C22:C38" ca="1" si="9">+(A22-$A$20)/365</f>
        <v>0</v>
      </c>
      <c r="D22" s="12">
        <f t="shared" si="7"/>
        <v>3.5616438356164383E-2</v>
      </c>
      <c r="E22" s="2">
        <f t="shared" ref="E22:E38" ca="1" si="10">+E21*(1+B21*D22)</f>
        <v>0.99946491912178637</v>
      </c>
      <c r="F22" s="3" t="e">
        <f ca="1">+(E22-1)/C22</f>
        <v>#DIV/0!</v>
      </c>
      <c r="G22" s="25">
        <v>0</v>
      </c>
      <c r="H22" s="19"/>
      <c r="I22" s="19"/>
    </row>
    <row r="23" spans="1:13" x14ac:dyDescent="0.2">
      <c r="A23" s="9">
        <v>43172</v>
      </c>
      <c r="B23" s="21">
        <f t="shared" si="8"/>
        <v>0.255</v>
      </c>
      <c r="C23" s="2">
        <f t="shared" ca="1" si="9"/>
        <v>3.8356164383561646E-2</v>
      </c>
      <c r="D23" s="12">
        <f t="shared" si="7"/>
        <v>3.8356164383561646E-2</v>
      </c>
      <c r="E23" s="2">
        <f t="shared" ca="1" si="10"/>
        <v>1.0094321857124804</v>
      </c>
      <c r="F23" s="3">
        <f t="shared" ref="F23:F38" ca="1" si="11">+(E23-1)/C23</f>
        <v>0.24591055607538159</v>
      </c>
      <c r="G23" s="25">
        <v>2</v>
      </c>
      <c r="H23" s="19"/>
      <c r="I23" s="19"/>
    </row>
    <row r="24" spans="1:13" x14ac:dyDescent="0.2">
      <c r="A24" s="9">
        <v>43186</v>
      </c>
      <c r="B24" s="21">
        <f t="shared" si="8"/>
        <v>0.2475</v>
      </c>
      <c r="C24" s="2">
        <f t="shared" ca="1" si="9"/>
        <v>7.6712328767123292E-2</v>
      </c>
      <c r="D24" s="12">
        <f t="shared" si="7"/>
        <v>3.8356164383561646E-2</v>
      </c>
      <c r="E24" s="2">
        <f t="shared" ca="1" si="10"/>
        <v>1.0193052621590379</v>
      </c>
      <c r="F24" s="3">
        <f t="shared" ca="1" si="11"/>
        <v>0.25165788171603026</v>
      </c>
      <c r="G24" s="25">
        <v>3</v>
      </c>
      <c r="H24" s="19"/>
      <c r="I24" s="19"/>
    </row>
    <row r="25" spans="1:13" x14ac:dyDescent="0.2">
      <c r="A25" s="9">
        <v>43200</v>
      </c>
      <c r="B25" s="21">
        <f t="shared" si="8"/>
        <v>0.2475</v>
      </c>
      <c r="C25" s="2">
        <f t="shared" ca="1" si="9"/>
        <v>0.11506849315068493</v>
      </c>
      <c r="D25" s="12">
        <f t="shared" si="7"/>
        <v>3.8356164383561646E-2</v>
      </c>
      <c r="E25" s="2">
        <f t="shared" ca="1" si="10"/>
        <v>1.0289816806066574</v>
      </c>
      <c r="F25" s="3">
        <f t="shared" ca="1" si="11"/>
        <v>0.25186460527214172</v>
      </c>
      <c r="G25" s="25">
        <v>0</v>
      </c>
      <c r="H25" s="19"/>
      <c r="I25" s="19"/>
    </row>
    <row r="26" spans="1:13" x14ac:dyDescent="0.2">
      <c r="A26" s="9">
        <v>43214</v>
      </c>
      <c r="B26" s="21">
        <f t="shared" si="8"/>
        <v>0.24</v>
      </c>
      <c r="C26" s="2">
        <f t="shared" ca="1" si="9"/>
        <v>0.15342465753424658</v>
      </c>
      <c r="D26" s="12">
        <f t="shared" si="7"/>
        <v>3.8356164383561646E-2</v>
      </c>
      <c r="E26" s="2">
        <f t="shared" ca="1" si="10"/>
        <v>1.0387499587526905</v>
      </c>
      <c r="F26" s="3">
        <f t="shared" ca="1" si="11"/>
        <v>0.2525666954416434</v>
      </c>
      <c r="G26" s="25">
        <v>3</v>
      </c>
      <c r="H26" s="19"/>
      <c r="I26" s="19"/>
    </row>
    <row r="27" spans="1:13" x14ac:dyDescent="0.2">
      <c r="A27" s="9">
        <v>43228</v>
      </c>
      <c r="B27" s="21">
        <f t="shared" si="8"/>
        <v>0.23749999999999999</v>
      </c>
      <c r="C27" s="2">
        <f t="shared" ca="1" si="9"/>
        <v>0.19178082191780821</v>
      </c>
      <c r="D27" s="12">
        <f t="shared" si="7"/>
        <v>3.8356164383561646E-2</v>
      </c>
      <c r="E27" s="2">
        <f t="shared" ca="1" si="10"/>
        <v>1.0483121501538113</v>
      </c>
      <c r="F27" s="3">
        <f t="shared" ca="1" si="11"/>
        <v>0.25191335437344464</v>
      </c>
      <c r="G27" s="25">
        <v>1</v>
      </c>
      <c r="H27" s="19"/>
      <c r="I27" s="19"/>
    </row>
    <row r="28" spans="1:13" x14ac:dyDescent="0.2">
      <c r="A28" s="9">
        <v>43242</v>
      </c>
      <c r="B28" s="21">
        <f t="shared" si="8"/>
        <v>0.23499999999999999</v>
      </c>
      <c r="C28" s="2">
        <f t="shared" ca="1" si="9"/>
        <v>0.23013698630136986</v>
      </c>
      <c r="D28" s="12">
        <f t="shared" si="7"/>
        <v>3.8356164383561646E-2</v>
      </c>
      <c r="E28" s="2">
        <f t="shared" ca="1" si="10"/>
        <v>1.0578618430285001</v>
      </c>
      <c r="F28" s="3">
        <f t="shared" ca="1" si="11"/>
        <v>0.25142348458812525</v>
      </c>
      <c r="G28" s="25">
        <v>1</v>
      </c>
      <c r="H28" s="19"/>
      <c r="I28" s="19"/>
    </row>
    <row r="29" spans="1:13" x14ac:dyDescent="0.2">
      <c r="A29" s="9">
        <v>43263</v>
      </c>
      <c r="B29" s="21">
        <f t="shared" si="8"/>
        <v>0.22749999999999998</v>
      </c>
      <c r="C29" s="2">
        <f t="shared" ca="1" si="9"/>
        <v>0.28767123287671231</v>
      </c>
      <c r="D29" s="12">
        <f t="shared" si="7"/>
        <v>5.7534246575342465E-2</v>
      </c>
      <c r="E29" s="2">
        <f t="shared" ca="1" si="10"/>
        <v>1.0721647147965703</v>
      </c>
      <c r="F29" s="3">
        <f t="shared" ca="1" si="11"/>
        <v>0.25085829429283951</v>
      </c>
      <c r="G29" s="25">
        <v>3</v>
      </c>
      <c r="H29" s="19"/>
      <c r="I29" s="19"/>
    </row>
    <row r="30" spans="1:13" x14ac:dyDescent="0.2">
      <c r="A30" s="9">
        <v>43277</v>
      </c>
      <c r="B30" s="21">
        <f t="shared" si="8"/>
        <v>0.21999999999999997</v>
      </c>
      <c r="C30" s="2">
        <f t="shared" ca="1" si="9"/>
        <v>0.32602739726027397</v>
      </c>
      <c r="D30" s="12">
        <f t="shared" si="7"/>
        <v>3.8356164383561646E-2</v>
      </c>
      <c r="E30" s="2">
        <f t="shared" ca="1" si="10"/>
        <v>1.0815204534722609</v>
      </c>
      <c r="F30" s="3">
        <f t="shared" ca="1" si="11"/>
        <v>0.25004172703676658</v>
      </c>
      <c r="G30" s="25">
        <v>3</v>
      </c>
      <c r="H30" s="19"/>
      <c r="I30" s="19"/>
    </row>
    <row r="31" spans="1:13" x14ac:dyDescent="0.2">
      <c r="A31" s="9">
        <v>43291</v>
      </c>
      <c r="B31" s="21">
        <f t="shared" si="8"/>
        <v>0.21499999999999997</v>
      </c>
      <c r="C31" s="2">
        <f t="shared" ca="1" si="9"/>
        <v>0.36438356164383562</v>
      </c>
      <c r="D31" s="12">
        <f t="shared" si="7"/>
        <v>3.8356164383561646E-2</v>
      </c>
      <c r="E31" s="2">
        <f t="shared" ca="1" si="10"/>
        <v>1.0906467082577254</v>
      </c>
      <c r="F31" s="3">
        <f t="shared" ca="1" si="11"/>
        <v>0.24876728206067486</v>
      </c>
      <c r="G31" s="25">
        <v>2</v>
      </c>
      <c r="H31" s="19"/>
      <c r="I31" s="19"/>
    </row>
    <row r="32" spans="1:13" x14ac:dyDescent="0.2">
      <c r="A32" s="9">
        <v>43305</v>
      </c>
      <c r="B32" s="21">
        <f t="shared" si="8"/>
        <v>0.21499999999999997</v>
      </c>
      <c r="C32" s="2">
        <f t="shared" ca="1" si="9"/>
        <v>0.40273972602739727</v>
      </c>
      <c r="D32" s="12">
        <f t="shared" si="7"/>
        <v>3.8356164383561646E-2</v>
      </c>
      <c r="E32" s="2">
        <f t="shared" ca="1" si="10"/>
        <v>1.0996408085093849</v>
      </c>
      <c r="F32" s="3">
        <f t="shared" ca="1" si="11"/>
        <v>0.2474074497001735</v>
      </c>
      <c r="G32" s="25">
        <v>0</v>
      </c>
      <c r="H32" s="19"/>
      <c r="I32" s="19"/>
    </row>
    <row r="33" spans="1:9" x14ac:dyDescent="0.2">
      <c r="A33" s="9">
        <v>43319</v>
      </c>
      <c r="B33" s="21">
        <f t="shared" si="8"/>
        <v>0.21499999999999997</v>
      </c>
      <c r="C33" s="2">
        <f t="shared" ca="1" si="9"/>
        <v>0.44109589041095892</v>
      </c>
      <c r="D33" s="12">
        <f t="shared" si="7"/>
        <v>3.8356164383561646E-2</v>
      </c>
      <c r="E33" s="2">
        <f t="shared" ca="1" si="10"/>
        <v>1.1087090792864074</v>
      </c>
      <c r="F33" s="3">
        <f t="shared" ca="1" si="11"/>
        <v>0.24645226049402916</v>
      </c>
      <c r="G33" s="25">
        <v>0</v>
      </c>
      <c r="H33" s="19"/>
      <c r="I33" s="19"/>
    </row>
    <row r="34" spans="1:9" x14ac:dyDescent="0.2">
      <c r="A34" s="9">
        <v>43333</v>
      </c>
      <c r="B34" s="21">
        <f t="shared" si="8"/>
        <v>0.21499999999999997</v>
      </c>
      <c r="C34" s="2">
        <f t="shared" ca="1" si="9"/>
        <v>0.47945205479452052</v>
      </c>
      <c r="D34" s="12">
        <f t="shared" si="7"/>
        <v>3.8356164383561646E-2</v>
      </c>
      <c r="E34" s="2">
        <f t="shared" ca="1" si="10"/>
        <v>1.1178521322416184</v>
      </c>
      <c r="F34" s="3">
        <f t="shared" ca="1" si="11"/>
        <v>0.24580587581823266</v>
      </c>
      <c r="G34" s="25">
        <v>0</v>
      </c>
      <c r="H34" s="19"/>
      <c r="I34" s="19"/>
    </row>
    <row r="35" spans="1:9" x14ac:dyDescent="0.2">
      <c r="A35" s="9">
        <v>43354</v>
      </c>
      <c r="B35" s="21">
        <f t="shared" si="8"/>
        <v>0.21499999999999997</v>
      </c>
      <c r="C35" s="2">
        <f t="shared" ca="1" si="9"/>
        <v>0.53698630136986303</v>
      </c>
      <c r="D35" s="12">
        <f t="shared" si="7"/>
        <v>5.7534246575342465E-2</v>
      </c>
      <c r="E35" s="2">
        <f t="shared" ca="1" si="10"/>
        <v>1.131679809987018</v>
      </c>
      <c r="F35" s="3">
        <f t="shared" ca="1" si="11"/>
        <v>0.24522005431255903</v>
      </c>
      <c r="G35" s="25">
        <v>0</v>
      </c>
      <c r="H35" s="19"/>
      <c r="I35" s="19"/>
    </row>
    <row r="36" spans="1:9" x14ac:dyDescent="0.2">
      <c r="A36" s="9">
        <v>43368</v>
      </c>
      <c r="B36" s="21">
        <f t="shared" si="8"/>
        <v>0.20749999999999996</v>
      </c>
      <c r="C36" s="2">
        <f t="shared" ca="1" si="9"/>
        <v>0.57534246575342463</v>
      </c>
      <c r="D36" s="12">
        <f t="shared" si="7"/>
        <v>3.8356164383561646E-2</v>
      </c>
      <c r="E36" s="2">
        <f t="shared" ca="1" si="10"/>
        <v>1.1410122928036233</v>
      </c>
      <c r="F36" s="3">
        <f t="shared" ca="1" si="11"/>
        <v>0.24509279463486902</v>
      </c>
      <c r="G36" s="25">
        <v>3</v>
      </c>
      <c r="H36" s="19"/>
      <c r="I36" s="19"/>
    </row>
    <row r="37" spans="1:9" x14ac:dyDescent="0.2">
      <c r="A37" s="9">
        <v>43382</v>
      </c>
      <c r="B37" s="21">
        <f t="shared" si="8"/>
        <v>0.20749999999999996</v>
      </c>
      <c r="C37" s="2">
        <f t="shared" ca="1" si="9"/>
        <v>0.61369863013698633</v>
      </c>
      <c r="D37" s="12">
        <f t="shared" si="7"/>
        <v>3.8356164383561646E-2</v>
      </c>
      <c r="E37" s="2">
        <f t="shared" ca="1" si="10"/>
        <v>1.1500935002299097</v>
      </c>
      <c r="F37" s="3">
        <f t="shared" ca="1" si="11"/>
        <v>0.24457199814248684</v>
      </c>
      <c r="G37" s="25">
        <v>0</v>
      </c>
      <c r="H37" s="19"/>
      <c r="I37" s="19"/>
    </row>
    <row r="38" spans="1:9" x14ac:dyDescent="0.2">
      <c r="A38" s="9">
        <v>43396</v>
      </c>
      <c r="B38" s="21">
        <f t="shared" si="8"/>
        <v>0.20749999999999996</v>
      </c>
      <c r="C38" s="2">
        <f t="shared" ca="1" si="9"/>
        <v>0.65205479452054793</v>
      </c>
      <c r="D38" s="12">
        <f t="shared" si="7"/>
        <v>3.8356164383561646E-2</v>
      </c>
      <c r="E38" s="2">
        <f t="shared" ca="1" si="10"/>
        <v>1.1592469841153012</v>
      </c>
      <c r="F38" s="3">
        <f t="shared" ca="1" si="11"/>
        <v>0.24422331597514688</v>
      </c>
      <c r="G38" s="24"/>
      <c r="H38" s="19"/>
      <c r="I38" s="19"/>
    </row>
    <row r="39" spans="1:9" x14ac:dyDescent="0.2">
      <c r="A39" s="7"/>
    </row>
    <row r="40" spans="1:9" x14ac:dyDescent="0.2">
      <c r="A40" s="7"/>
    </row>
    <row r="41" spans="1:9" x14ac:dyDescent="0.2">
      <c r="A41" s="7"/>
    </row>
    <row r="42" spans="1:9" x14ac:dyDescent="0.2">
      <c r="A42" s="7"/>
    </row>
    <row r="43" spans="1:9" x14ac:dyDescent="0.2">
      <c r="A43" s="7"/>
    </row>
    <row r="44" spans="1:9" x14ac:dyDescent="0.2">
      <c r="A44" s="7"/>
    </row>
    <row r="45" spans="1:9" x14ac:dyDescent="0.2">
      <c r="A45" s="7"/>
    </row>
    <row r="46" spans="1:9" x14ac:dyDescent="0.2">
      <c r="A46" s="7"/>
    </row>
    <row r="47" spans="1:9" x14ac:dyDescent="0.2">
      <c r="A47" s="7"/>
    </row>
    <row r="48" spans="1:9" x14ac:dyDescent="0.2">
      <c r="A48" s="7"/>
    </row>
    <row r="49" spans="1:1" x14ac:dyDescent="0.2">
      <c r="A49" s="7"/>
    </row>
    <row r="50" spans="1:1" x14ac:dyDescent="0.2">
      <c r="A50" s="7"/>
    </row>
    <row r="51" spans="1:1" x14ac:dyDescent="0.2">
      <c r="A51" s="7"/>
    </row>
    <row r="52" spans="1:1" x14ac:dyDescent="0.2">
      <c r="A52" s="7"/>
    </row>
    <row r="53" spans="1:1" x14ac:dyDescent="0.2">
      <c r="A53" s="7"/>
    </row>
    <row r="54" spans="1:1" x14ac:dyDescent="0.2">
      <c r="A54" s="7"/>
    </row>
    <row r="55" spans="1:1" x14ac:dyDescent="0.2">
      <c r="A55" s="7"/>
    </row>
    <row r="56" spans="1:1" x14ac:dyDescent="0.2">
      <c r="A56" s="7"/>
    </row>
    <row r="57" spans="1:1" x14ac:dyDescent="0.2">
      <c r="A57" s="7"/>
    </row>
    <row r="58" spans="1:1" x14ac:dyDescent="0.2">
      <c r="A58" s="7"/>
    </row>
    <row r="59" spans="1:1" x14ac:dyDescent="0.2">
      <c r="A59" s="7"/>
    </row>
    <row r="60" spans="1:1" x14ac:dyDescent="0.2">
      <c r="A60" s="7"/>
    </row>
    <row r="61" spans="1:1" x14ac:dyDescent="0.2">
      <c r="A61" s="7"/>
    </row>
    <row r="62" spans="1:1" x14ac:dyDescent="0.2">
      <c r="A62" s="7"/>
    </row>
    <row r="63" spans="1:1" x14ac:dyDescent="0.2">
      <c r="A63" s="7"/>
    </row>
    <row r="64" spans="1:1" x14ac:dyDescent="0.2">
      <c r="A64" s="7"/>
    </row>
    <row r="65" spans="1:1" x14ac:dyDescent="0.2">
      <c r="A65" s="7"/>
    </row>
    <row r="66" spans="1:1" x14ac:dyDescent="0.2">
      <c r="A66" s="7"/>
    </row>
    <row r="67" spans="1:1" x14ac:dyDescent="0.2">
      <c r="A67" s="7"/>
    </row>
    <row r="68" spans="1:1" x14ac:dyDescent="0.2">
      <c r="A68" s="7"/>
    </row>
    <row r="69" spans="1:1" x14ac:dyDescent="0.2">
      <c r="A69" s="7"/>
    </row>
    <row r="70" spans="1:1" x14ac:dyDescent="0.2">
      <c r="A70" s="7"/>
    </row>
    <row r="71" spans="1:1" x14ac:dyDescent="0.2">
      <c r="A71" s="7"/>
    </row>
    <row r="72" spans="1:1" x14ac:dyDescent="0.2">
      <c r="A72" s="7"/>
    </row>
    <row r="73" spans="1:1" x14ac:dyDescent="0.2">
      <c r="A73" s="7"/>
    </row>
    <row r="74" spans="1:1" x14ac:dyDescent="0.2">
      <c r="A74" s="7"/>
    </row>
    <row r="75" spans="1:1" x14ac:dyDescent="0.2">
      <c r="A75" s="7"/>
    </row>
    <row r="76" spans="1:1" x14ac:dyDescent="0.2">
      <c r="A76" s="7"/>
    </row>
    <row r="77" spans="1:1" x14ac:dyDescent="0.2">
      <c r="A77" s="7"/>
    </row>
    <row r="78" spans="1:1" x14ac:dyDescent="0.2">
      <c r="A78" s="7"/>
    </row>
    <row r="79" spans="1:1" x14ac:dyDescent="0.2">
      <c r="A79" s="7"/>
    </row>
    <row r="80" spans="1:1" x14ac:dyDescent="0.2">
      <c r="A80" s="7"/>
    </row>
    <row r="81" spans="1:1" x14ac:dyDescent="0.2">
      <c r="A81" s="7"/>
    </row>
    <row r="82" spans="1:1" x14ac:dyDescent="0.2">
      <c r="A82" s="7"/>
    </row>
    <row r="83" spans="1:1" x14ac:dyDescent="0.2">
      <c r="A83" s="7"/>
    </row>
    <row r="84" spans="1:1" x14ac:dyDescent="0.2">
      <c r="A84" s="7"/>
    </row>
    <row r="85" spans="1:1" x14ac:dyDescent="0.2">
      <c r="A85" s="7"/>
    </row>
    <row r="86" spans="1:1" x14ac:dyDescent="0.2">
      <c r="A86" s="7"/>
    </row>
    <row r="87" spans="1:1" x14ac:dyDescent="0.2">
      <c r="A87" s="7"/>
    </row>
    <row r="88" spans="1:1" x14ac:dyDescent="0.2">
      <c r="A88" s="7"/>
    </row>
    <row r="89" spans="1:1" x14ac:dyDescent="0.2">
      <c r="A89" s="7"/>
    </row>
    <row r="90" spans="1:1" x14ac:dyDescent="0.2">
      <c r="A90" s="7"/>
    </row>
    <row r="91" spans="1:1" x14ac:dyDescent="0.2">
      <c r="A91" s="7"/>
    </row>
    <row r="92" spans="1:1" x14ac:dyDescent="0.2">
      <c r="A92" s="7"/>
    </row>
    <row r="93" spans="1:1" x14ac:dyDescent="0.2">
      <c r="A93" s="7"/>
    </row>
    <row r="94" spans="1:1" x14ac:dyDescent="0.2">
      <c r="A94" s="7"/>
    </row>
    <row r="95" spans="1:1" x14ac:dyDescent="0.2">
      <c r="A95" s="7"/>
    </row>
    <row r="96" spans="1:1" x14ac:dyDescent="0.2">
      <c r="A96" s="7"/>
    </row>
    <row r="97" spans="1:1" x14ac:dyDescent="0.2">
      <c r="A97" s="7"/>
    </row>
    <row r="98" spans="1:1" x14ac:dyDescent="0.2">
      <c r="A98" s="7"/>
    </row>
    <row r="99" spans="1:1" x14ac:dyDescent="0.2">
      <c r="A99" s="7"/>
    </row>
    <row r="100" spans="1:1" x14ac:dyDescent="0.2">
      <c r="A100" s="7"/>
    </row>
    <row r="101" spans="1:1" x14ac:dyDescent="0.2">
      <c r="A101" s="7"/>
    </row>
    <row r="102" spans="1:1" x14ac:dyDescent="0.2">
      <c r="A102" s="7"/>
    </row>
    <row r="103" spans="1:1" x14ac:dyDescent="0.2">
      <c r="A103" s="7"/>
    </row>
    <row r="104" spans="1:1" x14ac:dyDescent="0.2">
      <c r="A104" s="7"/>
    </row>
    <row r="105" spans="1:1" x14ac:dyDescent="0.2">
      <c r="A105" s="7"/>
    </row>
    <row r="106" spans="1:1" x14ac:dyDescent="0.2">
      <c r="A106" s="7"/>
    </row>
    <row r="107" spans="1:1" x14ac:dyDescent="0.2">
      <c r="A107" s="7"/>
    </row>
    <row r="108" spans="1:1" x14ac:dyDescent="0.2">
      <c r="A108" s="7"/>
    </row>
    <row r="109" spans="1:1" x14ac:dyDescent="0.2">
      <c r="A109" s="7"/>
    </row>
    <row r="110" spans="1:1" x14ac:dyDescent="0.2">
      <c r="A110" s="7"/>
    </row>
    <row r="111" spans="1:1" x14ac:dyDescent="0.2">
      <c r="A111" s="7"/>
    </row>
    <row r="112" spans="1:1" x14ac:dyDescent="0.2">
      <c r="A112" s="7"/>
    </row>
    <row r="113" spans="1:1" x14ac:dyDescent="0.2">
      <c r="A113" s="7"/>
    </row>
    <row r="114" spans="1:1" x14ac:dyDescent="0.2">
      <c r="A114" s="7"/>
    </row>
    <row r="115" spans="1:1" x14ac:dyDescent="0.2">
      <c r="A115" s="7"/>
    </row>
    <row r="116" spans="1:1" x14ac:dyDescent="0.2">
      <c r="A116" s="7"/>
    </row>
    <row r="117" spans="1:1" x14ac:dyDescent="0.2">
      <c r="A117" s="7"/>
    </row>
    <row r="118" spans="1:1" x14ac:dyDescent="0.2">
      <c r="A118" s="7"/>
    </row>
    <row r="119" spans="1:1" x14ac:dyDescent="0.2">
      <c r="A119" s="7"/>
    </row>
    <row r="120" spans="1:1" x14ac:dyDescent="0.2">
      <c r="A120" s="7"/>
    </row>
    <row r="121" spans="1:1" x14ac:dyDescent="0.2">
      <c r="A121" s="7"/>
    </row>
    <row r="122" spans="1:1" x14ac:dyDescent="0.2">
      <c r="A122" s="7"/>
    </row>
    <row r="123" spans="1:1" x14ac:dyDescent="0.2">
      <c r="A123" s="7"/>
    </row>
    <row r="124" spans="1:1" x14ac:dyDescent="0.2">
      <c r="A124" s="7"/>
    </row>
    <row r="125" spans="1:1" x14ac:dyDescent="0.2">
      <c r="A125" s="7"/>
    </row>
    <row r="126" spans="1:1" x14ac:dyDescent="0.2">
      <c r="A126" s="7"/>
    </row>
    <row r="127" spans="1:1" x14ac:dyDescent="0.2">
      <c r="A127" s="7"/>
    </row>
    <row r="128" spans="1:1" x14ac:dyDescent="0.2">
      <c r="A128" s="7"/>
    </row>
    <row r="129" spans="1:1" x14ac:dyDescent="0.2">
      <c r="A129" s="7"/>
    </row>
    <row r="130" spans="1:1" x14ac:dyDescent="0.2">
      <c r="A130" s="7"/>
    </row>
    <row r="131" spans="1:1" x14ac:dyDescent="0.2">
      <c r="A131" s="7"/>
    </row>
    <row r="132" spans="1:1" x14ac:dyDescent="0.2">
      <c r="A132" s="7"/>
    </row>
    <row r="133" spans="1:1" x14ac:dyDescent="0.2">
      <c r="A133" s="7"/>
    </row>
    <row r="134" spans="1:1" x14ac:dyDescent="0.2">
      <c r="A134" s="7"/>
    </row>
    <row r="135" spans="1:1" x14ac:dyDescent="0.2">
      <c r="A135" s="7"/>
    </row>
    <row r="136" spans="1:1" x14ac:dyDescent="0.2">
      <c r="A136" s="7"/>
    </row>
    <row r="137" spans="1:1" x14ac:dyDescent="0.2">
      <c r="A137" s="7"/>
    </row>
    <row r="138" spans="1:1" x14ac:dyDescent="0.2">
      <c r="A138" s="7"/>
    </row>
    <row r="139" spans="1:1" x14ac:dyDescent="0.2">
      <c r="A139" s="7"/>
    </row>
    <row r="140" spans="1:1" x14ac:dyDescent="0.2">
      <c r="A140" s="7"/>
    </row>
    <row r="141" spans="1:1" x14ac:dyDescent="0.2">
      <c r="A141" s="7"/>
    </row>
    <row r="142" spans="1:1" x14ac:dyDescent="0.2">
      <c r="A142" s="7"/>
    </row>
    <row r="143" spans="1:1" x14ac:dyDescent="0.2">
      <c r="A143" s="7"/>
    </row>
    <row r="144" spans="1:1" x14ac:dyDescent="0.2">
      <c r="A144" s="7"/>
    </row>
    <row r="145" spans="1:1" x14ac:dyDescent="0.2">
      <c r="A145" s="7"/>
    </row>
    <row r="146" spans="1:1" x14ac:dyDescent="0.2">
      <c r="A146" s="7"/>
    </row>
    <row r="147" spans="1:1" x14ac:dyDescent="0.2">
      <c r="A147" s="7"/>
    </row>
    <row r="148" spans="1:1" x14ac:dyDescent="0.2">
      <c r="A148" s="7"/>
    </row>
    <row r="149" spans="1:1" x14ac:dyDescent="0.2">
      <c r="A149" s="7"/>
    </row>
    <row r="150" spans="1:1" x14ac:dyDescent="0.2">
      <c r="A150" s="7"/>
    </row>
    <row r="151" spans="1:1" x14ac:dyDescent="0.2">
      <c r="A151" s="7"/>
    </row>
    <row r="152" spans="1:1" x14ac:dyDescent="0.2">
      <c r="A152" s="7"/>
    </row>
    <row r="153" spans="1:1" x14ac:dyDescent="0.2">
      <c r="A153" s="7"/>
    </row>
    <row r="154" spans="1:1" x14ac:dyDescent="0.2">
      <c r="A154" s="7"/>
    </row>
    <row r="155" spans="1:1" x14ac:dyDescent="0.2">
      <c r="A155" s="7"/>
    </row>
    <row r="156" spans="1:1" x14ac:dyDescent="0.2">
      <c r="A156" s="7"/>
    </row>
    <row r="157" spans="1:1" x14ac:dyDescent="0.2">
      <c r="A157" s="7"/>
    </row>
    <row r="158" spans="1:1" x14ac:dyDescent="0.2">
      <c r="A158" s="7"/>
    </row>
    <row r="159" spans="1:1" x14ac:dyDescent="0.2">
      <c r="A159" s="7"/>
    </row>
    <row r="160" spans="1:1" x14ac:dyDescent="0.2">
      <c r="A160" s="7"/>
    </row>
    <row r="161" spans="1:1" x14ac:dyDescent="0.2">
      <c r="A161" s="7"/>
    </row>
    <row r="162" spans="1:1" x14ac:dyDescent="0.2">
      <c r="A162" s="7"/>
    </row>
    <row r="163" spans="1:1" x14ac:dyDescent="0.2">
      <c r="A163" s="7"/>
    </row>
    <row r="164" spans="1:1" x14ac:dyDescent="0.2">
      <c r="A164" s="7"/>
    </row>
    <row r="165" spans="1:1" x14ac:dyDescent="0.2">
      <c r="A165" s="7"/>
    </row>
    <row r="166" spans="1:1" x14ac:dyDescent="0.2">
      <c r="A166" s="7"/>
    </row>
    <row r="167" spans="1:1" x14ac:dyDescent="0.2">
      <c r="A167" s="7"/>
    </row>
    <row r="168" spans="1:1" x14ac:dyDescent="0.2">
      <c r="A168" s="7"/>
    </row>
    <row r="169" spans="1:1" x14ac:dyDescent="0.2">
      <c r="A169" s="7"/>
    </row>
    <row r="170" spans="1:1" x14ac:dyDescent="0.2">
      <c r="A170" s="7"/>
    </row>
    <row r="171" spans="1:1" x14ac:dyDescent="0.2">
      <c r="A171" s="7"/>
    </row>
    <row r="172" spans="1:1" x14ac:dyDescent="0.2">
      <c r="A172" s="7"/>
    </row>
    <row r="173" spans="1:1" x14ac:dyDescent="0.2">
      <c r="A173" s="7"/>
    </row>
    <row r="174" spans="1:1" x14ac:dyDescent="0.2">
      <c r="A174" s="7"/>
    </row>
    <row r="175" spans="1:1" x14ac:dyDescent="0.2">
      <c r="A175" s="7"/>
    </row>
    <row r="176" spans="1:1" x14ac:dyDescent="0.2">
      <c r="A176" s="7"/>
    </row>
    <row r="177" spans="1:1" x14ac:dyDescent="0.2">
      <c r="A177" s="7"/>
    </row>
    <row r="178" spans="1:1" x14ac:dyDescent="0.2">
      <c r="A178" s="7"/>
    </row>
    <row r="179" spans="1:1" x14ac:dyDescent="0.2">
      <c r="A179" s="7"/>
    </row>
    <row r="180" spans="1:1" x14ac:dyDescent="0.2">
      <c r="A180" s="7"/>
    </row>
    <row r="181" spans="1:1" x14ac:dyDescent="0.2">
      <c r="A181" s="7"/>
    </row>
    <row r="182" spans="1:1" x14ac:dyDescent="0.2">
      <c r="A182" s="7"/>
    </row>
    <row r="183" spans="1:1" x14ac:dyDescent="0.2">
      <c r="A183" s="7"/>
    </row>
    <row r="184" spans="1:1" x14ac:dyDescent="0.2">
      <c r="A184" s="7"/>
    </row>
    <row r="185" spans="1:1" x14ac:dyDescent="0.2">
      <c r="A185" s="7"/>
    </row>
    <row r="186" spans="1:1" x14ac:dyDescent="0.2">
      <c r="A186" s="7"/>
    </row>
    <row r="187" spans="1:1" x14ac:dyDescent="0.2">
      <c r="A187" s="7"/>
    </row>
    <row r="188" spans="1:1" x14ac:dyDescent="0.2">
      <c r="A188" s="7"/>
    </row>
    <row r="189" spans="1:1" x14ac:dyDescent="0.2">
      <c r="A189" s="7"/>
    </row>
    <row r="190" spans="1:1" x14ac:dyDescent="0.2">
      <c r="A190" s="7"/>
    </row>
    <row r="191" spans="1:1" x14ac:dyDescent="0.2">
      <c r="A191" s="7"/>
    </row>
    <row r="192" spans="1:1" x14ac:dyDescent="0.2">
      <c r="A192" s="7"/>
    </row>
    <row r="193" spans="1:1" x14ac:dyDescent="0.2">
      <c r="A193" s="7"/>
    </row>
    <row r="194" spans="1:1" x14ac:dyDescent="0.2">
      <c r="A194" s="7"/>
    </row>
    <row r="195" spans="1:1" x14ac:dyDescent="0.2">
      <c r="A195" s="7"/>
    </row>
    <row r="196" spans="1:1" x14ac:dyDescent="0.2">
      <c r="A196" s="7"/>
    </row>
    <row r="197" spans="1:1" x14ac:dyDescent="0.2">
      <c r="A197" s="7"/>
    </row>
    <row r="198" spans="1:1" x14ac:dyDescent="0.2">
      <c r="A198" s="7"/>
    </row>
    <row r="199" spans="1:1" x14ac:dyDescent="0.2">
      <c r="A199" s="7"/>
    </row>
    <row r="200" spans="1:1" x14ac:dyDescent="0.2">
      <c r="A200" s="7"/>
    </row>
    <row r="201" spans="1:1" x14ac:dyDescent="0.2">
      <c r="A201" s="7"/>
    </row>
    <row r="202" spans="1:1" x14ac:dyDescent="0.2">
      <c r="A202" s="7"/>
    </row>
    <row r="203" spans="1:1" x14ac:dyDescent="0.2">
      <c r="A203" s="7"/>
    </row>
    <row r="204" spans="1:1" x14ac:dyDescent="0.2">
      <c r="A204" s="7"/>
    </row>
    <row r="205" spans="1:1" x14ac:dyDescent="0.2">
      <c r="A205" s="7"/>
    </row>
    <row r="206" spans="1:1" x14ac:dyDescent="0.2">
      <c r="A206" s="7"/>
    </row>
    <row r="207" spans="1:1" x14ac:dyDescent="0.2">
      <c r="A207" s="7"/>
    </row>
    <row r="208" spans="1:1" x14ac:dyDescent="0.2">
      <c r="A208" s="7"/>
    </row>
    <row r="209" spans="1:1" x14ac:dyDescent="0.2">
      <c r="A209" s="7"/>
    </row>
    <row r="210" spans="1:1" x14ac:dyDescent="0.2">
      <c r="A210" s="7"/>
    </row>
    <row r="211" spans="1:1" x14ac:dyDescent="0.2">
      <c r="A211" s="7"/>
    </row>
    <row r="212" spans="1:1" x14ac:dyDescent="0.2">
      <c r="A212" s="7"/>
    </row>
    <row r="213" spans="1:1" x14ac:dyDescent="0.2">
      <c r="A213" s="7"/>
    </row>
    <row r="214" spans="1:1" x14ac:dyDescent="0.2">
      <c r="A214" s="7"/>
    </row>
    <row r="215" spans="1:1" x14ac:dyDescent="0.2">
      <c r="A215" s="7"/>
    </row>
    <row r="216" spans="1:1" x14ac:dyDescent="0.2">
      <c r="A216" s="7"/>
    </row>
    <row r="217" spans="1:1" x14ac:dyDescent="0.2">
      <c r="A217" s="7"/>
    </row>
    <row r="218" spans="1:1" x14ac:dyDescent="0.2">
      <c r="A218" s="7"/>
    </row>
    <row r="219" spans="1:1" x14ac:dyDescent="0.2">
      <c r="A219" s="7"/>
    </row>
    <row r="220" spans="1:1" x14ac:dyDescent="0.2">
      <c r="A220" s="7"/>
    </row>
    <row r="221" spans="1:1" x14ac:dyDescent="0.2">
      <c r="A221" s="7"/>
    </row>
    <row r="222" spans="1:1" x14ac:dyDescent="0.2">
      <c r="A222" s="7"/>
    </row>
    <row r="223" spans="1:1" x14ac:dyDescent="0.2">
      <c r="A223" s="7"/>
    </row>
    <row r="224" spans="1:1" x14ac:dyDescent="0.2">
      <c r="A224" s="7"/>
    </row>
    <row r="225" spans="1:1" x14ac:dyDescent="0.2">
      <c r="A225" s="7"/>
    </row>
    <row r="226" spans="1:1" x14ac:dyDescent="0.2">
      <c r="A226" s="7"/>
    </row>
    <row r="227" spans="1:1" x14ac:dyDescent="0.2">
      <c r="A227" s="7"/>
    </row>
    <row r="228" spans="1:1" x14ac:dyDescent="0.2">
      <c r="A228" s="7"/>
    </row>
    <row r="229" spans="1:1" x14ac:dyDescent="0.2">
      <c r="A229" s="7"/>
    </row>
    <row r="230" spans="1:1" x14ac:dyDescent="0.2">
      <c r="A230" s="7"/>
    </row>
    <row r="231" spans="1:1" x14ac:dyDescent="0.2">
      <c r="A231" s="7"/>
    </row>
    <row r="232" spans="1:1" x14ac:dyDescent="0.2">
      <c r="A232" s="7"/>
    </row>
    <row r="233" spans="1:1" x14ac:dyDescent="0.2">
      <c r="A233" s="7"/>
    </row>
    <row r="234" spans="1:1" x14ac:dyDescent="0.2">
      <c r="A234" s="7"/>
    </row>
    <row r="235" spans="1:1" x14ac:dyDescent="0.2">
      <c r="A235" s="7"/>
    </row>
    <row r="236" spans="1:1" x14ac:dyDescent="0.2">
      <c r="A236" s="7"/>
    </row>
    <row r="237" spans="1:1" x14ac:dyDescent="0.2">
      <c r="A237" s="7"/>
    </row>
    <row r="238" spans="1:1" x14ac:dyDescent="0.2">
      <c r="A238" s="7"/>
    </row>
    <row r="239" spans="1:1" x14ac:dyDescent="0.2">
      <c r="A239" s="7"/>
    </row>
    <row r="240" spans="1:1" x14ac:dyDescent="0.2">
      <c r="A240" s="7"/>
    </row>
    <row r="241" spans="1:1" x14ac:dyDescent="0.2">
      <c r="A241" s="7"/>
    </row>
    <row r="242" spans="1:1" x14ac:dyDescent="0.2">
      <c r="A242" s="7"/>
    </row>
    <row r="243" spans="1:1" x14ac:dyDescent="0.2">
      <c r="A243" s="7"/>
    </row>
    <row r="244" spans="1:1" x14ac:dyDescent="0.2">
      <c r="A244" s="7"/>
    </row>
    <row r="245" spans="1:1" x14ac:dyDescent="0.2">
      <c r="A245" s="7"/>
    </row>
    <row r="246" spans="1:1" x14ac:dyDescent="0.2">
      <c r="A246" s="7"/>
    </row>
    <row r="247" spans="1:1" x14ac:dyDescent="0.2">
      <c r="A247" s="7"/>
    </row>
    <row r="248" spans="1:1" x14ac:dyDescent="0.2">
      <c r="A248" s="7"/>
    </row>
    <row r="249" spans="1:1" x14ac:dyDescent="0.2">
      <c r="A249" s="7"/>
    </row>
    <row r="250" spans="1:1" x14ac:dyDescent="0.2">
      <c r="A250" s="7"/>
    </row>
    <row r="251" spans="1:1" x14ac:dyDescent="0.2">
      <c r="A251" s="7"/>
    </row>
    <row r="252" spans="1:1" x14ac:dyDescent="0.2">
      <c r="A252" s="7"/>
    </row>
    <row r="253" spans="1:1" x14ac:dyDescent="0.2">
      <c r="A253" s="7"/>
    </row>
    <row r="254" spans="1:1" x14ac:dyDescent="0.2">
      <c r="A254" s="7"/>
    </row>
    <row r="255" spans="1:1" x14ac:dyDescent="0.2">
      <c r="A255" s="7"/>
    </row>
    <row r="256" spans="1:1" x14ac:dyDescent="0.2">
      <c r="A256" s="7"/>
    </row>
    <row r="257" spans="1:1" x14ac:dyDescent="0.2">
      <c r="A257" s="7"/>
    </row>
    <row r="258" spans="1:1" x14ac:dyDescent="0.2">
      <c r="A258" s="7"/>
    </row>
    <row r="259" spans="1:1" x14ac:dyDescent="0.2">
      <c r="A259" s="7"/>
    </row>
    <row r="260" spans="1:1" x14ac:dyDescent="0.2">
      <c r="A260" s="7"/>
    </row>
    <row r="261" spans="1:1" x14ac:dyDescent="0.2">
      <c r="A261" s="7"/>
    </row>
    <row r="262" spans="1:1" x14ac:dyDescent="0.2">
      <c r="A262" s="7"/>
    </row>
    <row r="263" spans="1:1" x14ac:dyDescent="0.2">
      <c r="A263" s="7"/>
    </row>
    <row r="264" spans="1:1" x14ac:dyDescent="0.2">
      <c r="A264" s="7"/>
    </row>
    <row r="265" spans="1:1" x14ac:dyDescent="0.2">
      <c r="A265" s="7"/>
    </row>
    <row r="266" spans="1:1" x14ac:dyDescent="0.2">
      <c r="A266" s="7"/>
    </row>
    <row r="267" spans="1:1" x14ac:dyDescent="0.2">
      <c r="A267" s="7"/>
    </row>
    <row r="268" spans="1:1" x14ac:dyDescent="0.2">
      <c r="A268" s="7"/>
    </row>
    <row r="269" spans="1:1" x14ac:dyDescent="0.2">
      <c r="A269" s="7"/>
    </row>
    <row r="270" spans="1:1" x14ac:dyDescent="0.2">
      <c r="A270" s="7"/>
    </row>
    <row r="271" spans="1:1" x14ac:dyDescent="0.2">
      <c r="A271" s="7"/>
    </row>
    <row r="272" spans="1:1" x14ac:dyDescent="0.2">
      <c r="A272" s="7"/>
    </row>
    <row r="273" spans="1:1" x14ac:dyDescent="0.2">
      <c r="A273" s="7"/>
    </row>
    <row r="274" spans="1:1" x14ac:dyDescent="0.2">
      <c r="A274" s="7"/>
    </row>
    <row r="275" spans="1:1" x14ac:dyDescent="0.2">
      <c r="A275" s="7"/>
    </row>
    <row r="276" spans="1:1" x14ac:dyDescent="0.2">
      <c r="A276" s="7"/>
    </row>
    <row r="277" spans="1:1" x14ac:dyDescent="0.2">
      <c r="A277" s="7"/>
    </row>
    <row r="278" spans="1:1" x14ac:dyDescent="0.2">
      <c r="A278" s="7"/>
    </row>
    <row r="279" spans="1:1" x14ac:dyDescent="0.2">
      <c r="A279" s="7"/>
    </row>
    <row r="280" spans="1:1" x14ac:dyDescent="0.2">
      <c r="A280" s="7"/>
    </row>
    <row r="281" spans="1:1" x14ac:dyDescent="0.2">
      <c r="A281" s="7"/>
    </row>
    <row r="282" spans="1:1" x14ac:dyDescent="0.2">
      <c r="A282" s="7"/>
    </row>
    <row r="283" spans="1:1" x14ac:dyDescent="0.2">
      <c r="A283" s="7"/>
    </row>
    <row r="284" spans="1:1" x14ac:dyDescent="0.2">
      <c r="A284" s="7"/>
    </row>
    <row r="285" spans="1:1" x14ac:dyDescent="0.2">
      <c r="A285" s="7"/>
    </row>
    <row r="286" spans="1:1" x14ac:dyDescent="0.2">
      <c r="A286" s="7"/>
    </row>
    <row r="287" spans="1:1" x14ac:dyDescent="0.2">
      <c r="A287" s="7"/>
    </row>
    <row r="288" spans="1:1" x14ac:dyDescent="0.2">
      <c r="A288" s="7"/>
    </row>
    <row r="289" spans="1:1" x14ac:dyDescent="0.2">
      <c r="A289" s="7"/>
    </row>
    <row r="290" spans="1:1" x14ac:dyDescent="0.2">
      <c r="A290" s="7"/>
    </row>
    <row r="291" spans="1:1" x14ac:dyDescent="0.2">
      <c r="A291" s="7"/>
    </row>
    <row r="292" spans="1:1" x14ac:dyDescent="0.2">
      <c r="A292" s="7"/>
    </row>
    <row r="293" spans="1:1" x14ac:dyDescent="0.2">
      <c r="A293" s="7"/>
    </row>
    <row r="294" spans="1:1" x14ac:dyDescent="0.2">
      <c r="A294" s="7"/>
    </row>
    <row r="295" spans="1:1" x14ac:dyDescent="0.2">
      <c r="A295" s="7"/>
    </row>
    <row r="296" spans="1:1" x14ac:dyDescent="0.2">
      <c r="A296" s="7"/>
    </row>
    <row r="297" spans="1:1" x14ac:dyDescent="0.2">
      <c r="A297" s="7"/>
    </row>
    <row r="298" spans="1:1" x14ac:dyDescent="0.2">
      <c r="A298" s="7"/>
    </row>
    <row r="299" spans="1:1" x14ac:dyDescent="0.2">
      <c r="A299" s="7"/>
    </row>
    <row r="300" spans="1:1" x14ac:dyDescent="0.2">
      <c r="A300" s="7"/>
    </row>
    <row r="301" spans="1:1" x14ac:dyDescent="0.2">
      <c r="A301" s="7"/>
    </row>
    <row r="302" spans="1:1" x14ac:dyDescent="0.2">
      <c r="A302" s="7"/>
    </row>
    <row r="303" spans="1:1" x14ac:dyDescent="0.2">
      <c r="A303" s="7"/>
    </row>
    <row r="304" spans="1:1" x14ac:dyDescent="0.2">
      <c r="A304" s="7"/>
    </row>
    <row r="305" spans="1:1" x14ac:dyDescent="0.2">
      <c r="A305" s="7"/>
    </row>
    <row r="306" spans="1:1" x14ac:dyDescent="0.2">
      <c r="A306" s="7"/>
    </row>
    <row r="307" spans="1:1" x14ac:dyDescent="0.2">
      <c r="A307" s="7"/>
    </row>
    <row r="308" spans="1:1" x14ac:dyDescent="0.2">
      <c r="A308" s="7"/>
    </row>
    <row r="309" spans="1:1" x14ac:dyDescent="0.2">
      <c r="A309" s="7"/>
    </row>
    <row r="310" spans="1:1" x14ac:dyDescent="0.2">
      <c r="A310" s="7"/>
    </row>
    <row r="311" spans="1:1" x14ac:dyDescent="0.2">
      <c r="A311" s="7"/>
    </row>
    <row r="312" spans="1:1" x14ac:dyDescent="0.2">
      <c r="A312" s="7"/>
    </row>
    <row r="313" spans="1:1" x14ac:dyDescent="0.2">
      <c r="A313" s="7"/>
    </row>
    <row r="314" spans="1:1" x14ac:dyDescent="0.2">
      <c r="A314" s="7"/>
    </row>
    <row r="315" spans="1:1" x14ac:dyDescent="0.2">
      <c r="A315" s="7"/>
    </row>
    <row r="316" spans="1:1" x14ac:dyDescent="0.2">
      <c r="A316" s="7"/>
    </row>
    <row r="317" spans="1:1" x14ac:dyDescent="0.2">
      <c r="A317" s="7"/>
    </row>
    <row r="318" spans="1:1" x14ac:dyDescent="0.2">
      <c r="A318" s="7"/>
    </row>
    <row r="319" spans="1:1" x14ac:dyDescent="0.2">
      <c r="A319" s="7"/>
    </row>
    <row r="320" spans="1:1" x14ac:dyDescent="0.2">
      <c r="A320" s="7"/>
    </row>
    <row r="321" spans="1:1" x14ac:dyDescent="0.2">
      <c r="A321" s="7"/>
    </row>
    <row r="322" spans="1:1" x14ac:dyDescent="0.2">
      <c r="A322" s="7"/>
    </row>
    <row r="323" spans="1:1" x14ac:dyDescent="0.2">
      <c r="A323" s="7"/>
    </row>
    <row r="324" spans="1:1" x14ac:dyDescent="0.2">
      <c r="A324" s="7"/>
    </row>
    <row r="325" spans="1:1" x14ac:dyDescent="0.2">
      <c r="A325" s="7"/>
    </row>
    <row r="326" spans="1:1" x14ac:dyDescent="0.2">
      <c r="A326" s="7"/>
    </row>
    <row r="327" spans="1:1" x14ac:dyDescent="0.2">
      <c r="A327" s="7"/>
    </row>
    <row r="328" spans="1:1" x14ac:dyDescent="0.2">
      <c r="A328" s="7"/>
    </row>
    <row r="329" spans="1:1" x14ac:dyDescent="0.2">
      <c r="A329" s="7"/>
    </row>
    <row r="330" spans="1:1" x14ac:dyDescent="0.2">
      <c r="A330" s="7"/>
    </row>
    <row r="331" spans="1:1" x14ac:dyDescent="0.2">
      <c r="A331" s="7"/>
    </row>
    <row r="332" spans="1:1" x14ac:dyDescent="0.2">
      <c r="A332" s="7"/>
    </row>
    <row r="333" spans="1:1" x14ac:dyDescent="0.2">
      <c r="A333" s="7"/>
    </row>
    <row r="334" spans="1:1" x14ac:dyDescent="0.2">
      <c r="A334" s="7"/>
    </row>
    <row r="335" spans="1:1" x14ac:dyDescent="0.2">
      <c r="A335" s="7"/>
    </row>
    <row r="336" spans="1:1" x14ac:dyDescent="0.2">
      <c r="A336" s="7"/>
    </row>
    <row r="337" spans="1:1" x14ac:dyDescent="0.2">
      <c r="A337" s="7"/>
    </row>
    <row r="338" spans="1:1" x14ac:dyDescent="0.2">
      <c r="A338" s="7"/>
    </row>
    <row r="339" spans="1:1" x14ac:dyDescent="0.2">
      <c r="A339" s="7"/>
    </row>
    <row r="340" spans="1:1" x14ac:dyDescent="0.2">
      <c r="A340" s="7"/>
    </row>
    <row r="341" spans="1:1" x14ac:dyDescent="0.2">
      <c r="A341" s="7"/>
    </row>
    <row r="342" spans="1:1" x14ac:dyDescent="0.2">
      <c r="A342" s="7"/>
    </row>
    <row r="343" spans="1:1" x14ac:dyDescent="0.2">
      <c r="A343" s="7"/>
    </row>
    <row r="344" spans="1:1" x14ac:dyDescent="0.2">
      <c r="A344" s="7"/>
    </row>
    <row r="345" spans="1:1" x14ac:dyDescent="0.2">
      <c r="A345" s="7"/>
    </row>
    <row r="346" spans="1:1" x14ac:dyDescent="0.2">
      <c r="A346" s="7"/>
    </row>
    <row r="347" spans="1:1" x14ac:dyDescent="0.2">
      <c r="A347" s="7"/>
    </row>
    <row r="348" spans="1:1" x14ac:dyDescent="0.2">
      <c r="A348" s="7"/>
    </row>
    <row r="349" spans="1:1" x14ac:dyDescent="0.2">
      <c r="A349" s="7"/>
    </row>
    <row r="350" spans="1:1" x14ac:dyDescent="0.2">
      <c r="A350" s="7"/>
    </row>
    <row r="351" spans="1:1" x14ac:dyDescent="0.2">
      <c r="A351" s="7"/>
    </row>
    <row r="352" spans="1:1" x14ac:dyDescent="0.2">
      <c r="A352" s="7"/>
    </row>
    <row r="353" spans="1:1" x14ac:dyDescent="0.2">
      <c r="A353" s="7"/>
    </row>
    <row r="354" spans="1:1" x14ac:dyDescent="0.2">
      <c r="A354" s="7"/>
    </row>
    <row r="355" spans="1:1" x14ac:dyDescent="0.2">
      <c r="A355" s="7"/>
    </row>
    <row r="356" spans="1:1" x14ac:dyDescent="0.2">
      <c r="A356" s="7"/>
    </row>
    <row r="357" spans="1:1" x14ac:dyDescent="0.2">
      <c r="A357" s="7"/>
    </row>
    <row r="358" spans="1:1" x14ac:dyDescent="0.2">
      <c r="A358" s="7"/>
    </row>
    <row r="359" spans="1:1" x14ac:dyDescent="0.2">
      <c r="A359" s="7"/>
    </row>
    <row r="360" spans="1:1" x14ac:dyDescent="0.2">
      <c r="A360" s="7"/>
    </row>
    <row r="361" spans="1:1" x14ac:dyDescent="0.2">
      <c r="A361" s="7"/>
    </row>
    <row r="362" spans="1:1" x14ac:dyDescent="0.2">
      <c r="A362" s="7"/>
    </row>
    <row r="363" spans="1:1" x14ac:dyDescent="0.2">
      <c r="A363" s="7"/>
    </row>
    <row r="364" spans="1:1" x14ac:dyDescent="0.2">
      <c r="A364" s="7"/>
    </row>
    <row r="365" spans="1:1" x14ac:dyDescent="0.2">
      <c r="A365" s="7"/>
    </row>
    <row r="366" spans="1:1" x14ac:dyDescent="0.2">
      <c r="A366" s="7"/>
    </row>
    <row r="367" spans="1:1" x14ac:dyDescent="0.2">
      <c r="A367" s="7"/>
    </row>
    <row r="368" spans="1:1" x14ac:dyDescent="0.2">
      <c r="A368" s="7"/>
    </row>
    <row r="369" spans="1:1" x14ac:dyDescent="0.2">
      <c r="A369" s="7"/>
    </row>
    <row r="370" spans="1:1" x14ac:dyDescent="0.2">
      <c r="A370" s="7"/>
    </row>
    <row r="371" spans="1:1" x14ac:dyDescent="0.2">
      <c r="A371" s="7"/>
    </row>
    <row r="372" spans="1:1" x14ac:dyDescent="0.2">
      <c r="A372" s="7"/>
    </row>
    <row r="373" spans="1:1" x14ac:dyDescent="0.2">
      <c r="A373" s="7"/>
    </row>
    <row r="374" spans="1:1" x14ac:dyDescent="0.2">
      <c r="A374" s="7"/>
    </row>
    <row r="375" spans="1:1" x14ac:dyDescent="0.2">
      <c r="A375" s="7"/>
    </row>
    <row r="376" spans="1:1" x14ac:dyDescent="0.2">
      <c r="A376" s="7"/>
    </row>
    <row r="377" spans="1:1" x14ac:dyDescent="0.2">
      <c r="A377" s="7"/>
    </row>
    <row r="378" spans="1:1" x14ac:dyDescent="0.2">
      <c r="A378" s="7"/>
    </row>
    <row r="379" spans="1:1" x14ac:dyDescent="0.2">
      <c r="A379" s="7"/>
    </row>
    <row r="380" spans="1:1" x14ac:dyDescent="0.2">
      <c r="A380" s="7"/>
    </row>
    <row r="381" spans="1:1" x14ac:dyDescent="0.2">
      <c r="A381" s="7"/>
    </row>
    <row r="382" spans="1:1" x14ac:dyDescent="0.2">
      <c r="A382" s="7"/>
    </row>
    <row r="383" spans="1:1" x14ac:dyDescent="0.2">
      <c r="A383" s="7"/>
    </row>
    <row r="384" spans="1:1" x14ac:dyDescent="0.2">
      <c r="A384" s="7"/>
    </row>
    <row r="385" spans="1:1" x14ac:dyDescent="0.2">
      <c r="A385" s="7"/>
    </row>
    <row r="386" spans="1:1" x14ac:dyDescent="0.2">
      <c r="A386" s="7"/>
    </row>
    <row r="387" spans="1:1" x14ac:dyDescent="0.2">
      <c r="A387" s="7"/>
    </row>
    <row r="388" spans="1:1" x14ac:dyDescent="0.2">
      <c r="A388" s="7"/>
    </row>
    <row r="389" spans="1:1" x14ac:dyDescent="0.2">
      <c r="A389" s="7"/>
    </row>
    <row r="390" spans="1:1" x14ac:dyDescent="0.2">
      <c r="A390" s="7"/>
    </row>
    <row r="391" spans="1:1" x14ac:dyDescent="0.2">
      <c r="A391" s="7"/>
    </row>
    <row r="392" spans="1:1" x14ac:dyDescent="0.2">
      <c r="A392" s="7"/>
    </row>
    <row r="393" spans="1:1" x14ac:dyDescent="0.2">
      <c r="A393" s="7"/>
    </row>
    <row r="394" spans="1:1" x14ac:dyDescent="0.2">
      <c r="A394" s="7"/>
    </row>
    <row r="395" spans="1:1" x14ac:dyDescent="0.2">
      <c r="A395" s="7"/>
    </row>
    <row r="396" spans="1:1" x14ac:dyDescent="0.2">
      <c r="A396" s="7"/>
    </row>
    <row r="397" spans="1:1" x14ac:dyDescent="0.2">
      <c r="A397" s="7"/>
    </row>
  </sheetData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8796B1-8E62-4D92-A5BA-6002A1492669}">
  <sheetPr codeName="Hoja3"/>
  <dimension ref="A1:B243"/>
  <sheetViews>
    <sheetView topLeftCell="A219" workbookViewId="0">
      <selection activeCell="B34" sqref="B34:B243"/>
    </sheetView>
  </sheetViews>
  <sheetFormatPr baseColWidth="10" defaultRowHeight="14.25" x14ac:dyDescent="0.2"/>
  <cols>
    <col min="2" max="2" width="12" bestFit="1" customWidth="1"/>
  </cols>
  <sheetData>
    <row r="1" spans="1:2" x14ac:dyDescent="0.2">
      <c r="A1" t="s">
        <v>3</v>
      </c>
    </row>
    <row r="2" spans="1:2" x14ac:dyDescent="0.2">
      <c r="A2" s="10">
        <v>43158</v>
      </c>
      <c r="B2" s="15">
        <f>+VLOOKUP(A2,'new analisis'!$A$20:$B$37,2,TRUE)</f>
        <v>0.26750000000000002</v>
      </c>
    </row>
    <row r="3" spans="1:2" x14ac:dyDescent="0.2">
      <c r="A3" s="10">
        <v>43159</v>
      </c>
      <c r="B3" s="15">
        <f>+VLOOKUP(A3,'new analisis'!$A$20:$B$37,2,TRUE)</f>
        <v>0.26750000000000002</v>
      </c>
    </row>
    <row r="4" spans="1:2" x14ac:dyDescent="0.2">
      <c r="A4" s="10">
        <v>43160</v>
      </c>
      <c r="B4" s="15">
        <f>+VLOOKUP(A4,'new analisis'!$A$20:$B$37,2,TRUE)</f>
        <v>0.26750000000000002</v>
      </c>
    </row>
    <row r="5" spans="1:2" x14ac:dyDescent="0.2">
      <c r="A5" s="10">
        <v>43161</v>
      </c>
      <c r="B5" s="15">
        <f>+VLOOKUP(A5,'new analisis'!$A$20:$B$37,2,TRUE)</f>
        <v>0.26750000000000002</v>
      </c>
    </row>
    <row r="6" spans="1:2" x14ac:dyDescent="0.2">
      <c r="A6" s="10">
        <v>43162</v>
      </c>
      <c r="B6" s="15">
        <f>+VLOOKUP(A6,'new analisis'!$A$20:$B$37,2,TRUE)</f>
        <v>0.26750000000000002</v>
      </c>
    </row>
    <row r="7" spans="1:2" x14ac:dyDescent="0.2">
      <c r="A7" s="10">
        <v>43163</v>
      </c>
      <c r="B7" s="15">
        <f>+VLOOKUP(A7,'new analisis'!$A$20:$B$37,2,TRUE)</f>
        <v>0.26750000000000002</v>
      </c>
    </row>
    <row r="8" spans="1:2" x14ac:dyDescent="0.2">
      <c r="A8" s="10">
        <v>43164</v>
      </c>
      <c r="B8" s="15">
        <f>+VLOOKUP(A8,'new analisis'!$A$20:$B$37,2,TRUE)</f>
        <v>0.26750000000000002</v>
      </c>
    </row>
    <row r="9" spans="1:2" x14ac:dyDescent="0.2">
      <c r="A9" s="10">
        <v>43165</v>
      </c>
      <c r="B9" s="15">
        <f>+VLOOKUP(A9,'new analisis'!$A$20:$B$37,2,TRUE)</f>
        <v>0.26750000000000002</v>
      </c>
    </row>
    <row r="10" spans="1:2" x14ac:dyDescent="0.2">
      <c r="A10" s="10">
        <v>43166</v>
      </c>
      <c r="B10" s="15">
        <f>+VLOOKUP(A10,'new analisis'!$A$20:$B$37,2,TRUE)</f>
        <v>0.26750000000000002</v>
      </c>
    </row>
    <row r="11" spans="1:2" x14ac:dyDescent="0.2">
      <c r="A11" s="10">
        <v>43167</v>
      </c>
      <c r="B11" s="15">
        <f>+VLOOKUP(A11,'new analisis'!$A$20:$B$37,2,TRUE)</f>
        <v>0.26750000000000002</v>
      </c>
    </row>
    <row r="12" spans="1:2" x14ac:dyDescent="0.2">
      <c r="A12" s="10">
        <v>43168</v>
      </c>
      <c r="B12" s="15">
        <f>+VLOOKUP(A12,'new analisis'!$A$20:$B$37,2,TRUE)</f>
        <v>0.26750000000000002</v>
      </c>
    </row>
    <row r="13" spans="1:2" x14ac:dyDescent="0.2">
      <c r="A13" s="10">
        <v>43169</v>
      </c>
      <c r="B13" s="15">
        <f>+VLOOKUP(A13,'new analisis'!$A$20:$B$37,2,TRUE)</f>
        <v>0.26750000000000002</v>
      </c>
    </row>
    <row r="14" spans="1:2" x14ac:dyDescent="0.2">
      <c r="A14" s="10">
        <v>43170</v>
      </c>
      <c r="B14" s="15">
        <f>+VLOOKUP(A14,'new analisis'!$A$20:$B$37,2,TRUE)</f>
        <v>0.26750000000000002</v>
      </c>
    </row>
    <row r="15" spans="1:2" x14ac:dyDescent="0.2">
      <c r="A15" s="10">
        <v>43171</v>
      </c>
      <c r="B15" s="15">
        <f>+VLOOKUP(A15,'new analisis'!$A$20:$B$37,2,TRUE)</f>
        <v>0.26750000000000002</v>
      </c>
    </row>
    <row r="16" spans="1:2" x14ac:dyDescent="0.2">
      <c r="A16" s="10">
        <v>43172</v>
      </c>
      <c r="B16" s="15">
        <f>+VLOOKUP(A16,'new analisis'!$A$20:$B$37,2,TRUE)</f>
        <v>0.26250000000000001</v>
      </c>
    </row>
    <row r="17" spans="1:2" x14ac:dyDescent="0.2">
      <c r="A17" s="10">
        <v>43173</v>
      </c>
      <c r="B17" s="15">
        <f>+VLOOKUP(A17,'new analisis'!$A$20:$B$37,2,TRUE)</f>
        <v>0.26250000000000001</v>
      </c>
    </row>
    <row r="18" spans="1:2" x14ac:dyDescent="0.2">
      <c r="A18" s="10">
        <v>43174</v>
      </c>
      <c r="B18" s="15">
        <f>+VLOOKUP(A18,'new analisis'!$A$20:$B$37,2,TRUE)</f>
        <v>0.26250000000000001</v>
      </c>
    </row>
    <row r="19" spans="1:2" x14ac:dyDescent="0.2">
      <c r="A19" s="10">
        <v>43175</v>
      </c>
      <c r="B19" s="15">
        <f>+VLOOKUP(A19,'new analisis'!$A$20:$B$37,2,TRUE)</f>
        <v>0.26250000000000001</v>
      </c>
    </row>
    <row r="20" spans="1:2" x14ac:dyDescent="0.2">
      <c r="A20" s="10">
        <v>43176</v>
      </c>
      <c r="B20" s="15">
        <f>+VLOOKUP(A20,'new analisis'!$A$20:$B$37,2,TRUE)</f>
        <v>0.26250000000000001</v>
      </c>
    </row>
    <row r="21" spans="1:2" x14ac:dyDescent="0.2">
      <c r="A21" s="10">
        <v>43177</v>
      </c>
      <c r="B21" s="15">
        <f>+VLOOKUP(A21,'new analisis'!$A$20:$B$37,2,TRUE)</f>
        <v>0.26250000000000001</v>
      </c>
    </row>
    <row r="22" spans="1:2" x14ac:dyDescent="0.2">
      <c r="A22" s="10">
        <v>43178</v>
      </c>
      <c r="B22" s="15">
        <f>+VLOOKUP(A22,'new analisis'!$A$20:$B$37,2,TRUE)</f>
        <v>0.26250000000000001</v>
      </c>
    </row>
    <row r="23" spans="1:2" x14ac:dyDescent="0.2">
      <c r="A23" s="10">
        <v>43179</v>
      </c>
      <c r="B23" s="15">
        <f>+VLOOKUP(A23,'new analisis'!$A$20:$B$37,2,TRUE)</f>
        <v>0.26250000000000001</v>
      </c>
    </row>
    <row r="24" spans="1:2" x14ac:dyDescent="0.2">
      <c r="A24" s="10">
        <v>43180</v>
      </c>
      <c r="B24" s="15">
        <f>+VLOOKUP(A24,'new analisis'!$A$20:$B$37,2,TRUE)</f>
        <v>0.26250000000000001</v>
      </c>
    </row>
    <row r="25" spans="1:2" x14ac:dyDescent="0.2">
      <c r="A25" s="10">
        <v>43181</v>
      </c>
      <c r="B25" s="15">
        <f>+VLOOKUP(A25,'new analisis'!$A$20:$B$37,2,TRUE)</f>
        <v>0.26250000000000001</v>
      </c>
    </row>
    <row r="26" spans="1:2" x14ac:dyDescent="0.2">
      <c r="A26" s="10">
        <v>43182</v>
      </c>
      <c r="B26" s="15">
        <f>+VLOOKUP(A26,'new analisis'!$A$20:$B$37,2,TRUE)</f>
        <v>0.26250000000000001</v>
      </c>
    </row>
    <row r="27" spans="1:2" x14ac:dyDescent="0.2">
      <c r="A27" s="10">
        <v>43183</v>
      </c>
      <c r="B27" s="15">
        <f>+VLOOKUP(A27,'new analisis'!$A$20:$B$37,2,TRUE)</f>
        <v>0.26250000000000001</v>
      </c>
    </row>
    <row r="28" spans="1:2" x14ac:dyDescent="0.2">
      <c r="A28" s="10">
        <v>43184</v>
      </c>
      <c r="B28" s="15">
        <f>+VLOOKUP(A28,'new analisis'!$A$20:$B$37,2,TRUE)</f>
        <v>0.26250000000000001</v>
      </c>
    </row>
    <row r="29" spans="1:2" x14ac:dyDescent="0.2">
      <c r="A29" s="10">
        <v>43185</v>
      </c>
      <c r="B29" s="15">
        <f>+VLOOKUP(A29,'new analisis'!$A$20:$B$37,2,TRUE)</f>
        <v>0.26250000000000001</v>
      </c>
    </row>
    <row r="30" spans="1:2" x14ac:dyDescent="0.2">
      <c r="A30" s="10">
        <v>43186</v>
      </c>
      <c r="B30" s="15">
        <f>+VLOOKUP(A30,'new analisis'!$A$20:$B$37,2,TRUE)</f>
        <v>0.25750000000000001</v>
      </c>
    </row>
    <row r="31" spans="1:2" x14ac:dyDescent="0.2">
      <c r="A31" s="10">
        <v>43187</v>
      </c>
      <c r="B31" s="15">
        <f>+VLOOKUP(A31,'new analisis'!$A$20:$B$37,2,TRUE)</f>
        <v>0.25750000000000001</v>
      </c>
    </row>
    <row r="32" spans="1:2" x14ac:dyDescent="0.2">
      <c r="A32" s="10">
        <v>43188</v>
      </c>
      <c r="B32" s="15">
        <f>+VLOOKUP(A32,'new analisis'!$A$20:$B$37,2,TRUE)</f>
        <v>0.25750000000000001</v>
      </c>
    </row>
    <row r="33" spans="1:2" x14ac:dyDescent="0.2">
      <c r="A33" s="10">
        <v>43189</v>
      </c>
      <c r="B33" s="15">
        <f>+VLOOKUP(A33,'new analisis'!$A$20:$B$37,2,TRUE)</f>
        <v>0.25750000000000001</v>
      </c>
    </row>
    <row r="34" spans="1:2" x14ac:dyDescent="0.2">
      <c r="A34" s="10">
        <v>43190</v>
      </c>
      <c r="B34" s="15">
        <f>+VLOOKUP(A34,'new analisis'!$A$20:$B$37,2,TRUE)</f>
        <v>0.25750000000000001</v>
      </c>
    </row>
    <row r="35" spans="1:2" x14ac:dyDescent="0.2">
      <c r="A35" s="10">
        <v>43191</v>
      </c>
      <c r="B35" s="15">
        <f>+VLOOKUP(A35,'new analisis'!$A$20:$B$37,2,TRUE)</f>
        <v>0.25750000000000001</v>
      </c>
    </row>
    <row r="36" spans="1:2" x14ac:dyDescent="0.2">
      <c r="A36" s="10">
        <v>43192</v>
      </c>
      <c r="B36" s="15">
        <f>+VLOOKUP(A36,'new analisis'!$A$20:$B$37,2,TRUE)</f>
        <v>0.25750000000000001</v>
      </c>
    </row>
    <row r="37" spans="1:2" x14ac:dyDescent="0.2">
      <c r="A37" s="10">
        <v>43193</v>
      </c>
      <c r="B37" s="15">
        <f>+VLOOKUP(A37,'new analisis'!$A$20:$B$37,2,TRUE)</f>
        <v>0.25750000000000001</v>
      </c>
    </row>
    <row r="38" spans="1:2" x14ac:dyDescent="0.2">
      <c r="A38" s="10">
        <v>43194</v>
      </c>
      <c r="B38" s="15">
        <f>+VLOOKUP(A38,'new analisis'!$A$20:$B$37,2,TRUE)</f>
        <v>0.25750000000000001</v>
      </c>
    </row>
    <row r="39" spans="1:2" x14ac:dyDescent="0.2">
      <c r="A39" s="10">
        <v>43195</v>
      </c>
      <c r="B39" s="15">
        <f>+VLOOKUP(A39,'new analisis'!$A$20:$B$37,2,TRUE)</f>
        <v>0.25750000000000001</v>
      </c>
    </row>
    <row r="40" spans="1:2" x14ac:dyDescent="0.2">
      <c r="A40" s="10">
        <v>43196</v>
      </c>
      <c r="B40" s="15">
        <f>+VLOOKUP(A40,'new analisis'!$A$20:$B$37,2,TRUE)</f>
        <v>0.25750000000000001</v>
      </c>
    </row>
    <row r="41" spans="1:2" x14ac:dyDescent="0.2">
      <c r="A41" s="10">
        <v>43197</v>
      </c>
      <c r="B41" s="15">
        <f>+VLOOKUP(A41,'new analisis'!$A$20:$B$37,2,TRUE)</f>
        <v>0.25750000000000001</v>
      </c>
    </row>
    <row r="42" spans="1:2" x14ac:dyDescent="0.2">
      <c r="A42" s="10">
        <v>43198</v>
      </c>
      <c r="B42" s="15">
        <f>+VLOOKUP(A42,'new analisis'!$A$20:$B$37,2,TRUE)</f>
        <v>0.25750000000000001</v>
      </c>
    </row>
    <row r="43" spans="1:2" x14ac:dyDescent="0.2">
      <c r="A43" s="10">
        <v>43199</v>
      </c>
      <c r="B43" s="15">
        <f>+VLOOKUP(A43,'new analisis'!$A$20:$B$37,2,TRUE)</f>
        <v>0.25750000000000001</v>
      </c>
    </row>
    <row r="44" spans="1:2" x14ac:dyDescent="0.2">
      <c r="A44" s="10">
        <v>43200</v>
      </c>
      <c r="B44" s="15">
        <f>+VLOOKUP(A44,'new analisis'!$A$20:$B$37,2,TRUE)</f>
        <v>0.25</v>
      </c>
    </row>
    <row r="45" spans="1:2" x14ac:dyDescent="0.2">
      <c r="A45" s="10">
        <v>43201</v>
      </c>
      <c r="B45" s="15">
        <f>+VLOOKUP(A45,'new analisis'!$A$20:$B$37,2,TRUE)</f>
        <v>0.25</v>
      </c>
    </row>
    <row r="46" spans="1:2" x14ac:dyDescent="0.2">
      <c r="A46" s="10">
        <v>43202</v>
      </c>
      <c r="B46" s="15">
        <f>+VLOOKUP(A46,'new analisis'!$A$20:$B$37,2,TRUE)</f>
        <v>0.25</v>
      </c>
    </row>
    <row r="47" spans="1:2" x14ac:dyDescent="0.2">
      <c r="A47" s="10">
        <v>43203</v>
      </c>
      <c r="B47" s="15">
        <f>+VLOOKUP(A47,'new analisis'!$A$20:$B$37,2,TRUE)</f>
        <v>0.25</v>
      </c>
    </row>
    <row r="48" spans="1:2" x14ac:dyDescent="0.2">
      <c r="A48" s="10">
        <v>43204</v>
      </c>
      <c r="B48" s="15">
        <f>+VLOOKUP(A48,'new analisis'!$A$20:$B$37,2,TRUE)</f>
        <v>0.25</v>
      </c>
    </row>
    <row r="49" spans="1:2" x14ac:dyDescent="0.2">
      <c r="A49" s="10">
        <v>43205</v>
      </c>
      <c r="B49" s="15">
        <f>+VLOOKUP(A49,'new analisis'!$A$20:$B$37,2,TRUE)</f>
        <v>0.25</v>
      </c>
    </row>
    <row r="50" spans="1:2" x14ac:dyDescent="0.2">
      <c r="A50" s="10">
        <v>43206</v>
      </c>
      <c r="B50" s="15">
        <f>+VLOOKUP(A50,'new analisis'!$A$20:$B$37,2,TRUE)</f>
        <v>0.25</v>
      </c>
    </row>
    <row r="51" spans="1:2" x14ac:dyDescent="0.2">
      <c r="A51" s="10">
        <v>43207</v>
      </c>
      <c r="B51" s="15">
        <f>+VLOOKUP(A51,'new analisis'!$A$20:$B$37,2,TRUE)</f>
        <v>0.25</v>
      </c>
    </row>
    <row r="52" spans="1:2" x14ac:dyDescent="0.2">
      <c r="A52" s="10">
        <v>43208</v>
      </c>
      <c r="B52" s="15">
        <f>+VLOOKUP(A52,'new analisis'!$A$20:$B$37,2,TRUE)</f>
        <v>0.25</v>
      </c>
    </row>
    <row r="53" spans="1:2" x14ac:dyDescent="0.2">
      <c r="A53" s="10">
        <v>43209</v>
      </c>
      <c r="B53" s="15">
        <f>+VLOOKUP(A53,'new analisis'!$A$20:$B$37,2,TRUE)</f>
        <v>0.25</v>
      </c>
    </row>
    <row r="54" spans="1:2" x14ac:dyDescent="0.2">
      <c r="A54" s="10">
        <v>43210</v>
      </c>
      <c r="B54" s="15">
        <f>+VLOOKUP(A54,'new analisis'!$A$20:$B$37,2,TRUE)</f>
        <v>0.25</v>
      </c>
    </row>
    <row r="55" spans="1:2" x14ac:dyDescent="0.2">
      <c r="A55" s="10">
        <v>43211</v>
      </c>
      <c r="B55" s="15">
        <f>+VLOOKUP(A55,'new analisis'!$A$20:$B$37,2,TRUE)</f>
        <v>0.25</v>
      </c>
    </row>
    <row r="56" spans="1:2" x14ac:dyDescent="0.2">
      <c r="A56" s="10">
        <v>43212</v>
      </c>
      <c r="B56" s="15">
        <f>+VLOOKUP(A56,'new analisis'!$A$20:$B$37,2,TRUE)</f>
        <v>0.25</v>
      </c>
    </row>
    <row r="57" spans="1:2" x14ac:dyDescent="0.2">
      <c r="A57" s="10">
        <v>43213</v>
      </c>
      <c r="B57" s="15">
        <f>+VLOOKUP(A57,'new analisis'!$A$20:$B$37,2,TRUE)</f>
        <v>0.25</v>
      </c>
    </row>
    <row r="58" spans="1:2" x14ac:dyDescent="0.2">
      <c r="A58" s="10">
        <v>43214</v>
      </c>
      <c r="B58" s="15">
        <f>+VLOOKUP(A58,'new analisis'!$A$20:$B$37,2,TRUE)</f>
        <v>0.24249999999999999</v>
      </c>
    </row>
    <row r="59" spans="1:2" x14ac:dyDescent="0.2">
      <c r="A59" s="10">
        <v>43215</v>
      </c>
      <c r="B59" s="15">
        <f>+VLOOKUP(A59,'new analisis'!$A$20:$B$37,2,TRUE)</f>
        <v>0.24249999999999999</v>
      </c>
    </row>
    <row r="60" spans="1:2" x14ac:dyDescent="0.2">
      <c r="A60" s="10">
        <v>43216</v>
      </c>
      <c r="B60" s="15">
        <f>+VLOOKUP(A60,'new analisis'!$A$20:$B$37,2,TRUE)</f>
        <v>0.24249999999999999</v>
      </c>
    </row>
    <row r="61" spans="1:2" x14ac:dyDescent="0.2">
      <c r="A61" s="10">
        <v>43217</v>
      </c>
      <c r="B61" s="15">
        <f>+VLOOKUP(A61,'new analisis'!$A$20:$B$37,2,TRUE)</f>
        <v>0.24249999999999999</v>
      </c>
    </row>
    <row r="62" spans="1:2" x14ac:dyDescent="0.2">
      <c r="A62" s="10">
        <v>43218</v>
      </c>
      <c r="B62" s="15">
        <f>+VLOOKUP(A62,'new analisis'!$A$20:$B$37,2,TRUE)</f>
        <v>0.24249999999999999</v>
      </c>
    </row>
    <row r="63" spans="1:2" x14ac:dyDescent="0.2">
      <c r="A63" s="10">
        <v>43219</v>
      </c>
      <c r="B63" s="15">
        <f>+VLOOKUP(A63,'new analisis'!$A$20:$B$37,2,TRUE)</f>
        <v>0.24249999999999999</v>
      </c>
    </row>
    <row r="64" spans="1:2" x14ac:dyDescent="0.2">
      <c r="A64" s="10">
        <v>43220</v>
      </c>
      <c r="B64" s="15">
        <f>+VLOOKUP(A64,'new analisis'!$A$20:$B$37,2,TRUE)</f>
        <v>0.24249999999999999</v>
      </c>
    </row>
    <row r="65" spans="1:2" x14ac:dyDescent="0.2">
      <c r="A65" s="10">
        <v>43221</v>
      </c>
      <c r="B65" s="15">
        <f>+VLOOKUP(A65,'new analisis'!$A$20:$B$37,2,TRUE)</f>
        <v>0.24249999999999999</v>
      </c>
    </row>
    <row r="66" spans="1:2" x14ac:dyDescent="0.2">
      <c r="A66" s="10">
        <v>43222</v>
      </c>
      <c r="B66" s="15">
        <f>+VLOOKUP(A66,'new analisis'!$A$20:$B$37,2,TRUE)</f>
        <v>0.24249999999999999</v>
      </c>
    </row>
    <row r="67" spans="1:2" x14ac:dyDescent="0.2">
      <c r="A67" s="10">
        <v>43223</v>
      </c>
      <c r="B67" s="15">
        <f>+VLOOKUP(A67,'new analisis'!$A$20:$B$37,2,TRUE)</f>
        <v>0.24249999999999999</v>
      </c>
    </row>
    <row r="68" spans="1:2" x14ac:dyDescent="0.2">
      <c r="A68" s="10">
        <v>43224</v>
      </c>
      <c r="B68" s="15">
        <f>+VLOOKUP(A68,'new analisis'!$A$20:$B$37,2,TRUE)</f>
        <v>0.24249999999999999</v>
      </c>
    </row>
    <row r="69" spans="1:2" x14ac:dyDescent="0.2">
      <c r="A69" s="10">
        <v>43225</v>
      </c>
      <c r="B69" s="15">
        <f>+VLOOKUP(A69,'new analisis'!$A$20:$B$37,2,TRUE)</f>
        <v>0.24249999999999999</v>
      </c>
    </row>
    <row r="70" spans="1:2" x14ac:dyDescent="0.2">
      <c r="A70" s="10">
        <v>43226</v>
      </c>
      <c r="B70" s="15">
        <f>+VLOOKUP(A70,'new analisis'!$A$20:$B$37,2,TRUE)</f>
        <v>0.24249999999999999</v>
      </c>
    </row>
    <row r="71" spans="1:2" x14ac:dyDescent="0.2">
      <c r="A71" s="10">
        <v>43227</v>
      </c>
      <c r="B71" s="15">
        <f>+VLOOKUP(A71,'new analisis'!$A$20:$B$37,2,TRUE)</f>
        <v>0.24249999999999999</v>
      </c>
    </row>
    <row r="72" spans="1:2" x14ac:dyDescent="0.2">
      <c r="A72" s="10">
        <v>43228</v>
      </c>
      <c r="B72" s="15">
        <f>+VLOOKUP(A72,'new analisis'!$A$20:$B$37,2,TRUE)</f>
        <v>0.23749999999999999</v>
      </c>
    </row>
    <row r="73" spans="1:2" x14ac:dyDescent="0.2">
      <c r="A73" s="10">
        <v>43229</v>
      </c>
      <c r="B73" s="15">
        <f>+VLOOKUP(A73,'new analisis'!$A$20:$B$37,2,TRUE)</f>
        <v>0.23749999999999999</v>
      </c>
    </row>
    <row r="74" spans="1:2" x14ac:dyDescent="0.2">
      <c r="A74" s="10">
        <v>43230</v>
      </c>
      <c r="B74" s="15">
        <f>+VLOOKUP(A74,'new analisis'!$A$20:$B$37,2,TRUE)</f>
        <v>0.23749999999999999</v>
      </c>
    </row>
    <row r="75" spans="1:2" x14ac:dyDescent="0.2">
      <c r="A75" s="10">
        <v>43231</v>
      </c>
      <c r="B75" s="15">
        <f>+VLOOKUP(A75,'new analisis'!$A$20:$B$37,2,TRUE)</f>
        <v>0.23749999999999999</v>
      </c>
    </row>
    <row r="76" spans="1:2" x14ac:dyDescent="0.2">
      <c r="A76" s="10">
        <v>43232</v>
      </c>
      <c r="B76" s="15">
        <f>+VLOOKUP(A76,'new analisis'!$A$20:$B$37,2,TRUE)</f>
        <v>0.23749999999999999</v>
      </c>
    </row>
    <row r="77" spans="1:2" x14ac:dyDescent="0.2">
      <c r="A77" s="10">
        <v>43233</v>
      </c>
      <c r="B77" s="15">
        <f>+VLOOKUP(A77,'new analisis'!$A$20:$B$37,2,TRUE)</f>
        <v>0.23749999999999999</v>
      </c>
    </row>
    <row r="78" spans="1:2" x14ac:dyDescent="0.2">
      <c r="A78" s="10">
        <v>43234</v>
      </c>
      <c r="B78" s="15">
        <f>+VLOOKUP(A78,'new analisis'!$A$20:$B$37,2,TRUE)</f>
        <v>0.23749999999999999</v>
      </c>
    </row>
    <row r="79" spans="1:2" x14ac:dyDescent="0.2">
      <c r="A79" s="10">
        <v>43235</v>
      </c>
      <c r="B79" s="15">
        <f>+VLOOKUP(A79,'new analisis'!$A$20:$B$37,2,TRUE)</f>
        <v>0.23749999999999999</v>
      </c>
    </row>
    <row r="80" spans="1:2" x14ac:dyDescent="0.2">
      <c r="A80" s="10">
        <v>43236</v>
      </c>
      <c r="B80" s="15">
        <f>+VLOOKUP(A80,'new analisis'!$A$20:$B$37,2,TRUE)</f>
        <v>0.23749999999999999</v>
      </c>
    </row>
    <row r="81" spans="1:2" x14ac:dyDescent="0.2">
      <c r="A81" s="10">
        <v>43237</v>
      </c>
      <c r="B81" s="15">
        <f>+VLOOKUP(A81,'new analisis'!$A$20:$B$37,2,TRUE)</f>
        <v>0.23749999999999999</v>
      </c>
    </row>
    <row r="82" spans="1:2" x14ac:dyDescent="0.2">
      <c r="A82" s="10">
        <v>43238</v>
      </c>
      <c r="B82" s="15">
        <f>+VLOOKUP(A82,'new analisis'!$A$20:$B$37,2,TRUE)</f>
        <v>0.23749999999999999</v>
      </c>
    </row>
    <row r="83" spans="1:2" x14ac:dyDescent="0.2">
      <c r="A83" s="10">
        <v>43239</v>
      </c>
      <c r="B83" s="15">
        <f>+VLOOKUP(A83,'new analisis'!$A$20:$B$37,2,TRUE)</f>
        <v>0.23749999999999999</v>
      </c>
    </row>
    <row r="84" spans="1:2" x14ac:dyDescent="0.2">
      <c r="A84" s="10">
        <v>43240</v>
      </c>
      <c r="B84" s="15">
        <f>+VLOOKUP(A84,'new analisis'!$A$20:$B$37,2,TRUE)</f>
        <v>0.23749999999999999</v>
      </c>
    </row>
    <row r="85" spans="1:2" x14ac:dyDescent="0.2">
      <c r="A85" s="10">
        <v>43241</v>
      </c>
      <c r="B85" s="15">
        <f>+VLOOKUP(A85,'new analisis'!$A$20:$B$37,2,TRUE)</f>
        <v>0.23749999999999999</v>
      </c>
    </row>
    <row r="86" spans="1:2" x14ac:dyDescent="0.2">
      <c r="A86" s="10">
        <v>43242</v>
      </c>
      <c r="B86" s="15">
        <f>+VLOOKUP(A86,'new analisis'!$A$20:$B$37,2,TRUE)</f>
        <v>0.23249999999999998</v>
      </c>
    </row>
    <row r="87" spans="1:2" x14ac:dyDescent="0.2">
      <c r="A87" s="10">
        <v>43243</v>
      </c>
      <c r="B87" s="15">
        <f>+VLOOKUP(A87,'new analisis'!$A$20:$B$37,2,TRUE)</f>
        <v>0.23249999999999998</v>
      </c>
    </row>
    <row r="88" spans="1:2" x14ac:dyDescent="0.2">
      <c r="A88" s="10">
        <v>43244</v>
      </c>
      <c r="B88" s="15">
        <f>+VLOOKUP(A88,'new analisis'!$A$20:$B$37,2,TRUE)</f>
        <v>0.23249999999999998</v>
      </c>
    </row>
    <row r="89" spans="1:2" x14ac:dyDescent="0.2">
      <c r="A89" s="10">
        <v>43245</v>
      </c>
      <c r="B89" s="15">
        <f>+VLOOKUP(A89,'new analisis'!$A$20:$B$37,2,TRUE)</f>
        <v>0.23249999999999998</v>
      </c>
    </row>
    <row r="90" spans="1:2" x14ac:dyDescent="0.2">
      <c r="A90" s="10">
        <v>43246</v>
      </c>
      <c r="B90" s="15">
        <f>+VLOOKUP(A90,'new analisis'!$A$20:$B$37,2,TRUE)</f>
        <v>0.23249999999999998</v>
      </c>
    </row>
    <row r="91" spans="1:2" x14ac:dyDescent="0.2">
      <c r="A91" s="10">
        <v>43247</v>
      </c>
      <c r="B91" s="15">
        <f>+VLOOKUP(A91,'new analisis'!$A$20:$B$37,2,TRUE)</f>
        <v>0.23249999999999998</v>
      </c>
    </row>
    <row r="92" spans="1:2" x14ac:dyDescent="0.2">
      <c r="A92" s="10">
        <v>43248</v>
      </c>
      <c r="B92" s="15">
        <f>+VLOOKUP(A92,'new analisis'!$A$20:$B$37,2,TRUE)</f>
        <v>0.23249999999999998</v>
      </c>
    </row>
    <row r="93" spans="1:2" x14ac:dyDescent="0.2">
      <c r="A93" s="10">
        <v>43249</v>
      </c>
      <c r="B93" s="15">
        <f>+VLOOKUP(A93,'new analisis'!$A$20:$B$37,2,TRUE)</f>
        <v>0.23249999999999998</v>
      </c>
    </row>
    <row r="94" spans="1:2" x14ac:dyDescent="0.2">
      <c r="A94" s="10">
        <v>43250</v>
      </c>
      <c r="B94" s="15">
        <f>+VLOOKUP(A94,'new analisis'!$A$20:$B$37,2,TRUE)</f>
        <v>0.23249999999999998</v>
      </c>
    </row>
    <row r="95" spans="1:2" x14ac:dyDescent="0.2">
      <c r="A95" s="10">
        <v>43251</v>
      </c>
      <c r="B95" s="15">
        <f>+VLOOKUP(A95,'new analisis'!$A$20:$B$37,2,TRUE)</f>
        <v>0.23249999999999998</v>
      </c>
    </row>
    <row r="96" spans="1:2" x14ac:dyDescent="0.2">
      <c r="A96" s="10">
        <v>43252</v>
      </c>
      <c r="B96" s="15">
        <f>+VLOOKUP(A96,'new analisis'!$A$20:$B$37,2,TRUE)</f>
        <v>0.23249999999999998</v>
      </c>
    </row>
    <row r="97" spans="1:2" x14ac:dyDescent="0.2">
      <c r="A97" s="10">
        <v>43253</v>
      </c>
      <c r="B97" s="15">
        <f>+VLOOKUP(A97,'new analisis'!$A$20:$B$37,2,TRUE)</f>
        <v>0.23249999999999998</v>
      </c>
    </row>
    <row r="98" spans="1:2" x14ac:dyDescent="0.2">
      <c r="A98" s="10">
        <v>43254</v>
      </c>
      <c r="B98" s="15">
        <f>+VLOOKUP(A98,'new analisis'!$A$20:$B$37,2,TRUE)</f>
        <v>0.23249999999999998</v>
      </c>
    </row>
    <row r="99" spans="1:2" x14ac:dyDescent="0.2">
      <c r="A99" s="10">
        <v>43255</v>
      </c>
      <c r="B99" s="15">
        <f>+VLOOKUP(A99,'new analisis'!$A$20:$B$37,2,TRUE)</f>
        <v>0.23249999999999998</v>
      </c>
    </row>
    <row r="100" spans="1:2" x14ac:dyDescent="0.2">
      <c r="A100" s="10">
        <v>43256</v>
      </c>
      <c r="B100" s="15">
        <f>+VLOOKUP(A100,'new analisis'!$A$20:$B$37,2,TRUE)</f>
        <v>0.23249999999999998</v>
      </c>
    </row>
    <row r="101" spans="1:2" x14ac:dyDescent="0.2">
      <c r="A101" s="10">
        <v>43257</v>
      </c>
      <c r="B101" s="15">
        <f>+VLOOKUP(A101,'new analisis'!$A$20:$B$37,2,TRUE)</f>
        <v>0.23249999999999998</v>
      </c>
    </row>
    <row r="102" spans="1:2" x14ac:dyDescent="0.2">
      <c r="A102" s="10">
        <v>43258</v>
      </c>
      <c r="B102" s="15">
        <f>+VLOOKUP(A102,'new analisis'!$A$20:$B$37,2,TRUE)</f>
        <v>0.23249999999999998</v>
      </c>
    </row>
    <row r="103" spans="1:2" x14ac:dyDescent="0.2">
      <c r="A103" s="10">
        <v>43259</v>
      </c>
      <c r="B103" s="15">
        <f>+VLOOKUP(A103,'new analisis'!$A$20:$B$37,2,TRUE)</f>
        <v>0.23249999999999998</v>
      </c>
    </row>
    <row r="104" spans="1:2" x14ac:dyDescent="0.2">
      <c r="A104" s="10">
        <v>43260</v>
      </c>
      <c r="B104" s="15">
        <f>+VLOOKUP(A104,'new analisis'!$A$20:$B$37,2,TRUE)</f>
        <v>0.23249999999999998</v>
      </c>
    </row>
    <row r="105" spans="1:2" x14ac:dyDescent="0.2">
      <c r="A105" s="10">
        <v>43261</v>
      </c>
      <c r="B105" s="15">
        <f>+VLOOKUP(A105,'new analisis'!$A$20:$B$37,2,TRUE)</f>
        <v>0.23249999999999998</v>
      </c>
    </row>
    <row r="106" spans="1:2" x14ac:dyDescent="0.2">
      <c r="A106" s="10">
        <v>43262</v>
      </c>
      <c r="B106" s="15">
        <f>+VLOOKUP(A106,'new analisis'!$A$20:$B$37,2,TRUE)</f>
        <v>0.23249999999999998</v>
      </c>
    </row>
    <row r="107" spans="1:2" x14ac:dyDescent="0.2">
      <c r="A107" s="10">
        <v>43263</v>
      </c>
      <c r="B107" s="15">
        <f>+VLOOKUP(A107,'new analisis'!$A$20:$B$37,2,TRUE)</f>
        <v>0.22249999999999998</v>
      </c>
    </row>
    <row r="108" spans="1:2" x14ac:dyDescent="0.2">
      <c r="A108" s="10">
        <v>43264</v>
      </c>
      <c r="B108" s="15">
        <f>+VLOOKUP(A108,'new analisis'!$A$20:$B$37,2,TRUE)</f>
        <v>0.22249999999999998</v>
      </c>
    </row>
    <row r="109" spans="1:2" x14ac:dyDescent="0.2">
      <c r="A109" s="10">
        <v>43265</v>
      </c>
      <c r="B109" s="15">
        <f>+VLOOKUP(A109,'new analisis'!$A$20:$B$37,2,TRUE)</f>
        <v>0.22249999999999998</v>
      </c>
    </row>
    <row r="110" spans="1:2" x14ac:dyDescent="0.2">
      <c r="A110" s="10">
        <v>43266</v>
      </c>
      <c r="B110" s="15">
        <f>+VLOOKUP(A110,'new analisis'!$A$20:$B$37,2,TRUE)</f>
        <v>0.22249999999999998</v>
      </c>
    </row>
    <row r="111" spans="1:2" x14ac:dyDescent="0.2">
      <c r="A111" s="10">
        <v>43267</v>
      </c>
      <c r="B111" s="15">
        <f>+VLOOKUP(A111,'new analisis'!$A$20:$B$37,2,TRUE)</f>
        <v>0.22249999999999998</v>
      </c>
    </row>
    <row r="112" spans="1:2" x14ac:dyDescent="0.2">
      <c r="A112" s="10">
        <v>43268</v>
      </c>
      <c r="B112" s="15">
        <f>+VLOOKUP(A112,'new analisis'!$A$20:$B$37,2,TRUE)</f>
        <v>0.22249999999999998</v>
      </c>
    </row>
    <row r="113" spans="1:2" x14ac:dyDescent="0.2">
      <c r="A113" s="10">
        <v>43269</v>
      </c>
      <c r="B113" s="15">
        <f>+VLOOKUP(A113,'new analisis'!$A$20:$B$37,2,TRUE)</f>
        <v>0.22249999999999998</v>
      </c>
    </row>
    <row r="114" spans="1:2" x14ac:dyDescent="0.2">
      <c r="A114" s="10">
        <v>43270</v>
      </c>
      <c r="B114" s="15">
        <f>+VLOOKUP(A114,'new analisis'!$A$20:$B$37,2,TRUE)</f>
        <v>0.22249999999999998</v>
      </c>
    </row>
    <row r="115" spans="1:2" x14ac:dyDescent="0.2">
      <c r="A115" s="10">
        <v>43271</v>
      </c>
      <c r="B115" s="15">
        <f>+VLOOKUP(A115,'new analisis'!$A$20:$B$37,2,TRUE)</f>
        <v>0.22249999999999998</v>
      </c>
    </row>
    <row r="116" spans="1:2" x14ac:dyDescent="0.2">
      <c r="A116" s="10">
        <v>43272</v>
      </c>
      <c r="B116" s="15">
        <f>+VLOOKUP(A116,'new analisis'!$A$20:$B$37,2,TRUE)</f>
        <v>0.22249999999999998</v>
      </c>
    </row>
    <row r="117" spans="1:2" x14ac:dyDescent="0.2">
      <c r="A117" s="10">
        <v>43273</v>
      </c>
      <c r="B117" s="15">
        <f>+VLOOKUP(A117,'new analisis'!$A$20:$B$37,2,TRUE)</f>
        <v>0.22249999999999998</v>
      </c>
    </row>
    <row r="118" spans="1:2" x14ac:dyDescent="0.2">
      <c r="A118" s="10">
        <v>43274</v>
      </c>
      <c r="B118" s="15">
        <f>+VLOOKUP(A118,'new analisis'!$A$20:$B$37,2,TRUE)</f>
        <v>0.22249999999999998</v>
      </c>
    </row>
    <row r="119" spans="1:2" x14ac:dyDescent="0.2">
      <c r="A119" s="10">
        <v>43275</v>
      </c>
      <c r="B119" s="15">
        <f>+VLOOKUP(A119,'new analisis'!$A$20:$B$37,2,TRUE)</f>
        <v>0.22249999999999998</v>
      </c>
    </row>
    <row r="120" spans="1:2" x14ac:dyDescent="0.2">
      <c r="A120" s="10">
        <v>43276</v>
      </c>
      <c r="B120" s="15">
        <f>+VLOOKUP(A120,'new analisis'!$A$20:$B$37,2,TRUE)</f>
        <v>0.22249999999999998</v>
      </c>
    </row>
    <row r="121" spans="1:2" x14ac:dyDescent="0.2">
      <c r="A121" s="10">
        <v>43277</v>
      </c>
      <c r="B121" s="15">
        <f>+VLOOKUP(A121,'new analisis'!$A$20:$B$37,2,TRUE)</f>
        <v>0.21249999999999997</v>
      </c>
    </row>
    <row r="122" spans="1:2" x14ac:dyDescent="0.2">
      <c r="A122" s="10">
        <v>43278</v>
      </c>
      <c r="B122" s="15">
        <f>+VLOOKUP(A122,'new analisis'!$A$20:$B$37,2,TRUE)</f>
        <v>0.21249999999999997</v>
      </c>
    </row>
    <row r="123" spans="1:2" x14ac:dyDescent="0.2">
      <c r="A123" s="10">
        <v>43279</v>
      </c>
      <c r="B123" s="15">
        <f>+VLOOKUP(A123,'new analisis'!$A$20:$B$37,2,TRUE)</f>
        <v>0.21249999999999997</v>
      </c>
    </row>
    <row r="124" spans="1:2" x14ac:dyDescent="0.2">
      <c r="A124" s="10">
        <v>43280</v>
      </c>
      <c r="B124" s="15">
        <f>+VLOOKUP(A124,'new analisis'!$A$20:$B$37,2,TRUE)</f>
        <v>0.21249999999999997</v>
      </c>
    </row>
    <row r="125" spans="1:2" x14ac:dyDescent="0.2">
      <c r="A125" s="10">
        <v>43281</v>
      </c>
      <c r="B125" s="15">
        <f>+VLOOKUP(A125,'new analisis'!$A$20:$B$37,2,TRUE)</f>
        <v>0.21249999999999997</v>
      </c>
    </row>
    <row r="126" spans="1:2" x14ac:dyDescent="0.2">
      <c r="A126" s="10">
        <v>43282</v>
      </c>
      <c r="B126" s="15">
        <f>+VLOOKUP(A126,'new analisis'!$A$20:$B$37,2,TRUE)</f>
        <v>0.21249999999999997</v>
      </c>
    </row>
    <row r="127" spans="1:2" x14ac:dyDescent="0.2">
      <c r="A127" s="10">
        <v>43283</v>
      </c>
      <c r="B127" s="15">
        <f>+VLOOKUP(A127,'new analisis'!$A$20:$B$37,2,TRUE)</f>
        <v>0.21249999999999997</v>
      </c>
    </row>
    <row r="128" spans="1:2" x14ac:dyDescent="0.2">
      <c r="A128" s="10">
        <v>43284</v>
      </c>
      <c r="B128" s="15">
        <f>+VLOOKUP(A128,'new analisis'!$A$20:$B$37,2,TRUE)</f>
        <v>0.21249999999999997</v>
      </c>
    </row>
    <row r="129" spans="1:2" x14ac:dyDescent="0.2">
      <c r="A129" s="10">
        <v>43285</v>
      </c>
      <c r="B129" s="15">
        <f>+VLOOKUP(A129,'new analisis'!$A$20:$B$37,2,TRUE)</f>
        <v>0.21249999999999997</v>
      </c>
    </row>
    <row r="130" spans="1:2" x14ac:dyDescent="0.2">
      <c r="A130" s="10">
        <v>43286</v>
      </c>
      <c r="B130" s="15">
        <f>+VLOOKUP(A130,'new analisis'!$A$20:$B$37,2,TRUE)</f>
        <v>0.21249999999999997</v>
      </c>
    </row>
    <row r="131" spans="1:2" x14ac:dyDescent="0.2">
      <c r="A131" s="10">
        <v>43287</v>
      </c>
      <c r="B131" s="15">
        <f>+VLOOKUP(A131,'new analisis'!$A$20:$B$37,2,TRUE)</f>
        <v>0.21249999999999997</v>
      </c>
    </row>
    <row r="132" spans="1:2" x14ac:dyDescent="0.2">
      <c r="A132" s="10">
        <v>43288</v>
      </c>
      <c r="B132" s="15">
        <f>+VLOOKUP(A132,'new analisis'!$A$20:$B$37,2,TRUE)</f>
        <v>0.21249999999999997</v>
      </c>
    </row>
    <row r="133" spans="1:2" x14ac:dyDescent="0.2">
      <c r="A133" s="10">
        <v>43289</v>
      </c>
      <c r="B133" s="15">
        <f>+VLOOKUP(A133,'new analisis'!$A$20:$B$37,2,TRUE)</f>
        <v>0.21249999999999997</v>
      </c>
    </row>
    <row r="134" spans="1:2" x14ac:dyDescent="0.2">
      <c r="A134" s="10">
        <v>43290</v>
      </c>
      <c r="B134" s="15">
        <f>+VLOOKUP(A134,'new analisis'!$A$20:$B$37,2,TRUE)</f>
        <v>0.21249999999999997</v>
      </c>
    </row>
    <row r="135" spans="1:2" x14ac:dyDescent="0.2">
      <c r="A135" s="10">
        <v>43291</v>
      </c>
      <c r="B135" s="15">
        <f>+VLOOKUP(A135,'new analisis'!$A$20:$B$37,2,TRUE)</f>
        <v>0.20249999999999996</v>
      </c>
    </row>
    <row r="136" spans="1:2" x14ac:dyDescent="0.2">
      <c r="A136" s="10">
        <v>43292</v>
      </c>
      <c r="B136" s="15">
        <f>+VLOOKUP(A136,'new analisis'!$A$20:$B$37,2,TRUE)</f>
        <v>0.20249999999999996</v>
      </c>
    </row>
    <row r="137" spans="1:2" x14ac:dyDescent="0.2">
      <c r="A137" s="10">
        <v>43293</v>
      </c>
      <c r="B137" s="15">
        <f>+VLOOKUP(A137,'new analisis'!$A$20:$B$37,2,TRUE)</f>
        <v>0.20249999999999996</v>
      </c>
    </row>
    <row r="138" spans="1:2" x14ac:dyDescent="0.2">
      <c r="A138" s="10">
        <v>43294</v>
      </c>
      <c r="B138" s="15">
        <f>+VLOOKUP(A138,'new analisis'!$A$20:$B$37,2,TRUE)</f>
        <v>0.20249999999999996</v>
      </c>
    </row>
    <row r="139" spans="1:2" x14ac:dyDescent="0.2">
      <c r="A139" s="10">
        <v>43295</v>
      </c>
      <c r="B139" s="15">
        <f>+VLOOKUP(A139,'new analisis'!$A$20:$B$37,2,TRUE)</f>
        <v>0.20249999999999996</v>
      </c>
    </row>
    <row r="140" spans="1:2" x14ac:dyDescent="0.2">
      <c r="A140" s="10">
        <v>43296</v>
      </c>
      <c r="B140" s="15">
        <f>+VLOOKUP(A140,'new analisis'!$A$20:$B$37,2,TRUE)</f>
        <v>0.20249999999999996</v>
      </c>
    </row>
    <row r="141" spans="1:2" x14ac:dyDescent="0.2">
      <c r="A141" s="10">
        <v>43297</v>
      </c>
      <c r="B141" s="15">
        <f>+VLOOKUP(A141,'new analisis'!$A$20:$B$37,2,TRUE)</f>
        <v>0.20249999999999996</v>
      </c>
    </row>
    <row r="142" spans="1:2" x14ac:dyDescent="0.2">
      <c r="A142" s="10">
        <v>43298</v>
      </c>
      <c r="B142" s="15">
        <f>+VLOOKUP(A142,'new analisis'!$A$20:$B$37,2,TRUE)</f>
        <v>0.20249999999999996</v>
      </c>
    </row>
    <row r="143" spans="1:2" x14ac:dyDescent="0.2">
      <c r="A143" s="10">
        <v>43299</v>
      </c>
      <c r="B143" s="15">
        <f>+VLOOKUP(A143,'new analisis'!$A$20:$B$37,2,TRUE)</f>
        <v>0.20249999999999996</v>
      </c>
    </row>
    <row r="144" spans="1:2" x14ac:dyDescent="0.2">
      <c r="A144" s="10">
        <v>43300</v>
      </c>
      <c r="B144" s="15">
        <f>+VLOOKUP(A144,'new analisis'!$A$20:$B$37,2,TRUE)</f>
        <v>0.20249999999999996</v>
      </c>
    </row>
    <row r="145" spans="1:2" x14ac:dyDescent="0.2">
      <c r="A145" s="10">
        <v>43301</v>
      </c>
      <c r="B145" s="15">
        <f>+VLOOKUP(A145,'new analisis'!$A$20:$B$37,2,TRUE)</f>
        <v>0.20249999999999996</v>
      </c>
    </row>
    <row r="146" spans="1:2" x14ac:dyDescent="0.2">
      <c r="A146" s="10">
        <v>43302</v>
      </c>
      <c r="B146" s="15">
        <f>+VLOOKUP(A146,'new analisis'!$A$20:$B$37,2,TRUE)</f>
        <v>0.20249999999999996</v>
      </c>
    </row>
    <row r="147" spans="1:2" x14ac:dyDescent="0.2">
      <c r="A147" s="10">
        <v>43303</v>
      </c>
      <c r="B147" s="15">
        <f>+VLOOKUP(A147,'new analisis'!$A$20:$B$37,2,TRUE)</f>
        <v>0.20249999999999996</v>
      </c>
    </row>
    <row r="148" spans="1:2" x14ac:dyDescent="0.2">
      <c r="A148" s="10">
        <v>43304</v>
      </c>
      <c r="B148" s="15">
        <f>+VLOOKUP(A148,'new analisis'!$A$20:$B$37,2,TRUE)</f>
        <v>0.20249999999999996</v>
      </c>
    </row>
    <row r="149" spans="1:2" x14ac:dyDescent="0.2">
      <c r="A149" s="10">
        <v>43305</v>
      </c>
      <c r="B149" s="15">
        <f>+VLOOKUP(A149,'new analisis'!$A$20:$B$37,2,TRUE)</f>
        <v>0.20249999999999996</v>
      </c>
    </row>
    <row r="150" spans="1:2" x14ac:dyDescent="0.2">
      <c r="A150" s="10">
        <v>43306</v>
      </c>
      <c r="B150" s="15">
        <f>+VLOOKUP(A150,'new analisis'!$A$20:$B$37,2,TRUE)</f>
        <v>0.20249999999999996</v>
      </c>
    </row>
    <row r="151" spans="1:2" x14ac:dyDescent="0.2">
      <c r="A151" s="10">
        <v>43307</v>
      </c>
      <c r="B151" s="15">
        <f>+VLOOKUP(A151,'new analisis'!$A$20:$B$37,2,TRUE)</f>
        <v>0.20249999999999996</v>
      </c>
    </row>
    <row r="152" spans="1:2" x14ac:dyDescent="0.2">
      <c r="A152" s="10">
        <v>43308</v>
      </c>
      <c r="B152" s="15">
        <f>+VLOOKUP(A152,'new analisis'!$A$20:$B$37,2,TRUE)</f>
        <v>0.20249999999999996</v>
      </c>
    </row>
    <row r="153" spans="1:2" x14ac:dyDescent="0.2">
      <c r="A153" s="10">
        <v>43309</v>
      </c>
      <c r="B153" s="15">
        <f>+VLOOKUP(A153,'new analisis'!$A$20:$B$37,2,TRUE)</f>
        <v>0.20249999999999996</v>
      </c>
    </row>
    <row r="154" spans="1:2" x14ac:dyDescent="0.2">
      <c r="A154" s="10">
        <v>43310</v>
      </c>
      <c r="B154" s="15">
        <f>+VLOOKUP(A154,'new analisis'!$A$20:$B$37,2,TRUE)</f>
        <v>0.20249999999999996</v>
      </c>
    </row>
    <row r="155" spans="1:2" x14ac:dyDescent="0.2">
      <c r="A155" s="10">
        <v>43311</v>
      </c>
      <c r="B155" s="15">
        <f>+VLOOKUP(A155,'new analisis'!$A$20:$B$37,2,TRUE)</f>
        <v>0.20249999999999996</v>
      </c>
    </row>
    <row r="156" spans="1:2" x14ac:dyDescent="0.2">
      <c r="A156" s="10">
        <v>43312</v>
      </c>
      <c r="B156" s="15">
        <f>+VLOOKUP(A156,'new analisis'!$A$20:$B$37,2,TRUE)</f>
        <v>0.20249999999999996</v>
      </c>
    </row>
    <row r="157" spans="1:2" x14ac:dyDescent="0.2">
      <c r="A157" s="10">
        <v>43313</v>
      </c>
      <c r="B157" s="15">
        <f>+VLOOKUP(A157,'new analisis'!$A$20:$B$37,2,TRUE)</f>
        <v>0.20249999999999996</v>
      </c>
    </row>
    <row r="158" spans="1:2" x14ac:dyDescent="0.2">
      <c r="A158" s="10">
        <v>43314</v>
      </c>
      <c r="B158" s="15">
        <f>+VLOOKUP(A158,'new analisis'!$A$20:$B$37,2,TRUE)</f>
        <v>0.20249999999999996</v>
      </c>
    </row>
    <row r="159" spans="1:2" x14ac:dyDescent="0.2">
      <c r="A159" s="10">
        <v>43315</v>
      </c>
      <c r="B159" s="15">
        <f>+VLOOKUP(A159,'new analisis'!$A$20:$B$37,2,TRUE)</f>
        <v>0.20249999999999996</v>
      </c>
    </row>
    <row r="160" spans="1:2" x14ac:dyDescent="0.2">
      <c r="A160" s="10">
        <v>43316</v>
      </c>
      <c r="B160" s="15">
        <f>+VLOOKUP(A160,'new analisis'!$A$20:$B$37,2,TRUE)</f>
        <v>0.20249999999999996</v>
      </c>
    </row>
    <row r="161" spans="1:2" x14ac:dyDescent="0.2">
      <c r="A161" s="10">
        <v>43317</v>
      </c>
      <c r="B161" s="15">
        <f>+VLOOKUP(A161,'new analisis'!$A$20:$B$37,2,TRUE)</f>
        <v>0.20249999999999996</v>
      </c>
    </row>
    <row r="162" spans="1:2" x14ac:dyDescent="0.2">
      <c r="A162" s="10">
        <v>43318</v>
      </c>
      <c r="B162" s="15">
        <f>+VLOOKUP(A162,'new analisis'!$A$20:$B$37,2,TRUE)</f>
        <v>0.20249999999999996</v>
      </c>
    </row>
    <row r="163" spans="1:2" x14ac:dyDescent="0.2">
      <c r="A163" s="10">
        <v>43319</v>
      </c>
      <c r="B163" s="15">
        <f>+VLOOKUP(A163,'new analisis'!$A$20:$B$37,2,TRUE)</f>
        <v>0.20249999999999996</v>
      </c>
    </row>
    <row r="164" spans="1:2" x14ac:dyDescent="0.2">
      <c r="A164" s="10">
        <v>43320</v>
      </c>
      <c r="B164" s="15">
        <f>+VLOOKUP(A164,'new analisis'!$A$20:$B$37,2,TRUE)</f>
        <v>0.20249999999999996</v>
      </c>
    </row>
    <row r="165" spans="1:2" x14ac:dyDescent="0.2">
      <c r="A165" s="10">
        <v>43321</v>
      </c>
      <c r="B165" s="15">
        <f>+VLOOKUP(A165,'new analisis'!$A$20:$B$37,2,TRUE)</f>
        <v>0.20249999999999996</v>
      </c>
    </row>
    <row r="166" spans="1:2" x14ac:dyDescent="0.2">
      <c r="A166" s="10">
        <v>43322</v>
      </c>
      <c r="B166" s="15">
        <f>+VLOOKUP(A166,'new analisis'!$A$20:$B$37,2,TRUE)</f>
        <v>0.20249999999999996</v>
      </c>
    </row>
    <row r="167" spans="1:2" x14ac:dyDescent="0.2">
      <c r="A167" s="10">
        <v>43323</v>
      </c>
      <c r="B167" s="15">
        <f>+VLOOKUP(A167,'new analisis'!$A$20:$B$37,2,TRUE)</f>
        <v>0.20249999999999996</v>
      </c>
    </row>
    <row r="168" spans="1:2" x14ac:dyDescent="0.2">
      <c r="A168" s="10">
        <v>43324</v>
      </c>
      <c r="B168" s="15">
        <f>+VLOOKUP(A168,'new analisis'!$A$20:$B$37,2,TRUE)</f>
        <v>0.20249999999999996</v>
      </c>
    </row>
    <row r="169" spans="1:2" x14ac:dyDescent="0.2">
      <c r="A169" s="10">
        <v>43325</v>
      </c>
      <c r="B169" s="15">
        <f>+VLOOKUP(A169,'new analisis'!$A$20:$B$37,2,TRUE)</f>
        <v>0.20249999999999996</v>
      </c>
    </row>
    <row r="170" spans="1:2" x14ac:dyDescent="0.2">
      <c r="A170" s="10">
        <v>43326</v>
      </c>
      <c r="B170" s="15">
        <f>+VLOOKUP(A170,'new analisis'!$A$20:$B$37,2,TRUE)</f>
        <v>0.20249999999999996</v>
      </c>
    </row>
    <row r="171" spans="1:2" x14ac:dyDescent="0.2">
      <c r="A171" s="10">
        <v>43327</v>
      </c>
      <c r="B171" s="15">
        <f>+VLOOKUP(A171,'new analisis'!$A$20:$B$37,2,TRUE)</f>
        <v>0.20249999999999996</v>
      </c>
    </row>
    <row r="172" spans="1:2" x14ac:dyDescent="0.2">
      <c r="A172" s="10">
        <v>43328</v>
      </c>
      <c r="B172" s="15">
        <f>+VLOOKUP(A172,'new analisis'!$A$20:$B$37,2,TRUE)</f>
        <v>0.20249999999999996</v>
      </c>
    </row>
    <row r="173" spans="1:2" x14ac:dyDescent="0.2">
      <c r="A173" s="10">
        <v>43329</v>
      </c>
      <c r="B173" s="15">
        <f>+VLOOKUP(A173,'new analisis'!$A$20:$B$37,2,TRUE)</f>
        <v>0.20249999999999996</v>
      </c>
    </row>
    <row r="174" spans="1:2" x14ac:dyDescent="0.2">
      <c r="A174" s="10">
        <v>43330</v>
      </c>
      <c r="B174" s="15">
        <f>+VLOOKUP(A174,'new analisis'!$A$20:$B$37,2,TRUE)</f>
        <v>0.20249999999999996</v>
      </c>
    </row>
    <row r="175" spans="1:2" x14ac:dyDescent="0.2">
      <c r="A175" s="10">
        <v>43331</v>
      </c>
      <c r="B175" s="15">
        <f>+VLOOKUP(A175,'new analisis'!$A$20:$B$37,2,TRUE)</f>
        <v>0.20249999999999996</v>
      </c>
    </row>
    <row r="176" spans="1:2" x14ac:dyDescent="0.2">
      <c r="A176" s="10">
        <v>43332</v>
      </c>
      <c r="B176" s="15">
        <f>+VLOOKUP(A176,'new analisis'!$A$20:$B$37,2,TRUE)</f>
        <v>0.20249999999999996</v>
      </c>
    </row>
    <row r="177" spans="1:2" x14ac:dyDescent="0.2">
      <c r="A177" s="10">
        <v>43333</v>
      </c>
      <c r="B177" s="15">
        <f>+VLOOKUP(A177,'new analisis'!$A$20:$B$37,2,TRUE)</f>
        <v>0.20249999999999996</v>
      </c>
    </row>
    <row r="178" spans="1:2" x14ac:dyDescent="0.2">
      <c r="A178" s="10">
        <v>43334</v>
      </c>
      <c r="B178" s="15">
        <f>+VLOOKUP(A178,'new analisis'!$A$20:$B$37,2,TRUE)</f>
        <v>0.20249999999999996</v>
      </c>
    </row>
    <row r="179" spans="1:2" x14ac:dyDescent="0.2">
      <c r="A179" s="10">
        <v>43335</v>
      </c>
      <c r="B179" s="15">
        <f>+VLOOKUP(A179,'new analisis'!$A$20:$B$37,2,TRUE)</f>
        <v>0.20249999999999996</v>
      </c>
    </row>
    <row r="180" spans="1:2" x14ac:dyDescent="0.2">
      <c r="A180" s="10">
        <v>43336</v>
      </c>
      <c r="B180" s="15">
        <f>+VLOOKUP(A180,'new analisis'!$A$20:$B$37,2,TRUE)</f>
        <v>0.20249999999999996</v>
      </c>
    </row>
    <row r="181" spans="1:2" x14ac:dyDescent="0.2">
      <c r="A181" s="10">
        <v>43337</v>
      </c>
      <c r="B181" s="15">
        <f>+VLOOKUP(A181,'new analisis'!$A$20:$B$37,2,TRUE)</f>
        <v>0.20249999999999996</v>
      </c>
    </row>
    <row r="182" spans="1:2" x14ac:dyDescent="0.2">
      <c r="A182" s="10">
        <v>43338</v>
      </c>
      <c r="B182" s="15">
        <f>+VLOOKUP(A182,'new analisis'!$A$20:$B$37,2,TRUE)</f>
        <v>0.20249999999999996</v>
      </c>
    </row>
    <row r="183" spans="1:2" x14ac:dyDescent="0.2">
      <c r="A183" s="10">
        <v>43339</v>
      </c>
      <c r="B183" s="15">
        <f>+VLOOKUP(A183,'new analisis'!$A$20:$B$37,2,TRUE)</f>
        <v>0.20249999999999996</v>
      </c>
    </row>
    <row r="184" spans="1:2" x14ac:dyDescent="0.2">
      <c r="A184" s="10">
        <v>43340</v>
      </c>
      <c r="B184" s="15">
        <f>+VLOOKUP(A184,'new analisis'!$A$20:$B$37,2,TRUE)</f>
        <v>0.20249999999999996</v>
      </c>
    </row>
    <row r="185" spans="1:2" x14ac:dyDescent="0.2">
      <c r="A185" s="10">
        <v>43341</v>
      </c>
      <c r="B185" s="15">
        <f>+VLOOKUP(A185,'new analisis'!$A$20:$B$37,2,TRUE)</f>
        <v>0.20249999999999996</v>
      </c>
    </row>
    <row r="186" spans="1:2" x14ac:dyDescent="0.2">
      <c r="A186" s="10">
        <v>43342</v>
      </c>
      <c r="B186" s="15">
        <f>+VLOOKUP(A186,'new analisis'!$A$20:$B$37,2,TRUE)</f>
        <v>0.20249999999999996</v>
      </c>
    </row>
    <row r="187" spans="1:2" x14ac:dyDescent="0.2">
      <c r="A187" s="10">
        <v>43343</v>
      </c>
      <c r="B187" s="15">
        <f>+VLOOKUP(A187,'new analisis'!$A$20:$B$37,2,TRUE)</f>
        <v>0.20249999999999996</v>
      </c>
    </row>
    <row r="188" spans="1:2" x14ac:dyDescent="0.2">
      <c r="A188" s="10">
        <v>43344</v>
      </c>
      <c r="B188" s="15">
        <f>+VLOOKUP(A188,'new analisis'!$A$20:$B$37,2,TRUE)</f>
        <v>0.20249999999999996</v>
      </c>
    </row>
    <row r="189" spans="1:2" x14ac:dyDescent="0.2">
      <c r="A189" s="10">
        <v>43345</v>
      </c>
      <c r="B189" s="15">
        <f>+VLOOKUP(A189,'new analisis'!$A$20:$B$37,2,TRUE)</f>
        <v>0.20249999999999996</v>
      </c>
    </row>
    <row r="190" spans="1:2" x14ac:dyDescent="0.2">
      <c r="A190" s="10">
        <v>43346</v>
      </c>
      <c r="B190" s="15">
        <f>+VLOOKUP(A190,'new analisis'!$A$20:$B$37,2,TRUE)</f>
        <v>0.20249999999999996</v>
      </c>
    </row>
    <row r="191" spans="1:2" x14ac:dyDescent="0.2">
      <c r="A191" s="10">
        <v>43347</v>
      </c>
      <c r="B191" s="15">
        <f>+VLOOKUP(A191,'new analisis'!$A$20:$B$37,2,TRUE)</f>
        <v>0.20249999999999996</v>
      </c>
    </row>
    <row r="192" spans="1:2" x14ac:dyDescent="0.2">
      <c r="A192" s="10">
        <v>43348</v>
      </c>
      <c r="B192" s="15">
        <f>+VLOOKUP(A192,'new analisis'!$A$20:$B$37,2,TRUE)</f>
        <v>0.20249999999999996</v>
      </c>
    </row>
    <row r="193" spans="1:2" x14ac:dyDescent="0.2">
      <c r="A193" s="10">
        <v>43349</v>
      </c>
      <c r="B193" s="15">
        <f>+VLOOKUP(A193,'new analisis'!$A$20:$B$37,2,TRUE)</f>
        <v>0.20249999999999996</v>
      </c>
    </row>
    <row r="194" spans="1:2" x14ac:dyDescent="0.2">
      <c r="A194" s="10">
        <v>43350</v>
      </c>
      <c r="B194" s="15">
        <f>+VLOOKUP(A194,'new analisis'!$A$20:$B$37,2,TRUE)</f>
        <v>0.20249999999999996</v>
      </c>
    </row>
    <row r="195" spans="1:2" x14ac:dyDescent="0.2">
      <c r="A195" s="10">
        <v>43351</v>
      </c>
      <c r="B195" s="15">
        <f>+VLOOKUP(A195,'new analisis'!$A$20:$B$37,2,TRUE)</f>
        <v>0.20249999999999996</v>
      </c>
    </row>
    <row r="196" spans="1:2" x14ac:dyDescent="0.2">
      <c r="A196" s="10">
        <v>43352</v>
      </c>
      <c r="B196" s="15">
        <f>+VLOOKUP(A196,'new analisis'!$A$20:$B$37,2,TRUE)</f>
        <v>0.20249999999999996</v>
      </c>
    </row>
    <row r="197" spans="1:2" x14ac:dyDescent="0.2">
      <c r="A197" s="10">
        <v>43353</v>
      </c>
      <c r="B197" s="15">
        <f>+VLOOKUP(A197,'new analisis'!$A$20:$B$37,2,TRUE)</f>
        <v>0.20249999999999996</v>
      </c>
    </row>
    <row r="198" spans="1:2" x14ac:dyDescent="0.2">
      <c r="A198" s="10">
        <v>43354</v>
      </c>
      <c r="B198" s="15">
        <f>+VLOOKUP(A198,'new analisis'!$A$20:$B$37,2,TRUE)</f>
        <v>0.19249999999999995</v>
      </c>
    </row>
    <row r="199" spans="1:2" x14ac:dyDescent="0.2">
      <c r="A199" s="10">
        <v>43355</v>
      </c>
      <c r="B199" s="15">
        <f>+VLOOKUP(A199,'new analisis'!$A$20:$B$37,2,TRUE)</f>
        <v>0.19249999999999995</v>
      </c>
    </row>
    <row r="200" spans="1:2" x14ac:dyDescent="0.2">
      <c r="A200" s="10">
        <v>43356</v>
      </c>
      <c r="B200" s="15">
        <f>+VLOOKUP(A200,'new analisis'!$A$20:$B$37,2,TRUE)</f>
        <v>0.19249999999999995</v>
      </c>
    </row>
    <row r="201" spans="1:2" x14ac:dyDescent="0.2">
      <c r="A201" s="10">
        <v>43357</v>
      </c>
      <c r="B201" s="15">
        <f>+VLOOKUP(A201,'new analisis'!$A$20:$B$37,2,TRUE)</f>
        <v>0.19249999999999995</v>
      </c>
    </row>
    <row r="202" spans="1:2" x14ac:dyDescent="0.2">
      <c r="A202" s="10">
        <v>43358</v>
      </c>
      <c r="B202" s="15">
        <f>+VLOOKUP(A202,'new analisis'!$A$20:$B$37,2,TRUE)</f>
        <v>0.19249999999999995</v>
      </c>
    </row>
    <row r="203" spans="1:2" x14ac:dyDescent="0.2">
      <c r="A203" s="10">
        <v>43359</v>
      </c>
      <c r="B203" s="15">
        <f>+VLOOKUP(A203,'new analisis'!$A$20:$B$37,2,TRUE)</f>
        <v>0.19249999999999995</v>
      </c>
    </row>
    <row r="204" spans="1:2" x14ac:dyDescent="0.2">
      <c r="A204" s="10">
        <v>43360</v>
      </c>
      <c r="B204" s="15">
        <f>+VLOOKUP(A204,'new analisis'!$A$20:$B$37,2,TRUE)</f>
        <v>0.19249999999999995</v>
      </c>
    </row>
    <row r="205" spans="1:2" x14ac:dyDescent="0.2">
      <c r="A205" s="10">
        <v>43361</v>
      </c>
      <c r="B205" s="15">
        <f>+VLOOKUP(A205,'new analisis'!$A$20:$B$37,2,TRUE)</f>
        <v>0.19249999999999995</v>
      </c>
    </row>
    <row r="206" spans="1:2" x14ac:dyDescent="0.2">
      <c r="A206" s="10">
        <v>43362</v>
      </c>
      <c r="B206" s="15">
        <f>+VLOOKUP(A206,'new analisis'!$A$20:$B$37,2,TRUE)</f>
        <v>0.19249999999999995</v>
      </c>
    </row>
    <row r="207" spans="1:2" x14ac:dyDescent="0.2">
      <c r="A207" s="10">
        <v>43363</v>
      </c>
      <c r="B207" s="15">
        <f>+VLOOKUP(A207,'new analisis'!$A$20:$B$37,2,TRUE)</f>
        <v>0.19249999999999995</v>
      </c>
    </row>
    <row r="208" spans="1:2" x14ac:dyDescent="0.2">
      <c r="A208" s="10">
        <v>43364</v>
      </c>
      <c r="B208" s="15">
        <f>+VLOOKUP(A208,'new analisis'!$A$20:$B$37,2,TRUE)</f>
        <v>0.19249999999999995</v>
      </c>
    </row>
    <row r="209" spans="1:2" x14ac:dyDescent="0.2">
      <c r="A209" s="10">
        <v>43365</v>
      </c>
      <c r="B209" s="15">
        <f>+VLOOKUP(A209,'new analisis'!$A$20:$B$37,2,TRUE)</f>
        <v>0.19249999999999995</v>
      </c>
    </row>
    <row r="210" spans="1:2" x14ac:dyDescent="0.2">
      <c r="A210" s="10">
        <v>43366</v>
      </c>
      <c r="B210" s="15">
        <f>+VLOOKUP(A210,'new analisis'!$A$20:$B$37,2,TRUE)</f>
        <v>0.19249999999999995</v>
      </c>
    </row>
    <row r="211" spans="1:2" x14ac:dyDescent="0.2">
      <c r="A211" s="10">
        <v>43367</v>
      </c>
      <c r="B211" s="15">
        <f>+VLOOKUP(A211,'new analisis'!$A$20:$B$37,2,TRUE)</f>
        <v>0.19249999999999995</v>
      </c>
    </row>
    <row r="212" spans="1:2" x14ac:dyDescent="0.2">
      <c r="A212" s="10">
        <v>43368</v>
      </c>
      <c r="B212" s="15">
        <f>+VLOOKUP(A212,'new analisis'!$A$20:$B$37,2,TRUE)</f>
        <v>0.19249999999999995</v>
      </c>
    </row>
    <row r="213" spans="1:2" x14ac:dyDescent="0.2">
      <c r="A213" s="10">
        <v>43369</v>
      </c>
      <c r="B213" s="15">
        <f>+VLOOKUP(A213,'new analisis'!$A$20:$B$37,2,TRUE)</f>
        <v>0.19249999999999995</v>
      </c>
    </row>
    <row r="214" spans="1:2" x14ac:dyDescent="0.2">
      <c r="A214" s="10">
        <v>43370</v>
      </c>
      <c r="B214" s="15">
        <f>+VLOOKUP(A214,'new analisis'!$A$20:$B$37,2,TRUE)</f>
        <v>0.19249999999999995</v>
      </c>
    </row>
    <row r="215" spans="1:2" x14ac:dyDescent="0.2">
      <c r="A215" s="10">
        <v>43371</v>
      </c>
      <c r="B215" s="15">
        <f>+VLOOKUP(A215,'new analisis'!$A$20:$B$37,2,TRUE)</f>
        <v>0.19249999999999995</v>
      </c>
    </row>
    <row r="216" spans="1:2" x14ac:dyDescent="0.2">
      <c r="A216" s="10">
        <v>43372</v>
      </c>
      <c r="B216" s="15">
        <f>+VLOOKUP(A216,'new analisis'!$A$20:$B$37,2,TRUE)</f>
        <v>0.19249999999999995</v>
      </c>
    </row>
    <row r="217" spans="1:2" x14ac:dyDescent="0.2">
      <c r="A217" s="10">
        <v>43373</v>
      </c>
      <c r="B217" s="15">
        <f>+VLOOKUP(A217,'new analisis'!$A$20:$B$37,2,TRUE)</f>
        <v>0.19249999999999995</v>
      </c>
    </row>
    <row r="218" spans="1:2" x14ac:dyDescent="0.2">
      <c r="A218" s="10">
        <v>43374</v>
      </c>
      <c r="B218" s="15">
        <f>+VLOOKUP(A218,'new analisis'!$A$20:$B$37,2,TRUE)</f>
        <v>0.19249999999999995</v>
      </c>
    </row>
    <row r="219" spans="1:2" x14ac:dyDescent="0.2">
      <c r="A219" s="10">
        <v>43375</v>
      </c>
      <c r="B219" s="15">
        <f>+VLOOKUP(A219,'new analisis'!$A$20:$B$37,2,TRUE)</f>
        <v>0.19249999999999995</v>
      </c>
    </row>
    <row r="220" spans="1:2" x14ac:dyDescent="0.2">
      <c r="A220" s="10">
        <v>43376</v>
      </c>
      <c r="B220" s="15">
        <f>+VLOOKUP(A220,'new analisis'!$A$20:$B$37,2,TRUE)</f>
        <v>0.19249999999999995</v>
      </c>
    </row>
    <row r="221" spans="1:2" x14ac:dyDescent="0.2">
      <c r="A221" s="10">
        <v>43377</v>
      </c>
      <c r="B221" s="15">
        <f>+VLOOKUP(A221,'new analisis'!$A$20:$B$37,2,TRUE)</f>
        <v>0.19249999999999995</v>
      </c>
    </row>
    <row r="222" spans="1:2" x14ac:dyDescent="0.2">
      <c r="A222" s="10">
        <v>43378</v>
      </c>
      <c r="B222" s="15">
        <f>+VLOOKUP(A222,'new analisis'!$A$20:$B$37,2,TRUE)</f>
        <v>0.19249999999999995</v>
      </c>
    </row>
    <row r="223" spans="1:2" x14ac:dyDescent="0.2">
      <c r="A223" s="10">
        <v>43379</v>
      </c>
      <c r="B223" s="15">
        <f>+VLOOKUP(A223,'new analisis'!$A$20:$B$37,2,TRUE)</f>
        <v>0.19249999999999995</v>
      </c>
    </row>
    <row r="224" spans="1:2" x14ac:dyDescent="0.2">
      <c r="A224" s="10">
        <v>43380</v>
      </c>
      <c r="B224" s="15">
        <f>+VLOOKUP(A224,'new analisis'!$A$20:$B$37,2,TRUE)</f>
        <v>0.19249999999999995</v>
      </c>
    </row>
    <row r="225" spans="1:2" x14ac:dyDescent="0.2">
      <c r="A225" s="10">
        <v>43381</v>
      </c>
      <c r="B225" s="15">
        <f>+VLOOKUP(A225,'new analisis'!$A$20:$B$37,2,TRUE)</f>
        <v>0.19249999999999995</v>
      </c>
    </row>
    <row r="226" spans="1:2" x14ac:dyDescent="0.2">
      <c r="A226" s="10">
        <v>43382</v>
      </c>
      <c r="B226" s="15">
        <f>+VLOOKUP(A226,'new analisis'!$A$20:$B$37,2,TRUE)</f>
        <v>0.19249999999999995</v>
      </c>
    </row>
    <row r="227" spans="1:2" x14ac:dyDescent="0.2">
      <c r="A227" s="10">
        <v>43383</v>
      </c>
      <c r="B227" s="15">
        <f>+VLOOKUP(A227,'new analisis'!$A$20:$B$37,2,TRUE)</f>
        <v>0.19249999999999995</v>
      </c>
    </row>
    <row r="228" spans="1:2" x14ac:dyDescent="0.2">
      <c r="A228" s="10">
        <v>43384</v>
      </c>
      <c r="B228" s="15">
        <f>+VLOOKUP(A228,'new analisis'!$A$20:$B$37,2,TRUE)</f>
        <v>0.19249999999999995</v>
      </c>
    </row>
    <row r="229" spans="1:2" x14ac:dyDescent="0.2">
      <c r="A229" s="10">
        <v>43385</v>
      </c>
      <c r="B229" s="15">
        <f>+VLOOKUP(A229,'new analisis'!$A$20:$B$37,2,TRUE)</f>
        <v>0.19249999999999995</v>
      </c>
    </row>
    <row r="230" spans="1:2" x14ac:dyDescent="0.2">
      <c r="A230" s="10">
        <v>43386</v>
      </c>
      <c r="B230" s="15">
        <f>+VLOOKUP(A230,'new analisis'!$A$20:$B$37,2,TRUE)</f>
        <v>0.19249999999999995</v>
      </c>
    </row>
    <row r="231" spans="1:2" x14ac:dyDescent="0.2">
      <c r="A231" s="10">
        <v>43387</v>
      </c>
      <c r="B231" s="15">
        <f>+VLOOKUP(A231,'new analisis'!$A$20:$B$37,2,TRUE)</f>
        <v>0.19249999999999995</v>
      </c>
    </row>
    <row r="232" spans="1:2" x14ac:dyDescent="0.2">
      <c r="A232" s="10">
        <v>43388</v>
      </c>
      <c r="B232" s="15">
        <f>+VLOOKUP(A232,'new analisis'!$A$20:$B$37,2,TRUE)</f>
        <v>0.19249999999999995</v>
      </c>
    </row>
    <row r="233" spans="1:2" x14ac:dyDescent="0.2">
      <c r="A233" s="10">
        <v>43389</v>
      </c>
      <c r="B233" s="15">
        <f>+VLOOKUP(A233,'new analisis'!$A$20:$B$37,2,TRUE)</f>
        <v>0.19249999999999995</v>
      </c>
    </row>
    <row r="234" spans="1:2" x14ac:dyDescent="0.2">
      <c r="A234" s="10">
        <v>43390</v>
      </c>
      <c r="B234" s="15">
        <f>+VLOOKUP(A234,'new analisis'!$A$20:$B$37,2,TRUE)</f>
        <v>0.19249999999999995</v>
      </c>
    </row>
    <row r="235" spans="1:2" x14ac:dyDescent="0.2">
      <c r="A235" s="10">
        <v>43391</v>
      </c>
      <c r="B235" s="15">
        <f>+VLOOKUP(A235,'new analisis'!$A$20:$B$37,2,TRUE)</f>
        <v>0.19249999999999995</v>
      </c>
    </row>
    <row r="236" spans="1:2" x14ac:dyDescent="0.2">
      <c r="A236" s="10">
        <v>43392</v>
      </c>
      <c r="B236" s="15">
        <f>+VLOOKUP(A236,'new analisis'!$A$20:$B$37,2,TRUE)</f>
        <v>0.19249999999999995</v>
      </c>
    </row>
    <row r="237" spans="1:2" x14ac:dyDescent="0.2">
      <c r="A237" s="10">
        <v>43393</v>
      </c>
      <c r="B237" s="15">
        <f>+VLOOKUP(A237,'new analisis'!$A$20:$B$37,2,TRUE)</f>
        <v>0.19249999999999995</v>
      </c>
    </row>
    <row r="238" spans="1:2" x14ac:dyDescent="0.2">
      <c r="A238" s="10">
        <v>43394</v>
      </c>
      <c r="B238" s="15">
        <f>+VLOOKUP(A238,'new analisis'!$A$20:$B$37,2,TRUE)</f>
        <v>0.19249999999999995</v>
      </c>
    </row>
    <row r="239" spans="1:2" x14ac:dyDescent="0.2">
      <c r="A239" s="10">
        <v>43395</v>
      </c>
      <c r="B239" s="15">
        <f>+VLOOKUP(A239,'new analisis'!$A$20:$B$37,2,TRUE)</f>
        <v>0.19249999999999995</v>
      </c>
    </row>
    <row r="240" spans="1:2" x14ac:dyDescent="0.2">
      <c r="A240" s="10">
        <v>43396</v>
      </c>
      <c r="B240" s="15">
        <f>+VLOOKUP(A240,'new analisis'!$A$20:$B$37,2,TRUE)</f>
        <v>0.19249999999999995</v>
      </c>
    </row>
    <row r="241" spans="1:2" x14ac:dyDescent="0.2">
      <c r="A241" s="10">
        <v>43397</v>
      </c>
      <c r="B241" s="15">
        <f>+VLOOKUP(A241,'new analisis'!$A$20:$B$37,2,TRUE)</f>
        <v>0.19249999999999995</v>
      </c>
    </row>
    <row r="242" spans="1:2" x14ac:dyDescent="0.2">
      <c r="A242" s="10">
        <v>43398</v>
      </c>
      <c r="B242" s="15">
        <f>+VLOOKUP(A242,'new analisis'!$A$20:$B$37,2,TRUE)</f>
        <v>0.19249999999999995</v>
      </c>
    </row>
    <row r="243" spans="1:2" x14ac:dyDescent="0.2">
      <c r="A243" s="10">
        <v>43399</v>
      </c>
      <c r="B243" s="15">
        <f>+VLOOKUP(A243,'new analisis'!$A$20:$B$37,2,TRUE)</f>
        <v>0.19249999999999995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9E26EE-6F76-4A65-BDB9-81BE1A7F118F}">
  <sheetPr codeName="Hoja4"/>
  <dimension ref="A1"/>
  <sheetViews>
    <sheetView workbookViewId="0">
      <selection sqref="A1:C34"/>
    </sheetView>
  </sheetViews>
  <sheetFormatPr baseColWidth="10" defaultRowHeight="14.25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new analisis</vt:lpstr>
      <vt:lpstr>analisis</vt:lpstr>
      <vt:lpstr>Hoja2</vt:lpstr>
      <vt:lpstr>Hoja3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Fernando Suarez B.</dc:creator>
  <cp:lastModifiedBy>Diego Posch Ponce</cp:lastModifiedBy>
  <dcterms:created xsi:type="dcterms:W3CDTF">2018-01-24T15:21:08Z</dcterms:created>
  <dcterms:modified xsi:type="dcterms:W3CDTF">2018-02-27T20:46:17Z</dcterms:modified>
</cp:coreProperties>
</file>
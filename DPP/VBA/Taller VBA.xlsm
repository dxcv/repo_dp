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Rates &amp; FX\DPP\VBA\"/>
    </mc:Choice>
  </mc:AlternateContent>
  <xr:revisionPtr revIDLastSave="0" documentId="8_{4DBA91CF-83CE-4726-A31E-69DF0111473C}" xr6:coauthVersionLast="40" xr6:coauthVersionMax="40" xr10:uidLastSave="{00000000-0000-0000-0000-000000000000}"/>
  <bookViews>
    <workbookView xWindow="0" yWindow="0" windowWidth="28800" windowHeight="12165" activeTab="4" xr2:uid="{00000000-000D-0000-FFFF-FFFF00000000}"/>
  </bookViews>
  <sheets>
    <sheet name="interpola" sheetId="1" r:id="rId1"/>
    <sheet name="Duracion" sheetId="2" r:id="rId2"/>
    <sheet name="BCU" sheetId="3" r:id="rId3"/>
    <sheet name="TIR" sheetId="4" r:id="rId4"/>
    <sheet name="Datos" sheetId="5" r:id="rId5"/>
  </sheets>
  <functionGroups builtInGroupCount="19"/>
  <definedNames>
    <definedName name="PosicionDatos">Datos!$I$19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8" i="2" l="1"/>
  <c r="G19" i="2"/>
  <c r="G20" i="2"/>
  <c r="G21" i="2"/>
  <c r="G22" i="2"/>
  <c r="G23" i="2"/>
  <c r="G24" i="2"/>
  <c r="G25" i="2"/>
  <c r="G26" i="2"/>
  <c r="G27" i="2"/>
  <c r="P15" i="2"/>
  <c r="P16" i="2"/>
  <c r="P17" i="2"/>
  <c r="L12" i="3"/>
  <c r="L13" i="3"/>
  <c r="C31" i="2"/>
  <c r="D3" i="3"/>
  <c r="L21" i="2"/>
  <c r="C7" i="1"/>
  <c r="B28" i="5" a="1"/>
  <c r="B5" i="4"/>
  <c r="D28" i="5" l="1"/>
  <c r="B29" i="5"/>
  <c r="F29" i="5"/>
  <c r="D30" i="5"/>
  <c r="B31" i="5"/>
  <c r="F31" i="5"/>
  <c r="D32" i="5"/>
  <c r="B33" i="5"/>
  <c r="F33" i="5"/>
  <c r="D34" i="5"/>
  <c r="B35" i="5"/>
  <c r="F35" i="5"/>
  <c r="D36" i="5"/>
  <c r="B37" i="5"/>
  <c r="F37" i="5"/>
  <c r="D38" i="5"/>
  <c r="B39" i="5"/>
  <c r="F39" i="5"/>
  <c r="D40" i="5"/>
  <c r="B41" i="5"/>
  <c r="F41" i="5"/>
  <c r="D42" i="5"/>
  <c r="B43" i="5"/>
  <c r="F43" i="5"/>
  <c r="D44" i="5"/>
  <c r="B45" i="5"/>
  <c r="F45" i="5"/>
  <c r="D46" i="5"/>
  <c r="B47" i="5"/>
  <c r="F47" i="5"/>
  <c r="D48" i="5"/>
  <c r="B49" i="5"/>
  <c r="F49" i="5"/>
  <c r="D50" i="5"/>
  <c r="B51" i="5"/>
  <c r="F51" i="5"/>
  <c r="D52" i="5"/>
  <c r="B53" i="5"/>
  <c r="F53" i="5"/>
  <c r="D54" i="5"/>
  <c r="B55" i="5"/>
  <c r="F55" i="5"/>
  <c r="D56" i="5"/>
  <c r="B57" i="5"/>
  <c r="F57" i="5"/>
  <c r="C28" i="5"/>
  <c r="G28" i="5"/>
  <c r="E29" i="5"/>
  <c r="C30" i="5"/>
  <c r="G30" i="5"/>
  <c r="E31" i="5"/>
  <c r="C32" i="5"/>
  <c r="G32" i="5"/>
  <c r="E33" i="5"/>
  <c r="C34" i="5"/>
  <c r="G34" i="5"/>
  <c r="E35" i="5"/>
  <c r="C36" i="5"/>
  <c r="G36" i="5"/>
  <c r="E37" i="5"/>
  <c r="C38" i="5"/>
  <c r="G38" i="5"/>
  <c r="E39" i="5"/>
  <c r="C40" i="5"/>
  <c r="G40" i="5"/>
  <c r="E41" i="5"/>
  <c r="C42" i="5"/>
  <c r="G42" i="5"/>
  <c r="E43" i="5"/>
  <c r="C44" i="5"/>
  <c r="G44" i="5"/>
  <c r="E45" i="5"/>
  <c r="C46" i="5"/>
  <c r="G46" i="5"/>
  <c r="E47" i="5"/>
  <c r="C48" i="5"/>
  <c r="G48" i="5"/>
  <c r="E49" i="5"/>
  <c r="C50" i="5"/>
  <c r="G50" i="5"/>
  <c r="E51" i="5"/>
  <c r="C52" i="5"/>
  <c r="G52" i="5"/>
  <c r="E53" i="5"/>
  <c r="C54" i="5"/>
  <c r="G54" i="5"/>
  <c r="E55" i="5"/>
  <c r="C56" i="5"/>
  <c r="G56" i="5"/>
  <c r="E57" i="5"/>
  <c r="B28" i="5"/>
  <c r="F28" i="5"/>
  <c r="D29" i="5"/>
  <c r="B30" i="5"/>
  <c r="F30" i="5"/>
  <c r="D31" i="5"/>
  <c r="B32" i="5"/>
  <c r="F32" i="5"/>
  <c r="D33" i="5"/>
  <c r="B34" i="5"/>
  <c r="F34" i="5"/>
  <c r="D35" i="5"/>
  <c r="B36" i="5"/>
  <c r="F36" i="5"/>
  <c r="D37" i="5"/>
  <c r="B38" i="5"/>
  <c r="F38" i="5"/>
  <c r="D39" i="5"/>
  <c r="B40" i="5"/>
  <c r="F40" i="5"/>
  <c r="D41" i="5"/>
  <c r="B42" i="5"/>
  <c r="F42" i="5"/>
  <c r="D43" i="5"/>
  <c r="B44" i="5"/>
  <c r="F44" i="5"/>
  <c r="D45" i="5"/>
  <c r="B46" i="5"/>
  <c r="F46" i="5"/>
  <c r="D47" i="5"/>
  <c r="B48" i="5"/>
  <c r="F48" i="5"/>
  <c r="D49" i="5"/>
  <c r="B50" i="5"/>
  <c r="F50" i="5"/>
  <c r="D51" i="5"/>
  <c r="B52" i="5"/>
  <c r="F52" i="5"/>
  <c r="D53" i="5"/>
  <c r="B54" i="5"/>
  <c r="F54" i="5"/>
  <c r="D55" i="5"/>
  <c r="B56" i="5"/>
  <c r="F56" i="5"/>
  <c r="D57" i="5"/>
  <c r="G39" i="5"/>
  <c r="E40" i="5"/>
  <c r="C41" i="5"/>
  <c r="G41" i="5"/>
  <c r="E42" i="5"/>
  <c r="C43" i="5"/>
  <c r="G43" i="5"/>
  <c r="E44" i="5"/>
  <c r="C45" i="5"/>
  <c r="G45" i="5"/>
  <c r="C47" i="5"/>
  <c r="G47" i="5"/>
  <c r="E48" i="5"/>
  <c r="G49" i="5"/>
  <c r="E50" i="5"/>
  <c r="G51" i="5"/>
  <c r="E52" i="5"/>
  <c r="G53" i="5"/>
  <c r="E54" i="5"/>
  <c r="G55" i="5"/>
  <c r="E56" i="5"/>
  <c r="C57" i="5"/>
  <c r="E28" i="5"/>
  <c r="C29" i="5"/>
  <c r="G29" i="5"/>
  <c r="E30" i="5"/>
  <c r="C31" i="5"/>
  <c r="G31" i="5"/>
  <c r="E32" i="5"/>
  <c r="C33" i="5"/>
  <c r="G33" i="5"/>
  <c r="E34" i="5"/>
  <c r="C35" i="5"/>
  <c r="G35" i="5"/>
  <c r="E36" i="5"/>
  <c r="C37" i="5"/>
  <c r="G37" i="5"/>
  <c r="E38" i="5"/>
  <c r="C39" i="5"/>
  <c r="E46" i="5"/>
  <c r="C49" i="5"/>
  <c r="C51" i="5"/>
  <c r="C53" i="5"/>
  <c r="C55" i="5"/>
  <c r="G57" i="5"/>
  <c r="B6" i="4"/>
</calcChain>
</file>

<file path=xl/sharedStrings.xml><?xml version="1.0" encoding="utf-8"?>
<sst xmlns="http://schemas.openxmlformats.org/spreadsheetml/2006/main" count="65" uniqueCount="25">
  <si>
    <t>x</t>
  </si>
  <si>
    <t>x1</t>
  </si>
  <si>
    <t>x2</t>
  </si>
  <si>
    <t>y1</t>
  </si>
  <si>
    <t>y2</t>
  </si>
  <si>
    <t>y</t>
  </si>
  <si>
    <t>TIR</t>
  </si>
  <si>
    <t>N°</t>
  </si>
  <si>
    <t>Fecha</t>
  </si>
  <si>
    <t>Interés</t>
  </si>
  <si>
    <t>Amort</t>
  </si>
  <si>
    <t>Saldo</t>
  </si>
  <si>
    <t>Flujo</t>
  </si>
  <si>
    <t>Tabla de Desarrollo</t>
  </si>
  <si>
    <t>Plazo</t>
  </si>
  <si>
    <t>num_cup</t>
  </si>
  <si>
    <t>Fecha Actual</t>
  </si>
  <si>
    <t>Tir</t>
  </si>
  <si>
    <t xml:space="preserve">Tasa Emisión </t>
  </si>
  <si>
    <t>VP (t=0)</t>
  </si>
  <si>
    <t>TIR_teo</t>
  </si>
  <si>
    <t>BSTDF60909</t>
  </si>
  <si>
    <t>DurMod</t>
  </si>
  <si>
    <t>BCU0300414</t>
  </si>
  <si>
    <t>BCENC-E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</si>
</sst>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;@"/>
    <numFmt numFmtId="165" formatCode="#,##0.000"/>
    <numFmt numFmtId="166" formatCode="0.0000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63"/>
      <name val="Arial"/>
      <family val="2"/>
    </font>
    <font>
      <b/>
      <sz val="8"/>
      <color indexed="63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165" fontId="2" fillId="2" borderId="5" xfId="0" applyNumberFormat="1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165" fontId="2" fillId="2" borderId="8" xfId="0" applyNumberFormat="1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2" fontId="0" fillId="0" borderId="0" xfId="0" applyNumberFormat="1"/>
    <xf numFmtId="0" fontId="0" fillId="2" borderId="3" xfId="0" applyFill="1" applyBorder="1"/>
    <xf numFmtId="0" fontId="0" fillId="2" borderId="8" xfId="0" applyFill="1" applyBorder="1"/>
    <xf numFmtId="9" fontId="4" fillId="0" borderId="0" xfId="1" applyFont="1"/>
    <xf numFmtId="14" fontId="2" fillId="2" borderId="0" xfId="0" applyNumberFormat="1" applyFont="1" applyFill="1" applyBorder="1" applyAlignment="1">
      <alignment horizontal="center" wrapText="1"/>
    </xf>
    <xf numFmtId="0" fontId="0" fillId="2" borderId="5" xfId="0" applyFill="1" applyBorder="1"/>
    <xf numFmtId="14" fontId="2" fillId="2" borderId="7" xfId="0" applyNumberFormat="1" applyFont="1" applyFill="1" applyBorder="1" applyAlignment="1">
      <alignment horizontal="center" wrapText="1"/>
    </xf>
    <xf numFmtId="10" fontId="4" fillId="0" borderId="0" xfId="1" applyNumberFormat="1" applyFont="1"/>
    <xf numFmtId="0" fontId="0" fillId="0" borderId="0" xfId="0" applyAlignment="1">
      <alignment horizontal="right" wrapText="1"/>
    </xf>
    <xf numFmtId="0" fontId="0" fillId="0" borderId="0" xfId="0" applyBorder="1" applyAlignment="1">
      <alignment horizontal="right" wrapText="1"/>
    </xf>
    <xf numFmtId="14" fontId="0" fillId="0" borderId="0" xfId="0" applyNumberFormat="1" applyBorder="1" applyAlignment="1">
      <alignment wrapText="1"/>
    </xf>
    <xf numFmtId="0" fontId="0" fillId="0" borderId="4" xfId="0" applyBorder="1" applyAlignment="1">
      <alignment horizontal="right" wrapText="1"/>
    </xf>
    <xf numFmtId="0" fontId="0" fillId="0" borderId="6" xfId="0" applyBorder="1" applyAlignment="1">
      <alignment horizontal="right" wrapText="1"/>
    </xf>
    <xf numFmtId="14" fontId="0" fillId="0" borderId="7" xfId="0" applyNumberFormat="1" applyBorder="1" applyAlignment="1">
      <alignment wrapText="1"/>
    </xf>
    <xf numFmtId="0" fontId="0" fillId="0" borderId="7" xfId="0" applyBorder="1" applyAlignment="1">
      <alignment horizontal="right" wrapText="1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10" fontId="0" fillId="0" borderId="0" xfId="1" applyNumberFormat="1" applyFont="1"/>
    <xf numFmtId="0" fontId="0" fillId="0" borderId="5" xfId="0" applyBorder="1" applyAlignment="1">
      <alignment horizontal="right" wrapText="1"/>
    </xf>
    <xf numFmtId="0" fontId="0" fillId="0" borderId="8" xfId="0" applyBorder="1" applyAlignment="1">
      <alignment horizontal="right" wrapText="1"/>
    </xf>
    <xf numFmtId="10" fontId="0" fillId="0" borderId="0" xfId="0" applyNumberFormat="1"/>
    <xf numFmtId="0" fontId="0" fillId="0" borderId="0" xfId="0" quotePrefix="1"/>
    <xf numFmtId="14" fontId="0" fillId="0" borderId="0" xfId="0" quotePrefix="1" applyNumberFormat="1"/>
    <xf numFmtId="2" fontId="0" fillId="0" borderId="0" xfId="0" quotePrefix="1" applyNumberFormat="1"/>
    <xf numFmtId="166" fontId="0" fillId="0" borderId="0" xfId="0" quotePrefix="1" applyNumberFormat="1"/>
    <xf numFmtId="0" fontId="2" fillId="3" borderId="4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workbookViewId="0">
      <selection activeCell="C7" sqref="C7"/>
    </sheetView>
  </sheetViews>
  <sheetFormatPr baseColWidth="10" defaultColWidth="9.140625" defaultRowHeight="15" x14ac:dyDescent="0.25"/>
  <sheetData>
    <row r="2" spans="2:3" x14ac:dyDescent="0.25">
      <c r="B2" t="s">
        <v>0</v>
      </c>
      <c r="C2">
        <v>2</v>
      </c>
    </row>
    <row r="3" spans="2:3" x14ac:dyDescent="0.25">
      <c r="B3" t="s">
        <v>1</v>
      </c>
      <c r="C3">
        <v>1</v>
      </c>
    </row>
    <row r="4" spans="2:3" x14ac:dyDescent="0.25">
      <c r="B4" t="s">
        <v>2</v>
      </c>
      <c r="C4">
        <v>3</v>
      </c>
    </row>
    <row r="5" spans="2:3" x14ac:dyDescent="0.25">
      <c r="B5" t="s">
        <v>3</v>
      </c>
      <c r="C5">
        <v>1</v>
      </c>
    </row>
    <row r="6" spans="2:3" x14ac:dyDescent="0.25">
      <c r="B6" t="s">
        <v>4</v>
      </c>
      <c r="C6">
        <v>3</v>
      </c>
    </row>
    <row r="7" spans="2:3" x14ac:dyDescent="0.25">
      <c r="B7" t="s">
        <v>5</v>
      </c>
      <c r="C7">
        <f>interpola(C2,C3,C4,C5,C6)</f>
        <v>2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P31"/>
  <sheetViews>
    <sheetView workbookViewId="0">
      <selection activeCell="N30" sqref="N30"/>
    </sheetView>
  </sheetViews>
  <sheetFormatPr baseColWidth="10" defaultColWidth="9.140625" defaultRowHeight="15" x14ac:dyDescent="0.25"/>
  <cols>
    <col min="1" max="1" width="9.140625" customWidth="1"/>
    <col min="2" max="2" width="10.42578125" bestFit="1" customWidth="1"/>
    <col min="3" max="10" width="9.140625" customWidth="1"/>
    <col min="11" max="11" width="10.42578125" bestFit="1" customWidth="1"/>
  </cols>
  <sheetData>
    <row r="2" spans="1:16" x14ac:dyDescent="0.25">
      <c r="A2" t="s">
        <v>6</v>
      </c>
      <c r="B2" s="30">
        <v>3.49E-2</v>
      </c>
      <c r="J2" t="s">
        <v>6</v>
      </c>
      <c r="K2" s="19">
        <v>3.1800000000000002E-2</v>
      </c>
    </row>
    <row r="3" spans="1:16" x14ac:dyDescent="0.25">
      <c r="A3" t="s">
        <v>8</v>
      </c>
      <c r="B3" s="1">
        <v>41497</v>
      </c>
      <c r="J3" t="s">
        <v>8</v>
      </c>
      <c r="K3" s="1">
        <v>41497</v>
      </c>
    </row>
    <row r="4" spans="1:16" ht="15.75" thickBot="1" x14ac:dyDescent="0.3">
      <c r="A4" t="s">
        <v>13</v>
      </c>
      <c r="D4" t="s">
        <v>24</v>
      </c>
      <c r="J4" t="s">
        <v>13</v>
      </c>
      <c r="M4" t="s">
        <v>21</v>
      </c>
    </row>
    <row r="5" spans="1:16" x14ac:dyDescent="0.25">
      <c r="A5" s="27" t="s">
        <v>7</v>
      </c>
      <c r="B5" s="28" t="s">
        <v>8</v>
      </c>
      <c r="C5" s="28" t="s">
        <v>9</v>
      </c>
      <c r="D5" s="28" t="s">
        <v>10</v>
      </c>
      <c r="E5" s="28" t="s">
        <v>11</v>
      </c>
      <c r="F5" s="28" t="s">
        <v>12</v>
      </c>
      <c r="G5" s="29" t="s">
        <v>14</v>
      </c>
      <c r="J5" s="2" t="s">
        <v>7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4" t="s">
        <v>14</v>
      </c>
    </row>
    <row r="6" spans="1:16" x14ac:dyDescent="0.25">
      <c r="A6" s="38"/>
      <c r="B6" s="39"/>
      <c r="C6" s="39"/>
      <c r="D6" s="39"/>
      <c r="E6" s="39"/>
      <c r="F6" s="39"/>
      <c r="G6" s="40"/>
      <c r="J6" s="41"/>
      <c r="K6" s="42"/>
      <c r="L6" s="42"/>
      <c r="M6" s="42"/>
      <c r="N6" s="42"/>
      <c r="O6" s="42"/>
      <c r="P6" s="43"/>
    </row>
    <row r="7" spans="1:16" x14ac:dyDescent="0.25">
      <c r="A7" s="23">
        <v>0</v>
      </c>
      <c r="B7" s="22">
        <v>39575</v>
      </c>
      <c r="C7" s="21">
        <v>0</v>
      </c>
      <c r="D7" s="21">
        <v>0</v>
      </c>
      <c r="E7" s="21">
        <v>100</v>
      </c>
      <c r="F7" s="21">
        <v>0</v>
      </c>
      <c r="G7" s="11"/>
      <c r="H7" s="21"/>
      <c r="J7" s="5">
        <v>0</v>
      </c>
      <c r="K7" s="16">
        <v>40057</v>
      </c>
      <c r="L7" s="6">
        <v>0</v>
      </c>
      <c r="M7" s="6">
        <v>0</v>
      </c>
      <c r="N7" s="6">
        <v>100</v>
      </c>
      <c r="O7" s="6">
        <v>0</v>
      </c>
      <c r="P7" s="17"/>
    </row>
    <row r="8" spans="1:16" x14ac:dyDescent="0.25">
      <c r="A8" s="23">
        <v>1</v>
      </c>
      <c r="B8" s="22">
        <v>39759</v>
      </c>
      <c r="C8" s="21">
        <v>1.7349000000000001</v>
      </c>
      <c r="D8" s="21">
        <v>0</v>
      </c>
      <c r="E8" s="21">
        <v>100</v>
      </c>
      <c r="F8" s="21">
        <v>1.7349000000000001</v>
      </c>
      <c r="G8" s="7"/>
      <c r="H8" s="21"/>
      <c r="J8" s="5">
        <v>1</v>
      </c>
      <c r="K8" s="16">
        <v>40238</v>
      </c>
      <c r="L8" s="6">
        <v>1.75</v>
      </c>
      <c r="M8" s="6">
        <v>0</v>
      </c>
      <c r="N8" s="6">
        <v>100</v>
      </c>
      <c r="O8" s="6">
        <v>1.75</v>
      </c>
      <c r="P8" s="17"/>
    </row>
    <row r="9" spans="1:16" x14ac:dyDescent="0.25">
      <c r="A9" s="23">
        <v>2</v>
      </c>
      <c r="B9" s="22">
        <v>39940</v>
      </c>
      <c r="C9" s="21">
        <v>1.7349000000000001</v>
      </c>
      <c r="D9" s="21">
        <v>0</v>
      </c>
      <c r="E9" s="21">
        <v>100</v>
      </c>
      <c r="F9" s="21">
        <v>1.7349000000000001</v>
      </c>
      <c r="G9" s="7"/>
      <c r="H9" s="21"/>
      <c r="J9" s="5">
        <v>2</v>
      </c>
      <c r="K9" s="16">
        <v>40422</v>
      </c>
      <c r="L9" s="6">
        <v>1.75</v>
      </c>
      <c r="M9" s="6">
        <v>0</v>
      </c>
      <c r="N9" s="6">
        <v>100</v>
      </c>
      <c r="O9" s="6">
        <v>1.75</v>
      </c>
      <c r="P9" s="7"/>
    </row>
    <row r="10" spans="1:16" x14ac:dyDescent="0.25">
      <c r="A10" s="23">
        <v>3</v>
      </c>
      <c r="B10" s="22">
        <v>40124</v>
      </c>
      <c r="C10" s="21">
        <v>1.7349000000000001</v>
      </c>
      <c r="D10" s="21">
        <v>0</v>
      </c>
      <c r="E10" s="21">
        <v>100</v>
      </c>
      <c r="F10" s="21">
        <v>1.7349000000000001</v>
      </c>
      <c r="G10" s="7"/>
      <c r="H10" s="21"/>
      <c r="J10" s="5">
        <v>3</v>
      </c>
      <c r="K10" s="16">
        <v>40603</v>
      </c>
      <c r="L10" s="6">
        <v>1.75</v>
      </c>
      <c r="M10" s="6">
        <v>0</v>
      </c>
      <c r="N10" s="6">
        <v>100</v>
      </c>
      <c r="O10" s="6">
        <v>1.75</v>
      </c>
      <c r="P10" s="7"/>
    </row>
    <row r="11" spans="1:16" x14ac:dyDescent="0.25">
      <c r="A11" s="23">
        <v>4</v>
      </c>
      <c r="B11" s="22">
        <v>40305</v>
      </c>
      <c r="C11" s="21">
        <v>1.7349000000000001</v>
      </c>
      <c r="D11" s="21">
        <v>0</v>
      </c>
      <c r="E11" s="21">
        <v>100</v>
      </c>
      <c r="F11" s="21">
        <v>1.7349000000000001</v>
      </c>
      <c r="G11" s="7"/>
      <c r="H11" s="21"/>
      <c r="J11" s="5">
        <v>4</v>
      </c>
      <c r="K11" s="16">
        <v>40787</v>
      </c>
      <c r="L11" s="6">
        <v>1.75</v>
      </c>
      <c r="M11" s="6">
        <v>0</v>
      </c>
      <c r="N11" s="6">
        <v>100</v>
      </c>
      <c r="O11" s="6">
        <v>1.75</v>
      </c>
      <c r="P11" s="7"/>
    </row>
    <row r="12" spans="1:16" x14ac:dyDescent="0.25">
      <c r="A12" s="23">
        <v>5</v>
      </c>
      <c r="B12" s="22">
        <v>40489</v>
      </c>
      <c r="C12" s="21">
        <v>1.7349000000000001</v>
      </c>
      <c r="D12" s="21">
        <v>0</v>
      </c>
      <c r="E12" s="21">
        <v>100</v>
      </c>
      <c r="F12" s="21">
        <v>1.7349000000000001</v>
      </c>
      <c r="G12" s="7"/>
      <c r="H12" s="21"/>
      <c r="J12" s="5">
        <v>5</v>
      </c>
      <c r="K12" s="16">
        <v>40969</v>
      </c>
      <c r="L12" s="6">
        <v>1.75</v>
      </c>
      <c r="M12" s="6">
        <v>0</v>
      </c>
      <c r="N12" s="6">
        <v>100</v>
      </c>
      <c r="O12" s="6">
        <v>1.75</v>
      </c>
      <c r="P12" s="7"/>
    </row>
    <row r="13" spans="1:16" x14ac:dyDescent="0.25">
      <c r="A13" s="23">
        <v>6</v>
      </c>
      <c r="B13" s="22">
        <v>40670</v>
      </c>
      <c r="C13" s="21">
        <v>1.7349000000000001</v>
      </c>
      <c r="D13" s="21">
        <v>0</v>
      </c>
      <c r="E13" s="21">
        <v>100</v>
      </c>
      <c r="F13" s="21">
        <v>1.7349000000000001</v>
      </c>
      <c r="G13" s="7"/>
      <c r="H13" s="21"/>
      <c r="J13" s="5">
        <v>6</v>
      </c>
      <c r="K13" s="16">
        <v>41153</v>
      </c>
      <c r="L13" s="6">
        <v>1.75</v>
      </c>
      <c r="M13" s="6">
        <v>0</v>
      </c>
      <c r="N13" s="6">
        <v>100</v>
      </c>
      <c r="O13" s="6">
        <v>1.75</v>
      </c>
      <c r="P13" s="7"/>
    </row>
    <row r="14" spans="1:16" x14ac:dyDescent="0.25">
      <c r="A14" s="23">
        <v>7</v>
      </c>
      <c r="B14" s="22">
        <v>40854</v>
      </c>
      <c r="C14" s="21">
        <v>1.7349000000000001</v>
      </c>
      <c r="D14" s="21">
        <v>0</v>
      </c>
      <c r="E14" s="21">
        <v>100</v>
      </c>
      <c r="F14" s="21">
        <v>1.7349000000000001</v>
      </c>
      <c r="G14" s="7"/>
      <c r="H14" s="21"/>
      <c r="J14" s="5">
        <v>7</v>
      </c>
      <c r="K14" s="16">
        <v>41334</v>
      </c>
      <c r="L14" s="6">
        <v>1.75</v>
      </c>
      <c r="M14" s="6">
        <v>0</v>
      </c>
      <c r="N14" s="6">
        <v>100</v>
      </c>
      <c r="O14" s="6">
        <v>1.75</v>
      </c>
      <c r="P14" s="7"/>
    </row>
    <row r="15" spans="1:16" x14ac:dyDescent="0.25">
      <c r="A15" s="23">
        <v>8</v>
      </c>
      <c r="B15" s="22">
        <v>41036</v>
      </c>
      <c r="C15" s="21">
        <v>1.7349000000000001</v>
      </c>
      <c r="D15" s="21">
        <v>0</v>
      </c>
      <c r="E15" s="21">
        <v>100</v>
      </c>
      <c r="F15" s="21">
        <v>1.7349000000000001</v>
      </c>
      <c r="G15" s="7"/>
      <c r="H15" s="21"/>
      <c r="J15" s="5">
        <v>8</v>
      </c>
      <c r="K15" s="16">
        <v>41518</v>
      </c>
      <c r="L15" s="6">
        <v>1.75</v>
      </c>
      <c r="M15" s="6">
        <v>0</v>
      </c>
      <c r="N15" s="6">
        <v>100</v>
      </c>
      <c r="O15" s="6">
        <v>1.75</v>
      </c>
      <c r="P15" s="7">
        <f t="shared" ref="P15:P17" si="0">(K15-$K$3)/365</f>
        <v>5.7534246575342465E-2</v>
      </c>
    </row>
    <row r="16" spans="1:16" x14ac:dyDescent="0.25">
      <c r="A16" s="23">
        <v>9</v>
      </c>
      <c r="B16" s="22">
        <v>41220</v>
      </c>
      <c r="C16" s="21">
        <v>1.7349000000000001</v>
      </c>
      <c r="D16" s="21">
        <v>0</v>
      </c>
      <c r="E16" s="21">
        <v>100</v>
      </c>
      <c r="F16" s="21">
        <v>1.7349000000000001</v>
      </c>
      <c r="G16" s="7"/>
      <c r="H16" s="21"/>
      <c r="J16" s="5">
        <v>9</v>
      </c>
      <c r="K16" s="16">
        <v>41699</v>
      </c>
      <c r="L16" s="6">
        <v>1.75</v>
      </c>
      <c r="M16" s="6">
        <v>0</v>
      </c>
      <c r="N16" s="6">
        <v>100</v>
      </c>
      <c r="O16" s="6">
        <v>1.75</v>
      </c>
      <c r="P16" s="7">
        <f t="shared" si="0"/>
        <v>0.55342465753424652</v>
      </c>
    </row>
    <row r="17" spans="1:16" ht="15.75" thickBot="1" x14ac:dyDescent="0.3">
      <c r="A17" s="23">
        <v>10</v>
      </c>
      <c r="B17" s="22">
        <v>41401</v>
      </c>
      <c r="C17" s="21">
        <v>1.7349000000000001</v>
      </c>
      <c r="D17" s="21">
        <v>0</v>
      </c>
      <c r="E17" s="21">
        <v>100</v>
      </c>
      <c r="F17" s="21">
        <v>1.7349000000000001</v>
      </c>
      <c r="G17" s="7"/>
      <c r="H17" s="21"/>
      <c r="J17" s="8">
        <v>10</v>
      </c>
      <c r="K17" s="18">
        <v>41883</v>
      </c>
      <c r="L17" s="9">
        <v>1.75</v>
      </c>
      <c r="M17" s="9">
        <v>100</v>
      </c>
      <c r="N17" s="9">
        <v>0</v>
      </c>
      <c r="O17" s="9">
        <v>101.75</v>
      </c>
      <c r="P17" s="10">
        <f t="shared" si="0"/>
        <v>1.0575342465753426</v>
      </c>
    </row>
    <row r="18" spans="1:16" x14ac:dyDescent="0.25">
      <c r="A18" s="23">
        <v>11</v>
      </c>
      <c r="B18" s="22">
        <v>41585</v>
      </c>
      <c r="C18" s="21">
        <v>1.7349000000000001</v>
      </c>
      <c r="D18" s="21">
        <v>0</v>
      </c>
      <c r="E18" s="21">
        <v>100</v>
      </c>
      <c r="F18" s="21">
        <v>1.7349000000000001</v>
      </c>
      <c r="G18" s="31">
        <f t="shared" ref="G18:G27" si="1">(B18-$B$3)/365</f>
        <v>0.24109589041095891</v>
      </c>
      <c r="H18" s="21"/>
    </row>
    <row r="19" spans="1:16" x14ac:dyDescent="0.25">
      <c r="A19" s="23">
        <v>12</v>
      </c>
      <c r="B19" s="22">
        <v>41766</v>
      </c>
      <c r="C19" s="21">
        <v>1.7349000000000001</v>
      </c>
      <c r="D19" s="21">
        <v>0</v>
      </c>
      <c r="E19" s="21">
        <v>100</v>
      </c>
      <c r="F19" s="21">
        <v>1.7349000000000001</v>
      </c>
      <c r="G19" s="31">
        <f t="shared" si="1"/>
        <v>0.73698630136986298</v>
      </c>
      <c r="H19" s="21"/>
    </row>
    <row r="20" spans="1:16" x14ac:dyDescent="0.25">
      <c r="A20" s="23">
        <v>13</v>
      </c>
      <c r="B20" s="22">
        <v>41950</v>
      </c>
      <c r="C20" s="21">
        <v>1.7349000000000001</v>
      </c>
      <c r="D20" s="21">
        <v>0</v>
      </c>
      <c r="E20" s="21">
        <v>100</v>
      </c>
      <c r="F20" s="21">
        <v>1.7349000000000001</v>
      </c>
      <c r="G20" s="31">
        <f t="shared" si="1"/>
        <v>1.2410958904109588</v>
      </c>
      <c r="H20" s="21"/>
      <c r="K20" t="s">
        <v>15</v>
      </c>
      <c r="L20">
        <v>3</v>
      </c>
    </row>
    <row r="21" spans="1:16" x14ac:dyDescent="0.25">
      <c r="A21" s="23">
        <v>14</v>
      </c>
      <c r="B21" s="22">
        <v>42131</v>
      </c>
      <c r="C21" s="21">
        <v>1.7349000000000001</v>
      </c>
      <c r="D21" s="21">
        <v>0</v>
      </c>
      <c r="E21" s="21">
        <v>100</v>
      </c>
      <c r="F21" s="21">
        <v>1.7349000000000001</v>
      </c>
      <c r="G21" s="31">
        <f t="shared" si="1"/>
        <v>1.736986301369863</v>
      </c>
      <c r="H21" s="21"/>
      <c r="K21" t="s">
        <v>22</v>
      </c>
      <c r="L21" s="12">
        <f>DurMod(L20,O15:P17,K2)</f>
        <v>1.0000810038866634</v>
      </c>
    </row>
    <row r="22" spans="1:16" x14ac:dyDescent="0.25">
      <c r="A22" s="23">
        <v>15</v>
      </c>
      <c r="B22" s="22">
        <v>42315</v>
      </c>
      <c r="C22" s="21">
        <v>1.7349000000000001</v>
      </c>
      <c r="D22" s="21">
        <v>0</v>
      </c>
      <c r="E22" s="21">
        <v>100</v>
      </c>
      <c r="F22" s="21">
        <v>1.7349000000000001</v>
      </c>
      <c r="G22" s="31">
        <f t="shared" si="1"/>
        <v>2.2410958904109588</v>
      </c>
      <c r="H22" s="21"/>
    </row>
    <row r="23" spans="1:16" x14ac:dyDescent="0.25">
      <c r="A23" s="23">
        <v>16</v>
      </c>
      <c r="B23" s="22">
        <v>42497</v>
      </c>
      <c r="C23" s="21">
        <v>1.7349000000000001</v>
      </c>
      <c r="D23" s="21">
        <v>0</v>
      </c>
      <c r="E23" s="21">
        <v>100</v>
      </c>
      <c r="F23" s="21">
        <v>1.7349000000000001</v>
      </c>
      <c r="G23" s="31">
        <f t="shared" si="1"/>
        <v>2.7397260273972601</v>
      </c>
      <c r="H23" s="21"/>
    </row>
    <row r="24" spans="1:16" x14ac:dyDescent="0.25">
      <c r="A24" s="23">
        <v>17</v>
      </c>
      <c r="B24" s="22">
        <v>42681</v>
      </c>
      <c r="C24" s="21">
        <v>1.7349000000000001</v>
      </c>
      <c r="D24" s="21">
        <v>0</v>
      </c>
      <c r="E24" s="21">
        <v>100</v>
      </c>
      <c r="F24" s="21">
        <v>1.7349000000000001</v>
      </c>
      <c r="G24" s="31">
        <f t="shared" si="1"/>
        <v>3.2438356164383562</v>
      </c>
      <c r="H24" s="21"/>
    </row>
    <row r="25" spans="1:16" x14ac:dyDescent="0.25">
      <c r="A25" s="23">
        <v>18</v>
      </c>
      <c r="B25" s="22">
        <v>42862</v>
      </c>
      <c r="C25" s="21">
        <v>1.7349000000000001</v>
      </c>
      <c r="D25" s="21">
        <v>0</v>
      </c>
      <c r="E25" s="21">
        <v>100</v>
      </c>
      <c r="F25" s="21">
        <v>1.7349000000000001</v>
      </c>
      <c r="G25" s="31">
        <f t="shared" si="1"/>
        <v>3.7397260273972601</v>
      </c>
      <c r="H25" s="21"/>
    </row>
    <row r="26" spans="1:16" x14ac:dyDescent="0.25">
      <c r="A26" s="23">
        <v>19</v>
      </c>
      <c r="B26" s="22">
        <v>43046</v>
      </c>
      <c r="C26" s="21">
        <v>1.7349000000000001</v>
      </c>
      <c r="D26" s="21">
        <v>0</v>
      </c>
      <c r="E26" s="21">
        <v>100</v>
      </c>
      <c r="F26" s="21">
        <v>1.7349000000000001</v>
      </c>
      <c r="G26" s="31">
        <f t="shared" si="1"/>
        <v>4.2438356164383562</v>
      </c>
      <c r="H26" s="21"/>
    </row>
    <row r="27" spans="1:16" ht="15.75" thickBot="1" x14ac:dyDescent="0.3">
      <c r="A27" s="24">
        <v>20</v>
      </c>
      <c r="B27" s="25">
        <v>43227</v>
      </c>
      <c r="C27" s="26">
        <v>1.7349000000000001</v>
      </c>
      <c r="D27" s="26">
        <v>100</v>
      </c>
      <c r="E27" s="26">
        <v>0</v>
      </c>
      <c r="F27" s="26">
        <v>101.7349</v>
      </c>
      <c r="G27" s="32">
        <f t="shared" si="1"/>
        <v>4.7397260273972606</v>
      </c>
      <c r="H27" s="21"/>
    </row>
    <row r="30" spans="1:16" x14ac:dyDescent="0.25">
      <c r="B30" t="s">
        <v>15</v>
      </c>
      <c r="C30">
        <v>10</v>
      </c>
    </row>
    <row r="31" spans="1:16" x14ac:dyDescent="0.25">
      <c r="B31" t="s">
        <v>22</v>
      </c>
      <c r="C31" s="12">
        <f>DurMod(C30,F18:G27,B2)</f>
        <v>4.2256936253370032</v>
      </c>
    </row>
  </sheetData>
  <mergeCells count="2">
    <mergeCell ref="A6:G6"/>
    <mergeCell ref="J6:P6"/>
  </mergeCells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"/>
  <sheetViews>
    <sheetView workbookViewId="0">
      <selection activeCell="D3" sqref="D3"/>
    </sheetView>
  </sheetViews>
  <sheetFormatPr baseColWidth="10" defaultColWidth="9.140625" defaultRowHeight="15" x14ac:dyDescent="0.25"/>
  <cols>
    <col min="1" max="1" width="11.5703125" bestFit="1" customWidth="1"/>
    <col min="2" max="2" width="9.140625" customWidth="1"/>
    <col min="3" max="3" width="12.140625" bestFit="1" customWidth="1"/>
    <col min="4" max="4" width="10.42578125" bestFit="1" customWidth="1"/>
    <col min="7" max="7" width="10.7109375" bestFit="1" customWidth="1"/>
  </cols>
  <sheetData>
    <row r="1" spans="1:15" x14ac:dyDescent="0.25">
      <c r="A1" t="s">
        <v>23</v>
      </c>
      <c r="C1" s="1" t="s">
        <v>16</v>
      </c>
      <c r="D1" s="1">
        <v>41497</v>
      </c>
      <c r="F1" s="2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13"/>
    </row>
    <row r="2" spans="1:15" x14ac:dyDescent="0.25">
      <c r="C2" t="s">
        <v>17</v>
      </c>
      <c r="D2" s="33">
        <v>2.24E-2</v>
      </c>
      <c r="F2" s="41"/>
      <c r="G2" s="42"/>
      <c r="H2" s="42"/>
      <c r="I2" s="42"/>
      <c r="J2" s="42"/>
      <c r="K2" s="42"/>
      <c r="L2" s="43"/>
    </row>
    <row r="3" spans="1:15" x14ac:dyDescent="0.25">
      <c r="C3" t="s">
        <v>22</v>
      </c>
      <c r="D3" s="12">
        <f>DurBCU(A1,D2,D1)</f>
        <v>0.61719003441026532</v>
      </c>
      <c r="F3" s="23">
        <v>0</v>
      </c>
      <c r="G3" s="22">
        <v>39904</v>
      </c>
      <c r="H3" s="21">
        <v>0</v>
      </c>
      <c r="I3" s="21">
        <v>0</v>
      </c>
      <c r="J3" s="21">
        <v>100</v>
      </c>
      <c r="K3" s="21">
        <v>0</v>
      </c>
      <c r="L3" s="17"/>
      <c r="O3" s="20"/>
    </row>
    <row r="4" spans="1:15" x14ac:dyDescent="0.25">
      <c r="F4" s="23">
        <v>1</v>
      </c>
      <c r="G4" s="22">
        <v>40087</v>
      </c>
      <c r="H4" s="21">
        <v>1.5</v>
      </c>
      <c r="I4" s="21">
        <v>0</v>
      </c>
      <c r="J4" s="21">
        <v>100</v>
      </c>
      <c r="K4" s="21">
        <v>1.5</v>
      </c>
      <c r="L4" s="17"/>
      <c r="O4" s="20"/>
    </row>
    <row r="5" spans="1:15" x14ac:dyDescent="0.25">
      <c r="F5" s="23">
        <v>2</v>
      </c>
      <c r="G5" s="22">
        <v>40269</v>
      </c>
      <c r="H5" s="21">
        <v>1.5</v>
      </c>
      <c r="I5" s="21">
        <v>0</v>
      </c>
      <c r="J5" s="21">
        <v>100</v>
      </c>
      <c r="K5" s="21">
        <v>1.5</v>
      </c>
      <c r="L5" s="17"/>
      <c r="O5" s="20"/>
    </row>
    <row r="6" spans="1:15" x14ac:dyDescent="0.25">
      <c r="F6" s="23">
        <v>3</v>
      </c>
      <c r="G6" s="22">
        <v>40452</v>
      </c>
      <c r="H6" s="21">
        <v>1.5</v>
      </c>
      <c r="I6" s="21">
        <v>0</v>
      </c>
      <c r="J6" s="21">
        <v>100</v>
      </c>
      <c r="K6" s="21">
        <v>1.5</v>
      </c>
      <c r="L6" s="17"/>
      <c r="O6" s="20"/>
    </row>
    <row r="7" spans="1:15" x14ac:dyDescent="0.25">
      <c r="F7" s="23">
        <v>4</v>
      </c>
      <c r="G7" s="22">
        <v>40634</v>
      </c>
      <c r="H7" s="21">
        <v>1.5</v>
      </c>
      <c r="I7" s="21">
        <v>0</v>
      </c>
      <c r="J7" s="21">
        <v>100</v>
      </c>
      <c r="K7" s="21">
        <v>1.5</v>
      </c>
      <c r="L7" s="17"/>
      <c r="O7" s="20"/>
    </row>
    <row r="8" spans="1:15" x14ac:dyDescent="0.25">
      <c r="F8" s="23">
        <v>5</v>
      </c>
      <c r="G8" s="22">
        <v>40817</v>
      </c>
      <c r="H8" s="21">
        <v>1.5</v>
      </c>
      <c r="I8" s="21">
        <v>0</v>
      </c>
      <c r="J8" s="21">
        <v>100</v>
      </c>
      <c r="K8" s="21">
        <v>1.5</v>
      </c>
      <c r="L8" s="17"/>
      <c r="O8" s="20"/>
    </row>
    <row r="9" spans="1:15" x14ac:dyDescent="0.25">
      <c r="F9" s="23">
        <v>6</v>
      </c>
      <c r="G9" s="22">
        <v>41000</v>
      </c>
      <c r="H9" s="21">
        <v>1.5</v>
      </c>
      <c r="I9" s="21">
        <v>0</v>
      </c>
      <c r="J9" s="21">
        <v>100</v>
      </c>
      <c r="K9" s="21">
        <v>1.5</v>
      </c>
      <c r="L9" s="17"/>
      <c r="O9" s="20"/>
    </row>
    <row r="10" spans="1:15" x14ac:dyDescent="0.25">
      <c r="F10" s="23">
        <v>7</v>
      </c>
      <c r="G10" s="22">
        <v>41183</v>
      </c>
      <c r="H10" s="21">
        <v>1.5</v>
      </c>
      <c r="I10" s="21">
        <v>0</v>
      </c>
      <c r="J10" s="21">
        <v>100</v>
      </c>
      <c r="K10" s="21">
        <v>1.5</v>
      </c>
      <c r="L10" s="17"/>
      <c r="O10" s="20"/>
    </row>
    <row r="11" spans="1:15" x14ac:dyDescent="0.25">
      <c r="F11" s="23">
        <v>8</v>
      </c>
      <c r="G11" s="22">
        <v>41365</v>
      </c>
      <c r="H11" s="21">
        <v>1.5</v>
      </c>
      <c r="I11" s="21">
        <v>0</v>
      </c>
      <c r="J11" s="21">
        <v>100</v>
      </c>
      <c r="K11" s="21">
        <v>1.5</v>
      </c>
      <c r="L11" s="17"/>
      <c r="O11" s="20"/>
    </row>
    <row r="12" spans="1:15" x14ac:dyDescent="0.25">
      <c r="F12" s="23">
        <v>9</v>
      </c>
      <c r="G12" s="22">
        <v>41548</v>
      </c>
      <c r="H12" s="21">
        <v>1.5</v>
      </c>
      <c r="I12" s="21">
        <v>0</v>
      </c>
      <c r="J12" s="21">
        <v>100</v>
      </c>
      <c r="K12" s="21">
        <v>1.5</v>
      </c>
      <c r="L12" s="17">
        <f>(G12-$D$1)/365</f>
        <v>0.13972602739726028</v>
      </c>
      <c r="O12" s="20"/>
    </row>
    <row r="13" spans="1:15" ht="15.75" thickBot="1" x14ac:dyDescent="0.3">
      <c r="F13" s="24">
        <v>10</v>
      </c>
      <c r="G13" s="25">
        <v>41730</v>
      </c>
      <c r="H13" s="26">
        <v>1.5</v>
      </c>
      <c r="I13" s="26">
        <v>100</v>
      </c>
      <c r="J13" s="26">
        <v>0</v>
      </c>
      <c r="K13" s="26">
        <v>101.5</v>
      </c>
      <c r="L13" s="14">
        <f>(G13-$D$1)/365</f>
        <v>0.63835616438356169</v>
      </c>
      <c r="O13" s="20"/>
    </row>
  </sheetData>
  <mergeCells count="1">
    <mergeCell ref="F2:L2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2:B6"/>
  <sheetViews>
    <sheetView workbookViewId="0">
      <selection activeCell="G20" sqref="G20:G21"/>
    </sheetView>
  </sheetViews>
  <sheetFormatPr baseColWidth="10" defaultColWidth="11.42578125" defaultRowHeight="15" x14ac:dyDescent="0.25"/>
  <cols>
    <col min="1" max="1" width="12.7109375" bestFit="1" customWidth="1"/>
  </cols>
  <sheetData>
    <row r="2" spans="1:2" x14ac:dyDescent="0.25">
      <c r="A2" t="s">
        <v>6</v>
      </c>
      <c r="B2" s="19">
        <v>0.08</v>
      </c>
    </row>
    <row r="3" spans="1:2" x14ac:dyDescent="0.25">
      <c r="A3" t="s">
        <v>18</v>
      </c>
      <c r="B3" s="19">
        <v>0.05</v>
      </c>
    </row>
    <row r="4" spans="1:2" x14ac:dyDescent="0.25">
      <c r="A4" t="s">
        <v>14</v>
      </c>
      <c r="B4">
        <v>10</v>
      </c>
    </row>
    <row r="5" spans="1:2" x14ac:dyDescent="0.25">
      <c r="A5" t="s">
        <v>19</v>
      </c>
      <c r="B5">
        <f>VP_Cupones(B2,B3,B4)</f>
        <v>80.52785516465616</v>
      </c>
    </row>
    <row r="6" spans="1:2" x14ac:dyDescent="0.25">
      <c r="A6" t="s">
        <v>20</v>
      </c>
      <c r="B6" s="15">
        <f>Busca_Tir(B5,B3,B4)</f>
        <v>7.9999985973202389E-2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O58"/>
  <sheetViews>
    <sheetView tabSelected="1" workbookViewId="0">
      <selection activeCell="M32" sqref="M32:M33"/>
    </sheetView>
  </sheetViews>
  <sheetFormatPr baseColWidth="10" defaultColWidth="9.140625" defaultRowHeight="15" x14ac:dyDescent="0.25"/>
  <cols>
    <col min="2" max="4" width="10.7109375" bestFit="1" customWidth="1"/>
  </cols>
  <sheetData>
    <row r="2" spans="1:15" ht="15.75" thickBot="1" x14ac:dyDescent="0.3">
      <c r="A2" t="s">
        <v>13</v>
      </c>
      <c r="D2" t="s">
        <v>24</v>
      </c>
      <c r="I2" t="s">
        <v>13</v>
      </c>
      <c r="L2" t="s">
        <v>21</v>
      </c>
    </row>
    <row r="3" spans="1:15" x14ac:dyDescent="0.25">
      <c r="A3" s="27" t="s">
        <v>7</v>
      </c>
      <c r="B3" s="28" t="s">
        <v>8</v>
      </c>
      <c r="C3" s="28" t="s">
        <v>9</v>
      </c>
      <c r="D3" s="28" t="s">
        <v>10</v>
      </c>
      <c r="E3" s="28" t="s">
        <v>11</v>
      </c>
      <c r="F3" s="28" t="s">
        <v>12</v>
      </c>
      <c r="G3" s="29" t="s">
        <v>14</v>
      </c>
      <c r="I3" s="2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4" t="s">
        <v>14</v>
      </c>
    </row>
    <row r="4" spans="1:15" x14ac:dyDescent="0.25">
      <c r="A4" s="38"/>
      <c r="B4" s="39"/>
      <c r="C4" s="39"/>
      <c r="D4" s="39"/>
      <c r="E4" s="39"/>
      <c r="F4" s="39"/>
      <c r="G4" s="40"/>
      <c r="I4" s="41"/>
      <c r="J4" s="42"/>
      <c r="K4" s="42"/>
      <c r="L4" s="42"/>
      <c r="M4" s="42"/>
      <c r="N4" s="42"/>
      <c r="O4" s="43"/>
    </row>
    <row r="5" spans="1:15" x14ac:dyDescent="0.25">
      <c r="A5" s="23">
        <v>0</v>
      </c>
      <c r="B5" s="22">
        <v>39575</v>
      </c>
      <c r="C5" s="21">
        <v>0</v>
      </c>
      <c r="D5" s="21">
        <v>0</v>
      </c>
      <c r="E5" s="21">
        <v>100</v>
      </c>
      <c r="F5" s="21">
        <v>0</v>
      </c>
      <c r="G5" s="11"/>
      <c r="I5" s="5">
        <v>0</v>
      </c>
      <c r="J5" s="16">
        <v>40057</v>
      </c>
      <c r="K5" s="6">
        <v>0</v>
      </c>
      <c r="L5" s="6">
        <v>0</v>
      </c>
      <c r="M5" s="6">
        <v>100</v>
      </c>
      <c r="N5" s="6">
        <v>0</v>
      </c>
      <c r="O5" s="17"/>
    </row>
    <row r="6" spans="1:15" x14ac:dyDescent="0.25">
      <c r="A6" s="23">
        <v>1</v>
      </c>
      <c r="B6" s="22">
        <v>39759</v>
      </c>
      <c r="C6" s="21">
        <v>1.7349000000000001</v>
      </c>
      <c r="D6" s="21">
        <v>0</v>
      </c>
      <c r="E6" s="21">
        <v>100</v>
      </c>
      <c r="F6" s="21">
        <v>1.7349000000000001</v>
      </c>
      <c r="G6" s="7"/>
      <c r="I6" s="5">
        <v>1</v>
      </c>
      <c r="J6" s="16">
        <v>40238</v>
      </c>
      <c r="K6" s="6">
        <v>1.75</v>
      </c>
      <c r="L6" s="6">
        <v>0</v>
      </c>
      <c r="M6" s="6">
        <v>100</v>
      </c>
      <c r="N6" s="6">
        <v>1.75</v>
      </c>
      <c r="O6" s="17"/>
    </row>
    <row r="7" spans="1:15" x14ac:dyDescent="0.25">
      <c r="A7" s="23">
        <v>2</v>
      </c>
      <c r="B7" s="22">
        <v>39940</v>
      </c>
      <c r="C7" s="21">
        <v>1.7349000000000001</v>
      </c>
      <c r="D7" s="21">
        <v>0</v>
      </c>
      <c r="E7" s="21">
        <v>100</v>
      </c>
      <c r="F7" s="21">
        <v>1.7349000000000001</v>
      </c>
      <c r="G7" s="7"/>
      <c r="I7" s="5">
        <v>2</v>
      </c>
      <c r="J7" s="16">
        <v>40422</v>
      </c>
      <c r="K7" s="6">
        <v>1.75</v>
      </c>
      <c r="L7" s="6">
        <v>0</v>
      </c>
      <c r="M7" s="6">
        <v>100</v>
      </c>
      <c r="N7" s="6">
        <v>1.75</v>
      </c>
      <c r="O7" s="7"/>
    </row>
    <row r="8" spans="1:15" x14ac:dyDescent="0.25">
      <c r="A8" s="23">
        <v>3</v>
      </c>
      <c r="B8" s="22">
        <v>40124</v>
      </c>
      <c r="C8" s="21">
        <v>1.7349000000000001</v>
      </c>
      <c r="D8" s="21">
        <v>0</v>
      </c>
      <c r="E8" s="21">
        <v>100</v>
      </c>
      <c r="F8" s="21">
        <v>1.7349000000000001</v>
      </c>
      <c r="G8" s="7"/>
      <c r="I8" s="5">
        <v>3</v>
      </c>
      <c r="J8" s="16">
        <v>40603</v>
      </c>
      <c r="K8" s="6">
        <v>1.75</v>
      </c>
      <c r="L8" s="6">
        <v>0</v>
      </c>
      <c r="M8" s="6">
        <v>100</v>
      </c>
      <c r="N8" s="6">
        <v>1.75</v>
      </c>
      <c r="O8" s="7"/>
    </row>
    <row r="9" spans="1:15" x14ac:dyDescent="0.25">
      <c r="A9" s="23">
        <v>4</v>
      </c>
      <c r="B9" s="22">
        <v>40305</v>
      </c>
      <c r="C9" s="21">
        <v>1.7349000000000001</v>
      </c>
      <c r="D9" s="21">
        <v>0</v>
      </c>
      <c r="E9" s="21">
        <v>100</v>
      </c>
      <c r="F9" s="21">
        <v>1.7349000000000001</v>
      </c>
      <c r="G9" s="7"/>
      <c r="I9" s="5">
        <v>4</v>
      </c>
      <c r="J9" s="16">
        <v>40787</v>
      </c>
      <c r="K9" s="6">
        <v>1.75</v>
      </c>
      <c r="L9" s="6">
        <v>0</v>
      </c>
      <c r="M9" s="6">
        <v>100</v>
      </c>
      <c r="N9" s="6">
        <v>1.75</v>
      </c>
      <c r="O9" s="7"/>
    </row>
    <row r="10" spans="1:15" x14ac:dyDescent="0.25">
      <c r="A10" s="23">
        <v>5</v>
      </c>
      <c r="B10" s="22">
        <v>40489</v>
      </c>
      <c r="C10" s="21">
        <v>1.7349000000000001</v>
      </c>
      <c r="D10" s="21">
        <v>0</v>
      </c>
      <c r="E10" s="21">
        <v>100</v>
      </c>
      <c r="F10" s="21">
        <v>1.7349000000000001</v>
      </c>
      <c r="G10" s="7"/>
      <c r="I10" s="5">
        <v>5</v>
      </c>
      <c r="J10" s="16">
        <v>40969</v>
      </c>
      <c r="K10" s="6">
        <v>1.75</v>
      </c>
      <c r="L10" s="6">
        <v>0</v>
      </c>
      <c r="M10" s="6">
        <v>100</v>
      </c>
      <c r="N10" s="6">
        <v>1.75</v>
      </c>
      <c r="O10" s="7"/>
    </row>
    <row r="11" spans="1:15" x14ac:dyDescent="0.25">
      <c r="A11" s="23">
        <v>6</v>
      </c>
      <c r="B11" s="22">
        <v>40670</v>
      </c>
      <c r="C11" s="21">
        <v>1.7349000000000001</v>
      </c>
      <c r="D11" s="21">
        <v>0</v>
      </c>
      <c r="E11" s="21">
        <v>100</v>
      </c>
      <c r="F11" s="21">
        <v>1.7349000000000001</v>
      </c>
      <c r="G11" s="7"/>
      <c r="I11" s="5">
        <v>6</v>
      </c>
      <c r="J11" s="16">
        <v>41153</v>
      </c>
      <c r="K11" s="6">
        <v>1.75</v>
      </c>
      <c r="L11" s="6">
        <v>0</v>
      </c>
      <c r="M11" s="6">
        <v>100</v>
      </c>
      <c r="N11" s="6">
        <v>1.75</v>
      </c>
      <c r="O11" s="7"/>
    </row>
    <row r="12" spans="1:15" x14ac:dyDescent="0.25">
      <c r="A12" s="23">
        <v>7</v>
      </c>
      <c r="B12" s="22">
        <v>40854</v>
      </c>
      <c r="C12" s="21">
        <v>1.7349000000000001</v>
      </c>
      <c r="D12" s="21">
        <v>0</v>
      </c>
      <c r="E12" s="21">
        <v>100</v>
      </c>
      <c r="F12" s="21">
        <v>1.7349000000000001</v>
      </c>
      <c r="G12" s="7"/>
      <c r="I12" s="5">
        <v>7</v>
      </c>
      <c r="J12" s="16">
        <v>41334</v>
      </c>
      <c r="K12" s="6">
        <v>1.75</v>
      </c>
      <c r="L12" s="6">
        <v>0</v>
      </c>
      <c r="M12" s="6">
        <v>100</v>
      </c>
      <c r="N12" s="6">
        <v>1.75</v>
      </c>
      <c r="O12" s="7"/>
    </row>
    <row r="13" spans="1:15" x14ac:dyDescent="0.25">
      <c r="A13" s="23">
        <v>8</v>
      </c>
      <c r="B13" s="22">
        <v>41036</v>
      </c>
      <c r="C13" s="21">
        <v>1.7349000000000001</v>
      </c>
      <c r="D13" s="21">
        <v>0</v>
      </c>
      <c r="E13" s="21">
        <v>100</v>
      </c>
      <c r="F13" s="21">
        <v>1.7349000000000001</v>
      </c>
      <c r="G13" s="7"/>
      <c r="I13" s="5">
        <v>8</v>
      </c>
      <c r="J13" s="16">
        <v>41518</v>
      </c>
      <c r="K13" s="6">
        <v>1.75</v>
      </c>
      <c r="L13" s="6">
        <v>0</v>
      </c>
      <c r="M13" s="6">
        <v>100</v>
      </c>
      <c r="N13" s="6">
        <v>1.75</v>
      </c>
      <c r="O13" s="7"/>
    </row>
    <row r="14" spans="1:15" x14ac:dyDescent="0.25">
      <c r="A14" s="23">
        <v>9</v>
      </c>
      <c r="B14" s="22">
        <v>41220</v>
      </c>
      <c r="C14" s="21">
        <v>1.7349000000000001</v>
      </c>
      <c r="D14" s="21">
        <v>0</v>
      </c>
      <c r="E14" s="21">
        <v>100</v>
      </c>
      <c r="F14" s="21">
        <v>1.7349000000000001</v>
      </c>
      <c r="G14" s="7"/>
      <c r="I14" s="5">
        <v>9</v>
      </c>
      <c r="J14" s="16">
        <v>41699</v>
      </c>
      <c r="K14" s="6">
        <v>1.75</v>
      </c>
      <c r="L14" s="6">
        <v>0</v>
      </c>
      <c r="M14" s="6">
        <v>100</v>
      </c>
      <c r="N14" s="6">
        <v>1.75</v>
      </c>
      <c r="O14" s="7"/>
    </row>
    <row r="15" spans="1:15" ht="15.75" thickBot="1" x14ac:dyDescent="0.3">
      <c r="A15" s="23">
        <v>10</v>
      </c>
      <c r="B15" s="22">
        <v>41401</v>
      </c>
      <c r="C15" s="21">
        <v>1.7349000000000001</v>
      </c>
      <c r="D15" s="21">
        <v>0</v>
      </c>
      <c r="E15" s="21">
        <v>100</v>
      </c>
      <c r="F15" s="21">
        <v>1.7349000000000001</v>
      </c>
      <c r="G15" s="7"/>
      <c r="I15" s="8">
        <v>10</v>
      </c>
      <c r="J15" s="18">
        <v>41883</v>
      </c>
      <c r="K15" s="9">
        <v>1.75</v>
      </c>
      <c r="L15" s="9">
        <v>100</v>
      </c>
      <c r="M15" s="9">
        <v>0</v>
      </c>
      <c r="N15" s="9">
        <v>101.75</v>
      </c>
      <c r="O15" s="10"/>
    </row>
    <row r="16" spans="1:15" x14ac:dyDescent="0.25">
      <c r="A16" s="23">
        <v>11</v>
      </c>
      <c r="B16" s="22">
        <v>41585</v>
      </c>
      <c r="C16" s="21">
        <v>1.7349000000000001</v>
      </c>
      <c r="D16" s="21">
        <v>0</v>
      </c>
      <c r="E16" s="21">
        <v>100</v>
      </c>
      <c r="F16" s="21">
        <v>1.7349000000000001</v>
      </c>
      <c r="G16" s="31"/>
    </row>
    <row r="17" spans="1:8" x14ac:dyDescent="0.25">
      <c r="A17" s="23">
        <v>12</v>
      </c>
      <c r="B17" s="22">
        <v>41766</v>
      </c>
      <c r="C17" s="21">
        <v>1.7349000000000001</v>
      </c>
      <c r="D17" s="21">
        <v>0</v>
      </c>
      <c r="E17" s="21">
        <v>100</v>
      </c>
      <c r="F17" s="21">
        <v>1.7349000000000001</v>
      </c>
      <c r="G17" s="31"/>
    </row>
    <row r="18" spans="1:8" x14ac:dyDescent="0.25">
      <c r="A18" s="23">
        <v>13</v>
      </c>
      <c r="B18" s="22">
        <v>41950</v>
      </c>
      <c r="C18" s="21">
        <v>1.7349000000000001</v>
      </c>
      <c r="D18" s="21">
        <v>0</v>
      </c>
      <c r="E18" s="21">
        <v>100</v>
      </c>
      <c r="F18" s="21">
        <v>1.7349000000000001</v>
      </c>
      <c r="G18" s="31"/>
    </row>
    <row r="19" spans="1:8" x14ac:dyDescent="0.25">
      <c r="A19" s="23">
        <v>14</v>
      </c>
      <c r="B19" s="22">
        <v>42131</v>
      </c>
      <c r="C19" s="21">
        <v>1.7349000000000001</v>
      </c>
      <c r="D19" s="21">
        <v>0</v>
      </c>
      <c r="E19" s="21">
        <v>100</v>
      </c>
      <c r="F19" s="21">
        <v>1.7349000000000001</v>
      </c>
      <c r="G19" s="31"/>
    </row>
    <row r="20" spans="1:8" x14ac:dyDescent="0.25">
      <c r="A20" s="23">
        <v>15</v>
      </c>
      <c r="B20" s="22">
        <v>42315</v>
      </c>
      <c r="C20" s="21">
        <v>1.7349000000000001</v>
      </c>
      <c r="D20" s="21">
        <v>0</v>
      </c>
      <c r="E20" s="21">
        <v>100</v>
      </c>
      <c r="F20" s="21">
        <v>1.7349000000000001</v>
      </c>
      <c r="G20" s="31"/>
    </row>
    <row r="21" spans="1:8" x14ac:dyDescent="0.25">
      <c r="A21" s="23">
        <v>16</v>
      </c>
      <c r="B21" s="22">
        <v>42497</v>
      </c>
      <c r="C21" s="21">
        <v>1.7349000000000001</v>
      </c>
      <c r="D21" s="21">
        <v>0</v>
      </c>
      <c r="E21" s="21">
        <v>100</v>
      </c>
      <c r="F21" s="21">
        <v>1.7349000000000001</v>
      </c>
      <c r="G21" s="31"/>
    </row>
    <row r="22" spans="1:8" x14ac:dyDescent="0.25">
      <c r="A22" s="23">
        <v>17</v>
      </c>
      <c r="B22" s="22">
        <v>42681</v>
      </c>
      <c r="C22" s="21">
        <v>1.7349000000000001</v>
      </c>
      <c r="D22" s="21">
        <v>0</v>
      </c>
      <c r="E22" s="21">
        <v>100</v>
      </c>
      <c r="F22" s="21">
        <v>1.7349000000000001</v>
      </c>
      <c r="G22" s="31"/>
    </row>
    <row r="23" spans="1:8" x14ac:dyDescent="0.25">
      <c r="A23" s="23">
        <v>18</v>
      </c>
      <c r="B23" s="22">
        <v>42862</v>
      </c>
      <c r="C23" s="21">
        <v>1.7349000000000001</v>
      </c>
      <c r="D23" s="21">
        <v>0</v>
      </c>
      <c r="E23" s="21">
        <v>100</v>
      </c>
      <c r="F23" s="21">
        <v>1.7349000000000001</v>
      </c>
      <c r="G23" s="31"/>
    </row>
    <row r="24" spans="1:8" x14ac:dyDescent="0.25">
      <c r="A24" s="23">
        <v>19</v>
      </c>
      <c r="B24" s="22">
        <v>43046</v>
      </c>
      <c r="C24" s="21">
        <v>1.7349000000000001</v>
      </c>
      <c r="D24" s="21">
        <v>0</v>
      </c>
      <c r="E24" s="21">
        <v>100</v>
      </c>
      <c r="F24" s="21">
        <v>1.7349000000000001</v>
      </c>
      <c r="G24" s="31"/>
    </row>
    <row r="25" spans="1:8" ht="15.75" thickBot="1" x14ac:dyDescent="0.3">
      <c r="A25" s="24">
        <v>20</v>
      </c>
      <c r="B25" s="25">
        <v>43227</v>
      </c>
      <c r="C25" s="26">
        <v>1.7349000000000001</v>
      </c>
      <c r="D25" s="26">
        <v>100</v>
      </c>
      <c r="E25" s="26">
        <v>0</v>
      </c>
      <c r="F25" s="26">
        <v>101.7349</v>
      </c>
      <c r="G25" s="32"/>
    </row>
    <row r="28" spans="1:8" x14ac:dyDescent="0.25">
      <c r="B28" s="34">
        <f t="array" ref="B28:G57">construyeTabla(A6:F25,20,I6:N15,10)</f>
        <v>1</v>
      </c>
      <c r="C28" s="35">
        <v>39759</v>
      </c>
      <c r="D28" s="37">
        <v>1.7349000000000001</v>
      </c>
      <c r="E28" s="36">
        <v>0</v>
      </c>
      <c r="F28" s="36">
        <v>100</v>
      </c>
      <c r="G28" s="36">
        <v>1.7349000000000001</v>
      </c>
      <c r="H28" s="34"/>
    </row>
    <row r="29" spans="1:8" x14ac:dyDescent="0.25">
      <c r="B29" s="34">
        <v>2</v>
      </c>
      <c r="C29" s="35">
        <v>39940</v>
      </c>
      <c r="D29" s="37">
        <v>1.7349000000000001</v>
      </c>
      <c r="E29" s="36">
        <v>0</v>
      </c>
      <c r="F29" s="36">
        <v>100</v>
      </c>
      <c r="G29" s="36">
        <v>1.7349000000000001</v>
      </c>
      <c r="H29" s="34"/>
    </row>
    <row r="30" spans="1:8" x14ac:dyDescent="0.25">
      <c r="B30" s="34">
        <v>3</v>
      </c>
      <c r="C30" s="35">
        <v>40124</v>
      </c>
      <c r="D30" s="37">
        <v>1.7349000000000001</v>
      </c>
      <c r="E30" s="36">
        <v>0</v>
      </c>
      <c r="F30" s="36">
        <v>100</v>
      </c>
      <c r="G30" s="36">
        <v>1.7349000000000001</v>
      </c>
      <c r="H30" s="34"/>
    </row>
    <row r="31" spans="1:8" x14ac:dyDescent="0.25">
      <c r="B31" s="34">
        <v>4</v>
      </c>
      <c r="C31" s="35">
        <v>40238</v>
      </c>
      <c r="D31" s="37">
        <v>1.75</v>
      </c>
      <c r="E31" s="36">
        <v>0</v>
      </c>
      <c r="F31" s="36">
        <v>100</v>
      </c>
      <c r="G31" s="36">
        <v>1.75</v>
      </c>
      <c r="H31" s="34"/>
    </row>
    <row r="32" spans="1:8" x14ac:dyDescent="0.25">
      <c r="B32" s="34">
        <v>5</v>
      </c>
      <c r="C32" s="35">
        <v>40305</v>
      </c>
      <c r="D32" s="37">
        <v>1.7349000000000001</v>
      </c>
      <c r="E32" s="36">
        <v>0</v>
      </c>
      <c r="F32" s="36">
        <v>100</v>
      </c>
      <c r="G32" s="36">
        <v>1.7349000000000001</v>
      </c>
      <c r="H32" s="34"/>
    </row>
    <row r="33" spans="2:8" x14ac:dyDescent="0.25">
      <c r="B33" s="34">
        <v>6</v>
      </c>
      <c r="C33" s="35">
        <v>40422</v>
      </c>
      <c r="D33" s="37">
        <v>1.75</v>
      </c>
      <c r="E33" s="36">
        <v>0</v>
      </c>
      <c r="F33" s="36">
        <v>100</v>
      </c>
      <c r="G33" s="36">
        <v>1.75</v>
      </c>
      <c r="H33" s="34"/>
    </row>
    <row r="34" spans="2:8" x14ac:dyDescent="0.25">
      <c r="B34" s="34">
        <v>7</v>
      </c>
      <c r="C34" s="35">
        <v>40489</v>
      </c>
      <c r="D34" s="37">
        <v>1.7349000000000001</v>
      </c>
      <c r="E34" s="36">
        <v>0</v>
      </c>
      <c r="F34" s="36">
        <v>100</v>
      </c>
      <c r="G34" s="36">
        <v>1.7349000000000001</v>
      </c>
    </row>
    <row r="35" spans="2:8" x14ac:dyDescent="0.25">
      <c r="B35" s="34">
        <v>8</v>
      </c>
      <c r="C35" s="35">
        <v>40603</v>
      </c>
      <c r="D35" s="37">
        <v>1.75</v>
      </c>
      <c r="E35" s="36">
        <v>0</v>
      </c>
      <c r="F35" s="36">
        <v>100</v>
      </c>
      <c r="G35" s="36">
        <v>1.75</v>
      </c>
    </row>
    <row r="36" spans="2:8" x14ac:dyDescent="0.25">
      <c r="B36" s="34">
        <v>9</v>
      </c>
      <c r="C36" s="35">
        <v>40670</v>
      </c>
      <c r="D36" s="37">
        <v>1.7349000000000001</v>
      </c>
      <c r="E36" s="36">
        <v>0</v>
      </c>
      <c r="F36" s="36">
        <v>100</v>
      </c>
      <c r="G36" s="36">
        <v>1.7349000000000001</v>
      </c>
    </row>
    <row r="37" spans="2:8" x14ac:dyDescent="0.25">
      <c r="B37" s="34">
        <v>10</v>
      </c>
      <c r="C37" s="35">
        <v>40787</v>
      </c>
      <c r="D37" s="37">
        <v>1.75</v>
      </c>
      <c r="E37" s="36">
        <v>0</v>
      </c>
      <c r="F37" s="36">
        <v>100</v>
      </c>
      <c r="G37" s="36">
        <v>1.75</v>
      </c>
    </row>
    <row r="38" spans="2:8" x14ac:dyDescent="0.25">
      <c r="B38" s="34">
        <v>11</v>
      </c>
      <c r="C38" s="35">
        <v>40854</v>
      </c>
      <c r="D38" s="37">
        <v>1.7349000000000001</v>
      </c>
      <c r="E38" s="36">
        <v>0</v>
      </c>
      <c r="F38" s="36">
        <v>100</v>
      </c>
      <c r="G38" s="36">
        <v>1.7349000000000001</v>
      </c>
    </row>
    <row r="39" spans="2:8" x14ac:dyDescent="0.25">
      <c r="B39" s="34">
        <v>12</v>
      </c>
      <c r="C39" s="35">
        <v>40969</v>
      </c>
      <c r="D39" s="37">
        <v>1.75</v>
      </c>
      <c r="E39" s="36">
        <v>0</v>
      </c>
      <c r="F39" s="36">
        <v>100</v>
      </c>
      <c r="G39" s="36">
        <v>1.75</v>
      </c>
    </row>
    <row r="40" spans="2:8" x14ac:dyDescent="0.25">
      <c r="B40" s="34">
        <v>13</v>
      </c>
      <c r="C40" s="35">
        <v>41036</v>
      </c>
      <c r="D40" s="37">
        <v>1.7349000000000001</v>
      </c>
      <c r="E40" s="36">
        <v>0</v>
      </c>
      <c r="F40" s="36">
        <v>100</v>
      </c>
      <c r="G40" s="36">
        <v>1.7349000000000001</v>
      </c>
    </row>
    <row r="41" spans="2:8" x14ac:dyDescent="0.25">
      <c r="B41" s="34">
        <v>14</v>
      </c>
      <c r="C41" s="35">
        <v>41153</v>
      </c>
      <c r="D41" s="37">
        <v>1.75</v>
      </c>
      <c r="E41" s="36">
        <v>0</v>
      </c>
      <c r="F41" s="36">
        <v>100</v>
      </c>
      <c r="G41" s="36">
        <v>1.75</v>
      </c>
    </row>
    <row r="42" spans="2:8" x14ac:dyDescent="0.25">
      <c r="B42" s="34">
        <v>15</v>
      </c>
      <c r="C42" s="35">
        <v>41220</v>
      </c>
      <c r="D42" s="37">
        <v>1.7349000000000001</v>
      </c>
      <c r="E42" s="36">
        <v>0</v>
      </c>
      <c r="F42" s="36">
        <v>100</v>
      </c>
      <c r="G42" s="36">
        <v>1.7349000000000001</v>
      </c>
    </row>
    <row r="43" spans="2:8" x14ac:dyDescent="0.25">
      <c r="B43" s="34">
        <v>16</v>
      </c>
      <c r="C43" s="35">
        <v>41334</v>
      </c>
      <c r="D43" s="37">
        <v>1.75</v>
      </c>
      <c r="E43" s="36">
        <v>0</v>
      </c>
      <c r="F43" s="36">
        <v>100</v>
      </c>
      <c r="G43" s="36">
        <v>1.75</v>
      </c>
    </row>
    <row r="44" spans="2:8" x14ac:dyDescent="0.25">
      <c r="B44" s="34">
        <v>17</v>
      </c>
      <c r="C44" s="35">
        <v>41401</v>
      </c>
      <c r="D44" s="37">
        <v>1.7349000000000001</v>
      </c>
      <c r="E44" s="36">
        <v>0</v>
      </c>
      <c r="F44" s="36">
        <v>100</v>
      </c>
      <c r="G44" s="36">
        <v>1.7349000000000001</v>
      </c>
    </row>
    <row r="45" spans="2:8" x14ac:dyDescent="0.25">
      <c r="B45" s="34">
        <v>18</v>
      </c>
      <c r="C45" s="35">
        <v>41518</v>
      </c>
      <c r="D45" s="37">
        <v>1.75</v>
      </c>
      <c r="E45" s="36">
        <v>0</v>
      </c>
      <c r="F45" s="36">
        <v>100</v>
      </c>
      <c r="G45" s="36">
        <v>1.75</v>
      </c>
    </row>
    <row r="46" spans="2:8" x14ac:dyDescent="0.25">
      <c r="B46" s="34">
        <v>19</v>
      </c>
      <c r="C46" s="35">
        <v>41585</v>
      </c>
      <c r="D46" s="37">
        <v>1.7349000000000001</v>
      </c>
      <c r="E46" s="36">
        <v>0</v>
      </c>
      <c r="F46" s="36">
        <v>100</v>
      </c>
      <c r="G46" s="36">
        <v>1.7349000000000001</v>
      </c>
    </row>
    <row r="47" spans="2:8" x14ac:dyDescent="0.25">
      <c r="B47" s="34">
        <v>20</v>
      </c>
      <c r="C47" s="35">
        <v>41699</v>
      </c>
      <c r="D47" s="37">
        <v>1.75</v>
      </c>
      <c r="E47" s="36">
        <v>0</v>
      </c>
      <c r="F47" s="36">
        <v>100</v>
      </c>
      <c r="G47" s="36">
        <v>1.75</v>
      </c>
    </row>
    <row r="48" spans="2:8" x14ac:dyDescent="0.25">
      <c r="B48" s="34">
        <v>21</v>
      </c>
      <c r="C48" s="35">
        <v>41766</v>
      </c>
      <c r="D48" s="37">
        <v>1.7349000000000001</v>
      </c>
      <c r="E48" s="36">
        <v>0</v>
      </c>
      <c r="F48" s="36">
        <v>100</v>
      </c>
      <c r="G48" s="36">
        <v>1.7349000000000001</v>
      </c>
    </row>
    <row r="49" spans="2:7" x14ac:dyDescent="0.25">
      <c r="B49" s="34">
        <v>22</v>
      </c>
      <c r="C49" s="35">
        <v>41883</v>
      </c>
      <c r="D49" s="37">
        <v>1.75</v>
      </c>
      <c r="E49" s="36">
        <v>100</v>
      </c>
      <c r="F49" s="36">
        <v>0</v>
      </c>
      <c r="G49" s="36">
        <v>101.75</v>
      </c>
    </row>
    <row r="50" spans="2:7" x14ac:dyDescent="0.25">
      <c r="B50" s="34">
        <v>23</v>
      </c>
      <c r="C50" s="35">
        <v>41950</v>
      </c>
      <c r="D50" s="37">
        <v>1.7349000000000001</v>
      </c>
      <c r="E50" s="36">
        <v>0</v>
      </c>
      <c r="F50" s="36">
        <v>100</v>
      </c>
      <c r="G50" s="36">
        <v>1.7349000000000001</v>
      </c>
    </row>
    <row r="51" spans="2:7" x14ac:dyDescent="0.25">
      <c r="B51" s="34">
        <v>24</v>
      </c>
      <c r="C51" s="35">
        <v>42131</v>
      </c>
      <c r="D51" s="37">
        <v>1.7349000000000001</v>
      </c>
      <c r="E51" s="36">
        <v>0</v>
      </c>
      <c r="F51" s="36">
        <v>100</v>
      </c>
      <c r="G51" s="36">
        <v>1.7349000000000001</v>
      </c>
    </row>
    <row r="52" spans="2:7" x14ac:dyDescent="0.25">
      <c r="B52" s="34">
        <v>25</v>
      </c>
      <c r="C52" s="35">
        <v>42315</v>
      </c>
      <c r="D52" s="37">
        <v>1.7349000000000001</v>
      </c>
      <c r="E52" s="36">
        <v>0</v>
      </c>
      <c r="F52" s="36">
        <v>100</v>
      </c>
      <c r="G52" s="36">
        <v>1.7349000000000001</v>
      </c>
    </row>
    <row r="53" spans="2:7" x14ac:dyDescent="0.25">
      <c r="B53" s="34">
        <v>26</v>
      </c>
      <c r="C53" s="35">
        <v>42497</v>
      </c>
      <c r="D53" s="37">
        <v>1.7349000000000001</v>
      </c>
      <c r="E53" s="36">
        <v>0</v>
      </c>
      <c r="F53" s="36">
        <v>100</v>
      </c>
      <c r="G53" s="36">
        <v>1.7349000000000001</v>
      </c>
    </row>
    <row r="54" spans="2:7" x14ac:dyDescent="0.25">
      <c r="B54" s="34">
        <v>27</v>
      </c>
      <c r="C54" s="35">
        <v>42681</v>
      </c>
      <c r="D54" s="37">
        <v>1.7349000000000001</v>
      </c>
      <c r="E54" s="36">
        <v>0</v>
      </c>
      <c r="F54" s="36">
        <v>100</v>
      </c>
      <c r="G54" s="36">
        <v>1.7349000000000001</v>
      </c>
    </row>
    <row r="55" spans="2:7" x14ac:dyDescent="0.25">
      <c r="B55" s="34">
        <v>28</v>
      </c>
      <c r="C55" s="35">
        <v>42862</v>
      </c>
      <c r="D55" s="37">
        <v>1.7349000000000001</v>
      </c>
      <c r="E55" s="36">
        <v>0</v>
      </c>
      <c r="F55" s="36">
        <v>100</v>
      </c>
      <c r="G55" s="36">
        <v>1.7349000000000001</v>
      </c>
    </row>
    <row r="56" spans="2:7" x14ac:dyDescent="0.25">
      <c r="B56" s="34">
        <v>29</v>
      </c>
      <c r="C56" s="35">
        <v>43046</v>
      </c>
      <c r="D56" s="37">
        <v>1.7349000000000001</v>
      </c>
      <c r="E56" s="36">
        <v>0</v>
      </c>
      <c r="F56" s="36">
        <v>100</v>
      </c>
      <c r="G56" s="36">
        <v>1.7349000000000001</v>
      </c>
    </row>
    <row r="57" spans="2:7" x14ac:dyDescent="0.25">
      <c r="B57" s="34">
        <v>30</v>
      </c>
      <c r="C57" s="35">
        <v>43227</v>
      </c>
      <c r="D57" s="37">
        <v>1.7349000000000001</v>
      </c>
      <c r="E57" s="34">
        <v>100</v>
      </c>
      <c r="F57" s="34">
        <v>0</v>
      </c>
      <c r="G57" s="34">
        <v>101.7349</v>
      </c>
    </row>
    <row r="58" spans="2:7" x14ac:dyDescent="0.25">
      <c r="B58" s="34"/>
      <c r="C58" s="34"/>
      <c r="D58" s="34"/>
      <c r="E58" s="34"/>
      <c r="F58" s="34"/>
      <c r="G58" s="34"/>
    </row>
  </sheetData>
  <mergeCells count="2">
    <mergeCell ref="A4:G4"/>
    <mergeCell ref="I4: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interpola</vt:lpstr>
      <vt:lpstr>Duracion</vt:lpstr>
      <vt:lpstr>BCU</vt:lpstr>
      <vt:lpstr>TIR</vt:lpstr>
      <vt:lpstr>Datos</vt:lpstr>
      <vt:lpstr>PosicionDatos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</dc:creator>
  <cp:lastModifiedBy>Diego Posch Ponce</cp:lastModifiedBy>
  <dcterms:created xsi:type="dcterms:W3CDTF">2010-08-16T02:12:42Z</dcterms:created>
  <dcterms:modified xsi:type="dcterms:W3CDTF">2018-12-20T17:05:00Z</dcterms:modified>
</cp:coreProperties>
</file>
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29" codeName="{22E68647-3C60-695B-3CA0-4895CD717B8A}"/>
  <workbookPr codeName="ThisWorkbook" defaultThemeVersion="124226"/>
  <mc:AlternateContent xmlns:mc="http://schemas.openxmlformats.org/markup-compatibility/2006">
    <mc:Choice Requires="x15">
      <x15ac:absPath xmlns:x15ac="http://schemas.microsoft.com/office/spreadsheetml/2010/11/ac" url="L:\Rates &amp; FX\DPP\Swaps\"/>
    </mc:Choice>
  </mc:AlternateContent>
  <xr:revisionPtr revIDLastSave="0" documentId="8_{06B11AA4-71AE-4231-8CB8-E8CB89B7613C}" xr6:coauthVersionLast="40" xr6:coauthVersionMax="40" xr10:uidLastSave="{00000000-0000-0000-0000-000000000000}"/>
  <bookViews>
    <workbookView xWindow="240" yWindow="15" windowWidth="11640" windowHeight="5385" xr2:uid="{00000000-000D-0000-FFFF-FFFF00000000}"/>
  </bookViews>
  <sheets>
    <sheet name="Zeros and Discounts" sheetId="1" r:id="rId1"/>
    <sheet name="Data" sheetId="4" state="hidden" r:id="rId2"/>
    <sheet name="Generate Schedule" sheetId="3" r:id="rId3"/>
    <sheet name="Help" sheetId="5" r:id="rId4"/>
  </sheets>
  <functionGroups builtInGroupCount="19"/>
  <definedNames>
    <definedName name="discounts">'Zeros and Discounts'!$M$21:$M$116</definedName>
    <definedName name="HLPBRD_IB">Help!$D$82:$R$85</definedName>
    <definedName name="HLPBRD_IR">Help!$S$10:$T$81</definedName>
    <definedName name="HLPBRD_OBR">Help!$U$86:$X$94</definedName>
    <definedName name="maturities">'Zeros and Discounts'!$G$21:$G$116</definedName>
    <definedName name="SortMaturity">'Zeros and Discounts'!$G$20</definedName>
    <definedName name="SortRange">'Zeros and Discounts'!$C$20:$S$116</definedName>
    <definedName name="zeros">'Zeros and Discounts'!$F$21:$F$116</definedName>
  </definedNames>
  <calcPr calcId="191029" calcMode="autoNoTable"/>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44" i="1" l="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L16" i="1" l="1"/>
  <c r="L17" i="1"/>
  <c r="L15" i="1"/>
  <c r="L14" i="1"/>
  <c r="E7" i="1" l="1"/>
  <c r="F20" i="1"/>
  <c r="M20" i="1"/>
  <c r="D35" i="1"/>
  <c r="D36" i="1"/>
  <c r="D112" i="1"/>
  <c r="D76" i="1"/>
  <c r="D116" i="1"/>
  <c r="D88" i="1"/>
  <c r="D23" i="1"/>
  <c r="D74" i="1"/>
  <c r="D22" i="1"/>
  <c r="D79" i="1"/>
  <c r="D37" i="1"/>
  <c r="D91" i="1"/>
  <c r="D98" i="1"/>
  <c r="D97" i="1"/>
  <c r="D55" i="1"/>
  <c r="D51" i="1"/>
  <c r="D84" i="1"/>
  <c r="D90" i="1"/>
  <c r="D29" i="1"/>
  <c r="N14" i="3" a="1"/>
  <c r="D48" i="1"/>
  <c r="D39" i="1"/>
  <c r="D30" i="1"/>
  <c r="D95" i="1"/>
  <c r="D63" i="1"/>
  <c r="D77" i="1"/>
  <c r="D86" i="1"/>
  <c r="D80" i="1"/>
  <c r="D64" i="1"/>
  <c r="D60" i="1"/>
  <c r="D75" i="1"/>
  <c r="D81" i="1"/>
  <c r="D53" i="1"/>
  <c r="D26" i="1"/>
  <c r="D40" i="1"/>
  <c r="D41" i="1"/>
  <c r="D42" i="1"/>
  <c r="D106" i="1"/>
  <c r="D72" i="1"/>
  <c r="D52" i="1"/>
  <c r="D78" i="1"/>
  <c r="D21" i="1"/>
  <c r="D85" i="1"/>
  <c r="D108" i="1"/>
  <c r="D107" i="1"/>
  <c r="D65" i="1"/>
  <c r="D66" i="1"/>
  <c r="D54" i="1"/>
  <c r="D46" i="1"/>
  <c r="D57" i="1"/>
  <c r="D103" i="1"/>
  <c r="D50" i="1"/>
  <c r="D71" i="1"/>
  <c r="D61" i="1"/>
  <c r="D24" i="1"/>
  <c r="D93" i="1"/>
  <c r="D68" i="1"/>
  <c r="D101" i="1"/>
  <c r="D45" i="1"/>
  <c r="D104" i="1"/>
  <c r="D27" i="1"/>
  <c r="D62" i="1"/>
  <c r="D109" i="1"/>
  <c r="D47" i="1"/>
  <c r="D115" i="1"/>
  <c r="D33" i="1"/>
  <c r="D102" i="1"/>
  <c r="D44" i="1"/>
  <c r="D96" i="1"/>
  <c r="D31" i="1"/>
  <c r="D111" i="1"/>
  <c r="D82" i="1"/>
  <c r="D110" i="1"/>
  <c r="D58" i="1"/>
  <c r="D59" i="1"/>
  <c r="D43" i="1"/>
  <c r="D73" i="1"/>
  <c r="D69" i="1"/>
  <c r="D56" i="1"/>
  <c r="D49" i="1"/>
  <c r="D94" i="1"/>
  <c r="D113" i="1"/>
  <c r="D99" i="1"/>
  <c r="D38" i="1"/>
  <c r="D105" i="1"/>
  <c r="D100" i="1"/>
  <c r="D67" i="1"/>
  <c r="N63" i="3" l="1"/>
  <c r="B63" i="3" s="1"/>
  <c r="N127" i="3"/>
  <c r="B127" i="3" s="1"/>
  <c r="N191" i="3"/>
  <c r="B191" i="3" s="1"/>
  <c r="N239" i="3"/>
  <c r="B239" i="3" s="1"/>
  <c r="N54" i="3"/>
  <c r="B54" i="3" s="1"/>
  <c r="N118" i="3"/>
  <c r="B118" i="3" s="1"/>
  <c r="N77" i="3"/>
  <c r="B77" i="3" s="1"/>
  <c r="N141" i="3"/>
  <c r="B141" i="3" s="1"/>
  <c r="N205" i="3"/>
  <c r="B205" i="3" s="1"/>
  <c r="N245" i="3"/>
  <c r="B245" i="3" s="1"/>
  <c r="N105" i="3"/>
  <c r="B105" i="3" s="1"/>
  <c r="N169" i="3"/>
  <c r="B169" i="3" s="1"/>
  <c r="N33" i="3"/>
  <c r="B33" i="3" s="1"/>
  <c r="N97" i="3"/>
  <c r="B97" i="3" s="1"/>
  <c r="N161" i="3"/>
  <c r="B161" i="3" s="1"/>
  <c r="N25" i="3"/>
  <c r="B25" i="3" s="1"/>
  <c r="N89" i="3"/>
  <c r="B89" i="3" s="1"/>
  <c r="N153" i="3"/>
  <c r="B153" i="3" s="1"/>
  <c r="N217" i="3"/>
  <c r="B217" i="3" s="1"/>
  <c r="N59" i="3"/>
  <c r="B59" i="3" s="1"/>
  <c r="N123" i="3"/>
  <c r="B123" i="3" s="1"/>
  <c r="N187" i="3"/>
  <c r="B187" i="3" s="1"/>
  <c r="N66" i="3"/>
  <c r="B66" i="3" s="1"/>
  <c r="N122" i="3"/>
  <c r="B122" i="3" s="1"/>
  <c r="N186" i="3"/>
  <c r="B186" i="3" s="1"/>
  <c r="N250" i="3"/>
  <c r="B250" i="3" s="1"/>
  <c r="N282" i="3"/>
  <c r="B282" i="3" s="1"/>
  <c r="N314" i="3"/>
  <c r="B314" i="3" s="1"/>
  <c r="N346" i="3"/>
  <c r="B346" i="3" s="1"/>
  <c r="N378" i="3"/>
  <c r="B378" i="3" s="1"/>
  <c r="N410" i="3"/>
  <c r="B410" i="3" s="1"/>
  <c r="N442" i="3"/>
  <c r="B442" i="3" s="1"/>
  <c r="N474" i="3"/>
  <c r="B474" i="3" s="1"/>
  <c r="N20" i="3"/>
  <c r="B20" i="3" s="1"/>
  <c r="N84" i="3"/>
  <c r="B84" i="3" s="1"/>
  <c r="N148" i="3"/>
  <c r="B148" i="3" s="1"/>
  <c r="N212" i="3"/>
  <c r="B212" i="3" s="1"/>
  <c r="N263" i="3"/>
  <c r="B263" i="3" s="1"/>
  <c r="N295" i="3"/>
  <c r="B295" i="3" s="1"/>
  <c r="N319" i="3"/>
  <c r="B319" i="3" s="1"/>
  <c r="N335" i="3"/>
  <c r="B335" i="3" s="1"/>
  <c r="N351" i="3"/>
  <c r="B351" i="3" s="1"/>
  <c r="N367" i="3"/>
  <c r="B367" i="3" s="1"/>
  <c r="N383" i="3"/>
  <c r="B383" i="3" s="1"/>
  <c r="N399" i="3"/>
  <c r="B399" i="3" s="1"/>
  <c r="N415" i="3"/>
  <c r="B415" i="3" s="1"/>
  <c r="N431" i="3"/>
  <c r="B431" i="3" s="1"/>
  <c r="N447" i="3"/>
  <c r="B447" i="3" s="1"/>
  <c r="N463" i="3"/>
  <c r="B463" i="3" s="1"/>
  <c r="N479" i="3"/>
  <c r="B479" i="3" s="1"/>
  <c r="N495" i="3"/>
  <c r="B495" i="3" s="1"/>
  <c r="N82" i="3"/>
  <c r="B82" i="3" s="1"/>
  <c r="N178" i="3"/>
  <c r="B178" i="3" s="1"/>
  <c r="N242" i="3"/>
  <c r="B242" i="3" s="1"/>
  <c r="N278" i="3"/>
  <c r="B278" i="3" s="1"/>
  <c r="N310" i="3"/>
  <c r="B310" i="3" s="1"/>
  <c r="N342" i="3"/>
  <c r="B342" i="3" s="1"/>
  <c r="N374" i="3"/>
  <c r="B374" i="3" s="1"/>
  <c r="N406" i="3"/>
  <c r="B406" i="3" s="1"/>
  <c r="N438" i="3"/>
  <c r="B438" i="3" s="1"/>
  <c r="N470" i="3"/>
  <c r="B470" i="3" s="1"/>
  <c r="N502" i="3"/>
  <c r="B502" i="3" s="1"/>
  <c r="N76" i="3"/>
  <c r="B76" i="3" s="1"/>
  <c r="N140" i="3"/>
  <c r="B140" i="3" s="1"/>
  <c r="N204" i="3"/>
  <c r="B204" i="3" s="1"/>
  <c r="N259" i="3"/>
  <c r="B259" i="3" s="1"/>
  <c r="N291" i="3"/>
  <c r="B291" i="3" s="1"/>
  <c r="N58" i="3"/>
  <c r="B58" i="3" s="1"/>
  <c r="N158" i="3"/>
  <c r="B158" i="3" s="1"/>
  <c r="N222" i="3"/>
  <c r="B222" i="3" s="1"/>
  <c r="N268" i="3"/>
  <c r="B268" i="3" s="1"/>
  <c r="N300" i="3"/>
  <c r="B300" i="3" s="1"/>
  <c r="N332" i="3"/>
  <c r="B332" i="3" s="1"/>
  <c r="N364" i="3"/>
  <c r="B364" i="3" s="1"/>
  <c r="N396" i="3"/>
  <c r="B396" i="3" s="1"/>
  <c r="N428" i="3"/>
  <c r="B428" i="3" s="1"/>
  <c r="N460" i="3"/>
  <c r="B460" i="3" s="1"/>
  <c r="N15" i="3"/>
  <c r="B15" i="3" s="1"/>
  <c r="N79" i="3"/>
  <c r="B79" i="3" s="1"/>
  <c r="N143" i="3"/>
  <c r="B143" i="3" s="1"/>
  <c r="N207" i="3"/>
  <c r="B207" i="3" s="1"/>
  <c r="N247" i="3"/>
  <c r="B247" i="3" s="1"/>
  <c r="N70" i="3"/>
  <c r="B70" i="3" s="1"/>
  <c r="N29" i="3"/>
  <c r="B29" i="3" s="1"/>
  <c r="N93" i="3"/>
  <c r="B93" i="3" s="1"/>
  <c r="N157" i="3"/>
  <c r="B157" i="3" s="1"/>
  <c r="N221" i="3"/>
  <c r="B221" i="3" s="1"/>
  <c r="N41" i="3"/>
  <c r="B41" i="3" s="1"/>
  <c r="N115" i="3"/>
  <c r="B115" i="3" s="1"/>
  <c r="N179" i="3"/>
  <c r="B179" i="3" s="1"/>
  <c r="N43" i="3"/>
  <c r="B43" i="3" s="1"/>
  <c r="N107" i="3"/>
  <c r="B107" i="3" s="1"/>
  <c r="N171" i="3"/>
  <c r="B171" i="3" s="1"/>
  <c r="N35" i="3"/>
  <c r="B35" i="3" s="1"/>
  <c r="N99" i="3"/>
  <c r="B99" i="3" s="1"/>
  <c r="N163" i="3"/>
  <c r="B163" i="3" s="1"/>
  <c r="N17" i="3"/>
  <c r="B17" i="3" s="1"/>
  <c r="N81" i="3"/>
  <c r="B81" i="3" s="1"/>
  <c r="N145" i="3"/>
  <c r="B145" i="3" s="1"/>
  <c r="N209" i="3"/>
  <c r="B209" i="3" s="1"/>
  <c r="N98" i="3"/>
  <c r="B98" i="3" s="1"/>
  <c r="N142" i="3"/>
  <c r="B142" i="3" s="1"/>
  <c r="N206" i="3"/>
  <c r="B206" i="3" s="1"/>
  <c r="N260" i="3"/>
  <c r="B260" i="3" s="1"/>
  <c r="N292" i="3"/>
  <c r="B292" i="3" s="1"/>
  <c r="N324" i="3"/>
  <c r="B324" i="3" s="1"/>
  <c r="N356" i="3"/>
  <c r="B356" i="3" s="1"/>
  <c r="N388" i="3"/>
  <c r="B388" i="3" s="1"/>
  <c r="N420" i="3"/>
  <c r="B420" i="3" s="1"/>
  <c r="N452" i="3"/>
  <c r="B452" i="3" s="1"/>
  <c r="N484" i="3"/>
  <c r="B484" i="3" s="1"/>
  <c r="N40" i="3"/>
  <c r="B40" i="3" s="1"/>
  <c r="N104" i="3"/>
  <c r="B104" i="3" s="1"/>
  <c r="N168" i="3"/>
  <c r="B168" i="3" s="1"/>
  <c r="N232" i="3"/>
  <c r="B232" i="3" s="1"/>
  <c r="N273" i="3"/>
  <c r="B273" i="3" s="1"/>
  <c r="N305" i="3"/>
  <c r="B305" i="3" s="1"/>
  <c r="N323" i="3"/>
  <c r="B323" i="3" s="1"/>
  <c r="N339" i="3"/>
  <c r="B339" i="3" s="1"/>
  <c r="N355" i="3"/>
  <c r="B355" i="3" s="1"/>
  <c r="N371" i="3"/>
  <c r="B371" i="3" s="1"/>
  <c r="N387" i="3"/>
  <c r="B387" i="3" s="1"/>
  <c r="N403" i="3"/>
  <c r="B403" i="3" s="1"/>
  <c r="N419" i="3"/>
  <c r="B419" i="3" s="1"/>
  <c r="N435" i="3"/>
  <c r="B435" i="3" s="1"/>
  <c r="N451" i="3"/>
  <c r="B451" i="3" s="1"/>
  <c r="N467" i="3"/>
  <c r="B467" i="3" s="1"/>
  <c r="N483" i="3"/>
  <c r="B483" i="3" s="1"/>
  <c r="N499" i="3"/>
  <c r="B499" i="3" s="1"/>
  <c r="N134" i="3"/>
  <c r="B134" i="3" s="1"/>
  <c r="N198" i="3"/>
  <c r="B198" i="3" s="1"/>
  <c r="N256" i="3"/>
  <c r="B256" i="3" s="1"/>
  <c r="N288" i="3"/>
  <c r="B288" i="3" s="1"/>
  <c r="N320" i="3"/>
  <c r="B320" i="3" s="1"/>
  <c r="N352" i="3"/>
  <c r="B352" i="3" s="1"/>
  <c r="N384" i="3"/>
  <c r="B384" i="3" s="1"/>
  <c r="N416" i="3"/>
  <c r="B416" i="3" s="1"/>
  <c r="N448" i="3"/>
  <c r="B448" i="3" s="1"/>
  <c r="N480" i="3"/>
  <c r="B480" i="3" s="1"/>
  <c r="N32" i="3"/>
  <c r="B32" i="3" s="1"/>
  <c r="N96" i="3"/>
  <c r="B96" i="3" s="1"/>
  <c r="N160" i="3"/>
  <c r="B160" i="3" s="1"/>
  <c r="N224" i="3"/>
  <c r="B224" i="3" s="1"/>
  <c r="N269" i="3"/>
  <c r="B269" i="3" s="1"/>
  <c r="N301" i="3"/>
  <c r="B301" i="3" s="1"/>
  <c r="N114" i="3"/>
  <c r="B114" i="3" s="1"/>
  <c r="N170" i="3"/>
  <c r="B170" i="3" s="1"/>
  <c r="N234" i="3"/>
  <c r="B234" i="3" s="1"/>
  <c r="N274" i="3"/>
  <c r="B274" i="3" s="1"/>
  <c r="N306" i="3"/>
  <c r="B306" i="3" s="1"/>
  <c r="N338" i="3"/>
  <c r="B338" i="3" s="1"/>
  <c r="N370" i="3"/>
  <c r="B370" i="3" s="1"/>
  <c r="N402" i="3"/>
  <c r="B402" i="3" s="1"/>
  <c r="N434" i="3"/>
  <c r="B434" i="3" s="1"/>
  <c r="N223" i="3"/>
  <c r="B223" i="3" s="1"/>
  <c r="N61" i="3"/>
  <c r="B61" i="3" s="1"/>
  <c r="N137" i="3"/>
  <c r="B137" i="3" s="1"/>
  <c r="N139" i="3"/>
  <c r="B139" i="3" s="1"/>
  <c r="N27" i="3"/>
  <c r="B27" i="3" s="1"/>
  <c r="N34" i="3"/>
  <c r="B34" i="3" s="1"/>
  <c r="N298" i="3"/>
  <c r="B298" i="3" s="1"/>
  <c r="N404" i="3"/>
  <c r="B404" i="3" s="1"/>
  <c r="N116" i="3"/>
  <c r="B116" i="3" s="1"/>
  <c r="N289" i="3"/>
  <c r="B289" i="3" s="1"/>
  <c r="N375" i="3"/>
  <c r="B375" i="3" s="1"/>
  <c r="N31" i="3"/>
  <c r="B31" i="3" s="1"/>
  <c r="N231" i="3"/>
  <c r="B231" i="3" s="1"/>
  <c r="N173" i="3"/>
  <c r="B173" i="3" s="1"/>
  <c r="N147" i="3"/>
  <c r="B147" i="3" s="1"/>
  <c r="N57" i="3"/>
  <c r="B57" i="3" s="1"/>
  <c r="N49" i="3"/>
  <c r="B49" i="3" s="1"/>
  <c r="N154" i="3"/>
  <c r="B154" i="3" s="1"/>
  <c r="N308" i="3"/>
  <c r="B308" i="3" s="1"/>
  <c r="N458" i="3"/>
  <c r="B458" i="3" s="1"/>
  <c r="N136" i="3"/>
  <c r="B136" i="3" s="1"/>
  <c r="N327" i="3"/>
  <c r="B327" i="3" s="1"/>
  <c r="N379" i="3"/>
  <c r="B379" i="3" s="1"/>
  <c r="N423" i="3"/>
  <c r="B423" i="3" s="1"/>
  <c r="N443" i="3"/>
  <c r="B443" i="3" s="1"/>
  <c r="N487" i="3"/>
  <c r="B487" i="3" s="1"/>
  <c r="N26" i="3"/>
  <c r="B26" i="3" s="1"/>
  <c r="N262" i="3"/>
  <c r="B262" i="3" s="1"/>
  <c r="N304" i="3"/>
  <c r="B304" i="3" s="1"/>
  <c r="N390" i="3"/>
  <c r="B390" i="3" s="1"/>
  <c r="N432" i="3"/>
  <c r="B432" i="3" s="1"/>
  <c r="N44" i="3"/>
  <c r="B44" i="3" s="1"/>
  <c r="N128" i="3"/>
  <c r="B128" i="3" s="1"/>
  <c r="N275" i="3"/>
  <c r="B275" i="3" s="1"/>
  <c r="N42" i="3"/>
  <c r="B42" i="3" s="1"/>
  <c r="N252" i="3"/>
  <c r="B252" i="3" s="1"/>
  <c r="N290" i="3"/>
  <c r="B290" i="3" s="1"/>
  <c r="N380" i="3"/>
  <c r="B380" i="3" s="1"/>
  <c r="N418" i="3"/>
  <c r="B418" i="3" s="1"/>
  <c r="N189" i="3"/>
  <c r="B189" i="3" s="1"/>
  <c r="N83" i="3"/>
  <c r="B83" i="3" s="1"/>
  <c r="N211" i="3"/>
  <c r="B211" i="3" s="1"/>
  <c r="N155" i="3"/>
  <c r="B155" i="3" s="1"/>
  <c r="N50" i="3"/>
  <c r="B50" i="3" s="1"/>
  <c r="N218" i="3"/>
  <c r="B218" i="3" s="1"/>
  <c r="N331" i="3"/>
  <c r="B331" i="3" s="1"/>
  <c r="N363" i="3"/>
  <c r="B363" i="3" s="1"/>
  <c r="N190" i="3"/>
  <c r="B190" i="3" s="1"/>
  <c r="N316" i="3"/>
  <c r="B316" i="3" s="1"/>
  <c r="N412" i="3"/>
  <c r="B412" i="3" s="1"/>
  <c r="N498" i="3"/>
  <c r="B498" i="3" s="1"/>
  <c r="N152" i="3"/>
  <c r="B152" i="3" s="1"/>
  <c r="N271" i="3"/>
  <c r="B271" i="3" s="1"/>
  <c r="N329" i="3"/>
  <c r="B329" i="3" s="1"/>
  <c r="N349" i="3"/>
  <c r="B349" i="3" s="1"/>
  <c r="N385" i="3"/>
  <c r="B385" i="3" s="1"/>
  <c r="N421" i="3"/>
  <c r="B421" i="3" s="1"/>
  <c r="N457" i="3"/>
  <c r="B457" i="3" s="1"/>
  <c r="N477" i="3"/>
  <c r="B477" i="3" s="1"/>
  <c r="N90" i="3"/>
  <c r="B90" i="3" s="1"/>
  <c r="N254" i="3"/>
  <c r="B254" i="3" s="1"/>
  <c r="N328" i="3"/>
  <c r="B328" i="3" s="1"/>
  <c r="N366" i="3"/>
  <c r="B366" i="3" s="1"/>
  <c r="N440" i="3"/>
  <c r="B440" i="3" s="1"/>
  <c r="N472" i="3"/>
  <c r="B472" i="3" s="1"/>
  <c r="N16" i="3"/>
  <c r="B16" i="3" s="1"/>
  <c r="N80" i="3"/>
  <c r="B80" i="3" s="1"/>
  <c r="N144" i="3"/>
  <c r="B144" i="3" s="1"/>
  <c r="N208" i="3"/>
  <c r="B208" i="3" s="1"/>
  <c r="N261" i="3"/>
  <c r="B261" i="3" s="1"/>
  <c r="N293" i="3"/>
  <c r="B293" i="3" s="1"/>
  <c r="N37" i="3"/>
  <c r="B37" i="3" s="1"/>
  <c r="N101" i="3"/>
  <c r="B101" i="3" s="1"/>
  <c r="N165" i="3"/>
  <c r="B165" i="3" s="1"/>
  <c r="N227" i="3"/>
  <c r="B227" i="3" s="1"/>
  <c r="N30" i="3"/>
  <c r="B30" i="3" s="1"/>
  <c r="N94" i="3"/>
  <c r="B94" i="3" s="1"/>
  <c r="N55" i="3"/>
  <c r="B55" i="3" s="1"/>
  <c r="N119" i="3"/>
  <c r="B119" i="3" s="1"/>
  <c r="N183" i="3"/>
  <c r="B183" i="3" s="1"/>
  <c r="N233" i="3"/>
  <c r="B233" i="3" s="1"/>
  <c r="N47" i="3"/>
  <c r="B47" i="3" s="1"/>
  <c r="N175" i="3"/>
  <c r="B175" i="3" s="1"/>
  <c r="N38" i="3"/>
  <c r="B38" i="3" s="1"/>
  <c r="N65" i="3"/>
  <c r="B65" i="3" s="1"/>
  <c r="N193" i="3"/>
  <c r="B193" i="3" s="1"/>
  <c r="N121" i="3"/>
  <c r="B121" i="3" s="1"/>
  <c r="N468" i="3"/>
  <c r="B468" i="3" s="1"/>
  <c r="N72" i="3"/>
  <c r="B72" i="3" s="1"/>
  <c r="N200" i="3"/>
  <c r="B200" i="3" s="1"/>
  <c r="N202" i="3"/>
  <c r="B202" i="3" s="1"/>
  <c r="N322" i="3"/>
  <c r="B322" i="3" s="1"/>
  <c r="N24" i="3"/>
  <c r="B24" i="3" s="1"/>
  <c r="N164" i="3"/>
  <c r="B164" i="3" s="1"/>
  <c r="N281" i="3"/>
  <c r="B281" i="3" s="1"/>
  <c r="N317" i="3"/>
  <c r="B317" i="3" s="1"/>
  <c r="N353" i="3"/>
  <c r="B353" i="3" s="1"/>
  <c r="N389" i="3"/>
  <c r="B389" i="3" s="1"/>
  <c r="N425" i="3"/>
  <c r="B425" i="3" s="1"/>
  <c r="N445" i="3"/>
  <c r="B445" i="3" s="1"/>
  <c r="N481" i="3"/>
  <c r="B481" i="3" s="1"/>
  <c r="N130" i="3"/>
  <c r="B130" i="3" s="1"/>
  <c r="N264" i="3"/>
  <c r="B264" i="3" s="1"/>
  <c r="N302" i="3"/>
  <c r="B302" i="3" s="1"/>
  <c r="N376" i="3"/>
  <c r="B376" i="3" s="1"/>
  <c r="N446" i="3"/>
  <c r="B446" i="3" s="1"/>
  <c r="N478" i="3"/>
  <c r="B478" i="3" s="1"/>
  <c r="N28" i="3"/>
  <c r="B28" i="3" s="1"/>
  <c r="N92" i="3"/>
  <c r="B92" i="3" s="1"/>
  <c r="N156" i="3"/>
  <c r="B156" i="3" s="1"/>
  <c r="N220" i="3"/>
  <c r="B220" i="3" s="1"/>
  <c r="N267" i="3"/>
  <c r="B267" i="3" s="1"/>
  <c r="N299" i="3"/>
  <c r="B299" i="3" s="1"/>
  <c r="N53" i="3"/>
  <c r="B53" i="3" s="1"/>
  <c r="N117" i="3"/>
  <c r="B117" i="3" s="1"/>
  <c r="N181" i="3"/>
  <c r="B181" i="3" s="1"/>
  <c r="N235" i="3"/>
  <c r="B235" i="3" s="1"/>
  <c r="N46" i="3"/>
  <c r="B46" i="3" s="1"/>
  <c r="N110" i="3"/>
  <c r="B110" i="3" s="1"/>
  <c r="N71" i="3"/>
  <c r="B71" i="3" s="1"/>
  <c r="N135" i="3"/>
  <c r="B135" i="3" s="1"/>
  <c r="N199" i="3"/>
  <c r="B199" i="3" s="1"/>
  <c r="N241" i="3"/>
  <c r="B241" i="3" s="1"/>
  <c r="N45" i="3"/>
  <c r="B45" i="3" s="1"/>
  <c r="N229" i="3"/>
  <c r="B229" i="3" s="1"/>
  <c r="N113" i="3"/>
  <c r="B113" i="3" s="1"/>
  <c r="N106" i="3"/>
  <c r="B106" i="3" s="1"/>
  <c r="N276" i="3"/>
  <c r="B276" i="3" s="1"/>
  <c r="N362" i="3"/>
  <c r="B362" i="3" s="1"/>
  <c r="N455" i="3"/>
  <c r="B455" i="3" s="1"/>
  <c r="N294" i="3"/>
  <c r="B294" i="3" s="1"/>
  <c r="N64" i="3"/>
  <c r="B64" i="3" s="1"/>
  <c r="N56" i="3"/>
  <c r="B56" i="3" s="1"/>
  <c r="N255" i="3"/>
  <c r="B255" i="3" s="1"/>
  <c r="N333" i="3"/>
  <c r="B333" i="3" s="1"/>
  <c r="N357" i="3"/>
  <c r="B357" i="3" s="1"/>
  <c r="N381" i="3"/>
  <c r="B381" i="3" s="1"/>
  <c r="N405" i="3"/>
  <c r="B405" i="3" s="1"/>
  <c r="N453" i="3"/>
  <c r="B453" i="3" s="1"/>
  <c r="N312" i="3"/>
  <c r="B312" i="3" s="1"/>
  <c r="N408" i="3"/>
  <c r="B408" i="3" s="1"/>
  <c r="N456" i="3"/>
  <c r="B456" i="3" s="1"/>
  <c r="N494" i="3"/>
  <c r="B494" i="3" s="1"/>
  <c r="N176" i="3"/>
  <c r="B176" i="3" s="1"/>
  <c r="N251" i="3"/>
  <c r="B251" i="3" s="1"/>
  <c r="N69" i="3"/>
  <c r="B69" i="3" s="1"/>
  <c r="N149" i="3"/>
  <c r="B149" i="3" s="1"/>
  <c r="N62" i="3"/>
  <c r="B62" i="3" s="1"/>
  <c r="N39" i="3"/>
  <c r="B39" i="3" s="1"/>
  <c r="N215" i="3"/>
  <c r="B215" i="3" s="1"/>
  <c r="N51" i="3"/>
  <c r="B51" i="3" s="1"/>
  <c r="N95" i="3"/>
  <c r="B95" i="3" s="1"/>
  <c r="N22" i="3"/>
  <c r="B22" i="3" s="1"/>
  <c r="N109" i="3"/>
  <c r="B109" i="3" s="1"/>
  <c r="N195" i="3"/>
  <c r="B195" i="3" s="1"/>
  <c r="N177" i="3"/>
  <c r="B177" i="3" s="1"/>
  <c r="N174" i="3"/>
  <c r="B174" i="3" s="1"/>
  <c r="N279" i="3"/>
  <c r="B279" i="3" s="1"/>
  <c r="N343" i="3"/>
  <c r="B343" i="3" s="1"/>
  <c r="N427" i="3"/>
  <c r="B427" i="3" s="1"/>
  <c r="N230" i="3"/>
  <c r="B230" i="3" s="1"/>
  <c r="N464" i="3"/>
  <c r="B464" i="3" s="1"/>
  <c r="N88" i="3"/>
  <c r="B88" i="3" s="1"/>
  <c r="N184" i="3"/>
  <c r="B184" i="3" s="1"/>
  <c r="N265" i="3"/>
  <c r="B265" i="3" s="1"/>
  <c r="N313" i="3"/>
  <c r="B313" i="3" s="1"/>
  <c r="N361" i="3"/>
  <c r="B361" i="3" s="1"/>
  <c r="N413" i="3"/>
  <c r="B413" i="3" s="1"/>
  <c r="N461" i="3"/>
  <c r="B461" i="3" s="1"/>
  <c r="N485" i="3"/>
  <c r="B485" i="3" s="1"/>
  <c r="N74" i="3"/>
  <c r="B74" i="3" s="1"/>
  <c r="N194" i="3"/>
  <c r="B194" i="3" s="1"/>
  <c r="N318" i="3"/>
  <c r="B318" i="3" s="1"/>
  <c r="N462" i="3"/>
  <c r="B462" i="3" s="1"/>
  <c r="N112" i="3"/>
  <c r="B112" i="3" s="1"/>
  <c r="N188" i="3"/>
  <c r="B188" i="3" s="1"/>
  <c r="N309" i="3"/>
  <c r="B309" i="3" s="1"/>
  <c r="N85" i="3"/>
  <c r="B85" i="3" s="1"/>
  <c r="N243" i="3"/>
  <c r="B243" i="3" s="1"/>
  <c r="N78" i="3"/>
  <c r="B78" i="3" s="1"/>
  <c r="N151" i="3"/>
  <c r="B151" i="3" s="1"/>
  <c r="N225" i="3"/>
  <c r="B225" i="3" s="1"/>
  <c r="N86" i="3"/>
  <c r="B86" i="3" s="1"/>
  <c r="N201" i="3"/>
  <c r="B201" i="3" s="1"/>
  <c r="N67" i="3"/>
  <c r="B67" i="3" s="1"/>
  <c r="N426" i="3"/>
  <c r="B426" i="3" s="1"/>
  <c r="N311" i="3"/>
  <c r="B311" i="3" s="1"/>
  <c r="N236" i="3"/>
  <c r="B236" i="3" s="1"/>
  <c r="N354" i="3"/>
  <c r="B354" i="3" s="1"/>
  <c r="N36" i="3"/>
  <c r="B36" i="3" s="1"/>
  <c r="N325" i="3"/>
  <c r="B325" i="3" s="1"/>
  <c r="N393" i="3"/>
  <c r="B393" i="3" s="1"/>
  <c r="N489" i="3"/>
  <c r="B489" i="3" s="1"/>
  <c r="N150" i="3"/>
  <c r="B150" i="3" s="1"/>
  <c r="N270" i="3"/>
  <c r="B270" i="3" s="1"/>
  <c r="N334" i="3"/>
  <c r="B334" i="3" s="1"/>
  <c r="N392" i="3"/>
  <c r="B392" i="3" s="1"/>
  <c r="N48" i="3"/>
  <c r="B48" i="3" s="1"/>
  <c r="N21" i="3"/>
  <c r="B21" i="3" s="1"/>
  <c r="N133" i="3"/>
  <c r="B133" i="3" s="1"/>
  <c r="N103" i="3"/>
  <c r="B103" i="3" s="1"/>
  <c r="N111" i="3"/>
  <c r="B111" i="3" s="1"/>
  <c r="N102" i="3"/>
  <c r="B102" i="3" s="1"/>
  <c r="N75" i="3"/>
  <c r="B75" i="3" s="1"/>
  <c r="N91" i="3"/>
  <c r="B91" i="3" s="1"/>
  <c r="N330" i="3"/>
  <c r="B330" i="3" s="1"/>
  <c r="N436" i="3"/>
  <c r="B436" i="3" s="1"/>
  <c r="N315" i="3"/>
  <c r="B315" i="3" s="1"/>
  <c r="N475" i="3"/>
  <c r="B475" i="3" s="1"/>
  <c r="N166" i="3"/>
  <c r="B166" i="3" s="1"/>
  <c r="N326" i="3"/>
  <c r="B326" i="3" s="1"/>
  <c r="N422" i="3"/>
  <c r="B422" i="3" s="1"/>
  <c r="N253" i="3"/>
  <c r="B253" i="3" s="1"/>
  <c r="N138" i="3"/>
  <c r="B138" i="3" s="1"/>
  <c r="N284" i="3"/>
  <c r="B284" i="3" s="1"/>
  <c r="N450" i="3"/>
  <c r="B450" i="3" s="1"/>
  <c r="N196" i="3"/>
  <c r="B196" i="3" s="1"/>
  <c r="N287" i="3"/>
  <c r="B287" i="3" s="1"/>
  <c r="N365" i="3"/>
  <c r="B365" i="3" s="1"/>
  <c r="N397" i="3"/>
  <c r="B397" i="3" s="1"/>
  <c r="N429" i="3"/>
  <c r="B429" i="3" s="1"/>
  <c r="N465" i="3"/>
  <c r="B465" i="3" s="1"/>
  <c r="N493" i="3"/>
  <c r="B493" i="3" s="1"/>
  <c r="N162" i="3"/>
  <c r="B162" i="3" s="1"/>
  <c r="N280" i="3"/>
  <c r="B280" i="3" s="1"/>
  <c r="N344" i="3"/>
  <c r="B344" i="3" s="1"/>
  <c r="N398" i="3"/>
  <c r="B398" i="3" s="1"/>
  <c r="N73" i="3"/>
  <c r="B73" i="3" s="1"/>
  <c r="N131" i="3"/>
  <c r="B131" i="3" s="1"/>
  <c r="N391" i="3"/>
  <c r="B391" i="3" s="1"/>
  <c r="N439" i="3"/>
  <c r="B439" i="3" s="1"/>
  <c r="N491" i="3"/>
  <c r="B491" i="3" s="1"/>
  <c r="N336" i="3"/>
  <c r="B336" i="3" s="1"/>
  <c r="N108" i="3"/>
  <c r="B108" i="3" s="1"/>
  <c r="N285" i="3"/>
  <c r="B285" i="3" s="1"/>
  <c r="N476" i="3"/>
  <c r="B476" i="3" s="1"/>
  <c r="N100" i="3"/>
  <c r="B100" i="3" s="1"/>
  <c r="N216" i="3"/>
  <c r="B216" i="3" s="1"/>
  <c r="N297" i="3"/>
  <c r="B297" i="3" s="1"/>
  <c r="N341" i="3"/>
  <c r="B341" i="3" s="1"/>
  <c r="N373" i="3"/>
  <c r="B373" i="3" s="1"/>
  <c r="N401" i="3"/>
  <c r="B401" i="3" s="1"/>
  <c r="N437" i="3"/>
  <c r="B437" i="3" s="1"/>
  <c r="N469" i="3"/>
  <c r="B469" i="3" s="1"/>
  <c r="N501" i="3"/>
  <c r="B501" i="3" s="1"/>
  <c r="N214" i="3"/>
  <c r="B214" i="3" s="1"/>
  <c r="N286" i="3"/>
  <c r="B286" i="3" s="1"/>
  <c r="N350" i="3"/>
  <c r="B350" i="3" s="1"/>
  <c r="N424" i="3"/>
  <c r="B424" i="3" s="1"/>
  <c r="N185" i="3"/>
  <c r="B185" i="3" s="1"/>
  <c r="N238" i="3"/>
  <c r="B238" i="3" s="1"/>
  <c r="N372" i="3"/>
  <c r="B372" i="3" s="1"/>
  <c r="N490" i="3"/>
  <c r="B490" i="3" s="1"/>
  <c r="N244" i="3"/>
  <c r="B244" i="3" s="1"/>
  <c r="N395" i="3"/>
  <c r="B395" i="3" s="1"/>
  <c r="N358" i="3"/>
  <c r="B358" i="3" s="1"/>
  <c r="N454" i="3"/>
  <c r="B454" i="3" s="1"/>
  <c r="N482" i="3"/>
  <c r="B482" i="3" s="1"/>
  <c r="N228" i="3"/>
  <c r="B228" i="3" s="1"/>
  <c r="N303" i="3"/>
  <c r="B303" i="3" s="1"/>
  <c r="N409" i="3"/>
  <c r="B409" i="3" s="1"/>
  <c r="N441" i="3"/>
  <c r="B441" i="3" s="1"/>
  <c r="N18" i="3"/>
  <c r="B18" i="3" s="1"/>
  <c r="N226" i="3"/>
  <c r="B226" i="3" s="1"/>
  <c r="N296" i="3"/>
  <c r="B296" i="3" s="1"/>
  <c r="N360" i="3"/>
  <c r="B360" i="3" s="1"/>
  <c r="N430" i="3"/>
  <c r="B430" i="3" s="1"/>
  <c r="N125" i="3"/>
  <c r="B125" i="3" s="1"/>
  <c r="N129" i="3"/>
  <c r="B129" i="3" s="1"/>
  <c r="N219" i="3"/>
  <c r="B219" i="3" s="1"/>
  <c r="N394" i="3"/>
  <c r="B394" i="3" s="1"/>
  <c r="N257" i="3"/>
  <c r="B257" i="3" s="1"/>
  <c r="N407" i="3"/>
  <c r="B407" i="3" s="1"/>
  <c r="N249" i="3"/>
  <c r="B249" i="3" s="1"/>
  <c r="N368" i="3"/>
  <c r="B368" i="3" s="1"/>
  <c r="N120" i="3"/>
  <c r="B120" i="3" s="1"/>
  <c r="N377" i="3"/>
  <c r="B377" i="3" s="1"/>
  <c r="N60" i="3"/>
  <c r="B60" i="3" s="1"/>
  <c r="N240" i="3"/>
  <c r="B240" i="3" s="1"/>
  <c r="N203" i="3"/>
  <c r="B203" i="3" s="1"/>
  <c r="N172" i="3"/>
  <c r="B172" i="3" s="1"/>
  <c r="N132" i="3"/>
  <c r="B132" i="3" s="1"/>
  <c r="N321" i="3"/>
  <c r="B321" i="3" s="1"/>
  <c r="N449" i="3"/>
  <c r="B449" i="3" s="1"/>
  <c r="N14" i="3"/>
  <c r="B14" i="3" s="1"/>
  <c r="N87" i="3"/>
  <c r="B87" i="3" s="1"/>
  <c r="N19" i="3"/>
  <c r="B19" i="3" s="1"/>
  <c r="N411" i="3"/>
  <c r="B411" i="3" s="1"/>
  <c r="N146" i="3"/>
  <c r="B146" i="3" s="1"/>
  <c r="N400" i="3"/>
  <c r="B400" i="3" s="1"/>
  <c r="N192" i="3"/>
  <c r="B192" i="3" s="1"/>
  <c r="N258" i="3"/>
  <c r="B258" i="3" s="1"/>
  <c r="N444" i="3"/>
  <c r="B444" i="3" s="1"/>
  <c r="N277" i="3"/>
  <c r="B277" i="3" s="1"/>
  <c r="N340" i="3"/>
  <c r="B340" i="3" s="1"/>
  <c r="N210" i="3"/>
  <c r="B210" i="3" s="1"/>
  <c r="N496" i="3"/>
  <c r="B496" i="3" s="1"/>
  <c r="N68" i="3"/>
  <c r="B68" i="3" s="1"/>
  <c r="N488" i="3"/>
  <c r="B488" i="3" s="1"/>
  <c r="N197" i="3"/>
  <c r="B197" i="3" s="1"/>
  <c r="N359" i="3"/>
  <c r="B359" i="3" s="1"/>
  <c r="N272" i="3"/>
  <c r="B272" i="3" s="1"/>
  <c r="N473" i="3"/>
  <c r="B473" i="3" s="1"/>
  <c r="N283" i="3"/>
  <c r="B283" i="3" s="1"/>
  <c r="N167" i="3"/>
  <c r="B167" i="3" s="1"/>
  <c r="N52" i="3"/>
  <c r="B52" i="3" s="1"/>
  <c r="N386" i="3"/>
  <c r="B386" i="3" s="1"/>
  <c r="N307" i="3"/>
  <c r="B307" i="3" s="1"/>
  <c r="N466" i="3"/>
  <c r="B466" i="3" s="1"/>
  <c r="N497" i="3"/>
  <c r="B497" i="3" s="1"/>
  <c r="N382" i="3"/>
  <c r="B382" i="3" s="1"/>
  <c r="N124" i="3"/>
  <c r="B124" i="3" s="1"/>
  <c r="N159" i="3"/>
  <c r="B159" i="3" s="1"/>
  <c r="N266" i="3"/>
  <c r="B266" i="3" s="1"/>
  <c r="N459" i="3"/>
  <c r="B459" i="3" s="1"/>
  <c r="N126" i="3"/>
  <c r="B126" i="3" s="1"/>
  <c r="N182" i="3"/>
  <c r="B182" i="3" s="1"/>
  <c r="N500" i="3"/>
  <c r="B500" i="3" s="1"/>
  <c r="N180" i="3"/>
  <c r="B180" i="3" s="1"/>
  <c r="N486" i="3"/>
  <c r="B486" i="3" s="1"/>
  <c r="N414" i="3"/>
  <c r="B414" i="3" s="1"/>
  <c r="N347" i="3"/>
  <c r="B347" i="3" s="1"/>
  <c r="N471" i="3"/>
  <c r="B471" i="3" s="1"/>
  <c r="N337" i="3"/>
  <c r="B337" i="3" s="1"/>
  <c r="N23" i="3"/>
  <c r="B23" i="3" s="1"/>
  <c r="N237" i="3"/>
  <c r="B237" i="3" s="1"/>
  <c r="N492" i="3"/>
  <c r="B492" i="3" s="1"/>
  <c r="N417" i="3"/>
  <c r="B417" i="3" s="1"/>
  <c r="N345" i="3"/>
  <c r="B345" i="3" s="1"/>
  <c r="N246" i="3"/>
  <c r="B246" i="3" s="1"/>
  <c r="N348" i="3"/>
  <c r="B348" i="3" s="1"/>
  <c r="N369" i="3"/>
  <c r="B369" i="3" s="1"/>
  <c r="N433" i="3"/>
  <c r="B433" i="3" s="1"/>
  <c r="N248" i="3"/>
  <c r="B248" i="3" s="1"/>
  <c r="N213" i="3"/>
  <c r="B213" i="3" s="1"/>
  <c r="C62" i="1"/>
  <c r="E62" i="1" s="1"/>
  <c r="J62" i="1"/>
  <c r="K62" i="1"/>
  <c r="C107" i="1"/>
  <c r="E107" i="1" s="1"/>
  <c r="K107" i="1"/>
  <c r="J107" i="1"/>
  <c r="C49" i="1"/>
  <c r="E49" i="1" s="1"/>
  <c r="J49" i="1"/>
  <c r="K49" i="1"/>
  <c r="C99" i="1"/>
  <c r="E99" i="1" s="1"/>
  <c r="J99" i="1"/>
  <c r="K99" i="1"/>
  <c r="C65" i="1"/>
  <c r="E65" i="1" s="1"/>
  <c r="J65" i="1"/>
  <c r="K65" i="1"/>
  <c r="K43" i="1"/>
  <c r="C43" i="1"/>
  <c r="E43" i="1" s="1"/>
  <c r="J43" i="1"/>
  <c r="K22" i="1"/>
  <c r="J22" i="1"/>
  <c r="C22" i="1"/>
  <c r="E22" i="1" s="1"/>
  <c r="J21" i="1"/>
  <c r="C21" i="1"/>
  <c r="E21" i="1" s="1"/>
  <c r="K21" i="1"/>
  <c r="J94" i="1"/>
  <c r="C94" i="1"/>
  <c r="E94" i="1" s="1"/>
  <c r="K94" i="1"/>
  <c r="J38" i="1"/>
  <c r="C38" i="1"/>
  <c r="E38" i="1" s="1"/>
  <c r="K38" i="1"/>
  <c r="K102" i="1"/>
  <c r="C102" i="1"/>
  <c r="E102" i="1" s="1"/>
  <c r="J102" i="1"/>
  <c r="C88" i="1"/>
  <c r="E88" i="1" s="1"/>
  <c r="J88" i="1"/>
  <c r="K88" i="1"/>
  <c r="J23" i="1"/>
  <c r="K23" i="1"/>
  <c r="C23" i="1"/>
  <c r="E23" i="1" s="1"/>
  <c r="C98" i="1"/>
  <c r="E98" i="1" s="1"/>
  <c r="K98" i="1"/>
  <c r="J98" i="1"/>
  <c r="K76" i="1"/>
  <c r="J76" i="1"/>
  <c r="C76" i="1"/>
  <c r="E76" i="1" s="1"/>
  <c r="K54" i="1"/>
  <c r="J54" i="1"/>
  <c r="C54" i="1"/>
  <c r="E54" i="1" s="1"/>
  <c r="J109" i="1"/>
  <c r="C109" i="1"/>
  <c r="E109" i="1" s="1"/>
  <c r="K109" i="1"/>
  <c r="C77" i="1"/>
  <c r="E77" i="1" s="1"/>
  <c r="J77" i="1"/>
  <c r="K77" i="1"/>
  <c r="J66" i="1"/>
  <c r="K66" i="1"/>
  <c r="C66" i="1"/>
  <c r="E66" i="1" s="1"/>
  <c r="K58" i="1"/>
  <c r="C58" i="1"/>
  <c r="E58" i="1" s="1"/>
  <c r="J58" i="1"/>
  <c r="K108" i="1"/>
  <c r="J108" i="1"/>
  <c r="C108" i="1"/>
  <c r="E108" i="1" s="1"/>
  <c r="C61" i="1"/>
  <c r="E61" i="1" s="1"/>
  <c r="J61" i="1"/>
  <c r="K61" i="1"/>
  <c r="K60" i="1"/>
  <c r="J60" i="1"/>
  <c r="C60" i="1"/>
  <c r="E60" i="1" s="1"/>
  <c r="K48" i="1"/>
  <c r="J48" i="1"/>
  <c r="C48" i="1"/>
  <c r="E48" i="1" s="1"/>
  <c r="C112" i="1"/>
  <c r="E112" i="1" s="1"/>
  <c r="K112" i="1"/>
  <c r="J112" i="1"/>
  <c r="K81" i="1"/>
  <c r="J81" i="1"/>
  <c r="C81" i="1"/>
  <c r="E81" i="1" s="1"/>
  <c r="J86" i="1"/>
  <c r="K86" i="1"/>
  <c r="C86" i="1"/>
  <c r="E86" i="1" s="1"/>
  <c r="J45" i="1"/>
  <c r="K45" i="1"/>
  <c r="C45" i="1"/>
  <c r="E45" i="1" s="1"/>
  <c r="J50" i="1"/>
  <c r="K50" i="1"/>
  <c r="C50" i="1"/>
  <c r="E50" i="1" s="1"/>
  <c r="J111" i="1"/>
  <c r="C111" i="1"/>
  <c r="E111" i="1" s="1"/>
  <c r="K111" i="1"/>
  <c r="J104" i="1"/>
  <c r="K104" i="1"/>
  <c r="C104" i="1"/>
  <c r="E104" i="1" s="1"/>
  <c r="C73" i="1"/>
  <c r="E73" i="1" s="1"/>
  <c r="K73" i="1"/>
  <c r="J73" i="1"/>
  <c r="C72" i="1"/>
  <c r="E72" i="1" s="1"/>
  <c r="K72" i="1"/>
  <c r="J72" i="1"/>
  <c r="J39" i="1"/>
  <c r="C39" i="1"/>
  <c r="E39" i="1" s="1"/>
  <c r="K39" i="1"/>
  <c r="K44" i="1"/>
  <c r="C44" i="1"/>
  <c r="E44" i="1" s="1"/>
  <c r="J44" i="1"/>
  <c r="K101" i="1"/>
  <c r="C101" i="1"/>
  <c r="E101" i="1" s="1"/>
  <c r="J101" i="1"/>
  <c r="K96" i="1"/>
  <c r="C96" i="1"/>
  <c r="E96" i="1" s="1"/>
  <c r="J96" i="1"/>
  <c r="J71" i="1"/>
  <c r="C71" i="1"/>
  <c r="E71" i="1" s="1"/>
  <c r="K71" i="1"/>
  <c r="K82" i="1"/>
  <c r="J82" i="1"/>
  <c r="C82" i="1"/>
  <c r="E82" i="1" s="1"/>
  <c r="K55" i="1"/>
  <c r="J55" i="1"/>
  <c r="C55" i="1"/>
  <c r="E55" i="1" s="1"/>
  <c r="C30" i="1"/>
  <c r="E30" i="1" s="1"/>
  <c r="J30" i="1"/>
  <c r="K30" i="1"/>
  <c r="J42" i="1"/>
  <c r="K42" i="1"/>
  <c r="C42" i="1"/>
  <c r="E42" i="1" s="1"/>
  <c r="K97" i="1"/>
  <c r="J97" i="1"/>
  <c r="C97" i="1"/>
  <c r="E97" i="1" s="1"/>
  <c r="K93" i="1"/>
  <c r="J93" i="1"/>
  <c r="C93" i="1"/>
  <c r="E93" i="1" s="1"/>
  <c r="J67" i="1"/>
  <c r="K67" i="1"/>
  <c r="C67" i="1"/>
  <c r="E67" i="1" s="1"/>
  <c r="C78" i="1"/>
  <c r="E78" i="1" s="1"/>
  <c r="K78" i="1"/>
  <c r="J78" i="1"/>
  <c r="J53" i="1"/>
  <c r="K53" i="1"/>
  <c r="C53" i="1"/>
  <c r="E53" i="1" s="1"/>
  <c r="J27" i="1"/>
  <c r="K27" i="1"/>
  <c r="C27" i="1"/>
  <c r="E27" i="1" s="1"/>
  <c r="J37" i="1"/>
  <c r="K37" i="1"/>
  <c r="C37" i="1"/>
  <c r="E37" i="1" s="1"/>
  <c r="J33" i="1"/>
  <c r="K33" i="1"/>
  <c r="C33" i="1"/>
  <c r="E33" i="1" s="1"/>
  <c r="K113" i="1"/>
  <c r="C113" i="1"/>
  <c r="E113" i="1" s="1"/>
  <c r="J113" i="1"/>
  <c r="C110" i="1"/>
  <c r="E110" i="1" s="1"/>
  <c r="K110" i="1"/>
  <c r="J110" i="1"/>
  <c r="C95" i="1"/>
  <c r="E95" i="1" s="1"/>
  <c r="J95" i="1"/>
  <c r="K95" i="1"/>
  <c r="K79" i="1"/>
  <c r="J79" i="1"/>
  <c r="C79" i="1"/>
  <c r="E79" i="1" s="1"/>
  <c r="K63" i="1"/>
  <c r="C63" i="1"/>
  <c r="E63" i="1" s="1"/>
  <c r="J63" i="1"/>
  <c r="C84" i="1"/>
  <c r="E84" i="1" s="1"/>
  <c r="K84" i="1"/>
  <c r="J84" i="1"/>
  <c r="K68" i="1"/>
  <c r="J68" i="1"/>
  <c r="C68" i="1"/>
  <c r="E68" i="1" s="1"/>
  <c r="J51" i="1"/>
  <c r="C51" i="1"/>
  <c r="E51" i="1" s="1"/>
  <c r="K51" i="1"/>
  <c r="K35" i="1"/>
  <c r="J35" i="1"/>
  <c r="C35" i="1"/>
  <c r="E35" i="1" s="1"/>
  <c r="C56" i="1"/>
  <c r="E56" i="1" s="1"/>
  <c r="K56" i="1"/>
  <c r="J56" i="1"/>
  <c r="J40" i="1"/>
  <c r="C40" i="1"/>
  <c r="E40" i="1" s="1"/>
  <c r="K40" i="1"/>
  <c r="C24" i="1"/>
  <c r="E24" i="1" s="1"/>
  <c r="K24" i="1"/>
  <c r="J24" i="1"/>
  <c r="C115" i="1"/>
  <c r="E115" i="1" s="1"/>
  <c r="J115" i="1"/>
  <c r="K115" i="1"/>
  <c r="K105" i="1"/>
  <c r="J105" i="1"/>
  <c r="C105" i="1"/>
  <c r="E105" i="1" s="1"/>
  <c r="C106" i="1"/>
  <c r="E106" i="1" s="1"/>
  <c r="J106" i="1"/>
  <c r="K106" i="1"/>
  <c r="C91" i="1"/>
  <c r="E91" i="1" s="1"/>
  <c r="J91" i="1"/>
  <c r="K91" i="1"/>
  <c r="J75" i="1"/>
  <c r="K75" i="1"/>
  <c r="C75" i="1"/>
  <c r="E75" i="1" s="1"/>
  <c r="J59" i="1"/>
  <c r="C59" i="1"/>
  <c r="E59" i="1" s="1"/>
  <c r="K59" i="1"/>
  <c r="K80" i="1"/>
  <c r="J80" i="1"/>
  <c r="C80" i="1"/>
  <c r="E80" i="1" s="1"/>
  <c r="K64" i="1"/>
  <c r="C64" i="1"/>
  <c r="E64" i="1" s="1"/>
  <c r="J64" i="1"/>
  <c r="C47" i="1"/>
  <c r="E47" i="1" s="1"/>
  <c r="J47" i="1"/>
  <c r="K47" i="1"/>
  <c r="K31" i="1"/>
  <c r="J31" i="1"/>
  <c r="C31" i="1"/>
  <c r="E31" i="1" s="1"/>
  <c r="C52" i="1"/>
  <c r="E52" i="1" s="1"/>
  <c r="K52" i="1"/>
  <c r="J52" i="1"/>
  <c r="K36" i="1"/>
  <c r="J36" i="1"/>
  <c r="C36" i="1"/>
  <c r="E36" i="1" s="1"/>
  <c r="C103" i="1"/>
  <c r="E103" i="1" s="1"/>
  <c r="J103" i="1"/>
  <c r="K103" i="1"/>
  <c r="C116" i="1"/>
  <c r="E116" i="1" s="1"/>
  <c r="J116" i="1"/>
  <c r="K116" i="1"/>
  <c r="J100" i="1"/>
  <c r="C100" i="1"/>
  <c r="E100" i="1" s="1"/>
  <c r="K100" i="1"/>
  <c r="K85" i="1"/>
  <c r="J85" i="1"/>
  <c r="C85" i="1"/>
  <c r="E85" i="1" s="1"/>
  <c r="C69" i="1"/>
  <c r="E69" i="1" s="1"/>
  <c r="K69" i="1"/>
  <c r="J69" i="1"/>
  <c r="K90" i="1"/>
  <c r="C90" i="1"/>
  <c r="E90" i="1" s="1"/>
  <c r="J90" i="1"/>
  <c r="J74" i="1"/>
  <c r="C74" i="1"/>
  <c r="E74" i="1" s="1"/>
  <c r="K74" i="1"/>
  <c r="C57" i="1"/>
  <c r="E57" i="1" s="1"/>
  <c r="K57" i="1"/>
  <c r="J57" i="1"/>
  <c r="J41" i="1"/>
  <c r="K41" i="1"/>
  <c r="C41" i="1"/>
  <c r="E41" i="1" s="1"/>
  <c r="C26" i="1"/>
  <c r="E26" i="1" s="1"/>
  <c r="J26" i="1"/>
  <c r="K26" i="1"/>
  <c r="J46" i="1"/>
  <c r="K46" i="1"/>
  <c r="C46" i="1"/>
  <c r="E46" i="1" s="1"/>
  <c r="K29" i="1"/>
  <c r="C29" i="1"/>
  <c r="E29" i="1" s="1"/>
  <c r="J29" i="1"/>
  <c r="G65" i="1"/>
  <c r="G91" i="1"/>
  <c r="G62" i="1"/>
  <c r="G79" i="1"/>
  <c r="G46" i="1"/>
  <c r="G82" i="1"/>
  <c r="G58" i="1"/>
  <c r="G53" i="1"/>
  <c r="G23" i="1"/>
  <c r="G71" i="1"/>
  <c r="G24" i="1"/>
  <c r="D92" i="1"/>
  <c r="G66" i="1"/>
  <c r="G56" i="1"/>
  <c r="G35" i="1"/>
  <c r="G102" i="1"/>
  <c r="G59" i="1"/>
  <c r="G38" i="1"/>
  <c r="G42" i="1"/>
  <c r="G80" i="1"/>
  <c r="G39" i="1"/>
  <c r="G55" i="1"/>
  <c r="D32" i="1"/>
  <c r="G85" i="1"/>
  <c r="G57" i="1"/>
  <c r="G64" i="1"/>
  <c r="G52" i="1"/>
  <c r="G107" i="1"/>
  <c r="G109" i="1"/>
  <c r="G21" i="1"/>
  <c r="G88" i="1"/>
  <c r="G30" i="1"/>
  <c r="G103" i="1"/>
  <c r="D34" i="1"/>
  <c r="D89" i="1"/>
  <c r="G106" i="1"/>
  <c r="G96" i="1"/>
  <c r="G41" i="1"/>
  <c r="G74" i="1"/>
  <c r="G97" i="1"/>
  <c r="G72" i="1"/>
  <c r="G61" i="1"/>
  <c r="G31" i="1"/>
  <c r="G48" i="1"/>
  <c r="G104" i="1"/>
  <c r="G115" i="1"/>
  <c r="D114" i="1"/>
  <c r="G26" i="1"/>
  <c r="G110" i="1"/>
  <c r="G44" i="1"/>
  <c r="G116" i="1"/>
  <c r="G45" i="1"/>
  <c r="G69" i="1"/>
  <c r="G111" i="1"/>
  <c r="G94" i="1"/>
  <c r="G27" i="1"/>
  <c r="G84" i="1"/>
  <c r="G54" i="1"/>
  <c r="D70" i="1"/>
  <c r="G50" i="1"/>
  <c r="G43" i="1"/>
  <c r="G68" i="1"/>
  <c r="G108" i="1"/>
  <c r="G101" i="1"/>
  <c r="G51" i="1"/>
  <c r="G63" i="1"/>
  <c r="G75" i="1"/>
  <c r="G36" i="1"/>
  <c r="G67" i="1"/>
  <c r="G98" i="1"/>
  <c r="D28" i="1"/>
  <c r="D83" i="1"/>
  <c r="G99" i="1"/>
  <c r="G77" i="1"/>
  <c r="G47" i="1"/>
  <c r="G22" i="1"/>
  <c r="G49" i="1"/>
  <c r="G29" i="1"/>
  <c r="G78" i="1"/>
  <c r="G60" i="1"/>
  <c r="G73" i="1"/>
  <c r="G76" i="1"/>
  <c r="G113" i="1"/>
  <c r="D25" i="1"/>
  <c r="G81" i="1"/>
  <c r="G95" i="1"/>
  <c r="G100" i="1"/>
  <c r="G37" i="1"/>
  <c r="G40" i="1"/>
  <c r="G33" i="1"/>
  <c r="G90" i="1"/>
  <c r="G86" i="1"/>
  <c r="G112" i="1"/>
  <c r="G105" i="1"/>
  <c r="G93" i="1"/>
  <c r="D87" i="1"/>
  <c r="A91" i="1"/>
  <c r="A106" i="1"/>
  <c r="A24" i="1"/>
  <c r="A39" i="1"/>
  <c r="A68" i="1"/>
  <c r="A90" i="1"/>
  <c r="A97" i="1"/>
  <c r="A105" i="1"/>
  <c r="A96" i="1"/>
  <c r="A36" i="1"/>
  <c r="A116" i="1"/>
  <c r="A107" i="1"/>
  <c r="A75" i="1"/>
  <c r="A44" i="1"/>
  <c r="A45" i="1"/>
  <c r="A53" i="1"/>
  <c r="A108" i="1"/>
  <c r="A65" i="1"/>
  <c r="A66" i="1"/>
  <c r="A109" i="1"/>
  <c r="A104" i="1"/>
  <c r="A99" i="1"/>
  <c r="A78" i="1"/>
  <c r="A29" i="1"/>
  <c r="A85" i="1"/>
  <c r="A61" i="1"/>
  <c r="A21" i="1"/>
  <c r="A43" i="1"/>
  <c r="A101" i="1"/>
  <c r="A98" i="1"/>
  <c r="A88" i="1"/>
  <c r="A49" i="1"/>
  <c r="A95" i="1"/>
  <c r="A35" i="1"/>
  <c r="A52" i="1"/>
  <c r="A74" i="1"/>
  <c r="A63" i="1"/>
  <c r="A111" i="1"/>
  <c r="A48" i="1"/>
  <c r="A76" i="1"/>
  <c r="A56" i="1"/>
  <c r="A84" i="1"/>
  <c r="A31" i="1"/>
  <c r="A59" i="1"/>
  <c r="A55" i="1"/>
  <c r="A37" i="1"/>
  <c r="A77" i="1"/>
  <c r="A27" i="1"/>
  <c r="A50" i="1"/>
  <c r="A38" i="1"/>
  <c r="A112" i="1"/>
  <c r="A110" i="1"/>
  <c r="A115" i="1"/>
  <c r="A71" i="1"/>
  <c r="A60" i="1"/>
  <c r="A80" i="1"/>
  <c r="A64" i="1"/>
  <c r="A73" i="1"/>
  <c r="A30" i="1"/>
  <c r="A51" i="1"/>
  <c r="A22" i="1"/>
  <c r="A81" i="1"/>
  <c r="A41" i="1"/>
  <c r="A47" i="1"/>
  <c r="A86" i="1"/>
  <c r="A72" i="1"/>
  <c r="A100" i="1"/>
  <c r="A103" i="1"/>
  <c r="A54" i="1"/>
  <c r="A58" i="1"/>
  <c r="A113" i="1"/>
  <c r="A79" i="1"/>
  <c r="A42" i="1"/>
  <c r="A93" i="1"/>
  <c r="A67" i="1"/>
  <c r="A62" i="1"/>
  <c r="A82" i="1"/>
  <c r="A40" i="1"/>
  <c r="A23" i="1"/>
  <c r="A57" i="1"/>
  <c r="A46" i="1"/>
  <c r="A102" i="1"/>
  <c r="A69" i="1"/>
  <c r="A94" i="1"/>
  <c r="L81" i="1" l="1"/>
  <c r="L80" i="1"/>
  <c r="J32" i="1"/>
  <c r="K32" i="1"/>
  <c r="C32" i="1"/>
  <c r="E32" i="1" s="1"/>
  <c r="J114" i="1"/>
  <c r="K114" i="1"/>
  <c r="C114" i="1"/>
  <c r="E114" i="1" s="1"/>
  <c r="J25" i="1"/>
  <c r="C25" i="1"/>
  <c r="E25" i="1" s="1"/>
  <c r="K25" i="1"/>
  <c r="J89" i="1"/>
  <c r="C89" i="1"/>
  <c r="E89" i="1" s="1"/>
  <c r="K89" i="1"/>
  <c r="J34" i="1"/>
  <c r="K34" i="1"/>
  <c r="C34" i="1"/>
  <c r="E34" i="1" s="1"/>
  <c r="C87" i="1"/>
  <c r="E87" i="1" s="1"/>
  <c r="J87" i="1"/>
  <c r="K87" i="1"/>
  <c r="K92" i="1"/>
  <c r="C92" i="1"/>
  <c r="E92" i="1" s="1"/>
  <c r="J92" i="1"/>
  <c r="C83" i="1"/>
  <c r="E83" i="1" s="1"/>
  <c r="J83" i="1"/>
  <c r="K83" i="1"/>
  <c r="C28" i="1"/>
  <c r="E28" i="1" s="1"/>
  <c r="K28" i="1"/>
  <c r="J28" i="1"/>
  <c r="J70" i="1"/>
  <c r="K70" i="1"/>
  <c r="C70" i="1"/>
  <c r="E70" i="1" s="1"/>
  <c r="L56" i="1"/>
  <c r="L82" i="1"/>
  <c r="L60" i="1"/>
  <c r="L35" i="1"/>
  <c r="L103" i="1"/>
  <c r="L72" i="1"/>
  <c r="L100" i="1"/>
  <c r="L55" i="1"/>
  <c r="L38" i="1"/>
  <c r="L59" i="1"/>
  <c r="L40" i="1"/>
  <c r="L66" i="1"/>
  <c r="L113" i="1"/>
  <c r="L45" i="1"/>
  <c r="L115" i="1"/>
  <c r="L73" i="1"/>
  <c r="L111" i="1"/>
  <c r="L54" i="1"/>
  <c r="L62" i="1"/>
  <c r="L106" i="1"/>
  <c r="L24" i="1"/>
  <c r="L33" i="1"/>
  <c r="L37" i="1"/>
  <c r="L71" i="1"/>
  <c r="L99" i="1"/>
  <c r="L29" i="1"/>
  <c r="L46" i="1"/>
  <c r="L68" i="1"/>
  <c r="L93" i="1"/>
  <c r="L30" i="1"/>
  <c r="L50" i="1"/>
  <c r="L76" i="1"/>
  <c r="L75" i="1"/>
  <c r="L42" i="1"/>
  <c r="L110" i="1"/>
  <c r="L23" i="1"/>
  <c r="L36" i="1"/>
  <c r="L47" i="1"/>
  <c r="L105" i="1"/>
  <c r="L79" i="1"/>
  <c r="L39" i="1"/>
  <c r="L86" i="1"/>
  <c r="L58" i="1"/>
  <c r="L77" i="1"/>
  <c r="L98" i="1"/>
  <c r="L90" i="1"/>
  <c r="L52" i="1"/>
  <c r="L64" i="1"/>
  <c r="L84" i="1"/>
  <c r="L67" i="1"/>
  <c r="L44" i="1"/>
  <c r="L104" i="1"/>
  <c r="L22" i="1"/>
  <c r="L63" i="1"/>
  <c r="L53" i="1"/>
  <c r="L96" i="1"/>
  <c r="L107" i="1"/>
  <c r="L88" i="1"/>
  <c r="L41" i="1"/>
  <c r="L74" i="1"/>
  <c r="L85" i="1"/>
  <c r="L116" i="1"/>
  <c r="L95" i="1"/>
  <c r="L78" i="1"/>
  <c r="L112" i="1"/>
  <c r="L49" i="1"/>
  <c r="L27" i="1"/>
  <c r="L108" i="1"/>
  <c r="L102" i="1"/>
  <c r="L31" i="1"/>
  <c r="L57" i="1"/>
  <c r="L69" i="1"/>
  <c r="L97" i="1"/>
  <c r="L101" i="1"/>
  <c r="L61" i="1"/>
  <c r="L109" i="1"/>
  <c r="L94" i="1"/>
  <c r="L26" i="1"/>
  <c r="L43" i="1"/>
  <c r="L91" i="1"/>
  <c r="L51" i="1"/>
  <c r="L48" i="1"/>
  <c r="L21" i="1"/>
  <c r="L65" i="1"/>
  <c r="C417" i="3"/>
  <c r="D417" i="3"/>
  <c r="C210" i="3"/>
  <c r="D210" i="3"/>
  <c r="D226" i="3"/>
  <c r="C226" i="3"/>
  <c r="C341" i="3"/>
  <c r="D341" i="3"/>
  <c r="D315" i="3"/>
  <c r="C315" i="3"/>
  <c r="C188" i="3"/>
  <c r="D188" i="3"/>
  <c r="C95" i="3"/>
  <c r="D95" i="3"/>
  <c r="C71" i="3"/>
  <c r="D71" i="3"/>
  <c r="D468" i="3"/>
  <c r="C468" i="3"/>
  <c r="C440" i="3"/>
  <c r="D440" i="3"/>
  <c r="C189" i="3"/>
  <c r="D189" i="3"/>
  <c r="C423" i="3"/>
  <c r="D423" i="3"/>
  <c r="D434" i="3"/>
  <c r="C434" i="3"/>
  <c r="D134" i="3"/>
  <c r="C134" i="3"/>
  <c r="C81" i="3"/>
  <c r="D81" i="3"/>
  <c r="C364" i="3"/>
  <c r="D364" i="3"/>
  <c r="C479" i="3"/>
  <c r="D479" i="3"/>
  <c r="D153" i="3"/>
  <c r="C153" i="3"/>
  <c r="C213" i="3"/>
  <c r="D213" i="3"/>
  <c r="C492" i="3"/>
  <c r="D492" i="3"/>
  <c r="C180" i="3"/>
  <c r="D180" i="3"/>
  <c r="D382" i="3"/>
  <c r="C382" i="3"/>
  <c r="D473" i="3"/>
  <c r="C473" i="3"/>
  <c r="D340" i="3"/>
  <c r="C340" i="3"/>
  <c r="C240" i="3"/>
  <c r="D240" i="3"/>
  <c r="C394" i="3"/>
  <c r="D394" i="3"/>
  <c r="D395" i="3"/>
  <c r="C395" i="3"/>
  <c r="D286" i="3"/>
  <c r="C286" i="3"/>
  <c r="D297" i="3"/>
  <c r="C297" i="3"/>
  <c r="C439" i="3"/>
  <c r="D439" i="3"/>
  <c r="D493" i="3"/>
  <c r="C493" i="3"/>
  <c r="D284" i="3"/>
  <c r="C284" i="3"/>
  <c r="D436" i="3"/>
  <c r="C436" i="3"/>
  <c r="D325" i="3"/>
  <c r="C325" i="3"/>
  <c r="C86" i="3"/>
  <c r="D86" i="3"/>
  <c r="C112" i="3"/>
  <c r="D112" i="3"/>
  <c r="D361" i="3"/>
  <c r="C361" i="3"/>
  <c r="C343" i="3"/>
  <c r="D343" i="3"/>
  <c r="C51" i="3"/>
  <c r="D51" i="3"/>
  <c r="C494" i="3"/>
  <c r="D494" i="3"/>
  <c r="C333" i="3"/>
  <c r="D333" i="3"/>
  <c r="D106" i="3"/>
  <c r="C106" i="3"/>
  <c r="C110" i="3"/>
  <c r="D110" i="3"/>
  <c r="C220" i="3"/>
  <c r="D220" i="3"/>
  <c r="C264" i="3"/>
  <c r="D264" i="3"/>
  <c r="D281" i="3"/>
  <c r="C281" i="3"/>
  <c r="C121" i="3"/>
  <c r="D121" i="3"/>
  <c r="D119" i="3"/>
  <c r="C119" i="3"/>
  <c r="D293" i="3"/>
  <c r="C293" i="3"/>
  <c r="D366" i="3"/>
  <c r="C366" i="3"/>
  <c r="C349" i="3"/>
  <c r="D349" i="3"/>
  <c r="C363" i="3"/>
  <c r="D363" i="3"/>
  <c r="C418" i="3"/>
  <c r="D418" i="3"/>
  <c r="D432" i="3"/>
  <c r="C432" i="3"/>
  <c r="C379" i="3"/>
  <c r="D379" i="3"/>
  <c r="D147" i="3"/>
  <c r="C147" i="3"/>
  <c r="D298" i="3"/>
  <c r="C298" i="3"/>
  <c r="C402" i="3"/>
  <c r="D402" i="3"/>
  <c r="C301" i="3"/>
  <c r="D301" i="3"/>
  <c r="C416" i="3"/>
  <c r="D416" i="3"/>
  <c r="D499" i="3"/>
  <c r="C499" i="3"/>
  <c r="D371" i="3"/>
  <c r="C371" i="3"/>
  <c r="C104" i="3"/>
  <c r="D104" i="3"/>
  <c r="C292" i="3"/>
  <c r="D292" i="3"/>
  <c r="D115" i="3"/>
  <c r="C115" i="3"/>
  <c r="C207" i="3"/>
  <c r="D207" i="3"/>
  <c r="C332" i="3"/>
  <c r="D332" i="3"/>
  <c r="C204" i="3"/>
  <c r="D204" i="3"/>
  <c r="C342" i="3"/>
  <c r="D342" i="3"/>
  <c r="D463" i="3"/>
  <c r="C463" i="3"/>
  <c r="D335" i="3"/>
  <c r="C335" i="3"/>
  <c r="C474" i="3"/>
  <c r="D474" i="3"/>
  <c r="C186" i="3"/>
  <c r="D186" i="3"/>
  <c r="C89" i="3"/>
  <c r="D89" i="3"/>
  <c r="C205" i="3"/>
  <c r="D205" i="3"/>
  <c r="C63" i="3"/>
  <c r="D63" i="3"/>
  <c r="C248" i="3"/>
  <c r="D248" i="3"/>
  <c r="C237" i="3"/>
  <c r="D237" i="3"/>
  <c r="C500" i="3"/>
  <c r="D500" i="3"/>
  <c r="D497" i="3"/>
  <c r="C497" i="3"/>
  <c r="D272" i="3"/>
  <c r="C272" i="3"/>
  <c r="D277" i="3"/>
  <c r="C277" i="3"/>
  <c r="D87" i="3"/>
  <c r="C87" i="3"/>
  <c r="D60" i="3"/>
  <c r="C60" i="3"/>
  <c r="D219" i="3"/>
  <c r="C219" i="3"/>
  <c r="C441" i="3"/>
  <c r="D441" i="3"/>
  <c r="C244" i="3"/>
  <c r="D244" i="3"/>
  <c r="C214" i="3"/>
  <c r="D214" i="3"/>
  <c r="C216" i="3"/>
  <c r="D216" i="3"/>
  <c r="C391" i="3"/>
  <c r="D391" i="3"/>
  <c r="D465" i="3"/>
  <c r="C465" i="3"/>
  <c r="D138" i="3"/>
  <c r="C138" i="3"/>
  <c r="D330" i="3"/>
  <c r="C330" i="3"/>
  <c r="D48" i="3"/>
  <c r="C48" i="3"/>
  <c r="C36" i="3"/>
  <c r="D36" i="3"/>
  <c r="C225" i="3"/>
  <c r="D225" i="3"/>
  <c r="C462" i="3"/>
  <c r="D462" i="3"/>
  <c r="C313" i="3"/>
  <c r="D313" i="3"/>
  <c r="C279" i="3"/>
  <c r="D279" i="3"/>
  <c r="C215" i="3"/>
  <c r="D215" i="3"/>
  <c r="C456" i="3"/>
  <c r="D456" i="3"/>
  <c r="C255" i="3"/>
  <c r="D255" i="3"/>
  <c r="C113" i="3"/>
  <c r="D113" i="3"/>
  <c r="D46" i="3"/>
  <c r="C46" i="3"/>
  <c r="C156" i="3"/>
  <c r="D156" i="3"/>
  <c r="C130" i="3"/>
  <c r="D130" i="3"/>
  <c r="C164" i="3"/>
  <c r="D164" i="3"/>
  <c r="D193" i="3"/>
  <c r="C193" i="3"/>
  <c r="C55" i="3"/>
  <c r="D55" i="3"/>
  <c r="D261" i="3"/>
  <c r="C261" i="3"/>
  <c r="C328" i="3"/>
  <c r="D328" i="3"/>
  <c r="C329" i="3"/>
  <c r="D329" i="3"/>
  <c r="C331" i="3"/>
  <c r="D331" i="3"/>
  <c r="C380" i="3"/>
  <c r="D380" i="3"/>
  <c r="C390" i="3"/>
  <c r="D390" i="3"/>
  <c r="C327" i="3"/>
  <c r="D327" i="3"/>
  <c r="C173" i="3"/>
  <c r="D173" i="3"/>
  <c r="C34" i="3"/>
  <c r="D34" i="3"/>
  <c r="C370" i="3"/>
  <c r="D370" i="3"/>
  <c r="C269" i="3"/>
  <c r="D269" i="3"/>
  <c r="C384" i="3"/>
  <c r="D384" i="3"/>
  <c r="D483" i="3"/>
  <c r="C483" i="3"/>
  <c r="C355" i="3"/>
  <c r="D355" i="3"/>
  <c r="C40" i="3"/>
  <c r="D40" i="3"/>
  <c r="C260" i="3"/>
  <c r="D260" i="3"/>
  <c r="C163" i="3"/>
  <c r="D163" i="3"/>
  <c r="C41" i="3"/>
  <c r="D41" i="3"/>
  <c r="D143" i="3"/>
  <c r="C143" i="3"/>
  <c r="C300" i="3"/>
  <c r="D300" i="3"/>
  <c r="C140" i="3"/>
  <c r="D140" i="3"/>
  <c r="D310" i="3"/>
  <c r="C310" i="3"/>
  <c r="C447" i="3"/>
  <c r="D447" i="3"/>
  <c r="C319" i="3"/>
  <c r="D319" i="3"/>
  <c r="C442" i="3"/>
  <c r="D442" i="3"/>
  <c r="C122" i="3"/>
  <c r="D122" i="3"/>
  <c r="C141" i="3"/>
  <c r="D141" i="3"/>
  <c r="D433" i="3"/>
  <c r="C433" i="3"/>
  <c r="D182" i="3"/>
  <c r="C182" i="3"/>
  <c r="D466" i="3"/>
  <c r="C466" i="3"/>
  <c r="C359" i="3"/>
  <c r="D359" i="3"/>
  <c r="C444" i="3"/>
  <c r="D444" i="3"/>
  <c r="D377" i="3"/>
  <c r="C377" i="3"/>
  <c r="C129" i="3"/>
  <c r="D129" i="3"/>
  <c r="C409" i="3"/>
  <c r="D409" i="3"/>
  <c r="C490" i="3"/>
  <c r="D490" i="3"/>
  <c r="C501" i="3"/>
  <c r="D501" i="3"/>
  <c r="C100" i="3"/>
  <c r="D100" i="3"/>
  <c r="C131" i="3"/>
  <c r="D131" i="3"/>
  <c r="C429" i="3"/>
  <c r="D429" i="3"/>
  <c r="D253" i="3"/>
  <c r="C253" i="3"/>
  <c r="C91" i="3"/>
  <c r="D91" i="3"/>
  <c r="C392" i="3"/>
  <c r="D392" i="3"/>
  <c r="C354" i="3"/>
  <c r="D354" i="3"/>
  <c r="C151" i="3"/>
  <c r="D151" i="3"/>
  <c r="C318" i="3"/>
  <c r="D318" i="3"/>
  <c r="C265" i="3"/>
  <c r="D265" i="3"/>
  <c r="D174" i="3"/>
  <c r="C174" i="3"/>
  <c r="C39" i="3"/>
  <c r="D39" i="3"/>
  <c r="C408" i="3"/>
  <c r="D408" i="3"/>
  <c r="D56" i="3"/>
  <c r="C56" i="3"/>
  <c r="C229" i="3"/>
  <c r="D229" i="3"/>
  <c r="D235" i="3"/>
  <c r="C235" i="3"/>
  <c r="D92" i="3"/>
  <c r="C92" i="3"/>
  <c r="C481" i="3"/>
  <c r="D481" i="3"/>
  <c r="C65" i="3"/>
  <c r="D65" i="3"/>
  <c r="C94" i="3"/>
  <c r="D94" i="3"/>
  <c r="C208" i="3"/>
  <c r="D208" i="3"/>
  <c r="D254" i="3"/>
  <c r="C254" i="3"/>
  <c r="C271" i="3"/>
  <c r="D271" i="3"/>
  <c r="C218" i="3"/>
  <c r="D218" i="3"/>
  <c r="C290" i="3"/>
  <c r="D290" i="3"/>
  <c r="D304" i="3"/>
  <c r="C304" i="3"/>
  <c r="D136" i="3"/>
  <c r="C136" i="3"/>
  <c r="D231" i="3"/>
  <c r="C231" i="3"/>
  <c r="C27" i="3"/>
  <c r="D27" i="3"/>
  <c r="D338" i="3"/>
  <c r="C338" i="3"/>
  <c r="D224" i="3"/>
  <c r="C224" i="3"/>
  <c r="C352" i="3"/>
  <c r="D352" i="3"/>
  <c r="C467" i="3"/>
  <c r="D467" i="3"/>
  <c r="D339" i="3"/>
  <c r="C339" i="3"/>
  <c r="C484" i="3"/>
  <c r="D484" i="3"/>
  <c r="D206" i="3"/>
  <c r="C206" i="3"/>
  <c r="C99" i="3"/>
  <c r="D99" i="3"/>
  <c r="C221" i="3"/>
  <c r="D221" i="3"/>
  <c r="C79" i="3"/>
  <c r="D79" i="3"/>
  <c r="D268" i="3"/>
  <c r="C268" i="3"/>
  <c r="C76" i="3"/>
  <c r="D76" i="3"/>
  <c r="C278" i="3"/>
  <c r="D278" i="3"/>
  <c r="C431" i="3"/>
  <c r="D431" i="3"/>
  <c r="C295" i="3"/>
  <c r="D295" i="3"/>
  <c r="C410" i="3"/>
  <c r="D410" i="3"/>
  <c r="C66" i="3"/>
  <c r="D66" i="3"/>
  <c r="C161" i="3"/>
  <c r="D161" i="3"/>
  <c r="D77" i="3"/>
  <c r="C77" i="3"/>
  <c r="D283" i="3"/>
  <c r="C283" i="3"/>
  <c r="D257" i="3"/>
  <c r="C257" i="3"/>
  <c r="C491" i="3"/>
  <c r="D491" i="3"/>
  <c r="C201" i="3"/>
  <c r="D201" i="3"/>
  <c r="D317" i="3"/>
  <c r="C317" i="3"/>
  <c r="D387" i="3"/>
  <c r="C387" i="3"/>
  <c r="C124" i="3"/>
  <c r="D124" i="3"/>
  <c r="C203" i="3"/>
  <c r="D203" i="3"/>
  <c r="C350" i="3"/>
  <c r="D350" i="3"/>
  <c r="C450" i="3"/>
  <c r="D450" i="3"/>
  <c r="C393" i="3"/>
  <c r="D393" i="3"/>
  <c r="C427" i="3"/>
  <c r="D427" i="3"/>
  <c r="C357" i="3"/>
  <c r="D357" i="3"/>
  <c r="C267" i="3"/>
  <c r="D267" i="3"/>
  <c r="C183" i="3"/>
  <c r="D183" i="3"/>
  <c r="C190" i="3"/>
  <c r="D190" i="3"/>
  <c r="C57" i="3"/>
  <c r="D57" i="3"/>
  <c r="D114" i="3"/>
  <c r="C114" i="3"/>
  <c r="D168" i="3"/>
  <c r="C168" i="3"/>
  <c r="C179" i="3"/>
  <c r="D179" i="3"/>
  <c r="C259" i="3"/>
  <c r="D259" i="3"/>
  <c r="C351" i="3"/>
  <c r="D351" i="3"/>
  <c r="C245" i="3"/>
  <c r="D245" i="3"/>
  <c r="D369" i="3"/>
  <c r="C369" i="3"/>
  <c r="C337" i="3"/>
  <c r="D337" i="3"/>
  <c r="C126" i="3"/>
  <c r="D126" i="3"/>
  <c r="C307" i="3"/>
  <c r="D307" i="3"/>
  <c r="C197" i="3"/>
  <c r="D197" i="3"/>
  <c r="C258" i="3"/>
  <c r="D258" i="3"/>
  <c r="D449" i="3"/>
  <c r="C449" i="3"/>
  <c r="C120" i="3"/>
  <c r="D120" i="3"/>
  <c r="C125" i="3"/>
  <c r="D125" i="3"/>
  <c r="C303" i="3"/>
  <c r="D303" i="3"/>
  <c r="C372" i="3"/>
  <c r="D372" i="3"/>
  <c r="D469" i="3"/>
  <c r="C469" i="3"/>
  <c r="C476" i="3"/>
  <c r="D476" i="3"/>
  <c r="C73" i="3"/>
  <c r="D73" i="3"/>
  <c r="C397" i="3"/>
  <c r="D397" i="3"/>
  <c r="D422" i="3"/>
  <c r="C422" i="3"/>
  <c r="C75" i="3"/>
  <c r="D75" i="3"/>
  <c r="C334" i="3"/>
  <c r="D334" i="3"/>
  <c r="C236" i="3"/>
  <c r="D236" i="3"/>
  <c r="C78" i="3"/>
  <c r="D78" i="3"/>
  <c r="D194" i="3"/>
  <c r="C194" i="3"/>
  <c r="C184" i="3"/>
  <c r="D184" i="3"/>
  <c r="C177" i="3"/>
  <c r="D177" i="3"/>
  <c r="C62" i="3"/>
  <c r="D62" i="3"/>
  <c r="C312" i="3"/>
  <c r="D312" i="3"/>
  <c r="C64" i="3"/>
  <c r="D64" i="3"/>
  <c r="C45" i="3"/>
  <c r="D45" i="3"/>
  <c r="C181" i="3"/>
  <c r="D181" i="3"/>
  <c r="C28" i="3"/>
  <c r="D28" i="3"/>
  <c r="C445" i="3"/>
  <c r="D445" i="3"/>
  <c r="D322" i="3"/>
  <c r="C322" i="3"/>
  <c r="C38" i="3"/>
  <c r="D38" i="3"/>
  <c r="D30" i="3"/>
  <c r="C30" i="3"/>
  <c r="C144" i="3"/>
  <c r="D144" i="3"/>
  <c r="C90" i="3"/>
  <c r="D90" i="3"/>
  <c r="C152" i="3"/>
  <c r="D152" i="3"/>
  <c r="C50" i="3"/>
  <c r="D50" i="3"/>
  <c r="D252" i="3"/>
  <c r="C252" i="3"/>
  <c r="D262" i="3"/>
  <c r="C262" i="3"/>
  <c r="D458" i="3"/>
  <c r="C458" i="3"/>
  <c r="C31" i="3"/>
  <c r="D31" i="3"/>
  <c r="D139" i="3"/>
  <c r="C139" i="3"/>
  <c r="C306" i="3"/>
  <c r="D306" i="3"/>
  <c r="D160" i="3"/>
  <c r="C160" i="3"/>
  <c r="D320" i="3"/>
  <c r="C320" i="3"/>
  <c r="C451" i="3"/>
  <c r="D451" i="3"/>
  <c r="D323" i="3"/>
  <c r="C323" i="3"/>
  <c r="D452" i="3"/>
  <c r="C452" i="3"/>
  <c r="D142" i="3"/>
  <c r="C142" i="3"/>
  <c r="C35" i="3"/>
  <c r="D35" i="3"/>
  <c r="D157" i="3"/>
  <c r="C157" i="3"/>
  <c r="C222" i="3"/>
  <c r="D222" i="3"/>
  <c r="C502" i="3"/>
  <c r="D502" i="3"/>
  <c r="C242" i="3"/>
  <c r="D242" i="3"/>
  <c r="C415" i="3"/>
  <c r="D415" i="3"/>
  <c r="D263" i="3"/>
  <c r="C263" i="3"/>
  <c r="C378" i="3"/>
  <c r="D378" i="3"/>
  <c r="C187" i="3"/>
  <c r="D187" i="3"/>
  <c r="C97" i="3"/>
  <c r="D97" i="3"/>
  <c r="C118" i="3"/>
  <c r="D118" i="3"/>
  <c r="C348" i="3"/>
  <c r="D348" i="3"/>
  <c r="C471" i="3"/>
  <c r="D471" i="3"/>
  <c r="C459" i="3"/>
  <c r="D459" i="3"/>
  <c r="C386" i="3"/>
  <c r="D386" i="3"/>
  <c r="D488" i="3"/>
  <c r="C488" i="3"/>
  <c r="D192" i="3"/>
  <c r="C192" i="3"/>
  <c r="C321" i="3"/>
  <c r="D321" i="3"/>
  <c r="C368" i="3"/>
  <c r="D368" i="3"/>
  <c r="D430" i="3"/>
  <c r="C430" i="3"/>
  <c r="D228" i="3"/>
  <c r="C228" i="3"/>
  <c r="C238" i="3"/>
  <c r="D238" i="3"/>
  <c r="D437" i="3"/>
  <c r="C437" i="3"/>
  <c r="C285" i="3"/>
  <c r="D285" i="3"/>
  <c r="D398" i="3"/>
  <c r="C398" i="3"/>
  <c r="C365" i="3"/>
  <c r="D365" i="3"/>
  <c r="C326" i="3"/>
  <c r="D326" i="3"/>
  <c r="C102" i="3"/>
  <c r="D102" i="3"/>
  <c r="D270" i="3"/>
  <c r="C270" i="3"/>
  <c r="C311" i="3"/>
  <c r="D311" i="3"/>
  <c r="C243" i="3"/>
  <c r="D243" i="3"/>
  <c r="C74" i="3"/>
  <c r="D74" i="3"/>
  <c r="C88" i="3"/>
  <c r="D88" i="3"/>
  <c r="D195" i="3"/>
  <c r="C195" i="3"/>
  <c r="D149" i="3"/>
  <c r="C149" i="3"/>
  <c r="C453" i="3"/>
  <c r="D453" i="3"/>
  <c r="C294" i="3"/>
  <c r="D294" i="3"/>
  <c r="D241" i="3"/>
  <c r="C241" i="3"/>
  <c r="C117" i="3"/>
  <c r="D117" i="3"/>
  <c r="C478" i="3"/>
  <c r="D478" i="3"/>
  <c r="C425" i="3"/>
  <c r="D425" i="3"/>
  <c r="C202" i="3"/>
  <c r="D202" i="3"/>
  <c r="D175" i="3"/>
  <c r="C175" i="3"/>
  <c r="C227" i="3"/>
  <c r="D227" i="3"/>
  <c r="D80" i="3"/>
  <c r="C80" i="3"/>
  <c r="D477" i="3"/>
  <c r="C477" i="3"/>
  <c r="C498" i="3"/>
  <c r="D498" i="3"/>
  <c r="C155" i="3"/>
  <c r="D155" i="3"/>
  <c r="C42" i="3"/>
  <c r="D42" i="3"/>
  <c r="D308" i="3"/>
  <c r="C308" i="3"/>
  <c r="C375" i="3"/>
  <c r="D375" i="3"/>
  <c r="C137" i="3"/>
  <c r="D137" i="3"/>
  <c r="C274" i="3"/>
  <c r="D274" i="3"/>
  <c r="C96" i="3"/>
  <c r="D96" i="3"/>
  <c r="C288" i="3"/>
  <c r="D288" i="3"/>
  <c r="D435" i="3"/>
  <c r="C435" i="3"/>
  <c r="C305" i="3"/>
  <c r="D305" i="3"/>
  <c r="C420" i="3"/>
  <c r="D420" i="3"/>
  <c r="C98" i="3"/>
  <c r="D98" i="3"/>
  <c r="D171" i="3"/>
  <c r="C171" i="3"/>
  <c r="D93" i="3"/>
  <c r="C93" i="3"/>
  <c r="C460" i="3"/>
  <c r="D460" i="3"/>
  <c r="C158" i="3"/>
  <c r="D158" i="3"/>
  <c r="C470" i="3"/>
  <c r="D470" i="3"/>
  <c r="C178" i="3"/>
  <c r="D178" i="3"/>
  <c r="D399" i="3"/>
  <c r="C399" i="3"/>
  <c r="C212" i="3"/>
  <c r="D212" i="3"/>
  <c r="C346" i="3"/>
  <c r="D346" i="3"/>
  <c r="C123" i="3"/>
  <c r="D123" i="3"/>
  <c r="C33" i="3"/>
  <c r="D33" i="3"/>
  <c r="D54" i="3"/>
  <c r="C54" i="3"/>
  <c r="C486" i="3"/>
  <c r="D486" i="3"/>
  <c r="C411" i="3"/>
  <c r="D411" i="3"/>
  <c r="C358" i="3"/>
  <c r="D358" i="3"/>
  <c r="C162" i="3"/>
  <c r="D162" i="3"/>
  <c r="D133" i="3"/>
  <c r="C133" i="3"/>
  <c r="C413" i="3"/>
  <c r="D413" i="3"/>
  <c r="C176" i="3"/>
  <c r="D176" i="3"/>
  <c r="C276" i="3"/>
  <c r="D276" i="3"/>
  <c r="C302" i="3"/>
  <c r="D302" i="3"/>
  <c r="C37" i="3"/>
  <c r="D37" i="3"/>
  <c r="C385" i="3"/>
  <c r="D385" i="3"/>
  <c r="D44" i="3"/>
  <c r="C44" i="3"/>
  <c r="C404" i="3"/>
  <c r="D404" i="3"/>
  <c r="D448" i="3"/>
  <c r="C448" i="3"/>
  <c r="D324" i="3"/>
  <c r="C324" i="3"/>
  <c r="D247" i="3"/>
  <c r="C247" i="3"/>
  <c r="C374" i="3"/>
  <c r="D374" i="3"/>
  <c r="C250" i="3"/>
  <c r="D250" i="3"/>
  <c r="C127" i="3"/>
  <c r="D127" i="3"/>
  <c r="C246" i="3"/>
  <c r="D246" i="3"/>
  <c r="C347" i="3"/>
  <c r="D347" i="3"/>
  <c r="C266" i="3"/>
  <c r="D266" i="3"/>
  <c r="C52" i="3"/>
  <c r="D52" i="3"/>
  <c r="D68" i="3"/>
  <c r="C68" i="3"/>
  <c r="D400" i="3"/>
  <c r="C400" i="3"/>
  <c r="D132" i="3"/>
  <c r="C132" i="3"/>
  <c r="C249" i="3"/>
  <c r="D249" i="3"/>
  <c r="D360" i="3"/>
  <c r="C360" i="3"/>
  <c r="C482" i="3"/>
  <c r="D482" i="3"/>
  <c r="C185" i="3"/>
  <c r="D185" i="3"/>
  <c r="C401" i="3"/>
  <c r="D401" i="3"/>
  <c r="C108" i="3"/>
  <c r="D108" i="3"/>
  <c r="D344" i="3"/>
  <c r="C344" i="3"/>
  <c r="D287" i="3"/>
  <c r="C287" i="3"/>
  <c r="C166" i="3"/>
  <c r="D166" i="3"/>
  <c r="C111" i="3"/>
  <c r="D111" i="3"/>
  <c r="C150" i="3"/>
  <c r="D150" i="3"/>
  <c r="D426" i="3"/>
  <c r="C426" i="3"/>
  <c r="C85" i="3"/>
  <c r="D85" i="3"/>
  <c r="D485" i="3"/>
  <c r="C485" i="3"/>
  <c r="D464" i="3"/>
  <c r="C464" i="3"/>
  <c r="C109" i="3"/>
  <c r="D109" i="3"/>
  <c r="C69" i="3"/>
  <c r="D69" i="3"/>
  <c r="C405" i="3"/>
  <c r="D405" i="3"/>
  <c r="C455" i="3"/>
  <c r="D455" i="3"/>
  <c r="C199" i="3"/>
  <c r="D199" i="3"/>
  <c r="C53" i="3"/>
  <c r="D53" i="3"/>
  <c r="C446" i="3"/>
  <c r="D446" i="3"/>
  <c r="D389" i="3"/>
  <c r="C389" i="3"/>
  <c r="C200" i="3"/>
  <c r="D200" i="3"/>
  <c r="C47" i="3"/>
  <c r="D47" i="3"/>
  <c r="C165" i="3"/>
  <c r="D165" i="3"/>
  <c r="D457" i="3"/>
  <c r="C457" i="3"/>
  <c r="D412" i="3"/>
  <c r="C412" i="3"/>
  <c r="C211" i="3"/>
  <c r="D211" i="3"/>
  <c r="D275" i="3"/>
  <c r="C275" i="3"/>
  <c r="C487" i="3"/>
  <c r="D487" i="3"/>
  <c r="D154" i="3"/>
  <c r="C154" i="3"/>
  <c r="C289" i="3"/>
  <c r="D289" i="3"/>
  <c r="D61" i="3"/>
  <c r="C61" i="3"/>
  <c r="C234" i="3"/>
  <c r="D234" i="3"/>
  <c r="C32" i="3"/>
  <c r="D32" i="3"/>
  <c r="C256" i="3"/>
  <c r="D256" i="3"/>
  <c r="D419" i="3"/>
  <c r="C419" i="3"/>
  <c r="C273" i="3"/>
  <c r="D273" i="3"/>
  <c r="C388" i="3"/>
  <c r="D388" i="3"/>
  <c r="C209" i="3"/>
  <c r="D209" i="3"/>
  <c r="C107" i="3"/>
  <c r="D107" i="3"/>
  <c r="C29" i="3"/>
  <c r="D29" i="3"/>
  <c r="D428" i="3"/>
  <c r="C428" i="3"/>
  <c r="C58" i="3"/>
  <c r="D58" i="3"/>
  <c r="C438" i="3"/>
  <c r="D438" i="3"/>
  <c r="C82" i="3"/>
  <c r="D82" i="3"/>
  <c r="C383" i="3"/>
  <c r="D383" i="3"/>
  <c r="C148" i="3"/>
  <c r="D148" i="3"/>
  <c r="C314" i="3"/>
  <c r="D314" i="3"/>
  <c r="C59" i="3"/>
  <c r="D59" i="3"/>
  <c r="C169" i="3"/>
  <c r="D169" i="3"/>
  <c r="D239" i="3"/>
  <c r="C239" i="3"/>
  <c r="C345" i="3"/>
  <c r="D345" i="3"/>
  <c r="D414" i="3"/>
  <c r="C414" i="3"/>
  <c r="C159" i="3"/>
  <c r="D159" i="3"/>
  <c r="D167" i="3"/>
  <c r="C167" i="3"/>
  <c r="C496" i="3"/>
  <c r="D496" i="3"/>
  <c r="C146" i="3"/>
  <c r="D146" i="3"/>
  <c r="C172" i="3"/>
  <c r="D172" i="3"/>
  <c r="C407" i="3"/>
  <c r="D407" i="3"/>
  <c r="D296" i="3"/>
  <c r="C296" i="3"/>
  <c r="C454" i="3"/>
  <c r="D454" i="3"/>
  <c r="C424" i="3"/>
  <c r="D424" i="3"/>
  <c r="C373" i="3"/>
  <c r="D373" i="3"/>
  <c r="C336" i="3"/>
  <c r="D336" i="3"/>
  <c r="C280" i="3"/>
  <c r="D280" i="3"/>
  <c r="C196" i="3"/>
  <c r="D196" i="3"/>
  <c r="C475" i="3"/>
  <c r="D475" i="3"/>
  <c r="C103" i="3"/>
  <c r="D103" i="3"/>
  <c r="C489" i="3"/>
  <c r="D489" i="3"/>
  <c r="D67" i="3"/>
  <c r="C67" i="3"/>
  <c r="C309" i="3"/>
  <c r="D309" i="3"/>
  <c r="D461" i="3"/>
  <c r="C461" i="3"/>
  <c r="C230" i="3"/>
  <c r="D230" i="3"/>
  <c r="C251" i="3"/>
  <c r="D251" i="3"/>
  <c r="D381" i="3"/>
  <c r="C381" i="3"/>
  <c r="C362" i="3"/>
  <c r="D362" i="3"/>
  <c r="C135" i="3"/>
  <c r="D135" i="3"/>
  <c r="D299" i="3"/>
  <c r="C299" i="3"/>
  <c r="C376" i="3"/>
  <c r="D376" i="3"/>
  <c r="C353" i="3"/>
  <c r="D353" i="3"/>
  <c r="C72" i="3"/>
  <c r="D72" i="3"/>
  <c r="C233" i="3"/>
  <c r="D233" i="3"/>
  <c r="D101" i="3"/>
  <c r="C101" i="3"/>
  <c r="D472" i="3"/>
  <c r="C472" i="3"/>
  <c r="C421" i="3"/>
  <c r="D421" i="3"/>
  <c r="C316" i="3"/>
  <c r="D316" i="3"/>
  <c r="D83" i="3"/>
  <c r="C83" i="3"/>
  <c r="C128" i="3"/>
  <c r="D128" i="3"/>
  <c r="C443" i="3"/>
  <c r="D443" i="3"/>
  <c r="D49" i="3"/>
  <c r="C49" i="3"/>
  <c r="C116" i="3"/>
  <c r="D116" i="3"/>
  <c r="C223" i="3"/>
  <c r="D223" i="3"/>
  <c r="D170" i="3"/>
  <c r="C170" i="3"/>
  <c r="C480" i="3"/>
  <c r="D480" i="3"/>
  <c r="C198" i="3"/>
  <c r="D198" i="3"/>
  <c r="C403" i="3"/>
  <c r="D403" i="3"/>
  <c r="D232" i="3"/>
  <c r="C232" i="3"/>
  <c r="C356" i="3"/>
  <c r="D356" i="3"/>
  <c r="C145" i="3"/>
  <c r="D145" i="3"/>
  <c r="C43" i="3"/>
  <c r="D43" i="3"/>
  <c r="C70" i="3"/>
  <c r="D70" i="3"/>
  <c r="D396" i="3"/>
  <c r="C396" i="3"/>
  <c r="D291" i="3"/>
  <c r="C291" i="3"/>
  <c r="D406" i="3"/>
  <c r="C406" i="3"/>
  <c r="C495" i="3"/>
  <c r="D495" i="3"/>
  <c r="C367" i="3"/>
  <c r="D367" i="3"/>
  <c r="C84" i="3"/>
  <c r="D84" i="3"/>
  <c r="C282" i="3"/>
  <c r="D282" i="3"/>
  <c r="C217" i="3"/>
  <c r="D217" i="3"/>
  <c r="D105" i="3"/>
  <c r="C105" i="3"/>
  <c r="C191" i="3"/>
  <c r="D191" i="3"/>
  <c r="F101" i="1"/>
  <c r="F76" i="1"/>
  <c r="N26" i="1"/>
  <c r="N23" i="1"/>
  <c r="F109" i="1"/>
  <c r="N38" i="1"/>
  <c r="N41" i="1"/>
  <c r="H101" i="1"/>
  <c r="H57" i="1"/>
  <c r="H29" i="1"/>
  <c r="H60" i="1"/>
  <c r="N53" i="1"/>
  <c r="F113" i="1"/>
  <c r="H69" i="1"/>
  <c r="F61" i="1"/>
  <c r="N77" i="1"/>
  <c r="N116" i="1"/>
  <c r="F100" i="1"/>
  <c r="F75" i="1"/>
  <c r="N58" i="1"/>
  <c r="N96" i="1"/>
  <c r="G70" i="1"/>
  <c r="N21" i="1"/>
  <c r="N103" i="1"/>
  <c r="F46" i="1"/>
  <c r="H63" i="1"/>
  <c r="N73" i="1"/>
  <c r="N57" i="1"/>
  <c r="H90" i="1"/>
  <c r="H108" i="1"/>
  <c r="N35" i="1"/>
  <c r="F60" i="1"/>
  <c r="F81" i="1"/>
  <c r="F58" i="1"/>
  <c r="H44" i="1"/>
  <c r="F103" i="1"/>
  <c r="N37" i="1"/>
  <c r="N50" i="1"/>
  <c r="F29" i="1"/>
  <c r="F39" i="1"/>
  <c r="N59" i="1"/>
  <c r="N44" i="1"/>
  <c r="H75" i="1"/>
  <c r="F62" i="1"/>
  <c r="H52" i="1"/>
  <c r="H40" i="1"/>
  <c r="N42" i="1"/>
  <c r="H59" i="1"/>
  <c r="H53" i="1"/>
  <c r="F31" i="1"/>
  <c r="N113" i="1"/>
  <c r="F94" i="1"/>
  <c r="H47" i="1"/>
  <c r="N100" i="1"/>
  <c r="N43" i="1"/>
  <c r="G83" i="1"/>
  <c r="N55" i="1"/>
  <c r="N112" i="1"/>
  <c r="H96" i="1"/>
  <c r="H88" i="1"/>
  <c r="N22" i="1"/>
  <c r="N75" i="1"/>
  <c r="H81" i="1"/>
  <c r="F96" i="1"/>
  <c r="N46" i="1"/>
  <c r="N111" i="1"/>
  <c r="N101" i="1"/>
  <c r="H49" i="1"/>
  <c r="H107" i="1"/>
  <c r="F66" i="1"/>
  <c r="N51" i="1"/>
  <c r="N110" i="1"/>
  <c r="F108" i="1"/>
  <c r="F57" i="1"/>
  <c r="F36" i="1"/>
  <c r="N109" i="1"/>
  <c r="F44" i="1"/>
  <c r="H55" i="1"/>
  <c r="F99" i="1"/>
  <c r="H41" i="1"/>
  <c r="N94" i="1"/>
  <c r="F97" i="1"/>
  <c r="H98" i="1"/>
  <c r="H116" i="1"/>
  <c r="H27" i="1"/>
  <c r="H56" i="1"/>
  <c r="H99" i="1"/>
  <c r="G28" i="1"/>
  <c r="N48" i="1"/>
  <c r="N60" i="1"/>
  <c r="F35" i="1"/>
  <c r="H39" i="1"/>
  <c r="H58" i="1"/>
  <c r="H73" i="1"/>
  <c r="N82" i="1"/>
  <c r="N115" i="1"/>
  <c r="N64" i="1"/>
  <c r="H48" i="1"/>
  <c r="N81" i="1"/>
  <c r="G87" i="1"/>
  <c r="N91" i="1"/>
  <c r="H26" i="1"/>
  <c r="F107" i="1"/>
  <c r="F54" i="1"/>
  <c r="N30" i="1"/>
  <c r="N68" i="1"/>
  <c r="N90" i="1"/>
  <c r="H94" i="1"/>
  <c r="H24" i="1"/>
  <c r="N88" i="1"/>
  <c r="N93" i="1"/>
  <c r="H106" i="1"/>
  <c r="N86" i="1"/>
  <c r="F52" i="1"/>
  <c r="G32" i="1"/>
  <c r="N27" i="1"/>
  <c r="F106" i="1"/>
  <c r="F71" i="1"/>
  <c r="H22" i="1"/>
  <c r="F88" i="1"/>
  <c r="F53" i="1"/>
  <c r="N69" i="1"/>
  <c r="F95" i="1"/>
  <c r="F21" i="1"/>
  <c r="F110" i="1"/>
  <c r="H31" i="1"/>
  <c r="H78" i="1"/>
  <c r="F65" i="1"/>
  <c r="G34" i="1"/>
  <c r="F98" i="1"/>
  <c r="N47" i="1"/>
  <c r="H100" i="1"/>
  <c r="H36" i="1"/>
  <c r="N71" i="1"/>
  <c r="G89" i="1"/>
  <c r="F49" i="1"/>
  <c r="F22" i="1"/>
  <c r="H51" i="1"/>
  <c r="F112" i="1"/>
  <c r="N63" i="1"/>
  <c r="F80" i="1"/>
  <c r="N39" i="1"/>
  <c r="H42" i="1"/>
  <c r="F50" i="1"/>
  <c r="N56" i="1"/>
  <c r="G114" i="1"/>
  <c r="H43" i="1"/>
  <c r="N99" i="1"/>
  <c r="F104" i="1"/>
  <c r="F30" i="1"/>
  <c r="G92" i="1"/>
  <c r="H80" i="1"/>
  <c r="H86" i="1"/>
  <c r="F27" i="1"/>
  <c r="F79" i="1"/>
  <c r="H79" i="1"/>
  <c r="N45" i="1"/>
  <c r="F56" i="1"/>
  <c r="H46" i="1"/>
  <c r="H62" i="1"/>
  <c r="H21" i="1"/>
  <c r="F47" i="1"/>
  <c r="F51" i="1"/>
  <c r="N95" i="1"/>
  <c r="H76" i="1"/>
  <c r="N36" i="1"/>
  <c r="H113" i="1"/>
  <c r="H103" i="1"/>
  <c r="F26" i="1"/>
  <c r="F24" i="1"/>
  <c r="F37" i="1"/>
  <c r="H50" i="1"/>
  <c r="N79" i="1"/>
  <c r="H111" i="1"/>
  <c r="N85" i="1"/>
  <c r="F41" i="1"/>
  <c r="H109" i="1"/>
  <c r="F40" i="1"/>
  <c r="H30" i="1"/>
  <c r="F93" i="1"/>
  <c r="N24" i="1"/>
  <c r="H84" i="1"/>
  <c r="H93" i="1"/>
  <c r="N76" i="1"/>
  <c r="N105" i="1"/>
  <c r="F59" i="1"/>
  <c r="F78" i="1"/>
  <c r="H45" i="1"/>
  <c r="F105" i="1"/>
  <c r="N108" i="1"/>
  <c r="H37" i="1"/>
  <c r="H77" i="1"/>
  <c r="H85" i="1"/>
  <c r="F64" i="1"/>
  <c r="H72" i="1"/>
  <c r="H110" i="1"/>
  <c r="N98" i="1"/>
  <c r="H68" i="1"/>
  <c r="N49" i="1"/>
  <c r="F102" i="1"/>
  <c r="H91" i="1"/>
  <c r="F33" i="1"/>
  <c r="H38" i="1"/>
  <c r="F73" i="1"/>
  <c r="F45" i="1"/>
  <c r="N40" i="1"/>
  <c r="F77" i="1"/>
  <c r="N29" i="1"/>
  <c r="N54" i="1"/>
  <c r="F69" i="1"/>
  <c r="H67" i="1"/>
  <c r="F38" i="1"/>
  <c r="H97" i="1"/>
  <c r="N106" i="1"/>
  <c r="F91" i="1"/>
  <c r="H54" i="1"/>
  <c r="N80" i="1"/>
  <c r="N104" i="1"/>
  <c r="F74" i="1"/>
  <c r="H61" i="1"/>
  <c r="H104" i="1"/>
  <c r="H66" i="1"/>
  <c r="N65" i="1"/>
  <c r="F63" i="1"/>
  <c r="F42" i="1"/>
  <c r="F43" i="1"/>
  <c r="F90" i="1"/>
  <c r="H115" i="1"/>
  <c r="F48" i="1"/>
  <c r="N74" i="1"/>
  <c r="F116" i="1"/>
  <c r="N107" i="1"/>
  <c r="F85" i="1"/>
  <c r="F84" i="1"/>
  <c r="H74" i="1"/>
  <c r="H112" i="1"/>
  <c r="H71" i="1"/>
  <c r="N31" i="1"/>
  <c r="H64" i="1"/>
  <c r="N84" i="1"/>
  <c r="G25" i="1"/>
  <c r="F111" i="1"/>
  <c r="F86" i="1"/>
  <c r="F23" i="1"/>
  <c r="F115" i="1"/>
  <c r="N78" i="1"/>
  <c r="F55" i="1"/>
  <c r="F67" i="1"/>
  <c r="H35" i="1"/>
  <c r="N66" i="1"/>
  <c r="N33" i="1"/>
  <c r="H95" i="1"/>
  <c r="F68" i="1"/>
  <c r="N97" i="1"/>
  <c r="N67" i="1"/>
  <c r="H82" i="1"/>
  <c r="N61" i="1"/>
  <c r="N52" i="1"/>
  <c r="H102" i="1"/>
  <c r="F72" i="1"/>
  <c r="N102" i="1"/>
  <c r="N62" i="1"/>
  <c r="H65" i="1"/>
  <c r="H23" i="1"/>
  <c r="N72" i="1"/>
  <c r="F82" i="1"/>
  <c r="H105" i="1"/>
  <c r="H33" i="1"/>
  <c r="I69" i="1"/>
  <c r="I68" i="1"/>
  <c r="I100" i="1"/>
  <c r="I57" i="1"/>
  <c r="I99" i="1"/>
  <c r="I77" i="1"/>
  <c r="I44" i="1"/>
  <c r="I72" i="1"/>
  <c r="I84" i="1"/>
  <c r="I48" i="1"/>
  <c r="I49" i="1"/>
  <c r="I24" i="1"/>
  <c r="I66" i="1"/>
  <c r="A87" i="1"/>
  <c r="A32" i="1"/>
  <c r="I64" i="1"/>
  <c r="A26" i="1"/>
  <c r="A33" i="1"/>
  <c r="I107" i="1"/>
  <c r="I109" i="1"/>
  <c r="A89" i="1"/>
  <c r="I22" i="1"/>
  <c r="I91" i="1"/>
  <c r="I116" i="1"/>
  <c r="A70" i="1"/>
  <c r="I42" i="1"/>
  <c r="A92" i="1"/>
  <c r="I65" i="1"/>
  <c r="A28" i="1"/>
  <c r="A83" i="1"/>
  <c r="I47" i="1"/>
  <c r="I38" i="1"/>
  <c r="I46" i="1"/>
  <c r="I86" i="1"/>
  <c r="I96" i="1"/>
  <c r="I94" i="1"/>
  <c r="I61" i="1"/>
  <c r="I41" i="1"/>
  <c r="I82" i="1"/>
  <c r="I93" i="1"/>
  <c r="I75" i="1"/>
  <c r="I63" i="1"/>
  <c r="I98" i="1"/>
  <c r="I102" i="1"/>
  <c r="I45" i="1"/>
  <c r="I85" i="1"/>
  <c r="I56" i="1"/>
  <c r="I76" i="1"/>
  <c r="I52" i="1"/>
  <c r="I29" i="1"/>
  <c r="I115" i="1"/>
  <c r="I104" i="1"/>
  <c r="I112" i="1"/>
  <c r="I67" i="1"/>
  <c r="I95" i="1"/>
  <c r="I73" i="1"/>
  <c r="I80" i="1"/>
  <c r="I21" i="1"/>
  <c r="I103" i="1"/>
  <c r="I51" i="1"/>
  <c r="I79" i="1"/>
  <c r="I54" i="1"/>
  <c r="I53" i="1"/>
  <c r="I59" i="1"/>
  <c r="I106" i="1"/>
  <c r="I60" i="1"/>
  <c r="I26" i="1"/>
  <c r="I78" i="1"/>
  <c r="I31" i="1"/>
  <c r="I43" i="1"/>
  <c r="I30" i="1"/>
  <c r="I50" i="1"/>
  <c r="A114" i="1"/>
  <c r="I39" i="1"/>
  <c r="A34" i="1"/>
  <c r="I113" i="1"/>
  <c r="I88" i="1"/>
  <c r="I62" i="1"/>
  <c r="I33" i="1"/>
  <c r="I27" i="1"/>
  <c r="I58" i="1"/>
  <c r="A25" i="1"/>
  <c r="I74" i="1"/>
  <c r="I108" i="1"/>
  <c r="I81" i="1"/>
  <c r="I97" i="1"/>
  <c r="I90" i="1"/>
  <c r="I55" i="1"/>
  <c r="I37" i="1"/>
  <c r="I40" i="1"/>
  <c r="I35" i="1"/>
  <c r="I71" i="1"/>
  <c r="I110" i="1"/>
  <c r="I101" i="1"/>
  <c r="I105" i="1"/>
  <c r="I111" i="1"/>
  <c r="I36" i="1"/>
  <c r="I23" i="1"/>
  <c r="L34" i="1" l="1"/>
  <c r="L32" i="1"/>
  <c r="L25" i="1"/>
  <c r="L87" i="1"/>
  <c r="L70" i="1"/>
  <c r="L114" i="1"/>
  <c r="L28" i="1"/>
  <c r="L89" i="1"/>
  <c r="L92" i="1"/>
  <c r="L83" i="1"/>
  <c r="M66" i="1"/>
  <c r="O43" i="1"/>
  <c r="M112" i="1"/>
  <c r="M103" i="1"/>
  <c r="M93" i="1"/>
  <c r="O84" i="1"/>
  <c r="M31" i="1"/>
  <c r="N87" i="1"/>
  <c r="O104" i="1"/>
  <c r="O50" i="1"/>
  <c r="M55" i="1"/>
  <c r="M50" i="1"/>
  <c r="M73" i="1"/>
  <c r="O31" i="1"/>
  <c r="O36" i="1"/>
  <c r="M35" i="1"/>
  <c r="M77" i="1"/>
  <c r="O93" i="1"/>
  <c r="N34" i="1"/>
  <c r="O63" i="1"/>
  <c r="M74" i="1"/>
  <c r="O69" i="1"/>
  <c r="O94" i="1"/>
  <c r="M54" i="1"/>
  <c r="M32" i="1"/>
  <c r="O92" i="1"/>
  <c r="M70" i="1"/>
  <c r="M75" i="1"/>
  <c r="M47" i="1"/>
  <c r="F89" i="1"/>
  <c r="O98" i="1"/>
  <c r="O80" i="1"/>
  <c r="M78" i="1"/>
  <c r="M43" i="1"/>
  <c r="O64" i="1"/>
  <c r="O101" i="1"/>
  <c r="O21" i="1"/>
  <c r="F92" i="1"/>
  <c r="M33" i="1"/>
  <c r="N92" i="1"/>
  <c r="O42" i="1"/>
  <c r="M97" i="1"/>
  <c r="O55" i="1"/>
  <c r="M116" i="1"/>
  <c r="M21" i="1"/>
  <c r="O33" i="1"/>
  <c r="O72" i="1"/>
  <c r="N70" i="1"/>
  <c r="M98" i="1"/>
  <c r="O65" i="1"/>
  <c r="M40" i="1"/>
  <c r="O100" i="1"/>
  <c r="O28" i="1"/>
  <c r="M87" i="1"/>
  <c r="M67" i="1"/>
  <c r="M109" i="1"/>
  <c r="H34" i="1"/>
  <c r="F70" i="1"/>
  <c r="O51" i="1"/>
  <c r="N89" i="1"/>
  <c r="H92" i="1"/>
  <c r="O76" i="1"/>
  <c r="M56" i="1"/>
  <c r="O90" i="1"/>
  <c r="H28" i="1"/>
  <c r="F87" i="1"/>
  <c r="M65" i="1"/>
  <c r="O24" i="1"/>
  <c r="N25" i="1"/>
  <c r="H25" i="1"/>
  <c r="M60" i="1"/>
  <c r="O53" i="1"/>
  <c r="O22" i="1"/>
  <c r="O86" i="1"/>
  <c r="O74" i="1"/>
  <c r="O40" i="1"/>
  <c r="N114" i="1"/>
  <c r="M57" i="1"/>
  <c r="H87" i="1"/>
  <c r="O30" i="1"/>
  <c r="H32" i="1"/>
  <c r="M105" i="1"/>
  <c r="M28" i="1"/>
  <c r="O70" i="1"/>
  <c r="O87" i="1"/>
  <c r="M108" i="1"/>
  <c r="O113" i="1"/>
  <c r="O27" i="1"/>
  <c r="O114" i="1"/>
  <c r="O81" i="1"/>
  <c r="O35" i="1"/>
  <c r="M94" i="1"/>
  <c r="O26" i="1"/>
  <c r="O91" i="1"/>
  <c r="M51" i="1"/>
  <c r="M26" i="1"/>
  <c r="O67" i="1"/>
  <c r="O108" i="1"/>
  <c r="M38" i="1"/>
  <c r="N32" i="1"/>
  <c r="O29" i="1"/>
  <c r="H83" i="1"/>
  <c r="O96" i="1"/>
  <c r="M39" i="1"/>
  <c r="O48" i="1"/>
  <c r="H70" i="1"/>
  <c r="O47" i="1"/>
  <c r="F32" i="1"/>
  <c r="M59" i="1"/>
  <c r="O112" i="1"/>
  <c r="O97" i="1"/>
  <c r="O38" i="1"/>
  <c r="M111" i="1"/>
  <c r="F114" i="1"/>
  <c r="F34" i="1"/>
  <c r="N28" i="1"/>
  <c r="M99" i="1"/>
  <c r="O106" i="1"/>
  <c r="O25" i="1"/>
  <c r="O83" i="1"/>
  <c r="M90" i="1"/>
  <c r="F25" i="1"/>
  <c r="M58" i="1"/>
  <c r="O107" i="1"/>
  <c r="M92" i="1"/>
  <c r="O23" i="1"/>
  <c r="O109" i="1"/>
  <c r="O78" i="1"/>
  <c r="M24" i="1"/>
  <c r="M30" i="1"/>
  <c r="O52" i="1"/>
  <c r="M100" i="1"/>
  <c r="O103" i="1"/>
  <c r="M22" i="1"/>
  <c r="M106" i="1"/>
  <c r="M44" i="1"/>
  <c r="O66" i="1"/>
  <c r="O39" i="1"/>
  <c r="M110" i="1"/>
  <c r="O59" i="1"/>
  <c r="M53" i="1"/>
  <c r="H114" i="1"/>
  <c r="M69" i="1"/>
  <c r="M88" i="1"/>
  <c r="O37" i="1"/>
  <c r="O79" i="1"/>
  <c r="M42" i="1"/>
  <c r="O116" i="1"/>
  <c r="M23" i="1"/>
  <c r="M107" i="1"/>
  <c r="M25" i="1"/>
  <c r="M114" i="1"/>
  <c r="M83" i="1"/>
  <c r="M84" i="1"/>
  <c r="O58" i="1"/>
  <c r="M63" i="1"/>
  <c r="M115" i="1"/>
  <c r="M45" i="1"/>
  <c r="M36" i="1"/>
  <c r="M49" i="1"/>
  <c r="M71" i="1"/>
  <c r="O46" i="1"/>
  <c r="M62" i="1"/>
  <c r="F83" i="1"/>
  <c r="O73" i="1"/>
  <c r="M104" i="1"/>
  <c r="O71" i="1"/>
  <c r="O68" i="1"/>
  <c r="M29" i="1"/>
  <c r="M81" i="1"/>
  <c r="O88" i="1"/>
  <c r="O110" i="1"/>
  <c r="M102" i="1"/>
  <c r="O49" i="1"/>
  <c r="M68" i="1"/>
  <c r="O57" i="1"/>
  <c r="M80" i="1"/>
  <c r="O45" i="1"/>
  <c r="M95" i="1"/>
  <c r="M52" i="1"/>
  <c r="M96" i="1"/>
  <c r="M72" i="1"/>
  <c r="M27" i="1"/>
  <c r="O111" i="1"/>
  <c r="M34" i="1"/>
  <c r="O89" i="1"/>
  <c r="M113" i="1"/>
  <c r="F28" i="1"/>
  <c r="M91" i="1"/>
  <c r="N83" i="1"/>
  <c r="M79" i="1"/>
  <c r="M86" i="1"/>
  <c r="O77" i="1"/>
  <c r="M37" i="1"/>
  <c r="O95" i="1"/>
  <c r="H89" i="1"/>
  <c r="O44" i="1"/>
  <c r="M82" i="1"/>
  <c r="M61" i="1"/>
  <c r="M46" i="1"/>
  <c r="O99" i="1"/>
  <c r="O60" i="1"/>
  <c r="O54" i="1"/>
  <c r="M48" i="1"/>
  <c r="O41" i="1"/>
  <c r="M76" i="1"/>
  <c r="O85" i="1"/>
  <c r="O82" i="1"/>
  <c r="O105" i="1"/>
  <c r="M41" i="1"/>
  <c r="O62" i="1"/>
  <c r="M64" i="1"/>
  <c r="M101" i="1"/>
  <c r="O115" i="1"/>
  <c r="O56" i="1"/>
  <c r="M85" i="1"/>
  <c r="O75" i="1"/>
  <c r="O61" i="1"/>
  <c r="C25" i="3"/>
  <c r="O34" i="1"/>
  <c r="M89" i="1"/>
  <c r="D20" i="3"/>
  <c r="D25" i="3"/>
  <c r="O102" i="1"/>
  <c r="O32" i="1"/>
  <c r="F17" i="1"/>
  <c r="F15" i="1"/>
  <c r="M17" i="1"/>
  <c r="I32" i="1"/>
  <c r="F14" i="1"/>
  <c r="F16" i="1"/>
  <c r="M16" i="1"/>
  <c r="I114" i="1"/>
  <c r="I28" i="1"/>
  <c r="I89" i="1"/>
  <c r="M15" i="1"/>
  <c r="I25" i="1"/>
  <c r="I92" i="1"/>
  <c r="M14" i="1"/>
  <c r="I34" i="1"/>
  <c r="I87" i="1"/>
  <c r="I83" i="1"/>
  <c r="I70" i="1"/>
  <c r="D17" i="3"/>
  <c r="D16" i="3"/>
  <c r="D15" i="3"/>
  <c r="C14" i="3"/>
  <c r="C16" i="3"/>
  <c r="C21" i="3"/>
  <c r="C15" i="3"/>
  <c r="C23" i="3"/>
  <c r="C24" i="3"/>
  <c r="C18" i="3"/>
  <c r="C20" i="3"/>
  <c r="C19" i="3"/>
  <c r="D22" i="3"/>
  <c r="D24" i="3"/>
  <c r="D18" i="3"/>
  <c r="D21" i="3"/>
  <c r="D23" i="3"/>
  <c r="D14" i="3"/>
  <c r="C26" i="3"/>
  <c r="C22" i="3"/>
  <c r="C17" i="3"/>
  <c r="D26" i="3"/>
  <c r="D19" i="3"/>
</calcChain>
</file>

<file path=xl/sharedStrings.xml><?xml version="1.0" encoding="utf-8"?>
<sst xmlns="http://schemas.openxmlformats.org/spreadsheetml/2006/main" count="466" uniqueCount="237">
  <si>
    <t>Currency</t>
  </si>
  <si>
    <t>Curve Id</t>
  </si>
  <si>
    <t>Zeros</t>
  </si>
  <si>
    <t>Term</t>
  </si>
  <si>
    <t>1D</t>
  </si>
  <si>
    <t>2D</t>
  </si>
  <si>
    <t>1W</t>
  </si>
  <si>
    <t>2W</t>
  </si>
  <si>
    <t>1M</t>
  </si>
  <si>
    <t>2M</t>
  </si>
  <si>
    <t>3M</t>
  </si>
  <si>
    <t>4M</t>
  </si>
  <si>
    <t>5M</t>
  </si>
  <si>
    <t>6M</t>
  </si>
  <si>
    <t>7M</t>
  </si>
  <si>
    <t>8M</t>
  </si>
  <si>
    <t>9M</t>
  </si>
  <si>
    <t>10M</t>
  </si>
  <si>
    <t>11M</t>
  </si>
  <si>
    <t>1Y</t>
  </si>
  <si>
    <t>2Y</t>
  </si>
  <si>
    <t>3Y</t>
  </si>
  <si>
    <t>4Y</t>
  </si>
  <si>
    <t>5Y</t>
  </si>
  <si>
    <t>6Y</t>
  </si>
  <si>
    <t>7Y</t>
  </si>
  <si>
    <t>8Y</t>
  </si>
  <si>
    <t>9Y</t>
  </si>
  <si>
    <t>10Y</t>
  </si>
  <si>
    <t>11Y</t>
  </si>
  <si>
    <t>12Y</t>
  </si>
  <si>
    <t>15Y</t>
  </si>
  <si>
    <t>20Y</t>
  </si>
  <si>
    <t>25Y</t>
  </si>
  <si>
    <t>30Y</t>
  </si>
  <si>
    <t>40Y</t>
  </si>
  <si>
    <t>50Y</t>
  </si>
  <si>
    <t>1I</t>
  </si>
  <si>
    <t>2I</t>
  </si>
  <si>
    <t>3I</t>
  </si>
  <si>
    <t>4I</t>
  </si>
  <si>
    <t>Discounts</t>
  </si>
  <si>
    <t>Object</t>
  </si>
  <si>
    <t>Full Ticker</t>
  </si>
  <si>
    <t>15M</t>
  </si>
  <si>
    <t>18M</t>
  </si>
  <si>
    <t>21M</t>
  </si>
  <si>
    <t>27M</t>
  </si>
  <si>
    <t>30M</t>
  </si>
  <si>
    <t>33M</t>
  </si>
  <si>
    <t>39M</t>
  </si>
  <si>
    <t>42M</t>
  </si>
  <si>
    <t>45M</t>
  </si>
  <si>
    <t>Max Point</t>
  </si>
  <si>
    <t>Num Swap Points</t>
  </si>
  <si>
    <t>31Y</t>
  </si>
  <si>
    <t>21Y</t>
  </si>
  <si>
    <t>16Y</t>
  </si>
  <si>
    <t>13Y</t>
  </si>
  <si>
    <t>14Y</t>
  </si>
  <si>
    <t>17Y</t>
  </si>
  <si>
    <t>18Y</t>
  </si>
  <si>
    <t>19Y</t>
  </si>
  <si>
    <t>22Y</t>
  </si>
  <si>
    <t>23Y</t>
  </si>
  <si>
    <t>24Y</t>
  </si>
  <si>
    <t>26Y</t>
  </si>
  <si>
    <t>27Y</t>
  </si>
  <si>
    <t>28Y</t>
  </si>
  <si>
    <t>29Y</t>
  </si>
  <si>
    <t>32Y</t>
  </si>
  <si>
    <t>33Y</t>
  </si>
  <si>
    <t>34Y</t>
  </si>
  <si>
    <t>35Y</t>
  </si>
  <si>
    <t>36Y</t>
  </si>
  <si>
    <t>37Y</t>
  </si>
  <si>
    <t>38Y</t>
  </si>
  <si>
    <t>39Y</t>
  </si>
  <si>
    <t>41Y</t>
  </si>
  <si>
    <t>42Y</t>
  </si>
  <si>
    <t>43Y</t>
  </si>
  <si>
    <t>44Y</t>
  </si>
  <si>
    <t>45Y</t>
  </si>
  <si>
    <t>46Y</t>
  </si>
  <si>
    <t>47Y</t>
  </si>
  <si>
    <t>48Y</t>
  </si>
  <si>
    <t>49Y</t>
  </si>
  <si>
    <t>Start Point</t>
  </si>
  <si>
    <t>Maturity</t>
  </si>
  <si>
    <t>Last Update</t>
  </si>
  <si>
    <t>Quick Interpolator</t>
  </si>
  <si>
    <t>Maturity Date</t>
  </si>
  <si>
    <t>Zero Rate</t>
  </si>
  <si>
    <t>Discount Factor</t>
  </si>
  <si>
    <t>End Date</t>
  </si>
  <si>
    <t>Frequency</t>
  </si>
  <si>
    <t>Schedule (Quick Interpolation)</t>
  </si>
  <si>
    <t>Input Curve Details on the "Zeros and Discounts" Sheet</t>
  </si>
  <si>
    <t>Greater than TODAY</t>
  </si>
  <si>
    <t>Start Term</t>
  </si>
  <si>
    <t>17Q</t>
  </si>
  <si>
    <t>18Q</t>
  </si>
  <si>
    <t>19Q</t>
  </si>
  <si>
    <t>21Q</t>
  </si>
  <si>
    <t>22Q</t>
  </si>
  <si>
    <t>23Q</t>
  </si>
  <si>
    <t>25Q</t>
  </si>
  <si>
    <t>26Q</t>
  </si>
  <si>
    <t>27Q</t>
  </si>
  <si>
    <t>29Q</t>
  </si>
  <si>
    <t>30Q</t>
  </si>
  <si>
    <t>31Q</t>
  </si>
  <si>
    <t>33Q</t>
  </si>
  <si>
    <t>34Q</t>
  </si>
  <si>
    <t>35Q</t>
  </si>
  <si>
    <t>37Q</t>
  </si>
  <si>
    <t>38Q</t>
  </si>
  <si>
    <t>39Q</t>
  </si>
  <si>
    <t>AED.12m</t>
  </si>
  <si>
    <t>AED.1m</t>
  </si>
  <si>
    <t>AED.3m</t>
  </si>
  <si>
    <t>AED.6m</t>
  </si>
  <si>
    <t>ARS.3m</t>
  </si>
  <si>
    <t>AUD.1m</t>
  </si>
  <si>
    <t>AUD.3m</t>
  </si>
  <si>
    <t>AUD.6m</t>
  </si>
  <si>
    <t>AUD.6m.3m6m</t>
  </si>
  <si>
    <t>BGN.3m</t>
  </si>
  <si>
    <t>BHD.3m</t>
  </si>
  <si>
    <t>BRL.Zero</t>
  </si>
  <si>
    <t>CAD.1m</t>
  </si>
  <si>
    <t>CAD.3m</t>
  </si>
  <si>
    <t>CAD.OIS</t>
  </si>
  <si>
    <t>CHF.1m</t>
  </si>
  <si>
    <t>CHF.3m</t>
  </si>
  <si>
    <t>CHF.6m</t>
  </si>
  <si>
    <t>CHF.OIS</t>
  </si>
  <si>
    <t>CLP.6m</t>
  </si>
  <si>
    <t>CNH.CCS.6m</t>
  </si>
  <si>
    <t>CNY.12m</t>
  </si>
  <si>
    <t>CNY.12m.depo</t>
  </si>
  <si>
    <t>CNY.3m</t>
  </si>
  <si>
    <t>CNY.3m.Shibor</t>
  </si>
  <si>
    <t>CNY.CCS.3m</t>
  </si>
  <si>
    <t>CNY.NDIRS.12m</t>
  </si>
  <si>
    <t>CNY.OIS</t>
  </si>
  <si>
    <t>COP.NDCCS.3m</t>
  </si>
  <si>
    <t>COP.OIS</t>
  </si>
  <si>
    <t>CZK.3m</t>
  </si>
  <si>
    <t>CZK.6m</t>
  </si>
  <si>
    <t>CZK.6m.3mFRA</t>
  </si>
  <si>
    <t>DKK.1m</t>
  </si>
  <si>
    <t>DKK.3m</t>
  </si>
  <si>
    <t>DKK.6m</t>
  </si>
  <si>
    <t>DKK.6m.6mFra</t>
  </si>
  <si>
    <t>DKK.OIS</t>
  </si>
  <si>
    <t>EUR.12m</t>
  </si>
  <si>
    <t>EUR.1m</t>
  </si>
  <si>
    <t>EUR.3m</t>
  </si>
  <si>
    <t>EUR.6m</t>
  </si>
  <si>
    <t>EUR.OIS</t>
  </si>
  <si>
    <t>GBP.12m</t>
  </si>
  <si>
    <t>GBP.1m</t>
  </si>
  <si>
    <t>GBP.3m</t>
  </si>
  <si>
    <t>GBP.6m</t>
  </si>
  <si>
    <t>GBP.OIS</t>
  </si>
  <si>
    <t>HKD.1m</t>
  </si>
  <si>
    <t>HKD.3m</t>
  </si>
  <si>
    <t>HKD.6m</t>
  </si>
  <si>
    <t>HKD.OIS</t>
  </si>
  <si>
    <t>HUF.3m</t>
  </si>
  <si>
    <t>HUF.6m</t>
  </si>
  <si>
    <t>HUF.6m.3mFRA</t>
  </si>
  <si>
    <t>IDR.1m</t>
  </si>
  <si>
    <t>IDR.3m</t>
  </si>
  <si>
    <t>IDR.6m</t>
  </si>
  <si>
    <t>ILS.3m</t>
  </si>
  <si>
    <t>INR.6m.Mifor</t>
  </si>
  <si>
    <t>INR.OIS</t>
  </si>
  <si>
    <t>ISK.3m</t>
  </si>
  <si>
    <t>JPY.1m</t>
  </si>
  <si>
    <t>JPY.3m</t>
  </si>
  <si>
    <t>JPY.6m</t>
  </si>
  <si>
    <t>JPY.OIS</t>
  </si>
  <si>
    <t>KRW.3m</t>
  </si>
  <si>
    <t>KWD.3m</t>
  </si>
  <si>
    <t>MXN.1m</t>
  </si>
  <si>
    <t>MYR.3m</t>
  </si>
  <si>
    <t>MYR.OIS</t>
  </si>
  <si>
    <t>NOK.3m</t>
  </si>
  <si>
    <t>NOK.6m</t>
  </si>
  <si>
    <t>NOK.6m.IMMFRA</t>
  </si>
  <si>
    <t>NZD.3m</t>
  </si>
  <si>
    <t>PHP.3m</t>
  </si>
  <si>
    <t>PKR.6m</t>
  </si>
  <si>
    <t>PLN.3m</t>
  </si>
  <si>
    <t>PLN.6m</t>
  </si>
  <si>
    <t>PLN.6m.3mFRA</t>
  </si>
  <si>
    <t>PLN.OIS</t>
  </si>
  <si>
    <t>RON.6m</t>
  </si>
  <si>
    <t>RUB.3m</t>
  </si>
  <si>
    <t>RUB.CCS.3m</t>
  </si>
  <si>
    <t>RUB.OIS</t>
  </si>
  <si>
    <t>SAR.12m</t>
  </si>
  <si>
    <t>SAR.1m</t>
  </si>
  <si>
    <t>SAR.3m</t>
  </si>
  <si>
    <t>SAR.6m</t>
  </si>
  <si>
    <t>SEK.1m</t>
  </si>
  <si>
    <t>SEK.3m</t>
  </si>
  <si>
    <t>SEK.6m</t>
  </si>
  <si>
    <t>SEK.OIS</t>
  </si>
  <si>
    <t>SGD.1m</t>
  </si>
  <si>
    <t>SGD.3m</t>
  </si>
  <si>
    <t>SGD.6m</t>
  </si>
  <si>
    <t>SGD.6m.Offshore</t>
  </si>
  <si>
    <t>THB.6m</t>
  </si>
  <si>
    <t>THB.6m.Bibor</t>
  </si>
  <si>
    <t>THB.6m.ND</t>
  </si>
  <si>
    <t>TRY.3m</t>
  </si>
  <si>
    <t>TWD.3m</t>
  </si>
  <si>
    <t>USD.12m</t>
  </si>
  <si>
    <t>USD.3m</t>
  </si>
  <si>
    <t>USD.Basis.3m.1m</t>
  </si>
  <si>
    <t>USD.Basis.3m.6m</t>
  </si>
  <si>
    <t>USD.OIS</t>
  </si>
  <si>
    <t>ZAR.3m</t>
  </si>
  <si>
    <t>Monthly</t>
  </si>
  <si>
    <t>Start Date</t>
  </si>
  <si>
    <t>Curve ID</t>
  </si>
  <si>
    <t>Market Side</t>
  </si>
  <si>
    <t>Auto Update (Slower)</t>
  </si>
  <si>
    <t>This workbook provides functions to access zero rates and discount factors for various currencies. 
Enter the Maturity Date for which to interpolate the zero rate and discount factor (Macros must be enabled). Zero rate and discount factor for given maturity date will be calculated by linearly interpolating data between the higher and the lower available dates.</t>
  </si>
  <si>
    <r>
      <rPr>
        <b/>
        <sz val="11"/>
        <rFont val="Calibri"/>
        <family val="2"/>
      </rPr>
      <t>Q: What are these and where can I find additional details?</t>
    </r>
    <r>
      <rPr>
        <sz val="11"/>
        <rFont val="Calibri"/>
        <family val="2"/>
      </rPr>
      <t xml:space="preserve">
A: The discount and zero rates represent the Bloomberg defined rates based on best curve that is avaialble for that currency. Visit ICVS&lt;GO&gt; for list of curve and instruments used in construction. In SWDF&lt;GO&gt;, these are setup as source 8. Generally, Bloomberg best curves use cash at short end, swaps at long end and depending upon availability and liquidity futures in the middle.
</t>
    </r>
    <r>
      <rPr>
        <b/>
        <sz val="11"/>
        <rFont val="Calibri"/>
        <family val="2"/>
      </rPr>
      <t>Q: What are the interpolation methods used?</t>
    </r>
    <r>
      <rPr>
        <sz val="11"/>
        <rFont val="Calibri"/>
        <family val="2"/>
      </rPr>
      <t xml:space="preserve">
A: SIMPLE PIECEWISE LINEAR interpolation method is used in calculations of rates on the main sheet EXCEPT for the following currencies, for which SMOOTH FORWARD interpolation is used:
MXN, CNY, CZK, RUB, SAR, HKD, HUF, IDR, ILS, INR, ISK, KRW, MYR, NZD, PHP, PKR, PLN, SGD, SKK, THB, TRY.
The Quick Interpolator interpolates rates by finding the above and below dates and then interpolating the rates between them. Quick Interpolator is extended on the Schedule sheet.
</t>
    </r>
  </si>
  <si>
    <t>FAQ</t>
  </si>
  <si>
    <t>DELAYED_TICK_STREAM_INDICATOR</t>
  </si>
  <si>
    <t>No</t>
  </si>
  <si>
    <t>Ask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</si>
</sst>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0000"/>
    <numFmt numFmtId="165" formatCode="0.000000"/>
    <numFmt numFmtId="166" formatCode="#,##0.000000"/>
    <numFmt numFmtId="168" formatCode="_-* #,##0.0000_-;\-* #,##0.0000_-;_-* &quot;-&quot;??_-;_-@_-"/>
  </numFmts>
  <fonts count="13" x14ac:knownFonts="1">
    <font>
      <sz val="10"/>
      <name val="Arial"/>
    </font>
    <font>
      <sz val="8"/>
      <name val="Arial"/>
      <family val="2"/>
    </font>
    <font>
      <sz val="10"/>
      <name val="Arial"/>
      <family val="2"/>
    </font>
    <font>
      <sz val="11"/>
      <color theme="1"/>
      <name val="Calibri"/>
      <family val="2"/>
      <scheme val="minor"/>
    </font>
    <font>
      <sz val="11"/>
      <name val="Calibri"/>
      <family val="2"/>
    </font>
    <font>
      <b/>
      <sz val="11"/>
      <name val="Calibri"/>
      <family val="2"/>
    </font>
    <font>
      <i/>
      <sz val="11"/>
      <name val="Calibri"/>
      <family val="2"/>
    </font>
    <font>
      <b/>
      <sz val="11"/>
      <color rgb="FFFFFFFF"/>
      <name val="Calibri"/>
      <family val="2"/>
    </font>
    <font>
      <b/>
      <sz val="11"/>
      <color rgb="FF000000"/>
      <name val="Calibri"/>
      <family val="2"/>
    </font>
    <font>
      <sz val="11"/>
      <color rgb="FF000000"/>
      <name val="Calibri"/>
      <family val="2"/>
    </font>
    <font>
      <b/>
      <sz val="11"/>
      <color theme="3"/>
      <name val="Calibri"/>
      <family val="2"/>
    </font>
    <font>
      <sz val="11"/>
      <color theme="0"/>
      <name val="Calibri"/>
      <family val="2"/>
    </font>
    <font>
      <sz val="10"/>
      <name val="Arial"/>
    </font>
  </fonts>
  <fills count="22">
    <fill>
      <patternFill patternType="none"/>
    </fill>
    <fill>
      <patternFill patternType="gray125"/>
    </fill>
    <fill>
      <patternFill patternType="solid">
        <fgColor indexed="9"/>
        <bgColor indexed="64"/>
      </pattern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gradientFill>
        <stop position="0">
          <color rgb="FFB8CCE4"/>
        </stop>
        <stop position="0.5">
          <color rgb="FFDCE6F1"/>
        </stop>
        <stop position="1">
          <color rgb="FFB8CCE4"/>
        </stop>
      </gradientFill>
    </fill>
    <fill>
      <gradientFill>
        <stop position="0">
          <color rgb="FF8DB4E2"/>
        </stop>
        <stop position="0.5">
          <color rgb="FFC5D9F1"/>
        </stop>
        <stop position="1">
          <color rgb="FF8DB4E2"/>
        </stop>
      </gradientFill>
    </fill>
    <fill>
      <gradientFill>
        <stop position="0">
          <color rgb="FFBFBFBF"/>
        </stop>
        <stop position="0.5">
          <color rgb="FFD9D9D9"/>
        </stop>
        <stop position="1">
          <color rgb="FFBFBFBF"/>
        </stop>
      </gradient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
      <gradientFill>
        <stop position="0">
          <color theme="9" tint="0.40000610370189521"/>
        </stop>
        <stop position="0.5">
          <color theme="9" tint="0.59999389629810485"/>
        </stop>
        <stop position="1">
          <color theme="9" tint="0.40000610370189521"/>
        </stop>
      </gradientFill>
    </fill>
    <fill>
      <gradientFill>
        <stop position="0">
          <color theme="3" tint="0.59999389629810485"/>
        </stop>
        <stop position="0.5">
          <color theme="3" tint="0.80001220740379042"/>
        </stop>
        <stop position="1">
          <color theme="3" tint="0.59999389629810485"/>
        </stop>
      </gradientFill>
    </fill>
    <fill>
      <gradientFill>
        <stop position="0">
          <color rgb="FFFABF8F"/>
        </stop>
        <stop position="0.5">
          <color rgb="FFFCD5B4"/>
        </stop>
        <stop position="1">
          <color rgb="FFFABF8F"/>
        </stop>
      </gradientFill>
    </fill>
    <fill>
      <patternFill patternType="solid">
        <fgColor theme="4" tint="0.79998168889431442"/>
        <bgColor indexed="64"/>
      </patternFill>
    </fill>
  </fills>
  <borders count="59">
    <border>
      <left/>
      <right/>
      <top/>
      <bottom/>
      <diagonal/>
    </border>
    <border>
      <left style="thin">
        <color indexed="9"/>
      </left>
      <right style="thin">
        <color indexed="9"/>
      </right>
      <top style="thin">
        <color indexed="9"/>
      </top>
      <bottom style="thin">
        <color indexed="9"/>
      </bottom>
      <diagonal/>
    </border>
    <border>
      <left style="thin">
        <color indexed="8"/>
      </left>
      <right style="thin">
        <color indexed="8"/>
      </right>
      <top style="thin">
        <color indexed="8"/>
      </top>
      <bottom style="thin">
        <color indexed="8"/>
      </bottom>
      <diagonal/>
    </border>
    <border>
      <left style="thin">
        <color indexed="8"/>
      </left>
      <right style="thin">
        <color indexed="9"/>
      </right>
      <top style="thin">
        <color indexed="8"/>
      </top>
      <bottom style="thin">
        <color indexed="8"/>
      </bottom>
      <diagonal/>
    </border>
    <border>
      <left style="thin">
        <color indexed="9"/>
      </left>
      <right style="thin">
        <color indexed="9"/>
      </right>
      <top style="thin">
        <color indexed="8"/>
      </top>
      <bottom style="thin">
        <color indexed="8"/>
      </bottom>
      <diagonal/>
    </border>
    <border>
      <left style="thin">
        <color indexed="9"/>
      </left>
      <right style="thin">
        <color indexed="8"/>
      </right>
      <top style="thin">
        <color indexed="8"/>
      </top>
      <bottom style="thin">
        <color indexed="8"/>
      </bottom>
      <diagonal/>
    </border>
    <border>
      <left style="thin">
        <color indexed="9"/>
      </left>
      <right style="thin">
        <color indexed="9"/>
      </right>
      <top/>
      <bottom style="thin">
        <color indexed="9"/>
      </bottom>
      <diagonal/>
    </border>
    <border>
      <left style="thin">
        <color indexed="8"/>
      </left>
      <right style="thin">
        <color indexed="8"/>
      </right>
      <top style="thin">
        <color indexed="8"/>
      </top>
      <bottom style="thin">
        <color indexed="9"/>
      </bottom>
      <diagonal/>
    </border>
    <border>
      <left style="thin">
        <color indexed="8"/>
      </left>
      <right/>
      <top style="thin">
        <color indexed="8"/>
      </top>
      <bottom style="thin">
        <color indexed="9"/>
      </bottom>
      <diagonal/>
    </border>
    <border>
      <left style="thin">
        <color indexed="8"/>
      </left>
      <right style="thin">
        <color indexed="8"/>
      </right>
      <top style="thin">
        <color indexed="8"/>
      </top>
      <bottom/>
      <diagonal/>
    </border>
    <border>
      <left style="thin">
        <color indexed="9"/>
      </left>
      <right style="thin">
        <color indexed="9"/>
      </right>
      <top style="thin">
        <color indexed="9"/>
      </top>
      <bottom style="thin">
        <color indexed="8"/>
      </bottom>
      <diagonal/>
    </border>
    <border>
      <left style="thin">
        <color indexed="9"/>
      </left>
      <right style="thin">
        <color indexed="8"/>
      </right>
      <top style="thin">
        <color indexed="8"/>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9"/>
      </right>
      <top style="thin">
        <color indexed="9"/>
      </top>
      <bottom style="thin">
        <color indexed="9"/>
      </bottom>
      <diagonal/>
    </border>
    <border>
      <left style="thin">
        <color indexed="9"/>
      </left>
      <right style="thin">
        <color indexed="8"/>
      </right>
      <top style="thin">
        <color indexed="9"/>
      </top>
      <bottom style="thin">
        <color indexed="9"/>
      </bottom>
      <diagonal/>
    </border>
    <border>
      <left style="thin">
        <color indexed="8"/>
      </left>
      <right style="thin">
        <color indexed="9"/>
      </right>
      <top style="thin">
        <color indexed="9"/>
      </top>
      <bottom style="thin">
        <color indexed="8"/>
      </bottom>
      <diagonal/>
    </border>
    <border>
      <left style="thin">
        <color indexed="9"/>
      </left>
      <right style="thin">
        <color indexed="8"/>
      </right>
      <top style="thin">
        <color indexed="9"/>
      </top>
      <bottom style="thin">
        <color indexed="8"/>
      </bottom>
      <diagonal/>
    </border>
    <border>
      <left style="thin">
        <color indexed="8"/>
      </left>
      <right style="thin">
        <color indexed="9"/>
      </right>
      <top style="thin">
        <color indexed="8"/>
      </top>
      <bottom/>
      <diagonal/>
    </border>
    <border>
      <left style="thin">
        <color indexed="9"/>
      </left>
      <right style="thin">
        <color indexed="9"/>
      </right>
      <top style="thin">
        <color indexed="8"/>
      </top>
      <bottom/>
      <diagonal/>
    </border>
    <border>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top style="thin">
        <color indexed="9"/>
      </top>
      <bottom style="thin">
        <color indexed="8"/>
      </bottom>
      <diagonal/>
    </border>
    <border>
      <left/>
      <right style="thin">
        <color indexed="9"/>
      </right>
      <top style="thin">
        <color indexed="9"/>
      </top>
      <bottom style="thin">
        <color indexed="8"/>
      </bottom>
      <diagonal/>
    </border>
    <border>
      <left style="thin">
        <color indexed="8"/>
      </left>
      <right style="thin">
        <color indexed="8"/>
      </right>
      <top style="thin">
        <color indexed="9"/>
      </top>
      <bottom style="thin">
        <color indexed="9"/>
      </bottom>
      <diagonal/>
    </border>
    <border>
      <left style="thin">
        <color indexed="8"/>
      </left>
      <right style="thin">
        <color indexed="8"/>
      </right>
      <top style="thin">
        <color indexed="9"/>
      </top>
      <bottom style="thin">
        <color indexed="8"/>
      </bottom>
      <diagonal/>
    </border>
    <border>
      <left style="thin">
        <color indexed="8"/>
      </left>
      <right style="thin">
        <color indexed="9"/>
      </right>
      <top/>
      <bottom style="thin">
        <color indexed="9"/>
      </bottom>
      <diagonal/>
    </border>
    <border>
      <left style="thin">
        <color indexed="9"/>
      </left>
      <right/>
      <top/>
      <bottom style="thin">
        <color indexed="9"/>
      </bottom>
      <diagonal/>
    </border>
    <border>
      <left/>
      <right style="thin">
        <color indexed="9"/>
      </right>
      <top/>
      <bottom style="thin">
        <color indexed="9"/>
      </bottom>
      <diagonal/>
    </border>
    <border>
      <left style="thin">
        <color indexed="9"/>
      </left>
      <right style="thin">
        <color indexed="8"/>
      </right>
      <top/>
      <bottom style="thin">
        <color indexed="9"/>
      </bottom>
      <diagonal/>
    </border>
    <border>
      <left style="thin">
        <color indexed="8"/>
      </left>
      <right/>
      <top style="thin">
        <color indexed="9"/>
      </top>
      <bottom style="thin">
        <color indexed="9"/>
      </bottom>
      <diagonal/>
    </border>
    <border>
      <left style="thin">
        <color indexed="8"/>
      </left>
      <right/>
      <top style="thin">
        <color indexed="9"/>
      </top>
      <bottom style="thin">
        <color indexed="8"/>
      </bottom>
      <diagonal/>
    </border>
    <border>
      <left/>
      <right style="thin">
        <color indexed="64"/>
      </right>
      <top style="thin">
        <color indexed="64"/>
      </top>
      <bottom/>
      <diagonal/>
    </border>
    <border>
      <left/>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theme="0"/>
      </right>
      <top style="thin">
        <color indexed="8"/>
      </top>
      <bottom/>
      <diagonal/>
    </border>
    <border>
      <left style="thin">
        <color theme="0"/>
      </left>
      <right style="thin">
        <color indexed="8"/>
      </right>
      <top style="thin">
        <color indexed="8"/>
      </top>
      <bottom/>
      <diagonal/>
    </border>
    <border>
      <left style="thin">
        <color indexed="64"/>
      </left>
      <right/>
      <top style="thin">
        <color indexed="64"/>
      </top>
      <bottom/>
      <diagonal/>
    </border>
    <border>
      <left style="thin">
        <color indexed="9"/>
      </left>
      <right style="thin">
        <color indexed="9"/>
      </right>
      <top/>
      <bottom/>
      <diagonal/>
    </border>
    <border>
      <left style="thin">
        <color auto="1"/>
      </left>
      <right/>
      <top style="thin">
        <color indexed="9"/>
      </top>
      <bottom style="thin">
        <color theme="0"/>
      </bottom>
      <diagonal/>
    </border>
    <border>
      <left style="thin">
        <color auto="1"/>
      </left>
      <right/>
      <top style="thin">
        <color theme="0"/>
      </top>
      <bottom style="thin">
        <color theme="0"/>
      </bottom>
      <diagonal/>
    </border>
    <border>
      <left style="thin">
        <color auto="1"/>
      </left>
      <right/>
      <top style="thin">
        <color theme="0"/>
      </top>
      <bottom style="thin">
        <color indexed="8"/>
      </bottom>
      <diagonal/>
    </border>
    <border>
      <left style="thin">
        <color indexed="9"/>
      </left>
      <right style="thin">
        <color indexed="8"/>
      </right>
      <top style="thin">
        <color indexed="9"/>
      </top>
      <bottom style="thin">
        <color theme="0"/>
      </bottom>
      <diagonal/>
    </border>
    <border>
      <left style="thin">
        <color indexed="9"/>
      </left>
      <right style="thin">
        <color indexed="8"/>
      </right>
      <top style="thin">
        <color theme="0"/>
      </top>
      <bottom style="thin">
        <color theme="0"/>
      </bottom>
      <diagonal/>
    </border>
    <border>
      <left style="thin">
        <color indexed="9"/>
      </left>
      <right style="thin">
        <color indexed="8"/>
      </right>
      <top style="thin">
        <color theme="0"/>
      </top>
      <bottom style="thin">
        <color indexed="8"/>
      </bottom>
      <diagonal/>
    </border>
    <border>
      <left style="thin">
        <color indexed="8"/>
      </left>
      <right style="thin">
        <color indexed="64"/>
      </right>
      <top style="thin">
        <color indexed="8"/>
      </top>
      <bottom style="thin">
        <color indexed="8"/>
      </bottom>
      <diagonal/>
    </border>
    <border>
      <left/>
      <right style="thin">
        <color indexed="8"/>
      </right>
      <top style="thin">
        <color indexed="9"/>
      </top>
      <bottom style="thin">
        <color theme="0"/>
      </bottom>
      <diagonal/>
    </border>
    <border>
      <left/>
      <right style="thin">
        <color indexed="8"/>
      </right>
      <top style="thin">
        <color theme="0"/>
      </top>
      <bottom style="thin">
        <color theme="0"/>
      </bottom>
      <diagonal/>
    </border>
    <border>
      <left/>
      <right style="thin">
        <color indexed="8"/>
      </right>
      <top style="thin">
        <color theme="0"/>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indexed="64"/>
      </bottom>
      <diagonal/>
    </border>
    <border>
      <left/>
      <right style="thin">
        <color theme="0"/>
      </right>
      <top style="thin">
        <color theme="0"/>
      </top>
      <bottom style="thin">
        <color indexed="64"/>
      </bottom>
      <diagonal/>
    </border>
    <border>
      <left/>
      <right/>
      <top style="thin">
        <color indexed="64"/>
      </top>
      <bottom style="thin">
        <color theme="0"/>
      </bottom>
      <diagonal/>
    </border>
    <border>
      <left/>
      <right/>
      <top style="thin">
        <color theme="0"/>
      </top>
      <bottom style="thin">
        <color indexed="64"/>
      </bottom>
      <diagonal/>
    </border>
    <border>
      <left style="thin">
        <color theme="0" tint="-0.24994659260841701"/>
      </left>
      <right/>
      <top style="thin">
        <color theme="0" tint="-0.24994659260841701"/>
      </top>
      <bottom style="medium">
        <color theme="0" tint="-0.499984740745262"/>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s>
  <cellStyleXfs count="4">
    <xf numFmtId="0" fontId="0" fillId="0" borderId="0"/>
    <xf numFmtId="0" fontId="2" fillId="0" borderId="0"/>
    <xf numFmtId="0" fontId="3" fillId="0" borderId="0"/>
    <xf numFmtId="43" fontId="12" fillId="0" borderId="0" applyFont="0" applyFill="0" applyBorder="0" applyAlignment="0" applyProtection="0"/>
  </cellStyleXfs>
  <cellXfs count="127">
    <xf numFmtId="0" fontId="0" fillId="0" borderId="0" xfId="0"/>
    <xf numFmtId="0" fontId="4" fillId="0" borderId="0" xfId="0" applyFont="1"/>
    <xf numFmtId="0" fontId="4" fillId="0" borderId="0" xfId="0" applyFont="1" applyFill="1"/>
    <xf numFmtId="0" fontId="4" fillId="2" borderId="0" xfId="0" applyFont="1" applyFill="1"/>
    <xf numFmtId="0" fontId="4" fillId="2" borderId="0" xfId="0" applyFont="1" applyFill="1" applyBorder="1"/>
    <xf numFmtId="0" fontId="4" fillId="0" borderId="0" xfId="0" applyFont="1" applyBorder="1"/>
    <xf numFmtId="0" fontId="7" fillId="3" borderId="9"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14" xfId="0" applyFont="1" applyFill="1" applyBorder="1" applyAlignment="1">
      <alignment horizontal="center" vertical="center"/>
    </xf>
    <xf numFmtId="0" fontId="7" fillId="3" borderId="15" xfId="0" applyFont="1" applyFill="1" applyBorder="1" applyAlignment="1">
      <alignment horizontal="center" vertical="center"/>
    </xf>
    <xf numFmtId="0" fontId="9" fillId="6" borderId="1" xfId="0" applyFont="1" applyFill="1" applyBorder="1" applyAlignment="1">
      <alignment vertical="top"/>
    </xf>
    <xf numFmtId="0" fontId="9" fillId="7" borderId="1" xfId="0" applyFont="1" applyFill="1" applyBorder="1" applyAlignment="1">
      <alignment vertical="top"/>
    </xf>
    <xf numFmtId="0" fontId="9" fillId="7" borderId="14" xfId="0" applyFont="1" applyFill="1" applyBorder="1" applyAlignment="1">
      <alignment vertical="top"/>
    </xf>
    <xf numFmtId="0" fontId="9" fillId="6" borderId="14" xfId="0" applyFont="1" applyFill="1" applyBorder="1" applyAlignment="1">
      <alignment vertical="top"/>
    </xf>
    <xf numFmtId="0" fontId="9" fillId="7" borderId="16" xfId="0" applyFont="1" applyFill="1" applyBorder="1" applyAlignment="1">
      <alignment vertical="top"/>
    </xf>
    <xf numFmtId="0" fontId="9" fillId="7" borderId="10" xfId="0" applyFont="1" applyFill="1" applyBorder="1" applyAlignment="1">
      <alignment vertical="top"/>
    </xf>
    <xf numFmtId="0" fontId="9" fillId="7" borderId="21" xfId="0" applyFont="1" applyFill="1" applyBorder="1" applyAlignment="1">
      <alignment vertical="top"/>
    </xf>
    <xf numFmtId="0" fontId="9" fillId="6" borderId="21" xfId="0" applyFont="1" applyFill="1" applyBorder="1" applyAlignment="1">
      <alignment vertical="top"/>
    </xf>
    <xf numFmtId="0" fontId="9" fillId="7" borderId="22" xfId="0" applyFont="1" applyFill="1" applyBorder="1" applyAlignment="1">
      <alignment vertical="top"/>
    </xf>
    <xf numFmtId="14" fontId="9" fillId="7" borderId="20" xfId="0" applyNumberFormat="1" applyFont="1" applyFill="1" applyBorder="1" applyAlignment="1">
      <alignment vertical="top"/>
    </xf>
    <xf numFmtId="14" fontId="9" fillId="6" borderId="20" xfId="0" applyNumberFormat="1" applyFont="1" applyFill="1" applyBorder="1" applyAlignment="1">
      <alignment vertical="top"/>
    </xf>
    <xf numFmtId="14" fontId="9" fillId="7" borderId="23" xfId="0" applyNumberFormat="1" applyFont="1" applyFill="1" applyBorder="1" applyAlignment="1">
      <alignment vertical="top"/>
    </xf>
    <xf numFmtId="0" fontId="9" fillId="6" borderId="26" xfId="0" applyFont="1" applyFill="1" applyBorder="1" applyAlignment="1">
      <alignment vertical="top"/>
    </xf>
    <xf numFmtId="0" fontId="9" fillId="6" borderId="6" xfId="0" applyFont="1" applyFill="1" applyBorder="1" applyAlignment="1">
      <alignment vertical="top"/>
    </xf>
    <xf numFmtId="0" fontId="9" fillId="6" borderId="27" xfId="0" applyFont="1" applyFill="1" applyBorder="1" applyAlignment="1">
      <alignment vertical="top"/>
    </xf>
    <xf numFmtId="14" fontId="9" fillId="6" borderId="28" xfId="0" applyNumberFormat="1" applyFont="1" applyFill="1" applyBorder="1" applyAlignment="1">
      <alignment vertical="top"/>
    </xf>
    <xf numFmtId="0" fontId="7" fillId="3" borderId="19" xfId="0" applyFont="1" applyFill="1" applyBorder="1" applyAlignment="1">
      <alignment horizontal="center" vertical="center"/>
    </xf>
    <xf numFmtId="0" fontId="7" fillId="3" borderId="18" xfId="0" applyFont="1" applyFill="1" applyBorder="1" applyAlignment="1">
      <alignment horizontal="center" vertical="center"/>
    </xf>
    <xf numFmtId="0" fontId="9" fillId="6" borderId="15" xfId="0" applyFont="1" applyFill="1" applyBorder="1" applyAlignment="1">
      <alignment vertical="top"/>
    </xf>
    <xf numFmtId="0" fontId="9" fillId="7" borderId="15" xfId="0" applyFont="1" applyFill="1" applyBorder="1" applyAlignment="1">
      <alignment vertical="top"/>
    </xf>
    <xf numFmtId="0" fontId="9" fillId="7" borderId="17" xfId="0" applyFont="1" applyFill="1" applyBorder="1" applyAlignment="1">
      <alignment vertical="top"/>
    </xf>
    <xf numFmtId="0" fontId="9" fillId="6" borderId="24" xfId="0" applyFont="1" applyFill="1" applyBorder="1" applyAlignment="1">
      <alignment vertical="top"/>
    </xf>
    <xf numFmtId="0" fontId="9" fillId="7" borderId="24" xfId="0" applyFont="1" applyFill="1" applyBorder="1" applyAlignment="1">
      <alignment vertical="top"/>
    </xf>
    <xf numFmtId="0" fontId="9" fillId="7" borderId="25" xfId="0" applyFont="1" applyFill="1" applyBorder="1" applyAlignment="1">
      <alignment vertical="top"/>
    </xf>
    <xf numFmtId="0" fontId="7" fillId="3" borderId="8" xfId="0" applyFont="1" applyFill="1" applyBorder="1" applyAlignment="1">
      <alignment horizontal="left" vertical="center" indent="1"/>
    </xf>
    <xf numFmtId="0" fontId="7" fillId="3" borderId="30" xfId="0" applyFont="1" applyFill="1" applyBorder="1" applyAlignment="1">
      <alignment horizontal="left" vertical="center" indent="1"/>
    </xf>
    <xf numFmtId="0" fontId="7" fillId="3" borderId="31" xfId="0" applyFont="1" applyFill="1" applyBorder="1" applyAlignment="1">
      <alignment horizontal="left" vertical="center" indent="1"/>
    </xf>
    <xf numFmtId="165" fontId="9" fillId="5" borderId="15" xfId="0" applyNumberFormat="1" applyFont="1" applyFill="1" applyBorder="1" applyAlignment="1">
      <alignment vertical="top"/>
    </xf>
    <xf numFmtId="165" fontId="9" fillId="8" borderId="15" xfId="0" applyNumberFormat="1" applyFont="1" applyFill="1" applyBorder="1" applyAlignment="1">
      <alignment vertical="top"/>
    </xf>
    <xf numFmtId="165" fontId="9" fillId="5" borderId="17" xfId="0" applyNumberFormat="1" applyFont="1" applyFill="1" applyBorder="1" applyAlignment="1">
      <alignment vertical="top"/>
    </xf>
    <xf numFmtId="14" fontId="9" fillId="6" borderId="28" xfId="0" applyNumberFormat="1" applyFont="1" applyFill="1" applyBorder="1" applyAlignment="1">
      <alignment horizontal="center" vertical="top"/>
    </xf>
    <xf numFmtId="14" fontId="9" fillId="7" borderId="20" xfId="0" applyNumberFormat="1" applyFont="1" applyFill="1" applyBorder="1" applyAlignment="1">
      <alignment horizontal="center" vertical="top"/>
    </xf>
    <xf numFmtId="14" fontId="9" fillId="6" borderId="20" xfId="0" applyNumberFormat="1" applyFont="1" applyFill="1" applyBorder="1" applyAlignment="1">
      <alignment horizontal="center" vertical="top"/>
    </xf>
    <xf numFmtId="14" fontId="9" fillId="7" borderId="23" xfId="0" applyNumberFormat="1" applyFont="1" applyFill="1" applyBorder="1" applyAlignment="1">
      <alignment horizontal="center" vertical="top"/>
    </xf>
    <xf numFmtId="164" fontId="9" fillId="5" borderId="20" xfId="0" applyNumberFormat="1" applyFont="1" applyFill="1" applyBorder="1" applyAlignment="1">
      <alignment vertical="top"/>
    </xf>
    <xf numFmtId="164" fontId="9" fillId="8" borderId="20" xfId="0" applyNumberFormat="1" applyFont="1" applyFill="1" applyBorder="1" applyAlignment="1">
      <alignment vertical="top"/>
    </xf>
    <xf numFmtId="164" fontId="9" fillId="5" borderId="23" xfId="0" applyNumberFormat="1" applyFont="1" applyFill="1" applyBorder="1" applyAlignment="1">
      <alignment vertical="top"/>
    </xf>
    <xf numFmtId="0" fontId="8" fillId="4" borderId="34" xfId="0" applyFont="1" applyFill="1" applyBorder="1" applyAlignment="1" applyProtection="1">
      <alignment horizontal="left" vertical="top" indent="1"/>
      <protection locked="0"/>
    </xf>
    <xf numFmtId="0" fontId="7" fillId="3" borderId="35" xfId="0" applyFont="1" applyFill="1" applyBorder="1" applyAlignment="1">
      <alignment horizontal="center" vertical="center"/>
    </xf>
    <xf numFmtId="0" fontId="7" fillId="3" borderId="36" xfId="0" applyFont="1" applyFill="1" applyBorder="1" applyAlignment="1">
      <alignment horizontal="center" vertical="center"/>
    </xf>
    <xf numFmtId="0" fontId="5" fillId="0" borderId="0" xfId="0" applyFont="1" applyFill="1" applyBorder="1"/>
    <xf numFmtId="0" fontId="4" fillId="0" borderId="0" xfId="0" applyFont="1" applyFill="1" applyBorder="1"/>
    <xf numFmtId="0" fontId="0" fillId="0" borderId="0" xfId="0" applyFill="1"/>
    <xf numFmtId="0" fontId="6" fillId="0" borderId="0" xfId="0" applyFont="1" applyFill="1"/>
    <xf numFmtId="14" fontId="9" fillId="6" borderId="39" xfId="0" applyNumberFormat="1" applyFont="1" applyFill="1" applyBorder="1" applyAlignment="1">
      <alignment horizontal="center" vertical="top"/>
    </xf>
    <xf numFmtId="14" fontId="9" fillId="7" borderId="40" xfId="0" applyNumberFormat="1" applyFont="1" applyFill="1" applyBorder="1" applyAlignment="1">
      <alignment horizontal="center" vertical="top"/>
    </xf>
    <xf numFmtId="14" fontId="9" fillId="6" borderId="40" xfId="0" applyNumberFormat="1" applyFont="1" applyFill="1" applyBorder="1" applyAlignment="1">
      <alignment horizontal="center" vertical="top"/>
    </xf>
    <xf numFmtId="14" fontId="9" fillId="7" borderId="41" xfId="0" applyNumberFormat="1" applyFont="1" applyFill="1" applyBorder="1" applyAlignment="1">
      <alignment horizontal="center" vertical="top"/>
    </xf>
    <xf numFmtId="166" fontId="9" fillId="5" borderId="42" xfId="0" applyNumberFormat="1" applyFont="1" applyFill="1" applyBorder="1" applyAlignment="1">
      <alignment vertical="top"/>
    </xf>
    <xf numFmtId="166" fontId="9" fillId="8" borderId="43" xfId="0" applyNumberFormat="1" applyFont="1" applyFill="1" applyBorder="1" applyAlignment="1">
      <alignment vertical="top"/>
    </xf>
    <xf numFmtId="166" fontId="9" fillId="5" borderId="43" xfId="0" applyNumberFormat="1" applyFont="1" applyFill="1" applyBorder="1" applyAlignment="1">
      <alignment vertical="top"/>
    </xf>
    <xf numFmtId="166" fontId="9" fillId="8" borderId="44" xfId="0" applyNumberFormat="1" applyFont="1" applyFill="1" applyBorder="1" applyAlignment="1">
      <alignment vertical="top"/>
    </xf>
    <xf numFmtId="164" fontId="9" fillId="5" borderId="46" xfId="0" applyNumberFormat="1" applyFont="1" applyFill="1" applyBorder="1" applyAlignment="1">
      <alignment vertical="top"/>
    </xf>
    <xf numFmtId="164" fontId="9" fillId="8" borderId="47" xfId="0" applyNumberFormat="1" applyFont="1" applyFill="1" applyBorder="1" applyAlignment="1">
      <alignment vertical="top"/>
    </xf>
    <xf numFmtId="164" fontId="9" fillId="5" borderId="47" xfId="0" applyNumberFormat="1" applyFont="1" applyFill="1" applyBorder="1" applyAlignment="1">
      <alignment vertical="top"/>
    </xf>
    <xf numFmtId="164" fontId="9" fillId="8" borderId="48" xfId="0" applyNumberFormat="1" applyFont="1" applyFill="1" applyBorder="1" applyAlignment="1">
      <alignment vertical="top"/>
    </xf>
    <xf numFmtId="14" fontId="8" fillId="4" borderId="45" xfId="0" applyNumberFormat="1" applyFont="1" applyFill="1" applyBorder="1" applyAlignment="1" applyProtection="1">
      <alignment horizontal="center" vertical="top"/>
      <protection locked="0"/>
    </xf>
    <xf numFmtId="14" fontId="8" fillId="20" borderId="45" xfId="0" applyNumberFormat="1" applyFont="1" applyFill="1" applyBorder="1" applyAlignment="1" applyProtection="1">
      <alignment horizontal="center" vertical="top"/>
      <protection locked="0"/>
    </xf>
    <xf numFmtId="0" fontId="9" fillId="0" borderId="7" xfId="0" applyFont="1" applyFill="1" applyBorder="1" applyAlignment="1">
      <alignment vertical="top"/>
    </xf>
    <xf numFmtId="0" fontId="9" fillId="0" borderId="24" xfId="0" applyFont="1" applyFill="1" applyBorder="1" applyAlignment="1">
      <alignment vertical="top"/>
    </xf>
    <xf numFmtId="0" fontId="9" fillId="0" borderId="25" xfId="0" applyFont="1" applyFill="1" applyBorder="1" applyAlignment="1">
      <alignment vertical="top"/>
    </xf>
    <xf numFmtId="0" fontId="5" fillId="0" borderId="0" xfId="0" applyFont="1" applyFill="1" applyAlignment="1">
      <alignment horizontal="left"/>
    </xf>
    <xf numFmtId="14" fontId="8" fillId="4" borderId="25" xfId="0" applyNumberFormat="1" applyFont="1" applyFill="1" applyBorder="1" applyAlignment="1">
      <alignment horizontal="center" vertical="top"/>
    </xf>
    <xf numFmtId="14" fontId="8" fillId="18" borderId="2" xfId="0" applyNumberFormat="1" applyFont="1" applyFill="1" applyBorder="1" applyAlignment="1">
      <alignment horizontal="center" vertical="top"/>
    </xf>
    <xf numFmtId="14" fontId="8" fillId="4" borderId="2" xfId="0" applyNumberFormat="1" applyFont="1" applyFill="1" applyBorder="1" applyAlignment="1">
      <alignment horizontal="center" vertical="top"/>
    </xf>
    <xf numFmtId="0" fontId="9" fillId="19" borderId="34" xfId="0" applyFont="1" applyFill="1" applyBorder="1" applyAlignment="1">
      <alignment horizontal="left" vertical="top" indent="1"/>
    </xf>
    <xf numFmtId="0" fontId="8" fillId="4" borderId="49" xfId="0" applyFont="1" applyFill="1" applyBorder="1" applyAlignment="1" applyProtection="1">
      <alignment horizontal="left" vertical="top" indent="1"/>
      <protection locked="0"/>
    </xf>
    <xf numFmtId="14" fontId="8" fillId="4" borderId="49" xfId="0" applyNumberFormat="1" applyFont="1" applyFill="1" applyBorder="1" applyAlignment="1">
      <alignment horizontal="left" vertical="top" indent="1"/>
    </xf>
    <xf numFmtId="0" fontId="8" fillId="4" borderId="49" xfId="0" applyFont="1" applyFill="1" applyBorder="1" applyAlignment="1">
      <alignment horizontal="left" vertical="top" indent="1"/>
    </xf>
    <xf numFmtId="0" fontId="6" fillId="0" borderId="0" xfId="0" applyFont="1" applyFill="1" applyAlignment="1">
      <alignment horizontal="left" indent="1"/>
    </xf>
    <xf numFmtId="0" fontId="4" fillId="0" borderId="0" xfId="0" applyFont="1" applyAlignment="1">
      <alignment wrapText="1"/>
    </xf>
    <xf numFmtId="0" fontId="5" fillId="21" borderId="56" xfId="0" applyFont="1" applyFill="1" applyBorder="1" applyAlignment="1">
      <alignment horizontal="left" indent="1"/>
    </xf>
    <xf numFmtId="0" fontId="5" fillId="21" borderId="57" xfId="0" applyFont="1" applyFill="1" applyBorder="1" applyAlignment="1">
      <alignment horizontal="left" wrapText="1" indent="1"/>
    </xf>
    <xf numFmtId="0" fontId="5" fillId="21" borderId="58" xfId="0" applyFont="1" applyFill="1" applyBorder="1" applyAlignment="1">
      <alignment horizontal="left" wrapText="1" indent="1"/>
    </xf>
    <xf numFmtId="0" fontId="11" fillId="0" borderId="0" xfId="0" applyFont="1" applyFill="1"/>
    <xf numFmtId="0" fontId="11" fillId="0" borderId="0" xfId="0" applyFont="1" applyFill="1" applyAlignment="1">
      <alignment horizontal="center"/>
    </xf>
    <xf numFmtId="164" fontId="9" fillId="5" borderId="6" xfId="0" applyNumberFormat="1" applyFont="1" applyFill="1" applyBorder="1" applyAlignment="1">
      <alignment horizontal="right" vertical="top" indent="1"/>
    </xf>
    <xf numFmtId="164" fontId="9" fillId="8" borderId="1" xfId="0" applyNumberFormat="1" applyFont="1" applyFill="1" applyBorder="1" applyAlignment="1">
      <alignment horizontal="right" vertical="top" indent="1"/>
    </xf>
    <xf numFmtId="164" fontId="9" fillId="5" borderId="1" xfId="0" applyNumberFormat="1" applyFont="1" applyFill="1" applyBorder="1" applyAlignment="1">
      <alignment horizontal="right" vertical="top" indent="1"/>
    </xf>
    <xf numFmtId="164" fontId="9" fillId="8" borderId="10" xfId="0" applyNumberFormat="1" applyFont="1" applyFill="1" applyBorder="1" applyAlignment="1">
      <alignment horizontal="right" vertical="top" indent="1"/>
    </xf>
    <xf numFmtId="164" fontId="9" fillId="6" borderId="29" xfId="0" applyNumberFormat="1" applyFont="1" applyFill="1" applyBorder="1" applyAlignment="1">
      <alignment horizontal="right" vertical="top" indent="1"/>
    </xf>
    <xf numFmtId="164" fontId="9" fillId="7" borderId="15" xfId="0" applyNumberFormat="1" applyFont="1" applyFill="1" applyBorder="1" applyAlignment="1">
      <alignment horizontal="right" vertical="top" indent="1"/>
    </xf>
    <xf numFmtId="164" fontId="9" fillId="6" borderId="15" xfId="0" applyNumberFormat="1" applyFont="1" applyFill="1" applyBorder="1" applyAlignment="1">
      <alignment horizontal="right" vertical="top" indent="1"/>
    </xf>
    <xf numFmtId="164" fontId="9" fillId="7" borderId="17" xfId="0" applyNumberFormat="1" applyFont="1" applyFill="1" applyBorder="1" applyAlignment="1">
      <alignment horizontal="right" vertical="top" indent="1"/>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50" xfId="0" applyFont="1" applyFill="1" applyBorder="1" applyAlignment="1">
      <alignment horizontal="left" vertical="center"/>
    </xf>
    <xf numFmtId="0" fontId="7" fillId="3" borderId="51" xfId="0" applyFont="1" applyFill="1" applyBorder="1" applyAlignment="1">
      <alignment horizontal="left" vertical="center"/>
    </xf>
    <xf numFmtId="0" fontId="7" fillId="3" borderId="37"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 xfId="0" applyFont="1" applyFill="1" applyBorder="1" applyAlignment="1">
      <alignment horizontal="left" vertical="center" indent="1"/>
    </xf>
    <xf numFmtId="0" fontId="7" fillId="3" borderId="4" xfId="0" applyFont="1" applyFill="1" applyBorder="1" applyAlignment="1">
      <alignment horizontal="left" vertical="center" indent="1"/>
    </xf>
    <xf numFmtId="0" fontId="7" fillId="3" borderId="5" xfId="0" applyFont="1" applyFill="1" applyBorder="1" applyAlignment="1">
      <alignment horizontal="left" vertical="center" indent="1"/>
    </xf>
    <xf numFmtId="0" fontId="7" fillId="3" borderId="52" xfId="0" applyFont="1" applyFill="1" applyBorder="1" applyAlignment="1">
      <alignment horizontal="left" vertical="center" shrinkToFit="1"/>
    </xf>
    <xf numFmtId="0" fontId="7" fillId="3" borderId="55" xfId="0" applyFont="1" applyFill="1" applyBorder="1" applyAlignment="1">
      <alignment horizontal="left" vertical="center" shrinkToFit="1"/>
    </xf>
    <xf numFmtId="0" fontId="7" fillId="3" borderId="52" xfId="0" applyFont="1" applyFill="1" applyBorder="1" applyAlignment="1">
      <alignment horizontal="left" vertical="center"/>
    </xf>
    <xf numFmtId="0" fontId="7" fillId="3" borderId="53" xfId="0" applyFont="1" applyFill="1" applyBorder="1" applyAlignment="1">
      <alignment horizontal="left" vertical="center"/>
    </xf>
    <xf numFmtId="0" fontId="7" fillId="3" borderId="54" xfId="0" applyFont="1" applyFill="1" applyBorder="1" applyAlignment="1">
      <alignment horizontal="left" vertical="center"/>
    </xf>
    <xf numFmtId="0" fontId="7" fillId="3" borderId="12" xfId="0" applyFont="1" applyFill="1" applyBorder="1" applyAlignment="1">
      <alignment horizontal="center" vertical="center"/>
    </xf>
    <xf numFmtId="0" fontId="7" fillId="3" borderId="33" xfId="0" applyFont="1" applyFill="1" applyBorder="1" applyAlignment="1">
      <alignment horizontal="center" vertical="center"/>
    </xf>
    <xf numFmtId="0" fontId="7" fillId="3" borderId="13" xfId="0" applyFont="1" applyFill="1" applyBorder="1" applyAlignment="1">
      <alignment horizontal="center" vertical="center"/>
    </xf>
    <xf numFmtId="0" fontId="4" fillId="15" borderId="0" xfId="0" applyFont="1" applyFill="1" applyAlignment="1"/>
    <xf numFmtId="0" fontId="4" fillId="0" borderId="0" xfId="0" applyFont="1" applyAlignment="1"/>
    <xf numFmtId="0" fontId="4" fillId="16" borderId="0" xfId="0" applyFont="1" applyFill="1" applyAlignment="1"/>
    <xf numFmtId="0" fontId="4" fillId="9" borderId="0" xfId="0" applyFont="1" applyFill="1" applyAlignment="1"/>
    <xf numFmtId="0" fontId="4" fillId="17" borderId="0" xfId="0" applyFont="1" applyFill="1" applyAlignment="1"/>
    <xf numFmtId="0" fontId="10" fillId="0" borderId="0" xfId="0" applyFont="1" applyAlignment="1">
      <alignment horizontal="left" vertical="top" wrapText="1" indent="1"/>
    </xf>
    <xf numFmtId="0" fontId="4" fillId="10" borderId="0" xfId="0" applyFont="1" applyFill="1" applyAlignment="1"/>
    <xf numFmtId="0" fontId="4" fillId="11" borderId="0" xfId="0" applyFont="1" applyFill="1" applyAlignment="1"/>
    <xf numFmtId="0" fontId="4" fillId="12" borderId="0" xfId="0" applyFont="1" applyFill="1" applyAlignment="1"/>
    <xf numFmtId="0" fontId="4" fillId="13" borderId="0" xfId="0" applyFont="1" applyFill="1" applyAlignment="1"/>
    <xf numFmtId="0" fontId="4" fillId="14" borderId="0" xfId="0" applyFont="1" applyFill="1" applyAlignment="1"/>
    <xf numFmtId="0" fontId="4" fillId="0" borderId="0" xfId="0" applyFont="1" applyAlignment="1">
      <alignment horizontal="left" wrapText="1"/>
    </xf>
    <xf numFmtId="168" fontId="4" fillId="0" borderId="0" xfId="3" applyNumberFormat="1" applyFont="1" applyFill="1"/>
  </cellXfs>
  <cellStyles count="4">
    <cellStyle name="Millares" xfId="3" builtinId="3"/>
    <cellStyle name="Normal" xfId="0" builtinId="0"/>
    <cellStyle name="Normal 2" xfId="1" xr:uid="{00000000-0005-0000-0000-000001000000}"/>
    <cellStyle name="Normal 3"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t="s">
        <v>N</v>
        <stp/>
        <stp>##V3_BDPV12</stp>
        <stp>S0193D 2I BLC2 Curncy</stp>
        <stp>DELAYED_TICK_STREAM_INDICATOR</stp>
        <stp>[XDF.xlsm]Zeros and Discounts!R29C9</stp>
        <tr r="I29" s="1"/>
      </tp>
      <tp t="s">
        <v>N</v>
        <stp/>
        <stp>##V3_BDPV12</stp>
        <stp>S0193Z 2I BLC2 Curncy</stp>
        <stp>DELAYED_TICK_STREAM_INDICATOR</stp>
        <stp>[XDF.xlsm]Zeros and Discounts!R29C1</stp>
        <tr r="A29" s="1"/>
      </tp>
      <tp t="s">
        <v>17-06-2019</v>
        <stp/>
        <stp>##V3_BDPV12</stp>
        <stp>S0193Z 2I BLC2 Curncy</stp>
        <stp>Maturity</stp>
        <stp>[XDF.xlsm]Zeros and Discounts!R29C7</stp>
        <tr r="G29" s="1"/>
      </tp>
      <tp t="s">
        <v>21-03-2019</v>
        <stp/>
        <stp>##V3_BDPV12</stp>
        <stp>S0193Z 3M BLC2 Curncy</stp>
        <stp>Maturity</stp>
        <stp>[XDF.xlsm]Zeros and Discounts!R28C7</stp>
        <tr r="G28" s="1"/>
      </tp>
      <tp t="s">
        <v>N</v>
        <stp/>
        <stp>##V3_BDPV12</stp>
        <stp>S0193Z 33Q BLC2 Curncy</stp>
        <stp>DELAYED_TICK_STREAM_INDICATOR</stp>
        <stp>[XDF.xlsm]Zeros and Discounts!R69C1</stp>
        <tr r="A69" s="1"/>
      </tp>
      <tp t="s">
        <v>N</v>
        <stp/>
        <stp>##V3_BDPV12</stp>
        <stp>S0193Z 23Q BLC2 Curncy</stp>
        <stp>DELAYED_TICK_STREAM_INDICATOR</stp>
        <stp>[XDF.xlsm]Zeros and Discounts!R59C1</stp>
        <tr r="A59" s="1"/>
      </tp>
      <tp t="s">
        <v>N</v>
        <stp/>
        <stp>##V3_BDPV12</stp>
        <stp>S0193Z 15Y BLC2 Curncy</stp>
        <stp>DELAYED_TICK_STREAM_INDICATOR</stp>
        <stp>[XDF.xlsm]Zeros and Discounts!R81C1</stp>
        <tr r="A81" s="1"/>
      </tp>
      <tp t="s">
        <v>21-12-2027</v>
        <stp/>
        <stp>##V3_BDPV12</stp>
        <stp>S0193Z 9Y BLC2 Curncy</stp>
        <stp>Maturity</stp>
        <stp>[XDF.xlsm]Zeros and Discounts!R72C7</stp>
        <tr r="G72" s="1"/>
      </tp>
      <tp t="s">
        <v>21-12-2021</v>
        <stp/>
        <stp>##V3_BDPV12</stp>
        <stp>S0193Z 3Y BLC2 Curncy</stp>
        <stp>Maturity</stp>
        <stp>[XDF.xlsm]Zeros and Discounts!R48C7</stp>
        <tr r="G48" s="1"/>
      </tp>
      <tp t="s">
        <v>N</v>
        <stp/>
        <stp>##V3_BDPV12</stp>
        <stp>S0193Z 22Q BLC2 Curncy</stp>
        <stp>DELAYED_TICK_STREAM_INDICATOR</stp>
        <stp>[XDF.xlsm]Zeros and Discounts!R58C1</stp>
        <tr r="A58" s="1"/>
      </tp>
      <tp t="s">
        <v>N</v>
        <stp/>
        <stp>##V3_BDPV12</stp>
        <stp>S0193Z 14Y BLC2 Curncy</stp>
        <stp>DELAYED_TICK_STREAM_INDICATOR</stp>
        <stp>[XDF.xlsm]Zeros and Discounts!R80C1</stp>
        <tr r="A80" s="1"/>
      </tp>
      <tp t="s">
        <v>N</v>
        <stp/>
        <stp>##V3_BDPV12</stp>
        <stp>S0193Z 17Y BLC2 Curncy</stp>
        <stp>DELAYED_TICK_STREAM_INDICATOR</stp>
        <stp>[XDF.xlsm]Zeros and Discounts!R83C1</stp>
        <tr r="A83" s="1"/>
      </tp>
      <tp t="s">
        <v>N</v>
        <stp/>
        <stp>##V3_BDPV12</stp>
        <stp>S0193D 39M BLC2 Curncy</stp>
        <stp>DELAYED_TICK_STREAM_INDICATOR</stp>
        <stp>[XDF.xlsm]Zeros and Discounts!R49C9</stp>
        <tr r="I49" s="1"/>
      </tp>
      <tp t="s">
        <v>N</v>
        <stp/>
        <stp>##V3_BDPV12</stp>
        <stp>S0193D 11M BLC2 Curncy</stp>
        <stp>DELAYED_TICK_STREAM_INDICATOR</stp>
        <stp>[XDF.xlsm]Zeros and Discounts!R39C9</stp>
        <tr r="I39" s="1"/>
      </tp>
      <tp t="s">
        <v>N</v>
        <stp/>
        <stp>##V3_BDPV12</stp>
        <stp>S0193Z 16Y BLC2 Curncy</stp>
        <stp>DELAYED_TICK_STREAM_INDICATOR</stp>
        <stp>[XDF.xlsm]Zeros and Discounts!R82C1</stp>
        <tr r="A82" s="1"/>
      </tp>
      <tp t="s">
        <v>N</v>
        <stp/>
        <stp>##V3_BDPV12</stp>
        <stp>S0193D 10M BLC2 Curncy</stp>
        <stp>DELAYED_TICK_STREAM_INDICATOR</stp>
        <stp>[XDF.xlsm]Zeros and Discounts!R38C9</stp>
        <tr r="I38" s="1"/>
      </tp>
      <tp t="s">
        <v>23-09-2019</v>
        <stp/>
        <stp>##V3_BDPV12</stp>
        <stp>S0193Z 9M BLC2 Curncy</stp>
        <stp>Maturity</stp>
        <stp>[XDF.xlsm]Zeros and Discounts!R36C7</stp>
        <tr r="G36" s="1"/>
      </tp>
      <tp t="s">
        <v>N</v>
        <stp/>
        <stp>##V3_BDPV12</stp>
        <stp>S0193Z 19Y BLC2 Curncy</stp>
        <stp>DELAYED_TICK_STREAM_INDICATOR</stp>
        <stp>[XDF.xlsm]Zeros and Discounts!R85C1</stp>
        <tr r="A85" s="1"/>
      </tp>
      <tp t="s">
        <v>N</v>
        <stp/>
        <stp>##V3_BDPV12</stp>
        <stp>S0193D 3M BLC2 Curncy</stp>
        <stp>DELAYED_TICK_STREAM_INDICATOR</stp>
        <stp>[XDF.xlsm]Zeros and Discounts!R28C9</stp>
        <tr r="I28" s="1"/>
      </tp>
      <tp t="s">
        <v>N</v>
        <stp/>
        <stp>##V3_BDPV12</stp>
        <stp>S0193D 1D BLC2 Curncy</stp>
        <stp>DELAYED_TICK_STREAM_INDICATOR</stp>
        <stp>[XDF.xlsm]Zeros and Discounts!R21C9</stp>
        <tr r="I21" s="1"/>
      </tp>
      <tp t="s">
        <v>N</v>
        <stp/>
        <stp>##V3_BDPV12</stp>
        <stp>S0193Z 3M BLC2 Curncy</stp>
        <stp>DELAYED_TICK_STREAM_INDICATOR</stp>
        <stp>[XDF.xlsm]Zeros and Discounts!R28C1</stp>
        <tr r="A28" s="1"/>
      </tp>
      <tp t="s">
        <v>N</v>
        <stp/>
        <stp>##V3_BDPV12</stp>
        <stp>S0193Z 1D BLC2 Curncy</stp>
        <stp>DELAYED_TICK_STREAM_INDICATOR</stp>
        <stp>[XDF.xlsm]Zeros and Discounts!R21C1</stp>
        <tr r="A21" s="1"/>
      </tp>
      <tp t="s">
        <v>N</v>
        <stp/>
        <stp>##V3_BDPV12</stp>
        <stp>S0193Z 18Y BLC2 Curncy</stp>
        <stp>DELAYED_TICK_STREAM_INDICATOR</stp>
        <stp>[XDF.xlsm]Zeros and Discounts!R84C1</stp>
        <tr r="A84" s="1"/>
      </tp>
      <tp t="s">
        <v>N</v>
        <stp/>
        <stp>##V3_BDPV12</stp>
        <stp>S0193D 2D BLC2 Curncy</stp>
        <stp>DELAYED_TICK_STREAM_INDICATOR</stp>
        <stp>[XDF.xlsm]Zeros and Discounts!R22C9</stp>
        <tr r="I22" s="1"/>
      </tp>
      <tp t="s">
        <v>N</v>
        <stp/>
        <stp>##V3_BDPV12</stp>
        <stp>S0193Z 2D BLC2 Curncy</stp>
        <stp>DELAYED_TICK_STREAM_INDICATOR</stp>
        <stp>[XDF.xlsm]Zeros and Discounts!R22C1</stp>
        <tr r="A22" s="1"/>
      </tp>
      <tp t="s">
        <v>21-08-2019</v>
        <stp/>
        <stp>##V3_BDPV12</stp>
        <stp>S0193Z 8M BLC2 Curncy</stp>
        <stp>Maturity</stp>
        <stp>[XDF.xlsm]Zeros and Discounts!R35C7</stp>
        <tr r="G35" s="1"/>
      </tp>
      <tp t="s">
        <v>N</v>
        <stp/>
        <stp>##V3_BDPV12</stp>
        <stp>S0193Z 11Y BLC2 Curncy</stp>
        <stp>DELAYED_TICK_STREAM_INDICATOR</stp>
        <stp>[XDF.xlsm]Zeros and Discounts!R77C1</stp>
        <tr r="A77" s="1"/>
      </tp>
      <tp t="s">
        <v>N</v>
        <stp/>
        <stp>##V3_BDPV12</stp>
        <stp>S0193Z 20Y BLC2 Curncy</stp>
        <stp>DELAYED_TICK_STREAM_INDICATOR</stp>
        <stp>[XDF.xlsm]Zeros and Discounts!R86C1</stp>
        <tr r="A86" s="1"/>
      </tp>
      <tp t="s">
        <v>N</v>
        <stp/>
        <stp>##V3_BDPV12</stp>
        <stp>S0193Z 10Y BLC2 Curncy</stp>
        <stp>DELAYED_TICK_STREAM_INDICATOR</stp>
        <stp>[XDF.xlsm]Zeros and Discounts!R76C1</stp>
        <tr r="A76" s="1"/>
      </tp>
      <tp t="s">
        <v>N</v>
        <stp/>
        <stp>##V3_BDPV12</stp>
        <stp>S0193D 8M BLC2 Curncy</stp>
        <stp>DELAYED_TICK_STREAM_INDICATOR</stp>
        <stp>[XDF.xlsm]Zeros and Discounts!R35C9</stp>
        <tr r="I35" s="1"/>
      </tp>
      <tp t="s">
        <v>N</v>
        <stp/>
        <stp>##V3_BDPV12</stp>
        <stp>S0193Z 8M BLC2 Curncy</stp>
        <stp>DELAYED_TICK_STREAM_INDICATOR</stp>
        <stp>[XDF.xlsm]Zeros and Discounts!R35C1</stp>
        <tr r="A35" s="1"/>
      </tp>
      <tp t="s">
        <v>16-12-2019</v>
        <stp/>
        <stp>##V3_BDPV12</stp>
        <stp>S0193Z 4I BLC2 Curncy</stp>
        <stp>Maturity</stp>
        <stp>[XDF.xlsm]Zeros and Discounts!R37C7</stp>
        <tr r="G37" s="1"/>
      </tp>
      <tp t="s">
        <v>22-07-2019</v>
        <stp/>
        <stp>##V3_BDPV12</stp>
        <stp>S0193Z 7M BLC2 Curncy</stp>
        <stp>Maturity</stp>
        <stp>[XDF.xlsm]Zeros and Discounts!R34C7</stp>
        <tr r="G34" s="1"/>
      </tp>
      <tp t="s">
        <v>N</v>
        <stp/>
        <stp>##V3_BDPV12</stp>
        <stp>S0193Z 35Q BLC2 Curncy</stp>
        <stp>DELAYED_TICK_STREAM_INDICATOR</stp>
        <stp>[XDF.xlsm]Zeros and Discounts!R71C1</stp>
        <tr r="A71" s="1"/>
      </tp>
      <tp t="s">
        <v>N</v>
        <stp/>
        <stp>##V3_BDPV12</stp>
        <stp>S0193Z 25Q BLC2 Curncy</stp>
        <stp>DELAYED_TICK_STREAM_INDICATOR</stp>
        <stp>[XDF.xlsm]Zeros and Discounts!R61C1</stp>
        <tr r="A61" s="1"/>
      </tp>
      <tp t="s">
        <v>N</v>
        <stp/>
        <stp>##V3_BDPV12</stp>
        <stp>S0193Z 13Y BLC2 Curncy</stp>
        <stp>DELAYED_TICK_STREAM_INDICATOR</stp>
        <stp>[XDF.xlsm]Zeros and Discounts!R79C1</stp>
        <tr r="A79" s="1"/>
      </tp>
      <tp t="s">
        <v>N</v>
        <stp/>
        <stp>##V3_BDPV12</stp>
        <stp>S0193D 21M BLC2 Curncy</stp>
        <stp>DELAYED_TICK_STREAM_INDICATOR</stp>
        <stp>[XDF.xlsm]Zeros and Discounts!R43C9</stp>
        <tr r="I43" s="1"/>
      </tp>
      <tp t="s">
        <v>22-12-2025</v>
        <stp/>
        <stp>##V3_BDPV12</stp>
        <stp>S0193Z 7Y BLC2 Curncy</stp>
        <stp>Maturity</stp>
        <stp>[XDF.xlsm]Zeros and Discounts!R64C7</stp>
        <tr r="G64" s="1"/>
      </tp>
      <tp t="s">
        <v>21-12-2023</v>
        <stp/>
        <stp>##V3_BDPV12</stp>
        <stp>S0193Z 5Y BLC2 Curncy</stp>
        <stp>Maturity</stp>
        <stp>[XDF.xlsm]Zeros and Discounts!R56C7</stp>
        <tr r="G56" s="1"/>
      </tp>
      <tp t="s">
        <v>N</v>
        <stp/>
        <stp>##V3_BDPV12</stp>
        <stp>S0193D 7M BLC2 Curncy</stp>
        <stp>DELAYED_TICK_STREAM_INDICATOR</stp>
        <stp>[XDF.xlsm]Zeros and Discounts!R34C9</stp>
        <tr r="I34" s="1"/>
      </tp>
      <tp t="s">
        <v>N</v>
        <stp/>
        <stp>##V3_BDPV12</stp>
        <stp>S0193Z 7M BLC2 Curncy</stp>
        <stp>DELAYED_TICK_STREAM_INDICATOR</stp>
        <stp>[XDF.xlsm]Zeros and Discounts!R34C1</stp>
        <tr r="A34" s="1"/>
      </tp>
      <tp t="s">
        <v>N</v>
        <stp/>
        <stp>##V3_BDPV12</stp>
        <stp>S0193Z 34Q BLC2 Curncy</stp>
        <stp>DELAYED_TICK_STREAM_INDICATOR</stp>
        <stp>[XDF.xlsm]Zeros and Discounts!R70C1</stp>
        <tr r="A70" s="1"/>
      </tp>
      <tp t="s">
        <v>N</v>
        <stp/>
        <stp>##V3_BDPV12</stp>
        <stp>S0193Z 12Y BLC2 Curncy</stp>
        <stp>DELAYED_TICK_STREAM_INDICATOR</stp>
        <stp>[XDF.xlsm]Zeros and Discounts!R78C1</stp>
        <tr r="A78" s="1"/>
      </tp>
      <tp t="s">
        <v>N</v>
        <stp/>
        <stp>##V3_BDPV12</stp>
        <stp>S0193D 18M BLC2 Curncy</stp>
        <stp>DELAYED_TICK_STREAM_INDICATOR</stp>
        <stp>[XDF.xlsm]Zeros and Discounts!R42C9</stp>
        <tr r="I42" s="1"/>
      </tp>
      <tp t="s">
        <v>28-12-2018</v>
        <stp/>
        <stp>##V3_BDPV12</stp>
        <stp>S0193Z 1W BLC2 Curncy</stp>
        <stp>Maturity</stp>
        <stp>[XDF.xlsm]Zeros and Discounts!R23C7</stp>
        <tr r="G23" s="1"/>
      </tp>
      <tp t="s">
        <v>N</v>
        <stp/>
        <stp>##V3_BDPV12</stp>
        <stp>S0193D 2M BLC2 Curncy</stp>
        <stp>DELAYED_TICK_STREAM_INDICATOR</stp>
        <stp>[XDF.xlsm]Zeros and Discounts!R27C9</stp>
        <tr r="I27" s="1"/>
      </tp>
      <tp t="s">
        <v>N</v>
        <stp/>
        <stp>##V3_BDPV12</stp>
        <stp>S0193D 3I BLC2 Curncy</stp>
        <stp>DELAYED_TICK_STREAM_INDICATOR</stp>
        <stp>[XDF.xlsm]Zeros and Discounts!R33C9</stp>
        <tr r="I33" s="1"/>
      </tp>
      <tp t="s">
        <v>N</v>
        <stp/>
        <stp>##V3_BDPV12</stp>
        <stp>S0193Z 2M BLC2 Curncy</stp>
        <stp>DELAYED_TICK_STREAM_INDICATOR</stp>
        <stp>[XDF.xlsm]Zeros and Discounts!R27C1</stp>
        <tr r="A27" s="1"/>
      </tp>
      <tp t="s">
        <v>N</v>
        <stp/>
        <stp>##V3_BDPV12</stp>
        <stp>S0193Z 3I BLC2 Curncy</stp>
        <stp>DELAYED_TICK_STREAM_INDICATOR</stp>
        <stp>[XDF.xlsm]Zeros and Discounts!R33C1</stp>
        <tr r="A33" s="1"/>
      </tp>
      <tp t="s">
        <v>N</v>
        <stp/>
        <stp>##V3_BDPV12</stp>
        <stp>S0193Z 37Q BLC2 Curncy</stp>
        <stp>DELAYED_TICK_STREAM_INDICATOR</stp>
        <stp>[XDF.xlsm]Zeros and Discounts!R73C1</stp>
        <tr r="A73" s="1"/>
      </tp>
      <tp t="s">
        <v>N</v>
        <stp/>
        <stp>##V3_BDPV12</stp>
        <stp>S0193Z 27Q BLC2 Curncy</stp>
        <stp>DELAYED_TICK_STREAM_INDICATOR</stp>
        <stp>[XDF.xlsm]Zeros and Discounts!R63C1</stp>
        <tr r="A63" s="1"/>
      </tp>
      <tp t="s">
        <v>N</v>
        <stp/>
        <stp>##V3_BDPV12</stp>
        <stp>S0193Z 17Q BLC2 Curncy</stp>
        <stp>DELAYED_TICK_STREAM_INDICATOR</stp>
        <stp>[XDF.xlsm]Zeros and Discounts!R53C1</stp>
        <tr r="A53" s="1"/>
      </tp>
      <tp t="s">
        <v>N</v>
        <stp/>
        <stp>##V3_BDPV12</stp>
        <stp>S0193D 15M BLC2 Curncy</stp>
        <stp>DELAYED_TICK_STREAM_INDICATOR</stp>
        <stp>[XDF.xlsm]Zeros and Discounts!R41C9</stp>
        <tr r="I41" s="1"/>
      </tp>
      <tp t="s">
        <v>N</v>
        <stp/>
        <stp>##V3_BDPV12</stp>
        <stp>S0193D 45M BLC2 Curncy</stp>
        <stp>DELAYED_TICK_STREAM_INDICATOR</stp>
        <stp>[XDF.xlsm]Zeros and Discounts!R51C9</stp>
        <tr r="I51" s="1"/>
      </tp>
      <tp t="s">
        <v>23-12-2019</v>
        <stp/>
        <stp>##V3_BDPV12</stp>
        <stp>S0193Z 1Y BLC2 Curncy</stp>
        <stp>Maturity</stp>
        <stp>[XDF.xlsm]Zeros and Discounts!R40C7</stp>
        <tr r="G40" s="1"/>
      </tp>
      <tp t="s">
        <v>N</v>
        <stp/>
        <stp>##V3_BDPV12</stp>
        <stp>S0193D 1M BLC2 Curncy</stp>
        <stp>DELAYED_TICK_STREAM_INDICATOR</stp>
        <stp>[XDF.xlsm]Zeros and Discounts!R26C9</stp>
        <tr r="I26" s="1"/>
      </tp>
      <tp t="s">
        <v>N</v>
        <stp/>
        <stp>##V3_BDPV12</stp>
        <stp>S0193D 9M BLC2 Curncy</stp>
        <stp>DELAYED_TICK_STREAM_INDICATOR</stp>
        <stp>[XDF.xlsm]Zeros and Discounts!R36C9</stp>
        <tr r="I36" s="1"/>
      </tp>
      <tp t="s">
        <v>N</v>
        <stp/>
        <stp>##V3_BDPV12</stp>
        <stp>S0193Z 1M BLC2 Curncy</stp>
        <stp>DELAYED_TICK_STREAM_INDICATOR</stp>
        <stp>[XDF.xlsm]Zeros and Discounts!R26C1</stp>
        <tr r="A26" s="1"/>
      </tp>
      <tp t="s">
        <v>N</v>
        <stp/>
        <stp>##V3_BDPV12</stp>
        <stp>S0193Z 9M BLC2 Curncy</stp>
        <stp>DELAYED_TICK_STREAM_INDICATOR</stp>
        <stp>[XDF.xlsm]Zeros and Discounts!R36C1</stp>
        <tr r="A36" s="1"/>
      </tp>
      <tp t="s">
        <v>24-12-2018</v>
        <stp/>
        <stp>##V3_BDPV12</stp>
        <stp>S0193Z 1D BLC2 Curncy</stp>
        <stp>Maturity</stp>
        <stp>[XDF.xlsm]Zeros and Discounts!R21C7</stp>
        <tr r="G21" s="1"/>
      </tp>
      <tp t="s">
        <v>26-12-2018</v>
        <stp/>
        <stp>##V3_BDPV12</stp>
        <stp>S0193Z 2D BLC2 Curncy</stp>
        <stp>Maturity</stp>
        <stp>[XDF.xlsm]Zeros and Discounts!R22C7</stp>
        <tr r="G22" s="1"/>
      </tp>
      <tp t="s">
        <v>16-09-2019</v>
        <stp/>
        <stp>##V3_BDPV12</stp>
        <stp>S0193Z 3I BLC2 Curncy</stp>
        <stp>Maturity</stp>
        <stp>[XDF.xlsm]Zeros and Discounts!R33C7</stp>
        <tr r="G33" s="1"/>
      </tp>
      <tp t="s">
        <v>N</v>
        <stp/>
        <stp>##V3_BDPV12</stp>
        <stp>S0193Z 26Q BLC2 Curncy</stp>
        <stp>DELAYED_TICK_STREAM_INDICATOR</stp>
        <stp>[XDF.xlsm]Zeros and Discounts!R62C1</stp>
        <tr r="A62" s="1"/>
      </tp>
      <tp t="s">
        <v>N</v>
        <stp/>
        <stp>##V3_BDPV12</stp>
        <stp>S0193D 42M BLC2 Curncy</stp>
        <stp>DELAYED_TICK_STREAM_INDICATOR</stp>
        <stp>[XDF.xlsm]Zeros and Discounts!R50C9</stp>
        <tr r="I50" s="1"/>
      </tp>
      <tp t="s">
        <v>21-12-2026</v>
        <stp/>
        <stp>##V3_BDPV12</stp>
        <stp>S0193Z 8Y BLC2 Curncy</stp>
        <stp>Maturity</stp>
        <stp>[XDF.xlsm]Zeros and Discounts!R68C7</stp>
        <tr r="G68" s="1"/>
      </tp>
      <tp t="s">
        <v>N</v>
        <stp/>
        <stp>##V3_BDPV12</stp>
        <stp>S0193D 1I BLC2 Curncy</stp>
        <stp>DELAYED_TICK_STREAM_INDICATOR</stp>
        <stp>[XDF.xlsm]Zeros and Discounts!R25C9</stp>
        <tr r="I25" s="1"/>
      </tp>
      <tp t="s">
        <v>N</v>
        <stp/>
        <stp>##V3_BDPV12</stp>
        <stp>S0193D 5M BLC2 Curncy</stp>
        <stp>DELAYED_TICK_STREAM_INDICATOR</stp>
        <stp>[XDF.xlsm]Zeros and Discounts!R31C9</stp>
        <tr r="I31" s="1"/>
      </tp>
      <tp t="s">
        <v>N</v>
        <stp/>
        <stp>##V3_BDPV12</stp>
        <stp>S0193Z 1I BLC2 Curncy</stp>
        <stp>DELAYED_TICK_STREAM_INDICATOR</stp>
        <stp>[XDF.xlsm]Zeros and Discounts!R25C1</stp>
        <tr r="A25" s="1"/>
      </tp>
      <tp t="s">
        <v>N</v>
        <stp/>
        <stp>##V3_BDPV12</stp>
        <stp>S0193Z 5M BLC2 Curncy</stp>
        <stp>DELAYED_TICK_STREAM_INDICATOR</stp>
        <stp>[XDF.xlsm]Zeros and Discounts!R31C1</stp>
        <tr r="A31" s="1"/>
      </tp>
      <tp t="s">
        <v>21-01-2019</v>
        <stp/>
        <stp>##V3_BDPV12</stp>
        <stp>S0193Z 1M BLC2 Curncy</stp>
        <stp>Maturity</stp>
        <stp>[XDF.xlsm]Zeros and Discounts!R26C7</stp>
        <tr r="G26" s="1"/>
      </tp>
      <tp t="s">
        <v>N</v>
        <stp/>
        <stp>##V3_BDPV12</stp>
        <stp>S0193Z 39Q BLC2 Curncy</stp>
        <stp>DELAYED_TICK_STREAM_INDICATOR</stp>
        <stp>[XDF.xlsm]Zeros and Discounts!R75C1</stp>
        <tr r="A75" s="1"/>
      </tp>
      <tp t="s">
        <v>N</v>
        <stp/>
        <stp>##V3_BDPV12</stp>
        <stp>S0193Z 29Q BLC2 Curncy</stp>
        <stp>DELAYED_TICK_STREAM_INDICATOR</stp>
        <stp>[XDF.xlsm]Zeros and Discounts!R65C1</stp>
        <tr r="A65" s="1"/>
      </tp>
      <tp t="s">
        <v>N</v>
        <stp/>
        <stp>##V3_BDPV12</stp>
        <stp>S0193Z 19Q BLC2 Curncy</stp>
        <stp>DELAYED_TICK_STREAM_INDICATOR</stp>
        <stp>[XDF.xlsm]Zeros and Discounts!R55C1</stp>
        <tr r="A55" s="1"/>
      </tp>
      <tp t="s">
        <v>N</v>
        <stp/>
        <stp>##V3_BDPV12</stp>
        <stp>S0193D 33M BLC2 Curncy</stp>
        <stp>DELAYED_TICK_STREAM_INDICATOR</stp>
        <stp>[XDF.xlsm]Zeros and Discounts!R47C9</stp>
        <tr r="I47" s="1"/>
      </tp>
      <tp t="s">
        <v>N</v>
        <stp/>
        <stp>##V3_BDPV12</stp>
        <stp>S0193D 4M BLC2 Curncy</stp>
        <stp>DELAYED_TICK_STREAM_INDICATOR</stp>
        <stp>[XDF.xlsm]Zeros and Discounts!R30C9</stp>
        <tr r="I30" s="1"/>
      </tp>
      <tp t="s">
        <v>N</v>
        <stp/>
        <stp>##V3_BDPV12</stp>
        <stp>S0193Z 4M BLC2 Curncy</stp>
        <stp>DELAYED_TICK_STREAM_INDICATOR</stp>
        <stp>[XDF.xlsm]Zeros and Discounts!R30C1</stp>
        <tr r="A30" s="1"/>
      </tp>
      <tp t="s">
        <v>N</v>
        <stp/>
        <stp>##V3_BDPV12</stp>
        <stp>S0193Z 38Q BLC2 Curncy</stp>
        <stp>DELAYED_TICK_STREAM_INDICATOR</stp>
        <stp>[XDF.xlsm]Zeros and Discounts!R74C1</stp>
        <tr r="A74" s="1"/>
      </tp>
      <tp t="s">
        <v>N</v>
        <stp/>
        <stp>##V3_BDPV12</stp>
        <stp>S0193Z 18Q BLC2 Curncy</stp>
        <stp>DELAYED_TICK_STREAM_INDICATOR</stp>
        <stp>[XDF.xlsm]Zeros and Discounts!R54C1</stp>
        <tr r="A54" s="1"/>
      </tp>
      <tp t="s">
        <v>N</v>
        <stp/>
        <stp>##V3_BDPV12</stp>
        <stp>S0193D 30M BLC2 Curncy</stp>
        <stp>DELAYED_TICK_STREAM_INDICATOR</stp>
        <stp>[XDF.xlsm]Zeros and Discounts!R46C9</stp>
        <tr r="I46" s="1"/>
      </tp>
      <tp t="s">
        <v>04-01-2019</v>
        <stp/>
        <stp>##V3_BDPV12</stp>
        <stp>S0193Z 2W BLC2 Curncy</stp>
        <stp>Maturity</stp>
        <stp>[XDF.xlsm]Zeros and Discounts!R24C7</stp>
        <tr r="G24" s="1"/>
      </tp>
      <tp t="s">
        <v>23-12-2024</v>
        <stp/>
        <stp>##V3_BDPV12</stp>
        <stp>S0193Z 6Y BLC2 Curncy</stp>
        <stp>Maturity</stp>
        <stp>[XDF.xlsm]Zeros and Discounts!R60C7</stp>
        <tr r="G60" s="1"/>
      </tp>
      <tp t="s">
        <v>21-12-2020</v>
        <stp/>
        <stp>##V3_BDPV12</stp>
        <stp>S0193Z 2Y BLC2 Curncy</stp>
        <stp>Maturity</stp>
        <stp>[XDF.xlsm]Zeros and Discounts!R44C7</stp>
        <tr r="G44" s="1"/>
      </tp>
      <tp t="s">
        <v>21-12-2022</v>
        <stp/>
        <stp>##V3_BDPV12</stp>
        <stp>S0193Z 4Y BLC2 Curncy</stp>
        <stp>Maturity</stp>
        <stp>[XDF.xlsm]Zeros and Discounts!R52C7</stp>
        <tr r="G52" s="1"/>
      </tp>
      <tp t="s">
        <v>N</v>
        <stp/>
        <stp>##V3_BDPV12</stp>
        <stp>S0193D 4I BLC2 Curncy</stp>
        <stp>DELAYED_TICK_STREAM_INDICATOR</stp>
        <stp>[XDF.xlsm]Zeros and Discounts!R37C9</stp>
        <tr r="I37" s="1"/>
      </tp>
      <tp t="s">
        <v>N</v>
        <stp/>
        <stp>##V3_BDPV12</stp>
        <stp>S0193Z 4I BLC2 Curncy</stp>
        <stp>DELAYED_TICK_STREAM_INDICATOR</stp>
        <stp>[XDF.xlsm]Zeros and Discounts!R37C1</stp>
        <tr r="A37" s="1"/>
      </tp>
      <tp t="s">
        <v>21-02-2019</v>
        <stp/>
        <stp>##V3_BDPV12</stp>
        <stp>S0193Z 2M BLC2 Curncy</stp>
        <stp>Maturity</stp>
        <stp>[XDF.xlsm]Zeros and Discounts!R27C7</stp>
        <tr r="G27" s="1"/>
      </tp>
      <tp t="s">
        <v>N</v>
        <stp/>
        <stp>##V3_BDPV12</stp>
        <stp>S0193Z 31Q BLC2 Curncy</stp>
        <stp>DELAYED_TICK_STREAM_INDICATOR</stp>
        <stp>[XDF.xlsm]Zeros and Discounts!R67C1</stp>
        <tr r="A67" s="1"/>
      </tp>
      <tp t="s">
        <v>N</v>
        <stp/>
        <stp>##V3_BDPV12</stp>
        <stp>S0193Z 21Q BLC2 Curncy</stp>
        <stp>DELAYED_TICK_STREAM_INDICATOR</stp>
        <stp>[XDF.xlsm]Zeros and Discounts!R57C1</stp>
        <tr r="A57" s="1"/>
      </tp>
      <tp t="s">
        <v>N</v>
        <stp/>
        <stp>##V3_BDPV12</stp>
        <stp>S0193D 27M BLC2 Curncy</stp>
        <stp>DELAYED_TICK_STREAM_INDICATOR</stp>
        <stp>[XDF.xlsm]Zeros and Discounts!R45C9</stp>
        <tr r="I45" s="1"/>
      </tp>
      <tp t="s">
        <v>N</v>
        <stp/>
        <stp>##V3_BDPV12</stp>
        <stp>S0193D 6M BLC2 Curncy</stp>
        <stp>DELAYED_TICK_STREAM_INDICATOR</stp>
        <stp>[XDF.xlsm]Zeros and Discounts!R32C9</stp>
        <tr r="I32" s="1"/>
      </tp>
      <tp t="s">
        <v>N</v>
        <stp/>
        <stp>##V3_BDPV12</stp>
        <stp>S0193Z 6M BLC2 Curncy</stp>
        <stp>DELAYED_TICK_STREAM_INDICATOR</stp>
        <stp>[XDF.xlsm]Zeros and Discounts!R32C1</stp>
        <tr r="A32" s="1"/>
      </tp>
      <tp t="s">
        <v>18-03-2019</v>
        <stp/>
        <stp>##V3_BDPV12</stp>
        <stp>S0193Z 1I BLC2 Curncy</stp>
        <stp>Maturity</stp>
        <stp>[XDF.xlsm]Zeros and Discounts!R25C7</stp>
        <tr r="G25" s="1"/>
      </tp>
      <tp t="s">
        <v>22-04-2019</v>
        <stp/>
        <stp>##V3_BDPV12</stp>
        <stp>S0193Z 4M BLC2 Curncy</stp>
        <stp>Maturity</stp>
        <stp>[XDF.xlsm]Zeros and Discounts!R30C7</stp>
        <tr r="G30" s="1"/>
      </tp>
      <tp t="s">
        <v>22-05-2019</v>
        <stp/>
        <stp>##V3_BDPV12</stp>
        <stp>S0193Z 5M BLC2 Curncy</stp>
        <stp>Maturity</stp>
        <stp>[XDF.xlsm]Zeros and Discounts!R31C7</stp>
        <tr r="G31" s="1"/>
      </tp>
      <tp t="s">
        <v>21-06-2019</v>
        <stp/>
        <stp>##V3_BDPV12</stp>
        <stp>S0193Z 6M BLC2 Curncy</stp>
        <stp>Maturity</stp>
        <stp>[XDF.xlsm]Zeros and Discounts!R32C7</stp>
        <tr r="G32" s="1"/>
      </tp>
      <tp t="s">
        <v>N</v>
        <stp/>
        <stp>##V3_BDPV12</stp>
        <stp>S0193Z 30Q BLC2 Curncy</stp>
        <stp>DELAYED_TICK_STREAM_INDICATOR</stp>
        <stp>[XDF.xlsm]Zeros and Discounts!R66C1</stp>
        <tr r="A66" s="1"/>
      </tp>
      <tp t="s">
        <v>N</v>
        <stp/>
        <stp>##V3_BDPV12</stp>
        <stp>S0193Z 27M BLC2 Curncy</stp>
        <stp>DELAYED_TICK_STREAM_INDICATOR</stp>
        <stp>[XDF.xlsm]Zeros and Discounts!R45C1</stp>
        <tr r="A45" s="1"/>
      </tp>
      <tp t="s">
        <v>N</v>
        <stp/>
        <stp>##V3_BDPV12</stp>
        <stp>S0193D 31Q BLC2 Curncy</stp>
        <stp>DELAYED_TICK_STREAM_INDICATOR</stp>
        <stp>[XDF.xlsm]Zeros and Discounts!R67C9</stp>
        <tr r="I67" s="1"/>
      </tp>
      <tp t="s">
        <v>N</v>
        <stp/>
        <stp>##V3_BDPV12</stp>
        <stp>S0193D 21Q BLC2 Curncy</stp>
        <stp>DELAYED_TICK_STREAM_INDICATOR</stp>
        <stp>[XDF.xlsm]Zeros and Discounts!R57C9</stp>
        <tr r="I57" s="1"/>
      </tp>
      <tp t="s">
        <v>N</v>
        <stp/>
        <stp>##V3_BDPV12</stp>
        <stp>S0193D 3Y BLC2 Curncy</stp>
        <stp>DELAYED_TICK_STREAM_INDICATOR</stp>
        <stp>[XDF.xlsm]Zeros and Discounts!R48C9</stp>
        <tr r="I48" s="1"/>
      </tp>
      <tp t="s">
        <v>N</v>
        <stp/>
        <stp>##V3_BDPV12</stp>
        <stp>S0193D 8Y BLC2 Curncy</stp>
        <stp>DELAYED_TICK_STREAM_INDICATOR</stp>
        <stp>[XDF.xlsm]Zeros and Discounts!R68C9</stp>
        <tr r="I68" s="1"/>
      </tp>
      <tp t="s">
        <v>N</v>
        <stp/>
        <stp>##V3_BDPV12</stp>
        <stp>S0193Z 3Y BLC2 Curncy</stp>
        <stp>DELAYED_TICK_STREAM_INDICATOR</stp>
        <stp>[XDF.xlsm]Zeros and Discounts!R48C1</stp>
        <tr r="A48" s="1"/>
      </tp>
      <tp t="s">
        <v>N</v>
        <stp/>
        <stp>##V3_BDPV12</stp>
        <stp>S0193Z 8Y BLC2 Curncy</stp>
        <stp>DELAYED_TICK_STREAM_INDICATOR</stp>
        <stp>[XDF.xlsm]Zeros and Discounts!R68C1</stp>
        <tr r="A68" s="1"/>
      </tp>
      <tp t="s">
        <v>N</v>
        <stp/>
        <stp>##V3_BDPV12</stp>
        <stp>S0193D 30Q BLC2 Curncy</stp>
        <stp>DELAYED_TICK_STREAM_INDICATOR</stp>
        <stp>[XDF.xlsm]Zeros and Discounts!R66C9</stp>
        <tr r="I66" s="1"/>
      </tp>
      <tp t="s">
        <v>21-10-2019</v>
        <stp/>
        <stp>##V3_BDPV12</stp>
        <stp>S0193Z 10M BLC2 Curncy</stp>
        <stp>Maturity</stp>
        <stp>[XDF.xlsm]Zeros and Discounts!R38C7</stp>
        <tr r="G38" s="1"/>
      </tp>
      <tp t="s">
        <v>21-11-2019</v>
        <stp/>
        <stp>##V3_BDPV12</stp>
        <stp>S0193Z 11M BLC2 Curncy</stp>
        <stp>Maturity</stp>
        <stp>[XDF.xlsm]Zeros and Discounts!R39C7</stp>
        <tr r="G39" s="1"/>
      </tp>
      <tp t="s">
        <v>N</v>
        <stp/>
        <stp>##V3_BDPV12</stp>
        <stp>S0193Z 33M BLC2 Curncy</stp>
        <stp>DELAYED_TICK_STREAM_INDICATOR</stp>
        <stp>[XDF.xlsm]Zeros and Discounts!R47C1</stp>
        <tr r="A47" s="1"/>
      </tp>
      <tp t="s">
        <v>N</v>
        <stp/>
        <stp>##V3_BDPV12</stp>
        <stp>S0193D 39Q BLC2 Curncy</stp>
        <stp>DELAYED_TICK_STREAM_INDICATOR</stp>
        <stp>[XDF.xlsm]Zeros and Discounts!R75C9</stp>
        <tr r="I75" s="1"/>
      </tp>
      <tp t="s">
        <v>N</v>
        <stp/>
        <stp>##V3_BDPV12</stp>
        <stp>S0193D 29Q BLC2 Curncy</stp>
        <stp>DELAYED_TICK_STREAM_INDICATOR</stp>
        <stp>[XDF.xlsm]Zeros and Discounts!R65C9</stp>
        <tr r="I65" s="1"/>
      </tp>
      <tp t="s">
        <v>N</v>
        <stp/>
        <stp>##V3_BDPV12</stp>
        <stp>S0193D 19Q BLC2 Curncy</stp>
        <stp>DELAYED_TICK_STREAM_INDICATOR</stp>
        <stp>[XDF.xlsm]Zeros and Discounts!R55C9</stp>
        <tr r="I55" s="1"/>
      </tp>
      <tp t="s">
        <v>N</v>
        <stp/>
        <stp>##V3_BDPV12</stp>
        <stp>S0193D 2W BLC2 Curncy</stp>
        <stp>DELAYED_TICK_STREAM_INDICATOR</stp>
        <stp>[XDF.xlsm]Zeros and Discounts!R24C9</stp>
        <tr r="I24" s="1"/>
      </tp>
      <tp t="s">
        <v>N</v>
        <stp/>
        <stp>##V3_BDPV12</stp>
        <stp>S0193Z 2W BLC2 Curncy</stp>
        <stp>DELAYED_TICK_STREAM_INDICATOR</stp>
        <stp>[XDF.xlsm]Zeros and Discounts!R24C1</stp>
        <tr r="A24" s="1"/>
      </tp>
      <tp t="s">
        <v>23-12-2030</v>
        <stp/>
        <stp>##V3_BDPV12</stp>
        <stp>S0193Z 12Y BLC2 Curncy</stp>
        <stp>Maturity</stp>
        <stp>[XDF.xlsm]Zeros and Discounts!R78C7</stp>
        <tr r="G78" s="1"/>
      </tp>
      <tp t="s">
        <v>22-12-2031</v>
        <stp/>
        <stp>##V3_BDPV12</stp>
        <stp>S0193Z 13Y BLC2 Curncy</stp>
        <stp>Maturity</stp>
        <stp>[XDF.xlsm]Zeros and Discounts!R79C7</stp>
        <tr r="G79" s="1"/>
      </tp>
      <tp t="s">
        <v>22-03-2027</v>
        <stp/>
        <stp>##V3_BDPV12</stp>
        <stp>S0193Z 33Q BLC2 Curncy</stp>
        <stp>Maturity</stp>
        <stp>[XDF.xlsm]Zeros and Discounts!R69C7</stp>
        <tr r="G69" s="1"/>
      </tp>
      <tp t="s">
        <v>21-06-2024</v>
        <stp/>
        <stp>##V3_BDPV12</stp>
        <stp>S0193Z 22Q BLC2 Curncy</stp>
        <stp>Maturity</stp>
        <stp>[XDF.xlsm]Zeros and Discounts!R58C7</stp>
        <tr r="G58" s="1"/>
      </tp>
      <tp t="s">
        <v>23-09-2024</v>
        <stp/>
        <stp>##V3_BDPV12</stp>
        <stp>S0193Z 23Q BLC2 Curncy</stp>
        <stp>Maturity</stp>
        <stp>[XDF.xlsm]Zeros and Discounts!R59C7</stp>
        <tr r="G59" s="1"/>
      </tp>
      <tp t="s">
        <v>N</v>
        <stp/>
        <stp>##V3_BDPV12</stp>
        <stp>S0193Z 30M BLC2 Curncy</stp>
        <stp>DELAYED_TICK_STREAM_INDICATOR</stp>
        <stp>[XDF.xlsm]Zeros and Discounts!R46C1</stp>
        <tr r="A46" s="1"/>
      </tp>
      <tp t="s">
        <v>N</v>
        <stp/>
        <stp>##V3_BDPV12</stp>
        <stp>S0193D 38Q BLC2 Curncy</stp>
        <stp>DELAYED_TICK_STREAM_INDICATOR</stp>
        <stp>[XDF.xlsm]Zeros and Discounts!R74C9</stp>
        <tr r="I74" s="1"/>
      </tp>
      <tp t="s">
        <v>N</v>
        <stp/>
        <stp>##V3_BDPV12</stp>
        <stp>S0193D 18Q BLC2 Curncy</stp>
        <stp>DELAYED_TICK_STREAM_INDICATOR</stp>
        <stp>[XDF.xlsm]Zeros and Discounts!R54C9</stp>
        <tr r="I54" s="1"/>
      </tp>
      <tp t="s">
        <v>22-06-2020</v>
        <stp/>
        <stp>##V3_BDPV12</stp>
        <stp>S0193Z 18M BLC2 Curncy</stp>
        <stp>Maturity</stp>
        <stp>[XDF.xlsm]Zeros and Discounts!R42C7</stp>
        <tr r="G42" s="1"/>
      </tp>
      <tp t="s">
        <v>N</v>
        <stp/>
        <stp>##V3_BDPV12</stp>
        <stp>S0193D 1W BLC2 Curncy</stp>
        <stp>DELAYED_TICK_STREAM_INDICATOR</stp>
        <stp>[XDF.xlsm]Zeros and Discounts!R23C9</stp>
        <tr r="I23" s="1"/>
      </tp>
      <tp t="s">
        <v>N</v>
        <stp/>
        <stp>##V3_BDPV12</stp>
        <stp>S0193Z 1W BLC2 Curncy</stp>
        <stp>DELAYED_TICK_STREAM_INDICATOR</stp>
        <stp>[XDF.xlsm]Zeros and Discounts!R23C1</stp>
        <tr r="A23" s="1"/>
      </tp>
      <tp t="s">
        <v>N</v>
        <stp/>
        <stp>##V3_BDPV12</stp>
        <stp>S0193Z 15M BLC2 Curncy</stp>
        <stp>DELAYED_TICK_STREAM_INDICATOR</stp>
        <stp>[XDF.xlsm]Zeros and Discounts!R41C1</stp>
        <tr r="A41" s="1"/>
      </tp>
      <tp t="s">
        <v>N</v>
        <stp/>
        <stp>##V3_BDPV12</stp>
        <stp>S0193Z 45M BLC2 Curncy</stp>
        <stp>DELAYED_TICK_STREAM_INDICATOR</stp>
        <stp>[XDF.xlsm]Zeros and Discounts!R51C1</stp>
        <tr r="A51" s="1"/>
      </tp>
      <tp t="s">
        <v>N</v>
        <stp/>
        <stp>##V3_BDPV12</stp>
        <stp>S0193D 37Q BLC2 Curncy</stp>
        <stp>DELAYED_TICK_STREAM_INDICATOR</stp>
        <stp>[XDF.xlsm]Zeros and Discounts!R73C9</stp>
        <tr r="I73" s="1"/>
      </tp>
      <tp t="s">
        <v>N</v>
        <stp/>
        <stp>##V3_BDPV12</stp>
        <stp>S0193D 27Q BLC2 Curncy</stp>
        <stp>DELAYED_TICK_STREAM_INDICATOR</stp>
        <stp>[XDF.xlsm]Zeros and Discounts!R63C9</stp>
        <tr r="I63" s="1"/>
      </tp>
      <tp t="s">
        <v>N</v>
        <stp/>
        <stp>##V3_BDPV12</stp>
        <stp>S0193D 17Q BLC2 Curncy</stp>
        <stp>DELAYED_TICK_STREAM_INDICATOR</stp>
        <stp>[XDF.xlsm]Zeros and Discounts!R53C9</stp>
        <tr r="I53" s="1"/>
      </tp>
      <tp t="s">
        <v>22-12-2036</v>
        <stp/>
        <stp>##V3_BDPV12</stp>
        <stp>S0193Z 18Y BLC2 Curncy</stp>
        <stp>Maturity</stp>
        <stp>[XDF.xlsm]Zeros and Discounts!R84C7</stp>
        <tr r="G84" s="1"/>
      </tp>
      <tp t="s">
        <v>21-12-2037</v>
        <stp/>
        <stp>##V3_BDPV12</stp>
        <stp>S0193Z 19Y BLC2 Curncy</stp>
        <stp>Maturity</stp>
        <stp>[XDF.xlsm]Zeros and Discounts!R85C7</stp>
        <tr r="G85" s="1"/>
      </tp>
      <tp t="s">
        <v>21-06-2023</v>
        <stp/>
        <stp>##V3_BDPV12</stp>
        <stp>S0193Z 18Q BLC2 Curncy</stp>
        <stp>Maturity</stp>
        <stp>[XDF.xlsm]Zeros and Discounts!R54C7</stp>
        <tr r="G54" s="1"/>
      </tp>
      <tp t="s">
        <v>21-09-2023</v>
        <stp/>
        <stp>##V3_BDPV12</stp>
        <stp>S0193Z 19Q BLC2 Curncy</stp>
        <stp>Maturity</stp>
        <stp>[XDF.xlsm]Zeros and Discounts!R55C7</stp>
        <tr r="G55" s="1"/>
      </tp>
      <tp t="s">
        <v>23-03-2026</v>
        <stp/>
        <stp>##V3_BDPV12</stp>
        <stp>S0193Z 29Q BLC2 Curncy</stp>
        <stp>Maturity</stp>
        <stp>[XDF.xlsm]Zeros and Discounts!R65C7</stp>
        <tr r="G65" s="1"/>
      </tp>
      <tp t="s">
        <v>21-06-2028</v>
        <stp/>
        <stp>##V3_BDPV12</stp>
        <stp>S0193Z 38Q BLC2 Curncy</stp>
        <stp>Maturity</stp>
        <stp>[XDF.xlsm]Zeros and Discounts!R74C7</stp>
        <tr r="G74" s="1"/>
      </tp>
      <tp t="s">
        <v>21-09-2028</v>
        <stp/>
        <stp>##V3_BDPV12</stp>
        <stp>S0193Z 39Q BLC2 Curncy</stp>
        <stp>Maturity</stp>
        <stp>[XDF.xlsm]Zeros and Discounts!R75C7</stp>
        <tr r="G75" s="1"/>
      </tp>
      <tp t="s">
        <v>N</v>
        <stp/>
        <stp>##V3_BDPV12</stp>
        <stp>S0193Z 42M BLC2 Curncy</stp>
        <stp>DELAYED_TICK_STREAM_INDICATOR</stp>
        <stp>[XDF.xlsm]Zeros and Discounts!R50C1</stp>
        <tr r="A50" s="1"/>
      </tp>
      <tp t="s">
        <v>N</v>
        <stp/>
        <stp>##V3_BDPV12</stp>
        <stp>S0193D 26Q BLC2 Curncy</stp>
        <stp>DELAYED_TICK_STREAM_INDICATOR</stp>
        <stp>[XDF.xlsm]Zeros and Discounts!R62C9</stp>
        <tr r="I62" s="1"/>
      </tp>
      <tp t="s">
        <v>N</v>
        <stp/>
        <stp>##V3_BDPV12</stp>
        <stp>S0193Z 21M BLC2 Curncy</stp>
        <stp>DELAYED_TICK_STREAM_INDICATOR</stp>
        <stp>[XDF.xlsm]Zeros and Discounts!R43C1</stp>
        <tr r="A43" s="1"/>
      </tp>
      <tp t="s">
        <v>N</v>
        <stp/>
        <stp>##V3_BDPV12</stp>
        <stp>S0193D 35Q BLC2 Curncy</stp>
        <stp>DELAYED_TICK_STREAM_INDICATOR</stp>
        <stp>[XDF.xlsm]Zeros and Discounts!R71C9</stp>
        <tr r="I71" s="1"/>
      </tp>
      <tp t="s">
        <v>N</v>
        <stp/>
        <stp>##V3_BDPV12</stp>
        <stp>S0193D 25Q BLC2 Curncy</stp>
        <stp>DELAYED_TICK_STREAM_INDICATOR</stp>
        <stp>[XDF.xlsm]Zeros and Discounts!R61C9</stp>
        <tr r="I61" s="1"/>
      </tp>
      <tp t="s">
        <v>N</v>
        <stp/>
        <stp>##V3_BDPV12</stp>
        <stp>S0193D 13Y BLC2 Curncy</stp>
        <stp>DELAYED_TICK_STREAM_INDICATOR</stp>
        <stp>[XDF.xlsm]Zeros and Discounts!R79C9</stp>
        <tr r="I79" s="1"/>
      </tp>
      <tp t="s">
        <v>N</v>
        <stp/>
        <stp>##V3_BDPV12</stp>
        <stp>S0193Z 18M BLC2 Curncy</stp>
        <stp>DELAYED_TICK_STREAM_INDICATOR</stp>
        <stp>[XDF.xlsm]Zeros and Discounts!R42C1</stp>
        <tr r="A42" s="1"/>
      </tp>
      <tp t="s">
        <v>N</v>
        <stp/>
        <stp>##V3_BDPV12</stp>
        <stp>S0193D 34Q BLC2 Curncy</stp>
        <stp>DELAYED_TICK_STREAM_INDICATOR</stp>
        <stp>[XDF.xlsm]Zeros and Discounts!R70C9</stp>
        <tr r="I70" s="1"/>
      </tp>
      <tp t="s">
        <v>N</v>
        <stp/>
        <stp>##V3_BDPV12</stp>
        <stp>S0193D 12Y BLC2 Curncy</stp>
        <stp>DELAYED_TICK_STREAM_INDICATOR</stp>
        <stp>[XDF.xlsm]Zeros and Discounts!R78C9</stp>
        <tr r="I78" s="1"/>
      </tp>
      <tp t="s">
        <v>N</v>
        <stp/>
        <stp>##V3_BDPV12</stp>
        <stp>S0193D 11Y BLC2 Curncy</stp>
        <stp>DELAYED_TICK_STREAM_INDICATOR</stp>
        <stp>[XDF.xlsm]Zeros and Discounts!R77C9</stp>
        <tr r="I77" s="1"/>
      </tp>
      <tp t="s">
        <v>N</v>
        <stp/>
        <stp>##V3_BDPV12</stp>
        <stp>S0193D 6Y BLC2 Curncy</stp>
        <stp>DELAYED_TICK_STREAM_INDICATOR</stp>
        <stp>[XDF.xlsm]Zeros and Discounts!R60C9</stp>
        <tr r="I60" s="1"/>
      </tp>
      <tp t="s">
        <v>N</v>
        <stp/>
        <stp>##V3_BDPV12</stp>
        <stp>S0193D 1Y BLC2 Curncy</stp>
        <stp>DELAYED_TICK_STREAM_INDICATOR</stp>
        <stp>[XDF.xlsm]Zeros and Discounts!R40C9</stp>
        <tr r="I40" s="1"/>
      </tp>
      <tp t="s">
        <v>N</v>
        <stp/>
        <stp>##V3_BDPV12</stp>
        <stp>S0193Z 6Y BLC2 Curncy</stp>
        <stp>DELAYED_TICK_STREAM_INDICATOR</stp>
        <stp>[XDF.xlsm]Zeros and Discounts!R60C1</stp>
        <tr r="A60" s="1"/>
      </tp>
      <tp t="s">
        <v>N</v>
        <stp/>
        <stp>##V3_BDPV12</stp>
        <stp>S0193Z 1Y BLC2 Curncy</stp>
        <stp>DELAYED_TICK_STREAM_INDICATOR</stp>
        <stp>[XDF.xlsm]Zeros and Discounts!R40C1</stp>
        <tr r="A40" s="1"/>
      </tp>
      <tp t="s">
        <v>N</v>
        <stp/>
        <stp>##V3_BDPV12</stp>
        <stp>S0193D 20Y BLC2 Curncy</stp>
        <stp>DELAYED_TICK_STREAM_INDICATOR</stp>
        <stp>[XDF.xlsm]Zeros and Discounts!R86C9</stp>
        <tr r="I86" s="1"/>
      </tp>
      <tp t="s">
        <v>N</v>
        <stp/>
        <stp>##V3_BDPV12</stp>
        <stp>S0193D 10Y BLC2 Curncy</stp>
        <stp>DELAYED_TICK_STREAM_INDICATOR</stp>
        <stp>[XDF.xlsm]Zeros and Discounts!R76C9</stp>
        <tr r="I76" s="1"/>
      </tp>
      <tp t="s">
        <v>21-03-2022</v>
        <stp/>
        <stp>##V3_BDPV12</stp>
        <stp>S0193Z 39M BLC2 Curncy</stp>
        <stp>Maturity</stp>
        <stp>[XDF.xlsm]Zeros and Discounts!R49C7</stp>
        <tr r="G49" s="1"/>
      </tp>
      <tp t="s">
        <v>N</v>
        <stp/>
        <stp>##V3_BDPV12</stp>
        <stp>S0193D 19Y BLC2 Curncy</stp>
        <stp>DELAYED_TICK_STREAM_INDICATOR</stp>
        <stp>[XDF.xlsm]Zeros and Discounts!R85C9</stp>
        <tr r="I85" s="1"/>
      </tp>
      <tp t="s">
        <v>N</v>
        <stp/>
        <stp>##V3_BDPV12</stp>
        <stp>S0193D 4Y BLC2 Curncy</stp>
        <stp>DELAYED_TICK_STREAM_INDICATOR</stp>
        <stp>[XDF.xlsm]Zeros and Discounts!R52C9</stp>
        <tr r="I52" s="1"/>
      </tp>
      <tp t="s">
        <v>N</v>
        <stp/>
        <stp>##V3_BDPV12</stp>
        <stp>S0193D 9Y BLC2 Curncy</stp>
        <stp>DELAYED_TICK_STREAM_INDICATOR</stp>
        <stp>[XDF.xlsm]Zeros and Discounts!R72C9</stp>
        <tr r="I72" s="1"/>
      </tp>
      <tp t="s">
        <v>N</v>
        <stp/>
        <stp>##V3_BDPV12</stp>
        <stp>S0193Z 4Y BLC2 Curncy</stp>
        <stp>DELAYED_TICK_STREAM_INDICATOR</stp>
        <stp>[XDF.xlsm]Zeros and Discounts!R52C1</stp>
        <tr r="A52" s="1"/>
      </tp>
      <tp t="s">
        <v>N</v>
        <stp/>
        <stp>##V3_BDPV12</stp>
        <stp>S0193Z 9Y BLC2 Curncy</stp>
        <stp>DELAYED_TICK_STREAM_INDICATOR</stp>
        <stp>[XDF.xlsm]Zeros and Discounts!R72C1</stp>
        <tr r="A72" s="1"/>
      </tp>
      <tp t="s">
        <v>N</v>
        <stp/>
        <stp>##V3_BDPV12</stp>
        <stp>S0193D 18Y BLC2 Curncy</stp>
        <stp>DELAYED_TICK_STREAM_INDICATOR</stp>
        <stp>[XDF.xlsm]Zeros and Discounts!R84C9</stp>
        <tr r="I84" s="1"/>
      </tp>
      <tp t="s">
        <v>21-06-2022</v>
        <stp/>
        <stp>##V3_BDPV12</stp>
        <stp>S0193Z 42M BLC2 Curncy</stp>
        <stp>Maturity</stp>
        <stp>[XDF.xlsm]Zeros and Discounts!R50C7</stp>
        <tr r="G50" s="1"/>
      </tp>
      <tp t="s">
        <v>21-09-2020</v>
        <stp/>
        <stp>##V3_BDPV12</stp>
        <stp>S0193Z 21M BLC2 Curncy</stp>
        <stp>Maturity</stp>
        <stp>[XDF.xlsm]Zeros and Discounts!R43C7</stp>
        <tr r="G43" s="1"/>
      </tp>
      <tp t="s">
        <v>22-03-2021</v>
        <stp/>
        <stp>##V3_BDPV12</stp>
        <stp>S0193Z 27M BLC2 Curncy</stp>
        <stp>Maturity</stp>
        <stp>[XDF.xlsm]Zeros and Discounts!R45C7</stp>
        <tr r="G45" s="1"/>
      </tp>
      <tp t="s">
        <v>N</v>
        <stp/>
        <stp>##V3_BDPV12</stp>
        <stp>S0193Z 39M BLC2 Curncy</stp>
        <stp>DELAYED_TICK_STREAM_INDICATOR</stp>
        <stp>[XDF.xlsm]Zeros and Discounts!R49C1</stp>
        <tr r="A49" s="1"/>
      </tp>
      <tp t="s">
        <v>N</v>
        <stp/>
        <stp>##V3_BDPV12</stp>
        <stp>S0193Z 11M BLC2 Curncy</stp>
        <stp>DELAYED_TICK_STREAM_INDICATOR</stp>
        <stp>[XDF.xlsm]Zeros and Discounts!R39C1</stp>
        <tr r="A39" s="1"/>
      </tp>
      <tp t="s">
        <v>N</v>
        <stp/>
        <stp>##V3_BDPV12</stp>
        <stp>S0193D 17Y BLC2 Curncy</stp>
        <stp>DELAYED_TICK_STREAM_INDICATOR</stp>
        <stp>[XDF.xlsm]Zeros and Discounts!R83C9</stp>
        <tr r="I83" s="1"/>
      </tp>
      <tp t="s">
        <v>N</v>
        <stp/>
        <stp>##V3_BDPV12</stp>
        <stp>S0193D 7Y BLC2 Curncy</stp>
        <stp>DELAYED_TICK_STREAM_INDICATOR</stp>
        <stp>[XDF.xlsm]Zeros and Discounts!R64C9</stp>
        <tr r="I64" s="1"/>
      </tp>
      <tp t="s">
        <v>N</v>
        <stp/>
        <stp>##V3_BDPV12</stp>
        <stp>S0193D 2Y BLC2 Curncy</stp>
        <stp>DELAYED_TICK_STREAM_INDICATOR</stp>
        <stp>[XDF.xlsm]Zeros and Discounts!R44C9</stp>
        <tr r="I44" s="1"/>
      </tp>
      <tp t="s">
        <v>N</v>
        <stp/>
        <stp>##V3_BDPV12</stp>
        <stp>S0193Z 7Y BLC2 Curncy</stp>
        <stp>DELAYED_TICK_STREAM_INDICATOR</stp>
        <stp>[XDF.xlsm]Zeros and Discounts!R64C1</stp>
        <tr r="A64" s="1"/>
      </tp>
      <tp t="s">
        <v>N</v>
        <stp/>
        <stp>##V3_BDPV12</stp>
        <stp>S0193Z 2Y BLC2 Curncy</stp>
        <stp>DELAYED_TICK_STREAM_INDICATOR</stp>
        <stp>[XDF.xlsm]Zeros and Discounts!R44C1</stp>
        <tr r="A44" s="1"/>
      </tp>
      <tp t="s">
        <v>21-12-2032</v>
        <stp/>
        <stp>##V3_BDPV12</stp>
        <stp>S0193Z 14Y BLC2 Curncy</stp>
        <stp>Maturity</stp>
        <stp>[XDF.xlsm]Zeros and Discounts!R80C7</stp>
        <tr r="G80" s="1"/>
      </tp>
      <tp t="s">
        <v>21-12-2033</v>
        <stp/>
        <stp>##V3_BDPV12</stp>
        <stp>S0193Z 15Y BLC2 Curncy</stp>
        <stp>Maturity</stp>
        <stp>[XDF.xlsm]Zeros and Discounts!R81C7</stp>
        <tr r="G81" s="1"/>
      </tp>
      <tp t="s">
        <v>21-12-2034</v>
        <stp/>
        <stp>##V3_BDPV12</stp>
        <stp>S0193Z 16Y BLC2 Curncy</stp>
        <stp>Maturity</stp>
        <stp>[XDF.xlsm]Zeros and Discounts!R82C7</stp>
        <tr r="G82" s="1"/>
      </tp>
      <tp t="s">
        <v>21-12-2035</v>
        <stp/>
        <stp>##V3_BDPV12</stp>
        <stp>S0193Z 17Y BLC2 Curncy</stp>
        <stp>Maturity</stp>
        <stp>[XDF.xlsm]Zeros and Discounts!R83C7</stp>
        <tr r="G83" s="1"/>
      </tp>
      <tp t="s">
        <v>21-03-2023</v>
        <stp/>
        <stp>##V3_BDPV12</stp>
        <stp>S0193Z 17Q BLC2 Curncy</stp>
        <stp>Maturity</stp>
        <stp>[XDF.xlsm]Zeros and Discounts!R53C7</stp>
        <tr r="G53" s="1"/>
      </tp>
      <tp t="s">
        <v>21-03-2025</v>
        <stp/>
        <stp>##V3_BDPV12</stp>
        <stp>S0193Z 25Q BLC2 Curncy</stp>
        <stp>Maturity</stp>
        <stp>[XDF.xlsm]Zeros and Discounts!R61C7</stp>
        <tr r="G61" s="1"/>
      </tp>
      <tp t="s">
        <v>23-06-2025</v>
        <stp/>
        <stp>##V3_BDPV12</stp>
        <stp>S0193Z 26Q BLC2 Curncy</stp>
        <stp>Maturity</stp>
        <stp>[XDF.xlsm]Zeros and Discounts!R62C7</stp>
        <tr r="G62" s="1"/>
      </tp>
      <tp t="s">
        <v>22-09-2025</v>
        <stp/>
        <stp>##V3_BDPV12</stp>
        <stp>S0193Z 27Q BLC2 Curncy</stp>
        <stp>Maturity</stp>
        <stp>[XDF.xlsm]Zeros and Discounts!R63C7</stp>
        <tr r="G63" s="1"/>
      </tp>
      <tp t="s">
        <v>21-06-2027</v>
        <stp/>
        <stp>##V3_BDPV12</stp>
        <stp>S0193Z 34Q BLC2 Curncy</stp>
        <stp>Maturity</stp>
        <stp>[XDF.xlsm]Zeros and Discounts!R70C7</stp>
        <tr r="G70" s="1"/>
      </tp>
      <tp t="s">
        <v>21-09-2027</v>
        <stp/>
        <stp>##V3_BDPV12</stp>
        <stp>S0193Z 35Q BLC2 Curncy</stp>
        <stp>Maturity</stp>
        <stp>[XDF.xlsm]Zeros and Discounts!R71C7</stp>
        <tr r="G71" s="1"/>
      </tp>
      <tp t="s">
        <v>21-03-2028</v>
        <stp/>
        <stp>##V3_BDPV12</stp>
        <stp>S0193Z 37Q BLC2 Curncy</stp>
        <stp>Maturity</stp>
        <stp>[XDF.xlsm]Zeros and Discounts!R73C7</stp>
        <tr r="G73" s="1"/>
      </tp>
      <tp t="s">
        <v>N</v>
        <stp/>
        <stp>##V3_BDPV12</stp>
        <stp>S0193Z 10M BLC2 Curncy</stp>
        <stp>DELAYED_TICK_STREAM_INDICATOR</stp>
        <stp>[XDF.xlsm]Zeros and Discounts!R38C1</stp>
        <tr r="A38" s="1"/>
      </tp>
      <tp t="s">
        <v>N</v>
        <stp/>
        <stp>##V3_BDPV12</stp>
        <stp>S0193D 16Y BLC2 Curncy</stp>
        <stp>DELAYED_TICK_STREAM_INDICATOR</stp>
        <stp>[XDF.xlsm]Zeros and Discounts!R82C9</stp>
        <tr r="I82" s="1"/>
      </tp>
      <tp t="s">
        <v>21-09-2022</v>
        <stp/>
        <stp>##V3_BDPV12</stp>
        <stp>S0193Z 45M BLC2 Curncy</stp>
        <stp>Maturity</stp>
        <stp>[XDF.xlsm]Zeros and Discounts!R51C7</stp>
        <tr r="G51" s="1"/>
      </tp>
      <tp t="s">
        <v>23-03-2020</v>
        <stp/>
        <stp>##V3_BDPV12</stp>
        <stp>S0193Z 15M BLC2 Curncy</stp>
        <stp>Maturity</stp>
        <stp>[XDF.xlsm]Zeros and Discounts!R41C7</stp>
        <tr r="G41" s="1"/>
      </tp>
      <tp t="s">
        <v>21-09-2021</v>
        <stp/>
        <stp>##V3_BDPV12</stp>
        <stp>S0193Z 33M BLC2 Curncy</stp>
        <stp>Maturity</stp>
        <stp>[XDF.xlsm]Zeros and Discounts!R47C7</stp>
        <tr r="G47" s="1"/>
      </tp>
      <tp t="s">
        <v>N</v>
        <stp/>
        <stp>##V3_BDPV12</stp>
        <stp>S0193D 33Q BLC2 Curncy</stp>
        <stp>DELAYED_TICK_STREAM_INDICATOR</stp>
        <stp>[XDF.xlsm]Zeros and Discounts!R69C9</stp>
        <tr r="I69" s="1"/>
      </tp>
      <tp t="s">
        <v>N</v>
        <stp/>
        <stp>##V3_BDPV12</stp>
        <stp>S0193D 23Q BLC2 Curncy</stp>
        <stp>DELAYED_TICK_STREAM_INDICATOR</stp>
        <stp>[XDF.xlsm]Zeros and Discounts!R59C9</stp>
        <tr r="I59" s="1"/>
      </tp>
      <tp t="s">
        <v>N</v>
        <stp/>
        <stp>##V3_BDPV12</stp>
        <stp>S0193D 15Y BLC2 Curncy</stp>
        <stp>DELAYED_TICK_STREAM_INDICATOR</stp>
        <stp>[XDF.xlsm]Zeros and Discounts!R81C9</stp>
        <tr r="I81" s="1"/>
      </tp>
      <tp t="s">
        <v>N</v>
        <stp/>
        <stp>##V3_BDPV12</stp>
        <stp>S0193D 5Y BLC2 Curncy</stp>
        <stp>DELAYED_TICK_STREAM_INDICATOR</stp>
        <stp>[XDF.xlsm]Zeros and Discounts!R56C9</stp>
        <tr r="I56" s="1"/>
      </tp>
      <tp t="s">
        <v>N</v>
        <stp/>
        <stp>##V3_BDPV12</stp>
        <stp>S0193Z 5Y BLC2 Curncy</stp>
        <stp>DELAYED_TICK_STREAM_INDICATOR</stp>
        <stp>[XDF.xlsm]Zeros and Discounts!R56C1</stp>
        <tr r="A56" s="1"/>
      </tp>
      <tp t="s">
        <v>21-12-2038</v>
        <stp/>
        <stp>##V3_BDPV12</stp>
        <stp>S0193Z 20Y BLC2 Curncy</stp>
        <stp>Maturity</stp>
        <stp>[XDF.xlsm]Zeros and Discounts!R86C7</stp>
        <tr r="G86" s="1"/>
      </tp>
      <tp t="s">
        <v>21-12-2028</v>
        <stp/>
        <stp>##V3_BDPV12</stp>
        <stp>S0193Z 10Y BLC2 Curncy</stp>
        <stp>Maturity</stp>
        <stp>[XDF.xlsm]Zeros and Discounts!R76C7</stp>
        <tr r="G76" s="1"/>
      </tp>
      <tp t="s">
        <v>21-12-2029</v>
        <stp/>
        <stp>##V3_BDPV12</stp>
        <stp>S0193Z 11Y BLC2 Curncy</stp>
        <stp>Maturity</stp>
        <stp>[XDF.xlsm]Zeros and Discounts!R77C7</stp>
        <tr r="G77" s="1"/>
      </tp>
      <tp t="s">
        <v>22-06-2026</v>
        <stp/>
        <stp>##V3_BDPV12</stp>
        <stp>S0193Z 30Q BLC2 Curncy</stp>
        <stp>Maturity</stp>
        <stp>[XDF.xlsm]Zeros and Discounts!R66C7</stp>
        <tr r="G66" s="1"/>
      </tp>
      <tp t="s">
        <v>21-09-2026</v>
        <stp/>
        <stp>##V3_BDPV12</stp>
        <stp>S0193Z 31Q BLC2 Curncy</stp>
        <stp>Maturity</stp>
        <stp>[XDF.xlsm]Zeros and Discounts!R67C7</stp>
        <tr r="G67" s="1"/>
      </tp>
      <tp t="s">
        <v>21-03-2024</v>
        <stp/>
        <stp>##V3_BDPV12</stp>
        <stp>S0193Z 21Q BLC2 Curncy</stp>
        <stp>Maturity</stp>
        <stp>[XDF.xlsm]Zeros and Discounts!R57C7</stp>
        <tr r="G57" s="1"/>
      </tp>
      <tp t="s">
        <v>N</v>
        <stp/>
        <stp>##V3_BDPV12</stp>
        <stp>S0193D 22Q BLC2 Curncy</stp>
        <stp>DELAYED_TICK_STREAM_INDICATOR</stp>
        <stp>[XDF.xlsm]Zeros and Discounts!R58C9</stp>
        <tr r="I58" s="1"/>
      </tp>
      <tp t="s">
        <v>N</v>
        <stp/>
        <stp>##V3_BDPV12</stp>
        <stp>S0193D 14Y BLC2 Curncy</stp>
        <stp>DELAYED_TICK_STREAM_INDICATOR</stp>
        <stp>[XDF.xlsm]Zeros and Discounts!R80C9</stp>
        <tr r="I80" s="1"/>
      </tp>
      <tp t="s">
        <v>21-06-2021</v>
        <stp/>
        <stp>##V3_BDPV12</stp>
        <stp>S0193Z 30M BLC2 Curncy</stp>
        <stp>Maturity</stp>
        <stp>[XDF.xlsm]Zeros and Discounts!R46C7</stp>
        <tr r="G46" s="1"/>
      </tp>
    </main>
    <main first="bloomberg.rtd">
      <tp t="s">
        <v>13:08:34</v>
        <stp/>
        <stp>##V3_BDPV12</stp>
        <stp>S0193D 2Y BLC2 Curncy</stp>
        <stp>Last Update</stp>
        <stp>[XDF.xlsm]Zeros and Discounts!R44C15</stp>
        <tr r="O44" s="1"/>
      </tp>
      <tp t="s">
        <v>13:08:34</v>
        <stp/>
        <stp>##V3_BDPV12</stp>
        <stp>S0193D 2W BLC2 Curncy</stp>
        <stp>Last Update</stp>
        <stp>[XDF.xlsm]Zeros and Discounts!R24C15</stp>
        <tr r="O24" s="1"/>
      </tp>
      <tp t="s">
        <v>13:08:34</v>
        <stp/>
        <stp>##V3_BDPV12</stp>
        <stp>S0193D 2M BLC2 Curncy</stp>
        <stp>Last Update</stp>
        <stp>[XDF.xlsm]Zeros and Discounts!R27C15</stp>
        <tr r="O27" s="1"/>
      </tp>
      <tp t="s">
        <v>13:08:34</v>
        <stp/>
        <stp>##V3_BDPV12</stp>
        <stp>S0193D 2I BLC2 Curncy</stp>
        <stp>Last Update</stp>
        <stp>[XDF.xlsm]Zeros and Discounts!R29C15</stp>
        <tr r="O29" s="1"/>
      </tp>
      <tp t="s">
        <v>13:08:34</v>
        <stp/>
        <stp>##V3_BDPV12</stp>
        <stp>S0193D 2D BLC2 Curncy</stp>
        <stp>Last Update</stp>
        <stp>[XDF.xlsm]Zeros and Discounts!R22C15</stp>
        <tr r="O22" s="1"/>
      </tp>
      <tp>
        <v>0.74642500000000001</v>
        <stp/>
        <stp>##V3_BDPV12</stp>
        <stp>S0193D 29Q BLC2 Curncy</stp>
        <stp>Px Ask</stp>
        <stp>[XDF.xlsm]Zeros and Discounts!R65C13</stp>
        <tr r="M65" s="1"/>
      </tp>
      <tp>
        <v>0.80716500000000002</v>
        <stp/>
        <stp>##V3_BDPV12</stp>
        <stp>S0193D 22Q BLC2 Curncy</stp>
        <stp>Px Ask</stp>
        <stp>[XDF.xlsm]Zeros and Discounts!R58C13</stp>
        <tr r="M58" s="1"/>
      </tp>
      <tp>
        <v>0.79829899999999998</v>
        <stp/>
        <stp>##V3_BDPV12</stp>
        <stp>S0193D 23Q BLC2 Curncy</stp>
        <stp>Px Ask</stp>
        <stp>[XDF.xlsm]Zeros and Discounts!R59C13</stp>
        <tr r="M59" s="1"/>
      </tp>
      <tp>
        <v>0.40364</v>
        <stp/>
        <stp>##V3_BDPV12</stp>
        <stp>S0193D 20Y BLC2 Curncy</stp>
        <stp>Px Ask</stp>
        <stp>[XDF.xlsm]Zeros and Discounts!R86C13</stp>
        <tr r="M86" s="1"/>
      </tp>
      <tp>
        <v>0.94268700000000005</v>
        <stp/>
        <stp>##V3_BDPV12</stp>
        <stp>S0193D 21M BLC2 Curncy</stp>
        <stp>Px Ask</stp>
        <stp>[XDF.xlsm]Zeros and Discounts!R43C13</stp>
        <tr r="M43" s="1"/>
      </tp>
      <tp>
        <v>0.81588700000000003</v>
        <stp/>
        <stp>##V3_BDPV12</stp>
        <stp>S0193D 21Q BLC2 Curncy</stp>
        <stp>Px Ask</stp>
        <stp>[XDF.xlsm]Zeros and Discounts!R57C13</stp>
        <tr r="M57" s="1"/>
      </tp>
      <tp>
        <v>0.77235399999999998</v>
        <stp/>
        <stp>##V3_BDPV12</stp>
        <stp>S0193D 26Q BLC2 Curncy</stp>
        <stp>Px Ask</stp>
        <stp>[XDF.xlsm]Zeros and Discounts!R62C13</stp>
        <tr r="M62" s="1"/>
      </tp>
      <tp>
        <v>0.92477699999999996</v>
        <stp/>
        <stp>##V3_BDPV12</stp>
        <stp>S0193D 27M BLC2 Curncy</stp>
        <stp>Px Ask</stp>
        <stp>[XDF.xlsm]Zeros and Discounts!R45C13</stp>
        <tr r="M45" s="1"/>
      </tp>
      <tp>
        <v>0.76371800000000001</v>
        <stp/>
        <stp>##V3_BDPV12</stp>
        <stp>S0193D 27Q BLC2 Curncy</stp>
        <stp>Px Ask</stp>
        <stp>[XDF.xlsm]Zeros and Discounts!R63C13</stp>
        <tr r="M63" s="1"/>
      </tp>
      <tp>
        <v>0.78132299999999999</v>
        <stp/>
        <stp>##V3_BDPV12</stp>
        <stp>S0193D 25Q BLC2 Curncy</stp>
        <stp>Px Ask</stp>
        <stp>[XDF.xlsm]Zeros and Discounts!R61C13</stp>
        <tr r="M61" s="1"/>
      </tp>
      <tp t="s">
        <v>13:08:34</v>
        <stp/>
        <stp>##V3_BDPV12</stp>
        <stp>S0193D 3Y BLC2 Curncy</stp>
        <stp>Last Update</stp>
        <stp>[XDF.xlsm]Zeros and Discounts!R48C15</stp>
        <tr r="O48" s="1"/>
      </tp>
      <tp t="s">
        <v>13:08:34</v>
        <stp/>
        <stp>##V3_BDPV12</stp>
        <stp>S0193D 3M BLC2 Curncy</stp>
        <stp>Last Update</stp>
        <stp>[XDF.xlsm]Zeros and Discounts!R28C15</stp>
        <tr r="O28" s="1"/>
      </tp>
      <tp t="s">
        <v>13:08:34</v>
        <stp/>
        <stp>##V3_BDPV12</stp>
        <stp>S0193D 3I BLC2 Curncy</stp>
        <stp>Last Update</stp>
        <stp>[XDF.xlsm]Zeros and Discounts!R33C15</stp>
        <tr r="O33" s="1"/>
      </tp>
      <tp>
        <v>0.670458</v>
        <stp/>
        <stp>##V3_BDPV12</stp>
        <stp>S0193D 38Q BLC2 Curncy</stp>
        <stp>Px Ask</stp>
        <stp>[XDF.xlsm]Zeros and Discounts!R74C13</stp>
        <tr r="M74" s="1"/>
      </tp>
      <tp>
        <v>0.88822599999999996</v>
        <stp/>
        <stp>##V3_BDPV12</stp>
        <stp>S0193D 39M BLC2 Curncy</stp>
        <stp>Px Ask</stp>
        <stp>[XDF.xlsm]Zeros and Discounts!R49C13</stp>
        <tr r="M49" s="1"/>
      </tp>
      <tp>
        <v>0.66209600000000002</v>
        <stp/>
        <stp>##V3_BDPV12</stp>
        <stp>S0193D 39Q BLC2 Curncy</stp>
        <stp>Px Ask</stp>
        <stp>[XDF.xlsm]Zeros and Discounts!R75C13</stp>
        <tr r="M75" s="1"/>
      </tp>
      <tp>
        <v>0.90643799999999997</v>
        <stp/>
        <stp>##V3_BDPV12</stp>
        <stp>S0193D 33M BLC2 Curncy</stp>
        <stp>Px Ask</stp>
        <stp>[XDF.xlsm]Zeros and Discounts!R47C13</stp>
        <tr r="M47" s="1"/>
      </tp>
      <tp>
        <v>0.71222200000000002</v>
        <stp/>
        <stp>##V3_BDPV12</stp>
        <stp>S0193D 33Q BLC2 Curncy</stp>
        <stp>Px Ask</stp>
        <stp>[XDF.xlsm]Zeros and Discounts!R69C13</stp>
        <tr r="M69" s="1"/>
      </tp>
      <tp>
        <v>0.915709</v>
        <stp/>
        <stp>##V3_BDPV12</stp>
        <stp>S0193D 30M BLC2 Curncy</stp>
        <stp>Px Ask</stp>
        <stp>[XDF.xlsm]Zeros and Discounts!R46C13</stp>
        <tr r="M46" s="1"/>
      </tp>
      <tp>
        <v>0.73776900000000001</v>
        <stp/>
        <stp>##V3_BDPV12</stp>
        <stp>S0193D 30Q BLC2 Curncy</stp>
        <stp>Px Ask</stp>
        <stp>[XDF.xlsm]Zeros and Discounts!R66C13</stp>
        <tr r="M66" s="1"/>
      </tp>
      <tp>
        <v>0.72916899999999996</v>
        <stp/>
        <stp>##V3_BDPV12</stp>
        <stp>S0193D 31Q BLC2 Curncy</stp>
        <stp>Px Ask</stp>
        <stp>[XDF.xlsm]Zeros and Discounts!R67C13</stp>
        <tr r="M67" s="1"/>
      </tp>
      <tp>
        <v>0.67889600000000005</v>
        <stp/>
        <stp>##V3_BDPV12</stp>
        <stp>S0193D 37Q BLC2 Curncy</stp>
        <stp>Px Ask</stp>
        <stp>[XDF.xlsm]Zeros and Discounts!R73C13</stp>
        <tr r="M73" s="1"/>
      </tp>
      <tp>
        <v>0.70388099999999998</v>
        <stp/>
        <stp>##V3_BDPV12</stp>
        <stp>S0193D 34Q BLC2 Curncy</stp>
        <stp>Px Ask</stp>
        <stp>[XDF.xlsm]Zeros and Discounts!R70C13</stp>
        <tr r="M70" s="1"/>
      </tp>
      <tp>
        <v>0.69551799999999997</v>
        <stp/>
        <stp>##V3_BDPV12</stp>
        <stp>S0193D 35Q BLC2 Curncy</stp>
        <stp>Px Ask</stp>
        <stp>[XDF.xlsm]Zeros and Discounts!R71C13</stp>
        <tr r="M71" s="1"/>
      </tp>
      <tp t="s">
        <v>13:08:34</v>
        <stp/>
        <stp>##V3_BDPV12</stp>
        <stp>S0193D 1Y BLC2 Curncy</stp>
        <stp>Last Update</stp>
        <stp>[XDF.xlsm]Zeros and Discounts!R40C15</stp>
        <tr r="O40" s="1"/>
      </tp>
      <tp t="s">
        <v>13:08:34</v>
        <stp/>
        <stp>##V3_BDPV12</stp>
        <stp>S0193D 1W BLC2 Curncy</stp>
        <stp>Last Update</stp>
        <stp>[XDF.xlsm]Zeros and Discounts!R23C15</stp>
        <tr r="O23" s="1"/>
      </tp>
      <tp t="s">
        <v>13:08:34</v>
        <stp/>
        <stp>##V3_BDPV12</stp>
        <stp>S0193D 1M BLC2 Curncy</stp>
        <stp>Last Update</stp>
        <stp>[XDF.xlsm]Zeros and Discounts!R26C15</stp>
        <tr r="O26" s="1"/>
      </tp>
      <tp t="s">
        <v>13:08:34</v>
        <stp/>
        <stp>##V3_BDPV12</stp>
        <stp>S0193D 1I BLC2 Curncy</stp>
        <stp>Last Update</stp>
        <stp>[XDF.xlsm]Zeros and Discounts!R25C15</stp>
        <tr r="O25" s="1"/>
      </tp>
      <tp t="s">
        <v>13:08:34</v>
        <stp/>
        <stp>##V3_BDPV12</stp>
        <stp>S0193D 1D BLC2 Curncy</stp>
        <stp>Last Update</stp>
        <stp>[XDF.xlsm]Zeros and Discounts!R21C15</stp>
        <tr r="O21" s="1"/>
      </tp>
      <tp>
        <v>0.95147300000000001</v>
        <stp/>
        <stp>##V3_BDPV12</stp>
        <stp>S0193D 18M BLC2 Curncy</stp>
        <stp>Px Ask</stp>
        <stp>[XDF.xlsm]Zeros and Discounts!R42C13</stp>
        <tr r="M42" s="1"/>
      </tp>
      <tp>
        <v>0.84265400000000001</v>
        <stp/>
        <stp>##V3_BDPV12</stp>
        <stp>S0193D 18Q BLC2 Curncy</stp>
        <stp>Px Ask</stp>
        <stp>[XDF.xlsm]Zeros and Discounts!R54C13</stp>
        <tr r="M54" s="1"/>
      </tp>
      <tp t="s">
        <v>#N/A N/A</v>
        <stp/>
        <stp>##V3_BDPV12</stp>
        <stp>S0193D 18Y BLC2 Curncy</stp>
        <stp>Px Ask</stp>
        <stp>[XDF.xlsm]Zeros and Discounts!R84C13</stp>
        <tr r="M84" s="1"/>
      </tp>
      <tp>
        <v>0.83354700000000004</v>
        <stp/>
        <stp>##V3_BDPV12</stp>
        <stp>S0193D 19Q BLC2 Curncy</stp>
        <stp>Px Ask</stp>
        <stp>[XDF.xlsm]Zeros and Discounts!R55C13</stp>
        <tr r="M55" s="1"/>
      </tp>
      <tp t="s">
        <v>#N/A N/A</v>
        <stp/>
        <stp>##V3_BDPV12</stp>
        <stp>S0193D 19Y BLC2 Curncy</stp>
        <stp>Px Ask</stp>
        <stp>[XDF.xlsm]Zeros and Discounts!R85C13</stp>
        <tr r="M85" s="1"/>
      </tp>
      <tp t="s">
        <v>#N/A N/A</v>
        <stp/>
        <stp>##V3_BDPV12</stp>
        <stp>S0193D 12Y BLC2 Curncy</stp>
        <stp>Px Ask</stp>
        <stp>[XDF.xlsm]Zeros and Discounts!R78C13</stp>
        <tr r="M78" s="1"/>
      </tp>
      <tp t="s">
        <v>#N/A N/A</v>
        <stp/>
        <stp>##V3_BDPV12</stp>
        <stp>S0193D 13Y BLC2 Curncy</stp>
        <stp>Px Ask</stp>
        <stp>[XDF.xlsm]Zeros and Discounts!R79C13</stp>
        <tr r="M79" s="1"/>
      </tp>
      <tp>
        <v>0.97450300000000001</v>
        <stp/>
        <stp>##V3_BDPV12</stp>
        <stp>S0193D 10M BLC2 Curncy</stp>
        <stp>Px Ask</stp>
        <stp>[XDF.xlsm]Zeros and Discounts!R38C13</stp>
        <tr r="M38" s="1"/>
      </tp>
      <tp>
        <v>0.65390199999999998</v>
        <stp/>
        <stp>##V3_BDPV12</stp>
        <stp>S0193D 10Y BLC2 Curncy</stp>
        <stp>Px Ask</stp>
        <stp>[XDF.xlsm]Zeros and Discounts!R76C13</stp>
        <tr r="M76" s="1"/>
      </tp>
      <tp>
        <v>0.97173100000000001</v>
        <stp/>
        <stp>##V3_BDPV12</stp>
        <stp>S0193D 11M BLC2 Curncy</stp>
        <stp>Px Ask</stp>
        <stp>[XDF.xlsm]Zeros and Discounts!R39C13</stp>
        <tr r="M39" s="1"/>
      </tp>
      <tp t="s">
        <v>#N/A N/A</v>
        <stp/>
        <stp>##V3_BDPV12</stp>
        <stp>S0193D 11Y BLC2 Curncy</stp>
        <stp>Px Ask</stp>
        <stp>[XDF.xlsm]Zeros and Discounts!R77C13</stp>
        <tr r="M77" s="1"/>
      </tp>
      <tp t="s">
        <v>#N/A N/A</v>
        <stp/>
        <stp>##V3_BDPV12</stp>
        <stp>S0193D 16Y BLC2 Curncy</stp>
        <stp>Px Ask</stp>
        <stp>[XDF.xlsm]Zeros and Discounts!R82C13</stp>
        <tr r="M82" s="1"/>
      </tp>
      <tp>
        <v>0.85176799999999997</v>
        <stp/>
        <stp>##V3_BDPV12</stp>
        <stp>S0193D 17Q BLC2 Curncy</stp>
        <stp>Px Ask</stp>
        <stp>[XDF.xlsm]Zeros and Discounts!R53C13</stp>
        <tr r="M53" s="1"/>
      </tp>
      <tp t="s">
        <v>#N/A N/A</v>
        <stp/>
        <stp>##V3_BDPV12</stp>
        <stp>S0193D 17Y BLC2 Curncy</stp>
        <stp>Px Ask</stp>
        <stp>[XDF.xlsm]Zeros and Discounts!R83C13</stp>
        <tr r="M83" s="1"/>
      </tp>
      <tp t="s">
        <v>#N/A N/A</v>
        <stp/>
        <stp>##V3_BDPV12</stp>
        <stp>S0193D 14Y BLC2 Curncy</stp>
        <stp>Px Ask</stp>
        <stp>[XDF.xlsm]Zeros and Discounts!R80C13</stp>
        <tr r="M80" s="1"/>
      </tp>
      <tp>
        <v>0.96029799999999998</v>
        <stp/>
        <stp>##V3_BDPV12</stp>
        <stp>S0193D 15M BLC2 Curncy</stp>
        <stp>Px Ask</stp>
        <stp>[XDF.xlsm]Zeros and Discounts!R41C13</stp>
        <tr r="M41" s="1"/>
      </tp>
      <tp>
        <v>0.51596500000000001</v>
        <stp/>
        <stp>##V3_BDPV12</stp>
        <stp>S0193D 15Y BLC2 Curncy</stp>
        <stp>Px Ask</stp>
        <stp>[XDF.xlsm]Zeros and Discounts!R81C13</stp>
        <tr r="M81" s="1"/>
      </tp>
      <tp t="s">
        <v>13:08:34</v>
        <stp/>
        <stp>##V3_BDPV12</stp>
        <stp>S0193D 6Y BLC2 Curncy</stp>
        <stp>Last Update</stp>
        <stp>[XDF.xlsm]Zeros and Discounts!R60C15</stp>
        <tr r="O60" s="1"/>
      </tp>
      <tp t="s">
        <v>13:08:34</v>
        <stp/>
        <stp>##V3_BDPV12</stp>
        <stp>S0193D 6M BLC2 Curncy</stp>
        <stp>Last Update</stp>
        <stp>[XDF.xlsm]Zeros and Discounts!R32C15</stp>
        <tr r="O32" s="1"/>
      </tp>
      <tp t="s">
        <v>13:08:34</v>
        <stp/>
        <stp>##V3_BDPV12</stp>
        <stp>S0193D 7Y BLC2 Curncy</stp>
        <stp>Last Update</stp>
        <stp>[XDF.xlsm]Zeros and Discounts!R64C15</stp>
        <tr r="O64" s="1"/>
      </tp>
      <tp t="s">
        <v>13:08:34</v>
        <stp/>
        <stp>##V3_BDPV12</stp>
        <stp>S0193D 7M BLC2 Curncy</stp>
        <stp>Last Update</stp>
        <stp>[XDF.xlsm]Zeros and Discounts!R34C15</stp>
        <tr r="O34" s="1"/>
      </tp>
      <tp t="s">
        <v>13:08:34</v>
        <stp/>
        <stp>##V3_BDPV12</stp>
        <stp>S0193D 4Y BLC2 Curncy</stp>
        <stp>Last Update</stp>
        <stp>[XDF.xlsm]Zeros and Discounts!R52C15</stp>
        <tr r="O52" s="1"/>
      </tp>
      <tp t="s">
        <v>13:08:34</v>
        <stp/>
        <stp>##V3_BDPV12</stp>
        <stp>S0193D 4M BLC2 Curncy</stp>
        <stp>Last Update</stp>
        <stp>[XDF.xlsm]Zeros and Discounts!R30C15</stp>
        <tr r="O30" s="1"/>
      </tp>
      <tp t="s">
        <v>13:08:34</v>
        <stp/>
        <stp>##V3_BDPV12</stp>
        <stp>S0193D 4I BLC2 Curncy</stp>
        <stp>Last Update</stp>
        <stp>[XDF.xlsm]Zeros and Discounts!R37C15</stp>
        <tr r="O37" s="1"/>
      </tp>
      <tp>
        <v>0.87904000000000004</v>
        <stp/>
        <stp>##V3_BDPV12</stp>
        <stp>S0193D 42M BLC2 Curncy</stp>
        <stp>Px Ask</stp>
        <stp>[XDF.xlsm]Zeros and Discounts!R50C13</stp>
        <tr r="M50" s="1"/>
      </tp>
      <tp>
        <v>0.86982400000000004</v>
        <stp/>
        <stp>##V3_BDPV12</stp>
        <stp>S0193D 45M BLC2 Curncy</stp>
        <stp>Px Ask</stp>
        <stp>[XDF.xlsm]Zeros and Discounts!R51C13</stp>
        <tr r="M51" s="1"/>
      </tp>
      <tp t="s">
        <v>13:08:34</v>
        <stp/>
        <stp>##V3_BDPV12</stp>
        <stp>S0193D 5Y BLC2 Curncy</stp>
        <stp>Last Update</stp>
        <stp>[XDF.xlsm]Zeros and Discounts!R56C15</stp>
        <tr r="O56" s="1"/>
      </tp>
      <tp t="s">
        <v>13:08:34</v>
        <stp/>
        <stp>##V3_BDPV12</stp>
        <stp>S0193D 5M BLC2 Curncy</stp>
        <stp>Last Update</stp>
        <stp>[XDF.xlsm]Zeros and Discounts!R31C15</stp>
        <tr r="O31" s="1"/>
      </tp>
      <tp t="s">
        <v>24-12-2018</v>
        <stp/>
        <stp>##V3_BDPV12</stp>
        <stp>S0193D 1D BLC2 Curncy</stp>
        <stp>Maturity</stp>
        <stp>[XDF.xlsm]Zeros and Discounts!R21C14</stp>
        <tr r="N21" s="1"/>
      </tp>
      <tp t="s">
        <v>26-12-2018</v>
        <stp/>
        <stp>##V3_BDPV12</stp>
        <stp>S0193D 2D BLC2 Curncy</stp>
        <stp>Maturity</stp>
        <stp>[XDF.xlsm]Zeros and Discounts!R22C14</stp>
        <tr r="N22" s="1"/>
      </tp>
      <tp t="s">
        <v>21-10-2019</v>
        <stp/>
        <stp>##V3_BDPV12</stp>
        <stp>S0193D 10M BLC2 Curncy</stp>
        <stp>Maturity</stp>
        <stp>[XDF.xlsm]Zeros and Discounts!R38C14</stp>
        <tr r="N38" s="1"/>
      </tp>
      <tp t="s">
        <v>21-11-2019</v>
        <stp/>
        <stp>##V3_BDPV12</stp>
        <stp>S0193D 11M BLC2 Curncy</stp>
        <stp>Maturity</stp>
        <stp>[XDF.xlsm]Zeros and Discounts!R39C14</stp>
        <tr r="N39" s="1"/>
      </tp>
      <tp t="s">
        <v>21-06-2022</v>
        <stp/>
        <stp>##V3_BDPV12</stp>
        <stp>S0193D 42M BLC2 Curncy</stp>
        <stp>Maturity</stp>
        <stp>[XDF.xlsm]Zeros and Discounts!R50C14</stp>
        <tr r="N50" s="1"/>
      </tp>
      <tp t="s">
        <v>21-09-2022</v>
        <stp/>
        <stp>##V3_BDPV12</stp>
        <stp>S0193D 45M BLC2 Curncy</stp>
        <stp>Maturity</stp>
        <stp>[XDF.xlsm]Zeros and Discounts!R51C14</stp>
        <tr r="N51" s="1"/>
      </tp>
      <tp t="s">
        <v>21-03-2022</v>
        <stp/>
        <stp>##V3_BDPV12</stp>
        <stp>S0193D 39M BLC2 Curncy</stp>
        <stp>Maturity</stp>
        <stp>[XDF.xlsm]Zeros and Discounts!R49C14</stp>
        <tr r="N49" s="1"/>
      </tp>
      <tp t="s">
        <v>21-09-2021</v>
        <stp/>
        <stp>##V3_BDPV12</stp>
        <stp>S0193D 33M BLC2 Curncy</stp>
        <stp>Maturity</stp>
        <stp>[XDF.xlsm]Zeros and Discounts!R47C14</stp>
        <tr r="N47" s="1"/>
      </tp>
      <tp t="s">
        <v>21-06-2021</v>
        <stp/>
        <stp>##V3_BDPV12</stp>
        <stp>S0193D 30M BLC2 Curncy</stp>
        <stp>Maturity</stp>
        <stp>[XDF.xlsm]Zeros and Discounts!R46C14</stp>
        <tr r="N46" s="1"/>
      </tp>
      <tp t="s">
        <v>21-09-2020</v>
        <stp/>
        <stp>##V3_BDPV12</stp>
        <stp>S0193D 21M BLC2 Curncy</stp>
        <stp>Maturity</stp>
        <stp>[XDF.xlsm]Zeros and Discounts!R43C14</stp>
        <tr r="N43" s="1"/>
      </tp>
      <tp t="s">
        <v>22-03-2021</v>
        <stp/>
        <stp>##V3_BDPV12</stp>
        <stp>S0193D 27M BLC2 Curncy</stp>
        <stp>Maturity</stp>
        <stp>[XDF.xlsm]Zeros and Discounts!R45C14</stp>
        <tr r="N45" s="1"/>
      </tp>
      <tp t="s">
        <v>22-06-2020</v>
        <stp/>
        <stp>##V3_BDPV12</stp>
        <stp>S0193D 18M BLC2 Curncy</stp>
        <stp>Maturity</stp>
        <stp>[XDF.xlsm]Zeros and Discounts!R42C14</stp>
        <tr r="N42" s="1"/>
      </tp>
      <tp t="s">
        <v>23-03-2020</v>
        <stp/>
        <stp>##V3_BDPV12</stp>
        <stp>S0193D 15M BLC2 Curncy</stp>
        <stp>Maturity</stp>
        <stp>[XDF.xlsm]Zeros and Discounts!R41C14</stp>
        <tr r="N41" s="1"/>
      </tp>
      <tp t="s">
        <v>13:08:34</v>
        <stp/>
        <stp>##V3_BDPV12</stp>
        <stp>S0193D 8Y BLC2 Curncy</stp>
        <stp>Last Update</stp>
        <stp>[XDF.xlsm]Zeros and Discounts!R68C15</stp>
        <tr r="O68" s="1"/>
      </tp>
      <tp t="s">
        <v>13:08:34</v>
        <stp/>
        <stp>##V3_BDPV12</stp>
        <stp>S0193D 8M BLC2 Curncy</stp>
        <stp>Last Update</stp>
        <stp>[XDF.xlsm]Zeros and Discounts!R35C15</stp>
        <tr r="O35" s="1"/>
      </tp>
      <tp t="s">
        <v>16-12-2019</v>
        <stp/>
        <stp>##V3_BDPV12</stp>
        <stp>S0193D 4I BLC2 Curncy</stp>
        <stp>Maturity</stp>
        <stp>[XDF.xlsm]Zeros and Discounts!R37C14</stp>
        <tr r="N37" s="1"/>
      </tp>
      <tp t="s">
        <v>16-09-2019</v>
        <stp/>
        <stp>##V3_BDPV12</stp>
        <stp>S0193D 3I BLC2 Curncy</stp>
        <stp>Maturity</stp>
        <stp>[XDF.xlsm]Zeros and Discounts!R33C14</stp>
        <tr r="N33" s="1"/>
      </tp>
      <tp t="s">
        <v>17-06-2019</v>
        <stp/>
        <stp>##V3_BDPV12</stp>
        <stp>S0193D 2I BLC2 Curncy</stp>
        <stp>Maturity</stp>
        <stp>[XDF.xlsm]Zeros and Discounts!R29C14</stp>
        <tr r="N29" s="1"/>
      </tp>
      <tp t="s">
        <v>18-03-2019</v>
        <stp/>
        <stp>##V3_BDPV12</stp>
        <stp>S0193D 1I BLC2 Curncy</stp>
        <stp>Maturity</stp>
        <stp>[XDF.xlsm]Zeros and Discounts!R25C14</stp>
        <tr r="N25" s="1"/>
      </tp>
      <tp t="s">
        <v>13:08:34</v>
        <stp/>
        <stp>##V3_BDPV12</stp>
        <stp>S0193D 9Y BLC2 Curncy</stp>
        <stp>Last Update</stp>
        <stp>[XDF.xlsm]Zeros and Discounts!R72C15</stp>
        <tr r="O72" s="1"/>
      </tp>
      <tp t="s">
        <v>13:08:34</v>
        <stp/>
        <stp>##V3_BDPV12</stp>
        <stp>S0193D 9M BLC2 Curncy</stp>
        <stp>Last Update</stp>
        <stp>[XDF.xlsm]Zeros and Discounts!R36C15</stp>
        <tr r="O36" s="1"/>
      </tp>
      <tp t="s">
        <v>23-09-2019</v>
        <stp/>
        <stp>##V3_BDPV12</stp>
        <stp>S0193D 9M BLC2 Curncy</stp>
        <stp>Maturity</stp>
        <stp>[XDF.xlsm]Zeros and Discounts!R36C14</stp>
        <tr r="N36" s="1"/>
      </tp>
      <tp t="s">
        <v>21-08-2019</v>
        <stp/>
        <stp>##V3_BDPV12</stp>
        <stp>S0193D 8M BLC2 Curncy</stp>
        <stp>Maturity</stp>
        <stp>[XDF.xlsm]Zeros and Discounts!R35C14</stp>
        <tr r="N35" s="1"/>
      </tp>
      <tp t="s">
        <v>22-07-2019</v>
        <stp/>
        <stp>##V3_BDPV12</stp>
        <stp>S0193D 7M BLC2 Curncy</stp>
        <stp>Maturity</stp>
        <stp>[XDF.xlsm]Zeros and Discounts!R34C14</stp>
        <tr r="N34" s="1"/>
      </tp>
      <tp t="s">
        <v>22-04-2019</v>
        <stp/>
        <stp>##V3_BDPV12</stp>
        <stp>S0193D 4M BLC2 Curncy</stp>
        <stp>Maturity</stp>
        <stp>[XDF.xlsm]Zeros and Discounts!R30C14</stp>
        <tr r="N30" s="1"/>
      </tp>
      <tp t="s">
        <v>22-05-2019</v>
        <stp/>
        <stp>##V3_BDPV12</stp>
        <stp>S0193D 5M BLC2 Curncy</stp>
        <stp>Maturity</stp>
        <stp>[XDF.xlsm]Zeros and Discounts!R31C14</stp>
        <tr r="N31" s="1"/>
      </tp>
      <tp t="s">
        <v>21-06-2019</v>
        <stp/>
        <stp>##V3_BDPV12</stp>
        <stp>S0193D 6M BLC2 Curncy</stp>
        <stp>Maturity</stp>
        <stp>[XDF.xlsm]Zeros and Discounts!R32C14</stp>
        <tr r="N32" s="1"/>
      </tp>
      <tp t="s">
        <v>21-03-2019</v>
        <stp/>
        <stp>##V3_BDPV12</stp>
        <stp>S0193D 3M BLC2 Curncy</stp>
        <stp>Maturity</stp>
        <stp>[XDF.xlsm]Zeros and Discounts!R28C14</stp>
        <tr r="N28" s="1"/>
      </tp>
      <tp t="s">
        <v>21-01-2019</v>
        <stp/>
        <stp>##V3_BDPV12</stp>
        <stp>S0193D 1M BLC2 Curncy</stp>
        <stp>Maturity</stp>
        <stp>[XDF.xlsm]Zeros and Discounts!R26C14</stp>
        <tr r="N26" s="1"/>
      </tp>
      <tp t="s">
        <v>21-02-2019</v>
        <stp/>
        <stp>##V3_BDPV12</stp>
        <stp>S0193D 2M BLC2 Curncy</stp>
        <stp>Maturity</stp>
        <stp>[XDF.xlsm]Zeros and Discounts!R27C14</stp>
        <tr r="N27" s="1"/>
      </tp>
      <tp t="s">
        <v>#N/A Invalid Security</v>
        <stp/>
        <stp>##V3_BDPV12</stp>
        <stp/>
        <stp>DELAYED_TICK_STREAM_INDICATOR</stp>
        <stp>[XDF.xlsm]Zeros and Discounts!R91C9</stp>
        <tr r="I91" s="1"/>
      </tp>
      <tp t="s">
        <v>#N/A Invalid Security</v>
        <stp/>
        <stp>##V3_BDPV12</stp>
        <stp/>
        <stp>DELAYED_TICK_STREAM_INDICATOR</stp>
        <stp>[XDF.xlsm]Zeros and Discounts!R91C1</stp>
        <tr r="A91" s="1"/>
      </tp>
      <tp t="s">
        <v>13:08:34</v>
        <stp/>
        <stp>##V3_BDPV12</stp>
        <stp>S0193D 20Y BLC2 Curncy</stp>
        <stp>Last Update</stp>
        <stp>[XDF.xlsm]Zeros and Discounts!R86C15</stp>
        <tr r="O86" s="1"/>
      </tp>
      <tp t="s">
        <v>13:08:34</v>
        <stp/>
        <stp>##V3_BDPV12</stp>
        <stp>S0193D 10Y BLC2 Curncy</stp>
        <stp>Last Update</stp>
        <stp>[XDF.xlsm]Zeros and Discounts!R76C15</stp>
        <tr r="O76" s="1"/>
      </tp>
      <tp t="s">
        <v>13:08:34</v>
        <stp/>
        <stp>##V3_BDPV12</stp>
        <stp>S0193D 30Q BLC2 Curncy</stp>
        <stp>Last Update</stp>
        <stp>[XDF.xlsm]Zeros and Discounts!R66C15</stp>
        <tr r="O66" s="1"/>
      </tp>
      <tp t="s">
        <v>13:08:34</v>
        <stp/>
        <stp>##V3_BDPV12</stp>
        <stp>S0193D 30M BLC2 Curncy</stp>
        <stp>Last Update</stp>
        <stp>[XDF.xlsm]Zeros and Discounts!R46C15</stp>
        <tr r="O46" s="1"/>
      </tp>
      <tp t="s">
        <v>13:08:34</v>
        <stp/>
        <stp>##V3_BDPV12</stp>
        <stp>S0193D 10M BLC2 Curncy</stp>
        <stp>Last Update</stp>
        <stp>[XDF.xlsm]Zeros and Discounts!R38C15</stp>
        <tr r="O38" s="1"/>
      </tp>
      <tp t="s">
        <v>#N/A Invalid Security</v>
        <stp/>
        <stp>##V3_BDPV12</stp>
        <stp/>
        <stp>DELAYED_TICK_STREAM_INDICATOR</stp>
        <stp>[XDF.xlsm]Zeros and Discounts!R90C9</stp>
        <tr r="I90" s="1"/>
      </tp>
      <tp t="s">
        <v>#N/A Invalid Security</v>
        <stp/>
        <stp>##V3_BDPV12</stp>
        <stp/>
        <stp>DELAYED_TICK_STREAM_INDICATOR</stp>
        <stp>[XDF.xlsm]Zeros and Discounts!R90C1</stp>
        <tr r="A90" s="1"/>
      </tp>
      <tp t="s">
        <v>#N/A N/A</v>
        <stp/>
        <stp>##V3_BDPV12</stp>
        <stp>S0193D 11Y BLC2 Curncy</stp>
        <stp>Last Update</stp>
        <stp>[XDF.xlsm]Zeros and Discounts!R77C15</stp>
        <tr r="O77" s="1"/>
      </tp>
      <tp t="s">
        <v>13:08:34</v>
        <stp/>
        <stp>##V3_BDPV12</stp>
        <stp>S0193D 21Q BLC2 Curncy</stp>
        <stp>Last Update</stp>
        <stp>[XDF.xlsm]Zeros and Discounts!R57C15</stp>
        <tr r="O57" s="1"/>
      </tp>
      <tp t="s">
        <v>13:08:34</v>
        <stp/>
        <stp>##V3_BDPV12</stp>
        <stp>S0193D 31Q BLC2 Curncy</stp>
        <stp>Last Update</stp>
        <stp>[XDF.xlsm]Zeros and Discounts!R67C15</stp>
        <tr r="O67" s="1"/>
      </tp>
      <tp t="s">
        <v>13:08:34</v>
        <stp/>
        <stp>##V3_BDPV12</stp>
        <stp>S0193D 21M BLC2 Curncy</stp>
        <stp>Last Update</stp>
        <stp>[XDF.xlsm]Zeros and Discounts!R43C15</stp>
        <tr r="O43" s="1"/>
      </tp>
      <tp t="s">
        <v>13:08:34</v>
        <stp/>
        <stp>##V3_BDPV12</stp>
        <stp>S0193D 11M BLC2 Curncy</stp>
        <stp>Last Update</stp>
        <stp>[XDF.xlsm]Zeros and Discounts!R39C15</stp>
        <tr r="O39" s="1"/>
      </tp>
      <tp t="s">
        <v>#N/A Invalid Security</v>
        <stp/>
        <stp>##V3_BDPV12</stp>
        <stp/>
        <stp>DELAYED_TICK_STREAM_INDICATOR</stp>
        <stp>[XDF.xlsm]Zeros and Discounts!R93C9</stp>
        <tr r="I93" s="1"/>
      </tp>
      <tp t="s">
        <v>#N/A Invalid Security</v>
        <stp/>
        <stp>##V3_BDPV12</stp>
        <stp/>
        <stp>DELAYED_TICK_STREAM_INDICATOR</stp>
        <stp>[XDF.xlsm]Zeros and Discounts!R93C1</stp>
        <tr r="A93" s="1"/>
      </tp>
      <tp t="s">
        <v>#N/A N/A</v>
        <stp/>
        <stp>##V3_BDPV12</stp>
        <stp>S0193D 12Y BLC2 Curncy</stp>
        <stp>Last Update</stp>
        <stp>[XDF.xlsm]Zeros and Discounts!R78C15</stp>
        <tr r="O78" s="1"/>
      </tp>
      <tp t="s">
        <v>13:08:34</v>
        <stp/>
        <stp>##V3_BDPV12</stp>
        <stp>S0193D 22Q BLC2 Curncy</stp>
        <stp>Last Update</stp>
        <stp>[XDF.xlsm]Zeros and Discounts!R58C15</stp>
        <tr r="O58" s="1"/>
      </tp>
      <tp t="s">
        <v>13:08:34</v>
        <stp/>
        <stp>##V3_BDPV12</stp>
        <stp>S0193D 42M BLC2 Curncy</stp>
        <stp>Last Update</stp>
        <stp>[XDF.xlsm]Zeros and Discounts!R50C15</stp>
        <tr r="O50" s="1"/>
      </tp>
      <tp t="s">
        <v>#N/A Invalid Security</v>
        <stp/>
        <stp>##V3_BDPV12</stp>
        <stp/>
        <stp>DELAYED_TICK_STREAM_INDICATOR</stp>
        <stp>[XDF.xlsm]Zeros and Discounts!R92C9</stp>
        <tr r="I92" s="1"/>
      </tp>
      <tp t="s">
        <v>#N/A Invalid Security</v>
        <stp/>
        <stp>##V3_BDPV12</stp>
        <stp/>
        <stp>DELAYED_TICK_STREAM_INDICATOR</stp>
        <stp>[XDF.xlsm]Zeros and Discounts!R92C1</stp>
        <tr r="A92" s="1"/>
      </tp>
      <tp t="s">
        <v>#N/A N/A</v>
        <stp/>
        <stp>##V3_BDPV12</stp>
        <stp>S0193D 13Y BLC2 Curncy</stp>
        <stp>Last Update</stp>
        <stp>[XDF.xlsm]Zeros and Discounts!R79C15</stp>
        <tr r="O79" s="1"/>
      </tp>
      <tp t="s">
        <v>13:08:34</v>
        <stp/>
        <stp>##V3_BDPV12</stp>
        <stp>S0193D 23Q BLC2 Curncy</stp>
        <stp>Last Update</stp>
        <stp>[XDF.xlsm]Zeros and Discounts!R59C15</stp>
        <tr r="O59" s="1"/>
      </tp>
      <tp t="s">
        <v>13:08:34</v>
        <stp/>
        <stp>##V3_BDPV12</stp>
        <stp>S0193D 33Q BLC2 Curncy</stp>
        <stp>Last Update</stp>
        <stp>[XDF.xlsm]Zeros and Discounts!R69C15</stp>
        <tr r="O69" s="1"/>
      </tp>
      <tp t="s">
        <v>13:08:34</v>
        <stp/>
        <stp>##V3_BDPV12</stp>
        <stp>S0193D 33M BLC2 Curncy</stp>
        <stp>Last Update</stp>
        <stp>[XDF.xlsm]Zeros and Discounts!R47C15</stp>
        <tr r="O47" s="1"/>
      </tp>
      <tp t="s">
        <v>#N/A Invalid Security</v>
        <stp/>
        <stp>##V3_BDPV12</stp>
        <stp/>
        <stp>DELAYED_TICK_STREAM_INDICATOR</stp>
        <stp>[XDF.xlsm]Zeros and Discounts!R95C9</stp>
        <tr r="I95" s="1"/>
      </tp>
      <tp t="s">
        <v>#N/A Invalid Security</v>
        <stp/>
        <stp>##V3_BDPV12</stp>
        <stp/>
        <stp>DELAYED_TICK_STREAM_INDICATOR</stp>
        <stp>[XDF.xlsm]Zeros and Discounts!R95C1</stp>
        <tr r="A95" s="1"/>
      </tp>
      <tp t="s">
        <v>#N/A N/A</v>
        <stp/>
        <stp>##V3_BDPV12</stp>
        <stp>S0193D 14Y BLC2 Curncy</stp>
        <stp>Last Update</stp>
        <stp>[XDF.xlsm]Zeros and Discounts!R80C15</stp>
        <tr r="O80" s="1"/>
      </tp>
      <tp t="s">
        <v>13:08:34</v>
        <stp/>
        <stp>##V3_BDPV12</stp>
        <stp>S0193D 34Q BLC2 Curncy</stp>
        <stp>Last Update</stp>
        <stp>[XDF.xlsm]Zeros and Discounts!R70C15</stp>
        <tr r="O70" s="1"/>
      </tp>
      <tp t="s">
        <v>28-12-2018</v>
        <stp/>
        <stp>##V3_BDPV12</stp>
        <stp>S0193D 1W BLC2 Curncy</stp>
        <stp>Maturity</stp>
        <stp>[XDF.xlsm]Zeros and Discounts!R23C14</stp>
        <tr r="N23" s="1"/>
      </tp>
      <tp t="s">
        <v>04-01-2019</v>
        <stp/>
        <stp>##V3_BDPV12</stp>
        <stp>S0193D 2W BLC2 Curncy</stp>
        <stp>Maturity</stp>
        <stp>[XDF.xlsm]Zeros and Discounts!R24C14</stp>
        <tr r="N24" s="1"/>
      </tp>
      <tp t="s">
        <v>21-06-2024</v>
        <stp/>
        <stp>##V3_BDPV12</stp>
        <stp>S0193D 22Q BLC2 Curncy</stp>
        <stp>Maturity</stp>
        <stp>[XDF.xlsm]Zeros and Discounts!R58C14</stp>
        <tr r="N58" s="1"/>
      </tp>
      <tp t="s">
        <v>23-09-2024</v>
        <stp/>
        <stp>##V3_BDPV12</stp>
        <stp>S0193D 23Q BLC2 Curncy</stp>
        <stp>Maturity</stp>
        <stp>[XDF.xlsm]Zeros and Discounts!R59C14</stp>
        <tr r="N59" s="1"/>
      </tp>
      <tp t="s">
        <v>21-03-2024</v>
        <stp/>
        <stp>##V3_BDPV12</stp>
        <stp>S0193D 21Q BLC2 Curncy</stp>
        <stp>Maturity</stp>
        <stp>[XDF.xlsm]Zeros and Discounts!R57C14</stp>
        <tr r="N57" s="1"/>
      </tp>
      <tp t="s">
        <v>22-03-2027</v>
        <stp/>
        <stp>##V3_BDPV12</stp>
        <stp>S0193D 33Q BLC2 Curncy</stp>
        <stp>Maturity</stp>
        <stp>[XDF.xlsm]Zeros and Discounts!R69C14</stp>
        <tr r="N69" s="1"/>
      </tp>
      <tp t="s">
        <v>22-06-2026</v>
        <stp/>
        <stp>##V3_BDPV12</stp>
        <stp>S0193D 30Q BLC2 Curncy</stp>
        <stp>Maturity</stp>
        <stp>[XDF.xlsm]Zeros and Discounts!R66C14</stp>
        <tr r="N66" s="1"/>
      </tp>
      <tp t="s">
        <v>21-09-2026</v>
        <stp/>
        <stp>##V3_BDPV12</stp>
        <stp>S0193D 31Q BLC2 Curncy</stp>
        <stp>Maturity</stp>
        <stp>[XDF.xlsm]Zeros and Discounts!R67C14</stp>
        <tr r="N67" s="1"/>
      </tp>
      <tp t="s">
        <v>21-06-2023</v>
        <stp/>
        <stp>##V3_BDPV12</stp>
        <stp>S0193D 18Q BLC2 Curncy</stp>
        <stp>Maturity</stp>
        <stp>[XDF.xlsm]Zeros and Discounts!R54C14</stp>
        <tr r="N54" s="1"/>
      </tp>
      <tp t="s">
        <v>21-09-2023</v>
        <stp/>
        <stp>##V3_BDPV12</stp>
        <stp>S0193D 19Q BLC2 Curncy</stp>
        <stp>Maturity</stp>
        <stp>[XDF.xlsm]Zeros and Discounts!R55C14</stp>
        <tr r="N55" s="1"/>
      </tp>
      <tp t="s">
        <v>23-03-2026</v>
        <stp/>
        <stp>##V3_BDPV12</stp>
        <stp>S0193D 29Q BLC2 Curncy</stp>
        <stp>Maturity</stp>
        <stp>[XDF.xlsm]Zeros and Discounts!R65C14</stp>
        <tr r="N65" s="1"/>
      </tp>
      <tp t="s">
        <v>21-06-2028</v>
        <stp/>
        <stp>##V3_BDPV12</stp>
        <stp>S0193D 38Q BLC2 Curncy</stp>
        <stp>Maturity</stp>
        <stp>[XDF.xlsm]Zeros and Discounts!R74C14</stp>
        <tr r="N74" s="1"/>
      </tp>
      <tp t="s">
        <v>21-09-2028</v>
        <stp/>
        <stp>##V3_BDPV12</stp>
        <stp>S0193D 39Q BLC2 Curncy</stp>
        <stp>Maturity</stp>
        <stp>[XDF.xlsm]Zeros and Discounts!R75C14</stp>
        <tr r="N75" s="1"/>
      </tp>
      <tp t="s">
        <v>21-03-2023</v>
        <stp/>
        <stp>##V3_BDPV12</stp>
        <stp>S0193D 17Q BLC2 Curncy</stp>
        <stp>Maturity</stp>
        <stp>[XDF.xlsm]Zeros and Discounts!R53C14</stp>
        <tr r="N53" s="1"/>
      </tp>
      <tp t="s">
        <v>21-03-2025</v>
        <stp/>
        <stp>##V3_BDPV12</stp>
        <stp>S0193D 25Q BLC2 Curncy</stp>
        <stp>Maturity</stp>
        <stp>[XDF.xlsm]Zeros and Discounts!R61C14</stp>
        <tr r="N61" s="1"/>
      </tp>
      <tp t="s">
        <v>23-06-2025</v>
        <stp/>
        <stp>##V3_BDPV12</stp>
        <stp>S0193D 26Q BLC2 Curncy</stp>
        <stp>Maturity</stp>
        <stp>[XDF.xlsm]Zeros and Discounts!R62C14</stp>
        <tr r="N62" s="1"/>
      </tp>
      <tp t="s">
        <v>22-09-2025</v>
        <stp/>
        <stp>##V3_BDPV12</stp>
        <stp>S0193D 27Q BLC2 Curncy</stp>
        <stp>Maturity</stp>
        <stp>[XDF.xlsm]Zeros and Discounts!R63C14</stp>
        <tr r="N63" s="1"/>
      </tp>
      <tp t="s">
        <v>21-06-2027</v>
        <stp/>
        <stp>##V3_BDPV12</stp>
        <stp>S0193D 34Q BLC2 Curncy</stp>
        <stp>Maturity</stp>
        <stp>[XDF.xlsm]Zeros and Discounts!R70C14</stp>
        <tr r="N70" s="1"/>
      </tp>
      <tp t="s">
        <v>21-09-2027</v>
        <stp/>
        <stp>##V3_BDPV12</stp>
        <stp>S0193D 35Q BLC2 Curncy</stp>
        <stp>Maturity</stp>
        <stp>[XDF.xlsm]Zeros and Discounts!R71C14</stp>
        <tr r="N71" s="1"/>
      </tp>
      <tp t="s">
        <v>21-03-2028</v>
        <stp/>
        <stp>##V3_BDPV12</stp>
        <stp>S0193D 37Q BLC2 Curncy</stp>
        <stp>Maturity</stp>
        <stp>[XDF.xlsm]Zeros and Discounts!R73C14</stp>
        <tr r="N73" s="1"/>
      </tp>
      <tp t="s">
        <v>#N/A Invalid Security</v>
        <stp/>
        <stp>##V3_BDPV12</stp>
        <stp/>
        <stp>DELAYED_TICK_STREAM_INDICATOR</stp>
        <stp>[XDF.xlsm]Zeros and Discounts!R94C9</stp>
        <tr r="I94" s="1"/>
      </tp>
      <tp t="s">
        <v>#N/A Invalid Security</v>
        <stp/>
        <stp>##V3_BDPV12</stp>
        <stp/>
        <stp>DELAYED_TICK_STREAM_INDICATOR</stp>
        <stp>[XDF.xlsm]Zeros and Discounts!R94C1</stp>
        <tr r="A94" s="1"/>
      </tp>
      <tp t="s">
        <v>13:08:34</v>
        <stp/>
        <stp>##V3_BDPV12</stp>
        <stp>S0193D 15Y BLC2 Curncy</stp>
        <stp>Last Update</stp>
        <stp>[XDF.xlsm]Zeros and Discounts!R81C15</stp>
        <tr r="O81" s="1"/>
      </tp>
      <tp t="s">
        <v>13:08:34</v>
        <stp/>
        <stp>##V3_BDPV12</stp>
        <stp>S0193D 25Q BLC2 Curncy</stp>
        <stp>Last Update</stp>
        <stp>[XDF.xlsm]Zeros and Discounts!R61C15</stp>
        <tr r="O61" s="1"/>
      </tp>
      <tp t="s">
        <v>13:08:34</v>
        <stp/>
        <stp>##V3_BDPV12</stp>
        <stp>S0193D 35Q BLC2 Curncy</stp>
        <stp>Last Update</stp>
        <stp>[XDF.xlsm]Zeros and Discounts!R71C15</stp>
        <tr r="O71" s="1"/>
      </tp>
      <tp t="s">
        <v>13:08:34</v>
        <stp/>
        <stp>##V3_BDPV12</stp>
        <stp>S0193D 15M BLC2 Curncy</stp>
        <stp>Last Update</stp>
        <stp>[XDF.xlsm]Zeros and Discounts!R41C15</stp>
        <tr r="O41" s="1"/>
      </tp>
      <tp t="s">
        <v>13:08:34</v>
        <stp/>
        <stp>##V3_BDPV12</stp>
        <stp>S0193D 45M BLC2 Curncy</stp>
        <stp>Last Update</stp>
        <stp>[XDF.xlsm]Zeros and Discounts!R51C15</stp>
        <tr r="O51" s="1"/>
      </tp>
      <tp t="s">
        <v>#N/A Invalid Security</v>
        <stp/>
        <stp>##V3_BDPV12</stp>
        <stp/>
        <stp>DELAYED_TICK_STREAM_INDICATOR</stp>
        <stp>[XDF.xlsm]Zeros and Discounts!R87C9</stp>
        <tr r="I87" s="1"/>
      </tp>
      <tp t="s">
        <v>#N/A Invalid Security</v>
        <stp/>
        <stp>##V3_BDPV12</stp>
        <stp/>
        <stp>DELAYED_TICK_STREAM_INDICATOR</stp>
        <stp>[XDF.xlsm]Zeros and Discounts!R97C9</stp>
        <tr r="I97" s="1"/>
      </tp>
      <tp t="s">
        <v>#N/A Invalid Security</v>
        <stp/>
        <stp>##V3_BDPV12</stp>
        <stp/>
        <stp>DELAYED_TICK_STREAM_INDICATOR</stp>
        <stp>[XDF.xlsm]Zeros and Discounts!R87C1</stp>
        <tr r="A87" s="1"/>
      </tp>
      <tp t="s">
        <v>#N/A Invalid Security</v>
        <stp/>
        <stp>##V3_BDPV12</stp>
        <stp/>
        <stp>DELAYED_TICK_STREAM_INDICATOR</stp>
        <stp>[XDF.xlsm]Zeros and Discounts!R97C1</stp>
        <tr r="A97" s="1"/>
      </tp>
      <tp t="s">
        <v>#N/A N/A</v>
        <stp/>
        <stp>##V3_BDPV12</stp>
        <stp>S0193D 16Y BLC2 Curncy</stp>
        <stp>Last Update</stp>
        <stp>[XDF.xlsm]Zeros and Discounts!R82C15</stp>
        <tr r="O82" s="1"/>
      </tp>
      <tp t="s">
        <v>13:08:34</v>
        <stp/>
        <stp>##V3_BDPV12</stp>
        <stp>S0193D 26Q BLC2 Curncy</stp>
        <stp>Last Update</stp>
        <stp>[XDF.xlsm]Zeros and Discounts!R62C15</stp>
        <tr r="O62" s="1"/>
      </tp>
      <tp t="s">
        <v>#N/A Invalid Security</v>
        <stp/>
        <stp>##V3_BDPV12</stp>
        <stp/>
        <stp>DELAYED_TICK_STREAM_INDICATOR</stp>
        <stp>[XDF.xlsm]Zeros and Discounts!R96C9</stp>
        <tr r="I96" s="1"/>
      </tp>
      <tp t="s">
        <v>#N/A Invalid Security</v>
        <stp/>
        <stp>##V3_BDPV12</stp>
        <stp/>
        <stp>DELAYED_TICK_STREAM_INDICATOR</stp>
        <stp>[XDF.xlsm]Zeros and Discounts!R96C1</stp>
        <tr r="A96" s="1"/>
      </tp>
      <tp t="s">
        <v>#N/A N/A</v>
        <stp/>
        <stp>##V3_BDPV12</stp>
        <stp>S0193D 17Y BLC2 Curncy</stp>
        <stp>Last Update</stp>
        <stp>[XDF.xlsm]Zeros and Discounts!R83C15</stp>
        <tr r="O83" s="1"/>
      </tp>
      <tp t="s">
        <v>13:08:34</v>
        <stp/>
        <stp>##V3_BDPV12</stp>
        <stp>S0193D 17Q BLC2 Curncy</stp>
        <stp>Last Update</stp>
        <stp>[XDF.xlsm]Zeros and Discounts!R53C15</stp>
        <tr r="O53" s="1"/>
      </tp>
      <tp t="s">
        <v>13:08:34</v>
        <stp/>
        <stp>##V3_BDPV12</stp>
        <stp>S0193D 27Q BLC2 Curncy</stp>
        <stp>Last Update</stp>
        <stp>[XDF.xlsm]Zeros and Discounts!R63C15</stp>
        <tr r="O63" s="1"/>
      </tp>
      <tp t="s">
        <v>13:08:34</v>
        <stp/>
        <stp>##V3_BDPV12</stp>
        <stp>S0193D 37Q BLC2 Curncy</stp>
        <stp>Last Update</stp>
        <stp>[XDF.xlsm]Zeros and Discounts!R73C15</stp>
        <tr r="O73" s="1"/>
      </tp>
      <tp t="s">
        <v>13:08:34</v>
        <stp/>
        <stp>##V3_BDPV12</stp>
        <stp>S0193D 27M BLC2 Curncy</stp>
        <stp>Last Update</stp>
        <stp>[XDF.xlsm]Zeros and Discounts!R45C15</stp>
        <tr r="O45" s="1"/>
      </tp>
      <tp t="s">
        <v>#N/A Invalid Security</v>
        <stp/>
        <stp>##V3_BDPV12</stp>
        <stp/>
        <stp>DELAYED_TICK_STREAM_INDICATOR</stp>
        <stp>[XDF.xlsm]Zeros and Discounts!R89C9</stp>
        <tr r="I89" s="1"/>
      </tp>
      <tp t="s">
        <v>#N/A Invalid Security</v>
        <stp/>
        <stp>##V3_BDPV12</stp>
        <stp/>
        <stp>DELAYED_TICK_STREAM_INDICATOR</stp>
        <stp>[XDF.xlsm]Zeros and Discounts!R99C9</stp>
        <tr r="I99" s="1"/>
      </tp>
      <tp t="s">
        <v>#N/A Invalid Security</v>
        <stp/>
        <stp>##V3_BDPV12</stp>
        <stp/>
        <stp>DELAYED_TICK_STREAM_INDICATOR</stp>
        <stp>[XDF.xlsm]Zeros and Discounts!R89C1</stp>
        <tr r="A89" s="1"/>
      </tp>
      <tp t="s">
        <v>#N/A Invalid Security</v>
        <stp/>
        <stp>##V3_BDPV12</stp>
        <stp/>
        <stp>DELAYED_TICK_STREAM_INDICATOR</stp>
        <stp>[XDF.xlsm]Zeros and Discounts!R99C1</stp>
        <tr r="A99" s="1"/>
      </tp>
      <tp t="s">
        <v>#N/A N/A</v>
        <stp/>
        <stp>##V3_BDPV12</stp>
        <stp>S0193D 18Y BLC2 Curncy</stp>
        <stp>Last Update</stp>
        <stp>[XDF.xlsm]Zeros and Discounts!R84C15</stp>
        <tr r="O84" s="1"/>
      </tp>
      <tp t="s">
        <v>13:08:34</v>
        <stp/>
        <stp>##V3_BDPV12</stp>
        <stp>S0193D 18Q BLC2 Curncy</stp>
        <stp>Last Update</stp>
        <stp>[XDF.xlsm]Zeros and Discounts!R54C15</stp>
        <tr r="O54" s="1"/>
      </tp>
      <tp t="s">
        <v>13:08:34</v>
        <stp/>
        <stp>##V3_BDPV12</stp>
        <stp>S0193D 38Q BLC2 Curncy</stp>
        <stp>Last Update</stp>
        <stp>[XDF.xlsm]Zeros and Discounts!R74C15</stp>
        <tr r="O74" s="1"/>
      </tp>
      <tp t="s">
        <v>13:08:34</v>
        <stp/>
        <stp>##V3_BDPV12</stp>
        <stp>S0193D 18M BLC2 Curncy</stp>
        <stp>Last Update</stp>
        <stp>[XDF.xlsm]Zeros and Discounts!R42C15</stp>
        <tr r="O42" s="1"/>
      </tp>
      <tp t="s">
        <v>#N/A Invalid Security</v>
        <stp/>
        <stp>##V3_BDPV12</stp>
        <stp/>
        <stp>DELAYED_TICK_STREAM_INDICATOR</stp>
        <stp>[XDF.xlsm]Zeros and Discounts!R88C9</stp>
        <tr r="I88" s="1"/>
      </tp>
      <tp t="s">
        <v>#N/A Invalid Security</v>
        <stp/>
        <stp>##V3_BDPV12</stp>
        <stp/>
        <stp>DELAYED_TICK_STREAM_INDICATOR</stp>
        <stp>[XDF.xlsm]Zeros and Discounts!R98C9</stp>
        <tr r="I98" s="1"/>
      </tp>
      <tp t="s">
        <v>#N/A Invalid Security</v>
        <stp/>
        <stp>##V3_BDPV12</stp>
        <stp/>
        <stp>DELAYED_TICK_STREAM_INDICATOR</stp>
        <stp>[XDF.xlsm]Zeros and Discounts!R88C1</stp>
        <tr r="A88" s="1"/>
      </tp>
      <tp t="s">
        <v>#N/A Invalid Security</v>
        <stp/>
        <stp>##V3_BDPV12</stp>
        <stp/>
        <stp>DELAYED_TICK_STREAM_INDICATOR</stp>
        <stp>[XDF.xlsm]Zeros and Discounts!R98C1</stp>
        <tr r="A98" s="1"/>
      </tp>
      <tp t="s">
        <v>#N/A N/A</v>
        <stp/>
        <stp>##V3_BDPV12</stp>
        <stp>S0193D 19Y BLC2 Curncy</stp>
        <stp>Last Update</stp>
        <stp>[XDF.xlsm]Zeros and Discounts!R85C15</stp>
        <tr r="O85" s="1"/>
      </tp>
      <tp t="s">
        <v>13:08:34</v>
        <stp/>
        <stp>##V3_BDPV12</stp>
        <stp>S0193D 19Q BLC2 Curncy</stp>
        <stp>Last Update</stp>
        <stp>[XDF.xlsm]Zeros and Discounts!R55C15</stp>
        <tr r="O55" s="1"/>
      </tp>
      <tp t="s">
        <v>13:08:34</v>
        <stp/>
        <stp>##V3_BDPV12</stp>
        <stp>S0193D 29Q BLC2 Curncy</stp>
        <stp>Last Update</stp>
        <stp>[XDF.xlsm]Zeros and Discounts!R65C15</stp>
        <tr r="O65" s="1"/>
      </tp>
      <tp t="s">
        <v>13:08:34</v>
        <stp/>
        <stp>##V3_BDPV12</stp>
        <stp>S0193D 39Q BLC2 Curncy</stp>
        <stp>Last Update</stp>
        <stp>[XDF.xlsm]Zeros and Discounts!R75C15</stp>
        <tr r="O75" s="1"/>
      </tp>
      <tp t="s">
        <v>13:08:34</v>
        <stp/>
        <stp>##V3_BDPV12</stp>
        <stp>S0193D 39M BLC2 Curncy</stp>
        <stp>Last Update</stp>
        <stp>[XDF.xlsm]Zeros and Discounts!R49C15</stp>
        <tr r="O49" s="1"/>
      </tp>
      <tp t="s">
        <v>21-12-2023</v>
        <stp/>
        <stp>##V3_BDPV12</stp>
        <stp>S0193D 5Y BLC2 Curncy</stp>
        <stp>Maturity</stp>
        <stp>[XDF.xlsm]Zeros and Discounts!R56C14</stp>
        <tr r="N56" s="1"/>
      </tp>
      <tp t="s">
        <v>21-12-2022</v>
        <stp/>
        <stp>##V3_BDPV12</stp>
        <stp>S0193D 4Y BLC2 Curncy</stp>
        <stp>Maturity</stp>
        <stp>[XDF.xlsm]Zeros and Discounts!R52C14</stp>
        <tr r="N52" s="1"/>
      </tp>
      <tp t="s">
        <v>21-12-2021</v>
        <stp/>
        <stp>##V3_BDPV12</stp>
        <stp>S0193D 3Y BLC2 Curncy</stp>
        <stp>Maturity</stp>
        <stp>[XDF.xlsm]Zeros and Discounts!R48C14</stp>
        <tr r="N48" s="1"/>
      </tp>
      <tp t="s">
        <v>23-12-2019</v>
        <stp/>
        <stp>##V3_BDPV12</stp>
        <stp>S0193D 1Y BLC2 Curncy</stp>
        <stp>Maturity</stp>
        <stp>[XDF.xlsm]Zeros and Discounts!R40C14</stp>
        <tr r="N40" s="1"/>
      </tp>
      <tp t="s">
        <v>21-12-2020</v>
        <stp/>
        <stp>##V3_BDPV12</stp>
        <stp>S0193D 2Y BLC2 Curncy</stp>
        <stp>Maturity</stp>
        <stp>[XDF.xlsm]Zeros and Discounts!R44C14</stp>
        <tr r="N44" s="1"/>
      </tp>
      <tp t="s">
        <v>21-12-2027</v>
        <stp/>
        <stp>##V3_BDPV12</stp>
        <stp>S0193D 9Y BLC2 Curncy</stp>
        <stp>Maturity</stp>
        <stp>[XDF.xlsm]Zeros and Discounts!R72C14</stp>
        <tr r="N72" s="1"/>
      </tp>
      <tp t="s">
        <v>22-12-2025</v>
        <stp/>
        <stp>##V3_BDPV12</stp>
        <stp>S0193D 7Y BLC2 Curncy</stp>
        <stp>Maturity</stp>
        <stp>[XDF.xlsm]Zeros and Discounts!R64C14</stp>
        <tr r="N64" s="1"/>
      </tp>
      <tp t="s">
        <v>21-12-2026</v>
        <stp/>
        <stp>##V3_BDPV12</stp>
        <stp>S0193D 8Y BLC2 Curncy</stp>
        <stp>Maturity</stp>
        <stp>[XDF.xlsm]Zeros and Discounts!R68C14</stp>
        <tr r="N68" s="1"/>
      </tp>
      <tp t="s">
        <v>23-12-2024</v>
        <stp/>
        <stp>##V3_BDPV12</stp>
        <stp>S0193D 6Y BLC2 Curncy</stp>
        <stp>Maturity</stp>
        <stp>[XDF.xlsm]Zeros and Discounts!R60C14</stp>
        <tr r="N60" s="1"/>
      </tp>
      <tp>
        <v>0.97994999999999999</v>
        <stp/>
        <stp>##V3_BDPV12</stp>
        <stp>S0193D 8M BLC2 Curncy</stp>
        <stp>Px Ask</stp>
        <stp>[XDF.xlsm]Zeros and Discounts!R35C13</stp>
        <tr r="M35" s="1"/>
      </tp>
      <tp>
        <v>0.72062700000000002</v>
        <stp/>
        <stp>##V3_BDPV12</stp>
        <stp>S0193D 8Y BLC2 Curncy</stp>
        <stp>Px Ask</stp>
        <stp>[XDF.xlsm]Zeros and Discounts!R68C13</stp>
        <tr r="M68" s="1"/>
      </tp>
      <tp>
        <v>0.97698099999999999</v>
        <stp/>
        <stp>##V3_BDPV12</stp>
        <stp>S0193D 9M BLC2 Curncy</stp>
        <stp>Px Ask</stp>
        <stp>[XDF.xlsm]Zeros and Discounts!R36C13</stp>
        <tr r="M36" s="1"/>
      </tp>
      <tp>
        <v>0.68731399999999998</v>
        <stp/>
        <stp>##V3_BDPV12</stp>
        <stp>S0193D 9Y BLC2 Curncy</stp>
        <stp>Px Ask</stp>
        <stp>[XDF.xlsm]Zeros and Discounts!R72C13</stp>
        <tr r="M72" s="1"/>
      </tp>
      <tp>
        <v>0.99975999999999998</v>
        <stp/>
        <stp>##V3_BDPV12</stp>
        <stp>S0193D 1D BLC2 Curncy</stp>
        <stp>Px Ask</stp>
        <stp>[XDF.xlsm]Zeros and Discounts!R21C13</stp>
        <tr r="M21" s="1"/>
      </tp>
      <tp>
        <v>0.99308399999999997</v>
        <stp/>
        <stp>##V3_BDPV12</stp>
        <stp>S0193D 1I BLC2 Curncy</stp>
        <stp>Px Ask</stp>
        <stp>[XDF.xlsm]Zeros and Discounts!R25C13</stp>
        <tr r="M25" s="1"/>
      </tp>
      <tp>
        <v>0.997525</v>
        <stp/>
        <stp>##V3_BDPV12</stp>
        <stp>S0193D 1M BLC2 Curncy</stp>
        <stp>Px Ask</stp>
        <stp>[XDF.xlsm]Zeros and Discounts!R26C13</stp>
        <tr r="M26" s="1"/>
      </tp>
      <tp>
        <v>0.99944</v>
        <stp/>
        <stp>##V3_BDPV12</stp>
        <stp>S0193D 1W BLC2 Curncy</stp>
        <stp>Px Ask</stp>
        <stp>[XDF.xlsm]Zeros and Discounts!R23C13</stp>
        <tr r="M23" s="1"/>
      </tp>
      <tp>
        <v>0.96883900000000001</v>
        <stp/>
        <stp>##V3_BDPV12</stp>
        <stp>S0193D 1Y BLC2 Curncy</stp>
        <stp>Px Ask</stp>
        <stp>[XDF.xlsm]Zeros and Discounts!R40C13</stp>
        <tr r="M40" s="1"/>
      </tp>
      <tp>
        <v>0.99975999999999998</v>
        <stp/>
        <stp>##V3_BDPV12</stp>
        <stp>S0193D 2D BLC2 Curncy</stp>
        <stp>Px Ask</stp>
        <stp>[XDF.xlsm]Zeros and Discounts!R22C13</stp>
        <tr r="M22" s="1"/>
      </tp>
      <tp>
        <v>0.98562300000000003</v>
        <stp/>
        <stp>##V3_BDPV12</stp>
        <stp>S0193D 2I BLC2 Curncy</stp>
        <stp>Px Ask</stp>
        <stp>[XDF.xlsm]Zeros and Discounts!R29C13</stp>
        <tr r="M29" s="1"/>
      </tp>
      <tp>
        <v>0.995062</v>
        <stp/>
        <stp>##V3_BDPV12</stp>
        <stp>S0193D 2M BLC2 Curncy</stp>
        <stp>Px Ask</stp>
        <stp>[XDF.xlsm]Zeros and Discounts!R27C13</stp>
        <tr r="M27" s="1"/>
      </tp>
      <tp>
        <v>0.99888100000000002</v>
        <stp/>
        <stp>##V3_BDPV12</stp>
        <stp>S0193D 2W BLC2 Curncy</stp>
        <stp>Px Ask</stp>
        <stp>[XDF.xlsm]Zeros and Discounts!R24C13</stp>
        <tr r="M24" s="1"/>
      </tp>
      <tp>
        <v>0.93372999999999995</v>
        <stp/>
        <stp>##V3_BDPV12</stp>
        <stp>S0193D 2Y BLC2 Curncy</stp>
        <stp>Px Ask</stp>
        <stp>[XDF.xlsm]Zeros and Discounts!R44C13</stp>
        <tr r="M44" s="1"/>
      </tp>
      <tp>
        <v>0.97761500000000001</v>
        <stp/>
        <stp>##V3_BDPV12</stp>
        <stp>S0193D 3I BLC2 Curncy</stp>
        <stp>Px Ask</stp>
        <stp>[XDF.xlsm]Zeros and Discounts!R33C13</stp>
        <tr r="M33" s="1"/>
      </tp>
      <tp>
        <v>0.99284700000000004</v>
        <stp/>
        <stp>##V3_BDPV12</stp>
        <stp>S0193D 3M BLC2 Curncy</stp>
        <stp>Px Ask</stp>
        <stp>[XDF.xlsm]Zeros and Discounts!R28C13</stp>
        <tr r="M28" s="1"/>
      </tp>
      <tp>
        <v>0.89717499999999994</v>
        <stp/>
        <stp>##V3_BDPV12</stp>
        <stp>S0193D 3Y BLC2 Curncy</stp>
        <stp>Px Ask</stp>
        <stp>[XDF.xlsm]Zeros and Discounts!R48C13</stp>
        <tr r="M48" s="1"/>
      </tp>
      <tp>
        <v>0.96947399999999995</v>
        <stp/>
        <stp>##V3_BDPV12</stp>
        <stp>S0193D 4I BLC2 Curncy</stp>
        <stp>Px Ask</stp>
        <stp>[XDF.xlsm]Zeros and Discounts!R37C13</stp>
        <tr r="M37" s="1"/>
      </tp>
      <tp>
        <v>0.99024599999999996</v>
        <stp/>
        <stp>##V3_BDPV12</stp>
        <stp>S0193D 4M BLC2 Curncy</stp>
        <stp>Px Ask</stp>
        <stp>[XDF.xlsm]Zeros and Discounts!R30C13</stp>
        <tr r="M30" s="1"/>
      </tp>
      <tp>
        <v>0.86068699999999998</v>
        <stp/>
        <stp>##V3_BDPV12</stp>
        <stp>S0193D 4Y BLC2 Curncy</stp>
        <stp>Px Ask</stp>
        <stp>[XDF.xlsm]Zeros and Discounts!R52C13</stp>
        <tr r="M52" s="1"/>
      </tp>
      <tp>
        <v>0.98777999999999999</v>
        <stp/>
        <stp>##V3_BDPV12</stp>
        <stp>S0193D 5M BLC2 Curncy</stp>
        <stp>Px Ask</stp>
        <stp>[XDF.xlsm]Zeros and Discounts!R31C13</stp>
        <tr r="M31" s="1"/>
      </tp>
      <tp>
        <v>0.82455299999999998</v>
        <stp/>
        <stp>##V3_BDPV12</stp>
        <stp>S0193D 5Y BLC2 Curncy</stp>
        <stp>Px Ask</stp>
        <stp>[XDF.xlsm]Zeros and Discounts!R56C13</stp>
        <tr r="M56" s="1"/>
      </tp>
      <tp t="s">
        <v>21-12-2038</v>
        <stp/>
        <stp>##V3_BDPV12</stp>
        <stp>S0193D 20Y BLC2 Curncy</stp>
        <stp>Maturity</stp>
        <stp>[XDF.xlsm]Zeros and Discounts!R86C14</stp>
        <tr r="N86" s="1"/>
      </tp>
      <tp t="s">
        <v>22-12-2036</v>
        <stp/>
        <stp>##V3_BDPV12</stp>
        <stp>S0193D 18Y BLC2 Curncy</stp>
        <stp>Maturity</stp>
        <stp>[XDF.xlsm]Zeros and Discounts!R84C14</stp>
        <tr r="N84" s="1"/>
      </tp>
      <tp t="s">
        <v>21-12-2037</v>
        <stp/>
        <stp>##V3_BDPV12</stp>
        <stp>S0193D 19Y BLC2 Curncy</stp>
        <stp>Maturity</stp>
        <stp>[XDF.xlsm]Zeros and Discounts!R85C14</stp>
        <tr r="N85" s="1"/>
      </tp>
      <tp t="s">
        <v>21-12-2032</v>
        <stp/>
        <stp>##V3_BDPV12</stp>
        <stp>S0193D 14Y BLC2 Curncy</stp>
        <stp>Maturity</stp>
        <stp>[XDF.xlsm]Zeros and Discounts!R80C14</stp>
        <tr r="N80" s="1"/>
      </tp>
      <tp t="s">
        <v>21-12-2033</v>
        <stp/>
        <stp>##V3_BDPV12</stp>
        <stp>S0193D 15Y BLC2 Curncy</stp>
        <stp>Maturity</stp>
        <stp>[XDF.xlsm]Zeros and Discounts!R81C14</stp>
        <tr r="N81" s="1"/>
      </tp>
      <tp t="s">
        <v>21-12-2034</v>
        <stp/>
        <stp>##V3_BDPV12</stp>
        <stp>S0193D 16Y BLC2 Curncy</stp>
        <stp>Maturity</stp>
        <stp>[XDF.xlsm]Zeros and Discounts!R82C14</stp>
        <tr r="N82" s="1"/>
      </tp>
      <tp t="s">
        <v>21-12-2035</v>
        <stp/>
        <stp>##V3_BDPV12</stp>
        <stp>S0193D 17Y BLC2 Curncy</stp>
        <stp>Maturity</stp>
        <stp>[XDF.xlsm]Zeros and Discounts!R83C14</stp>
        <tr r="N83" s="1"/>
      </tp>
      <tp t="s">
        <v>23-12-2030</v>
        <stp/>
        <stp>##V3_BDPV12</stp>
        <stp>S0193D 12Y BLC2 Curncy</stp>
        <stp>Maturity</stp>
        <stp>[XDF.xlsm]Zeros and Discounts!R78C14</stp>
        <tr r="N78" s="1"/>
      </tp>
      <tp t="s">
        <v>22-12-2031</v>
        <stp/>
        <stp>##V3_BDPV12</stp>
        <stp>S0193D 13Y BLC2 Curncy</stp>
        <stp>Maturity</stp>
        <stp>[XDF.xlsm]Zeros and Discounts!R79C14</stp>
        <tr r="N79" s="1"/>
      </tp>
      <tp t="s">
        <v>21-12-2028</v>
        <stp/>
        <stp>##V3_BDPV12</stp>
        <stp>S0193D 10Y BLC2 Curncy</stp>
        <stp>Maturity</stp>
        <stp>[XDF.xlsm]Zeros and Discounts!R76C14</stp>
        <tr r="N76" s="1"/>
      </tp>
      <tp t="s">
        <v>21-12-2029</v>
        <stp/>
        <stp>##V3_BDPV12</stp>
        <stp>S0193D 11Y BLC2 Curncy</stp>
        <stp>Maturity</stp>
        <stp>[XDF.xlsm]Zeros and Discounts!R77C14</stp>
        <tr r="N77" s="1"/>
      </tp>
      <tp>
        <v>0.98528899999999997</v>
        <stp/>
        <stp>##V3_BDPV12</stp>
        <stp>S0193D 6M BLC2 Curncy</stp>
        <stp>Px Ask</stp>
        <stp>[XDF.xlsm]Zeros and Discounts!R32C13</stp>
        <tr r="M32" s="1"/>
      </tp>
      <tp>
        <v>0.78976199999999996</v>
        <stp/>
        <stp>##V3_BDPV12</stp>
        <stp>S0193D 6Y BLC2 Curncy</stp>
        <stp>Px Ask</stp>
        <stp>[XDF.xlsm]Zeros and Discounts!R60C13</stp>
        <tr r="M60" s="1"/>
      </tp>
      <tp>
        <v>0.98260099999999995</v>
        <stp/>
        <stp>##V3_BDPV12</stp>
        <stp>S0193D 7M BLC2 Curncy</stp>
        <stp>Px Ask</stp>
        <stp>[XDF.xlsm]Zeros and Discounts!R34C13</stp>
        <tr r="M34" s="1"/>
      </tp>
      <tp>
        <v>0.75513200000000003</v>
        <stp/>
        <stp>##V3_BDPV12</stp>
        <stp>S0193D 7Y BLC2 Curncy</stp>
        <stp>Px Ask</stp>
        <stp>[XDF.xlsm]Zeros and Discounts!R64C13</stp>
        <tr r="M64" s="1"/>
      </tp>
    </main>
    <main first="bloomberg.rtd">
      <tp>
        <v>4.01431</v>
        <stp/>
        <stp>##V3_BDPV12</stp>
        <stp>S0193Z 29Q BLC2 Curncy</stp>
        <stp>Px Ask</stp>
        <stp>[XDF.xlsm]Zeros and Discounts!R65C6</stp>
        <tr r="F65" s="1"/>
      </tp>
      <tp>
        <v>3.45444</v>
        <stp/>
        <stp>##V3_BDPV12</stp>
        <stp>S0193Z 27M BLC2 Curncy</stp>
        <stp>Px Ask</stp>
        <stp>[XDF.xlsm]Zeros and Discounts!R45C6</stp>
        <tr r="F45" s="1"/>
      </tp>
      <tp>
        <v>4.2111599999999996</v>
        <stp/>
        <stp>##V3_BDPV12</stp>
        <stp>S0193Z 39Q BLC2 Curncy</stp>
        <stp>Px Ask</stp>
        <stp>[XDF.xlsm]Zeros and Discounts!R75C6</stp>
        <tr r="F75" s="1"/>
      </tp>
      <tp>
        <v>3.8136199999999998</v>
        <stp/>
        <stp>##V3_BDPV12</stp>
        <stp>S0193Z 19Q BLC2 Curncy</stp>
        <stp>Px Ask</stp>
        <stp>[XDF.xlsm]Zeros and Discounts!R55C6</stp>
        <tr r="F55" s="1"/>
      </tp>
      <tp t="s">
        <v>#N/A N/A</v>
        <stp/>
        <stp>##V3_BDPV12</stp>
        <stp>S0193Z 19Y BLC2 Curncy</stp>
        <stp>Px Ask</stp>
        <stp>[XDF.xlsm]Zeros and Discounts!R85C6</stp>
        <tr r="F85" s="1"/>
      </tp>
      <tp>
        <v>4.19102</v>
        <stp/>
        <stp>##V3_BDPV12</stp>
        <stp>S0193Z 38Q BLC2 Curncy</stp>
        <stp>Px Ask</stp>
        <stp>[XDF.xlsm]Zeros and Discounts!R74C6</stp>
        <tr r="F74" s="1"/>
      </tp>
      <tp>
        <v>3.7865700000000002</v>
        <stp/>
        <stp>##V3_BDPV12</stp>
        <stp>S0193Z 18Q BLC2 Curncy</stp>
        <stp>Px Ask</stp>
        <stp>[XDF.xlsm]Zeros and Discounts!R54C6</stp>
        <tr r="F54" s="1"/>
      </tp>
      <tp t="s">
        <v>#N/A N/A</v>
        <stp/>
        <stp>##V3_BDPV12</stp>
        <stp>S0193Z 18Y BLC2 Curncy</stp>
        <stp>Px Ask</stp>
        <stp>[XDF.xlsm]Zeros and Discounts!R84C6</stp>
        <tr r="F84" s="1"/>
      </tp>
      <tp>
        <v>3.8579500000000002</v>
        <stp/>
        <stp>##V3_BDPV12</stp>
        <stp>S0193Z 21Q BLC2 Curncy</stp>
        <stp>Px Ask</stp>
        <stp>[XDF.xlsm]Zeros and Discounts!R57C6</stp>
        <tr r="F57" s="1"/>
      </tp>
      <tp>
        <v>4.0570599999999999</v>
        <stp/>
        <stp>##V3_BDPV12</stp>
        <stp>S0193Z 31Q BLC2 Curncy</stp>
        <stp>Px Ask</stp>
        <stp>[XDF.xlsm]Zeros and Discounts!R67C6</stp>
        <tr r="F67" s="1"/>
      </tp>
      <tp>
        <v>3.5499299999999998</v>
        <stp/>
        <stp>##V3_BDPV12</stp>
        <stp>S0193Z 33M BLC2 Curncy</stp>
        <stp>Px Ask</stp>
        <stp>[XDF.xlsm]Zeros and Discounts!R47C6</stp>
        <tr r="F47" s="1"/>
      </tp>
      <tp t="s">
        <v>#N/A N/A</v>
        <stp/>
        <stp>##V3_BDPV12</stp>
        <stp>S0193Z 11Y BLC2 Curncy</stp>
        <stp>Px Ask</stp>
        <stp>[XDF.xlsm]Zeros and Discounts!R77C6</stp>
        <tr r="F77" s="1"/>
      </tp>
      <tp>
        <v>4.5213099999999997</v>
        <stp/>
        <stp>##V3_BDPV12</stp>
        <stp>S0193Z 20Y BLC2 Curncy</stp>
        <stp>Px Ask</stp>
        <stp>[XDF.xlsm]Zeros and Discounts!R86C6</stp>
        <tr r="F86" s="1"/>
      </tp>
      <tp>
        <v>3.5024099999999998</v>
        <stp/>
        <stp>##V3_BDPV12</stp>
        <stp>S0193Z 30M BLC2 Curncy</stp>
        <stp>Px Ask</stp>
        <stp>[XDF.xlsm]Zeros and Discounts!R46C6</stp>
        <tr r="F46" s="1"/>
      </tp>
      <tp>
        <v>4.0359800000000003</v>
        <stp/>
        <stp>##V3_BDPV12</stp>
        <stp>S0193Z 30Q BLC2 Curncy</stp>
        <stp>Px Ask</stp>
        <stp>[XDF.xlsm]Zeros and Discounts!R66C6</stp>
        <tr r="F66" s="1"/>
      </tp>
      <tp>
        <v>4.23048</v>
        <stp/>
        <stp>##V3_BDPV12</stp>
        <stp>S0193Z 10Y BLC2 Curncy</stp>
        <stp>Px Ask</stp>
        <stp>[XDF.xlsm]Zeros and Discounts!R76C6</stp>
        <tr r="F76" s="1"/>
      </tp>
      <tp>
        <v>3.9310299999999998</v>
        <stp/>
        <stp>##V3_BDPV12</stp>
        <stp>S0193Z 25Q BLC2 Curncy</stp>
        <stp>Px Ask</stp>
        <stp>[XDF.xlsm]Zeros and Discounts!R61C6</stp>
        <tr r="F61" s="1"/>
      </tp>
      <tp>
        <v>4.1320800000000002</v>
        <stp/>
        <stp>##V3_BDPV12</stp>
        <stp>S0193Z 35Q BLC2 Curncy</stp>
        <stp>Px Ask</stp>
        <stp>[XDF.xlsm]Zeros and Discounts!R71C6</stp>
        <tr r="F71" s="1"/>
      </tp>
      <tp>
        <v>3.2497099999999999</v>
        <stp/>
        <stp>##V3_BDPV12</stp>
        <stp>S0193Z 15M BLC2 Curncy</stp>
        <stp>Px Ask</stp>
        <stp>[XDF.xlsm]Zeros and Discounts!R41C6</stp>
        <tr r="F41" s="1"/>
      </tp>
      <tp>
        <v>4.3954399999999998</v>
        <stp/>
        <stp>##V3_BDPV12</stp>
        <stp>S0193Z 15Y BLC2 Curncy</stp>
        <stp>Px Ask</stp>
        <stp>[XDF.xlsm]Zeros and Discounts!R81C6</stp>
        <tr r="F81" s="1"/>
      </tp>
      <tp>
        <v>3.6985299999999999</v>
        <stp/>
        <stp>##V3_BDPV12</stp>
        <stp>S0193Z 45M BLC2 Curncy</stp>
        <stp>Px Ask</stp>
        <stp>[XDF.xlsm]Zeros and Discounts!R51C6</stp>
        <tr r="F51" s="1"/>
      </tp>
      <tp>
        <v>4.1143099999999997</v>
        <stp/>
        <stp>##V3_BDPV12</stp>
        <stp>S0193Z 34Q BLC2 Curncy</stp>
        <stp>Px Ask</stp>
        <stp>[XDF.xlsm]Zeros and Discounts!R70C6</stp>
        <tr r="F70" s="1"/>
      </tp>
      <tp t="s">
        <v>#N/A N/A</v>
        <stp/>
        <stp>##V3_BDPV12</stp>
        <stp>S0193Z 14Y BLC2 Curncy</stp>
        <stp>Px Ask</stp>
        <stp>[XDF.xlsm]Zeros and Discounts!R80C6</stp>
        <tr r="F80" s="1"/>
      </tp>
      <tp>
        <v>3.6648499999999999</v>
        <stp/>
        <stp>##V3_BDPV12</stp>
        <stp>S0193Z 42M BLC2 Curncy</stp>
        <stp>Px Ask</stp>
        <stp>[XDF.xlsm]Zeros and Discounts!R50C6</stp>
        <tr r="F50" s="1"/>
      </tp>
      <tp>
        <v>3.9724699999999999</v>
        <stp/>
        <stp>##V3_BDPV12</stp>
        <stp>S0193Z 27Q BLC2 Curncy</stp>
        <stp>Px Ask</stp>
        <stp>[XDF.xlsm]Zeros and Discounts!R63C6</stp>
        <tr r="F63" s="1"/>
      </tp>
      <tp>
        <v>3.3476300000000001</v>
        <stp/>
        <stp>##V3_BDPV12</stp>
        <stp>S0193Z 21M BLC2 Curncy</stp>
        <stp>Px Ask</stp>
        <stp>[XDF.xlsm]Zeros and Discounts!R43C6</stp>
        <tr r="F43" s="1"/>
      </tp>
      <tp>
        <v>4.17028</v>
        <stp/>
        <stp>##V3_BDPV12</stp>
        <stp>S0193Z 37Q BLC2 Curncy</stp>
        <stp>Px Ask</stp>
        <stp>[XDF.xlsm]Zeros and Discounts!R73C6</stp>
        <tr r="F73" s="1"/>
      </tp>
      <tp>
        <v>3.7588599999999999</v>
        <stp/>
        <stp>##V3_BDPV12</stp>
        <stp>S0193Z 17Q BLC2 Curncy</stp>
        <stp>Px Ask</stp>
        <stp>[XDF.xlsm]Zeros and Discounts!R53C6</stp>
        <tr r="F53" s="1"/>
      </tp>
      <tp t="s">
        <v>#N/A N/A</v>
        <stp/>
        <stp>##V3_BDPV12</stp>
        <stp>S0193Z 17Y BLC2 Curncy</stp>
        <stp>Px Ask</stp>
        <stp>[XDF.xlsm]Zeros and Discounts!R83C6</stp>
        <tr r="F83" s="1"/>
      </tp>
      <tp>
        <v>3.9523700000000002</v>
        <stp/>
        <stp>##V3_BDPV12</stp>
        <stp>S0193Z 26Q BLC2 Curncy</stp>
        <stp>Px Ask</stp>
        <stp>[XDF.xlsm]Zeros and Discounts!R62C6</stp>
        <tr r="F62" s="1"/>
      </tp>
      <tp>
        <v>3.3443900000000002</v>
        <stp/>
        <stp>##V3_BDPV12</stp>
        <stp>S0193Z 18M BLC2 Curncy</stp>
        <stp>Px Ask</stp>
        <stp>[XDF.xlsm]Zeros and Discounts!R42C6</stp>
        <tr r="F42" s="1"/>
      </tp>
      <tp t="s">
        <v>#N/A N/A</v>
        <stp/>
        <stp>##V3_BDPV12</stp>
        <stp>S0193Z 16Y BLC2 Curncy</stp>
        <stp>Px Ask</stp>
        <stp>[XDF.xlsm]Zeros and Discounts!R82C6</stp>
        <tr r="F82" s="1"/>
      </tp>
      <tp>
        <v>3.8937200000000001</v>
        <stp/>
        <stp>##V3_BDPV12</stp>
        <stp>S0193Z 23Q BLC2 Curncy</stp>
        <stp>Px Ask</stp>
        <stp>[XDF.xlsm]Zeros and Discounts!R59C6</stp>
        <tr r="F59" s="1"/>
      </tp>
      <tp>
        <v>3.6303999999999998</v>
        <stp/>
        <stp>##V3_BDPV12</stp>
        <stp>S0193Z 39M BLC2 Curncy</stp>
        <stp>Px Ask</stp>
        <stp>[XDF.xlsm]Zeros and Discounts!R49C6</stp>
        <tr r="F49" s="1"/>
      </tp>
      <tp>
        <v>4.0961999999999996</v>
        <stp/>
        <stp>##V3_BDPV12</stp>
        <stp>S0193Z 33Q BLC2 Curncy</stp>
        <stp>Px Ask</stp>
        <stp>[XDF.xlsm]Zeros and Discounts!R69C6</stp>
        <tr r="F69" s="1"/>
      </tp>
      <tp>
        <v>3.1262799999999999</v>
        <stp/>
        <stp>##V3_BDPV12</stp>
        <stp>S0193Z 11M BLC2 Curncy</stp>
        <stp>Px Ask</stp>
        <stp>[XDF.xlsm]Zeros and Discounts!R39C6</stp>
        <tr r="F39" s="1"/>
      </tp>
      <tp t="s">
        <v>#N/A N/A</v>
        <stp/>
        <stp>##V3_BDPV12</stp>
        <stp>S0193Z 13Y BLC2 Curncy</stp>
        <stp>Px Ask</stp>
        <stp>[XDF.xlsm]Zeros and Discounts!R79C6</stp>
        <tr r="F79" s="1"/>
      </tp>
      <tp>
        <v>3.8758900000000001</v>
        <stp/>
        <stp>##V3_BDPV12</stp>
        <stp>S0193Z 22Q BLC2 Curncy</stp>
        <stp>Px Ask</stp>
        <stp>[XDF.xlsm]Zeros and Discounts!R58C6</stp>
        <tr r="F58" s="1"/>
      </tp>
      <tp>
        <v>3.09842</v>
        <stp/>
        <stp>##V3_BDPV12</stp>
        <stp>S0193Z 10M BLC2 Curncy</stp>
        <stp>Px Ask</stp>
        <stp>[XDF.xlsm]Zeros and Discounts!R38C6</stp>
        <tr r="F38" s="1"/>
      </tp>
      <tp t="s">
        <v>#N/A N/A</v>
        <stp/>
        <stp>##V3_BDPV12</stp>
        <stp>S0193Z 12Y BLC2 Curncy</stp>
        <stp>Px Ask</stp>
        <stp>[XDF.xlsm]Zeros and Discounts!R78C6</stp>
        <tr r="F78" s="1"/>
      </tp>
      <tp t="s">
        <v>13:08:34</v>
        <stp/>
        <stp>##V3_BDPV12</stp>
        <stp>S0193Z 10M BLC2 Curncy</stp>
        <stp>Last Update</stp>
        <stp>[XDF.xlsm]Zeros and Discounts!R38C8</stp>
        <tr r="H38" s="1"/>
      </tp>
      <tp t="s">
        <v>#N/A N/A</v>
        <stp/>
        <stp>##V3_BDPV12</stp>
        <stp>S0193Z 12Y BLC2 Curncy</stp>
        <stp>Last Update</stp>
        <stp>[XDF.xlsm]Zeros and Discounts!R78C8</stp>
        <tr r="H78" s="1"/>
      </tp>
      <tp t="s">
        <v>13:08:34</v>
        <stp/>
        <stp>##V3_BDPV12</stp>
        <stp>S0193Z 11M BLC2 Curncy</stp>
        <stp>Last Update</stp>
        <stp>[XDF.xlsm]Zeros and Discounts!R39C8</stp>
        <tr r="H39" s="1"/>
      </tp>
      <tp t="s">
        <v>#N/A N/A</v>
        <stp/>
        <stp>##V3_BDPV12</stp>
        <stp>S0193Z 13Y BLC2 Curncy</stp>
        <stp>Last Update</stp>
        <stp>[XDF.xlsm]Zeros and Discounts!R79C8</stp>
        <tr r="H79" s="1"/>
      </tp>
      <tp t="s">
        <v>13:08:34</v>
        <stp/>
        <stp>##V3_BDPV12</stp>
        <stp>S0193Z 23Q BLC2 Curncy</stp>
        <stp>Last Update</stp>
        <stp>[XDF.xlsm]Zeros and Discounts!R59C8</stp>
        <tr r="H59" s="1"/>
      </tp>
      <tp t="s">
        <v>13:08:34</v>
        <stp/>
        <stp>##V3_BDPV12</stp>
        <stp>S0193Z 22Q BLC2 Curncy</stp>
        <stp>Last Update</stp>
        <stp>[XDF.xlsm]Zeros and Discounts!R58C8</stp>
        <tr r="H58" s="1"/>
      </tp>
      <tp t="s">
        <v>13:08:34</v>
        <stp/>
        <stp>##V3_BDPV12</stp>
        <stp>S0193Z 33Q BLC2 Curncy</stp>
        <stp>Last Update</stp>
        <stp>[XDF.xlsm]Zeros and Discounts!R69C8</stp>
        <tr r="H69" s="1"/>
      </tp>
      <tp t="s">
        <v>13:08:34</v>
        <stp/>
        <stp>##V3_BDPV12</stp>
        <stp>S0193Z 39M BLC2 Curncy</stp>
        <stp>Last Update</stp>
        <stp>[XDF.xlsm]Zeros and Discounts!R49C8</stp>
        <tr r="H49" s="1"/>
      </tp>
      <tp t="s">
        <v>13:08:34</v>
        <stp/>
        <stp>##V3_BDPV12</stp>
        <stp>S0193Z 30M BLC2 Curncy</stp>
        <stp>Last Update</stp>
        <stp>[XDF.xlsm]Zeros and Discounts!R46C8</stp>
        <tr r="H46" s="1"/>
      </tp>
      <tp t="s">
        <v>13:08:34</v>
        <stp/>
        <stp>##V3_BDPV12</stp>
        <stp>S0193Z 30Q BLC2 Curncy</stp>
        <stp>Last Update</stp>
        <stp>[XDF.xlsm]Zeros and Discounts!R66C8</stp>
        <tr r="H66" s="1"/>
      </tp>
      <tp t="s">
        <v>13:08:34</v>
        <stp/>
        <stp>##V3_BDPV12</stp>
        <stp>S0193Z 21Q BLC2 Curncy</stp>
        <stp>Last Update</stp>
        <stp>[XDF.xlsm]Zeros and Discounts!R57C8</stp>
        <tr r="H57" s="1"/>
      </tp>
      <tp t="s">
        <v>13:08:34</v>
        <stp/>
        <stp>##V3_BDPV12</stp>
        <stp>S0193Z 45M BLC2 Curncy</stp>
        <stp>Last Update</stp>
        <stp>[XDF.xlsm]Zeros and Discounts!R51C8</stp>
        <tr r="H51" s="1"/>
      </tp>
      <tp t="s">
        <v>#N/A N/A</v>
        <stp/>
        <stp>##V3_BDPV12</stp>
        <stp>S0193Z 18Y BLC2 Curncy</stp>
        <stp>Last Update</stp>
        <stp>[XDF.xlsm]Zeros and Discounts!R84C8</stp>
        <tr r="H84" s="1"/>
      </tp>
      <tp t="s">
        <v>13:08:34</v>
        <stp/>
        <stp>##V3_BDPV12</stp>
        <stp>S0193Z 18Q BLC2 Curncy</stp>
        <stp>Last Update</stp>
        <stp>[XDF.xlsm]Zeros and Discounts!R54C8</stp>
        <tr r="H54" s="1"/>
      </tp>
      <tp t="s">
        <v>13:08:34</v>
        <stp/>
        <stp>##V3_BDPV12</stp>
        <stp>S0193Z 20Y BLC2 Curncy</stp>
        <stp>Last Update</stp>
        <stp>[XDF.xlsm]Zeros and Discounts!R86C8</stp>
        <tr r="H86" s="1"/>
      </tp>
      <tp t="s">
        <v>13:08:34</v>
        <stp/>
        <stp>##V3_BDPV12</stp>
        <stp>S0193Z 31Q BLC2 Curncy</stp>
        <stp>Last Update</stp>
        <stp>[XDF.xlsm]Zeros and Discounts!R67C8</stp>
        <tr r="H67" s="1"/>
      </tp>
      <tp t="s">
        <v>13:08:34</v>
        <stp/>
        <stp>##V3_BDPV12</stp>
        <stp>S0193Z 42M BLC2 Curncy</stp>
        <stp>Last Update</stp>
        <stp>[XDF.xlsm]Zeros and Discounts!R50C8</stp>
        <tr r="H50" s="1"/>
      </tp>
      <tp t="s">
        <v>13:08:34</v>
        <stp/>
        <stp>##V3_BDPV12</stp>
        <stp>S0193Z 33M BLC2 Curncy</stp>
        <stp>Last Update</stp>
        <stp>[XDF.xlsm]Zeros and Discounts!R47C8</stp>
        <tr r="H47" s="1"/>
      </tp>
      <tp t="s">
        <v>#N/A N/A</v>
        <stp/>
        <stp>##V3_BDPV12</stp>
        <stp>S0193Z 19Y BLC2 Curncy</stp>
        <stp>Last Update</stp>
        <stp>[XDF.xlsm]Zeros and Discounts!R85C8</stp>
        <tr r="H85" s="1"/>
      </tp>
      <tp t="s">
        <v>13:08:34</v>
        <stp/>
        <stp>##V3_BDPV12</stp>
        <stp>S0193Z 19Q BLC2 Curncy</stp>
        <stp>Last Update</stp>
        <stp>[XDF.xlsm]Zeros and Discounts!R55C8</stp>
        <tr r="H55" s="1"/>
      </tp>
      <tp t="s">
        <v>13:08:34</v>
        <stp/>
        <stp>##V3_BDPV12</stp>
        <stp>S0193Z 10Y BLC2 Curncy</stp>
        <stp>Last Update</stp>
        <stp>[XDF.xlsm]Zeros and Discounts!R76C8</stp>
        <tr r="H76" s="1"/>
      </tp>
      <tp t="s">
        <v>13:08:34</v>
        <stp/>
        <stp>##V3_BDPV12</stp>
        <stp>S0193Z 27M BLC2 Curncy</stp>
        <stp>Last Update</stp>
        <stp>[XDF.xlsm]Zeros and Discounts!R45C8</stp>
        <tr r="H45" s="1"/>
      </tp>
      <tp t="s">
        <v>13:08:34</v>
        <stp/>
        <stp>##V3_BDPV12</stp>
        <stp>S0193Z 38Q BLC2 Curncy</stp>
        <stp>Last Update</stp>
        <stp>[XDF.xlsm]Zeros and Discounts!R74C8</stp>
        <tr r="H74" s="1"/>
      </tp>
      <tp t="s">
        <v>13:08:34</v>
        <stp/>
        <stp>##V3_BDPV12</stp>
        <stp>S0193Z 29Q BLC2 Curncy</stp>
        <stp>Last Update</stp>
        <stp>[XDF.xlsm]Zeros and Discounts!R65C8</stp>
        <tr r="H65" s="1"/>
      </tp>
      <tp t="s">
        <v>#N/A N/A</v>
        <stp/>
        <stp>##V3_BDPV12</stp>
        <stp>S0193Z 11Y BLC2 Curncy</stp>
        <stp>Last Update</stp>
        <stp>[XDF.xlsm]Zeros and Discounts!R77C8</stp>
        <tr r="H77" s="1"/>
      </tp>
      <tp t="s">
        <v>13:08:34</v>
        <stp/>
        <stp>##V3_BDPV12</stp>
        <stp>S0193Z 39Q BLC2 Curncy</stp>
        <stp>Last Update</stp>
        <stp>[XDF.xlsm]Zeros and Discounts!R75C8</stp>
        <tr r="H75" s="1"/>
      </tp>
      <tp t="s">
        <v>13:08:34</v>
        <stp/>
        <stp>##V3_BDPV12</stp>
        <stp>S0193Z 21M BLC2 Curncy</stp>
        <stp>Last Update</stp>
        <stp>[XDF.xlsm]Zeros and Discounts!R43C8</stp>
        <tr r="H43" s="1"/>
      </tp>
      <tp t="s">
        <v>#N/A N/A</v>
        <stp/>
        <stp>##V3_BDPV12</stp>
        <stp>S0193Z 14Y BLC2 Curncy</stp>
        <stp>Last Update</stp>
        <stp>[XDF.xlsm]Zeros and Discounts!R80C8</stp>
        <tr r="H80" s="1"/>
      </tp>
      <tp t="s">
        <v>13:08:34</v>
        <stp/>
        <stp>##V3_BDPV12</stp>
        <stp>S0193Z 27Q BLC2 Curncy</stp>
        <stp>Last Update</stp>
        <stp>[XDF.xlsm]Zeros and Discounts!R63C8</stp>
        <tr r="H63" s="1"/>
      </tp>
      <tp t="s">
        <v>13:08:34</v>
        <stp/>
        <stp>##V3_BDPV12</stp>
        <stp>S0193Z 15M BLC2 Curncy</stp>
        <stp>Last Update</stp>
        <stp>[XDF.xlsm]Zeros and Discounts!R41C8</stp>
        <tr r="H41" s="1"/>
      </tp>
      <tp t="s">
        <v>13:08:34</v>
        <stp/>
        <stp>##V3_BDPV12</stp>
        <stp>S0193Z 15Y BLC2 Curncy</stp>
        <stp>Last Update</stp>
        <stp>[XDF.xlsm]Zeros and Discounts!R81C8</stp>
        <tr r="H81" s="1"/>
      </tp>
      <tp t="s">
        <v>13:08:34</v>
        <stp/>
        <stp>##V3_BDPV12</stp>
        <stp>S0193Z 26Q BLC2 Curncy</stp>
        <stp>Last Update</stp>
        <stp>[XDF.xlsm]Zeros and Discounts!R62C8</stp>
        <tr r="H62" s="1"/>
      </tp>
      <tp t="s">
        <v>13:08:34</v>
        <stp/>
        <stp>##V3_BDPV12</stp>
        <stp>S0193Z 37Q BLC2 Curncy</stp>
        <stp>Last Update</stp>
        <stp>[XDF.xlsm]Zeros and Discounts!R73C8</stp>
        <tr r="H73" s="1"/>
      </tp>
      <tp t="s">
        <v>13:08:34</v>
        <stp/>
        <stp>##V3_BDPV12</stp>
        <stp>S0193Z 34Q BLC2 Curncy</stp>
        <stp>Last Update</stp>
        <stp>[XDF.xlsm]Zeros and Discounts!R70C8</stp>
        <tr r="H70" s="1"/>
      </tp>
      <tp t="s">
        <v>13:08:34</v>
        <stp/>
        <stp>##V3_BDPV12</stp>
        <stp>S0193Z 25Q BLC2 Curncy</stp>
        <stp>Last Update</stp>
        <stp>[XDF.xlsm]Zeros and Discounts!R61C8</stp>
        <tr r="H61" s="1"/>
      </tp>
      <tp t="s">
        <v>#N/A N/A</v>
        <stp/>
        <stp>##V3_BDPV12</stp>
        <stp>S0193Z 16Y BLC2 Curncy</stp>
        <stp>Last Update</stp>
        <stp>[XDF.xlsm]Zeros and Discounts!R82C8</stp>
        <tr r="H82" s="1"/>
      </tp>
      <tp t="s">
        <v>13:08:34</v>
        <stp/>
        <stp>##V3_BDPV12</stp>
        <stp>S0193Z 18M BLC2 Curncy</stp>
        <stp>Last Update</stp>
        <stp>[XDF.xlsm]Zeros and Discounts!R42C8</stp>
        <tr r="H42" s="1"/>
      </tp>
      <tp t="s">
        <v>13:08:34</v>
        <stp/>
        <stp>##V3_BDPV12</stp>
        <stp>S0193Z 35Q BLC2 Curncy</stp>
        <stp>Last Update</stp>
        <stp>[XDF.xlsm]Zeros and Discounts!R71C8</stp>
        <tr r="H71" s="1"/>
      </tp>
      <tp t="s">
        <v>#N/A N/A</v>
        <stp/>
        <stp>##V3_BDPV12</stp>
        <stp>S0193Z 17Y BLC2 Curncy</stp>
        <stp>Last Update</stp>
        <stp>[XDF.xlsm]Zeros and Discounts!R83C8</stp>
        <tr r="H83" s="1"/>
      </tp>
      <tp t="s">
        <v>13:08:34</v>
        <stp/>
        <stp>##V3_BDPV12</stp>
        <stp>S0193Z 17Q BLC2 Curncy</stp>
        <stp>Last Update</stp>
        <stp>[XDF.xlsm]Zeros and Discounts!R53C8</stp>
        <tr r="H53" s="1"/>
      </tp>
      <tp t="s">
        <v>13:08:34</v>
        <stp/>
        <stp>##V3_BDPV12</stp>
        <stp>S0193Z 3I BLC2 Curncy</stp>
        <stp>Last Update</stp>
        <stp>[XDF.xlsm]Zeros and Discounts!R33C8</stp>
        <tr r="H33" s="1"/>
      </tp>
      <tp t="s">
        <v>13:08:34</v>
        <stp/>
        <stp>##V3_BDPV12</stp>
        <stp>S0193Z 1W BLC2 Curncy</stp>
        <stp>Last Update</stp>
        <stp>[XDF.xlsm]Zeros and Discounts!R23C8</stp>
        <tr r="H23" s="1"/>
      </tp>
      <tp>
        <v>4.1491400000000001</v>
        <stp/>
        <stp>##V3_BDPV12</stp>
        <stp>S0193Z 9Y BLC2 Curncy</stp>
        <stp>Px Ask</stp>
        <stp>[XDF.xlsm]Zeros and Discounts!R72C6</stp>
        <tr r="F72" s="1"/>
      </tp>
      <tp>
        <v>2.9532799999999999</v>
        <stp/>
        <stp>##V3_BDPV12</stp>
        <stp>S0193Z 6M BLC2 Curncy</stp>
        <stp>Px Ask</stp>
        <stp>[XDF.xlsm]Zeros and Discounts!R32C6</stp>
        <tr r="F32" s="1"/>
      </tp>
      <tp>
        <v>3.73109</v>
        <stp/>
        <stp>##V3_BDPV12</stp>
        <stp>S0193Z 4Y BLC2 Curncy</stp>
        <stp>Px Ask</stp>
        <stp>[XDF.xlsm]Zeros and Discounts!R52C6</stp>
        <tr r="F52" s="1"/>
      </tp>
      <tp>
        <v>2.8817499999999998</v>
        <stp/>
        <stp>##V3_BDPV12</stp>
        <stp>S0193Z 2D BLC2 Curncy</stp>
        <stp>Px Ask</stp>
        <stp>[XDF.xlsm]Zeros and Discounts!R22C6</stp>
        <tr r="F22" s="1"/>
      </tp>
      <tp t="s">
        <v>13:08:34</v>
        <stp/>
        <stp>##V3_BDPV12</stp>
        <stp>S0193Z 2D BLC2 Curncy</stp>
        <stp>Last Update</stp>
        <stp>[XDF.xlsm]Zeros and Discounts!R22C8</stp>
        <tr r="H22" s="1"/>
      </tp>
      <tp t="s">
        <v>13:08:34</v>
        <stp/>
        <stp>##V3_BDPV12</stp>
        <stp>S0193Z 6M BLC2 Curncy</stp>
        <stp>Last Update</stp>
        <stp>[XDF.xlsm]Zeros and Discounts!R32C8</stp>
        <tr r="H32" s="1"/>
      </tp>
      <tp t="s">
        <v>13:08:34</v>
        <stp/>
        <stp>##V3_BDPV12</stp>
        <stp>S0193Z 4Y BLC2 Curncy</stp>
        <stp>Last Update</stp>
        <stp>[XDF.xlsm]Zeros and Discounts!R52C8</stp>
        <tr r="H52" s="1"/>
      </tp>
      <tp t="s">
        <v>13:08:34</v>
        <stp/>
        <stp>##V3_BDPV12</stp>
        <stp>S0193Z 9Y BLC2 Curncy</stp>
        <stp>Last Update</stp>
        <stp>[XDF.xlsm]Zeros and Discounts!R72C8</stp>
        <tr r="H72" s="1"/>
      </tp>
      <tp>
        <v>3.06433</v>
        <stp/>
        <stp>##V3_BDPV12</stp>
        <stp>S0193Z 3I BLC2 Curncy</stp>
        <stp>Px Ask</stp>
        <stp>[XDF.xlsm]Zeros and Discounts!R33C6</stp>
        <tr r="F33" s="1"/>
      </tp>
      <tp>
        <v>2.8817499999999998</v>
        <stp/>
        <stp>##V3_BDPV12</stp>
        <stp>S0193Z 1W BLC2 Curncy</stp>
        <stp>Px Ask</stp>
        <stp>[XDF.xlsm]Zeros and Discounts!R23C6</stp>
        <tr r="F23" s="1"/>
      </tp>
      <tp t="s">
        <v>13:08:34</v>
        <stp/>
        <stp>##V3_BDPV12</stp>
        <stp>S0193Z 1D BLC2 Curncy</stp>
        <stp>Last Update</stp>
        <stp>[XDF.xlsm]Zeros and Discounts!R21C8</stp>
        <tr r="H21" s="1"/>
      </tp>
      <tp t="s">
        <v>13:08:34</v>
        <stp/>
        <stp>##V3_BDPV12</stp>
        <stp>S0193Z 5M BLC2 Curncy</stp>
        <stp>Last Update</stp>
        <stp>[XDF.xlsm]Zeros and Discounts!R31C8</stp>
        <tr r="H31" s="1"/>
      </tp>
      <tp>
        <v>3.9105099999999999</v>
        <stp/>
        <stp>##V3_BDPV12</stp>
        <stp>S0193Z 6Y BLC2 Curncy</stp>
        <stp>Px Ask</stp>
        <stp>[XDF.xlsm]Zeros and Discounts!R60C6</stp>
        <tr r="F60" s="1"/>
      </tp>
      <tp>
        <v>2.9066299999999998</v>
        <stp/>
        <stp>##V3_BDPV12</stp>
        <stp>S0193Z 4M BLC2 Curncy</stp>
        <stp>Px Ask</stp>
        <stp>[XDF.xlsm]Zeros and Discounts!R30C6</stp>
        <tr r="F30" s="1"/>
      </tp>
      <tp>
        <v>3.15503</v>
        <stp/>
        <stp>##V3_BDPV12</stp>
        <stp>S0193Z 1Y BLC2 Curncy</stp>
        <stp>Px Ask</stp>
        <stp>[XDF.xlsm]Zeros and Discounts!R40C6</stp>
        <tr r="F40" s="1"/>
      </tp>
      <tp t="s">
        <v>13:08:34</v>
        <stp/>
        <stp>##V3_BDPV12</stp>
        <stp>S0193Z 1Y BLC2 Curncy</stp>
        <stp>Last Update</stp>
        <stp>[XDF.xlsm]Zeros and Discounts!R40C8</stp>
        <tr r="H40" s="1"/>
      </tp>
      <tp t="s">
        <v>13:08:34</v>
        <stp/>
        <stp>##V3_BDPV12</stp>
        <stp>S0193Z 6Y BLC2 Curncy</stp>
        <stp>Last Update</stp>
        <stp>[XDF.xlsm]Zeros and Discounts!R60C8</stp>
        <tr r="H60" s="1"/>
      </tp>
      <tp t="s">
        <v>13:08:34</v>
        <stp/>
        <stp>##V3_BDPV12</stp>
        <stp>S0193Z 4M BLC2 Curncy</stp>
        <stp>Last Update</stp>
        <stp>[XDF.xlsm]Zeros and Discounts!R30C8</stp>
        <tr r="H30" s="1"/>
      </tp>
      <tp>
        <v>2.9299599999999999</v>
        <stp/>
        <stp>##V3_BDPV12</stp>
        <stp>S0193Z 5M BLC2 Curncy</stp>
        <stp>Px Ask</stp>
        <stp>[XDF.xlsm]Zeros and Discounts!R31C6</stp>
        <tr r="F31" s="1"/>
      </tp>
      <tp>
        <v>2.8817499999999998</v>
        <stp/>
        <stp>##V3_BDPV12</stp>
        <stp>S0193Z 1D BLC2 Curncy</stp>
        <stp>Px Ask</stp>
        <stp>[XDF.xlsm]Zeros and Discounts!R21C6</stp>
        <tr r="F21" s="1"/>
      </tp>
      <tp t="s">
        <v>13:08:34</v>
        <stp/>
        <stp>##V3_BDPV12</stp>
        <stp>S0193Z 2M BLC2 Curncy</stp>
        <stp>Last Update</stp>
        <stp>[XDF.xlsm]Zeros and Discounts!R27C8</stp>
        <tr r="H27" s="1"/>
      </tp>
      <tp t="s">
        <v>13:08:34</v>
        <stp/>
        <stp>##V3_BDPV12</stp>
        <stp>S0193Z 4I BLC2 Curncy</stp>
        <stp>Last Update</stp>
        <stp>[XDF.xlsm]Zeros and Discounts!R37C8</stp>
        <tr r="H37" s="1"/>
      </tp>
      <tp>
        <v>3.0732699999999999</v>
        <stp/>
        <stp>##V3_BDPV12</stp>
        <stp>S0193Z 9M BLC2 Curncy</stp>
        <stp>Px Ask</stp>
        <stp>[XDF.xlsm]Zeros and Discounts!R36C6</stp>
        <tr r="F36" s="1"/>
      </tp>
      <tp>
        <v>3.8397299999999999</v>
        <stp/>
        <stp>##V3_BDPV12</stp>
        <stp>S0193Z 5Y BLC2 Curncy</stp>
        <stp>Px Ask</stp>
        <stp>[XDF.xlsm]Zeros and Discounts!R56C6</stp>
        <tr r="F56" s="1"/>
      </tp>
      <tp>
        <v>2.8817499999999998</v>
        <stp/>
        <stp>##V3_BDPV12</stp>
        <stp>S0193Z 1M BLC2 Curncy</stp>
        <stp>Px Ask</stp>
        <stp>[XDF.xlsm]Zeros and Discounts!R26C6</stp>
        <tr r="F26" s="1"/>
      </tp>
      <tp t="s">
        <v>#N/A Invalid Security</v>
        <stp/>
        <stp>##V3_BDPV12</stp>
        <stp/>
        <stp>DELAYED_TICK_STREAM_INDICATOR</stp>
        <stp>[XDF.xlsm]Zeros and Discounts!R108C1</stp>
        <tr r="A108" s="1"/>
      </tp>
      <tp t="s">
        <v>#N/A Invalid Security</v>
        <stp/>
        <stp>##V3_BDPV12</stp>
        <stp/>
        <stp>DELAYED_TICK_STREAM_INDICATOR</stp>
        <stp>[XDF.xlsm]Zeros and Discounts!R108C9</stp>
        <tr r="I108" s="1"/>
      </tp>
      <tp t="s">
        <v>13:08:34</v>
        <stp/>
        <stp>##V3_BDPV12</stp>
        <stp>S0193Z 1M BLC2 Curncy</stp>
        <stp>Last Update</stp>
        <stp>[XDF.xlsm]Zeros and Discounts!R26C8</stp>
        <tr r="H26" s="1"/>
      </tp>
      <tp t="s">
        <v>13:08:34</v>
        <stp/>
        <stp>##V3_BDPV12</stp>
        <stp>S0193Z 5Y BLC2 Curncy</stp>
        <stp>Last Update</stp>
        <stp>[XDF.xlsm]Zeros and Discounts!R56C8</stp>
        <tr r="H56" s="1"/>
      </tp>
      <tp t="s">
        <v>13:08:34</v>
        <stp/>
        <stp>##V3_BDPV12</stp>
        <stp>S0193Z 9M BLC2 Curncy</stp>
        <stp>Last Update</stp>
        <stp>[XDF.xlsm]Zeros and Discounts!R36C8</stp>
        <tr r="H36" s="1"/>
      </tp>
      <tp>
        <v>3.1487400000000001</v>
        <stp/>
        <stp>##V3_BDPV12</stp>
        <stp>S0193Z 4I BLC2 Curncy</stp>
        <stp>Px Ask</stp>
        <stp>[XDF.xlsm]Zeros and Discounts!R37C6</stp>
        <tr r="F37" s="1"/>
      </tp>
      <tp>
        <v>2.8817499999999998</v>
        <stp/>
        <stp>##V3_BDPV12</stp>
        <stp>S0193Z 2M BLC2 Curncy</stp>
        <stp>Px Ask</stp>
        <stp>[XDF.xlsm]Zeros and Discounts!R27C6</stp>
        <tr r="F27" s="1"/>
      </tp>
      <tp t="s">
        <v>#N/A Invalid Security</v>
        <stp/>
        <stp>##V3_BDPV12</stp>
        <stp/>
        <stp>DELAYED_TICK_STREAM_INDICATOR</stp>
        <stp>[XDF.xlsm]Zeros and Discounts!R109C1</stp>
        <tr r="A109" s="1"/>
      </tp>
      <tp t="s">
        <v>#N/A Invalid Security</v>
        <stp/>
        <stp>##V3_BDPV12</stp>
        <stp/>
        <stp>DELAYED_TICK_STREAM_INDICATOR</stp>
        <stp>[XDF.xlsm]Zeros and Discounts!R109C9</stp>
        <tr r="I109" s="1"/>
      </tp>
      <tp t="s">
        <v>13:08:34</v>
        <stp/>
        <stp>##V3_BDPV12</stp>
        <stp>S0193Z 1I BLC2 Curncy</stp>
        <stp>Last Update</stp>
        <stp>[XDF.xlsm]Zeros and Discounts!R25C8</stp>
        <tr r="H25" s="1"/>
      </tp>
      <tp t="s">
        <v>13:08:34</v>
        <stp/>
        <stp>##V3_BDPV12</stp>
        <stp>S0193Z 8M BLC2 Curncy</stp>
        <stp>Last Update</stp>
        <stp>[XDF.xlsm]Zeros and Discounts!R35C8</stp>
        <tr r="H35" s="1"/>
      </tp>
      <tp>
        <v>3.9920399999999998</v>
        <stp/>
        <stp>##V3_BDPV12</stp>
        <stp>S0193Z 7Y BLC2 Curncy</stp>
        <stp>Px Ask</stp>
        <stp>[XDF.xlsm]Zeros and Discounts!R64C6</stp>
        <tr r="F64" s="1"/>
      </tp>
      <tp>
        <v>2.9928499999999998</v>
        <stp/>
        <stp>##V3_BDPV12</stp>
        <stp>S0193Z 7M BLC2 Curncy</stp>
        <stp>Px Ask</stp>
        <stp>[XDF.xlsm]Zeros and Discounts!R34C6</stp>
        <tr r="F34" s="1"/>
      </tp>
      <tp>
        <v>2.8817499999999998</v>
        <stp/>
        <stp>##V3_BDPV12</stp>
        <stp>S0193Z 2W BLC2 Curncy</stp>
        <stp>Px Ask</stp>
        <stp>[XDF.xlsm]Zeros and Discounts!R24C6</stp>
        <tr r="F24" s="1"/>
      </tp>
      <tp>
        <v>3.40551</v>
        <stp/>
        <stp>##V3_BDPV12</stp>
        <stp>S0193Z 2Y BLC2 Curncy</stp>
        <stp>Px Ask</stp>
        <stp>[XDF.xlsm]Zeros and Discounts!R44C6</stp>
        <tr r="F44" s="1"/>
      </tp>
      <tp t="s">
        <v>13:08:34</v>
        <stp/>
        <stp>##V3_BDPV12</stp>
        <stp>S0193Z 2W BLC2 Curncy</stp>
        <stp>Last Update</stp>
        <stp>[XDF.xlsm]Zeros and Discounts!R24C8</stp>
        <tr r="H24" s="1"/>
      </tp>
      <tp t="s">
        <v>13:08:34</v>
        <stp/>
        <stp>##V3_BDPV12</stp>
        <stp>S0193Z 2Y BLC2 Curncy</stp>
        <stp>Last Update</stp>
        <stp>[XDF.xlsm]Zeros and Discounts!R44C8</stp>
        <tr r="H44" s="1"/>
      </tp>
      <tp t="s">
        <v>13:08:34</v>
        <stp/>
        <stp>##V3_BDPV12</stp>
        <stp>S0193Z 7Y BLC2 Curncy</stp>
        <stp>Last Update</stp>
        <stp>[XDF.xlsm]Zeros and Discounts!R64C8</stp>
        <tr r="H64" s="1"/>
      </tp>
      <tp t="s">
        <v>13:08:34</v>
        <stp/>
        <stp>##V3_BDPV12</stp>
        <stp>S0193Z 7M BLC2 Curncy</stp>
        <stp>Last Update</stp>
        <stp>[XDF.xlsm]Zeros and Discounts!R34C8</stp>
        <tr r="H34" s="1"/>
      </tp>
      <tp>
        <v>3.0311400000000002</v>
        <stp/>
        <stp>##V3_BDPV12</stp>
        <stp>S0193Z 8M BLC2 Curncy</stp>
        <stp>Px Ask</stp>
        <stp>[XDF.xlsm]Zeros and Discounts!R35C6</stp>
        <tr r="F35" s="1"/>
      </tp>
      <tp>
        <v>2.8817499999999998</v>
        <stp/>
        <stp>##V3_BDPV12</stp>
        <stp>S0193Z 1I BLC2 Curncy</stp>
        <stp>Px Ask</stp>
        <stp>[XDF.xlsm]Zeros and Discounts!R25C6</stp>
        <tr r="F25" s="1"/>
      </tp>
      <tp t="s">
        <v>#N/A Invalid Security</v>
        <stp/>
        <stp>##V3_BDPV12</stp>
        <stp/>
        <stp>DELAYED_TICK_STREAM_INDICATOR</stp>
        <stp>[XDF.xlsm]Zeros and Discounts!R114C1</stp>
        <tr r="A114" s="1"/>
      </tp>
      <tp t="s">
        <v>#N/A Invalid Security</v>
        <stp/>
        <stp>##V3_BDPV12</stp>
        <stp/>
        <stp>DELAYED_TICK_STREAM_INDICATOR</stp>
        <stp>[XDF.xlsm]Zeros and Discounts!R104C1</stp>
        <tr r="A104" s="1"/>
      </tp>
      <tp t="s">
        <v>#N/A Invalid Security</v>
        <stp/>
        <stp>##V3_BDPV12</stp>
        <stp/>
        <stp>DELAYED_TICK_STREAM_INDICATOR</stp>
        <stp>[XDF.xlsm]Zeros and Discounts!R114C9</stp>
        <tr r="I114" s="1"/>
      </tp>
      <tp t="s">
        <v>#N/A Invalid Security</v>
        <stp/>
        <stp>##V3_BDPV12</stp>
        <stp/>
        <stp>DELAYED_TICK_STREAM_INDICATOR</stp>
        <stp>[XDF.xlsm]Zeros and Discounts!R104C9</stp>
        <tr r="I104" s="1"/>
      </tp>
      <tp t="s">
        <v>#N/A Invalid Security</v>
        <stp/>
        <stp>##V3_BDPV12</stp>
        <stp/>
        <stp>DELAYED_TICK_STREAM_INDICATOR</stp>
        <stp>[XDF.xlsm]Zeros and Discounts!R115C1</stp>
        <tr r="A115" s="1"/>
      </tp>
      <tp t="s">
        <v>#N/A Invalid Security</v>
        <stp/>
        <stp>##V3_BDPV12</stp>
        <stp/>
        <stp>DELAYED_TICK_STREAM_INDICATOR</stp>
        <stp>[XDF.xlsm]Zeros and Discounts!R105C1</stp>
        <tr r="A105" s="1"/>
      </tp>
      <tp t="s">
        <v>#N/A Invalid Security</v>
        <stp/>
        <stp>##V3_BDPV12</stp>
        <stp/>
        <stp>DELAYED_TICK_STREAM_INDICATOR</stp>
        <stp>[XDF.xlsm]Zeros and Discounts!R115C9</stp>
        <tr r="I115" s="1"/>
      </tp>
      <tp t="s">
        <v>#N/A Invalid Security</v>
        <stp/>
        <stp>##V3_BDPV12</stp>
        <stp/>
        <stp>DELAYED_TICK_STREAM_INDICATOR</stp>
        <stp>[XDF.xlsm]Zeros and Discounts!R105C9</stp>
        <tr r="I105" s="1"/>
      </tp>
      <tp t="s">
        <v>13:08:34</v>
        <stp/>
        <stp>##V3_BDPV12</stp>
        <stp>S0193Z 2I BLC2 Curncy</stp>
        <stp>Last Update</stp>
        <stp>[XDF.xlsm]Zeros and Discounts!R29C8</stp>
        <tr r="H29" s="1"/>
      </tp>
      <tp>
        <v>4.0775600000000001</v>
        <stp/>
        <stp>##V3_BDPV12</stp>
        <stp>S0193Z 8Y BLC2 Curncy</stp>
        <stp>Px Ask</stp>
        <stp>[XDF.xlsm]Zeros and Discounts!R68C6</stp>
        <tr r="F68" s="1"/>
      </tp>
      <tp>
        <v>3.5959500000000002</v>
        <stp/>
        <stp>##V3_BDPV12</stp>
        <stp>S0193Z 3Y BLC2 Curncy</stp>
        <stp>Px Ask</stp>
        <stp>[XDF.xlsm]Zeros and Discounts!R48C6</stp>
        <tr r="F48" s="1"/>
      </tp>
      <tp>
        <v>2.8817499999999998</v>
        <stp/>
        <stp>##V3_BDPV12</stp>
        <stp>S0193Z 3M BLC2 Curncy</stp>
        <stp>Px Ask</stp>
        <stp>[XDF.xlsm]Zeros and Discounts!R28C6</stp>
        <tr r="F28" s="1"/>
      </tp>
      <tp t="s">
        <v>#N/A Invalid Security</v>
        <stp/>
        <stp>##V3_BDPV12</stp>
        <stp/>
        <stp>DELAYED_TICK_STREAM_INDICATOR</stp>
        <stp>[XDF.xlsm]Zeros and Discounts!R116C1</stp>
        <tr r="A116" s="1"/>
      </tp>
      <tp t="s">
        <v>#N/A Invalid Security</v>
        <stp/>
        <stp>##V3_BDPV12</stp>
        <stp/>
        <stp>DELAYED_TICK_STREAM_INDICATOR</stp>
        <stp>[XDF.xlsm]Zeros and Discounts!R106C1</stp>
        <tr r="A106" s="1"/>
      </tp>
      <tp t="s">
        <v>#N/A Invalid Security</v>
        <stp/>
        <stp>##V3_BDPV12</stp>
        <stp/>
        <stp>DELAYED_TICK_STREAM_INDICATOR</stp>
        <stp>[XDF.xlsm]Zeros and Discounts!R116C9</stp>
        <tr r="I116" s="1"/>
      </tp>
      <tp t="s">
        <v>#N/A Invalid Security</v>
        <stp/>
        <stp>##V3_BDPV12</stp>
        <stp/>
        <stp>DELAYED_TICK_STREAM_INDICATOR</stp>
        <stp>[XDF.xlsm]Zeros and Discounts!R106C9</stp>
        <tr r="I106" s="1"/>
      </tp>
      <tp t="s">
        <v>13:08:34</v>
        <stp/>
        <stp>##V3_BDPV12</stp>
        <stp>S0193Z 3Y BLC2 Curncy</stp>
        <stp>Last Update</stp>
        <stp>[XDF.xlsm]Zeros and Discounts!R48C8</stp>
        <tr r="H48" s="1"/>
      </tp>
      <tp t="s">
        <v>13:08:34</v>
        <stp/>
        <stp>##V3_BDPV12</stp>
        <stp>S0193Z 3M BLC2 Curncy</stp>
        <stp>Last Update</stp>
        <stp>[XDF.xlsm]Zeros and Discounts!R28C8</stp>
        <tr r="H28" s="1"/>
      </tp>
      <tp t="s">
        <v>13:08:34</v>
        <stp/>
        <stp>##V3_BDPV12</stp>
        <stp>S0193Z 8Y BLC2 Curncy</stp>
        <stp>Last Update</stp>
        <stp>[XDF.xlsm]Zeros and Discounts!R68C8</stp>
        <tr r="H68" s="1"/>
      </tp>
      <tp>
        <v>2.95017</v>
        <stp/>
        <stp>##V3_BDPV12</stp>
        <stp>S0193Z 2I BLC2 Curncy</stp>
        <stp>Px Ask</stp>
        <stp>[XDF.xlsm]Zeros and Discounts!R29C6</stp>
        <tr r="F29" s="1"/>
      </tp>
      <tp t="s">
        <v>#N/A Invalid Security</v>
        <stp/>
        <stp>##V3_BDPV12</stp>
        <stp/>
        <stp>DELAYED_TICK_STREAM_INDICATOR</stp>
        <stp>[XDF.xlsm]Zeros and Discounts!R107C1</stp>
        <tr r="A107" s="1"/>
      </tp>
      <tp t="s">
        <v>#N/A Invalid Security</v>
        <stp/>
        <stp>##V3_BDPV12</stp>
        <stp/>
        <stp>DELAYED_TICK_STREAM_INDICATOR</stp>
        <stp>[XDF.xlsm]Zeros and Discounts!R107C9</stp>
        <tr r="I107" s="1"/>
      </tp>
      <tp t="s">
        <v>#N/A Invalid Security</v>
        <stp/>
        <stp>##V3_BDPV12</stp>
        <stp/>
        <stp>DELAYED_TICK_STREAM_INDICATOR</stp>
        <stp>[XDF.xlsm]Zeros and Discounts!R110C1</stp>
        <tr r="A110" s="1"/>
      </tp>
      <tp t="s">
        <v>#N/A Invalid Security</v>
        <stp/>
        <stp>##V3_BDPV12</stp>
        <stp/>
        <stp>DELAYED_TICK_STREAM_INDICATOR</stp>
        <stp>[XDF.xlsm]Zeros and Discounts!R100C1</stp>
        <tr r="A100" s="1"/>
      </tp>
      <tp t="s">
        <v>#N/A Invalid Security</v>
        <stp/>
        <stp>##V3_BDPV12</stp>
        <stp/>
        <stp>DELAYED_TICK_STREAM_INDICATOR</stp>
        <stp>[XDF.xlsm]Zeros and Discounts!R110C9</stp>
        <tr r="I110" s="1"/>
      </tp>
      <tp t="s">
        <v>#N/A Invalid Security</v>
        <stp/>
        <stp>##V3_BDPV12</stp>
        <stp/>
        <stp>DELAYED_TICK_STREAM_INDICATOR</stp>
        <stp>[XDF.xlsm]Zeros and Discounts!R100C9</stp>
        <tr r="I100" s="1"/>
      </tp>
      <tp t="s">
        <v>#N/A Invalid Security</v>
        <stp/>
        <stp>##V3_BDPV12</stp>
        <stp/>
        <stp>DELAYED_TICK_STREAM_INDICATOR</stp>
        <stp>[XDF.xlsm]Zeros and Discounts!R111C1</stp>
        <tr r="A111" s="1"/>
      </tp>
      <tp t="s">
        <v>#N/A Invalid Security</v>
        <stp/>
        <stp>##V3_BDPV12</stp>
        <stp/>
        <stp>DELAYED_TICK_STREAM_INDICATOR</stp>
        <stp>[XDF.xlsm]Zeros and Discounts!R101C1</stp>
        <tr r="A101" s="1"/>
      </tp>
      <tp t="s">
        <v>#N/A Invalid Security</v>
        <stp/>
        <stp>##V3_BDPV12</stp>
        <stp/>
        <stp>DELAYED_TICK_STREAM_INDICATOR</stp>
        <stp>[XDF.xlsm]Zeros and Discounts!R111C9</stp>
        <tr r="I111" s="1"/>
      </tp>
      <tp t="s">
        <v>#N/A Invalid Security</v>
        <stp/>
        <stp>##V3_BDPV12</stp>
        <stp/>
        <stp>DELAYED_TICK_STREAM_INDICATOR</stp>
        <stp>[XDF.xlsm]Zeros and Discounts!R101C9</stp>
        <tr r="I101" s="1"/>
      </tp>
      <tp t="s">
        <v>#N/A Invalid Security</v>
        <stp/>
        <stp>##V3_BDPV12</stp>
        <stp/>
        <stp>DELAYED_TICK_STREAM_INDICATOR</stp>
        <stp>[XDF.xlsm]Zeros and Discounts!R112C1</stp>
        <tr r="A112" s="1"/>
      </tp>
      <tp t="s">
        <v>#N/A Invalid Security</v>
        <stp/>
        <stp>##V3_BDPV12</stp>
        <stp/>
        <stp>DELAYED_TICK_STREAM_INDICATOR</stp>
        <stp>[XDF.xlsm]Zeros and Discounts!R102C1</stp>
        <tr r="A102" s="1"/>
      </tp>
      <tp t="s">
        <v>#N/A Invalid Security</v>
        <stp/>
        <stp>##V3_BDPV12</stp>
        <stp/>
        <stp>DELAYED_TICK_STREAM_INDICATOR</stp>
        <stp>[XDF.xlsm]Zeros and Discounts!R112C9</stp>
        <tr r="I112" s="1"/>
      </tp>
      <tp t="s">
        <v>#N/A Invalid Security</v>
        <stp/>
        <stp>##V3_BDPV12</stp>
        <stp/>
        <stp>DELAYED_TICK_STREAM_INDICATOR</stp>
        <stp>[XDF.xlsm]Zeros and Discounts!R102C9</stp>
        <tr r="I102" s="1"/>
      </tp>
      <tp t="s">
        <v>#N/A Invalid Security</v>
        <stp/>
        <stp>##V3_BDPV12</stp>
        <stp/>
        <stp>DELAYED_TICK_STREAM_INDICATOR</stp>
        <stp>[XDF.xlsm]Zeros and Discounts!R113C1</stp>
        <tr r="A113" s="1"/>
      </tp>
      <tp t="s">
        <v>#N/A Invalid Security</v>
        <stp/>
        <stp>##V3_BDPV12</stp>
        <stp/>
        <stp>DELAYED_TICK_STREAM_INDICATOR</stp>
        <stp>[XDF.xlsm]Zeros and Discounts!R103C1</stp>
        <tr r="A103" s="1"/>
      </tp>
      <tp t="s">
        <v>#N/A Invalid Security</v>
        <stp/>
        <stp>##V3_BDPV12</stp>
        <stp/>
        <stp>DELAYED_TICK_STREAM_INDICATOR</stp>
        <stp>[XDF.xlsm]Zeros and Discounts!R113C9</stp>
        <tr r="I113" s="1"/>
      </tp>
      <tp t="s">
        <v>#N/A Invalid Security</v>
        <stp/>
        <stp>##V3_BDPV12</stp>
        <stp/>
        <stp>DELAYED_TICK_STREAM_INDICATOR</stp>
        <stp>[XDF.xlsm]Zeros and Discounts!R103C9</stp>
        <tr r="I103" s="1"/>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525780</xdr:colOff>
      <xdr:row>3</xdr:row>
      <xdr:rowOff>182880</xdr:rowOff>
    </xdr:to>
    <xdr:pic>
      <xdr:nvPicPr>
        <xdr:cNvPr id="2" name="Bloomber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4</xdr:col>
      <xdr:colOff>503225</xdr:colOff>
      <xdr:row>1</xdr:row>
      <xdr:rowOff>0</xdr:rowOff>
    </xdr:from>
    <xdr:to>
      <xdr:col>15</xdr:col>
      <xdr:colOff>400355</xdr:colOff>
      <xdr:row>3</xdr:row>
      <xdr:rowOff>185928</xdr:rowOff>
    </xdr:to>
    <xdr:sp macro="" textlink="">
      <xdr:nvSpPr>
        <xdr:cNvPr id="6" name="BannerTitle">
          <a:extLst>
            <a:ext uri="{FF2B5EF4-FFF2-40B4-BE49-F238E27FC236}">
              <a16:creationId xmlns:a16="http://schemas.microsoft.com/office/drawing/2014/main" id="{00000000-0008-0000-0000-000006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mc:AlternateContent xmlns:mc="http://schemas.openxmlformats.org/markup-compatibility/2006">
    <mc:Choice xmlns:a14="http://schemas.microsoft.com/office/drawing/2010/main" Requires="a14">
      <xdr:twoCellAnchor editAs="oneCell">
        <xdr:from>
          <xdr:col>13</xdr:col>
          <xdr:colOff>762000</xdr:colOff>
          <xdr:row>15</xdr:row>
          <xdr:rowOff>95250</xdr:rowOff>
        </xdr:from>
        <xdr:to>
          <xdr:col>15</xdr:col>
          <xdr:colOff>28575</xdr:colOff>
          <xdr:row>16</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173355</xdr:colOff>
      <xdr:row>3</xdr:row>
      <xdr:rowOff>182880</xdr:rowOff>
    </xdr:to>
    <xdr:pic>
      <xdr:nvPicPr>
        <xdr:cNvPr id="2" name="Bloomber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150800</xdr:colOff>
      <xdr:row>1</xdr:row>
      <xdr:rowOff>0</xdr:rowOff>
    </xdr:from>
    <xdr:to>
      <xdr:col>17</xdr:col>
      <xdr:colOff>19355</xdr:colOff>
      <xdr:row>3</xdr:row>
      <xdr:rowOff>185928</xdr:rowOff>
    </xdr:to>
    <xdr:sp macro="" textlink="">
      <xdr:nvSpPr>
        <xdr:cNvPr id="3" name="BannerTitle">
          <a:extLst>
            <a:ext uri="{FF2B5EF4-FFF2-40B4-BE49-F238E27FC236}">
              <a16:creationId xmlns:a16="http://schemas.microsoft.com/office/drawing/2014/main" id="{00000000-0008-0000-01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173355</xdr:colOff>
      <xdr:row>3</xdr:row>
      <xdr:rowOff>182880</xdr:rowOff>
    </xdr:to>
    <xdr:pic>
      <xdr:nvPicPr>
        <xdr:cNvPr id="2" name="Bloomber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150800</xdr:colOff>
      <xdr:row>1</xdr:row>
      <xdr:rowOff>0</xdr:rowOff>
    </xdr:from>
    <xdr:to>
      <xdr:col>18</xdr:col>
      <xdr:colOff>343205</xdr:colOff>
      <xdr:row>3</xdr:row>
      <xdr:rowOff>185928</xdr:rowOff>
    </xdr:to>
    <xdr:sp macro="" textlink="">
      <xdr:nvSpPr>
        <xdr:cNvPr id="5" name="BannerTitle">
          <a:extLst>
            <a:ext uri="{FF2B5EF4-FFF2-40B4-BE49-F238E27FC236}">
              <a16:creationId xmlns:a16="http://schemas.microsoft.com/office/drawing/2014/main" id="{00000000-0008-0000-0200-000005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601980</xdr:colOff>
      <xdr:row>3</xdr:row>
      <xdr:rowOff>182880</xdr:rowOff>
    </xdr:to>
    <xdr:pic>
      <xdr:nvPicPr>
        <xdr:cNvPr id="2" name="Bloomber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3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Discount Factors and Zero Rates</a:t>
          </a:r>
        </a:p>
      </xdr:txBody>
    </xdr:sp>
    <xdr:clientData/>
  </xdr:twoCellAnchor>
  <xdr:twoCellAnchor editAs="oneCell">
    <xdr:from>
      <xdr:col>3</xdr:col>
      <xdr:colOff>66676</xdr:colOff>
      <xdr:row>17</xdr:row>
      <xdr:rowOff>95251</xdr:rowOff>
    </xdr:from>
    <xdr:to>
      <xdr:col>17</xdr:col>
      <xdr:colOff>427578</xdr:colOff>
      <xdr:row>37</xdr:row>
      <xdr:rowOff>133351</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1400176" y="2305051"/>
          <a:ext cx="8895302" cy="3848100"/>
        </a:xfrm>
        <a:prstGeom prst="rect">
          <a:avLst/>
        </a:prstGeom>
        <a:effectLst>
          <a:outerShdw blurRad="50800" dist="38100" dir="2700000" algn="tl">
            <a:prstClr val="black">
              <a:alpha val="40000"/>
            </a:prstClr>
          </a:outerShdw>
          <a:softEdge rad="25400"/>
        </a:effectLst>
      </xdr:spPr>
    </xdr:pic>
    <xdr:clientData/>
  </xdr:twoCellAnchor>
  <xdr:twoCellAnchor>
    <xdr:from>
      <xdr:col>4</xdr:col>
      <xdr:colOff>0</xdr:colOff>
      <xdr:row>14</xdr:row>
      <xdr:rowOff>133351</xdr:rowOff>
    </xdr:from>
    <xdr:to>
      <xdr:col>9</xdr:col>
      <xdr:colOff>381000</xdr:colOff>
      <xdr:row>17</xdr:row>
      <xdr:rowOff>67497</xdr:rowOff>
    </xdr:to>
    <xdr:sp macro="" textlink="">
      <xdr:nvSpPr>
        <xdr:cNvPr id="5" name="DbgShadowBox">
          <a:extLst>
            <a:ext uri="{FF2B5EF4-FFF2-40B4-BE49-F238E27FC236}">
              <a16:creationId xmlns:a16="http://schemas.microsoft.com/office/drawing/2014/main" id="{00000000-0008-0000-0300-000005000000}"/>
            </a:ext>
          </a:extLst>
        </xdr:cNvPr>
        <xdr:cNvSpPr/>
      </xdr:nvSpPr>
      <xdr:spPr bwMode="auto">
        <a:xfrm>
          <a:off x="1943100" y="1771651"/>
          <a:ext cx="3429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Select a currency. </a:t>
          </a:r>
          <a:br>
            <a:rPr lang="en-US" sz="1050" b="0" i="0" u="none" strike="noStrike" baseline="0">
              <a:solidFill>
                <a:srgbClr val="1F497D"/>
              </a:solidFill>
              <a:latin typeface="+mn-lt"/>
            </a:rPr>
          </a:br>
          <a:r>
            <a:rPr lang="en-US" sz="1050" b="0" i="0" u="none" strike="noStrike" baseline="0">
              <a:solidFill>
                <a:srgbClr val="1F497D"/>
              </a:solidFill>
              <a:latin typeface="+mn-lt"/>
            </a:rPr>
            <a:t>The default swap curve will be used in calculation of rates.</a:t>
          </a:r>
        </a:p>
      </xdr:txBody>
    </xdr:sp>
    <xdr:clientData/>
  </xdr:twoCellAnchor>
  <xdr:twoCellAnchor>
    <xdr:from>
      <xdr:col>6</xdr:col>
      <xdr:colOff>38100</xdr:colOff>
      <xdr:row>17</xdr:row>
      <xdr:rowOff>67497</xdr:rowOff>
    </xdr:from>
    <xdr:to>
      <xdr:col>6</xdr:col>
      <xdr:colOff>495300</xdr:colOff>
      <xdr:row>21</xdr:row>
      <xdr:rowOff>47625</xdr:rowOff>
    </xdr:to>
    <xdr:cxnSp macro="">
      <xdr:nvCxnSpPr>
        <xdr:cNvPr id="6" name="DbgGradArrow">
          <a:extLst>
            <a:ext uri="{FF2B5EF4-FFF2-40B4-BE49-F238E27FC236}">
              <a16:creationId xmlns:a16="http://schemas.microsoft.com/office/drawing/2014/main" id="{00000000-0008-0000-0300-000006000000}"/>
            </a:ext>
          </a:extLst>
        </xdr:cNvPr>
        <xdr:cNvCxnSpPr>
          <a:stCxn id="5" idx="2"/>
        </xdr:cNvCxnSpPr>
      </xdr:nvCxnSpPr>
      <xdr:spPr bwMode="auto">
        <a:xfrm flipH="1">
          <a:off x="3200400" y="2277297"/>
          <a:ext cx="457200" cy="74212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247650</xdr:colOff>
      <xdr:row>14</xdr:row>
      <xdr:rowOff>114301</xdr:rowOff>
    </xdr:from>
    <xdr:to>
      <xdr:col>17</xdr:col>
      <xdr:colOff>19050</xdr:colOff>
      <xdr:row>17</xdr:row>
      <xdr:rowOff>48447</xdr:rowOff>
    </xdr:to>
    <xdr:sp macro="" textlink="">
      <xdr:nvSpPr>
        <xdr:cNvPr id="15" name="DbgShadowBox">
          <a:extLst>
            <a:ext uri="{FF2B5EF4-FFF2-40B4-BE49-F238E27FC236}">
              <a16:creationId xmlns:a16="http://schemas.microsoft.com/office/drawing/2014/main" id="{00000000-0008-0000-0300-00000F000000}"/>
            </a:ext>
          </a:extLst>
        </xdr:cNvPr>
        <xdr:cNvSpPr/>
      </xdr:nvSpPr>
      <xdr:spPr bwMode="auto">
        <a:xfrm>
          <a:off x="6457950" y="1752601"/>
          <a:ext cx="342900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Choosing automatic updates will slow the performance of the spreadsheet.</a:t>
          </a:r>
        </a:p>
      </xdr:txBody>
    </xdr:sp>
    <xdr:clientData/>
  </xdr:twoCellAnchor>
  <xdr:twoCellAnchor>
    <xdr:from>
      <xdr:col>13</xdr:col>
      <xdr:colOff>219075</xdr:colOff>
      <xdr:row>17</xdr:row>
      <xdr:rowOff>48447</xdr:rowOff>
    </xdr:from>
    <xdr:to>
      <xdr:col>14</xdr:col>
      <xdr:colOff>133350</xdr:colOff>
      <xdr:row>21</xdr:row>
      <xdr:rowOff>133350</xdr:rowOff>
    </xdr:to>
    <xdr:cxnSp macro="">
      <xdr:nvCxnSpPr>
        <xdr:cNvPr id="16" name="DbgGradArrow">
          <a:extLst>
            <a:ext uri="{FF2B5EF4-FFF2-40B4-BE49-F238E27FC236}">
              <a16:creationId xmlns:a16="http://schemas.microsoft.com/office/drawing/2014/main" id="{00000000-0008-0000-0300-000010000000}"/>
            </a:ext>
          </a:extLst>
        </xdr:cNvPr>
        <xdr:cNvCxnSpPr>
          <a:stCxn id="15" idx="2"/>
        </xdr:cNvCxnSpPr>
      </xdr:nvCxnSpPr>
      <xdr:spPr bwMode="auto">
        <a:xfrm flipH="1">
          <a:off x="7648575" y="2258247"/>
          <a:ext cx="523875" cy="846903"/>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571500</xdr:colOff>
      <xdr:row>38</xdr:row>
      <xdr:rowOff>38101</xdr:rowOff>
    </xdr:from>
    <xdr:to>
      <xdr:col>8</xdr:col>
      <xdr:colOff>352425</xdr:colOff>
      <xdr:row>41</xdr:row>
      <xdr:rowOff>57150</xdr:rowOff>
    </xdr:to>
    <xdr:sp macro="" textlink="">
      <xdr:nvSpPr>
        <xdr:cNvPr id="18" name="DbgShadowBox">
          <a:extLst>
            <a:ext uri="{FF2B5EF4-FFF2-40B4-BE49-F238E27FC236}">
              <a16:creationId xmlns:a16="http://schemas.microsoft.com/office/drawing/2014/main" id="{00000000-0008-0000-0300-000012000000}"/>
            </a:ext>
          </a:extLst>
        </xdr:cNvPr>
        <xdr:cNvSpPr/>
      </xdr:nvSpPr>
      <xdr:spPr bwMode="auto">
        <a:xfrm>
          <a:off x="1905000" y="7772401"/>
          <a:ext cx="2828925" cy="590549"/>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Use this ticker to write formulas in Excel and/or load this security on the Bloomberg terminal.</a:t>
          </a:r>
        </a:p>
      </xdr:txBody>
    </xdr:sp>
    <xdr:clientData/>
  </xdr:twoCellAnchor>
  <xdr:twoCellAnchor>
    <xdr:from>
      <xdr:col>6</xdr:col>
      <xdr:colOff>38103</xdr:colOff>
      <xdr:row>32</xdr:row>
      <xdr:rowOff>171451</xdr:rowOff>
    </xdr:from>
    <xdr:to>
      <xdr:col>6</xdr:col>
      <xdr:colOff>157163</xdr:colOff>
      <xdr:row>38</xdr:row>
      <xdr:rowOff>38101</xdr:rowOff>
    </xdr:to>
    <xdr:cxnSp macro="">
      <xdr:nvCxnSpPr>
        <xdr:cNvPr id="19" name="DbgGradArrow">
          <a:extLst>
            <a:ext uri="{FF2B5EF4-FFF2-40B4-BE49-F238E27FC236}">
              <a16:creationId xmlns:a16="http://schemas.microsoft.com/office/drawing/2014/main" id="{00000000-0008-0000-0300-000013000000}"/>
            </a:ext>
          </a:extLst>
        </xdr:cNvPr>
        <xdr:cNvCxnSpPr>
          <a:stCxn id="18" idx="0"/>
        </xdr:cNvCxnSpPr>
      </xdr:nvCxnSpPr>
      <xdr:spPr bwMode="auto">
        <a:xfrm flipH="1" flipV="1">
          <a:off x="3200403" y="6762751"/>
          <a:ext cx="119060" cy="10096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581025</xdr:colOff>
      <xdr:row>43</xdr:row>
      <xdr:rowOff>152400</xdr:rowOff>
    </xdr:from>
    <xdr:to>
      <xdr:col>15</xdr:col>
      <xdr:colOff>28111</xdr:colOff>
      <xdr:row>63</xdr:row>
      <xdr:rowOff>170972</xdr:rowOff>
    </xdr:to>
    <xdr:pic>
      <xdr:nvPicPr>
        <xdr:cNvPr id="25" name="Picture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3" cstate="print"/>
        <a:stretch>
          <a:fillRect/>
        </a:stretch>
      </xdr:blipFill>
      <xdr:spPr>
        <a:xfrm>
          <a:off x="4962525" y="8077200"/>
          <a:ext cx="3714286" cy="3828572"/>
        </a:xfrm>
        <a:prstGeom prst="rect">
          <a:avLst/>
        </a:prstGeom>
        <a:effectLst>
          <a:outerShdw blurRad="50800" dist="38100" dir="2700000" algn="tl">
            <a:prstClr val="black">
              <a:alpha val="40000"/>
            </a:prstClr>
          </a:outerShdw>
          <a:softEdge rad="25400"/>
        </a:effectLst>
      </xdr:spPr>
    </xdr:pic>
    <xdr:clientData/>
  </xdr:twoCellAnchor>
  <xdr:twoCellAnchor>
    <xdr:from>
      <xdr:col>3</xdr:col>
      <xdr:colOff>247650</xdr:colOff>
      <xdr:row>44</xdr:row>
      <xdr:rowOff>66676</xdr:rowOff>
    </xdr:from>
    <xdr:to>
      <xdr:col>8</xdr:col>
      <xdr:colOff>28575</xdr:colOff>
      <xdr:row>50</xdr:row>
      <xdr:rowOff>19050</xdr:rowOff>
    </xdr:to>
    <xdr:sp macro="" textlink="">
      <xdr:nvSpPr>
        <xdr:cNvPr id="26" name="DbgShadowBox">
          <a:extLst>
            <a:ext uri="{FF2B5EF4-FFF2-40B4-BE49-F238E27FC236}">
              <a16:creationId xmlns:a16="http://schemas.microsoft.com/office/drawing/2014/main" id="{00000000-0008-0000-0300-00001A000000}"/>
            </a:ext>
          </a:extLst>
        </xdr:cNvPr>
        <xdr:cNvSpPr/>
      </xdr:nvSpPr>
      <xdr:spPr bwMode="auto">
        <a:xfrm>
          <a:off x="1581150" y="8181976"/>
          <a:ext cx="2828925" cy="109537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1" i="0" u="none" strike="noStrike" baseline="0">
              <a:solidFill>
                <a:srgbClr val="1F497D"/>
              </a:solidFill>
              <a:latin typeface="+mn-lt"/>
            </a:rPr>
            <a:t>On the "General Schedule" tab:</a:t>
          </a:r>
        </a:p>
        <a:p>
          <a:pPr algn="l" rtl="0">
            <a:defRPr sz="1000"/>
          </a:pPr>
          <a:r>
            <a:rPr lang="en-US" sz="1050" b="0" i="0" u="none" strike="noStrike" baseline="0">
              <a:solidFill>
                <a:srgbClr val="1F497D"/>
              </a:solidFill>
              <a:latin typeface="+mn-lt"/>
            </a:rPr>
            <a:t>Enter Periodicity, Start and End Dates to get a list of periodic rates and discount factors.</a:t>
          </a:r>
          <a:br>
            <a:rPr lang="en-US" sz="1050" b="0" i="0" u="none" strike="noStrike" baseline="0">
              <a:solidFill>
                <a:srgbClr val="1F497D"/>
              </a:solidFill>
              <a:latin typeface="+mn-lt"/>
            </a:rPr>
          </a:br>
          <a:br>
            <a:rPr lang="en-US" sz="1050" b="0" i="0" u="none" strike="noStrike" baseline="0">
              <a:solidFill>
                <a:srgbClr val="1F497D"/>
              </a:solidFill>
              <a:latin typeface="+mn-lt"/>
            </a:rPr>
          </a:br>
          <a:r>
            <a:rPr lang="en-US" sz="1050" b="0" i="0" u="none" strike="noStrike" baseline="0">
              <a:solidFill>
                <a:srgbClr val="1F497D"/>
              </a:solidFill>
              <a:latin typeface="+mn-lt"/>
            </a:rPr>
            <a:t>The currency, market side and rates will be used from the "Zeros and Discounts" tab.</a:t>
          </a:r>
        </a:p>
      </xdr:txBody>
    </xdr:sp>
    <xdr:clientData/>
  </xdr:twoCellAnchor>
  <xdr:twoCellAnchor>
    <xdr:from>
      <xdr:col>8</xdr:col>
      <xdr:colOff>28575</xdr:colOff>
      <xdr:row>46</xdr:row>
      <xdr:rowOff>76201</xdr:rowOff>
    </xdr:from>
    <xdr:to>
      <xdr:col>9</xdr:col>
      <xdr:colOff>0</xdr:colOff>
      <xdr:row>47</xdr:row>
      <xdr:rowOff>42863</xdr:rowOff>
    </xdr:to>
    <xdr:cxnSp macro="">
      <xdr:nvCxnSpPr>
        <xdr:cNvPr id="27" name="DbgGradArrow">
          <a:extLst>
            <a:ext uri="{FF2B5EF4-FFF2-40B4-BE49-F238E27FC236}">
              <a16:creationId xmlns:a16="http://schemas.microsoft.com/office/drawing/2014/main" id="{00000000-0008-0000-0300-00001B000000}"/>
            </a:ext>
          </a:extLst>
        </xdr:cNvPr>
        <xdr:cNvCxnSpPr>
          <a:stCxn id="26" idx="3"/>
        </xdr:cNvCxnSpPr>
      </xdr:nvCxnSpPr>
      <xdr:spPr bwMode="auto">
        <a:xfrm flipV="1">
          <a:off x="4410075" y="8572501"/>
          <a:ext cx="581025" cy="157162"/>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83"/>
  <sheetViews>
    <sheetView showGridLines="0" showRowColHeaders="0" tabSelected="1" workbookViewId="0">
      <pane ySplit="20" topLeftCell="A42" activePane="bottomLeft" state="frozen"/>
      <selection pane="bottomLeft" activeCell="S48" sqref="S48"/>
    </sheetView>
  </sheetViews>
  <sheetFormatPr baseColWidth="10" defaultColWidth="9.140625" defaultRowHeight="15" x14ac:dyDescent="0.25"/>
  <cols>
    <col min="1" max="1" width="1.7109375" style="2" customWidth="1"/>
    <col min="2" max="2" width="9.140625" style="1" hidden="1" customWidth="1"/>
    <col min="3" max="4" width="9.7109375" style="1" customWidth="1"/>
    <col min="5" max="5" width="22.5703125" style="1" bestFit="1" customWidth="1"/>
    <col min="6" max="6" width="10.28515625" style="1" customWidth="1"/>
    <col min="7" max="7" width="11.7109375" style="2" customWidth="1"/>
    <col min="8" max="8" width="13.7109375" style="1" customWidth="1"/>
    <col min="9" max="9" width="1.7109375" style="1" customWidth="1"/>
    <col min="10" max="11" width="9.7109375" style="1" customWidth="1"/>
    <col min="12" max="12" width="22.85546875" style="1" bestFit="1" customWidth="1"/>
    <col min="13" max="13" width="10.28515625" style="2" customWidth="1"/>
    <col min="14" max="14" width="11.7109375" style="1" customWidth="1"/>
    <col min="15" max="15" width="13.7109375" style="1" customWidth="1"/>
    <col min="16" max="16" width="10.42578125" style="2" bestFit="1" customWidth="1"/>
    <col min="17" max="17" width="9.140625" style="2" customWidth="1"/>
    <col min="18" max="18" width="9.140625" style="1" hidden="1" customWidth="1"/>
    <col min="19" max="23" width="9.140625" style="2"/>
    <col min="24" max="16384" width="9.140625" style="1"/>
  </cols>
  <sheetData>
    <row r="1" spans="1:23" ht="5.0999999999999996" customHeight="1" x14ac:dyDescent="0.25">
      <c r="B1" s="2"/>
      <c r="C1" s="2"/>
      <c r="D1" s="2"/>
      <c r="E1" s="2"/>
      <c r="F1" s="2"/>
      <c r="H1" s="2"/>
      <c r="I1" s="2"/>
      <c r="J1" s="2"/>
      <c r="K1" s="2"/>
      <c r="L1" s="2"/>
      <c r="N1" s="2"/>
      <c r="O1" s="2"/>
    </row>
    <row r="2" spans="1:23" ht="15" customHeight="1" x14ac:dyDescent="0.25">
      <c r="B2" s="2"/>
      <c r="C2" s="2"/>
      <c r="D2" s="2"/>
      <c r="E2" s="2"/>
      <c r="F2" s="2"/>
      <c r="H2" s="2"/>
      <c r="I2" s="2"/>
      <c r="J2" s="2"/>
      <c r="K2" s="2"/>
      <c r="L2" s="2"/>
      <c r="N2" s="2"/>
      <c r="O2" s="2"/>
      <c r="R2" s="2"/>
    </row>
    <row r="3" spans="1:23" ht="15" customHeight="1" x14ac:dyDescent="0.25">
      <c r="B3" s="2"/>
      <c r="C3" s="2"/>
      <c r="D3" s="2"/>
      <c r="E3" s="2"/>
      <c r="F3" s="2"/>
      <c r="H3" s="2"/>
      <c r="I3" s="2"/>
      <c r="J3" s="2"/>
      <c r="K3" s="2"/>
      <c r="L3" s="2"/>
      <c r="N3" s="2"/>
      <c r="O3" s="2"/>
      <c r="R3" s="2"/>
    </row>
    <row r="4" spans="1:23" ht="15" customHeight="1" x14ac:dyDescent="0.25">
      <c r="B4" s="2"/>
      <c r="C4" s="2"/>
      <c r="D4" s="2"/>
      <c r="E4" s="2"/>
      <c r="F4" s="2"/>
      <c r="H4" s="2"/>
      <c r="I4" s="2"/>
      <c r="J4" s="2"/>
      <c r="K4" s="2"/>
      <c r="L4" s="2"/>
      <c r="N4" s="2"/>
      <c r="O4" s="2"/>
      <c r="R4" s="2"/>
    </row>
    <row r="5" spans="1:23" ht="5.0999999999999996" customHeight="1" x14ac:dyDescent="0.25">
      <c r="B5" s="2"/>
      <c r="C5" s="2"/>
      <c r="D5" s="2"/>
      <c r="E5" s="2"/>
      <c r="F5" s="2"/>
      <c r="H5" s="2"/>
      <c r="I5" s="2"/>
      <c r="J5" s="2"/>
      <c r="K5" s="2"/>
      <c r="L5" s="2"/>
      <c r="N5" s="2"/>
      <c r="O5" s="2"/>
      <c r="R5" s="2"/>
    </row>
    <row r="6" spans="1:23" ht="15" customHeight="1" x14ac:dyDescent="0.25">
      <c r="B6" s="3"/>
      <c r="C6" s="99" t="s">
        <v>0</v>
      </c>
      <c r="D6" s="100"/>
      <c r="E6" s="48" t="s">
        <v>137</v>
      </c>
      <c r="J6" s="99" t="s">
        <v>229</v>
      </c>
      <c r="K6" s="110"/>
      <c r="L6" s="77" t="s">
        <v>236</v>
      </c>
      <c r="R6" s="2"/>
    </row>
    <row r="7" spans="1:23" ht="15" customHeight="1" x14ac:dyDescent="0.25">
      <c r="B7" s="2"/>
      <c r="C7" s="108" t="s">
        <v>228</v>
      </c>
      <c r="D7" s="109"/>
      <c r="E7" s="76">
        <f>VLOOKUP($E$6,Data!B7:C114,2,FALSE)</f>
        <v>193</v>
      </c>
      <c r="F7" s="2"/>
      <c r="H7" s="2"/>
      <c r="J7" s="106" t="s">
        <v>230</v>
      </c>
      <c r="K7" s="107"/>
      <c r="L7" s="77" t="s">
        <v>235</v>
      </c>
      <c r="R7" s="2"/>
    </row>
    <row r="8" spans="1:23" ht="15" hidden="1" customHeight="1" x14ac:dyDescent="0.25">
      <c r="B8" s="2"/>
      <c r="C8" s="2"/>
      <c r="D8" s="2"/>
      <c r="E8" s="2"/>
      <c r="F8" s="2"/>
      <c r="H8" s="2"/>
      <c r="I8" s="2"/>
      <c r="J8" s="2"/>
      <c r="K8" s="2"/>
      <c r="L8" s="2"/>
      <c r="N8" s="2"/>
      <c r="O8" s="2"/>
      <c r="R8" s="2"/>
    </row>
    <row r="9" spans="1:23" ht="15" hidden="1" customHeight="1" x14ac:dyDescent="0.25">
      <c r="B9" s="2"/>
      <c r="C9" s="2"/>
      <c r="D9" s="2"/>
      <c r="E9" s="2"/>
      <c r="F9" s="2"/>
      <c r="H9" s="2"/>
      <c r="I9" s="2"/>
      <c r="J9" s="2"/>
      <c r="K9" s="2"/>
      <c r="L9" s="2"/>
      <c r="N9" s="2"/>
      <c r="O9" s="2"/>
      <c r="R9" s="2"/>
    </row>
    <row r="10" spans="1:23" ht="5.0999999999999996" customHeight="1" x14ac:dyDescent="0.25">
      <c r="B10" s="2"/>
      <c r="C10" s="2"/>
      <c r="D10" s="2"/>
      <c r="E10" s="2"/>
      <c r="F10" s="2"/>
      <c r="H10" s="2"/>
      <c r="I10" s="2"/>
      <c r="J10" s="2"/>
      <c r="K10" s="2"/>
      <c r="L10" s="2"/>
      <c r="N10" s="2"/>
      <c r="O10" s="2"/>
      <c r="R10" s="2"/>
    </row>
    <row r="11" spans="1:23" ht="15" customHeight="1" x14ac:dyDescent="0.25">
      <c r="B11" s="3"/>
      <c r="C11" s="103" t="s">
        <v>90</v>
      </c>
      <c r="D11" s="104"/>
      <c r="E11" s="104"/>
      <c r="F11" s="104"/>
      <c r="G11" s="104"/>
      <c r="H11" s="104"/>
      <c r="I11" s="104"/>
      <c r="J11" s="104"/>
      <c r="K11" s="104"/>
      <c r="L11" s="104"/>
      <c r="M11" s="104"/>
      <c r="N11" s="104"/>
      <c r="O11" s="105"/>
      <c r="R11" s="53"/>
    </row>
    <row r="12" spans="1:23" customFormat="1" ht="5.0999999999999996" customHeight="1" x14ac:dyDescent="0.2">
      <c r="A12" s="53"/>
      <c r="B12" s="53"/>
      <c r="C12" s="53"/>
      <c r="D12" s="53"/>
      <c r="E12" s="53"/>
      <c r="F12" s="53"/>
      <c r="G12" s="53"/>
      <c r="H12" s="53"/>
      <c r="I12" s="53"/>
      <c r="J12" s="53"/>
      <c r="K12" s="53"/>
      <c r="L12" s="53"/>
      <c r="M12" s="53"/>
      <c r="N12" s="53"/>
      <c r="O12" s="53"/>
      <c r="P12" s="53"/>
      <c r="Q12" s="53"/>
      <c r="R12" s="53"/>
      <c r="S12" s="53"/>
      <c r="T12" s="53"/>
      <c r="U12" s="53"/>
      <c r="V12" s="53"/>
      <c r="W12" s="53"/>
    </row>
    <row r="13" spans="1:23" ht="15" customHeight="1" x14ac:dyDescent="0.25">
      <c r="B13" s="3"/>
      <c r="C13" s="51"/>
      <c r="D13" s="2"/>
      <c r="E13" s="49" t="s">
        <v>88</v>
      </c>
      <c r="F13" s="50" t="s">
        <v>92</v>
      </c>
      <c r="G13" s="52"/>
      <c r="H13" s="2"/>
      <c r="I13" s="52"/>
      <c r="J13" s="51"/>
      <c r="K13" s="52"/>
      <c r="L13" s="101" t="s">
        <v>93</v>
      </c>
      <c r="M13" s="102"/>
      <c r="N13" s="52"/>
      <c r="O13" s="52"/>
      <c r="R13" s="53"/>
    </row>
    <row r="14" spans="1:23" ht="15" customHeight="1" x14ac:dyDescent="0.25">
      <c r="B14" s="3"/>
      <c r="C14" s="2"/>
      <c r="D14" s="2"/>
      <c r="E14" s="67">
        <v>42156</v>
      </c>
      <c r="F14" s="63">
        <f>_xll.BInterpol(maturities,zeros,E14,"linear","skip=true","sort=true","multix=average")</f>
        <v>2.8817499999999998</v>
      </c>
      <c r="K14" s="52"/>
      <c r="L14" s="55">
        <f>E14</f>
        <v>42156</v>
      </c>
      <c r="M14" s="59">
        <f>_xll.BInterpol($N$21:$N$116,discounts,E14,"linear","sort=true","skip=true","multix=average")</f>
        <v>0.99975999999999998</v>
      </c>
      <c r="N14" s="52"/>
      <c r="O14" s="52"/>
      <c r="R14" s="53"/>
    </row>
    <row r="15" spans="1:23" ht="15" customHeight="1" x14ac:dyDescent="0.25">
      <c r="B15" s="3"/>
      <c r="C15" s="51"/>
      <c r="D15" s="2"/>
      <c r="E15" s="68">
        <v>42522</v>
      </c>
      <c r="F15" s="64">
        <f>_xll.BInterpol(maturities,zeros,E15,"linear","skip=true","sort=true","multix=average")</f>
        <v>2.8817499999999998</v>
      </c>
      <c r="G15" s="51"/>
      <c r="H15" s="2"/>
      <c r="I15" s="2"/>
      <c r="J15" s="51"/>
      <c r="K15" s="52"/>
      <c r="L15" s="56">
        <f>E15</f>
        <v>42522</v>
      </c>
      <c r="M15" s="60">
        <f>_xll.BInterpol($N$21:$N$116,discounts,E15,"linear","sort=true","skip=true","multix=average")</f>
        <v>0.99975999999999998</v>
      </c>
      <c r="N15" s="52"/>
      <c r="O15" s="52"/>
      <c r="R15" s="53"/>
    </row>
    <row r="16" spans="1:23" ht="15" customHeight="1" x14ac:dyDescent="0.25">
      <c r="B16" s="3"/>
      <c r="C16" s="51"/>
      <c r="D16" s="2"/>
      <c r="E16" s="67">
        <v>43254</v>
      </c>
      <c r="F16" s="65">
        <f>_xll.BInterpol(maturities,zeros,E16,"linear","skip=true","sort=true","multix=average")</f>
        <v>2.8817499999999998</v>
      </c>
      <c r="G16" s="51"/>
      <c r="K16" s="52"/>
      <c r="L16" s="57">
        <f t="shared" ref="L16:L17" si="0">E16</f>
        <v>43254</v>
      </c>
      <c r="M16" s="61">
        <f>_xll.BInterpol($N$21:$N$116,discounts,E16,"linear","sort=true","skip=true","multix=average")</f>
        <v>0.99975999999999998</v>
      </c>
      <c r="N16" s="52"/>
      <c r="O16" s="52"/>
      <c r="R16" s="53"/>
    </row>
    <row r="17" spans="1:23" ht="15" customHeight="1" x14ac:dyDescent="0.25">
      <c r="B17" s="3"/>
      <c r="C17" s="51"/>
      <c r="D17" s="2"/>
      <c r="E17" s="68">
        <v>44715</v>
      </c>
      <c r="F17" s="66">
        <f>_xll.BInterpol(maturities,zeros,E17,"linear","skip=true","sort=true","multix=average")</f>
        <v>3.6581097826086957</v>
      </c>
      <c r="G17" s="51"/>
      <c r="H17" s="2"/>
      <c r="I17" s="2"/>
      <c r="J17" s="51"/>
      <c r="K17" s="52"/>
      <c r="L17" s="58">
        <f t="shared" si="0"/>
        <v>44715</v>
      </c>
      <c r="M17" s="62">
        <f>_xll.BInterpol($N$21:$N$116,discounts,E17,"linear","sort=true","skip=true","multix=average")</f>
        <v>0.88083726086956526</v>
      </c>
      <c r="N17" s="52"/>
      <c r="O17" s="52"/>
      <c r="R17" s="53"/>
    </row>
    <row r="18" spans="1:23" s="5" customFormat="1" ht="5.0999999999999996" customHeight="1" x14ac:dyDescent="0.25">
      <c r="A18" s="52"/>
      <c r="B18" s="4"/>
      <c r="C18" s="51"/>
      <c r="D18" s="52"/>
      <c r="E18" s="52"/>
      <c r="F18" s="52"/>
      <c r="G18" s="52"/>
      <c r="H18" s="52"/>
      <c r="I18" s="52"/>
      <c r="J18" s="51"/>
      <c r="K18" s="52"/>
      <c r="L18" s="52"/>
      <c r="M18" s="52"/>
      <c r="N18" s="52"/>
      <c r="O18" s="52"/>
      <c r="P18" s="52"/>
      <c r="Q18" s="52"/>
      <c r="R18" s="53"/>
      <c r="S18" s="52"/>
      <c r="T18" s="52"/>
      <c r="U18" s="52"/>
      <c r="V18" s="52"/>
      <c r="W18" s="52"/>
    </row>
    <row r="19" spans="1:23" ht="15" customHeight="1" x14ac:dyDescent="0.25">
      <c r="B19" s="3"/>
      <c r="C19" s="95" t="s">
        <v>2</v>
      </c>
      <c r="D19" s="96"/>
      <c r="E19" s="96"/>
      <c r="F19" s="96"/>
      <c r="G19" s="96"/>
      <c r="H19" s="97"/>
      <c r="I19" s="2"/>
      <c r="J19" s="95" t="s">
        <v>41</v>
      </c>
      <c r="K19" s="96"/>
      <c r="L19" s="98"/>
      <c r="M19" s="96"/>
      <c r="N19" s="96"/>
      <c r="O19" s="97"/>
      <c r="R19" s="53"/>
    </row>
    <row r="20" spans="1:23" ht="15" customHeight="1" x14ac:dyDescent="0.25">
      <c r="A20" s="85" t="s">
        <v>234</v>
      </c>
      <c r="B20" s="3"/>
      <c r="C20" s="9" t="s">
        <v>42</v>
      </c>
      <c r="D20" s="8" t="s">
        <v>3</v>
      </c>
      <c r="E20" s="8" t="s">
        <v>43</v>
      </c>
      <c r="F20" s="8" t="str">
        <f>L6</f>
        <v>Ask</v>
      </c>
      <c r="G20" s="8" t="s">
        <v>88</v>
      </c>
      <c r="H20" s="10" t="s">
        <v>89</v>
      </c>
      <c r="I20" s="86" t="s">
        <v>234</v>
      </c>
      <c r="J20" s="9" t="s">
        <v>42</v>
      </c>
      <c r="K20" s="8" t="s">
        <v>3</v>
      </c>
      <c r="L20" s="8" t="s">
        <v>43</v>
      </c>
      <c r="M20" s="8" t="str">
        <f>L6</f>
        <v>Ask</v>
      </c>
      <c r="N20" s="8" t="s">
        <v>88</v>
      </c>
      <c r="O20" s="10" t="s">
        <v>89</v>
      </c>
      <c r="R20" s="6" t="s">
        <v>3</v>
      </c>
    </row>
    <row r="21" spans="1:23" ht="15" customHeight="1" x14ac:dyDescent="0.25">
      <c r="A21" s="85" t="str">
        <f>_xll.BDP($E21, A$20)</f>
        <v>N</v>
      </c>
      <c r="B21" s="3"/>
      <c r="C21" s="23" t="str">
        <f t="shared" ref="C21:C52" si="1">IF(D21&lt;&gt;"","S0"&amp;REPT(0,3-LEN($E$7))&amp;$E$7&amp;"Z","")</f>
        <v>S0193Z</v>
      </c>
      <c r="D21" s="24" t="str">
        <f>IF(isvalidterm(R21,VLOOKUP($E$6,Data!$B$7:$G$114,5,FALSE),VLOOKUP($E$6,Data!$B$7:$G$114,6,FALSE)),R21,"")</f>
        <v>1D</v>
      </c>
      <c r="E21" s="25" t="str">
        <f t="shared" ref="E21:E52" si="2">IF(D21&lt;&gt;"",$C21&amp;" "&amp;$D21&amp;" BLC2 Curncy","")</f>
        <v>S0193Z 1D BLC2 Curncy</v>
      </c>
      <c r="F21" s="87">
        <f>IF(D21&lt;&gt;"",IF($L$7="YES",IF($A21="N",_xll.BDP($E21,$L$6), "-"),_xll.BDP($E21,"Px " &amp; $L$6)),"")</f>
        <v>2.8817499999999998</v>
      </c>
      <c r="G21" s="41">
        <f>IF(D21&lt;&gt;"",_xll.BDP($E21,$G$20)*1,"")</f>
        <v>43458</v>
      </c>
      <c r="H21" s="91" t="str">
        <f>IF(D21&lt;&gt;"",IF($L$7="YES",IF($A21="N",_xll.BDP($E21,"Time"), "-"),_xll.BDP($E21,H$20)),"")</f>
        <v>13:08:34</v>
      </c>
      <c r="I21" s="85" t="str">
        <f>_xll.BDP($L21, I$20)</f>
        <v>N</v>
      </c>
      <c r="J21" s="23" t="str">
        <f t="shared" ref="J21:J52" si="3">IF(D21&lt;&gt;"","S0"&amp;REPT(0,3-LEN($E$7))&amp;$E$7&amp;"D","")</f>
        <v>S0193D</v>
      </c>
      <c r="K21" s="24" t="str">
        <f t="shared" ref="K21:K52" si="4">D21</f>
        <v>1D</v>
      </c>
      <c r="L21" s="25" t="str">
        <f t="shared" ref="L21:L52" si="5">IF(D21&lt;&gt;"",$J21&amp;" "&amp;$K21&amp;" BLC2 Curncy","")</f>
        <v>S0193D 1D BLC2 Curncy</v>
      </c>
      <c r="M21" s="87">
        <f>IF(D21&lt;&gt;"",IF($L$7="YES",IF($I21="N",_xll.BDP($L21,$L$6), "-"),_xll.BDP($L21,"Px " &amp; $L$6)),"")</f>
        <v>0.99975999999999998</v>
      </c>
      <c r="N21" s="26">
        <f>IF(D21&lt;&gt;"",_xll.BDP($L21,$N$20)*1,"")</f>
        <v>43458</v>
      </c>
      <c r="O21" s="91" t="str">
        <f>IF(D21&lt;&gt;"",IF($L$7="YES",IF($I21="N",_xll.BDP($L21,"Time"), "-"),_xll.BDP($L21,O$20)),"")</f>
        <v>13:08:34</v>
      </c>
      <c r="R21" s="32" t="s">
        <v>4</v>
      </c>
    </row>
    <row r="22" spans="1:23" ht="15" customHeight="1" x14ac:dyDescent="0.25">
      <c r="A22" s="85" t="str">
        <f>_xll.BDP($E22, A$20)</f>
        <v>N</v>
      </c>
      <c r="B22" s="3"/>
      <c r="C22" s="13" t="str">
        <f t="shared" si="1"/>
        <v>S0193Z</v>
      </c>
      <c r="D22" s="12" t="str">
        <f>IF(isvalidterm(R22,VLOOKUP($E$6,Data!$B$7:$G$114,5,FALSE),VLOOKUP($E$6,Data!$B$7:$G$114,6,FALSE)),R22,"")</f>
        <v>2D</v>
      </c>
      <c r="E22" s="17" t="str">
        <f t="shared" si="2"/>
        <v>S0193Z 2D BLC2 Curncy</v>
      </c>
      <c r="F22" s="88">
        <f>IF(D22&lt;&gt;"",IF($L$7="YES",IF($A22="N",_xll.BDP($E22,$L$6), "-"),_xll.BDP($E22,"Px " &amp; $L$6)),"")</f>
        <v>2.8817499999999998</v>
      </c>
      <c r="G22" s="42">
        <f>IF(D22&lt;&gt;"",_xll.BDP($E22,$G$20)*1,"")</f>
        <v>43460</v>
      </c>
      <c r="H22" s="92" t="str">
        <f>IF(D22&lt;&gt;"",IF($L$7="YES",IF($A22="N",_xll.BDP($E22,"Time"), "-"),_xll.BDP($E22,H$20)),"")</f>
        <v>13:08:34</v>
      </c>
      <c r="I22" s="85" t="str">
        <f>_xll.BDP($L22, I$20)</f>
        <v>N</v>
      </c>
      <c r="J22" s="13" t="str">
        <f t="shared" si="3"/>
        <v>S0193D</v>
      </c>
      <c r="K22" s="12" t="str">
        <f t="shared" si="4"/>
        <v>2D</v>
      </c>
      <c r="L22" s="17" t="str">
        <f t="shared" si="5"/>
        <v>S0193D 2D BLC2 Curncy</v>
      </c>
      <c r="M22" s="88">
        <f>IF(D22&lt;&gt;"",IF($L$7="YES",IF($I22="N",_xll.BDP($L22,$L$6), "-"),_xll.BDP($L22,"Px " &amp; $L$6)),"")</f>
        <v>0.99975999999999998</v>
      </c>
      <c r="N22" s="20">
        <f>IF(D22&lt;&gt;"",_xll.BDP($L22,$N$20)*1,"")</f>
        <v>43460</v>
      </c>
      <c r="O22" s="92" t="str">
        <f>IF(D22&lt;&gt;"",IF($L$7="YES",IF($I22="N",_xll.BDP($L22,"Time"), "-"),_xll.BDP($L22,O$20)),"")</f>
        <v>13:08:34</v>
      </c>
      <c r="R22" s="33" t="s">
        <v>5</v>
      </c>
    </row>
    <row r="23" spans="1:23" ht="15" customHeight="1" x14ac:dyDescent="0.25">
      <c r="A23" s="85" t="str">
        <f>_xll.BDP($E23, A$20)</f>
        <v>N</v>
      </c>
      <c r="B23" s="3"/>
      <c r="C23" s="14" t="str">
        <f t="shared" si="1"/>
        <v>S0193Z</v>
      </c>
      <c r="D23" s="11" t="str">
        <f>IF(isvalidterm(R23,VLOOKUP($E$6,Data!$B$7:$G$114,5,FALSE),VLOOKUP($E$6,Data!$B$7:$G$114,6,FALSE)),R23,"")</f>
        <v>1W</v>
      </c>
      <c r="E23" s="18" t="str">
        <f t="shared" si="2"/>
        <v>S0193Z 1W BLC2 Curncy</v>
      </c>
      <c r="F23" s="89">
        <f>IF(D23&lt;&gt;"",IF($L$7="YES",IF($A23="N",_xll.BDP($E23,$L$6), "-"),_xll.BDP($E23,"Px " &amp; $L$6)),"")</f>
        <v>2.8817499999999998</v>
      </c>
      <c r="G23" s="43">
        <f>IF(D23&lt;&gt;"",_xll.BDP($E23,$G$20)*1,"")</f>
        <v>43462</v>
      </c>
      <c r="H23" s="93" t="str">
        <f>IF(D23&lt;&gt;"",IF($L$7="YES",IF($A23="N",_xll.BDP($E23,"Time"), "-"),_xll.BDP($E23,H$20)),"")</f>
        <v>13:08:34</v>
      </c>
      <c r="I23" s="85" t="str">
        <f>_xll.BDP($L23, I$20)</f>
        <v>N</v>
      </c>
      <c r="J23" s="14" t="str">
        <f t="shared" si="3"/>
        <v>S0193D</v>
      </c>
      <c r="K23" s="11" t="str">
        <f t="shared" si="4"/>
        <v>1W</v>
      </c>
      <c r="L23" s="18" t="str">
        <f t="shared" si="5"/>
        <v>S0193D 1W BLC2 Curncy</v>
      </c>
      <c r="M23" s="89">
        <f>IF(D23&lt;&gt;"",IF($L$7="YES",IF($I23="N",_xll.BDP($L23,$L$6), "-"),_xll.BDP($L23,"Px " &amp; $L$6)),"")</f>
        <v>0.99944</v>
      </c>
      <c r="N23" s="21">
        <f>IF(D23&lt;&gt;"",_xll.BDP($L23,$N$20)*1,"")</f>
        <v>43462</v>
      </c>
      <c r="O23" s="93" t="str">
        <f>IF(D23&lt;&gt;"",IF($L$7="YES",IF($I23="N",_xll.BDP($L23,"Time"), "-"),_xll.BDP($L23,O$20)),"")</f>
        <v>13:08:34</v>
      </c>
      <c r="R23" s="32" t="s">
        <v>6</v>
      </c>
    </row>
    <row r="24" spans="1:23" ht="15" customHeight="1" x14ac:dyDescent="0.25">
      <c r="A24" s="85" t="str">
        <f>_xll.BDP($E24, A$20)</f>
        <v>N</v>
      </c>
      <c r="B24" s="3"/>
      <c r="C24" s="13" t="str">
        <f t="shared" si="1"/>
        <v>S0193Z</v>
      </c>
      <c r="D24" s="12" t="str">
        <f>IF(isvalidterm(R24,VLOOKUP($E$6,Data!$B$7:$G$114,5,FALSE),VLOOKUP($E$6,Data!$B$7:$G$114,6,FALSE)),R24,"")</f>
        <v>2W</v>
      </c>
      <c r="E24" s="17" t="str">
        <f t="shared" si="2"/>
        <v>S0193Z 2W BLC2 Curncy</v>
      </c>
      <c r="F24" s="88">
        <f>IF(D24&lt;&gt;"",IF($L$7="YES",IF($A24="N",_xll.BDP($E24,$L$6), "-"),_xll.BDP($E24,"Px " &amp; $L$6)),"")</f>
        <v>2.8817499999999998</v>
      </c>
      <c r="G24" s="42">
        <f>IF(D24&lt;&gt;"",_xll.BDP($E24,$G$20)*1,"")</f>
        <v>43469</v>
      </c>
      <c r="H24" s="92" t="str">
        <f>IF(D24&lt;&gt;"",IF($L$7="YES",IF($A24="N",_xll.BDP($E24,"Time"), "-"),_xll.BDP($E24,H$20)),"")</f>
        <v>13:08:34</v>
      </c>
      <c r="I24" s="85" t="str">
        <f>_xll.BDP($L24, I$20)</f>
        <v>N</v>
      </c>
      <c r="J24" s="13" t="str">
        <f t="shared" si="3"/>
        <v>S0193D</v>
      </c>
      <c r="K24" s="12" t="str">
        <f t="shared" si="4"/>
        <v>2W</v>
      </c>
      <c r="L24" s="17" t="str">
        <f t="shared" si="5"/>
        <v>S0193D 2W BLC2 Curncy</v>
      </c>
      <c r="M24" s="88">
        <f>IF(D24&lt;&gt;"",IF($L$7="YES",IF($I24="N",_xll.BDP($L24,$L$6), "-"),_xll.BDP($L24,"Px " &amp; $L$6)),"")</f>
        <v>0.99888100000000002</v>
      </c>
      <c r="N24" s="20">
        <f>IF(D24&lt;&gt;"",_xll.BDP($L24,$N$20)*1,"")</f>
        <v>43469</v>
      </c>
      <c r="O24" s="92" t="str">
        <f>IF(D24&lt;&gt;"",IF($L$7="YES",IF($I24="N",_xll.BDP($L24,"Time"), "-"),_xll.BDP($L24,O$20)),"")</f>
        <v>13:08:34</v>
      </c>
      <c r="R24" s="33" t="s">
        <v>7</v>
      </c>
    </row>
    <row r="25" spans="1:23" ht="15" customHeight="1" x14ac:dyDescent="0.25">
      <c r="A25" s="85" t="str">
        <f>_xll.BDP($E25, A$20)</f>
        <v>N</v>
      </c>
      <c r="B25" s="3"/>
      <c r="C25" s="14" t="str">
        <f t="shared" si="1"/>
        <v>S0193Z</v>
      </c>
      <c r="D25" s="11" t="str">
        <f>IF(isvalidterm(R25,VLOOKUP($E$6,Data!$B$7:$G$114,5,FALSE),VLOOKUP($E$6,Data!$B$7:$G$114,6,FALSE)),R25,"")</f>
        <v>1I</v>
      </c>
      <c r="E25" s="18" t="str">
        <f t="shared" si="2"/>
        <v>S0193Z 1I BLC2 Curncy</v>
      </c>
      <c r="F25" s="89">
        <f>IF(D25&lt;&gt;"",IF($L$7="YES",IF($A25="N",_xll.BDP($E25,$L$6), "-"),_xll.BDP($E25,"Px " &amp; $L$6)),"")</f>
        <v>2.8817499999999998</v>
      </c>
      <c r="G25" s="43">
        <f>IF(D25&lt;&gt;"",_xll.BDP($E25,$G$20)*1,"")</f>
        <v>43542</v>
      </c>
      <c r="H25" s="93" t="str">
        <f>IF(D25&lt;&gt;"",IF($L$7="YES",IF($A25="N",_xll.BDP($E25,"Time"), "-"),_xll.BDP($E25,H$20)),"")</f>
        <v>13:08:34</v>
      </c>
      <c r="I25" s="85" t="str">
        <f>_xll.BDP($L25, I$20)</f>
        <v>N</v>
      </c>
      <c r="J25" s="14" t="str">
        <f t="shared" si="3"/>
        <v>S0193D</v>
      </c>
      <c r="K25" s="11" t="str">
        <f t="shared" si="4"/>
        <v>1I</v>
      </c>
      <c r="L25" s="18" t="str">
        <f t="shared" si="5"/>
        <v>S0193D 1I BLC2 Curncy</v>
      </c>
      <c r="M25" s="89">
        <f>IF(D25&lt;&gt;"",IF($L$7="YES",IF($I25="N",_xll.BDP($L25,$L$6), "-"),_xll.BDP($L25,"Px " &amp; $L$6)),"")</f>
        <v>0.99308399999999997</v>
      </c>
      <c r="N25" s="21">
        <f>IF(D25&lt;&gt;"",_xll.BDP($L25,$N$20)*1,"")</f>
        <v>43542</v>
      </c>
      <c r="O25" s="93" t="str">
        <f>IF(D25&lt;&gt;"",IF($L$7="YES",IF($I25="N",_xll.BDP($L25,"Time"), "-"),_xll.BDP($L25,O$20)),"")</f>
        <v>13:08:34</v>
      </c>
      <c r="R25" s="32" t="s">
        <v>37</v>
      </c>
    </row>
    <row r="26" spans="1:23" ht="15" customHeight="1" x14ac:dyDescent="0.25">
      <c r="A26" s="85" t="str">
        <f>_xll.BDP($E26, A$20)</f>
        <v>N</v>
      </c>
      <c r="B26" s="3"/>
      <c r="C26" s="14" t="str">
        <f t="shared" si="1"/>
        <v>S0193Z</v>
      </c>
      <c r="D26" s="11" t="str">
        <f>IF(isvalidterm(R26,VLOOKUP($E$6,Data!$B$7:$G$114,5,FALSE),VLOOKUP($E$6,Data!$B$7:$G$114,6,FALSE)),R26,"")</f>
        <v>1M</v>
      </c>
      <c r="E26" s="18" t="str">
        <f t="shared" si="2"/>
        <v>S0193Z 1M BLC2 Curncy</v>
      </c>
      <c r="F26" s="89">
        <f>IF(D26&lt;&gt;"",IF($L$7="YES",IF($A26="N",_xll.BDP($E26,$L$6), "-"),_xll.BDP($E26,"Px " &amp; $L$6)),"")</f>
        <v>2.8817499999999998</v>
      </c>
      <c r="G26" s="43">
        <f>IF(D26&lt;&gt;"",_xll.BDP($E26,$G$20)*1,"")</f>
        <v>43486</v>
      </c>
      <c r="H26" s="93" t="str">
        <f>IF(D26&lt;&gt;"",IF($L$7="YES",IF($A26="N",_xll.BDP($E26,"Time"), "-"),_xll.BDP($E26,H$20)),"")</f>
        <v>13:08:34</v>
      </c>
      <c r="I26" s="85" t="str">
        <f>_xll.BDP($L26, I$20)</f>
        <v>N</v>
      </c>
      <c r="J26" s="14" t="str">
        <f t="shared" si="3"/>
        <v>S0193D</v>
      </c>
      <c r="K26" s="11" t="str">
        <f t="shared" si="4"/>
        <v>1M</v>
      </c>
      <c r="L26" s="18" t="str">
        <f t="shared" si="5"/>
        <v>S0193D 1M BLC2 Curncy</v>
      </c>
      <c r="M26" s="89">
        <f>IF(D26&lt;&gt;"",IF($L$7="YES",IF($I26="N",_xll.BDP($L26,$L$6), "-"),_xll.BDP($L26,"Px " &amp; $L$6)),"")</f>
        <v>0.997525</v>
      </c>
      <c r="N26" s="21">
        <f>IF(D26&lt;&gt;"",_xll.BDP($L26,$N$20)*1,"")</f>
        <v>43486</v>
      </c>
      <c r="O26" s="93" t="str">
        <f>IF(D26&lt;&gt;"",IF($L$7="YES",IF($I26="N",_xll.BDP($L26,"Time"), "-"),_xll.BDP($L26,O$20)),"")</f>
        <v>13:08:34</v>
      </c>
      <c r="R26" s="32" t="s">
        <v>8</v>
      </c>
    </row>
    <row r="27" spans="1:23" ht="15" customHeight="1" x14ac:dyDescent="0.25">
      <c r="A27" s="85" t="str">
        <f>_xll.BDP($E27, A$20)</f>
        <v>N</v>
      </c>
      <c r="B27" s="3"/>
      <c r="C27" s="13" t="str">
        <f t="shared" si="1"/>
        <v>S0193Z</v>
      </c>
      <c r="D27" s="12" t="str">
        <f>IF(isvalidterm(R27,VLOOKUP($E$6,Data!$B$7:$G$114,5,FALSE),VLOOKUP($E$6,Data!$B$7:$G$114,6,FALSE)),R27,"")</f>
        <v>2M</v>
      </c>
      <c r="E27" s="17" t="str">
        <f t="shared" si="2"/>
        <v>S0193Z 2M BLC2 Curncy</v>
      </c>
      <c r="F27" s="88">
        <f>IF(D27&lt;&gt;"",IF($L$7="YES",IF($A27="N",_xll.BDP($E27,$L$6), "-"),_xll.BDP($E27,"Px " &amp; $L$6)),"")</f>
        <v>2.8817499999999998</v>
      </c>
      <c r="G27" s="42">
        <f>IF(D27&lt;&gt;"",_xll.BDP($E27,$G$20)*1,"")</f>
        <v>43517</v>
      </c>
      <c r="H27" s="92" t="str">
        <f>IF(D27&lt;&gt;"",IF($L$7="YES",IF($A27="N",_xll.BDP($E27,"Time"), "-"),_xll.BDP($E27,H$20)),"")</f>
        <v>13:08:34</v>
      </c>
      <c r="I27" s="85" t="str">
        <f>_xll.BDP($L27, I$20)</f>
        <v>N</v>
      </c>
      <c r="J27" s="13" t="str">
        <f t="shared" si="3"/>
        <v>S0193D</v>
      </c>
      <c r="K27" s="12" t="str">
        <f t="shared" si="4"/>
        <v>2M</v>
      </c>
      <c r="L27" s="17" t="str">
        <f t="shared" si="5"/>
        <v>S0193D 2M BLC2 Curncy</v>
      </c>
      <c r="M27" s="88">
        <f>IF(D27&lt;&gt;"",IF($L$7="YES",IF($I27="N",_xll.BDP($L27,$L$6), "-"),_xll.BDP($L27,"Px " &amp; $L$6)),"")</f>
        <v>0.995062</v>
      </c>
      <c r="N27" s="20">
        <f>IF(D27&lt;&gt;"",_xll.BDP($L27,$N$20)*1,"")</f>
        <v>43517</v>
      </c>
      <c r="O27" s="92" t="str">
        <f>IF(D27&lt;&gt;"",IF($L$7="YES",IF($I27="N",_xll.BDP($L27,"Time"), "-"),_xll.BDP($L27,O$20)),"")</f>
        <v>13:08:34</v>
      </c>
      <c r="R27" s="33" t="s">
        <v>9</v>
      </c>
    </row>
    <row r="28" spans="1:23" ht="15" customHeight="1" x14ac:dyDescent="0.25">
      <c r="A28" s="85" t="str">
        <f>_xll.BDP($E28, A$20)</f>
        <v>N</v>
      </c>
      <c r="B28" s="3"/>
      <c r="C28" s="13" t="str">
        <f t="shared" si="1"/>
        <v>S0193Z</v>
      </c>
      <c r="D28" s="12" t="str">
        <f>IF(isvalidterm(R28,VLOOKUP($E$6,Data!$B$7:$G$114,5,FALSE),VLOOKUP($E$6,Data!$B$7:$G$114,6,FALSE)),R28,"")</f>
        <v>3M</v>
      </c>
      <c r="E28" s="17" t="str">
        <f t="shared" si="2"/>
        <v>S0193Z 3M BLC2 Curncy</v>
      </c>
      <c r="F28" s="88">
        <f>IF(D28&lt;&gt;"",IF($L$7="YES",IF($A28="N",_xll.BDP($E28,$L$6), "-"),_xll.BDP($E28,"Px " &amp; $L$6)),"")</f>
        <v>2.8817499999999998</v>
      </c>
      <c r="G28" s="42">
        <f>IF(D28&lt;&gt;"",_xll.BDP($E28,$G$20)*1,"")</f>
        <v>43545</v>
      </c>
      <c r="H28" s="92" t="str">
        <f>IF(D28&lt;&gt;"",IF($L$7="YES",IF($A28="N",_xll.BDP($E28,"Time"), "-"),_xll.BDP($E28,H$20)),"")</f>
        <v>13:08:34</v>
      </c>
      <c r="I28" s="85" t="str">
        <f>_xll.BDP($L28, I$20)</f>
        <v>N</v>
      </c>
      <c r="J28" s="13" t="str">
        <f t="shared" si="3"/>
        <v>S0193D</v>
      </c>
      <c r="K28" s="12" t="str">
        <f t="shared" si="4"/>
        <v>3M</v>
      </c>
      <c r="L28" s="17" t="str">
        <f t="shared" si="5"/>
        <v>S0193D 3M BLC2 Curncy</v>
      </c>
      <c r="M28" s="88">
        <f>IF(D28&lt;&gt;"",IF($L$7="YES",IF($I28="N",_xll.BDP($L28,$L$6), "-"),_xll.BDP($L28,"Px " &amp; $L$6)),"")</f>
        <v>0.99284700000000004</v>
      </c>
      <c r="N28" s="20">
        <f>IF(D28&lt;&gt;"",_xll.BDP($L28,$N$20)*1,"")</f>
        <v>43545</v>
      </c>
      <c r="O28" s="92" t="str">
        <f>IF(D28&lt;&gt;"",IF($L$7="YES",IF($I28="N",_xll.BDP($L28,"Time"), "-"),_xll.BDP($L28,O$20)),"")</f>
        <v>13:08:34</v>
      </c>
      <c r="R28" s="33" t="s">
        <v>10</v>
      </c>
    </row>
    <row r="29" spans="1:23" ht="15" customHeight="1" x14ac:dyDescent="0.25">
      <c r="A29" s="85" t="str">
        <f>_xll.BDP($E29, A$20)</f>
        <v>N</v>
      </c>
      <c r="B29" s="3"/>
      <c r="C29" s="14" t="str">
        <f t="shared" si="1"/>
        <v>S0193Z</v>
      </c>
      <c r="D29" s="11" t="str">
        <f>IF(isvalidterm(R29,VLOOKUP($E$6,Data!$B$7:$G$114,5,FALSE),VLOOKUP($E$6,Data!$B$7:$G$114,6,FALSE)),R29,"")</f>
        <v>2I</v>
      </c>
      <c r="E29" s="18" t="str">
        <f t="shared" si="2"/>
        <v>S0193Z 2I BLC2 Curncy</v>
      </c>
      <c r="F29" s="89">
        <f>IF(D29&lt;&gt;"",IF($L$7="YES",IF($A29="N",_xll.BDP($E29,$L$6), "-"),_xll.BDP($E29,"Px " &amp; $L$6)),"")</f>
        <v>2.95017</v>
      </c>
      <c r="G29" s="43">
        <f>IF(D29&lt;&gt;"",_xll.BDP($E29,$G$20)*1,"")</f>
        <v>43633</v>
      </c>
      <c r="H29" s="93" t="str">
        <f>IF(D29&lt;&gt;"",IF($L$7="YES",IF($A29="N",_xll.BDP($E29,"Time"), "-"),_xll.BDP($E29,H$20)),"")</f>
        <v>13:08:34</v>
      </c>
      <c r="I29" s="85" t="str">
        <f>_xll.BDP($L29, I$20)</f>
        <v>N</v>
      </c>
      <c r="J29" s="14" t="str">
        <f t="shared" si="3"/>
        <v>S0193D</v>
      </c>
      <c r="K29" s="11" t="str">
        <f t="shared" si="4"/>
        <v>2I</v>
      </c>
      <c r="L29" s="18" t="str">
        <f t="shared" si="5"/>
        <v>S0193D 2I BLC2 Curncy</v>
      </c>
      <c r="M29" s="89">
        <f>IF(D29&lt;&gt;"",IF($L$7="YES",IF($I29="N",_xll.BDP($L29,$L$6), "-"),_xll.BDP($L29,"Px " &amp; $L$6)),"")</f>
        <v>0.98562300000000003</v>
      </c>
      <c r="N29" s="21">
        <f>IF(D29&lt;&gt;"",_xll.BDP($L29,$N$20)*1,"")</f>
        <v>43633</v>
      </c>
      <c r="O29" s="93" t="str">
        <f>IF(D29&lt;&gt;"",IF($L$7="YES",IF($I29="N",_xll.BDP($L29,"Time"), "-"),_xll.BDP($L29,O$20)),"")</f>
        <v>13:08:34</v>
      </c>
      <c r="R29" s="32" t="s">
        <v>38</v>
      </c>
    </row>
    <row r="30" spans="1:23" ht="15" customHeight="1" x14ac:dyDescent="0.25">
      <c r="A30" s="85" t="str">
        <f>_xll.BDP($E30, A$20)</f>
        <v>N</v>
      </c>
      <c r="B30" s="3"/>
      <c r="C30" s="14" t="str">
        <f t="shared" si="1"/>
        <v>S0193Z</v>
      </c>
      <c r="D30" s="11" t="str">
        <f>IF(isvalidterm(R30,VLOOKUP($E$6,Data!$B$7:$G$114,5,FALSE),VLOOKUP($E$6,Data!$B$7:$G$114,6,FALSE)),R30,"")</f>
        <v>4M</v>
      </c>
      <c r="E30" s="18" t="str">
        <f t="shared" si="2"/>
        <v>S0193Z 4M BLC2 Curncy</v>
      </c>
      <c r="F30" s="89">
        <f>IF(D30&lt;&gt;"",IF($L$7="YES",IF($A30="N",_xll.BDP($E30,$L$6), "-"),_xll.BDP($E30,"Px " &amp; $L$6)),"")</f>
        <v>2.9066299999999998</v>
      </c>
      <c r="G30" s="43">
        <f>IF(D30&lt;&gt;"",_xll.BDP($E30,$G$20)*1,"")</f>
        <v>43577</v>
      </c>
      <c r="H30" s="93" t="str">
        <f>IF(D30&lt;&gt;"",IF($L$7="YES",IF($A30="N",_xll.BDP($E30,"Time"), "-"),_xll.BDP($E30,H$20)),"")</f>
        <v>13:08:34</v>
      </c>
      <c r="I30" s="85" t="str">
        <f>_xll.BDP($L30, I$20)</f>
        <v>N</v>
      </c>
      <c r="J30" s="14" t="str">
        <f t="shared" si="3"/>
        <v>S0193D</v>
      </c>
      <c r="K30" s="11" t="str">
        <f t="shared" si="4"/>
        <v>4M</v>
      </c>
      <c r="L30" s="18" t="str">
        <f t="shared" si="5"/>
        <v>S0193D 4M BLC2 Curncy</v>
      </c>
      <c r="M30" s="89">
        <f>IF(D30&lt;&gt;"",IF($L$7="YES",IF($I30="N",_xll.BDP($L30,$L$6), "-"),_xll.BDP($L30,"Px " &amp; $L$6)),"")</f>
        <v>0.99024599999999996</v>
      </c>
      <c r="N30" s="21">
        <f>IF(D30&lt;&gt;"",_xll.BDP($L30,$N$20)*1,"")</f>
        <v>43577</v>
      </c>
      <c r="O30" s="93" t="str">
        <f>IF(D30&lt;&gt;"",IF($L$7="YES",IF($I30="N",_xll.BDP($L30,"Time"), "-"),_xll.BDP($L30,O$20)),"")</f>
        <v>13:08:34</v>
      </c>
      <c r="R30" s="32" t="s">
        <v>11</v>
      </c>
    </row>
    <row r="31" spans="1:23" ht="15" customHeight="1" x14ac:dyDescent="0.25">
      <c r="A31" s="85" t="str">
        <f>_xll.BDP($E31, A$20)</f>
        <v>N</v>
      </c>
      <c r="B31" s="3"/>
      <c r="C31" s="13" t="str">
        <f t="shared" si="1"/>
        <v>S0193Z</v>
      </c>
      <c r="D31" s="12" t="str">
        <f>IF(isvalidterm(R31,VLOOKUP($E$6,Data!$B$7:$G$114,5,FALSE),VLOOKUP($E$6,Data!$B$7:$G$114,6,FALSE)),R31,"")</f>
        <v>5M</v>
      </c>
      <c r="E31" s="17" t="str">
        <f t="shared" si="2"/>
        <v>S0193Z 5M BLC2 Curncy</v>
      </c>
      <c r="F31" s="88">
        <f>IF(D31&lt;&gt;"",IF($L$7="YES",IF($A31="N",_xll.BDP($E31,$L$6), "-"),_xll.BDP($E31,"Px " &amp; $L$6)),"")</f>
        <v>2.9299599999999999</v>
      </c>
      <c r="G31" s="42">
        <f>IF(D31&lt;&gt;"",_xll.BDP($E31,$G$20)*1,"")</f>
        <v>43607</v>
      </c>
      <c r="H31" s="92" t="str">
        <f>IF(D31&lt;&gt;"",IF($L$7="YES",IF($A31="N",_xll.BDP($E31,"Time"), "-"),_xll.BDP($E31,H$20)),"")</f>
        <v>13:08:34</v>
      </c>
      <c r="I31" s="85" t="str">
        <f>_xll.BDP($L31, I$20)</f>
        <v>N</v>
      </c>
      <c r="J31" s="13" t="str">
        <f t="shared" si="3"/>
        <v>S0193D</v>
      </c>
      <c r="K31" s="12" t="str">
        <f t="shared" si="4"/>
        <v>5M</v>
      </c>
      <c r="L31" s="17" t="str">
        <f t="shared" si="5"/>
        <v>S0193D 5M BLC2 Curncy</v>
      </c>
      <c r="M31" s="88">
        <f>IF(D31&lt;&gt;"",IF($L$7="YES",IF($I31="N",_xll.BDP($L31,$L$6), "-"),_xll.BDP($L31,"Px " &amp; $L$6)),"")</f>
        <v>0.98777999999999999</v>
      </c>
      <c r="N31" s="20">
        <f>IF(D31&lt;&gt;"",_xll.BDP($L31,$N$20)*1,"")</f>
        <v>43607</v>
      </c>
      <c r="O31" s="92" t="str">
        <f>IF(D31&lt;&gt;"",IF($L$7="YES",IF($I31="N",_xll.BDP($L31,"Time"), "-"),_xll.BDP($L31,O$20)),"")</f>
        <v>13:08:34</v>
      </c>
      <c r="R31" s="33" t="s">
        <v>12</v>
      </c>
    </row>
    <row r="32" spans="1:23" ht="15" customHeight="1" x14ac:dyDescent="0.25">
      <c r="A32" s="85" t="str">
        <f>_xll.BDP($E32, A$20)</f>
        <v>N</v>
      </c>
      <c r="B32" s="3"/>
      <c r="C32" s="13" t="str">
        <f t="shared" si="1"/>
        <v>S0193Z</v>
      </c>
      <c r="D32" s="12" t="str">
        <f>IF(isvalidterm(R32,VLOOKUP($E$6,Data!$B$7:$G$114,5,FALSE),VLOOKUP($E$6,Data!$B$7:$G$114,6,FALSE)),R32,"")</f>
        <v>6M</v>
      </c>
      <c r="E32" s="17" t="str">
        <f t="shared" si="2"/>
        <v>S0193Z 6M BLC2 Curncy</v>
      </c>
      <c r="F32" s="88">
        <f>IF(D32&lt;&gt;"",IF($L$7="YES",IF($A32="N",_xll.BDP($E32,$L$6), "-"),_xll.BDP($E32,"Px " &amp; $L$6)),"")</f>
        <v>2.9532799999999999</v>
      </c>
      <c r="G32" s="42">
        <f>IF(D32&lt;&gt;"",_xll.BDP($E32,$G$20)*1,"")</f>
        <v>43637</v>
      </c>
      <c r="H32" s="92" t="str">
        <f>IF(D32&lt;&gt;"",IF($L$7="YES",IF($A32="N",_xll.BDP($E32,"Time"), "-"),_xll.BDP($E32,H$20)),"")</f>
        <v>13:08:34</v>
      </c>
      <c r="I32" s="85" t="str">
        <f>_xll.BDP($L32, I$20)</f>
        <v>N</v>
      </c>
      <c r="J32" s="13" t="str">
        <f t="shared" si="3"/>
        <v>S0193D</v>
      </c>
      <c r="K32" s="12" t="str">
        <f t="shared" si="4"/>
        <v>6M</v>
      </c>
      <c r="L32" s="17" t="str">
        <f t="shared" si="5"/>
        <v>S0193D 6M BLC2 Curncy</v>
      </c>
      <c r="M32" s="88">
        <f>IF(D32&lt;&gt;"",IF($L$7="YES",IF($I32="N",_xll.BDP($L32,$L$6), "-"),_xll.BDP($L32,"Px " &amp; $L$6)),"")</f>
        <v>0.98528899999999997</v>
      </c>
      <c r="N32" s="20">
        <f>IF(D32&lt;&gt;"",_xll.BDP($L32,$N$20)*1,"")</f>
        <v>43637</v>
      </c>
      <c r="O32" s="92" t="str">
        <f>IF(D32&lt;&gt;"",IF($L$7="YES",IF($I32="N",_xll.BDP($L32,"Time"), "-"),_xll.BDP($L32,O$20)),"")</f>
        <v>13:08:34</v>
      </c>
      <c r="R32" s="33" t="s">
        <v>13</v>
      </c>
    </row>
    <row r="33" spans="1:18" ht="15" customHeight="1" x14ac:dyDescent="0.25">
      <c r="A33" s="85" t="str">
        <f>_xll.BDP($E33, A$20)</f>
        <v>N</v>
      </c>
      <c r="B33" s="3"/>
      <c r="C33" s="14" t="str">
        <f t="shared" si="1"/>
        <v>S0193Z</v>
      </c>
      <c r="D33" s="11" t="str">
        <f>IF(isvalidterm(R33,VLOOKUP($E$6,Data!$B$7:$G$114,5,FALSE),VLOOKUP($E$6,Data!$B$7:$G$114,6,FALSE)),R33,"")</f>
        <v>3I</v>
      </c>
      <c r="E33" s="18" t="str">
        <f t="shared" si="2"/>
        <v>S0193Z 3I BLC2 Curncy</v>
      </c>
      <c r="F33" s="89">
        <f>IF(D33&lt;&gt;"",IF($L$7="YES",IF($A33="N",_xll.BDP($E33,$L$6), "-"),_xll.BDP($E33,"Px " &amp; $L$6)),"")</f>
        <v>3.06433</v>
      </c>
      <c r="G33" s="43">
        <f>IF(D33&lt;&gt;"",_xll.BDP($E33,$G$20)*1,"")</f>
        <v>43724</v>
      </c>
      <c r="H33" s="93" t="str">
        <f>IF(D33&lt;&gt;"",IF($L$7="YES",IF($A33="N",_xll.BDP($E33,"Time"), "-"),_xll.BDP($E33,H$20)),"")</f>
        <v>13:08:34</v>
      </c>
      <c r="I33" s="85" t="str">
        <f>_xll.BDP($L33, I$20)</f>
        <v>N</v>
      </c>
      <c r="J33" s="14" t="str">
        <f t="shared" si="3"/>
        <v>S0193D</v>
      </c>
      <c r="K33" s="11" t="str">
        <f t="shared" si="4"/>
        <v>3I</v>
      </c>
      <c r="L33" s="18" t="str">
        <f t="shared" si="5"/>
        <v>S0193D 3I BLC2 Curncy</v>
      </c>
      <c r="M33" s="89">
        <f>IF(D33&lt;&gt;"",IF($L$7="YES",IF($I33="N",_xll.BDP($L33,$L$6), "-"),_xll.BDP($L33,"Px " &amp; $L$6)),"")</f>
        <v>0.97761500000000001</v>
      </c>
      <c r="N33" s="21">
        <f>IF(D33&lt;&gt;"",_xll.BDP($L33,$N$20)*1,"")</f>
        <v>43724</v>
      </c>
      <c r="O33" s="93" t="str">
        <f>IF(D33&lt;&gt;"",IF($L$7="YES",IF($I33="N",_xll.BDP($L33,"Time"), "-"),_xll.BDP($L33,O$20)),"")</f>
        <v>13:08:34</v>
      </c>
      <c r="R33" s="32" t="s">
        <v>39</v>
      </c>
    </row>
    <row r="34" spans="1:18" ht="15" customHeight="1" x14ac:dyDescent="0.25">
      <c r="A34" s="85" t="str">
        <f>_xll.BDP($E34, A$20)</f>
        <v>N</v>
      </c>
      <c r="B34" s="3"/>
      <c r="C34" s="14" t="str">
        <f t="shared" si="1"/>
        <v>S0193Z</v>
      </c>
      <c r="D34" s="11" t="str">
        <f>IF(isvalidterm(R34,VLOOKUP($E$6,Data!$B$7:$G$114,5,FALSE),VLOOKUP($E$6,Data!$B$7:$G$114,6,FALSE)),R34,"")</f>
        <v>7M</v>
      </c>
      <c r="E34" s="18" t="str">
        <f t="shared" si="2"/>
        <v>S0193Z 7M BLC2 Curncy</v>
      </c>
      <c r="F34" s="89">
        <f>IF(D34&lt;&gt;"",IF($L$7="YES",IF($A34="N",_xll.BDP($E34,$L$6), "-"),_xll.BDP($E34,"Px " &amp; $L$6)),"")</f>
        <v>2.9928499999999998</v>
      </c>
      <c r="G34" s="43">
        <f>IF(D34&lt;&gt;"",_xll.BDP($E34,$G$20)*1,"")</f>
        <v>43668</v>
      </c>
      <c r="H34" s="93" t="str">
        <f>IF(D34&lt;&gt;"",IF($L$7="YES",IF($A34="N",_xll.BDP($E34,"Time"), "-"),_xll.BDP($E34,H$20)),"")</f>
        <v>13:08:34</v>
      </c>
      <c r="I34" s="85" t="str">
        <f>_xll.BDP($L34, I$20)</f>
        <v>N</v>
      </c>
      <c r="J34" s="14" t="str">
        <f t="shared" si="3"/>
        <v>S0193D</v>
      </c>
      <c r="K34" s="11" t="str">
        <f t="shared" si="4"/>
        <v>7M</v>
      </c>
      <c r="L34" s="18" t="str">
        <f t="shared" si="5"/>
        <v>S0193D 7M BLC2 Curncy</v>
      </c>
      <c r="M34" s="89">
        <f>IF(D34&lt;&gt;"",IF($L$7="YES",IF($I34="N",_xll.BDP($L34,$L$6), "-"),_xll.BDP($L34,"Px " &amp; $L$6)),"")</f>
        <v>0.98260099999999995</v>
      </c>
      <c r="N34" s="21">
        <f>IF(D34&lt;&gt;"",_xll.BDP($L34,$N$20)*1,"")</f>
        <v>43668</v>
      </c>
      <c r="O34" s="93" t="str">
        <f>IF(D34&lt;&gt;"",IF($L$7="YES",IF($I34="N",_xll.BDP($L34,"Time"), "-"),_xll.BDP($L34,O$20)),"")</f>
        <v>13:08:34</v>
      </c>
      <c r="R34" s="32" t="s">
        <v>14</v>
      </c>
    </row>
    <row r="35" spans="1:18" ht="15" customHeight="1" x14ac:dyDescent="0.25">
      <c r="A35" s="85" t="str">
        <f>_xll.BDP($E35, A$20)</f>
        <v>N</v>
      </c>
      <c r="B35" s="3"/>
      <c r="C35" s="13" t="str">
        <f t="shared" si="1"/>
        <v>S0193Z</v>
      </c>
      <c r="D35" s="12" t="str">
        <f>IF(isvalidterm(R35,VLOOKUP($E$6,Data!$B$7:$G$114,5,FALSE),VLOOKUP($E$6,Data!$B$7:$G$114,6,FALSE)),R35,"")</f>
        <v>8M</v>
      </c>
      <c r="E35" s="17" t="str">
        <f t="shared" si="2"/>
        <v>S0193Z 8M BLC2 Curncy</v>
      </c>
      <c r="F35" s="88">
        <f>IF(D35&lt;&gt;"",IF($L$7="YES",IF($A35="N",_xll.BDP($E35,$L$6), "-"),_xll.BDP($E35,"Px " &amp; $L$6)),"")</f>
        <v>3.0311400000000002</v>
      </c>
      <c r="G35" s="42">
        <f>IF(D35&lt;&gt;"",_xll.BDP($E35,$G$20)*1,"")</f>
        <v>43698</v>
      </c>
      <c r="H35" s="92" t="str">
        <f>IF(D35&lt;&gt;"",IF($L$7="YES",IF($A35="N",_xll.BDP($E35,"Time"), "-"),_xll.BDP($E35,H$20)),"")</f>
        <v>13:08:34</v>
      </c>
      <c r="I35" s="85" t="str">
        <f>_xll.BDP($L35, I$20)</f>
        <v>N</v>
      </c>
      <c r="J35" s="13" t="str">
        <f t="shared" si="3"/>
        <v>S0193D</v>
      </c>
      <c r="K35" s="12" t="str">
        <f t="shared" si="4"/>
        <v>8M</v>
      </c>
      <c r="L35" s="17" t="str">
        <f t="shared" si="5"/>
        <v>S0193D 8M BLC2 Curncy</v>
      </c>
      <c r="M35" s="88">
        <f>IF(D35&lt;&gt;"",IF($L$7="YES",IF($I35="N",_xll.BDP($L35,$L$6), "-"),_xll.BDP($L35,"Px " &amp; $L$6)),"")</f>
        <v>0.97994999999999999</v>
      </c>
      <c r="N35" s="20">
        <f>IF(D35&lt;&gt;"",_xll.BDP($L35,$N$20)*1,"")</f>
        <v>43698</v>
      </c>
      <c r="O35" s="92" t="str">
        <f>IF(D35&lt;&gt;"",IF($L$7="YES",IF($I35="N",_xll.BDP($L35,"Time"), "-"),_xll.BDP($L35,O$20)),"")</f>
        <v>13:08:34</v>
      </c>
      <c r="R35" s="33" t="s">
        <v>15</v>
      </c>
    </row>
    <row r="36" spans="1:18" ht="15" customHeight="1" x14ac:dyDescent="0.25">
      <c r="A36" s="85" t="str">
        <f>_xll.BDP($E36, A$20)</f>
        <v>N</v>
      </c>
      <c r="B36" s="3"/>
      <c r="C36" s="13" t="str">
        <f t="shared" si="1"/>
        <v>S0193Z</v>
      </c>
      <c r="D36" s="12" t="str">
        <f>IF(isvalidterm(R36,VLOOKUP($E$6,Data!$B$7:$G$114,5,FALSE),VLOOKUP($E$6,Data!$B$7:$G$114,6,FALSE)),R36,"")</f>
        <v>9M</v>
      </c>
      <c r="E36" s="17" t="str">
        <f t="shared" si="2"/>
        <v>S0193Z 9M BLC2 Curncy</v>
      </c>
      <c r="F36" s="88">
        <f>IF(D36&lt;&gt;"",IF($L$7="YES",IF($A36="N",_xll.BDP($E36,$L$6), "-"),_xll.BDP($E36,"Px " &amp; $L$6)),"")</f>
        <v>3.0732699999999999</v>
      </c>
      <c r="G36" s="42">
        <f>IF(D36&lt;&gt;"",_xll.BDP($E36,$G$20)*1,"")</f>
        <v>43731</v>
      </c>
      <c r="H36" s="92" t="str">
        <f>IF(D36&lt;&gt;"",IF($L$7="YES",IF($A36="N",_xll.BDP($E36,"Time"), "-"),_xll.BDP($E36,H$20)),"")</f>
        <v>13:08:34</v>
      </c>
      <c r="I36" s="85" t="str">
        <f>_xll.BDP($L36, I$20)</f>
        <v>N</v>
      </c>
      <c r="J36" s="13" t="str">
        <f t="shared" si="3"/>
        <v>S0193D</v>
      </c>
      <c r="K36" s="12" t="str">
        <f t="shared" si="4"/>
        <v>9M</v>
      </c>
      <c r="L36" s="17" t="str">
        <f t="shared" si="5"/>
        <v>S0193D 9M BLC2 Curncy</v>
      </c>
      <c r="M36" s="88">
        <f>IF(D36&lt;&gt;"",IF($L$7="YES",IF($I36="N",_xll.BDP($L36,$L$6), "-"),_xll.BDP($L36,"Px " &amp; $L$6)),"")</f>
        <v>0.97698099999999999</v>
      </c>
      <c r="N36" s="20">
        <f>IF(D36&lt;&gt;"",_xll.BDP($L36,$N$20)*1,"")</f>
        <v>43731</v>
      </c>
      <c r="O36" s="92" t="str">
        <f>IF(D36&lt;&gt;"",IF($L$7="YES",IF($I36="N",_xll.BDP($L36,"Time"), "-"),_xll.BDP($L36,O$20)),"")</f>
        <v>13:08:34</v>
      </c>
      <c r="R36" s="33" t="s">
        <v>16</v>
      </c>
    </row>
    <row r="37" spans="1:18" ht="15" customHeight="1" x14ac:dyDescent="0.25">
      <c r="A37" s="85" t="str">
        <f>_xll.BDP($E37, A$20)</f>
        <v>N</v>
      </c>
      <c r="B37" s="3"/>
      <c r="C37" s="14" t="str">
        <f t="shared" si="1"/>
        <v>S0193Z</v>
      </c>
      <c r="D37" s="11" t="str">
        <f>IF(isvalidterm(R37,VLOOKUP($E$6,Data!$B$7:$G$114,5,FALSE),VLOOKUP($E$6,Data!$B$7:$G$114,6,FALSE)),R37,"")</f>
        <v>4I</v>
      </c>
      <c r="E37" s="18" t="str">
        <f t="shared" si="2"/>
        <v>S0193Z 4I BLC2 Curncy</v>
      </c>
      <c r="F37" s="89">
        <f>IF(D37&lt;&gt;"",IF($L$7="YES",IF($A37="N",_xll.BDP($E37,$L$6), "-"),_xll.BDP($E37,"Px " &amp; $L$6)),"")</f>
        <v>3.1487400000000001</v>
      </c>
      <c r="G37" s="43">
        <f>IF(D37&lt;&gt;"",_xll.BDP($E37,$G$20)*1,"")</f>
        <v>43815</v>
      </c>
      <c r="H37" s="93" t="str">
        <f>IF(D37&lt;&gt;"",IF($L$7="YES",IF($A37="N",_xll.BDP($E37,"Time"), "-"),_xll.BDP($E37,H$20)),"")</f>
        <v>13:08:34</v>
      </c>
      <c r="I37" s="85" t="str">
        <f>_xll.BDP($L37, I$20)</f>
        <v>N</v>
      </c>
      <c r="J37" s="14" t="str">
        <f t="shared" si="3"/>
        <v>S0193D</v>
      </c>
      <c r="K37" s="11" t="str">
        <f t="shared" si="4"/>
        <v>4I</v>
      </c>
      <c r="L37" s="18" t="str">
        <f t="shared" si="5"/>
        <v>S0193D 4I BLC2 Curncy</v>
      </c>
      <c r="M37" s="89">
        <f>IF(D37&lt;&gt;"",IF($L$7="YES",IF($I37="N",_xll.BDP($L37,$L$6), "-"),_xll.BDP($L37,"Px " &amp; $L$6)),"")</f>
        <v>0.96947399999999995</v>
      </c>
      <c r="N37" s="21">
        <f>IF(D37&lt;&gt;"",_xll.BDP($L37,$N$20)*1,"")</f>
        <v>43815</v>
      </c>
      <c r="O37" s="93" t="str">
        <f>IF(D37&lt;&gt;"",IF($L$7="YES",IF($I37="N",_xll.BDP($L37,"Time"), "-"),_xll.BDP($L37,O$20)),"")</f>
        <v>13:08:34</v>
      </c>
      <c r="R37" s="32" t="s">
        <v>40</v>
      </c>
    </row>
    <row r="38" spans="1:18" ht="15" customHeight="1" x14ac:dyDescent="0.25">
      <c r="A38" s="85" t="str">
        <f>_xll.BDP($E38, A$20)</f>
        <v>N</v>
      </c>
      <c r="B38" s="3"/>
      <c r="C38" s="14" t="str">
        <f t="shared" si="1"/>
        <v>S0193Z</v>
      </c>
      <c r="D38" s="11" t="str">
        <f>IF(isvalidterm(R38,VLOOKUP($E$6,Data!$B$7:$G$114,5,FALSE),VLOOKUP($E$6,Data!$B$7:$G$114,6,FALSE)),R38,"")</f>
        <v>10M</v>
      </c>
      <c r="E38" s="18" t="str">
        <f t="shared" si="2"/>
        <v>S0193Z 10M BLC2 Curncy</v>
      </c>
      <c r="F38" s="89">
        <f>IF(D38&lt;&gt;"",IF($L$7="YES",IF($A38="N",_xll.BDP($E38,$L$6), "-"),_xll.BDP($E38,"Px " &amp; $L$6)),"")</f>
        <v>3.09842</v>
      </c>
      <c r="G38" s="43">
        <f>IF(D38&lt;&gt;"",_xll.BDP($E38,$G$20)*1,"")</f>
        <v>43759</v>
      </c>
      <c r="H38" s="93" t="str">
        <f>IF(D38&lt;&gt;"",IF($L$7="YES",IF($A38="N",_xll.BDP($E38,"Time"), "-"),_xll.BDP($E38,H$20)),"")</f>
        <v>13:08:34</v>
      </c>
      <c r="I38" s="85" t="str">
        <f>_xll.BDP($L38, I$20)</f>
        <v>N</v>
      </c>
      <c r="J38" s="14" t="str">
        <f t="shared" si="3"/>
        <v>S0193D</v>
      </c>
      <c r="K38" s="11" t="str">
        <f t="shared" si="4"/>
        <v>10M</v>
      </c>
      <c r="L38" s="18" t="str">
        <f t="shared" si="5"/>
        <v>S0193D 10M BLC2 Curncy</v>
      </c>
      <c r="M38" s="89">
        <f>IF(D38&lt;&gt;"",IF($L$7="YES",IF($I38="N",_xll.BDP($L38,$L$6), "-"),_xll.BDP($L38,"Px " &amp; $L$6)),"")</f>
        <v>0.97450300000000001</v>
      </c>
      <c r="N38" s="21">
        <f>IF(D38&lt;&gt;"",_xll.BDP($L38,$N$20)*1,"")</f>
        <v>43759</v>
      </c>
      <c r="O38" s="93" t="str">
        <f>IF(D38&lt;&gt;"",IF($L$7="YES",IF($I38="N",_xll.BDP($L38,"Time"), "-"),_xll.BDP($L38,O$20)),"")</f>
        <v>13:08:34</v>
      </c>
      <c r="R38" s="32" t="s">
        <v>17</v>
      </c>
    </row>
    <row r="39" spans="1:18" ht="15" customHeight="1" x14ac:dyDescent="0.25">
      <c r="A39" s="85" t="str">
        <f>_xll.BDP($E39, A$20)</f>
        <v>N</v>
      </c>
      <c r="B39" s="3"/>
      <c r="C39" s="13" t="str">
        <f t="shared" si="1"/>
        <v>S0193Z</v>
      </c>
      <c r="D39" s="12" t="str">
        <f>IF(isvalidterm(R39,VLOOKUP($E$6,Data!$B$7:$G$114,5,FALSE),VLOOKUP($E$6,Data!$B$7:$G$114,6,FALSE)),R39,"")</f>
        <v>11M</v>
      </c>
      <c r="E39" s="17" t="str">
        <f t="shared" si="2"/>
        <v>S0193Z 11M BLC2 Curncy</v>
      </c>
      <c r="F39" s="88">
        <f>IF(D39&lt;&gt;"",IF($L$7="YES",IF($A39="N",_xll.BDP($E39,$L$6), "-"),_xll.BDP($E39,"Px " &amp; $L$6)),"")</f>
        <v>3.1262799999999999</v>
      </c>
      <c r="G39" s="42">
        <f>IF(D39&lt;&gt;"",_xll.BDP($E39,$G$20)*1,"")</f>
        <v>43790</v>
      </c>
      <c r="H39" s="92" t="str">
        <f>IF(D39&lt;&gt;"",IF($L$7="YES",IF($A39="N",_xll.BDP($E39,"Time"), "-"),_xll.BDP($E39,H$20)),"")</f>
        <v>13:08:34</v>
      </c>
      <c r="I39" s="85" t="str">
        <f>_xll.BDP($L39, I$20)</f>
        <v>N</v>
      </c>
      <c r="J39" s="13" t="str">
        <f t="shared" si="3"/>
        <v>S0193D</v>
      </c>
      <c r="K39" s="12" t="str">
        <f t="shared" si="4"/>
        <v>11M</v>
      </c>
      <c r="L39" s="17" t="str">
        <f t="shared" si="5"/>
        <v>S0193D 11M BLC2 Curncy</v>
      </c>
      <c r="M39" s="88">
        <f>IF(D39&lt;&gt;"",IF($L$7="YES",IF($I39="N",_xll.BDP($L39,$L$6), "-"),_xll.BDP($L39,"Px " &amp; $L$6)),"")</f>
        <v>0.97173100000000001</v>
      </c>
      <c r="N39" s="20">
        <f>IF(D39&lt;&gt;"",_xll.BDP($L39,$N$20)*1,"")</f>
        <v>43790</v>
      </c>
      <c r="O39" s="92" t="str">
        <f>IF(D39&lt;&gt;"",IF($L$7="YES",IF($I39="N",_xll.BDP($L39,"Time"), "-"),_xll.BDP($L39,O$20)),"")</f>
        <v>13:08:34</v>
      </c>
      <c r="R39" s="33" t="s">
        <v>18</v>
      </c>
    </row>
    <row r="40" spans="1:18" ht="15" customHeight="1" x14ac:dyDescent="0.25">
      <c r="A40" s="85" t="str">
        <f>_xll.BDP($E40, A$20)</f>
        <v>N</v>
      </c>
      <c r="B40" s="3"/>
      <c r="C40" s="13" t="str">
        <f t="shared" si="1"/>
        <v>S0193Z</v>
      </c>
      <c r="D40" s="12" t="str">
        <f>IF(isvalidterm(R40,VLOOKUP($E$6,Data!$B$7:$G$114,5,FALSE),VLOOKUP($E$6,Data!$B$7:$G$114,6,FALSE)),R40,"")</f>
        <v>1Y</v>
      </c>
      <c r="E40" s="17" t="str">
        <f t="shared" si="2"/>
        <v>S0193Z 1Y BLC2 Curncy</v>
      </c>
      <c r="F40" s="88">
        <f>IF(D40&lt;&gt;"",IF($L$7="YES",IF($A40="N",_xll.BDP($E40,$L$6), "-"),_xll.BDP($E40,"Px " &amp; $L$6)),"")</f>
        <v>3.15503</v>
      </c>
      <c r="G40" s="42">
        <f>IF(D40&lt;&gt;"",_xll.BDP($E40,$G$20)*1,"")</f>
        <v>43822</v>
      </c>
      <c r="H40" s="92" t="str">
        <f>IF(D40&lt;&gt;"",IF($L$7="YES",IF($A40="N",_xll.BDP($E40,"Time"), "-"),_xll.BDP($E40,H$20)),"")</f>
        <v>13:08:34</v>
      </c>
      <c r="I40" s="85" t="str">
        <f>_xll.BDP($L40, I$20)</f>
        <v>N</v>
      </c>
      <c r="J40" s="13" t="str">
        <f t="shared" si="3"/>
        <v>S0193D</v>
      </c>
      <c r="K40" s="12" t="str">
        <f t="shared" si="4"/>
        <v>1Y</v>
      </c>
      <c r="L40" s="17" t="str">
        <f t="shared" si="5"/>
        <v>S0193D 1Y BLC2 Curncy</v>
      </c>
      <c r="M40" s="88">
        <f>IF(D40&lt;&gt;"",IF($L$7="YES",IF($I40="N",_xll.BDP($L40,$L$6), "-"),_xll.BDP($L40,"Px " &amp; $L$6)),"")</f>
        <v>0.96883900000000001</v>
      </c>
      <c r="N40" s="20">
        <f>IF(D40&lt;&gt;"",_xll.BDP($L40,$N$20)*1,"")</f>
        <v>43822</v>
      </c>
      <c r="O40" s="92" t="str">
        <f>IF(D40&lt;&gt;"",IF($L$7="YES",IF($I40="N",_xll.BDP($L40,"Time"), "-"),_xll.BDP($L40,O$20)),"")</f>
        <v>13:08:34</v>
      </c>
      <c r="R40" s="33" t="s">
        <v>19</v>
      </c>
    </row>
    <row r="41" spans="1:18" ht="15" customHeight="1" x14ac:dyDescent="0.25">
      <c r="A41" s="85" t="str">
        <f>_xll.BDP($E41, A$20)</f>
        <v>N</v>
      </c>
      <c r="B41" s="3"/>
      <c r="C41" s="14" t="str">
        <f t="shared" si="1"/>
        <v>S0193Z</v>
      </c>
      <c r="D41" s="11" t="str">
        <f>IF(isvalidterm(R41,VLOOKUP($E$6,Data!$B$7:$G$114,5,FALSE),VLOOKUP($E$6,Data!$B$7:$G$114,6,FALSE)),R41,"")</f>
        <v>15M</v>
      </c>
      <c r="E41" s="18" t="str">
        <f t="shared" si="2"/>
        <v>S0193Z 15M BLC2 Curncy</v>
      </c>
      <c r="F41" s="89">
        <f>IF(D41&lt;&gt;"",IF($L$7="YES",IF($A41="N",_xll.BDP($E41,$L$6), "-"),_xll.BDP($E41,"Px " &amp; $L$6)),"")</f>
        <v>3.2497099999999999</v>
      </c>
      <c r="G41" s="43">
        <f>IF(D41&lt;&gt;"",_xll.BDP($E41,$G$20)*1,"")</f>
        <v>43913</v>
      </c>
      <c r="H41" s="93" t="str">
        <f>IF(D41&lt;&gt;"",IF($L$7="YES",IF($A41="N",_xll.BDP($E41,"Time"), "-"),_xll.BDP($E41,H$20)),"")</f>
        <v>13:08:34</v>
      </c>
      <c r="I41" s="85" t="str">
        <f>_xll.BDP($L41, I$20)</f>
        <v>N</v>
      </c>
      <c r="J41" s="14" t="str">
        <f t="shared" si="3"/>
        <v>S0193D</v>
      </c>
      <c r="K41" s="11" t="str">
        <f t="shared" si="4"/>
        <v>15M</v>
      </c>
      <c r="L41" s="18" t="str">
        <f t="shared" si="5"/>
        <v>S0193D 15M BLC2 Curncy</v>
      </c>
      <c r="M41" s="89">
        <f>IF(D41&lt;&gt;"",IF($L$7="YES",IF($I41="N",_xll.BDP($L41,$L$6), "-"),_xll.BDP($L41,"Px " &amp; $L$6)),"")</f>
        <v>0.96029799999999998</v>
      </c>
      <c r="N41" s="21">
        <f>IF(D41&lt;&gt;"",_xll.BDP($L41,$N$20)*1,"")</f>
        <v>43913</v>
      </c>
      <c r="O41" s="93" t="str">
        <f>IF(D41&lt;&gt;"",IF($L$7="YES",IF($I41="N",_xll.BDP($L41,"Time"), "-"),_xll.BDP($L41,O$20)),"")</f>
        <v>13:08:34</v>
      </c>
      <c r="R41" s="32" t="s">
        <v>44</v>
      </c>
    </row>
    <row r="42" spans="1:18" ht="15" customHeight="1" x14ac:dyDescent="0.25">
      <c r="A42" s="85" t="str">
        <f>_xll.BDP($E42, A$20)</f>
        <v>N</v>
      </c>
      <c r="B42" s="3"/>
      <c r="C42" s="13" t="str">
        <f t="shared" si="1"/>
        <v>S0193Z</v>
      </c>
      <c r="D42" s="12" t="str">
        <f>IF(isvalidterm(R42,VLOOKUP($E$6,Data!$B$7:$G$114,5,FALSE),VLOOKUP($E$6,Data!$B$7:$G$114,6,FALSE)),R42,"")</f>
        <v>18M</v>
      </c>
      <c r="E42" s="17" t="str">
        <f t="shared" si="2"/>
        <v>S0193Z 18M BLC2 Curncy</v>
      </c>
      <c r="F42" s="88">
        <f>IF(D42&lt;&gt;"",IF($L$7="YES",IF($A42="N",_xll.BDP($E42,$L$6), "-"),_xll.BDP($E42,"Px " &amp; $L$6)),"")</f>
        <v>3.3443900000000002</v>
      </c>
      <c r="G42" s="42">
        <f>IF(D42&lt;&gt;"",_xll.BDP($E42,$G$20)*1,"")</f>
        <v>44004</v>
      </c>
      <c r="H42" s="92" t="str">
        <f>IF(D42&lt;&gt;"",IF($L$7="YES",IF($A42="N",_xll.BDP($E42,"Time"), "-"),_xll.BDP($E42,H$20)),"")</f>
        <v>13:08:34</v>
      </c>
      <c r="I42" s="85" t="str">
        <f>_xll.BDP($L42, I$20)</f>
        <v>N</v>
      </c>
      <c r="J42" s="13" t="str">
        <f t="shared" si="3"/>
        <v>S0193D</v>
      </c>
      <c r="K42" s="12" t="str">
        <f t="shared" si="4"/>
        <v>18M</v>
      </c>
      <c r="L42" s="17" t="str">
        <f t="shared" si="5"/>
        <v>S0193D 18M BLC2 Curncy</v>
      </c>
      <c r="M42" s="88">
        <f>IF(D42&lt;&gt;"",IF($L$7="YES",IF($I42="N",_xll.BDP($L42,$L$6), "-"),_xll.BDP($L42,"Px " &amp; $L$6)),"")</f>
        <v>0.95147300000000001</v>
      </c>
      <c r="N42" s="20">
        <f>IF(D42&lt;&gt;"",_xll.BDP($L42,$N$20)*1,"")</f>
        <v>44004</v>
      </c>
      <c r="O42" s="92" t="str">
        <f>IF(D42&lt;&gt;"",IF($L$7="YES",IF($I42="N",_xll.BDP($L42,"Time"), "-"),_xll.BDP($L42,O$20)),"")</f>
        <v>13:08:34</v>
      </c>
      <c r="R42" s="33" t="s">
        <v>45</v>
      </c>
    </row>
    <row r="43" spans="1:18" ht="15" customHeight="1" x14ac:dyDescent="0.25">
      <c r="A43" s="85" t="str">
        <f>_xll.BDP($E43, A$20)</f>
        <v>N</v>
      </c>
      <c r="B43" s="3"/>
      <c r="C43" s="14" t="str">
        <f t="shared" si="1"/>
        <v>S0193Z</v>
      </c>
      <c r="D43" s="11" t="str">
        <f>IF(isvalidterm(R43,VLOOKUP($E$6,Data!$B$7:$G$114,5,FALSE),VLOOKUP($E$6,Data!$B$7:$G$114,6,FALSE)),R43,"")</f>
        <v>21M</v>
      </c>
      <c r="E43" s="18" t="str">
        <f t="shared" si="2"/>
        <v>S0193Z 21M BLC2 Curncy</v>
      </c>
      <c r="F43" s="89">
        <f>IF(D43&lt;&gt;"",IF($L$7="YES",IF($A43="N",_xll.BDP($E43,$L$6), "-"),_xll.BDP($E43,"Px " &amp; $L$6)),"")</f>
        <v>3.3476300000000001</v>
      </c>
      <c r="G43" s="43">
        <f>IF(D43&lt;&gt;"",_xll.BDP($E43,$G$20)*1,"")</f>
        <v>44095</v>
      </c>
      <c r="H43" s="93" t="str">
        <f>IF(D43&lt;&gt;"",IF($L$7="YES",IF($A43="N",_xll.BDP($E43,"Time"), "-"),_xll.BDP($E43,H$20)),"")</f>
        <v>13:08:34</v>
      </c>
      <c r="I43" s="85" t="str">
        <f>_xll.BDP($L43, I$20)</f>
        <v>N</v>
      </c>
      <c r="J43" s="14" t="str">
        <f t="shared" si="3"/>
        <v>S0193D</v>
      </c>
      <c r="K43" s="11" t="str">
        <f t="shared" si="4"/>
        <v>21M</v>
      </c>
      <c r="L43" s="18" t="str">
        <f t="shared" si="5"/>
        <v>S0193D 21M BLC2 Curncy</v>
      </c>
      <c r="M43" s="89">
        <f>IF(D43&lt;&gt;"",IF($L$7="YES",IF($I43="N",_xll.BDP($L43,$L$6), "-"),_xll.BDP($L43,"Px " &amp; $L$6)),"")</f>
        <v>0.94268700000000005</v>
      </c>
      <c r="N43" s="21">
        <f>IF(D43&lt;&gt;"",_xll.BDP($L43,$N$20)*1,"")</f>
        <v>44095</v>
      </c>
      <c r="O43" s="93" t="str">
        <f>IF(D43&lt;&gt;"",IF($L$7="YES",IF($I43="N",_xll.BDP($L43,"Time"), "-"),_xll.BDP($L43,O$20)),"")</f>
        <v>13:08:34</v>
      </c>
      <c r="R43" s="32" t="s">
        <v>46</v>
      </c>
    </row>
    <row r="44" spans="1:18" ht="15" customHeight="1" x14ac:dyDescent="0.25">
      <c r="A44" s="85" t="str">
        <f>_xll.BDP($E44, A$20)</f>
        <v>N</v>
      </c>
      <c r="B44" s="3"/>
      <c r="C44" s="13" t="str">
        <f t="shared" si="1"/>
        <v>S0193Z</v>
      </c>
      <c r="D44" s="12" t="str">
        <f>IF(isvalidterm(R44,VLOOKUP($E$6,Data!$B$7:$G$114,5,FALSE),VLOOKUP($E$6,Data!$B$7:$G$114,6,FALSE)),R44,"")</f>
        <v>2Y</v>
      </c>
      <c r="E44" s="17" t="str">
        <f t="shared" si="2"/>
        <v>S0193Z 2Y BLC2 Curncy</v>
      </c>
      <c r="F44" s="88">
        <f>IF(D44&lt;&gt;"",IF($L$7="YES",IF($A44="N",_xll.BDP($E44,$L$6), "-"),_xll.BDP($E44,"Px " &amp; $L$6)),"")</f>
        <v>3.40551</v>
      </c>
      <c r="G44" s="42">
        <f>IF(D44&lt;&gt;"",_xll.BDP($E44,$G$20)*1,"")</f>
        <v>44186</v>
      </c>
      <c r="H44" s="92" t="str">
        <f>IF(D44&lt;&gt;"",IF($L$7="YES",IF($A44="N",_xll.BDP($E44,"Time"), "-"),_xll.BDP($E44,H$20)),"")</f>
        <v>13:08:34</v>
      </c>
      <c r="I44" s="85" t="str">
        <f>_xll.BDP($L44, I$20)</f>
        <v>N</v>
      </c>
      <c r="J44" s="13" t="str">
        <f t="shared" si="3"/>
        <v>S0193D</v>
      </c>
      <c r="K44" s="12" t="str">
        <f t="shared" si="4"/>
        <v>2Y</v>
      </c>
      <c r="L44" s="17" t="str">
        <f t="shared" si="5"/>
        <v>S0193D 2Y BLC2 Curncy</v>
      </c>
      <c r="M44" s="88">
        <f>IF(D44&lt;&gt;"",IF($L$7="YES",IF($I44="N",_xll.BDP($L44,$L$6), "-"),_xll.BDP($L44,"Px " &amp; $L$6)),"")</f>
        <v>0.93372999999999995</v>
      </c>
      <c r="N44" s="20">
        <f>IF(D44&lt;&gt;"",_xll.BDP($L44,$N$20)*1,"")</f>
        <v>44186</v>
      </c>
      <c r="O44" s="92" t="str">
        <f>IF(D44&lt;&gt;"",IF($L$7="YES",IF($I44="N",_xll.BDP($L44,"Time"), "-"),_xll.BDP($L44,O$20)),"")</f>
        <v>13:08:34</v>
      </c>
      <c r="P44" s="126">
        <f t="shared" ref="P44:P85" ca="1" si="6">1/(1+F44/200)^((G44-TODAY())/180)</f>
        <v>0.93355421589019183</v>
      </c>
      <c r="R44" s="33" t="s">
        <v>20</v>
      </c>
    </row>
    <row r="45" spans="1:18" ht="15" customHeight="1" x14ac:dyDescent="0.25">
      <c r="A45" s="85" t="str">
        <f>_xll.BDP($E45, A$20)</f>
        <v>N</v>
      </c>
      <c r="B45" s="3"/>
      <c r="C45" s="14" t="str">
        <f t="shared" si="1"/>
        <v>S0193Z</v>
      </c>
      <c r="D45" s="11" t="str">
        <f>IF(isvalidterm(R45,VLOOKUP($E$6,Data!$B$7:$G$114,5,FALSE),VLOOKUP($E$6,Data!$B$7:$G$114,6,FALSE)),R45,"")</f>
        <v>27M</v>
      </c>
      <c r="E45" s="18" t="str">
        <f t="shared" si="2"/>
        <v>S0193Z 27M BLC2 Curncy</v>
      </c>
      <c r="F45" s="89">
        <f>IF(D45&lt;&gt;"",IF($L$7="YES",IF($A45="N",_xll.BDP($E45,$L$6), "-"),_xll.BDP($E45,"Px " &amp; $L$6)),"")</f>
        <v>3.45444</v>
      </c>
      <c r="G45" s="43">
        <f>IF(D45&lt;&gt;"",_xll.BDP($E45,$G$20)*1,"")</f>
        <v>44277</v>
      </c>
      <c r="H45" s="93" t="str">
        <f>IF(D45&lt;&gt;"",IF($L$7="YES",IF($A45="N",_xll.BDP($E45,"Time"), "-"),_xll.BDP($E45,H$20)),"")</f>
        <v>13:08:34</v>
      </c>
      <c r="I45" s="85" t="str">
        <f>_xll.BDP($L45, I$20)</f>
        <v>N</v>
      </c>
      <c r="J45" s="14" t="str">
        <f t="shared" si="3"/>
        <v>S0193D</v>
      </c>
      <c r="K45" s="11" t="str">
        <f t="shared" si="4"/>
        <v>27M</v>
      </c>
      <c r="L45" s="18" t="str">
        <f t="shared" si="5"/>
        <v>S0193D 27M BLC2 Curncy</v>
      </c>
      <c r="M45" s="89">
        <f>IF(D45&lt;&gt;"",IF($L$7="YES",IF($I45="N",_xll.BDP($L45,$L$6), "-"),_xll.BDP($L45,"Px " &amp; $L$6)),"")</f>
        <v>0.92477699999999996</v>
      </c>
      <c r="N45" s="21">
        <f>IF(D45&lt;&gt;"",_xll.BDP($L45,$N$20)*1,"")</f>
        <v>44277</v>
      </c>
      <c r="O45" s="93" t="str">
        <f>IF(D45&lt;&gt;"",IF($L$7="YES",IF($I45="N",_xll.BDP($L45,"Time"), "-"),_xll.BDP($L45,O$20)),"")</f>
        <v>13:08:34</v>
      </c>
      <c r="P45" s="126">
        <f t="shared" ca="1" si="6"/>
        <v>0.9246007891145489</v>
      </c>
      <c r="R45" s="32" t="s">
        <v>47</v>
      </c>
    </row>
    <row r="46" spans="1:18" ht="15" customHeight="1" x14ac:dyDescent="0.25">
      <c r="A46" s="85" t="str">
        <f>_xll.BDP($E46, A$20)</f>
        <v>N</v>
      </c>
      <c r="B46" s="3"/>
      <c r="C46" s="13" t="str">
        <f t="shared" si="1"/>
        <v>S0193Z</v>
      </c>
      <c r="D46" s="12" t="str">
        <f>IF(isvalidterm(R46,VLOOKUP($E$6,Data!$B$7:$G$114,5,FALSE),VLOOKUP($E$6,Data!$B$7:$G$114,6,FALSE)),R46,"")</f>
        <v>30M</v>
      </c>
      <c r="E46" s="17" t="str">
        <f t="shared" si="2"/>
        <v>S0193Z 30M BLC2 Curncy</v>
      </c>
      <c r="F46" s="88">
        <f>IF(D46&lt;&gt;"",IF($L$7="YES",IF($A46="N",_xll.BDP($E46,$L$6), "-"),_xll.BDP($E46,"Px " &amp; $L$6)),"")</f>
        <v>3.5024099999999998</v>
      </c>
      <c r="G46" s="42">
        <f>IF(D46&lt;&gt;"",_xll.BDP($E46,$G$20)*1,"")</f>
        <v>44368</v>
      </c>
      <c r="H46" s="92" t="str">
        <f>IF(D46&lt;&gt;"",IF($L$7="YES",IF($A46="N",_xll.BDP($E46,"Time"), "-"),_xll.BDP($E46,H$20)),"")</f>
        <v>13:08:34</v>
      </c>
      <c r="I46" s="85" t="str">
        <f>_xll.BDP($L46, I$20)</f>
        <v>N</v>
      </c>
      <c r="J46" s="13" t="str">
        <f t="shared" si="3"/>
        <v>S0193D</v>
      </c>
      <c r="K46" s="12" t="str">
        <f t="shared" si="4"/>
        <v>30M</v>
      </c>
      <c r="L46" s="17" t="str">
        <f t="shared" si="5"/>
        <v>S0193D 30M BLC2 Curncy</v>
      </c>
      <c r="M46" s="88">
        <f>IF(D46&lt;&gt;"",IF($L$7="YES",IF($I46="N",_xll.BDP($L46,$L$6), "-"),_xll.BDP($L46,"Px " &amp; $L$6)),"")</f>
        <v>0.915709</v>
      </c>
      <c r="N46" s="20">
        <f>IF(D46&lt;&gt;"",_xll.BDP($L46,$N$20)*1,"")</f>
        <v>44368</v>
      </c>
      <c r="O46" s="92" t="str">
        <f>IF(D46&lt;&gt;"",IF($L$7="YES",IF($I46="N",_xll.BDP($L46,"Time"), "-"),_xll.BDP($L46,O$20)),"")</f>
        <v>13:08:34</v>
      </c>
      <c r="P46" s="126">
        <f t="shared" ca="1" si="6"/>
        <v>0.91553277826491375</v>
      </c>
      <c r="R46" s="33" t="s">
        <v>48</v>
      </c>
    </row>
    <row r="47" spans="1:18" ht="15" customHeight="1" x14ac:dyDescent="0.25">
      <c r="A47" s="85" t="str">
        <f>_xll.BDP($E47, A$20)</f>
        <v>N</v>
      </c>
      <c r="B47" s="3"/>
      <c r="C47" s="14" t="str">
        <f t="shared" si="1"/>
        <v>S0193Z</v>
      </c>
      <c r="D47" s="11" t="str">
        <f>IF(isvalidterm(R47,VLOOKUP($E$6,Data!$B$7:$G$114,5,FALSE),VLOOKUP($E$6,Data!$B$7:$G$114,6,FALSE)),R47,"")</f>
        <v>33M</v>
      </c>
      <c r="E47" s="18" t="str">
        <f t="shared" si="2"/>
        <v>S0193Z 33M BLC2 Curncy</v>
      </c>
      <c r="F47" s="89">
        <f>IF(D47&lt;&gt;"",IF($L$7="YES",IF($A47="N",_xll.BDP($E47,$L$6), "-"),_xll.BDP($E47,"Px " &amp; $L$6)),"")</f>
        <v>3.5499299999999998</v>
      </c>
      <c r="G47" s="43">
        <f>IF(D47&lt;&gt;"",_xll.BDP($E47,$G$20)*1,"")</f>
        <v>44460</v>
      </c>
      <c r="H47" s="93" t="str">
        <f>IF(D47&lt;&gt;"",IF($L$7="YES",IF($A47="N",_xll.BDP($E47,"Time"), "-"),_xll.BDP($E47,H$20)),"")</f>
        <v>13:08:34</v>
      </c>
      <c r="I47" s="85" t="str">
        <f>_xll.BDP($L47, I$20)</f>
        <v>N</v>
      </c>
      <c r="J47" s="14" t="str">
        <f t="shared" si="3"/>
        <v>S0193D</v>
      </c>
      <c r="K47" s="11" t="str">
        <f t="shared" si="4"/>
        <v>33M</v>
      </c>
      <c r="L47" s="18" t="str">
        <f t="shared" si="5"/>
        <v>S0193D 33M BLC2 Curncy</v>
      </c>
      <c r="M47" s="89">
        <f>IF(D47&lt;&gt;"",IF($L$7="YES",IF($I47="N",_xll.BDP($L47,$L$6), "-"),_xll.BDP($L47,"Px " &amp; $L$6)),"")</f>
        <v>0.90643799999999997</v>
      </c>
      <c r="N47" s="21">
        <f>IF(D47&lt;&gt;"",_xll.BDP($L47,$N$20)*1,"")</f>
        <v>44460</v>
      </c>
      <c r="O47" s="93" t="str">
        <f>IF(D47&lt;&gt;"",IF($L$7="YES",IF($I47="N",_xll.BDP($L47,"Time"), "-"),_xll.BDP($L47,O$20)),"")</f>
        <v>13:08:34</v>
      </c>
      <c r="P47" s="126">
        <f t="shared" ca="1" si="6"/>
        <v>0.90626052690912462</v>
      </c>
      <c r="R47" s="32" t="s">
        <v>49</v>
      </c>
    </row>
    <row r="48" spans="1:18" ht="15" customHeight="1" x14ac:dyDescent="0.25">
      <c r="A48" s="85" t="str">
        <f>_xll.BDP($E48, A$20)</f>
        <v>N</v>
      </c>
      <c r="B48" s="3"/>
      <c r="C48" s="13" t="str">
        <f t="shared" si="1"/>
        <v>S0193Z</v>
      </c>
      <c r="D48" s="12" t="str">
        <f>IF(isvalidterm(R48,VLOOKUP($E$6,Data!$B$7:$G$114,5,FALSE),VLOOKUP($E$6,Data!$B$7:$G$114,6,FALSE)),R48,"")</f>
        <v>3Y</v>
      </c>
      <c r="E48" s="17" t="str">
        <f t="shared" si="2"/>
        <v>S0193Z 3Y BLC2 Curncy</v>
      </c>
      <c r="F48" s="88">
        <f>IF(D48&lt;&gt;"",IF($L$7="YES",IF($A48="N",_xll.BDP($E48,$L$6), "-"),_xll.BDP($E48,"Px " &amp; $L$6)),"")</f>
        <v>3.5959500000000002</v>
      </c>
      <c r="G48" s="42">
        <f>IF(D48&lt;&gt;"",_xll.BDP($E48,$G$20)*1,"")</f>
        <v>44551</v>
      </c>
      <c r="H48" s="92" t="str">
        <f>IF(D48&lt;&gt;"",IF($L$7="YES",IF($A48="N",_xll.BDP($E48,"Time"), "-"),_xll.BDP($E48,H$20)),"")</f>
        <v>13:08:34</v>
      </c>
      <c r="I48" s="85" t="str">
        <f>_xll.BDP($L48, I$20)</f>
        <v>N</v>
      </c>
      <c r="J48" s="13" t="str">
        <f t="shared" si="3"/>
        <v>S0193D</v>
      </c>
      <c r="K48" s="12" t="str">
        <f t="shared" si="4"/>
        <v>3Y</v>
      </c>
      <c r="L48" s="17" t="str">
        <f t="shared" si="5"/>
        <v>S0193D 3Y BLC2 Curncy</v>
      </c>
      <c r="M48" s="88">
        <f>IF(D48&lt;&gt;"",IF($L$7="YES",IF($I48="N",_xll.BDP($L48,$L$6), "-"),_xll.BDP($L48,"Px " &amp; $L$6)),"")</f>
        <v>0.89717499999999994</v>
      </c>
      <c r="N48" s="20">
        <f>IF(D48&lt;&gt;"",_xll.BDP($L48,$N$20)*1,"")</f>
        <v>44551</v>
      </c>
      <c r="O48" s="92" t="str">
        <f>IF(D48&lt;&gt;"",IF($L$7="YES",IF($I48="N",_xll.BDP($L48,"Time"), "-"),_xll.BDP($L48,O$20)),"")</f>
        <v>13:08:34</v>
      </c>
      <c r="P48" s="126">
        <f t="shared" ca="1" si="6"/>
        <v>0.89699754079878302</v>
      </c>
      <c r="R48" s="33" t="s">
        <v>21</v>
      </c>
    </row>
    <row r="49" spans="1:18" ht="15" customHeight="1" x14ac:dyDescent="0.25">
      <c r="A49" s="85" t="str">
        <f>_xll.BDP($E49, A$20)</f>
        <v>N</v>
      </c>
      <c r="B49" s="3"/>
      <c r="C49" s="14" t="str">
        <f t="shared" si="1"/>
        <v>S0193Z</v>
      </c>
      <c r="D49" s="11" t="str">
        <f>IF(isvalidterm(R49,VLOOKUP($E$6,Data!$B$7:$G$114,5,FALSE),VLOOKUP($E$6,Data!$B$7:$G$114,6,FALSE)),R49,"")</f>
        <v>39M</v>
      </c>
      <c r="E49" s="18" t="str">
        <f t="shared" si="2"/>
        <v>S0193Z 39M BLC2 Curncy</v>
      </c>
      <c r="F49" s="89">
        <f>IF(D49&lt;&gt;"",IF($L$7="YES",IF($A49="N",_xll.BDP($E49,$L$6), "-"),_xll.BDP($E49,"Px " &amp; $L$6)),"")</f>
        <v>3.6303999999999998</v>
      </c>
      <c r="G49" s="43">
        <f>IF(D49&lt;&gt;"",_xll.BDP($E49,$G$20)*1,"")</f>
        <v>44641</v>
      </c>
      <c r="H49" s="93" t="str">
        <f>IF(D49&lt;&gt;"",IF($L$7="YES",IF($A49="N",_xll.BDP($E49,"Time"), "-"),_xll.BDP($E49,H$20)),"")</f>
        <v>13:08:34</v>
      </c>
      <c r="I49" s="85" t="str">
        <f>_xll.BDP($L49, I$20)</f>
        <v>N</v>
      </c>
      <c r="J49" s="14" t="str">
        <f t="shared" si="3"/>
        <v>S0193D</v>
      </c>
      <c r="K49" s="11" t="str">
        <f t="shared" si="4"/>
        <v>39M</v>
      </c>
      <c r="L49" s="18" t="str">
        <f t="shared" si="5"/>
        <v>S0193D 39M BLC2 Curncy</v>
      </c>
      <c r="M49" s="89">
        <f>IF(D49&lt;&gt;"",IF($L$7="YES",IF($I49="N",_xll.BDP($L49,$L$6), "-"),_xll.BDP($L49,"Px " &amp; $L$6)),"")</f>
        <v>0.88822599999999996</v>
      </c>
      <c r="N49" s="21">
        <f>IF(D49&lt;&gt;"",_xll.BDP($L49,$N$20)*1,"")</f>
        <v>44641</v>
      </c>
      <c r="O49" s="93" t="str">
        <f>IF(D49&lt;&gt;"",IF($L$7="YES",IF($I49="N",_xll.BDP($L49,"Time"), "-"),_xll.BDP($L49,O$20)),"")</f>
        <v>13:08:34</v>
      </c>
      <c r="P49" s="126">
        <f t="shared" ca="1" si="6"/>
        <v>0.88804856446453506</v>
      </c>
      <c r="R49" s="32" t="s">
        <v>50</v>
      </c>
    </row>
    <row r="50" spans="1:18" ht="15" customHeight="1" x14ac:dyDescent="0.25">
      <c r="A50" s="85" t="str">
        <f>_xll.BDP($E50, A$20)</f>
        <v>N</v>
      </c>
      <c r="B50" s="3"/>
      <c r="C50" s="13" t="str">
        <f t="shared" si="1"/>
        <v>S0193Z</v>
      </c>
      <c r="D50" s="12" t="str">
        <f>IF(isvalidterm(R50,VLOOKUP($E$6,Data!$B$7:$G$114,5,FALSE),VLOOKUP($E$6,Data!$B$7:$G$114,6,FALSE)),R50,"")</f>
        <v>42M</v>
      </c>
      <c r="E50" s="17" t="str">
        <f t="shared" si="2"/>
        <v>S0193Z 42M BLC2 Curncy</v>
      </c>
      <c r="F50" s="88">
        <f>IF(D50&lt;&gt;"",IF($L$7="YES",IF($A50="N",_xll.BDP($E50,$L$6), "-"),_xll.BDP($E50,"Px " &amp; $L$6)),"")</f>
        <v>3.6648499999999999</v>
      </c>
      <c r="G50" s="42">
        <f>IF(D50&lt;&gt;"",_xll.BDP($E50,$G$20)*1,"")</f>
        <v>44733</v>
      </c>
      <c r="H50" s="92" t="str">
        <f>IF(D50&lt;&gt;"",IF($L$7="YES",IF($A50="N",_xll.BDP($E50,"Time"), "-"),_xll.BDP($E50,H$20)),"")</f>
        <v>13:08:34</v>
      </c>
      <c r="I50" s="85" t="str">
        <f>_xll.BDP($L50, I$20)</f>
        <v>N</v>
      </c>
      <c r="J50" s="13" t="str">
        <f t="shared" si="3"/>
        <v>S0193D</v>
      </c>
      <c r="K50" s="12" t="str">
        <f t="shared" si="4"/>
        <v>42M</v>
      </c>
      <c r="L50" s="17" t="str">
        <f t="shared" si="5"/>
        <v>S0193D 42M BLC2 Curncy</v>
      </c>
      <c r="M50" s="88">
        <f>IF(D50&lt;&gt;"",IF($L$7="YES",IF($I50="N",_xll.BDP($L50,$L$6), "-"),_xll.BDP($L50,"Px " &amp; $L$6)),"")</f>
        <v>0.87904000000000004</v>
      </c>
      <c r="N50" s="20">
        <f>IF(D50&lt;&gt;"",_xll.BDP($L50,$N$20)*1,"")</f>
        <v>44733</v>
      </c>
      <c r="O50" s="92" t="str">
        <f>IF(D50&lt;&gt;"",IF($L$7="YES",IF($I50="N",_xll.BDP($L50,"Time"), "-"),_xll.BDP($L50,O$20)),"")</f>
        <v>13:08:34</v>
      </c>
      <c r="P50" s="126">
        <f t="shared" ca="1" si="6"/>
        <v>0.87886296955239629</v>
      </c>
      <c r="R50" s="33" t="s">
        <v>51</v>
      </c>
    </row>
    <row r="51" spans="1:18" ht="15" customHeight="1" x14ac:dyDescent="0.25">
      <c r="A51" s="85" t="str">
        <f>_xll.BDP($E51, A$20)</f>
        <v>N</v>
      </c>
      <c r="B51" s="3"/>
      <c r="C51" s="14" t="str">
        <f t="shared" si="1"/>
        <v>S0193Z</v>
      </c>
      <c r="D51" s="11" t="str">
        <f>IF(isvalidterm(R51,VLOOKUP($E$6,Data!$B$7:$G$114,5,FALSE),VLOOKUP($E$6,Data!$B$7:$G$114,6,FALSE)),R51,"")</f>
        <v>45M</v>
      </c>
      <c r="E51" s="18" t="str">
        <f t="shared" si="2"/>
        <v>S0193Z 45M BLC2 Curncy</v>
      </c>
      <c r="F51" s="89">
        <f>IF(D51&lt;&gt;"",IF($L$7="YES",IF($A51="N",_xll.BDP($E51,$L$6), "-"),_xll.BDP($E51,"Px " &amp; $L$6)),"")</f>
        <v>3.6985299999999999</v>
      </c>
      <c r="G51" s="43">
        <f>IF(D51&lt;&gt;"",_xll.BDP($E51,$G$20)*1,"")</f>
        <v>44825</v>
      </c>
      <c r="H51" s="93" t="str">
        <f>IF(D51&lt;&gt;"",IF($L$7="YES",IF($A51="N",_xll.BDP($E51,"Time"), "-"),_xll.BDP($E51,H$20)),"")</f>
        <v>13:08:34</v>
      </c>
      <c r="I51" s="85" t="str">
        <f>_xll.BDP($L51, I$20)</f>
        <v>N</v>
      </c>
      <c r="J51" s="14" t="str">
        <f t="shared" si="3"/>
        <v>S0193D</v>
      </c>
      <c r="K51" s="11" t="str">
        <f t="shared" si="4"/>
        <v>45M</v>
      </c>
      <c r="L51" s="18" t="str">
        <f t="shared" si="5"/>
        <v>S0193D 45M BLC2 Curncy</v>
      </c>
      <c r="M51" s="89">
        <f>IF(D51&lt;&gt;"",IF($L$7="YES",IF($I51="N",_xll.BDP($L51,$L$6), "-"),_xll.BDP($L51,"Px " &amp; $L$6)),"")</f>
        <v>0.86982400000000004</v>
      </c>
      <c r="N51" s="21">
        <f>IF(D51&lt;&gt;"",_xll.BDP($L51,$N$20)*1,"")</f>
        <v>44825</v>
      </c>
      <c r="O51" s="93" t="str">
        <f>IF(D51&lt;&gt;"",IF($L$7="YES",IF($I51="N",_xll.BDP($L51,"Time"), "-"),_xll.BDP($L51,O$20)),"")</f>
        <v>13:08:34</v>
      </c>
      <c r="P51" s="126">
        <f t="shared" ca="1" si="6"/>
        <v>0.86964724117622916</v>
      </c>
      <c r="R51" s="32" t="s">
        <v>52</v>
      </c>
    </row>
    <row r="52" spans="1:18" ht="15" customHeight="1" x14ac:dyDescent="0.25">
      <c r="A52" s="85" t="str">
        <f>_xll.BDP($E52, A$20)</f>
        <v>N</v>
      </c>
      <c r="B52" s="3"/>
      <c r="C52" s="13" t="str">
        <f t="shared" si="1"/>
        <v>S0193Z</v>
      </c>
      <c r="D52" s="12" t="str">
        <f>IF(isvalidterm(R52,VLOOKUP($E$6,Data!$B$7:$G$114,5,FALSE),VLOOKUP($E$6,Data!$B$7:$G$114,6,FALSE)),R52,"")</f>
        <v>4Y</v>
      </c>
      <c r="E52" s="17" t="str">
        <f t="shared" si="2"/>
        <v>S0193Z 4Y BLC2 Curncy</v>
      </c>
      <c r="F52" s="88">
        <f>IF(D52&lt;&gt;"",IF($L$7="YES",IF($A52="N",_xll.BDP($E52,$L$6), "-"),_xll.BDP($E52,"Px " &amp; $L$6)),"")</f>
        <v>3.73109</v>
      </c>
      <c r="G52" s="42">
        <f>IF(D52&lt;&gt;"",_xll.BDP($E52,$G$20)*1,"")</f>
        <v>44916</v>
      </c>
      <c r="H52" s="92" t="str">
        <f>IF(D52&lt;&gt;"",IF($L$7="YES",IF($A52="N",_xll.BDP($E52,"Time"), "-"),_xll.BDP($E52,H$20)),"")</f>
        <v>13:08:34</v>
      </c>
      <c r="I52" s="85" t="str">
        <f>_xll.BDP($L52, I$20)</f>
        <v>N</v>
      </c>
      <c r="J52" s="13" t="str">
        <f t="shared" si="3"/>
        <v>S0193D</v>
      </c>
      <c r="K52" s="12" t="str">
        <f t="shared" si="4"/>
        <v>4Y</v>
      </c>
      <c r="L52" s="17" t="str">
        <f t="shared" si="5"/>
        <v>S0193D 4Y BLC2 Curncy</v>
      </c>
      <c r="M52" s="88">
        <f>IF(D52&lt;&gt;"",IF($L$7="YES",IF($I52="N",_xll.BDP($L52,$L$6), "-"),_xll.BDP($L52,"Px " &amp; $L$6)),"")</f>
        <v>0.86068699999999998</v>
      </c>
      <c r="N52" s="20">
        <f>IF(D52&lt;&gt;"",_xll.BDP($L52,$N$20)*1,"")</f>
        <v>44916</v>
      </c>
      <c r="O52" s="92" t="str">
        <f>IF(D52&lt;&gt;"",IF($L$7="YES",IF($I52="N",_xll.BDP($L52,"Time"), "-"),_xll.BDP($L52,O$20)),"")</f>
        <v>13:08:34</v>
      </c>
      <c r="P52" s="126">
        <f t="shared" ca="1" si="6"/>
        <v>0.86050972546569948</v>
      </c>
      <c r="R52" s="33" t="s">
        <v>22</v>
      </c>
    </row>
    <row r="53" spans="1:18" ht="15" customHeight="1" x14ac:dyDescent="0.25">
      <c r="A53" s="85" t="str">
        <f>_xll.BDP($E53, A$20)</f>
        <v>N</v>
      </c>
      <c r="B53" s="3"/>
      <c r="C53" s="14" t="str">
        <f t="shared" ref="C53:C84" si="7">IF(D53&lt;&gt;"","S0"&amp;REPT(0,3-LEN($E$7))&amp;$E$7&amp;"Z","")</f>
        <v>S0193Z</v>
      </c>
      <c r="D53" s="11" t="str">
        <f>IF(isvalidterm(R53,VLOOKUP($E$6,Data!$B$7:$G$114,5,FALSE),VLOOKUP($E$6,Data!$B$7:$G$114,6,FALSE)),R53,"")</f>
        <v>17Q</v>
      </c>
      <c r="E53" s="18" t="str">
        <f t="shared" ref="E53:E84" si="8">IF(D53&lt;&gt;"",$C53&amp;" "&amp;$D53&amp;" BLC2 Curncy","")</f>
        <v>S0193Z 17Q BLC2 Curncy</v>
      </c>
      <c r="F53" s="89">
        <f>IF(D53&lt;&gt;"",IF($L$7="YES",IF($A53="N",_xll.BDP($E53,$L$6), "-"),_xll.BDP($E53,"Px " &amp; $L$6)),"")</f>
        <v>3.7588599999999999</v>
      </c>
      <c r="G53" s="43">
        <f>IF(D53&lt;&gt;"",_xll.BDP($E53,$G$20)*1,"")</f>
        <v>45006</v>
      </c>
      <c r="H53" s="93" t="str">
        <f>IF(D53&lt;&gt;"",IF($L$7="YES",IF($A53="N",_xll.BDP($E53,"Time"), "-"),_xll.BDP($E53,H$20)),"")</f>
        <v>13:08:34</v>
      </c>
      <c r="I53" s="85" t="str">
        <f>_xll.BDP($L53, I$20)</f>
        <v>N</v>
      </c>
      <c r="J53" s="14" t="str">
        <f t="shared" ref="J53:J84" si="9">IF(D53&lt;&gt;"","S0"&amp;REPT(0,3-LEN($E$7))&amp;$E$7&amp;"D","")</f>
        <v>S0193D</v>
      </c>
      <c r="K53" s="11" t="str">
        <f t="shared" ref="K53:K84" si="10">D53</f>
        <v>17Q</v>
      </c>
      <c r="L53" s="18" t="str">
        <f t="shared" ref="L53:L84" si="11">IF(D53&lt;&gt;"",$J53&amp;" "&amp;$K53&amp;" BLC2 Curncy","")</f>
        <v>S0193D 17Q BLC2 Curncy</v>
      </c>
      <c r="M53" s="89">
        <f>IF(D53&lt;&gt;"",IF($L$7="YES",IF($I53="N",_xll.BDP($L53,$L$6), "-"),_xll.BDP($L53,"Px " &amp; $L$6)),"")</f>
        <v>0.85176799999999997</v>
      </c>
      <c r="N53" s="21">
        <f>IF(D53&lt;&gt;"",_xll.BDP($L53,$N$20)*1,"")</f>
        <v>45006</v>
      </c>
      <c r="O53" s="93" t="str">
        <f>IF(D53&lt;&gt;"",IF($L$7="YES",IF($I53="N",_xll.BDP($L53,"Time"), "-"),_xll.BDP($L53,O$20)),"")</f>
        <v>13:08:34</v>
      </c>
      <c r="P53" s="126">
        <f t="shared" ca="1" si="6"/>
        <v>0.85159169819804048</v>
      </c>
      <c r="R53" s="32" t="s">
        <v>100</v>
      </c>
    </row>
    <row r="54" spans="1:18" ht="15" customHeight="1" x14ac:dyDescent="0.25">
      <c r="A54" s="85" t="str">
        <f>_xll.BDP($E54, A$20)</f>
        <v>N</v>
      </c>
      <c r="B54" s="3"/>
      <c r="C54" s="13" t="str">
        <f t="shared" si="7"/>
        <v>S0193Z</v>
      </c>
      <c r="D54" s="12" t="str">
        <f>IF(isvalidterm(R54,VLOOKUP($E$6,Data!$B$7:$G$114,5,FALSE),VLOOKUP($E$6,Data!$B$7:$G$114,6,FALSE)),R54,"")</f>
        <v>18Q</v>
      </c>
      <c r="E54" s="17" t="str">
        <f t="shared" si="8"/>
        <v>S0193Z 18Q BLC2 Curncy</v>
      </c>
      <c r="F54" s="88">
        <f>IF(D54&lt;&gt;"",IF($L$7="YES",IF($A54="N",_xll.BDP($E54,$L$6), "-"),_xll.BDP($E54,"Px " &amp; $L$6)),"")</f>
        <v>3.7865700000000002</v>
      </c>
      <c r="G54" s="42">
        <f>IF(D54&lt;&gt;"",_xll.BDP($E54,$G$20)*1,"")</f>
        <v>45098</v>
      </c>
      <c r="H54" s="92" t="str">
        <f>IF(D54&lt;&gt;"",IF($L$7="YES",IF($A54="N",_xll.BDP($E54,"Time"), "-"),_xll.BDP($E54,H$20)),"")</f>
        <v>13:08:34</v>
      </c>
      <c r="I54" s="85" t="str">
        <f>_xll.BDP($L54, I$20)</f>
        <v>N</v>
      </c>
      <c r="J54" s="13" t="str">
        <f t="shared" si="9"/>
        <v>S0193D</v>
      </c>
      <c r="K54" s="12" t="str">
        <f t="shared" si="10"/>
        <v>18Q</v>
      </c>
      <c r="L54" s="17" t="str">
        <f t="shared" si="11"/>
        <v>S0193D 18Q BLC2 Curncy</v>
      </c>
      <c r="M54" s="88">
        <f>IF(D54&lt;&gt;"",IF($L$7="YES",IF($I54="N",_xll.BDP($L54,$L$6), "-"),_xll.BDP($L54,"Px " &amp; $L$6)),"")</f>
        <v>0.84265400000000001</v>
      </c>
      <c r="N54" s="20">
        <f>IF(D54&lt;&gt;"",_xll.BDP($L54,$N$20)*1,"")</f>
        <v>45098</v>
      </c>
      <c r="O54" s="92" t="str">
        <f>IF(D54&lt;&gt;"",IF($L$7="YES",IF($I54="N",_xll.BDP($L54,"Time"), "-"),_xll.BDP($L54,O$20)),"")</f>
        <v>13:08:34</v>
      </c>
      <c r="P54" s="126">
        <f t="shared" ca="1" si="6"/>
        <v>0.84247805303004553</v>
      </c>
      <c r="R54" s="33" t="s">
        <v>101</v>
      </c>
    </row>
    <row r="55" spans="1:18" ht="15" customHeight="1" x14ac:dyDescent="0.25">
      <c r="A55" s="85" t="str">
        <f>_xll.BDP($E55, A$20)</f>
        <v>N</v>
      </c>
      <c r="B55" s="3"/>
      <c r="C55" s="14" t="str">
        <f t="shared" si="7"/>
        <v>S0193Z</v>
      </c>
      <c r="D55" s="11" t="str">
        <f>IF(isvalidterm(R55,VLOOKUP($E$6,Data!$B$7:$G$114,5,FALSE),VLOOKUP($E$6,Data!$B$7:$G$114,6,FALSE)),R55,"")</f>
        <v>19Q</v>
      </c>
      <c r="E55" s="18" t="str">
        <f t="shared" si="8"/>
        <v>S0193Z 19Q BLC2 Curncy</v>
      </c>
      <c r="F55" s="89">
        <f>IF(D55&lt;&gt;"",IF($L$7="YES",IF($A55="N",_xll.BDP($E55,$L$6), "-"),_xll.BDP($E55,"Px " &amp; $L$6)),"")</f>
        <v>3.8136199999999998</v>
      </c>
      <c r="G55" s="43">
        <f>IF(D55&lt;&gt;"",_xll.BDP($E55,$G$20)*1,"")</f>
        <v>45190</v>
      </c>
      <c r="H55" s="93" t="str">
        <f>IF(D55&lt;&gt;"",IF($L$7="YES",IF($A55="N",_xll.BDP($E55,"Time"), "-"),_xll.BDP($E55,H$20)),"")</f>
        <v>13:08:34</v>
      </c>
      <c r="I55" s="85" t="str">
        <f>_xll.BDP($L55, I$20)</f>
        <v>N</v>
      </c>
      <c r="J55" s="14" t="str">
        <f t="shared" si="9"/>
        <v>S0193D</v>
      </c>
      <c r="K55" s="11" t="str">
        <f t="shared" si="10"/>
        <v>19Q</v>
      </c>
      <c r="L55" s="18" t="str">
        <f t="shared" si="11"/>
        <v>S0193D 19Q BLC2 Curncy</v>
      </c>
      <c r="M55" s="89">
        <f>IF(D55&lt;&gt;"",IF($L$7="YES",IF($I55="N",_xll.BDP($L55,$L$6), "-"),_xll.BDP($L55,"Px " &amp; $L$6)),"")</f>
        <v>0.83354700000000004</v>
      </c>
      <c r="N55" s="21">
        <f>IF(D55&lt;&gt;"",_xll.BDP($L55,$N$20)*1,"")</f>
        <v>45190</v>
      </c>
      <c r="O55" s="93" t="str">
        <f>IF(D55&lt;&gt;"",IF($L$7="YES",IF($I55="N",_xll.BDP($L55,"Time"), "-"),_xll.BDP($L55,O$20)),"")</f>
        <v>13:08:34</v>
      </c>
      <c r="P55" s="126">
        <f t="shared" ca="1" si="6"/>
        <v>0.83337228277937725</v>
      </c>
      <c r="R55" s="32" t="s">
        <v>102</v>
      </c>
    </row>
    <row r="56" spans="1:18" ht="15" customHeight="1" x14ac:dyDescent="0.25">
      <c r="A56" s="85" t="str">
        <f>_xll.BDP($E56, A$20)</f>
        <v>N</v>
      </c>
      <c r="B56" s="3"/>
      <c r="C56" s="13" t="str">
        <f t="shared" si="7"/>
        <v>S0193Z</v>
      </c>
      <c r="D56" s="12" t="str">
        <f>IF(isvalidterm(R56,VLOOKUP($E$6,Data!$B$7:$G$114,5,FALSE),VLOOKUP($E$6,Data!$B$7:$G$114,6,FALSE)),R56,"")</f>
        <v>5Y</v>
      </c>
      <c r="E56" s="17" t="str">
        <f t="shared" si="8"/>
        <v>S0193Z 5Y BLC2 Curncy</v>
      </c>
      <c r="F56" s="88">
        <f>IF(D56&lt;&gt;"",IF($L$7="YES",IF($A56="N",_xll.BDP($E56,$L$6), "-"),_xll.BDP($E56,"Px " &amp; $L$6)),"")</f>
        <v>3.8397299999999999</v>
      </c>
      <c r="G56" s="42">
        <f>IF(D56&lt;&gt;"",_xll.BDP($E56,$G$20)*1,"")</f>
        <v>45281</v>
      </c>
      <c r="H56" s="92" t="str">
        <f>IF(D56&lt;&gt;"",IF($L$7="YES",IF($A56="N",_xll.BDP($E56,"Time"), "-"),_xll.BDP($E56,H$20)),"")</f>
        <v>13:08:34</v>
      </c>
      <c r="I56" s="85" t="str">
        <f>_xll.BDP($L56, I$20)</f>
        <v>N</v>
      </c>
      <c r="J56" s="13" t="str">
        <f t="shared" si="9"/>
        <v>S0193D</v>
      </c>
      <c r="K56" s="12" t="str">
        <f t="shared" si="10"/>
        <v>5Y</v>
      </c>
      <c r="L56" s="17" t="str">
        <f t="shared" si="11"/>
        <v>S0193D 5Y BLC2 Curncy</v>
      </c>
      <c r="M56" s="88">
        <f>IF(D56&lt;&gt;"",IF($L$7="YES",IF($I56="N",_xll.BDP($L56,$L$6), "-"),_xll.BDP($L56,"Px " &amp; $L$6)),"")</f>
        <v>0.82455299999999998</v>
      </c>
      <c r="N56" s="20">
        <f>IF(D56&lt;&gt;"",_xll.BDP($L56,$N$20)*1,"")</f>
        <v>45281</v>
      </c>
      <c r="O56" s="92" t="str">
        <f>IF(D56&lt;&gt;"",IF($L$7="YES",IF($I56="N",_xll.BDP($L56,"Time"), "-"),_xll.BDP($L56,O$20)),"")</f>
        <v>13:08:34</v>
      </c>
      <c r="P56" s="126">
        <f t="shared" ca="1" si="6"/>
        <v>0.82437895076511591</v>
      </c>
      <c r="R56" s="33" t="s">
        <v>23</v>
      </c>
    </row>
    <row r="57" spans="1:18" ht="15" customHeight="1" x14ac:dyDescent="0.25">
      <c r="A57" s="85" t="str">
        <f>_xll.BDP($E57, A$20)</f>
        <v>N</v>
      </c>
      <c r="B57" s="3"/>
      <c r="C57" s="14" t="str">
        <f t="shared" si="7"/>
        <v>S0193Z</v>
      </c>
      <c r="D57" s="11" t="str">
        <f>IF(isvalidterm(R57,VLOOKUP($E$6,Data!$B$7:$G$114,5,FALSE),VLOOKUP($E$6,Data!$B$7:$G$114,6,FALSE)),R57,"")</f>
        <v>21Q</v>
      </c>
      <c r="E57" s="18" t="str">
        <f t="shared" si="8"/>
        <v>S0193Z 21Q BLC2 Curncy</v>
      </c>
      <c r="F57" s="89">
        <f>IF(D57&lt;&gt;"",IF($L$7="YES",IF($A57="N",_xll.BDP($E57,$L$6), "-"),_xll.BDP($E57,"Px " &amp; $L$6)),"")</f>
        <v>3.8579500000000002</v>
      </c>
      <c r="G57" s="43">
        <f>IF(D57&lt;&gt;"",_xll.BDP($E57,$G$20)*1,"")</f>
        <v>45372</v>
      </c>
      <c r="H57" s="93" t="str">
        <f>IF(D57&lt;&gt;"",IF($L$7="YES",IF($A57="N",_xll.BDP($E57,"Time"), "-"),_xll.BDP($E57,H$20)),"")</f>
        <v>13:08:34</v>
      </c>
      <c r="I57" s="85" t="str">
        <f>_xll.BDP($L57, I$20)</f>
        <v>N</v>
      </c>
      <c r="J57" s="14" t="str">
        <f t="shared" si="9"/>
        <v>S0193D</v>
      </c>
      <c r="K57" s="11" t="str">
        <f t="shared" si="10"/>
        <v>21Q</v>
      </c>
      <c r="L57" s="18" t="str">
        <f t="shared" si="11"/>
        <v>S0193D 21Q BLC2 Curncy</v>
      </c>
      <c r="M57" s="89">
        <f>IF(D57&lt;&gt;"",IF($L$7="YES",IF($I57="N",_xll.BDP($L57,$L$6), "-"),_xll.BDP($L57,"Px " &amp; $L$6)),"")</f>
        <v>0.81588700000000003</v>
      </c>
      <c r="N57" s="21">
        <f>IF(D57&lt;&gt;"",_xll.BDP($L57,$N$20)*1,"")</f>
        <v>45372</v>
      </c>
      <c r="O57" s="93" t="str">
        <f>IF(D57&lt;&gt;"",IF($L$7="YES",IF($I57="N",_xll.BDP($L57,"Time"), "-"),_xll.BDP($L57,O$20)),"")</f>
        <v>13:08:34</v>
      </c>
      <c r="P57" s="126">
        <f t="shared" ca="1" si="6"/>
        <v>0.81571370151238143</v>
      </c>
      <c r="R57" s="32" t="s">
        <v>103</v>
      </c>
    </row>
    <row r="58" spans="1:18" ht="15" customHeight="1" x14ac:dyDescent="0.25">
      <c r="A58" s="85" t="str">
        <f>_xll.BDP($E58, A$20)</f>
        <v>N</v>
      </c>
      <c r="B58" s="3"/>
      <c r="C58" s="13" t="str">
        <f t="shared" si="7"/>
        <v>S0193Z</v>
      </c>
      <c r="D58" s="12" t="str">
        <f>IF(isvalidterm(R58,VLOOKUP($E$6,Data!$B$7:$G$114,5,FALSE),VLOOKUP($E$6,Data!$B$7:$G$114,6,FALSE)),R58,"")</f>
        <v>22Q</v>
      </c>
      <c r="E58" s="17" t="str">
        <f t="shared" si="8"/>
        <v>S0193Z 22Q BLC2 Curncy</v>
      </c>
      <c r="F58" s="88">
        <f>IF(D58&lt;&gt;"",IF($L$7="YES",IF($A58="N",_xll.BDP($E58,$L$6), "-"),_xll.BDP($E58,"Px " &amp; $L$6)),"")</f>
        <v>3.8758900000000001</v>
      </c>
      <c r="G58" s="42">
        <f>IF(D58&lt;&gt;"",_xll.BDP($E58,$G$20)*1,"")</f>
        <v>45464</v>
      </c>
      <c r="H58" s="92" t="str">
        <f>IF(D58&lt;&gt;"",IF($L$7="YES",IF($A58="N",_xll.BDP($E58,"Time"), "-"),_xll.BDP($E58,H$20)),"")</f>
        <v>13:08:34</v>
      </c>
      <c r="I58" s="85" t="str">
        <f>_xll.BDP($L58, I$20)</f>
        <v>N</v>
      </c>
      <c r="J58" s="13" t="str">
        <f t="shared" si="9"/>
        <v>S0193D</v>
      </c>
      <c r="K58" s="12" t="str">
        <f t="shared" si="10"/>
        <v>22Q</v>
      </c>
      <c r="L58" s="17" t="str">
        <f t="shared" si="11"/>
        <v>S0193D 22Q BLC2 Curncy</v>
      </c>
      <c r="M58" s="88">
        <f>IF(D58&lt;&gt;"",IF($L$7="YES",IF($I58="N",_xll.BDP($L58,$L$6), "-"),_xll.BDP($L58,"Px " &amp; $L$6)),"")</f>
        <v>0.80716500000000002</v>
      </c>
      <c r="N58" s="20">
        <f>IF(D58&lt;&gt;"",_xll.BDP($L58,$N$20)*1,"")</f>
        <v>45464</v>
      </c>
      <c r="O58" s="92" t="str">
        <f>IF(D58&lt;&gt;"",IF($L$7="YES",IF($I58="N",_xll.BDP($L58,"Time"), "-"),_xll.BDP($L58,O$20)),"")</f>
        <v>13:08:34</v>
      </c>
      <c r="P58" s="126">
        <f t="shared" ca="1" si="6"/>
        <v>0.80699298658694607</v>
      </c>
      <c r="R58" s="33" t="s">
        <v>104</v>
      </c>
    </row>
    <row r="59" spans="1:18" ht="15" customHeight="1" x14ac:dyDescent="0.25">
      <c r="A59" s="85" t="str">
        <f>_xll.BDP($E59, A$20)</f>
        <v>N</v>
      </c>
      <c r="B59" s="3"/>
      <c r="C59" s="14" t="str">
        <f t="shared" si="7"/>
        <v>S0193Z</v>
      </c>
      <c r="D59" s="11" t="str">
        <f>IF(isvalidterm(R59,VLOOKUP($E$6,Data!$B$7:$G$114,5,FALSE),VLOOKUP($E$6,Data!$B$7:$G$114,6,FALSE)),R59,"")</f>
        <v>23Q</v>
      </c>
      <c r="E59" s="18" t="str">
        <f t="shared" si="8"/>
        <v>S0193Z 23Q BLC2 Curncy</v>
      </c>
      <c r="F59" s="89">
        <f>IF(D59&lt;&gt;"",IF($L$7="YES",IF($A59="N",_xll.BDP($E59,$L$6), "-"),_xll.BDP($E59,"Px " &amp; $L$6)),"")</f>
        <v>3.8937200000000001</v>
      </c>
      <c r="G59" s="43">
        <f>IF(D59&lt;&gt;"",_xll.BDP($E59,$G$20)*1,"")</f>
        <v>45558</v>
      </c>
      <c r="H59" s="93" t="str">
        <f>IF(D59&lt;&gt;"",IF($L$7="YES",IF($A59="N",_xll.BDP($E59,"Time"), "-"),_xll.BDP($E59,H$20)),"")</f>
        <v>13:08:34</v>
      </c>
      <c r="I59" s="85" t="str">
        <f>_xll.BDP($L59, I$20)</f>
        <v>N</v>
      </c>
      <c r="J59" s="14" t="str">
        <f t="shared" si="9"/>
        <v>S0193D</v>
      </c>
      <c r="K59" s="11" t="str">
        <f t="shared" si="10"/>
        <v>23Q</v>
      </c>
      <c r="L59" s="18" t="str">
        <f t="shared" si="11"/>
        <v>S0193D 23Q BLC2 Curncy</v>
      </c>
      <c r="M59" s="89">
        <f>IF(D59&lt;&gt;"",IF($L$7="YES",IF($I59="N",_xll.BDP($L59,$L$6), "-"),_xll.BDP($L59,"Px " &amp; $L$6)),"")</f>
        <v>0.79829899999999998</v>
      </c>
      <c r="N59" s="21">
        <f>IF(D59&lt;&gt;"",_xll.BDP($L59,$N$20)*1,"")</f>
        <v>45558</v>
      </c>
      <c r="O59" s="93" t="str">
        <f>IF(D59&lt;&gt;"",IF($L$7="YES",IF($I59="N",_xll.BDP($L59,"Time"), "-"),_xll.BDP($L59,O$20)),"")</f>
        <v>13:08:34</v>
      </c>
      <c r="P59" s="126">
        <f t="shared" ca="1" si="6"/>
        <v>0.7981277864880294</v>
      </c>
      <c r="R59" s="32" t="s">
        <v>105</v>
      </c>
    </row>
    <row r="60" spans="1:18" ht="15" customHeight="1" x14ac:dyDescent="0.25">
      <c r="A60" s="85" t="str">
        <f>_xll.BDP($E60, A$20)</f>
        <v>N</v>
      </c>
      <c r="B60" s="3"/>
      <c r="C60" s="13" t="str">
        <f t="shared" si="7"/>
        <v>S0193Z</v>
      </c>
      <c r="D60" s="12" t="str">
        <f>IF(isvalidterm(R60,VLOOKUP($E$6,Data!$B$7:$G$114,5,FALSE),VLOOKUP($E$6,Data!$B$7:$G$114,6,FALSE)),R60,"")</f>
        <v>6Y</v>
      </c>
      <c r="E60" s="17" t="str">
        <f t="shared" si="8"/>
        <v>S0193Z 6Y BLC2 Curncy</v>
      </c>
      <c r="F60" s="88">
        <f>IF(D60&lt;&gt;"",IF($L$7="YES",IF($A60="N",_xll.BDP($E60,$L$6), "-"),_xll.BDP($E60,"Px " &amp; $L$6)),"")</f>
        <v>3.9105099999999999</v>
      </c>
      <c r="G60" s="42">
        <f>IF(D60&lt;&gt;"",_xll.BDP($E60,$G$20)*1,"")</f>
        <v>45649</v>
      </c>
      <c r="H60" s="92" t="str">
        <f>IF(D60&lt;&gt;"",IF($L$7="YES",IF($A60="N",_xll.BDP($E60,"Time"), "-"),_xll.BDP($E60,H$20)),"")</f>
        <v>13:08:34</v>
      </c>
      <c r="I60" s="85" t="str">
        <f>_xll.BDP($L60, I$20)</f>
        <v>N</v>
      </c>
      <c r="J60" s="13" t="str">
        <f t="shared" si="9"/>
        <v>S0193D</v>
      </c>
      <c r="K60" s="12" t="str">
        <f t="shared" si="10"/>
        <v>6Y</v>
      </c>
      <c r="L60" s="17" t="str">
        <f t="shared" si="11"/>
        <v>S0193D 6Y BLC2 Curncy</v>
      </c>
      <c r="M60" s="88">
        <f>IF(D60&lt;&gt;"",IF($L$7="YES",IF($I60="N",_xll.BDP($L60,$L$6), "-"),_xll.BDP($L60,"Px " &amp; $L$6)),"")</f>
        <v>0.78976199999999996</v>
      </c>
      <c r="N60" s="20">
        <f>IF(D60&lt;&gt;"",_xll.BDP($L60,$N$20)*1,"")</f>
        <v>45649</v>
      </c>
      <c r="O60" s="92" t="str">
        <f>IF(D60&lt;&gt;"",IF($L$7="YES",IF($I60="N",_xll.BDP($L60,"Time"), "-"),_xll.BDP($L60,O$20)),"")</f>
        <v>13:08:34</v>
      </c>
      <c r="P60" s="126">
        <f t="shared" ca="1" si="6"/>
        <v>0.7895919184853889</v>
      </c>
      <c r="R60" s="33" t="s">
        <v>24</v>
      </c>
    </row>
    <row r="61" spans="1:18" ht="15" customHeight="1" x14ac:dyDescent="0.25">
      <c r="A61" s="85" t="str">
        <f>_xll.BDP($E61, A$20)</f>
        <v>N</v>
      </c>
      <c r="B61" s="3"/>
      <c r="C61" s="14" t="str">
        <f t="shared" si="7"/>
        <v>S0193Z</v>
      </c>
      <c r="D61" s="11" t="str">
        <f>IF(isvalidterm(R61,VLOOKUP($E$6,Data!$B$7:$G$114,5,FALSE),VLOOKUP($E$6,Data!$B$7:$G$114,6,FALSE)),R61,"")</f>
        <v>25Q</v>
      </c>
      <c r="E61" s="18" t="str">
        <f t="shared" si="8"/>
        <v>S0193Z 25Q BLC2 Curncy</v>
      </c>
      <c r="F61" s="89">
        <f>IF(D61&lt;&gt;"",IF($L$7="YES",IF($A61="N",_xll.BDP($E61,$L$6), "-"),_xll.BDP($E61,"Px " &amp; $L$6)),"")</f>
        <v>3.9310299999999998</v>
      </c>
      <c r="G61" s="43">
        <f>IF(D61&lt;&gt;"",_xll.BDP($E61,$G$20)*1,"")</f>
        <v>45737</v>
      </c>
      <c r="H61" s="93" t="str">
        <f>IF(D61&lt;&gt;"",IF($L$7="YES",IF($A61="N",_xll.BDP($E61,"Time"), "-"),_xll.BDP($E61,H$20)),"")</f>
        <v>13:08:34</v>
      </c>
      <c r="I61" s="85" t="str">
        <f>_xll.BDP($L61, I$20)</f>
        <v>N</v>
      </c>
      <c r="J61" s="14" t="str">
        <f t="shared" si="9"/>
        <v>S0193D</v>
      </c>
      <c r="K61" s="11" t="str">
        <f t="shared" si="10"/>
        <v>25Q</v>
      </c>
      <c r="L61" s="18" t="str">
        <f t="shared" si="11"/>
        <v>S0193D 25Q BLC2 Curncy</v>
      </c>
      <c r="M61" s="89">
        <f>IF(D61&lt;&gt;"",IF($L$7="YES",IF($I61="N",_xll.BDP($L61,$L$6), "-"),_xll.BDP($L61,"Px " &amp; $L$6)),"")</f>
        <v>0.78132299999999999</v>
      </c>
      <c r="N61" s="21">
        <f>IF(D61&lt;&gt;"",_xll.BDP($L61,$N$20)*1,"")</f>
        <v>45737</v>
      </c>
      <c r="O61" s="93" t="str">
        <f>IF(D61&lt;&gt;"",IF($L$7="YES",IF($I61="N",_xll.BDP($L61,"Time"), "-"),_xll.BDP($L61,O$20)),"")</f>
        <v>13:08:34</v>
      </c>
      <c r="P61" s="126">
        <f t="shared" ca="1" si="6"/>
        <v>0.7811542479551602</v>
      </c>
      <c r="R61" s="32" t="s">
        <v>106</v>
      </c>
    </row>
    <row r="62" spans="1:18" ht="15" customHeight="1" x14ac:dyDescent="0.25">
      <c r="A62" s="85" t="str">
        <f>_xll.BDP($E62, A$20)</f>
        <v>N</v>
      </c>
      <c r="B62" s="3"/>
      <c r="C62" s="13" t="str">
        <f t="shared" si="7"/>
        <v>S0193Z</v>
      </c>
      <c r="D62" s="12" t="str">
        <f>IF(isvalidterm(R62,VLOOKUP($E$6,Data!$B$7:$G$114,5,FALSE),VLOOKUP($E$6,Data!$B$7:$G$114,6,FALSE)),R62,"")</f>
        <v>26Q</v>
      </c>
      <c r="E62" s="17" t="str">
        <f t="shared" si="8"/>
        <v>S0193Z 26Q BLC2 Curncy</v>
      </c>
      <c r="F62" s="88">
        <f>IF(D62&lt;&gt;"",IF($L$7="YES",IF($A62="N",_xll.BDP($E62,$L$6), "-"),_xll.BDP($E62,"Px " &amp; $L$6)),"")</f>
        <v>3.9523700000000002</v>
      </c>
      <c r="G62" s="42">
        <f>IF(D62&lt;&gt;"",_xll.BDP($E62,$G$20)*1,"")</f>
        <v>45831</v>
      </c>
      <c r="H62" s="92" t="str">
        <f>IF(D62&lt;&gt;"",IF($L$7="YES",IF($A62="N",_xll.BDP($E62,"Time"), "-"),_xll.BDP($E62,H$20)),"")</f>
        <v>13:08:34</v>
      </c>
      <c r="I62" s="85" t="str">
        <f>_xll.BDP($L62, I$20)</f>
        <v>N</v>
      </c>
      <c r="J62" s="13" t="str">
        <f t="shared" si="9"/>
        <v>S0193D</v>
      </c>
      <c r="K62" s="12" t="str">
        <f t="shared" si="10"/>
        <v>26Q</v>
      </c>
      <c r="L62" s="17" t="str">
        <f t="shared" si="11"/>
        <v>S0193D 26Q BLC2 Curncy</v>
      </c>
      <c r="M62" s="88">
        <f>IF(D62&lt;&gt;"",IF($L$7="YES",IF($I62="N",_xll.BDP($L62,$L$6), "-"),_xll.BDP($L62,"Px " &amp; $L$6)),"")</f>
        <v>0.77235399999999998</v>
      </c>
      <c r="N62" s="20">
        <f>IF(D62&lt;&gt;"",_xll.BDP($L62,$N$20)*1,"")</f>
        <v>45831</v>
      </c>
      <c r="O62" s="92" t="str">
        <f>IF(D62&lt;&gt;"",IF($L$7="YES",IF($I62="N",_xll.BDP($L62,"Time"), "-"),_xll.BDP($L62,O$20)),"")</f>
        <v>13:08:34</v>
      </c>
      <c r="P62" s="126">
        <f t="shared" ca="1" si="6"/>
        <v>0.77218600878833066</v>
      </c>
      <c r="R62" s="33" t="s">
        <v>107</v>
      </c>
    </row>
    <row r="63" spans="1:18" ht="15" customHeight="1" x14ac:dyDescent="0.25">
      <c r="A63" s="85" t="str">
        <f>_xll.BDP($E63, A$20)</f>
        <v>N</v>
      </c>
      <c r="B63" s="3"/>
      <c r="C63" s="14" t="str">
        <f t="shared" si="7"/>
        <v>S0193Z</v>
      </c>
      <c r="D63" s="11" t="str">
        <f>IF(isvalidterm(R63,VLOOKUP($E$6,Data!$B$7:$G$114,5,FALSE),VLOOKUP($E$6,Data!$B$7:$G$114,6,FALSE)),R63,"")</f>
        <v>27Q</v>
      </c>
      <c r="E63" s="18" t="str">
        <f t="shared" si="8"/>
        <v>S0193Z 27Q BLC2 Curncy</v>
      </c>
      <c r="F63" s="89">
        <f>IF(D63&lt;&gt;"",IF($L$7="YES",IF($A63="N",_xll.BDP($E63,$L$6), "-"),_xll.BDP($E63,"Px " &amp; $L$6)),"")</f>
        <v>3.9724699999999999</v>
      </c>
      <c r="G63" s="43">
        <f>IF(D63&lt;&gt;"",_xll.BDP($E63,$G$20)*1,"")</f>
        <v>45922</v>
      </c>
      <c r="H63" s="93" t="str">
        <f>IF(D63&lt;&gt;"",IF($L$7="YES",IF($A63="N",_xll.BDP($E63,"Time"), "-"),_xll.BDP($E63,H$20)),"")</f>
        <v>13:08:34</v>
      </c>
      <c r="I63" s="85" t="str">
        <f>_xll.BDP($L63, I$20)</f>
        <v>N</v>
      </c>
      <c r="J63" s="14" t="str">
        <f t="shared" si="9"/>
        <v>S0193D</v>
      </c>
      <c r="K63" s="11" t="str">
        <f t="shared" si="10"/>
        <v>27Q</v>
      </c>
      <c r="L63" s="18" t="str">
        <f t="shared" si="11"/>
        <v>S0193D 27Q BLC2 Curncy</v>
      </c>
      <c r="M63" s="89">
        <f>IF(D63&lt;&gt;"",IF($L$7="YES",IF($I63="N",_xll.BDP($L63,$L$6), "-"),_xll.BDP($L63,"Px " &amp; $L$6)),"")</f>
        <v>0.76371800000000001</v>
      </c>
      <c r="N63" s="21">
        <f>IF(D63&lt;&gt;"",_xll.BDP($L63,$N$20)*1,"")</f>
        <v>45922</v>
      </c>
      <c r="O63" s="93" t="str">
        <f>IF(D63&lt;&gt;"",IF($L$7="YES",IF($I63="N",_xll.BDP($L63,"Time"), "-"),_xll.BDP($L63,O$20)),"")</f>
        <v>13:08:34</v>
      </c>
      <c r="P63" s="126">
        <f t="shared" ca="1" si="6"/>
        <v>0.76355139986713094</v>
      </c>
      <c r="R63" s="32" t="s">
        <v>108</v>
      </c>
    </row>
    <row r="64" spans="1:18" ht="15" customHeight="1" x14ac:dyDescent="0.25">
      <c r="A64" s="85" t="str">
        <f>_xll.BDP($E64, A$20)</f>
        <v>N</v>
      </c>
      <c r="B64" s="3"/>
      <c r="C64" s="13" t="str">
        <f t="shared" si="7"/>
        <v>S0193Z</v>
      </c>
      <c r="D64" s="12" t="str">
        <f>IF(isvalidterm(R64,VLOOKUP($E$6,Data!$B$7:$G$114,5,FALSE),VLOOKUP($E$6,Data!$B$7:$G$114,6,FALSE)),R64,"")</f>
        <v>7Y</v>
      </c>
      <c r="E64" s="17" t="str">
        <f t="shared" si="8"/>
        <v>S0193Z 7Y BLC2 Curncy</v>
      </c>
      <c r="F64" s="88">
        <f>IF(D64&lt;&gt;"",IF($L$7="YES",IF($A64="N",_xll.BDP($E64,$L$6), "-"),_xll.BDP($E64,"Px " &amp; $L$6)),"")</f>
        <v>3.9920399999999998</v>
      </c>
      <c r="G64" s="42">
        <f>IF(D64&lt;&gt;"",_xll.BDP($E64,$G$20)*1,"")</f>
        <v>46013</v>
      </c>
      <c r="H64" s="92" t="str">
        <f>IF(D64&lt;&gt;"",IF($L$7="YES",IF($A64="N",_xll.BDP($E64,"Time"), "-"),_xll.BDP($E64,H$20)),"")</f>
        <v>13:08:34</v>
      </c>
      <c r="I64" s="85" t="str">
        <f>_xll.BDP($L64, I$20)</f>
        <v>N</v>
      </c>
      <c r="J64" s="13" t="str">
        <f t="shared" si="9"/>
        <v>S0193D</v>
      </c>
      <c r="K64" s="12" t="str">
        <f t="shared" si="10"/>
        <v>7Y</v>
      </c>
      <c r="L64" s="17" t="str">
        <f t="shared" si="11"/>
        <v>S0193D 7Y BLC2 Curncy</v>
      </c>
      <c r="M64" s="88">
        <f>IF(D64&lt;&gt;"",IF($L$7="YES",IF($I64="N",_xll.BDP($L64,$L$6), "-"),_xll.BDP($L64,"Px " &amp; $L$6)),"")</f>
        <v>0.75513200000000003</v>
      </c>
      <c r="N64" s="20">
        <f>IF(D64&lt;&gt;"",_xll.BDP($L64,$N$20)*1,"")</f>
        <v>46013</v>
      </c>
      <c r="O64" s="92" t="str">
        <f>IF(D64&lt;&gt;"",IF($L$7="YES",IF($I64="N",_xll.BDP($L64,"Time"), "-"),_xll.BDP($L64,O$20)),"")</f>
        <v>13:08:34</v>
      </c>
      <c r="P64" s="126">
        <f t="shared" ca="1" si="6"/>
        <v>0.75496611643881739</v>
      </c>
      <c r="R64" s="33" t="s">
        <v>25</v>
      </c>
    </row>
    <row r="65" spans="1:18" ht="15" customHeight="1" x14ac:dyDescent="0.25">
      <c r="A65" s="85" t="str">
        <f>_xll.BDP($E65, A$20)</f>
        <v>N</v>
      </c>
      <c r="B65" s="3"/>
      <c r="C65" s="14" t="str">
        <f t="shared" si="7"/>
        <v>S0193Z</v>
      </c>
      <c r="D65" s="11" t="str">
        <f>IF(isvalidterm(R65,VLOOKUP($E$6,Data!$B$7:$G$114,5,FALSE),VLOOKUP($E$6,Data!$B$7:$G$114,6,FALSE)),R65,"")</f>
        <v>29Q</v>
      </c>
      <c r="E65" s="18" t="str">
        <f t="shared" si="8"/>
        <v>S0193Z 29Q BLC2 Curncy</v>
      </c>
      <c r="F65" s="89">
        <f>IF(D65&lt;&gt;"",IF($L$7="YES",IF($A65="N",_xll.BDP($E65,$L$6), "-"),_xll.BDP($E65,"Px " &amp; $L$6)),"")</f>
        <v>4.01431</v>
      </c>
      <c r="G65" s="43">
        <f>IF(D65&lt;&gt;"",_xll.BDP($E65,$G$20)*1,"")</f>
        <v>46104</v>
      </c>
      <c r="H65" s="93" t="str">
        <f>IF(D65&lt;&gt;"",IF($L$7="YES",IF($A65="N",_xll.BDP($E65,"Time"), "-"),_xll.BDP($E65,H$20)),"")</f>
        <v>13:08:34</v>
      </c>
      <c r="I65" s="85" t="str">
        <f>_xll.BDP($L65, I$20)</f>
        <v>N</v>
      </c>
      <c r="J65" s="14" t="str">
        <f t="shared" si="9"/>
        <v>S0193D</v>
      </c>
      <c r="K65" s="11" t="str">
        <f t="shared" si="10"/>
        <v>29Q</v>
      </c>
      <c r="L65" s="18" t="str">
        <f t="shared" si="11"/>
        <v>S0193D 29Q BLC2 Curncy</v>
      </c>
      <c r="M65" s="89">
        <f>IF(D65&lt;&gt;"",IF($L$7="YES",IF($I65="N",_xll.BDP($L65,$L$6), "-"),_xll.BDP($L65,"Px " &amp; $L$6)),"")</f>
        <v>0.74642500000000001</v>
      </c>
      <c r="N65" s="21">
        <f>IF(D65&lt;&gt;"",_xll.BDP($L65,$N$20)*1,"")</f>
        <v>46104</v>
      </c>
      <c r="O65" s="93" t="str">
        <f>IF(D65&lt;&gt;"",IF($L$7="YES",IF($I65="N",_xll.BDP($L65,"Time"), "-"),_xll.BDP($L65,O$20)),"")</f>
        <v>13:08:34</v>
      </c>
      <c r="P65" s="126">
        <f t="shared" ca="1" si="6"/>
        <v>0.74625958637418321</v>
      </c>
      <c r="R65" s="32" t="s">
        <v>109</v>
      </c>
    </row>
    <row r="66" spans="1:18" ht="15" customHeight="1" x14ac:dyDescent="0.25">
      <c r="A66" s="85" t="str">
        <f>_xll.BDP($E66, A$20)</f>
        <v>N</v>
      </c>
      <c r="B66" s="3"/>
      <c r="C66" s="13" t="str">
        <f t="shared" si="7"/>
        <v>S0193Z</v>
      </c>
      <c r="D66" s="12" t="str">
        <f>IF(isvalidterm(R66,VLOOKUP($E$6,Data!$B$7:$G$114,5,FALSE),VLOOKUP($E$6,Data!$B$7:$G$114,6,FALSE)),R66,"")</f>
        <v>30Q</v>
      </c>
      <c r="E66" s="17" t="str">
        <f t="shared" si="8"/>
        <v>S0193Z 30Q BLC2 Curncy</v>
      </c>
      <c r="F66" s="88">
        <f>IF(D66&lt;&gt;"",IF($L$7="YES",IF($A66="N",_xll.BDP($E66,$L$6), "-"),_xll.BDP($E66,"Px " &amp; $L$6)),"")</f>
        <v>4.0359800000000003</v>
      </c>
      <c r="G66" s="42">
        <f>IF(D66&lt;&gt;"",_xll.BDP($E66,$G$20)*1,"")</f>
        <v>46195</v>
      </c>
      <c r="H66" s="92" t="str">
        <f>IF(D66&lt;&gt;"",IF($L$7="YES",IF($A66="N",_xll.BDP($E66,"Time"), "-"),_xll.BDP($E66,H$20)),"")</f>
        <v>13:08:34</v>
      </c>
      <c r="I66" s="85" t="str">
        <f>_xll.BDP($L66, I$20)</f>
        <v>N</v>
      </c>
      <c r="J66" s="13" t="str">
        <f t="shared" si="9"/>
        <v>S0193D</v>
      </c>
      <c r="K66" s="12" t="str">
        <f t="shared" si="10"/>
        <v>30Q</v>
      </c>
      <c r="L66" s="17" t="str">
        <f t="shared" si="11"/>
        <v>S0193D 30Q BLC2 Curncy</v>
      </c>
      <c r="M66" s="88">
        <f>IF(D66&lt;&gt;"",IF($L$7="YES",IF($I66="N",_xll.BDP($L66,$L$6), "-"),_xll.BDP($L66,"Px " &amp; $L$6)),"")</f>
        <v>0.73776900000000001</v>
      </c>
      <c r="N66" s="20">
        <f>IF(D66&lt;&gt;"",_xll.BDP($L66,$N$20)*1,"")</f>
        <v>46195</v>
      </c>
      <c r="O66" s="92" t="str">
        <f>IF(D66&lt;&gt;"",IF($L$7="YES",IF($I66="N",_xll.BDP($L66,"Time"), "-"),_xll.BDP($L66,O$20)),"")</f>
        <v>13:08:34</v>
      </c>
      <c r="P66" s="126">
        <f t="shared" ca="1" si="6"/>
        <v>0.73760522173753795</v>
      </c>
      <c r="R66" s="33" t="s">
        <v>110</v>
      </c>
    </row>
    <row r="67" spans="1:18" ht="15" customHeight="1" x14ac:dyDescent="0.25">
      <c r="A67" s="85" t="str">
        <f>_xll.BDP($E67, A$20)</f>
        <v>N</v>
      </c>
      <c r="B67" s="3"/>
      <c r="C67" s="14" t="str">
        <f t="shared" si="7"/>
        <v>S0193Z</v>
      </c>
      <c r="D67" s="11" t="str">
        <f>IF(isvalidterm(R67,VLOOKUP($E$6,Data!$B$7:$G$114,5,FALSE),VLOOKUP($E$6,Data!$B$7:$G$114,6,FALSE)),R67,"")</f>
        <v>31Q</v>
      </c>
      <c r="E67" s="18" t="str">
        <f t="shared" si="8"/>
        <v>S0193Z 31Q BLC2 Curncy</v>
      </c>
      <c r="F67" s="89">
        <f>IF(D67&lt;&gt;"",IF($L$7="YES",IF($A67="N",_xll.BDP($E67,$L$6), "-"),_xll.BDP($E67,"Px " &amp; $L$6)),"")</f>
        <v>4.0570599999999999</v>
      </c>
      <c r="G67" s="43">
        <f>IF(D67&lt;&gt;"",_xll.BDP($E67,$G$20)*1,"")</f>
        <v>46286</v>
      </c>
      <c r="H67" s="93" t="str">
        <f>IF(D67&lt;&gt;"",IF($L$7="YES",IF($A67="N",_xll.BDP($E67,"Time"), "-"),_xll.BDP($E67,H$20)),"")</f>
        <v>13:08:34</v>
      </c>
      <c r="I67" s="85" t="str">
        <f>_xll.BDP($L67, I$20)</f>
        <v>N</v>
      </c>
      <c r="J67" s="14" t="str">
        <f t="shared" si="9"/>
        <v>S0193D</v>
      </c>
      <c r="K67" s="11" t="str">
        <f t="shared" si="10"/>
        <v>31Q</v>
      </c>
      <c r="L67" s="18" t="str">
        <f t="shared" si="11"/>
        <v>S0193D 31Q BLC2 Curncy</v>
      </c>
      <c r="M67" s="89">
        <f>IF(D67&lt;&gt;"",IF($L$7="YES",IF($I67="N",_xll.BDP($L67,$L$6), "-"),_xll.BDP($L67,"Px " &amp; $L$6)),"")</f>
        <v>0.72916899999999996</v>
      </c>
      <c r="N67" s="21">
        <f>IF(D67&lt;&gt;"",_xll.BDP($L67,$N$20)*1,"")</f>
        <v>46286</v>
      </c>
      <c r="O67" s="93" t="str">
        <f>IF(D67&lt;&gt;"",IF($L$7="YES",IF($I67="N",_xll.BDP($L67,"Time"), "-"),_xll.BDP($L67,O$20)),"")</f>
        <v>13:08:34</v>
      </c>
      <c r="P67" s="126">
        <f t="shared" ca="1" si="6"/>
        <v>0.72900623443546542</v>
      </c>
      <c r="R67" s="32" t="s">
        <v>111</v>
      </c>
    </row>
    <row r="68" spans="1:18" ht="15" customHeight="1" x14ac:dyDescent="0.25">
      <c r="A68" s="85" t="str">
        <f>_xll.BDP($E68, A$20)</f>
        <v>N</v>
      </c>
      <c r="B68" s="3"/>
      <c r="C68" s="13" t="str">
        <f t="shared" si="7"/>
        <v>S0193Z</v>
      </c>
      <c r="D68" s="12" t="str">
        <f>IF(isvalidterm(R68,VLOOKUP($E$6,Data!$B$7:$G$114,5,FALSE),VLOOKUP($E$6,Data!$B$7:$G$114,6,FALSE)),R68,"")</f>
        <v>8Y</v>
      </c>
      <c r="E68" s="17" t="str">
        <f t="shared" si="8"/>
        <v>S0193Z 8Y BLC2 Curncy</v>
      </c>
      <c r="F68" s="88">
        <f>IF(D68&lt;&gt;"",IF($L$7="YES",IF($A68="N",_xll.BDP($E68,$L$6), "-"),_xll.BDP($E68,"Px " &amp; $L$6)),"")</f>
        <v>4.0775600000000001</v>
      </c>
      <c r="G68" s="42">
        <f>IF(D68&lt;&gt;"",_xll.BDP($E68,$G$20)*1,"")</f>
        <v>46377</v>
      </c>
      <c r="H68" s="92" t="str">
        <f>IF(D68&lt;&gt;"",IF($L$7="YES",IF($A68="N",_xll.BDP($E68,"Time"), "-"),_xll.BDP($E68,H$20)),"")</f>
        <v>13:08:34</v>
      </c>
      <c r="I68" s="85" t="str">
        <f>_xll.BDP($L68, I$20)</f>
        <v>N</v>
      </c>
      <c r="J68" s="13" t="str">
        <f t="shared" si="9"/>
        <v>S0193D</v>
      </c>
      <c r="K68" s="12" t="str">
        <f t="shared" si="10"/>
        <v>8Y</v>
      </c>
      <c r="L68" s="17" t="str">
        <f t="shared" si="11"/>
        <v>S0193D 8Y BLC2 Curncy</v>
      </c>
      <c r="M68" s="88">
        <f>IF(D68&lt;&gt;"",IF($L$7="YES",IF($I68="N",_xll.BDP($L68,$L$6), "-"),_xll.BDP($L68,"Px " &amp; $L$6)),"")</f>
        <v>0.72062700000000002</v>
      </c>
      <c r="N68" s="20">
        <f>IF(D68&lt;&gt;"",_xll.BDP($L68,$N$20)*1,"")</f>
        <v>46377</v>
      </c>
      <c r="O68" s="92" t="str">
        <f>IF(D68&lt;&gt;"",IF($L$7="YES",IF($I68="N",_xll.BDP($L68,"Time"), "-"),_xll.BDP($L68,O$20)),"")</f>
        <v>13:08:34</v>
      </c>
      <c r="P68" s="126">
        <f t="shared" ca="1" si="6"/>
        <v>0.72046562163221928</v>
      </c>
      <c r="R68" s="33" t="s">
        <v>26</v>
      </c>
    </row>
    <row r="69" spans="1:18" ht="15" customHeight="1" x14ac:dyDescent="0.25">
      <c r="A69" s="85" t="str">
        <f>_xll.BDP($E69, A$20)</f>
        <v>N</v>
      </c>
      <c r="B69" s="3"/>
      <c r="C69" s="14" t="str">
        <f t="shared" si="7"/>
        <v>S0193Z</v>
      </c>
      <c r="D69" s="11" t="str">
        <f>IF(isvalidterm(R69,VLOOKUP($E$6,Data!$B$7:$G$114,5,FALSE),VLOOKUP($E$6,Data!$B$7:$G$114,6,FALSE)),R69,"")</f>
        <v>33Q</v>
      </c>
      <c r="E69" s="18" t="str">
        <f t="shared" si="8"/>
        <v>S0193Z 33Q BLC2 Curncy</v>
      </c>
      <c r="F69" s="89">
        <f>IF(D69&lt;&gt;"",IF($L$7="YES",IF($A69="N",_xll.BDP($E69,$L$6), "-"),_xll.BDP($E69,"Px " &amp; $L$6)),"")</f>
        <v>4.0961999999999996</v>
      </c>
      <c r="G69" s="43">
        <f>IF(D69&lt;&gt;"",_xll.BDP($E69,$G$20)*1,"")</f>
        <v>46468</v>
      </c>
      <c r="H69" s="93" t="str">
        <f>IF(D69&lt;&gt;"",IF($L$7="YES",IF($A69="N",_xll.BDP($E69,"Time"), "-"),_xll.BDP($E69,H$20)),"")</f>
        <v>13:08:34</v>
      </c>
      <c r="I69" s="85" t="str">
        <f>_xll.BDP($L69, I$20)</f>
        <v>N</v>
      </c>
      <c r="J69" s="14" t="str">
        <f t="shared" si="9"/>
        <v>S0193D</v>
      </c>
      <c r="K69" s="11" t="str">
        <f t="shared" si="10"/>
        <v>33Q</v>
      </c>
      <c r="L69" s="18" t="str">
        <f t="shared" si="11"/>
        <v>S0193D 33Q BLC2 Curncy</v>
      </c>
      <c r="M69" s="89">
        <f>IF(D69&lt;&gt;"",IF($L$7="YES",IF($I69="N",_xll.BDP($L69,$L$6), "-"),_xll.BDP($L69,"Px " &amp; $L$6)),"")</f>
        <v>0.71222200000000002</v>
      </c>
      <c r="N69" s="21">
        <f>IF(D69&lt;&gt;"",_xll.BDP($L69,$N$20)*1,"")</f>
        <v>46468</v>
      </c>
      <c r="O69" s="93" t="str">
        <f>IF(D69&lt;&gt;"",IF($L$7="YES",IF($I69="N",_xll.BDP($L69,"Time"), "-"),_xll.BDP($L69,O$20)),"")</f>
        <v>13:08:34</v>
      </c>
      <c r="P69" s="126">
        <f t="shared" ca="1" si="6"/>
        <v>0.71206155340241595</v>
      </c>
      <c r="R69" s="32" t="s">
        <v>112</v>
      </c>
    </row>
    <row r="70" spans="1:18" ht="15" customHeight="1" x14ac:dyDescent="0.25">
      <c r="A70" s="85" t="str">
        <f>_xll.BDP($E70, A$20)</f>
        <v>N</v>
      </c>
      <c r="B70" s="3"/>
      <c r="C70" s="13" t="str">
        <f t="shared" si="7"/>
        <v>S0193Z</v>
      </c>
      <c r="D70" s="12" t="str">
        <f>IF(isvalidterm(R70,VLOOKUP($E$6,Data!$B$7:$G$114,5,FALSE),VLOOKUP($E$6,Data!$B$7:$G$114,6,FALSE)),R70,"")</f>
        <v>34Q</v>
      </c>
      <c r="E70" s="17" t="str">
        <f t="shared" si="8"/>
        <v>S0193Z 34Q BLC2 Curncy</v>
      </c>
      <c r="F70" s="88">
        <f>IF(D70&lt;&gt;"",IF($L$7="YES",IF($A70="N",_xll.BDP($E70,$L$6), "-"),_xll.BDP($E70,"Px " &amp; $L$6)),"")</f>
        <v>4.1143099999999997</v>
      </c>
      <c r="G70" s="42">
        <f>IF(D70&lt;&gt;"",_xll.BDP($E70,$G$20)*1,"")</f>
        <v>46559</v>
      </c>
      <c r="H70" s="92" t="str">
        <f>IF(D70&lt;&gt;"",IF($L$7="YES",IF($A70="N",_xll.BDP($E70,"Time"), "-"),_xll.BDP($E70,H$20)),"")</f>
        <v>13:08:34</v>
      </c>
      <c r="I70" s="85" t="str">
        <f>_xll.BDP($L70, I$20)</f>
        <v>N</v>
      </c>
      <c r="J70" s="13" t="str">
        <f t="shared" si="9"/>
        <v>S0193D</v>
      </c>
      <c r="K70" s="12" t="str">
        <f t="shared" si="10"/>
        <v>34Q</v>
      </c>
      <c r="L70" s="17" t="str">
        <f t="shared" si="11"/>
        <v>S0193D 34Q BLC2 Curncy</v>
      </c>
      <c r="M70" s="88">
        <f>IF(D70&lt;&gt;"",IF($L$7="YES",IF($I70="N",_xll.BDP($L70,$L$6), "-"),_xll.BDP($L70,"Px " &amp; $L$6)),"")</f>
        <v>0.70388099999999998</v>
      </c>
      <c r="N70" s="20">
        <f>IF(D70&lt;&gt;"",_xll.BDP($L70,$N$20)*1,"")</f>
        <v>46559</v>
      </c>
      <c r="O70" s="92" t="str">
        <f>IF(D70&lt;&gt;"",IF($L$7="YES",IF($I70="N",_xll.BDP($L70,"Time"), "-"),_xll.BDP($L70,O$20)),"")</f>
        <v>13:08:34</v>
      </c>
      <c r="P70" s="126">
        <f t="shared" ca="1" si="6"/>
        <v>0.70372216014037936</v>
      </c>
      <c r="R70" s="33" t="s">
        <v>113</v>
      </c>
    </row>
    <row r="71" spans="1:18" ht="15" customHeight="1" x14ac:dyDescent="0.25">
      <c r="A71" s="85" t="str">
        <f>_xll.BDP($E71, A$20)</f>
        <v>N</v>
      </c>
      <c r="B71" s="3"/>
      <c r="C71" s="14" t="str">
        <f t="shared" si="7"/>
        <v>S0193Z</v>
      </c>
      <c r="D71" s="11" t="str">
        <f>IF(isvalidterm(R71,VLOOKUP($E$6,Data!$B$7:$G$114,5,FALSE),VLOOKUP($E$6,Data!$B$7:$G$114,6,FALSE)),R71,"")</f>
        <v>35Q</v>
      </c>
      <c r="E71" s="18" t="str">
        <f t="shared" si="8"/>
        <v>S0193Z 35Q BLC2 Curncy</v>
      </c>
      <c r="F71" s="89">
        <f>IF(D71&lt;&gt;"",IF($L$7="YES",IF($A71="N",_xll.BDP($E71,$L$6), "-"),_xll.BDP($E71,"Px " &amp; $L$6)),"")</f>
        <v>4.1320800000000002</v>
      </c>
      <c r="G71" s="43">
        <f>IF(D71&lt;&gt;"",_xll.BDP($E71,$G$20)*1,"")</f>
        <v>46651</v>
      </c>
      <c r="H71" s="93" t="str">
        <f>IF(D71&lt;&gt;"",IF($L$7="YES",IF($A71="N",_xll.BDP($E71,"Time"), "-"),_xll.BDP($E71,H$20)),"")</f>
        <v>13:08:34</v>
      </c>
      <c r="I71" s="85" t="str">
        <f>_xll.BDP($L71, I$20)</f>
        <v>N</v>
      </c>
      <c r="J71" s="14" t="str">
        <f t="shared" si="9"/>
        <v>S0193D</v>
      </c>
      <c r="K71" s="11" t="str">
        <f t="shared" si="10"/>
        <v>35Q</v>
      </c>
      <c r="L71" s="18" t="str">
        <f t="shared" si="11"/>
        <v>S0193D 35Q BLC2 Curncy</v>
      </c>
      <c r="M71" s="89">
        <f>IF(D71&lt;&gt;"",IF($L$7="YES",IF($I71="N",_xll.BDP($L71,$L$6), "-"),_xll.BDP($L71,"Px " &amp; $L$6)),"")</f>
        <v>0.69551799999999997</v>
      </c>
      <c r="N71" s="21">
        <f>IF(D71&lt;&gt;"",_xll.BDP($L71,$N$20)*1,"")</f>
        <v>46651</v>
      </c>
      <c r="O71" s="93" t="str">
        <f>IF(D71&lt;&gt;"",IF($L$7="YES",IF($I71="N",_xll.BDP($L71,"Time"), "-"),_xll.BDP($L71,O$20)),"")</f>
        <v>13:08:34</v>
      </c>
      <c r="P71" s="126">
        <f t="shared" ca="1" si="6"/>
        <v>0.69535970801113345</v>
      </c>
      <c r="R71" s="32" t="s">
        <v>114</v>
      </c>
    </row>
    <row r="72" spans="1:18" ht="15" customHeight="1" x14ac:dyDescent="0.25">
      <c r="A72" s="85" t="str">
        <f>_xll.BDP($E72, A$20)</f>
        <v>N</v>
      </c>
      <c r="B72" s="3"/>
      <c r="C72" s="13" t="str">
        <f t="shared" si="7"/>
        <v>S0193Z</v>
      </c>
      <c r="D72" s="12" t="str">
        <f>IF(isvalidterm(R72,VLOOKUP($E$6,Data!$B$7:$G$114,5,FALSE),VLOOKUP($E$6,Data!$B$7:$G$114,6,FALSE)),R72,"")</f>
        <v>9Y</v>
      </c>
      <c r="E72" s="17" t="str">
        <f t="shared" si="8"/>
        <v>S0193Z 9Y BLC2 Curncy</v>
      </c>
      <c r="F72" s="88">
        <f>IF(D72&lt;&gt;"",IF($L$7="YES",IF($A72="N",_xll.BDP($E72,$L$6), "-"),_xll.BDP($E72,"Px " &amp; $L$6)),"")</f>
        <v>4.1491400000000001</v>
      </c>
      <c r="G72" s="42">
        <f>IF(D72&lt;&gt;"",_xll.BDP($E72,$G$20)*1,"")</f>
        <v>46742</v>
      </c>
      <c r="H72" s="92" t="str">
        <f>IF(D72&lt;&gt;"",IF($L$7="YES",IF($A72="N",_xll.BDP($E72,"Time"), "-"),_xll.BDP($E72,H$20)),"")</f>
        <v>13:08:34</v>
      </c>
      <c r="I72" s="85" t="str">
        <f>_xll.BDP($L72, I$20)</f>
        <v>N</v>
      </c>
      <c r="J72" s="13" t="str">
        <f t="shared" si="9"/>
        <v>S0193D</v>
      </c>
      <c r="K72" s="12" t="str">
        <f t="shared" si="10"/>
        <v>9Y</v>
      </c>
      <c r="L72" s="17" t="str">
        <f t="shared" si="11"/>
        <v>S0193D 9Y BLC2 Curncy</v>
      </c>
      <c r="M72" s="88">
        <f>IF(D72&lt;&gt;"",IF($L$7="YES",IF($I72="N",_xll.BDP($L72,$L$6), "-"),_xll.BDP($L72,"Px " &amp; $L$6)),"")</f>
        <v>0.68731399999999998</v>
      </c>
      <c r="N72" s="20">
        <f>IF(D72&lt;&gt;"",_xll.BDP($L72,$N$20)*1,"")</f>
        <v>46742</v>
      </c>
      <c r="O72" s="92" t="str">
        <f>IF(D72&lt;&gt;"",IF($L$7="YES",IF($I72="N",_xll.BDP($L72,"Time"), "-"),_xll.BDP($L72,O$20)),"")</f>
        <v>13:08:34</v>
      </c>
      <c r="P72" s="126">
        <f t="shared" ca="1" si="6"/>
        <v>0.6871576387675894</v>
      </c>
      <c r="R72" s="33" t="s">
        <v>27</v>
      </c>
    </row>
    <row r="73" spans="1:18" ht="15" customHeight="1" x14ac:dyDescent="0.25">
      <c r="A73" s="85" t="str">
        <f>_xll.BDP($E73, A$20)</f>
        <v>N</v>
      </c>
      <c r="B73" s="3"/>
      <c r="C73" s="14" t="str">
        <f t="shared" si="7"/>
        <v>S0193Z</v>
      </c>
      <c r="D73" s="11" t="str">
        <f>IF(isvalidterm(R73,VLOOKUP($E$6,Data!$B$7:$G$114,5,FALSE),VLOOKUP($E$6,Data!$B$7:$G$114,6,FALSE)),R73,"")</f>
        <v>37Q</v>
      </c>
      <c r="E73" s="18" t="str">
        <f t="shared" si="8"/>
        <v>S0193Z 37Q BLC2 Curncy</v>
      </c>
      <c r="F73" s="89">
        <f>IF(D73&lt;&gt;"",IF($L$7="YES",IF($A73="N",_xll.BDP($E73,$L$6), "-"),_xll.BDP($E73,"Px " &amp; $L$6)),"")</f>
        <v>4.17028</v>
      </c>
      <c r="G73" s="43">
        <f>IF(D73&lt;&gt;"",_xll.BDP($E73,$G$20)*1,"")</f>
        <v>46833</v>
      </c>
      <c r="H73" s="93" t="str">
        <f>IF(D73&lt;&gt;"",IF($L$7="YES",IF($A73="N",_xll.BDP($E73,"Time"), "-"),_xll.BDP($E73,H$20)),"")</f>
        <v>13:08:34</v>
      </c>
      <c r="I73" s="85" t="str">
        <f>_xll.BDP($L73, I$20)</f>
        <v>N</v>
      </c>
      <c r="J73" s="14" t="str">
        <f t="shared" si="9"/>
        <v>S0193D</v>
      </c>
      <c r="K73" s="11" t="str">
        <f t="shared" si="10"/>
        <v>37Q</v>
      </c>
      <c r="L73" s="18" t="str">
        <f t="shared" si="11"/>
        <v>S0193D 37Q BLC2 Curncy</v>
      </c>
      <c r="M73" s="89">
        <f>IF(D73&lt;&gt;"",IF($L$7="YES",IF($I73="N",_xll.BDP($L73,$L$6), "-"),_xll.BDP($L73,"Px " &amp; $L$6)),"")</f>
        <v>0.67889600000000005</v>
      </c>
      <c r="N73" s="21">
        <f>IF(D73&lt;&gt;"",_xll.BDP($L73,$N$20)*1,"")</f>
        <v>46833</v>
      </c>
      <c r="O73" s="93" t="str">
        <f>IF(D73&lt;&gt;"",IF($L$7="YES",IF($I73="N",_xll.BDP($L73,"Time"), "-"),_xll.BDP($L73,O$20)),"")</f>
        <v>13:08:34</v>
      </c>
      <c r="P73" s="126">
        <f t="shared" ca="1" si="6"/>
        <v>0.67874028668249198</v>
      </c>
      <c r="R73" s="32" t="s">
        <v>115</v>
      </c>
    </row>
    <row r="74" spans="1:18" ht="15" customHeight="1" x14ac:dyDescent="0.25">
      <c r="A74" s="85" t="str">
        <f>_xll.BDP($E74, A$20)</f>
        <v>N</v>
      </c>
      <c r="B74" s="3"/>
      <c r="C74" s="13" t="str">
        <f t="shared" si="7"/>
        <v>S0193Z</v>
      </c>
      <c r="D74" s="12" t="str">
        <f>IF(isvalidterm(R74,VLOOKUP($E$6,Data!$B$7:$G$114,5,FALSE),VLOOKUP($E$6,Data!$B$7:$G$114,6,FALSE)),R74,"")</f>
        <v>38Q</v>
      </c>
      <c r="E74" s="17" t="str">
        <f t="shared" si="8"/>
        <v>S0193Z 38Q BLC2 Curncy</v>
      </c>
      <c r="F74" s="88">
        <f>IF(D74&lt;&gt;"",IF($L$7="YES",IF($A74="N",_xll.BDP($E74,$L$6), "-"),_xll.BDP($E74,"Px " &amp; $L$6)),"")</f>
        <v>4.19102</v>
      </c>
      <c r="G74" s="42">
        <f>IF(D74&lt;&gt;"",_xll.BDP($E74,$G$20)*1,"")</f>
        <v>46925</v>
      </c>
      <c r="H74" s="92" t="str">
        <f>IF(D74&lt;&gt;"",IF($L$7="YES",IF($A74="N",_xll.BDP($E74,"Time"), "-"),_xll.BDP($E74,H$20)),"")</f>
        <v>13:08:34</v>
      </c>
      <c r="I74" s="85" t="str">
        <f>_xll.BDP($L74, I$20)</f>
        <v>N</v>
      </c>
      <c r="J74" s="13" t="str">
        <f t="shared" si="9"/>
        <v>S0193D</v>
      </c>
      <c r="K74" s="12" t="str">
        <f t="shared" si="10"/>
        <v>38Q</v>
      </c>
      <c r="L74" s="17" t="str">
        <f t="shared" si="11"/>
        <v>S0193D 38Q BLC2 Curncy</v>
      </c>
      <c r="M74" s="88">
        <f>IF(D74&lt;&gt;"",IF($L$7="YES",IF($I74="N",_xll.BDP($L74,$L$6), "-"),_xll.BDP($L74,"Px " &amp; $L$6)),"")</f>
        <v>0.670458</v>
      </c>
      <c r="N74" s="20">
        <f>IF(D74&lt;&gt;"",_xll.BDP($L74,$N$20)*1,"")</f>
        <v>46925</v>
      </c>
      <c r="O74" s="92" t="str">
        <f>IF(D74&lt;&gt;"",IF($L$7="YES",IF($I74="N",_xll.BDP($L74,"Time"), "-"),_xll.BDP($L74,O$20)),"")</f>
        <v>13:08:34</v>
      </c>
      <c r="P74" s="126">
        <f t="shared" ca="1" si="6"/>
        <v>0.67030408404921016</v>
      </c>
      <c r="R74" s="33" t="s">
        <v>116</v>
      </c>
    </row>
    <row r="75" spans="1:18" ht="15" customHeight="1" x14ac:dyDescent="0.25">
      <c r="A75" s="85" t="str">
        <f>_xll.BDP($E75, A$20)</f>
        <v>N</v>
      </c>
      <c r="B75" s="3"/>
      <c r="C75" s="14" t="str">
        <f t="shared" si="7"/>
        <v>S0193Z</v>
      </c>
      <c r="D75" s="11" t="str">
        <f>IF(isvalidterm(R75,VLOOKUP($E$6,Data!$B$7:$G$114,5,FALSE),VLOOKUP($E$6,Data!$B$7:$G$114,6,FALSE)),R75,"")</f>
        <v>39Q</v>
      </c>
      <c r="E75" s="18" t="str">
        <f t="shared" si="8"/>
        <v>S0193Z 39Q BLC2 Curncy</v>
      </c>
      <c r="F75" s="89">
        <f>IF(D75&lt;&gt;"",IF($L$7="YES",IF($A75="N",_xll.BDP($E75,$L$6), "-"),_xll.BDP($E75,"Px " &amp; $L$6)),"")</f>
        <v>4.2111599999999996</v>
      </c>
      <c r="G75" s="43">
        <f>IF(D75&lt;&gt;"",_xll.BDP($E75,$G$20)*1,"")</f>
        <v>47017</v>
      </c>
      <c r="H75" s="93" t="str">
        <f>IF(D75&lt;&gt;"",IF($L$7="YES",IF($A75="N",_xll.BDP($E75,"Time"), "-"),_xll.BDP($E75,H$20)),"")</f>
        <v>13:08:34</v>
      </c>
      <c r="I75" s="85" t="str">
        <f>_xll.BDP($L75, I$20)</f>
        <v>N</v>
      </c>
      <c r="J75" s="14" t="str">
        <f t="shared" si="9"/>
        <v>S0193D</v>
      </c>
      <c r="K75" s="11" t="str">
        <f t="shared" si="10"/>
        <v>39Q</v>
      </c>
      <c r="L75" s="18" t="str">
        <f t="shared" si="11"/>
        <v>S0193D 39Q BLC2 Curncy</v>
      </c>
      <c r="M75" s="89">
        <f>IF(D75&lt;&gt;"",IF($L$7="YES",IF($I75="N",_xll.BDP($L75,$L$6), "-"),_xll.BDP($L75,"Px " &amp; $L$6)),"")</f>
        <v>0.66209600000000002</v>
      </c>
      <c r="N75" s="21">
        <f>IF(D75&lt;&gt;"",_xll.BDP($L75,$N$20)*1,"")</f>
        <v>47017</v>
      </c>
      <c r="O75" s="93" t="str">
        <f>IF(D75&lt;&gt;"",IF($L$7="YES",IF($I75="N",_xll.BDP($L75,"Time"), "-"),_xll.BDP($L75,O$20)),"")</f>
        <v>13:08:34</v>
      </c>
      <c r="P75" s="126">
        <f t="shared" ca="1" si="6"/>
        <v>0.66194264761682731</v>
      </c>
      <c r="R75" s="32" t="s">
        <v>117</v>
      </c>
    </row>
    <row r="76" spans="1:18" ht="15" customHeight="1" x14ac:dyDescent="0.25">
      <c r="A76" s="85" t="str">
        <f>_xll.BDP($E76, A$20)</f>
        <v>N</v>
      </c>
      <c r="B76" s="3"/>
      <c r="C76" s="13" t="str">
        <f t="shared" si="7"/>
        <v>S0193Z</v>
      </c>
      <c r="D76" s="12" t="str">
        <f>IF(isvalidterm(R76,VLOOKUP($E$6,Data!$B$7:$G$114,5,FALSE),VLOOKUP($E$6,Data!$B$7:$G$114,6,FALSE)),R76,"")</f>
        <v>10Y</v>
      </c>
      <c r="E76" s="17" t="str">
        <f t="shared" si="8"/>
        <v>S0193Z 10Y BLC2 Curncy</v>
      </c>
      <c r="F76" s="88">
        <f>IF(D76&lt;&gt;"",IF($L$7="YES",IF($A76="N",_xll.BDP($E76,$L$6), "-"),_xll.BDP($E76,"Px " &amp; $L$6)),"")</f>
        <v>4.23048</v>
      </c>
      <c r="G76" s="42">
        <f>IF(D76&lt;&gt;"",_xll.BDP($E76,$G$20)*1,"")</f>
        <v>47108</v>
      </c>
      <c r="H76" s="92" t="str">
        <f>IF(D76&lt;&gt;"",IF($L$7="YES",IF($A76="N",_xll.BDP($E76,"Time"), "-"),_xll.BDP($E76,H$20)),"")</f>
        <v>13:08:34</v>
      </c>
      <c r="I76" s="85" t="str">
        <f>_xll.BDP($L76, I$20)</f>
        <v>N</v>
      </c>
      <c r="J76" s="13" t="str">
        <f t="shared" si="9"/>
        <v>S0193D</v>
      </c>
      <c r="K76" s="12" t="str">
        <f t="shared" si="10"/>
        <v>10Y</v>
      </c>
      <c r="L76" s="17" t="str">
        <f t="shared" si="11"/>
        <v>S0193D 10Y BLC2 Curncy</v>
      </c>
      <c r="M76" s="88">
        <f>IF(D76&lt;&gt;"",IF($L$7="YES",IF($I76="N",_xll.BDP($L76,$L$6), "-"),_xll.BDP($L76,"Px " &amp; $L$6)),"")</f>
        <v>0.65390199999999998</v>
      </c>
      <c r="N76" s="20">
        <f>IF(D76&lt;&gt;"",_xll.BDP($L76,$N$20)*1,"")</f>
        <v>47108</v>
      </c>
      <c r="O76" s="92" t="str">
        <f>IF(D76&lt;&gt;"",IF($L$7="YES",IF($I76="N",_xll.BDP($L76,"Time"), "-"),_xll.BDP($L76,O$20)),"")</f>
        <v>13:08:34</v>
      </c>
      <c r="P76" s="126">
        <f t="shared" ca="1" si="6"/>
        <v>0.65374906411080247</v>
      </c>
      <c r="R76" s="33" t="s">
        <v>28</v>
      </c>
    </row>
    <row r="77" spans="1:18" ht="15" customHeight="1" x14ac:dyDescent="0.25">
      <c r="A77" s="85" t="str">
        <f>_xll.BDP($E77, A$20)</f>
        <v>N</v>
      </c>
      <c r="B77" s="3"/>
      <c r="C77" s="14" t="str">
        <f t="shared" si="7"/>
        <v>S0193Z</v>
      </c>
      <c r="D77" s="11" t="str">
        <f>IF(isvalidterm(R77,VLOOKUP($E$6,Data!$B$7:$G$114,5,FALSE),VLOOKUP($E$6,Data!$B$7:$G$114,6,FALSE)),R77,"")</f>
        <v>11Y</v>
      </c>
      <c r="E77" s="18" t="str">
        <f t="shared" si="8"/>
        <v>S0193Z 11Y BLC2 Curncy</v>
      </c>
      <c r="F77" s="89" t="str">
        <f>IF(D77&lt;&gt;"",IF($L$7="YES",IF($A77="N",_xll.BDP($E77,$L$6), "-"),_xll.BDP($E77,"Px " &amp; $L$6)),"")</f>
        <v>#N/A N/A</v>
      </c>
      <c r="G77" s="43">
        <f>IF(D77&lt;&gt;"",_xll.BDP($E77,$G$20)*1,"")</f>
        <v>47473</v>
      </c>
      <c r="H77" s="93" t="str">
        <f>IF(D77&lt;&gt;"",IF($L$7="YES",IF($A77="N",_xll.BDP($E77,"Time"), "-"),_xll.BDP($E77,H$20)),"")</f>
        <v>#N/A N/A</v>
      </c>
      <c r="I77" s="85" t="str">
        <f>_xll.BDP($L77, I$20)</f>
        <v>N</v>
      </c>
      <c r="J77" s="14" t="str">
        <f t="shared" si="9"/>
        <v>S0193D</v>
      </c>
      <c r="K77" s="11" t="str">
        <f t="shared" si="10"/>
        <v>11Y</v>
      </c>
      <c r="L77" s="18" t="str">
        <f t="shared" si="11"/>
        <v>S0193D 11Y BLC2 Curncy</v>
      </c>
      <c r="M77" s="89" t="str">
        <f>IF(D77&lt;&gt;"",IF($L$7="YES",IF($I77="N",_xll.BDP($L77,$L$6), "-"),_xll.BDP($L77,"Px " &amp; $L$6)),"")</f>
        <v>#N/A N/A</v>
      </c>
      <c r="N77" s="21">
        <f>IF(D77&lt;&gt;"",_xll.BDP($L77,$N$20)*1,"")</f>
        <v>47473</v>
      </c>
      <c r="O77" s="93" t="str">
        <f>IF(D77&lt;&gt;"",IF($L$7="YES",IF($I77="N",_xll.BDP($L77,"Time"), "-"),_xll.BDP($L77,O$20)),"")</f>
        <v>#N/A N/A</v>
      </c>
      <c r="P77" s="126" t="e">
        <f t="shared" ca="1" si="6"/>
        <v>#VALUE!</v>
      </c>
      <c r="R77" s="32" t="s">
        <v>29</v>
      </c>
    </row>
    <row r="78" spans="1:18" ht="15" customHeight="1" x14ac:dyDescent="0.25">
      <c r="A78" s="85" t="str">
        <f>_xll.BDP($E78, A$20)</f>
        <v>N</v>
      </c>
      <c r="B78" s="3"/>
      <c r="C78" s="13" t="str">
        <f t="shared" si="7"/>
        <v>S0193Z</v>
      </c>
      <c r="D78" s="12" t="str">
        <f>IF(isvalidterm(R78,VLOOKUP($E$6,Data!$B$7:$G$114,5,FALSE),VLOOKUP($E$6,Data!$B$7:$G$114,6,FALSE)),R78,"")</f>
        <v>12Y</v>
      </c>
      <c r="E78" s="17" t="str">
        <f t="shared" si="8"/>
        <v>S0193Z 12Y BLC2 Curncy</v>
      </c>
      <c r="F78" s="88" t="str">
        <f>IF(D78&lt;&gt;"",IF($L$7="YES",IF($A78="N",_xll.BDP($E78,$L$6), "-"),_xll.BDP($E78,"Px " &amp; $L$6)),"")</f>
        <v>#N/A N/A</v>
      </c>
      <c r="G78" s="42">
        <f>IF(D78&lt;&gt;"",_xll.BDP($E78,$G$20)*1,"")</f>
        <v>47840</v>
      </c>
      <c r="H78" s="92" t="str">
        <f>IF(D78&lt;&gt;"",IF($L$7="YES",IF($A78="N",_xll.BDP($E78,"Time"), "-"),_xll.BDP($E78,H$20)),"")</f>
        <v>#N/A N/A</v>
      </c>
      <c r="I78" s="85" t="str">
        <f>_xll.BDP($L78, I$20)</f>
        <v>N</v>
      </c>
      <c r="J78" s="13" t="str">
        <f t="shared" si="9"/>
        <v>S0193D</v>
      </c>
      <c r="K78" s="12" t="str">
        <f t="shared" si="10"/>
        <v>12Y</v>
      </c>
      <c r="L78" s="17" t="str">
        <f t="shared" si="11"/>
        <v>S0193D 12Y BLC2 Curncy</v>
      </c>
      <c r="M78" s="88" t="str">
        <f>IF(D78&lt;&gt;"",IF($L$7="YES",IF($I78="N",_xll.BDP($L78,$L$6), "-"),_xll.BDP($L78,"Px " &amp; $L$6)),"")</f>
        <v>#N/A N/A</v>
      </c>
      <c r="N78" s="20">
        <f>IF(D78&lt;&gt;"",_xll.BDP($L78,$N$20)*1,"")</f>
        <v>47840</v>
      </c>
      <c r="O78" s="92" t="str">
        <f>IF(D78&lt;&gt;"",IF($L$7="YES",IF($I78="N",_xll.BDP($L78,"Time"), "-"),_xll.BDP($L78,O$20)),"")</f>
        <v>#N/A N/A</v>
      </c>
      <c r="P78" s="126" t="e">
        <f t="shared" ca="1" si="6"/>
        <v>#VALUE!</v>
      </c>
      <c r="R78" s="33" t="s">
        <v>30</v>
      </c>
    </row>
    <row r="79" spans="1:18" ht="15" customHeight="1" x14ac:dyDescent="0.25">
      <c r="A79" s="85" t="str">
        <f>_xll.BDP($E79, A$20)</f>
        <v>N</v>
      </c>
      <c r="B79" s="3"/>
      <c r="C79" s="14" t="str">
        <f t="shared" si="7"/>
        <v>S0193Z</v>
      </c>
      <c r="D79" s="11" t="str">
        <f>IF(isvalidterm(R79,VLOOKUP($E$6,Data!$B$7:$G$114,5,FALSE),VLOOKUP($E$6,Data!$B$7:$G$114,6,FALSE)),R79,"")</f>
        <v>13Y</v>
      </c>
      <c r="E79" s="18" t="str">
        <f t="shared" si="8"/>
        <v>S0193Z 13Y BLC2 Curncy</v>
      </c>
      <c r="F79" s="89" t="str">
        <f>IF(D79&lt;&gt;"",IF($L$7="YES",IF($A79="N",_xll.BDP($E79,$L$6), "-"),_xll.BDP($E79,"Px " &amp; $L$6)),"")</f>
        <v>#N/A N/A</v>
      </c>
      <c r="G79" s="43">
        <f>IF(D79&lt;&gt;"",_xll.BDP($E79,$G$20)*1,"")</f>
        <v>48204</v>
      </c>
      <c r="H79" s="93" t="str">
        <f>IF(D79&lt;&gt;"",IF($L$7="YES",IF($A79="N",_xll.BDP($E79,"Time"), "-"),_xll.BDP($E79,H$20)),"")</f>
        <v>#N/A N/A</v>
      </c>
      <c r="I79" s="85" t="str">
        <f>_xll.BDP($L79, I$20)</f>
        <v>N</v>
      </c>
      <c r="J79" s="14" t="str">
        <f t="shared" si="9"/>
        <v>S0193D</v>
      </c>
      <c r="K79" s="11" t="str">
        <f t="shared" si="10"/>
        <v>13Y</v>
      </c>
      <c r="L79" s="18" t="str">
        <f t="shared" si="11"/>
        <v>S0193D 13Y BLC2 Curncy</v>
      </c>
      <c r="M79" s="89" t="str">
        <f>IF(D79&lt;&gt;"",IF($L$7="YES",IF($I79="N",_xll.BDP($L79,$L$6), "-"),_xll.BDP($L79,"Px " &amp; $L$6)),"")</f>
        <v>#N/A N/A</v>
      </c>
      <c r="N79" s="21">
        <f>IF(D79&lt;&gt;"",_xll.BDP($L79,$N$20)*1,"")</f>
        <v>48204</v>
      </c>
      <c r="O79" s="93" t="str">
        <f>IF(D79&lt;&gt;"",IF($L$7="YES",IF($I79="N",_xll.BDP($L79,"Time"), "-"),_xll.BDP($L79,O$20)),"")</f>
        <v>#N/A N/A</v>
      </c>
      <c r="P79" s="126" t="e">
        <f t="shared" ca="1" si="6"/>
        <v>#VALUE!</v>
      </c>
      <c r="R79" s="32" t="s">
        <v>58</v>
      </c>
    </row>
    <row r="80" spans="1:18" ht="15" customHeight="1" x14ac:dyDescent="0.25">
      <c r="A80" s="85" t="str">
        <f>_xll.BDP($E80, A$20)</f>
        <v>N</v>
      </c>
      <c r="B80" s="3"/>
      <c r="C80" s="13" t="str">
        <f t="shared" si="7"/>
        <v>S0193Z</v>
      </c>
      <c r="D80" s="12" t="str">
        <f>IF(isvalidterm(R80,VLOOKUP($E$6,Data!$B$7:$G$114,5,FALSE),VLOOKUP($E$6,Data!$B$7:$G$114,6,FALSE)),R80,"")</f>
        <v>14Y</v>
      </c>
      <c r="E80" s="17" t="str">
        <f t="shared" si="8"/>
        <v>S0193Z 14Y BLC2 Curncy</v>
      </c>
      <c r="F80" s="88" t="str">
        <f>IF(D80&lt;&gt;"",IF($L$7="YES",IF($A80="N",_xll.BDP($E80,$L$6), "-"),_xll.BDP($E80,"Px " &amp; $L$6)),"")</f>
        <v>#N/A N/A</v>
      </c>
      <c r="G80" s="42">
        <f>IF(D80&lt;&gt;"",_xll.BDP($E80,$G$20)*1,"")</f>
        <v>48569</v>
      </c>
      <c r="H80" s="92" t="str">
        <f>IF(D80&lt;&gt;"",IF($L$7="YES",IF($A80="N",_xll.BDP($E80,"Time"), "-"),_xll.BDP($E80,H$20)),"")</f>
        <v>#N/A N/A</v>
      </c>
      <c r="I80" s="85" t="str">
        <f>_xll.BDP($L80, I$20)</f>
        <v>N</v>
      </c>
      <c r="J80" s="13" t="str">
        <f t="shared" si="9"/>
        <v>S0193D</v>
      </c>
      <c r="K80" s="12" t="str">
        <f t="shared" si="10"/>
        <v>14Y</v>
      </c>
      <c r="L80" s="17" t="str">
        <f t="shared" si="11"/>
        <v>S0193D 14Y BLC2 Curncy</v>
      </c>
      <c r="M80" s="88" t="str">
        <f>IF(D80&lt;&gt;"",IF($L$7="YES",IF($I80="N",_xll.BDP($L80,$L$6), "-"),_xll.BDP($L80,"Px " &amp; $L$6)),"")</f>
        <v>#N/A N/A</v>
      </c>
      <c r="N80" s="20">
        <f>IF(D80&lt;&gt;"",_xll.BDP($L80,$N$20)*1,"")</f>
        <v>48569</v>
      </c>
      <c r="O80" s="92" t="str">
        <f>IF(D80&lt;&gt;"",IF($L$7="YES",IF($I80="N",_xll.BDP($L80,"Time"), "-"),_xll.BDP($L80,O$20)),"")</f>
        <v>#N/A N/A</v>
      </c>
      <c r="P80" s="126" t="e">
        <f t="shared" ca="1" si="6"/>
        <v>#VALUE!</v>
      </c>
      <c r="R80" s="33" t="s">
        <v>59</v>
      </c>
    </row>
    <row r="81" spans="1:18" ht="15" customHeight="1" x14ac:dyDescent="0.25">
      <c r="A81" s="85" t="str">
        <f>_xll.BDP($E81, A$20)</f>
        <v>N</v>
      </c>
      <c r="B81" s="3"/>
      <c r="C81" s="14" t="str">
        <f t="shared" si="7"/>
        <v>S0193Z</v>
      </c>
      <c r="D81" s="11" t="str">
        <f>IF(isvalidterm(R81,VLOOKUP($E$6,Data!$B$7:$G$114,5,FALSE),VLOOKUP($E$6,Data!$B$7:$G$114,6,FALSE)),R81,"")</f>
        <v>15Y</v>
      </c>
      <c r="E81" s="18" t="str">
        <f t="shared" si="8"/>
        <v>S0193Z 15Y BLC2 Curncy</v>
      </c>
      <c r="F81" s="89">
        <f>IF(D81&lt;&gt;"",IF($L$7="YES",IF($A81="N",_xll.BDP($E81,$L$6), "-"),_xll.BDP($E81,"Px " &amp; $L$6)),"")</f>
        <v>4.3954399999999998</v>
      </c>
      <c r="G81" s="43">
        <f>IF(D81&lt;&gt;"",_xll.BDP($E81,$G$20)*1,"")</f>
        <v>48934</v>
      </c>
      <c r="H81" s="93" t="str">
        <f>IF(D81&lt;&gt;"",IF($L$7="YES",IF($A81="N",_xll.BDP($E81,"Time"), "-"),_xll.BDP($E81,H$20)),"")</f>
        <v>13:08:34</v>
      </c>
      <c r="I81" s="85" t="str">
        <f>_xll.BDP($L81, I$20)</f>
        <v>N</v>
      </c>
      <c r="J81" s="14" t="str">
        <f t="shared" si="9"/>
        <v>S0193D</v>
      </c>
      <c r="K81" s="11" t="str">
        <f t="shared" si="10"/>
        <v>15Y</v>
      </c>
      <c r="L81" s="18" t="str">
        <f t="shared" si="11"/>
        <v>S0193D 15Y BLC2 Curncy</v>
      </c>
      <c r="M81" s="89">
        <f>IF(D81&lt;&gt;"",IF($L$7="YES",IF($I81="N",_xll.BDP($L81,$L$6), "-"),_xll.BDP($L81,"Px " &amp; $L$6)),"")</f>
        <v>0.51596500000000001</v>
      </c>
      <c r="N81" s="21">
        <f>IF(D81&lt;&gt;"",_xll.BDP($L81,$N$20)*1,"")</f>
        <v>48934</v>
      </c>
      <c r="O81" s="93" t="str">
        <f>IF(D81&lt;&gt;"",IF($L$7="YES",IF($I81="N",_xll.BDP($L81,"Time"), "-"),_xll.BDP($L81,O$20)),"")</f>
        <v>13:08:34</v>
      </c>
      <c r="P81" s="126">
        <f t="shared" ca="1" si="6"/>
        <v>0.51584027700768065</v>
      </c>
      <c r="R81" s="32" t="s">
        <v>31</v>
      </c>
    </row>
    <row r="82" spans="1:18" ht="15" customHeight="1" x14ac:dyDescent="0.25">
      <c r="A82" s="85" t="str">
        <f>_xll.BDP($E82, A$20)</f>
        <v>N</v>
      </c>
      <c r="B82" s="3"/>
      <c r="C82" s="13" t="str">
        <f t="shared" si="7"/>
        <v>S0193Z</v>
      </c>
      <c r="D82" s="12" t="str">
        <f>IF(isvalidterm(R82,VLOOKUP($E$6,Data!$B$7:$G$114,5,FALSE),VLOOKUP($E$6,Data!$B$7:$G$114,6,FALSE)),R82,"")</f>
        <v>16Y</v>
      </c>
      <c r="E82" s="17" t="str">
        <f t="shared" si="8"/>
        <v>S0193Z 16Y BLC2 Curncy</v>
      </c>
      <c r="F82" s="88" t="str">
        <f>IF(D82&lt;&gt;"",IF($L$7="YES",IF($A82="N",_xll.BDP($E82,$L$6), "-"),_xll.BDP($E82,"Px " &amp; $L$6)),"")</f>
        <v>#N/A N/A</v>
      </c>
      <c r="G82" s="42">
        <f>IF(D82&lt;&gt;"",_xll.BDP($E82,$G$20)*1,"")</f>
        <v>49299</v>
      </c>
      <c r="H82" s="92" t="str">
        <f>IF(D82&lt;&gt;"",IF($L$7="YES",IF($A82="N",_xll.BDP($E82,"Time"), "-"),_xll.BDP($E82,H$20)),"")</f>
        <v>#N/A N/A</v>
      </c>
      <c r="I82" s="85" t="str">
        <f>_xll.BDP($L82, I$20)</f>
        <v>N</v>
      </c>
      <c r="J82" s="13" t="str">
        <f t="shared" si="9"/>
        <v>S0193D</v>
      </c>
      <c r="K82" s="12" t="str">
        <f t="shared" si="10"/>
        <v>16Y</v>
      </c>
      <c r="L82" s="17" t="str">
        <f t="shared" si="11"/>
        <v>S0193D 16Y BLC2 Curncy</v>
      </c>
      <c r="M82" s="88" t="str">
        <f>IF(D82&lt;&gt;"",IF($L$7="YES",IF($I82="N",_xll.BDP($L82,$L$6), "-"),_xll.BDP($L82,"Px " &amp; $L$6)),"")</f>
        <v>#N/A N/A</v>
      </c>
      <c r="N82" s="20">
        <f>IF(D82&lt;&gt;"",_xll.BDP($L82,$N$20)*1,"")</f>
        <v>49299</v>
      </c>
      <c r="O82" s="92" t="str">
        <f>IF(D82&lt;&gt;"",IF($L$7="YES",IF($I82="N",_xll.BDP($L82,"Time"), "-"),_xll.BDP($L82,O$20)),"")</f>
        <v>#N/A N/A</v>
      </c>
      <c r="P82" s="126" t="e">
        <f t="shared" ca="1" si="6"/>
        <v>#VALUE!</v>
      </c>
      <c r="R82" s="33" t="s">
        <v>57</v>
      </c>
    </row>
    <row r="83" spans="1:18" ht="15" customHeight="1" x14ac:dyDescent="0.25">
      <c r="A83" s="85" t="str">
        <f>_xll.BDP($E83, A$20)</f>
        <v>N</v>
      </c>
      <c r="B83" s="3"/>
      <c r="C83" s="14" t="str">
        <f t="shared" si="7"/>
        <v>S0193Z</v>
      </c>
      <c r="D83" s="11" t="str">
        <f>IF(isvalidterm(R83,VLOOKUP($E$6,Data!$B$7:$G$114,5,FALSE),VLOOKUP($E$6,Data!$B$7:$G$114,6,FALSE)),R83,"")</f>
        <v>17Y</v>
      </c>
      <c r="E83" s="18" t="str">
        <f t="shared" si="8"/>
        <v>S0193Z 17Y BLC2 Curncy</v>
      </c>
      <c r="F83" s="89" t="str">
        <f>IF(D83&lt;&gt;"",IF($L$7="YES",IF($A83="N",_xll.BDP($E83,$L$6), "-"),_xll.BDP($E83,"Px " &amp; $L$6)),"")</f>
        <v>#N/A N/A</v>
      </c>
      <c r="G83" s="43">
        <f>IF(D83&lt;&gt;"",_xll.BDP($E83,$G$20)*1,"")</f>
        <v>49664</v>
      </c>
      <c r="H83" s="93" t="str">
        <f>IF(D83&lt;&gt;"",IF($L$7="YES",IF($A83="N",_xll.BDP($E83,"Time"), "-"),_xll.BDP($E83,H$20)),"")</f>
        <v>#N/A N/A</v>
      </c>
      <c r="I83" s="85" t="str">
        <f>_xll.BDP($L83, I$20)</f>
        <v>N</v>
      </c>
      <c r="J83" s="14" t="str">
        <f t="shared" si="9"/>
        <v>S0193D</v>
      </c>
      <c r="K83" s="11" t="str">
        <f t="shared" si="10"/>
        <v>17Y</v>
      </c>
      <c r="L83" s="18" t="str">
        <f t="shared" si="11"/>
        <v>S0193D 17Y BLC2 Curncy</v>
      </c>
      <c r="M83" s="89" t="str">
        <f>IF(D83&lt;&gt;"",IF($L$7="YES",IF($I83="N",_xll.BDP($L83,$L$6), "-"),_xll.BDP($L83,"Px " &amp; $L$6)),"")</f>
        <v>#N/A N/A</v>
      </c>
      <c r="N83" s="21">
        <f>IF(D83&lt;&gt;"",_xll.BDP($L83,$N$20)*1,"")</f>
        <v>49664</v>
      </c>
      <c r="O83" s="93" t="str">
        <f>IF(D83&lt;&gt;"",IF($L$7="YES",IF($I83="N",_xll.BDP($L83,"Time"), "-"),_xll.BDP($L83,O$20)),"")</f>
        <v>#N/A N/A</v>
      </c>
      <c r="P83" s="126" t="e">
        <f t="shared" ca="1" si="6"/>
        <v>#VALUE!</v>
      </c>
      <c r="R83" s="32" t="s">
        <v>60</v>
      </c>
    </row>
    <row r="84" spans="1:18" ht="15" customHeight="1" x14ac:dyDescent="0.25">
      <c r="A84" s="85" t="str">
        <f>_xll.BDP($E84, A$20)</f>
        <v>N</v>
      </c>
      <c r="B84" s="3"/>
      <c r="C84" s="13" t="str">
        <f t="shared" si="7"/>
        <v>S0193Z</v>
      </c>
      <c r="D84" s="12" t="str">
        <f>IF(isvalidterm(R84,VLOOKUP($E$6,Data!$B$7:$G$114,5,FALSE),VLOOKUP($E$6,Data!$B$7:$G$114,6,FALSE)),R84,"")</f>
        <v>18Y</v>
      </c>
      <c r="E84" s="17" t="str">
        <f t="shared" si="8"/>
        <v>S0193Z 18Y BLC2 Curncy</v>
      </c>
      <c r="F84" s="88" t="str">
        <f>IF(D84&lt;&gt;"",IF($L$7="YES",IF($A84="N",_xll.BDP($E84,$L$6), "-"),_xll.BDP($E84,"Px " &amp; $L$6)),"")</f>
        <v>#N/A N/A</v>
      </c>
      <c r="G84" s="42">
        <f>IF(D84&lt;&gt;"",_xll.BDP($E84,$G$20)*1,"")</f>
        <v>50031</v>
      </c>
      <c r="H84" s="92" t="str">
        <f>IF(D84&lt;&gt;"",IF($L$7="YES",IF($A84="N",_xll.BDP($E84,"Time"), "-"),_xll.BDP($E84,H$20)),"")</f>
        <v>#N/A N/A</v>
      </c>
      <c r="I84" s="85" t="str">
        <f>_xll.BDP($L84, I$20)</f>
        <v>N</v>
      </c>
      <c r="J84" s="13" t="str">
        <f t="shared" si="9"/>
        <v>S0193D</v>
      </c>
      <c r="K84" s="12" t="str">
        <f t="shared" si="10"/>
        <v>18Y</v>
      </c>
      <c r="L84" s="17" t="str">
        <f t="shared" si="11"/>
        <v>S0193D 18Y BLC2 Curncy</v>
      </c>
      <c r="M84" s="88" t="str">
        <f>IF(D84&lt;&gt;"",IF($L$7="YES",IF($I84="N",_xll.BDP($L84,$L$6), "-"),_xll.BDP($L84,"Px " &amp; $L$6)),"")</f>
        <v>#N/A N/A</v>
      </c>
      <c r="N84" s="20">
        <f>IF(D84&lt;&gt;"",_xll.BDP($L84,$N$20)*1,"")</f>
        <v>50031</v>
      </c>
      <c r="O84" s="92" t="str">
        <f>IF(D84&lt;&gt;"",IF($L$7="YES",IF($I84="N",_xll.BDP($L84,"Time"), "-"),_xll.BDP($L84,O$20)),"")</f>
        <v>#N/A N/A</v>
      </c>
      <c r="P84" s="126" t="e">
        <f t="shared" ca="1" si="6"/>
        <v>#VALUE!</v>
      </c>
      <c r="R84" s="33" t="s">
        <v>61</v>
      </c>
    </row>
    <row r="85" spans="1:18" ht="15" customHeight="1" x14ac:dyDescent="0.25">
      <c r="A85" s="85" t="str">
        <f>_xll.BDP($E85, A$20)</f>
        <v>N</v>
      </c>
      <c r="B85" s="3"/>
      <c r="C85" s="14" t="str">
        <f t="shared" ref="C85:C116" si="12">IF(D85&lt;&gt;"","S0"&amp;REPT(0,3-LEN($E$7))&amp;$E$7&amp;"Z","")</f>
        <v>S0193Z</v>
      </c>
      <c r="D85" s="11" t="str">
        <f>IF(isvalidterm(R85,VLOOKUP($E$6,Data!$B$7:$G$114,5,FALSE),VLOOKUP($E$6,Data!$B$7:$G$114,6,FALSE)),R85,"")</f>
        <v>19Y</v>
      </c>
      <c r="E85" s="18" t="str">
        <f t="shared" ref="E85:E116" si="13">IF(D85&lt;&gt;"",$C85&amp;" "&amp;$D85&amp;" BLC2 Curncy","")</f>
        <v>S0193Z 19Y BLC2 Curncy</v>
      </c>
      <c r="F85" s="89" t="str">
        <f>IF(D85&lt;&gt;"",IF($L$7="YES",IF($A85="N",_xll.BDP($E85,$L$6), "-"),_xll.BDP($E85,"Px " &amp; $L$6)),"")</f>
        <v>#N/A N/A</v>
      </c>
      <c r="G85" s="43">
        <f>IF(D85&lt;&gt;"",_xll.BDP($E85,$G$20)*1,"")</f>
        <v>50395</v>
      </c>
      <c r="H85" s="93" t="str">
        <f>IF(D85&lt;&gt;"",IF($L$7="YES",IF($A85="N",_xll.BDP($E85,"Time"), "-"),_xll.BDP($E85,H$20)),"")</f>
        <v>#N/A N/A</v>
      </c>
      <c r="I85" s="85" t="str">
        <f>_xll.BDP($L85, I$20)</f>
        <v>N</v>
      </c>
      <c r="J85" s="14" t="str">
        <f t="shared" ref="J85:J116" si="14">IF(D85&lt;&gt;"","S0"&amp;REPT(0,3-LEN($E$7))&amp;$E$7&amp;"D","")</f>
        <v>S0193D</v>
      </c>
      <c r="K85" s="11" t="str">
        <f t="shared" ref="K85:K116" si="15">D85</f>
        <v>19Y</v>
      </c>
      <c r="L85" s="18" t="str">
        <f t="shared" ref="L85:L116" si="16">IF(D85&lt;&gt;"",$J85&amp;" "&amp;$K85&amp;" BLC2 Curncy","")</f>
        <v>S0193D 19Y BLC2 Curncy</v>
      </c>
      <c r="M85" s="89" t="str">
        <f>IF(D85&lt;&gt;"",IF($L$7="YES",IF($I85="N",_xll.BDP($L85,$L$6), "-"),_xll.BDP($L85,"Px " &amp; $L$6)),"")</f>
        <v>#N/A N/A</v>
      </c>
      <c r="N85" s="21">
        <f>IF(D85&lt;&gt;"",_xll.BDP($L85,$N$20)*1,"")</f>
        <v>50395</v>
      </c>
      <c r="O85" s="93" t="str">
        <f>IF(D85&lt;&gt;"",IF($L$7="YES",IF($I85="N",_xll.BDP($L85,"Time"), "-"),_xll.BDP($L85,O$20)),"")</f>
        <v>#N/A N/A</v>
      </c>
      <c r="P85" s="126" t="e">
        <f t="shared" ca="1" si="6"/>
        <v>#VALUE!</v>
      </c>
      <c r="R85" s="32" t="s">
        <v>62</v>
      </c>
    </row>
    <row r="86" spans="1:18" ht="15" customHeight="1" x14ac:dyDescent="0.25">
      <c r="A86" s="85" t="str">
        <f>_xll.BDP($E86, A$20)</f>
        <v>N</v>
      </c>
      <c r="B86" s="3"/>
      <c r="C86" s="13" t="str">
        <f t="shared" si="12"/>
        <v>S0193Z</v>
      </c>
      <c r="D86" s="12" t="str">
        <f>IF(isvalidterm(R86,VLOOKUP($E$6,Data!$B$7:$G$114,5,FALSE),VLOOKUP($E$6,Data!$B$7:$G$114,6,FALSE)),R86,"")</f>
        <v>20Y</v>
      </c>
      <c r="E86" s="17" t="str">
        <f t="shared" si="13"/>
        <v>S0193Z 20Y BLC2 Curncy</v>
      </c>
      <c r="F86" s="88">
        <f>IF(D86&lt;&gt;"",IF($L$7="YES",IF($A86="N",_xll.BDP($E86,$L$6), "-"),_xll.BDP($E86,"Px " &amp; $L$6)),"")</f>
        <v>4.5213099999999997</v>
      </c>
      <c r="G86" s="42">
        <f>IF(D86&lt;&gt;"",_xll.BDP($E86,$G$20)*1,"")</f>
        <v>50760</v>
      </c>
      <c r="H86" s="92" t="str">
        <f>IF(D86&lt;&gt;"",IF($L$7="YES",IF($A86="N",_xll.BDP($E86,"Time"), "-"),_xll.BDP($E86,H$20)),"")</f>
        <v>13:08:34</v>
      </c>
      <c r="I86" s="85" t="str">
        <f>_xll.BDP($L86, I$20)</f>
        <v>N</v>
      </c>
      <c r="J86" s="13" t="str">
        <f t="shared" si="14"/>
        <v>S0193D</v>
      </c>
      <c r="K86" s="12" t="str">
        <f t="shared" si="15"/>
        <v>20Y</v>
      </c>
      <c r="L86" s="17" t="str">
        <f t="shared" si="16"/>
        <v>S0193D 20Y BLC2 Curncy</v>
      </c>
      <c r="M86" s="88">
        <f>IF(D86&lt;&gt;"",IF($L$7="YES",IF($I86="N",_xll.BDP($L86,$L$6), "-"),_xll.BDP($L86,"Px " &amp; $L$6)),"")</f>
        <v>0.40364</v>
      </c>
      <c r="N86" s="20">
        <f>IF(D86&lt;&gt;"",_xll.BDP($L86,$N$20)*1,"")</f>
        <v>50760</v>
      </c>
      <c r="O86" s="92" t="str">
        <f>IF(D86&lt;&gt;"",IF($L$7="YES",IF($I86="N",_xll.BDP($L86,"Time"), "-"),_xll.BDP($L86,O$20)),"")</f>
        <v>13:08:34</v>
      </c>
      <c r="P86" s="126">
        <f ca="1">1/(1+F86/200)^((G86-TODAY())/180)</f>
        <v>0.40353944160427152</v>
      </c>
      <c r="R86" s="33" t="s">
        <v>32</v>
      </c>
    </row>
    <row r="87" spans="1:18" ht="15" customHeight="1" x14ac:dyDescent="0.25">
      <c r="A87" s="85" t="str">
        <f>_xll.BDP($E87, A$20)</f>
        <v>#N/A Invalid Security</v>
      </c>
      <c r="B87" s="3"/>
      <c r="C87" s="14" t="str">
        <f t="shared" si="12"/>
        <v/>
      </c>
      <c r="D87" s="11" t="str">
        <f>IF(isvalidterm(R87,VLOOKUP($E$6,Data!$B$7:$G$114,5,FALSE),VLOOKUP($E$6,Data!$B$7:$G$114,6,FALSE)),R87,"")</f>
        <v/>
      </c>
      <c r="E87" s="18" t="str">
        <f t="shared" si="13"/>
        <v/>
      </c>
      <c r="F87" s="89" t="str">
        <f>IF(D87&lt;&gt;"",IF($L$7="YES",IF($A87="N",_xll.BDP($E87,$L$6), "-"),_xll.BDP($E87,"Px " &amp; $L$6)),"")</f>
        <v/>
      </c>
      <c r="G87" s="43" t="str">
        <f>IF(D87&lt;&gt;"",_xll.BDP($E87,$G$20)*1,"")</f>
        <v/>
      </c>
      <c r="H87" s="93" t="str">
        <f>IF(D87&lt;&gt;"",IF($L$7="YES",IF($A87="N",_xll.BDP($E87,"Time"), "-"),_xll.BDP($E87,H$20)),"")</f>
        <v/>
      </c>
      <c r="I87" s="85" t="str">
        <f>_xll.BDP($L87, I$20)</f>
        <v>#N/A Invalid Security</v>
      </c>
      <c r="J87" s="14" t="str">
        <f t="shared" si="14"/>
        <v/>
      </c>
      <c r="K87" s="11" t="str">
        <f t="shared" si="15"/>
        <v/>
      </c>
      <c r="L87" s="18" t="str">
        <f t="shared" si="16"/>
        <v/>
      </c>
      <c r="M87" s="89" t="str">
        <f>IF(D87&lt;&gt;"",IF($L$7="YES",IF($I87="N",_xll.BDP($L87,$L$6), "-"),_xll.BDP($L87,"Px " &amp; $L$6)),"")</f>
        <v/>
      </c>
      <c r="N87" s="21" t="str">
        <f>IF(D87&lt;&gt;"",_xll.BDP($L87,$N$20)*1,"")</f>
        <v/>
      </c>
      <c r="O87" s="93" t="str">
        <f>IF(D87&lt;&gt;"",IF($L$7="YES",IF($I87="N",_xll.BDP($L87,"Time"), "-"),_xll.BDP($L87,O$20)),"")</f>
        <v/>
      </c>
      <c r="P87" s="126" t="e">
        <f t="shared" ref="P45:P108" ca="1" si="17">1/(1+F87*(G87-TODAY())/36000)</f>
        <v>#VALUE!</v>
      </c>
      <c r="R87" s="32" t="s">
        <v>56</v>
      </c>
    </row>
    <row r="88" spans="1:18" ht="15" customHeight="1" x14ac:dyDescent="0.25">
      <c r="A88" s="85" t="str">
        <f>_xll.BDP($E88, A$20)</f>
        <v>#N/A Invalid Security</v>
      </c>
      <c r="B88" s="3"/>
      <c r="C88" s="13" t="str">
        <f t="shared" si="12"/>
        <v/>
      </c>
      <c r="D88" s="12" t="str">
        <f>IF(isvalidterm(R88,VLOOKUP($E$6,Data!$B$7:$G$114,5,FALSE),VLOOKUP($E$6,Data!$B$7:$G$114,6,FALSE)),R88,"")</f>
        <v/>
      </c>
      <c r="E88" s="17" t="str">
        <f t="shared" si="13"/>
        <v/>
      </c>
      <c r="F88" s="88" t="str">
        <f>IF(D88&lt;&gt;"",IF($L$7="YES",IF($A88="N",_xll.BDP($E88,$L$6), "-"),_xll.BDP($E88,"Px " &amp; $L$6)),"")</f>
        <v/>
      </c>
      <c r="G88" s="42" t="str">
        <f>IF(D88&lt;&gt;"",_xll.BDP($E88,$G$20)*1,"")</f>
        <v/>
      </c>
      <c r="H88" s="92" t="str">
        <f>IF(D88&lt;&gt;"",IF($L$7="YES",IF($A88="N",_xll.BDP($E88,"Time"), "-"),_xll.BDP($E88,H$20)),"")</f>
        <v/>
      </c>
      <c r="I88" s="85" t="str">
        <f>_xll.BDP($L88, I$20)</f>
        <v>#N/A Invalid Security</v>
      </c>
      <c r="J88" s="13" t="str">
        <f t="shared" si="14"/>
        <v/>
      </c>
      <c r="K88" s="12" t="str">
        <f t="shared" si="15"/>
        <v/>
      </c>
      <c r="L88" s="17" t="str">
        <f t="shared" si="16"/>
        <v/>
      </c>
      <c r="M88" s="88" t="str">
        <f>IF(D88&lt;&gt;"",IF($L$7="YES",IF($I88="N",_xll.BDP($L88,$L$6), "-"),_xll.BDP($L88,"Px " &amp; $L$6)),"")</f>
        <v/>
      </c>
      <c r="N88" s="20" t="str">
        <f>IF(D88&lt;&gt;"",_xll.BDP($L88,$N$20)*1,"")</f>
        <v/>
      </c>
      <c r="O88" s="92" t="str">
        <f>IF(D88&lt;&gt;"",IF($L$7="YES",IF($I88="N",_xll.BDP($L88,"Time"), "-"),_xll.BDP($L88,O$20)),"")</f>
        <v/>
      </c>
      <c r="P88" s="126" t="e">
        <f t="shared" ca="1" si="17"/>
        <v>#VALUE!</v>
      </c>
      <c r="R88" s="33" t="s">
        <v>63</v>
      </c>
    </row>
    <row r="89" spans="1:18" ht="15" customHeight="1" x14ac:dyDescent="0.25">
      <c r="A89" s="85" t="str">
        <f>_xll.BDP($E89, A$20)</f>
        <v>#N/A Invalid Security</v>
      </c>
      <c r="B89" s="3"/>
      <c r="C89" s="14" t="str">
        <f t="shared" si="12"/>
        <v/>
      </c>
      <c r="D89" s="11" t="str">
        <f>IF(isvalidterm(R89,VLOOKUP($E$6,Data!$B$7:$G$114,5,FALSE),VLOOKUP($E$6,Data!$B$7:$G$114,6,FALSE)),R89,"")</f>
        <v/>
      </c>
      <c r="E89" s="18" t="str">
        <f t="shared" si="13"/>
        <v/>
      </c>
      <c r="F89" s="89" t="str">
        <f>IF(D89&lt;&gt;"",IF($L$7="YES",IF($A89="N",_xll.BDP($E89,$L$6), "-"),_xll.BDP($E89,"Px " &amp; $L$6)),"")</f>
        <v/>
      </c>
      <c r="G89" s="43" t="str">
        <f>IF(D89&lt;&gt;"",_xll.BDP($E89,$G$20)*1,"")</f>
        <v/>
      </c>
      <c r="H89" s="93" t="str">
        <f>IF(D89&lt;&gt;"",IF($L$7="YES",IF($A89="N",_xll.BDP($E89,"Time"), "-"),_xll.BDP($E89,H$20)),"")</f>
        <v/>
      </c>
      <c r="I89" s="85" t="str">
        <f>_xll.BDP($L89, I$20)</f>
        <v>#N/A Invalid Security</v>
      </c>
      <c r="J89" s="14" t="str">
        <f t="shared" si="14"/>
        <v/>
      </c>
      <c r="K89" s="11" t="str">
        <f t="shared" si="15"/>
        <v/>
      </c>
      <c r="L89" s="18" t="str">
        <f t="shared" si="16"/>
        <v/>
      </c>
      <c r="M89" s="89" t="str">
        <f>IF(D89&lt;&gt;"",IF($L$7="YES",IF($I89="N",_xll.BDP($L89,$L$6), "-"),_xll.BDP($L89,"Px " &amp; $L$6)),"")</f>
        <v/>
      </c>
      <c r="N89" s="21" t="str">
        <f>IF(D89&lt;&gt;"",_xll.BDP($L89,$N$20)*1,"")</f>
        <v/>
      </c>
      <c r="O89" s="93" t="str">
        <f>IF(D89&lt;&gt;"",IF($L$7="YES",IF($I89="N",_xll.BDP($L89,"Time"), "-"),_xll.BDP($L89,O$20)),"")</f>
        <v/>
      </c>
      <c r="P89" s="126" t="e">
        <f t="shared" ca="1" si="17"/>
        <v>#VALUE!</v>
      </c>
      <c r="R89" s="32" t="s">
        <v>64</v>
      </c>
    </row>
    <row r="90" spans="1:18" ht="15" customHeight="1" x14ac:dyDescent="0.25">
      <c r="A90" s="85" t="str">
        <f>_xll.BDP($E90, A$20)</f>
        <v>#N/A Invalid Security</v>
      </c>
      <c r="B90" s="3"/>
      <c r="C90" s="13" t="str">
        <f t="shared" si="12"/>
        <v/>
      </c>
      <c r="D90" s="12" t="str">
        <f>IF(isvalidterm(R90,VLOOKUP($E$6,Data!$B$7:$G$114,5,FALSE),VLOOKUP($E$6,Data!$B$7:$G$114,6,FALSE)),R90,"")</f>
        <v/>
      </c>
      <c r="E90" s="17" t="str">
        <f t="shared" si="13"/>
        <v/>
      </c>
      <c r="F90" s="88" t="str">
        <f>IF(D90&lt;&gt;"",IF($L$7="YES",IF($A90="N",_xll.BDP($E90,$L$6), "-"),_xll.BDP($E90,"Px " &amp; $L$6)),"")</f>
        <v/>
      </c>
      <c r="G90" s="42" t="str">
        <f>IF(D90&lt;&gt;"",_xll.BDP($E90,$G$20)*1,"")</f>
        <v/>
      </c>
      <c r="H90" s="92" t="str">
        <f>IF(D90&lt;&gt;"",IF($L$7="YES",IF($A90="N",_xll.BDP($E90,"Time"), "-"),_xll.BDP($E90,H$20)),"")</f>
        <v/>
      </c>
      <c r="I90" s="85" t="str">
        <f>_xll.BDP($L90, I$20)</f>
        <v>#N/A Invalid Security</v>
      </c>
      <c r="J90" s="13" t="str">
        <f t="shared" si="14"/>
        <v/>
      </c>
      <c r="K90" s="12" t="str">
        <f t="shared" si="15"/>
        <v/>
      </c>
      <c r="L90" s="17" t="str">
        <f t="shared" si="16"/>
        <v/>
      </c>
      <c r="M90" s="88" t="str">
        <f>IF(D90&lt;&gt;"",IF($L$7="YES",IF($I90="N",_xll.BDP($L90,$L$6), "-"),_xll.BDP($L90,"Px " &amp; $L$6)),"")</f>
        <v/>
      </c>
      <c r="N90" s="20" t="str">
        <f>IF(D90&lt;&gt;"",_xll.BDP($L90,$N$20)*1,"")</f>
        <v/>
      </c>
      <c r="O90" s="92" t="str">
        <f>IF(D90&lt;&gt;"",IF($L$7="YES",IF($I90="N",_xll.BDP($L90,"Time"), "-"),_xll.BDP($L90,O$20)),"")</f>
        <v/>
      </c>
      <c r="P90" s="126" t="e">
        <f t="shared" ca="1" si="17"/>
        <v>#VALUE!</v>
      </c>
      <c r="R90" s="33" t="s">
        <v>65</v>
      </c>
    </row>
    <row r="91" spans="1:18" ht="15" customHeight="1" x14ac:dyDescent="0.25">
      <c r="A91" s="85" t="str">
        <f>_xll.BDP($E91, A$20)</f>
        <v>#N/A Invalid Security</v>
      </c>
      <c r="B91" s="3"/>
      <c r="C91" s="14" t="str">
        <f t="shared" si="12"/>
        <v/>
      </c>
      <c r="D91" s="11" t="str">
        <f>IF(isvalidterm(R91,VLOOKUP($E$6,Data!$B$7:$G$114,5,FALSE),VLOOKUP($E$6,Data!$B$7:$G$114,6,FALSE)),R91,"")</f>
        <v/>
      </c>
      <c r="E91" s="18" t="str">
        <f t="shared" si="13"/>
        <v/>
      </c>
      <c r="F91" s="89" t="str">
        <f>IF(D91&lt;&gt;"",IF($L$7="YES",IF($A91="N",_xll.BDP($E91,$L$6), "-"),_xll.BDP($E91,"Px " &amp; $L$6)),"")</f>
        <v/>
      </c>
      <c r="G91" s="43" t="str">
        <f>IF(D91&lt;&gt;"",_xll.BDP($E91,$G$20)*1,"")</f>
        <v/>
      </c>
      <c r="H91" s="93" t="str">
        <f>IF(D91&lt;&gt;"",IF($L$7="YES",IF($A91="N",_xll.BDP($E91,"Time"), "-"),_xll.BDP($E91,H$20)),"")</f>
        <v/>
      </c>
      <c r="I91" s="85" t="str">
        <f>_xll.BDP($L91, I$20)</f>
        <v>#N/A Invalid Security</v>
      </c>
      <c r="J91" s="14" t="str">
        <f t="shared" si="14"/>
        <v/>
      </c>
      <c r="K91" s="11" t="str">
        <f t="shared" si="15"/>
        <v/>
      </c>
      <c r="L91" s="18" t="str">
        <f t="shared" si="16"/>
        <v/>
      </c>
      <c r="M91" s="89" t="str">
        <f>IF(D91&lt;&gt;"",IF($L$7="YES",IF($I91="N",_xll.BDP($L91,$L$6), "-"),_xll.BDP($L91,"Px " &amp; $L$6)),"")</f>
        <v/>
      </c>
      <c r="N91" s="21" t="str">
        <f>IF(D91&lt;&gt;"",_xll.BDP($L91,$N$20)*1,"")</f>
        <v/>
      </c>
      <c r="O91" s="93" t="str">
        <f>IF(D91&lt;&gt;"",IF($L$7="YES",IF($I91="N",_xll.BDP($L91,"Time"), "-"),_xll.BDP($L91,O$20)),"")</f>
        <v/>
      </c>
      <c r="P91" s="126" t="e">
        <f t="shared" ca="1" si="17"/>
        <v>#VALUE!</v>
      </c>
      <c r="R91" s="32" t="s">
        <v>33</v>
      </c>
    </row>
    <row r="92" spans="1:18" ht="15" customHeight="1" x14ac:dyDescent="0.25">
      <c r="A92" s="85" t="str">
        <f>_xll.BDP($E92, A$20)</f>
        <v>#N/A Invalid Security</v>
      </c>
      <c r="B92" s="3"/>
      <c r="C92" s="13" t="str">
        <f t="shared" si="12"/>
        <v/>
      </c>
      <c r="D92" s="12" t="str">
        <f>IF(isvalidterm(R92,VLOOKUP($E$6,Data!$B$7:$G$114,5,FALSE),VLOOKUP($E$6,Data!$B$7:$G$114,6,FALSE)),R92,"")</f>
        <v/>
      </c>
      <c r="E92" s="17" t="str">
        <f t="shared" si="13"/>
        <v/>
      </c>
      <c r="F92" s="88" t="str">
        <f>IF(D92&lt;&gt;"",IF($L$7="YES",IF($A92="N",_xll.BDP($E92,$L$6), "-"),_xll.BDP($E92,"Px " &amp; $L$6)),"")</f>
        <v/>
      </c>
      <c r="G92" s="42" t="str">
        <f>IF(D92&lt;&gt;"",_xll.BDP($E92,$G$20)*1,"")</f>
        <v/>
      </c>
      <c r="H92" s="92" t="str">
        <f>IF(D92&lt;&gt;"",IF($L$7="YES",IF($A92="N",_xll.BDP($E92,"Time"), "-"),_xll.BDP($E92,H$20)),"")</f>
        <v/>
      </c>
      <c r="I92" s="85" t="str">
        <f>_xll.BDP($L92, I$20)</f>
        <v>#N/A Invalid Security</v>
      </c>
      <c r="J92" s="13" t="str">
        <f t="shared" si="14"/>
        <v/>
      </c>
      <c r="K92" s="12" t="str">
        <f t="shared" si="15"/>
        <v/>
      </c>
      <c r="L92" s="17" t="str">
        <f t="shared" si="16"/>
        <v/>
      </c>
      <c r="M92" s="88" t="str">
        <f>IF(D92&lt;&gt;"",IF($L$7="YES",IF($I92="N",_xll.BDP($L92,$L$6), "-"),_xll.BDP($L92,"Px " &amp; $L$6)),"")</f>
        <v/>
      </c>
      <c r="N92" s="20" t="str">
        <f>IF(D92&lt;&gt;"",_xll.BDP($L92,$N$20)*1,"")</f>
        <v/>
      </c>
      <c r="O92" s="92" t="str">
        <f>IF(D92&lt;&gt;"",IF($L$7="YES",IF($I92="N",_xll.BDP($L92,"Time"), "-"),_xll.BDP($L92,O$20)),"")</f>
        <v/>
      </c>
      <c r="P92" s="126" t="e">
        <f t="shared" ca="1" si="17"/>
        <v>#VALUE!</v>
      </c>
      <c r="R92" s="33" t="s">
        <v>66</v>
      </c>
    </row>
    <row r="93" spans="1:18" ht="15" customHeight="1" x14ac:dyDescent="0.25">
      <c r="A93" s="85" t="str">
        <f>_xll.BDP($E93, A$20)</f>
        <v>#N/A Invalid Security</v>
      </c>
      <c r="B93" s="3"/>
      <c r="C93" s="14" t="str">
        <f t="shared" si="12"/>
        <v/>
      </c>
      <c r="D93" s="11" t="str">
        <f>IF(isvalidterm(R93,VLOOKUP($E$6,Data!$B$7:$G$114,5,FALSE),VLOOKUP($E$6,Data!$B$7:$G$114,6,FALSE)),R93,"")</f>
        <v/>
      </c>
      <c r="E93" s="18" t="str">
        <f t="shared" si="13"/>
        <v/>
      </c>
      <c r="F93" s="89" t="str">
        <f>IF(D93&lt;&gt;"",IF($L$7="YES",IF($A93="N",_xll.BDP($E93,$L$6), "-"),_xll.BDP($E93,"Px " &amp; $L$6)),"")</f>
        <v/>
      </c>
      <c r="G93" s="43" t="str">
        <f>IF(D93&lt;&gt;"",_xll.BDP($E93,$G$20)*1,"")</f>
        <v/>
      </c>
      <c r="H93" s="93" t="str">
        <f>IF(D93&lt;&gt;"",IF($L$7="YES",IF($A93="N",_xll.BDP($E93,"Time"), "-"),_xll.BDP($E93,H$20)),"")</f>
        <v/>
      </c>
      <c r="I93" s="85" t="str">
        <f>_xll.BDP($L93, I$20)</f>
        <v>#N/A Invalid Security</v>
      </c>
      <c r="J93" s="14" t="str">
        <f t="shared" si="14"/>
        <v/>
      </c>
      <c r="K93" s="11" t="str">
        <f t="shared" si="15"/>
        <v/>
      </c>
      <c r="L93" s="18" t="str">
        <f t="shared" si="16"/>
        <v/>
      </c>
      <c r="M93" s="89" t="str">
        <f>IF(D93&lt;&gt;"",IF($L$7="YES",IF($I93="N",_xll.BDP($L93,$L$6), "-"),_xll.BDP($L93,"Px " &amp; $L$6)),"")</f>
        <v/>
      </c>
      <c r="N93" s="21" t="str">
        <f>IF(D93&lt;&gt;"",_xll.BDP($L93,$N$20)*1,"")</f>
        <v/>
      </c>
      <c r="O93" s="93" t="str">
        <f>IF(D93&lt;&gt;"",IF($L$7="YES",IF($I93="N",_xll.BDP($L93,"Time"), "-"),_xll.BDP($L93,O$20)),"")</f>
        <v/>
      </c>
      <c r="P93" s="126" t="e">
        <f t="shared" ca="1" si="17"/>
        <v>#VALUE!</v>
      </c>
      <c r="R93" s="32" t="s">
        <v>67</v>
      </c>
    </row>
    <row r="94" spans="1:18" ht="15" customHeight="1" x14ac:dyDescent="0.25">
      <c r="A94" s="85" t="str">
        <f>_xll.BDP($E94, A$20)</f>
        <v>#N/A Invalid Security</v>
      </c>
      <c r="B94" s="3"/>
      <c r="C94" s="13" t="str">
        <f t="shared" si="12"/>
        <v/>
      </c>
      <c r="D94" s="12" t="str">
        <f>IF(isvalidterm(R94,VLOOKUP($E$6,Data!$B$7:$G$114,5,FALSE),VLOOKUP($E$6,Data!$B$7:$G$114,6,FALSE)),R94,"")</f>
        <v/>
      </c>
      <c r="E94" s="17" t="str">
        <f t="shared" si="13"/>
        <v/>
      </c>
      <c r="F94" s="88" t="str">
        <f>IF(D94&lt;&gt;"",IF($L$7="YES",IF($A94="N",_xll.BDP($E94,$L$6), "-"),_xll.BDP($E94,"Px " &amp; $L$6)),"")</f>
        <v/>
      </c>
      <c r="G94" s="42" t="str">
        <f>IF(D94&lt;&gt;"",_xll.BDP($E94,$G$20)*1,"")</f>
        <v/>
      </c>
      <c r="H94" s="92" t="str">
        <f>IF(D94&lt;&gt;"",IF($L$7="YES",IF($A94="N",_xll.BDP($E94,"Time"), "-"),_xll.BDP($E94,H$20)),"")</f>
        <v/>
      </c>
      <c r="I94" s="85" t="str">
        <f>_xll.BDP($L94, I$20)</f>
        <v>#N/A Invalid Security</v>
      </c>
      <c r="J94" s="13" t="str">
        <f t="shared" si="14"/>
        <v/>
      </c>
      <c r="K94" s="12" t="str">
        <f t="shared" si="15"/>
        <v/>
      </c>
      <c r="L94" s="17" t="str">
        <f t="shared" si="16"/>
        <v/>
      </c>
      <c r="M94" s="88" t="str">
        <f>IF(D94&lt;&gt;"",IF($L$7="YES",IF($I94="N",_xll.BDP($L94,$L$6), "-"),_xll.BDP($L94,"Px " &amp; $L$6)),"")</f>
        <v/>
      </c>
      <c r="N94" s="20" t="str">
        <f>IF(D94&lt;&gt;"",_xll.BDP($L94,$N$20)*1,"")</f>
        <v/>
      </c>
      <c r="O94" s="92" t="str">
        <f>IF(D94&lt;&gt;"",IF($L$7="YES",IF($I94="N",_xll.BDP($L94,"Time"), "-"),_xll.BDP($L94,O$20)),"")</f>
        <v/>
      </c>
      <c r="P94" s="126" t="e">
        <f t="shared" ca="1" si="17"/>
        <v>#VALUE!</v>
      </c>
      <c r="R94" s="33" t="s">
        <v>68</v>
      </c>
    </row>
    <row r="95" spans="1:18" ht="15" customHeight="1" x14ac:dyDescent="0.25">
      <c r="A95" s="85" t="str">
        <f>_xll.BDP($E95, A$20)</f>
        <v>#N/A Invalid Security</v>
      </c>
      <c r="B95" s="3"/>
      <c r="C95" s="14" t="str">
        <f t="shared" si="12"/>
        <v/>
      </c>
      <c r="D95" s="11" t="str">
        <f>IF(isvalidterm(R95,VLOOKUP($E$6,Data!$B$7:$G$114,5,FALSE),VLOOKUP($E$6,Data!$B$7:$G$114,6,FALSE)),R95,"")</f>
        <v/>
      </c>
      <c r="E95" s="18" t="str">
        <f t="shared" si="13"/>
        <v/>
      </c>
      <c r="F95" s="89" t="str">
        <f>IF(D95&lt;&gt;"",IF($L$7="YES",IF($A95="N",_xll.BDP($E95,$L$6), "-"),_xll.BDP($E95,"Px " &amp; $L$6)),"")</f>
        <v/>
      </c>
      <c r="G95" s="43" t="str">
        <f>IF(D95&lt;&gt;"",_xll.BDP($E95,$G$20)*1,"")</f>
        <v/>
      </c>
      <c r="H95" s="93" t="str">
        <f>IF(D95&lt;&gt;"",IF($L$7="YES",IF($A95="N",_xll.BDP($E95,"Time"), "-"),_xll.BDP($E95,H$20)),"")</f>
        <v/>
      </c>
      <c r="I95" s="85" t="str">
        <f>_xll.BDP($L95, I$20)</f>
        <v>#N/A Invalid Security</v>
      </c>
      <c r="J95" s="14" t="str">
        <f t="shared" si="14"/>
        <v/>
      </c>
      <c r="K95" s="11" t="str">
        <f t="shared" si="15"/>
        <v/>
      </c>
      <c r="L95" s="18" t="str">
        <f t="shared" si="16"/>
        <v/>
      </c>
      <c r="M95" s="89" t="str">
        <f>IF(D95&lt;&gt;"",IF($L$7="YES",IF($I95="N",_xll.BDP($L95,$L$6), "-"),_xll.BDP($L95,"Px " &amp; $L$6)),"")</f>
        <v/>
      </c>
      <c r="N95" s="21" t="str">
        <f>IF(D95&lt;&gt;"",_xll.BDP($L95,$N$20)*1,"")</f>
        <v/>
      </c>
      <c r="O95" s="93" t="str">
        <f>IF(D95&lt;&gt;"",IF($L$7="YES",IF($I95="N",_xll.BDP($L95,"Time"), "-"),_xll.BDP($L95,O$20)),"")</f>
        <v/>
      </c>
      <c r="P95" s="126" t="e">
        <f t="shared" ca="1" si="17"/>
        <v>#VALUE!</v>
      </c>
      <c r="R95" s="32" t="s">
        <v>69</v>
      </c>
    </row>
    <row r="96" spans="1:18" ht="15" customHeight="1" x14ac:dyDescent="0.25">
      <c r="A96" s="85" t="str">
        <f>_xll.BDP($E96, A$20)</f>
        <v>#N/A Invalid Security</v>
      </c>
      <c r="B96" s="3"/>
      <c r="C96" s="13" t="str">
        <f t="shared" si="12"/>
        <v/>
      </c>
      <c r="D96" s="12" t="str">
        <f>IF(isvalidterm(R96,VLOOKUP($E$6,Data!$B$7:$G$114,5,FALSE),VLOOKUP($E$6,Data!$B$7:$G$114,6,FALSE)),R96,"")</f>
        <v/>
      </c>
      <c r="E96" s="17" t="str">
        <f t="shared" si="13"/>
        <v/>
      </c>
      <c r="F96" s="88" t="str">
        <f>IF(D96&lt;&gt;"",IF($L$7="YES",IF($A96="N",_xll.BDP($E96,$L$6), "-"),_xll.BDP($E96,"Px " &amp; $L$6)),"")</f>
        <v/>
      </c>
      <c r="G96" s="42" t="str">
        <f>IF(D96&lt;&gt;"",_xll.BDP($E96,$G$20)*1,"")</f>
        <v/>
      </c>
      <c r="H96" s="92" t="str">
        <f>IF(D96&lt;&gt;"",IF($L$7="YES",IF($A96="N",_xll.BDP($E96,"Time"), "-"),_xll.BDP($E96,H$20)),"")</f>
        <v/>
      </c>
      <c r="I96" s="85" t="str">
        <f>_xll.BDP($L96, I$20)</f>
        <v>#N/A Invalid Security</v>
      </c>
      <c r="J96" s="13" t="str">
        <f t="shared" si="14"/>
        <v/>
      </c>
      <c r="K96" s="12" t="str">
        <f t="shared" si="15"/>
        <v/>
      </c>
      <c r="L96" s="17" t="str">
        <f t="shared" si="16"/>
        <v/>
      </c>
      <c r="M96" s="88" t="str">
        <f>IF(D96&lt;&gt;"",IF($L$7="YES",IF($I96="N",_xll.BDP($L96,$L$6), "-"),_xll.BDP($L96,"Px " &amp; $L$6)),"")</f>
        <v/>
      </c>
      <c r="N96" s="20" t="str">
        <f>IF(D96&lt;&gt;"",_xll.BDP($L96,$N$20)*1,"")</f>
        <v/>
      </c>
      <c r="O96" s="92" t="str">
        <f>IF(D96&lt;&gt;"",IF($L$7="YES",IF($I96="N",_xll.BDP($L96,"Time"), "-"),_xll.BDP($L96,O$20)),"")</f>
        <v/>
      </c>
      <c r="P96" s="126" t="e">
        <f t="shared" ca="1" si="17"/>
        <v>#VALUE!</v>
      </c>
      <c r="R96" s="33" t="s">
        <v>34</v>
      </c>
    </row>
    <row r="97" spans="1:18" ht="15" customHeight="1" x14ac:dyDescent="0.25">
      <c r="A97" s="85" t="str">
        <f>_xll.BDP($E97, A$20)</f>
        <v>#N/A Invalid Security</v>
      </c>
      <c r="B97" s="3"/>
      <c r="C97" s="14" t="str">
        <f t="shared" si="12"/>
        <v/>
      </c>
      <c r="D97" s="11" t="str">
        <f>IF(isvalidterm(R97,VLOOKUP($E$6,Data!$B$7:$G$114,5,FALSE),VLOOKUP($E$6,Data!$B$7:$G$114,6,FALSE)),R97,"")</f>
        <v/>
      </c>
      <c r="E97" s="18" t="str">
        <f t="shared" si="13"/>
        <v/>
      </c>
      <c r="F97" s="89" t="str">
        <f>IF(D97&lt;&gt;"",IF($L$7="YES",IF($A97="N",_xll.BDP($E97,$L$6), "-"),_xll.BDP($E97,"Px " &amp; $L$6)),"")</f>
        <v/>
      </c>
      <c r="G97" s="43" t="str">
        <f>IF(D97&lt;&gt;"",_xll.BDP($E97,$G$20)*1,"")</f>
        <v/>
      </c>
      <c r="H97" s="93" t="str">
        <f>IF(D97&lt;&gt;"",IF($L$7="YES",IF($A97="N",_xll.BDP($E97,"Time"), "-"),_xll.BDP($E97,H$20)),"")</f>
        <v/>
      </c>
      <c r="I97" s="85" t="str">
        <f>_xll.BDP($L97, I$20)</f>
        <v>#N/A Invalid Security</v>
      </c>
      <c r="J97" s="14" t="str">
        <f t="shared" si="14"/>
        <v/>
      </c>
      <c r="K97" s="11" t="str">
        <f t="shared" si="15"/>
        <v/>
      </c>
      <c r="L97" s="18" t="str">
        <f t="shared" si="16"/>
        <v/>
      </c>
      <c r="M97" s="89" t="str">
        <f>IF(D97&lt;&gt;"",IF($L$7="YES",IF($I97="N",_xll.BDP($L97,$L$6), "-"),_xll.BDP($L97,"Px " &amp; $L$6)),"")</f>
        <v/>
      </c>
      <c r="N97" s="21" t="str">
        <f>IF(D97&lt;&gt;"",_xll.BDP($L97,$N$20)*1,"")</f>
        <v/>
      </c>
      <c r="O97" s="93" t="str">
        <f>IF(D97&lt;&gt;"",IF($L$7="YES",IF($I97="N",_xll.BDP($L97,"Time"), "-"),_xll.BDP($L97,O$20)),"")</f>
        <v/>
      </c>
      <c r="P97" s="126" t="e">
        <f t="shared" ca="1" si="17"/>
        <v>#VALUE!</v>
      </c>
      <c r="R97" s="32" t="s">
        <v>55</v>
      </c>
    </row>
    <row r="98" spans="1:18" ht="15" customHeight="1" x14ac:dyDescent="0.25">
      <c r="A98" s="85" t="str">
        <f>_xll.BDP($E98, A$20)</f>
        <v>#N/A Invalid Security</v>
      </c>
      <c r="B98" s="3"/>
      <c r="C98" s="13" t="str">
        <f t="shared" si="12"/>
        <v/>
      </c>
      <c r="D98" s="12" t="str">
        <f>IF(isvalidterm(R98,VLOOKUP($E$6,Data!$B$7:$G$114,5,FALSE),VLOOKUP($E$6,Data!$B$7:$G$114,6,FALSE)),R98,"")</f>
        <v/>
      </c>
      <c r="E98" s="17" t="str">
        <f t="shared" si="13"/>
        <v/>
      </c>
      <c r="F98" s="88" t="str">
        <f>IF(D98&lt;&gt;"",IF($L$7="YES",IF($A98="N",_xll.BDP($E98,$L$6), "-"),_xll.BDP($E98,"Px " &amp; $L$6)),"")</f>
        <v/>
      </c>
      <c r="G98" s="42" t="str">
        <f>IF(D98&lt;&gt;"",_xll.BDP($E98,$G$20)*1,"")</f>
        <v/>
      </c>
      <c r="H98" s="92" t="str">
        <f>IF(D98&lt;&gt;"",IF($L$7="YES",IF($A98="N",_xll.BDP($E98,"Time"), "-"),_xll.BDP($E98,H$20)),"")</f>
        <v/>
      </c>
      <c r="I98" s="85" t="str">
        <f>_xll.BDP($L98, I$20)</f>
        <v>#N/A Invalid Security</v>
      </c>
      <c r="J98" s="13" t="str">
        <f t="shared" si="14"/>
        <v/>
      </c>
      <c r="K98" s="12" t="str">
        <f t="shared" si="15"/>
        <v/>
      </c>
      <c r="L98" s="17" t="str">
        <f t="shared" si="16"/>
        <v/>
      </c>
      <c r="M98" s="88" t="str">
        <f>IF(D98&lt;&gt;"",IF($L$7="YES",IF($I98="N",_xll.BDP($L98,$L$6), "-"),_xll.BDP($L98,"Px " &amp; $L$6)),"")</f>
        <v/>
      </c>
      <c r="N98" s="20" t="str">
        <f>IF(D98&lt;&gt;"",_xll.BDP($L98,$N$20)*1,"")</f>
        <v/>
      </c>
      <c r="O98" s="92" t="str">
        <f>IF(D98&lt;&gt;"",IF($L$7="YES",IF($I98="N",_xll.BDP($L98,"Time"), "-"),_xll.BDP($L98,O$20)),"")</f>
        <v/>
      </c>
      <c r="P98" s="126" t="e">
        <f t="shared" ca="1" si="17"/>
        <v>#VALUE!</v>
      </c>
      <c r="R98" s="33" t="s">
        <v>70</v>
      </c>
    </row>
    <row r="99" spans="1:18" ht="15" customHeight="1" x14ac:dyDescent="0.25">
      <c r="A99" s="85" t="str">
        <f>_xll.BDP($E99, A$20)</f>
        <v>#N/A Invalid Security</v>
      </c>
      <c r="B99" s="3"/>
      <c r="C99" s="14" t="str">
        <f t="shared" si="12"/>
        <v/>
      </c>
      <c r="D99" s="11" t="str">
        <f>IF(isvalidterm(R99,VLOOKUP($E$6,Data!$B$7:$G$114,5,FALSE),VLOOKUP($E$6,Data!$B$7:$G$114,6,FALSE)),R99,"")</f>
        <v/>
      </c>
      <c r="E99" s="18" t="str">
        <f t="shared" si="13"/>
        <v/>
      </c>
      <c r="F99" s="89" t="str">
        <f>IF(D99&lt;&gt;"",IF($L$7="YES",IF($A99="N",_xll.BDP($E99,$L$6), "-"),_xll.BDP($E99,"Px " &amp; $L$6)),"")</f>
        <v/>
      </c>
      <c r="G99" s="43" t="str">
        <f>IF(D99&lt;&gt;"",_xll.BDP($E99,$G$20)*1,"")</f>
        <v/>
      </c>
      <c r="H99" s="93" t="str">
        <f>IF(D99&lt;&gt;"",IF($L$7="YES",IF($A99="N",_xll.BDP($E99,"Time"), "-"),_xll.BDP($E99,H$20)),"")</f>
        <v/>
      </c>
      <c r="I99" s="85" t="str">
        <f>_xll.BDP($L99, I$20)</f>
        <v>#N/A Invalid Security</v>
      </c>
      <c r="J99" s="14" t="str">
        <f t="shared" si="14"/>
        <v/>
      </c>
      <c r="K99" s="11" t="str">
        <f t="shared" si="15"/>
        <v/>
      </c>
      <c r="L99" s="18" t="str">
        <f t="shared" si="16"/>
        <v/>
      </c>
      <c r="M99" s="89" t="str">
        <f>IF(D99&lt;&gt;"",IF($L$7="YES",IF($I99="N",_xll.BDP($L99,$L$6), "-"),_xll.BDP($L99,"Px " &amp; $L$6)),"")</f>
        <v/>
      </c>
      <c r="N99" s="21" t="str">
        <f>IF(D99&lt;&gt;"",_xll.BDP($L99,$N$20)*1,"")</f>
        <v/>
      </c>
      <c r="O99" s="93" t="str">
        <f>IF(D99&lt;&gt;"",IF($L$7="YES",IF($I99="N",_xll.BDP($L99,"Time"), "-"),_xll.BDP($L99,O$20)),"")</f>
        <v/>
      </c>
      <c r="P99" s="126" t="e">
        <f t="shared" ca="1" si="17"/>
        <v>#VALUE!</v>
      </c>
      <c r="R99" s="32" t="s">
        <v>71</v>
      </c>
    </row>
    <row r="100" spans="1:18" ht="15" customHeight="1" x14ac:dyDescent="0.25">
      <c r="A100" s="85" t="str">
        <f>_xll.BDP($E100, A$20)</f>
        <v>#N/A Invalid Security</v>
      </c>
      <c r="B100" s="3"/>
      <c r="C100" s="13" t="str">
        <f t="shared" si="12"/>
        <v/>
      </c>
      <c r="D100" s="12" t="str">
        <f>IF(isvalidterm(R100,VLOOKUP($E$6,Data!$B$7:$G$114,5,FALSE),VLOOKUP($E$6,Data!$B$7:$G$114,6,FALSE)),R100,"")</f>
        <v/>
      </c>
      <c r="E100" s="17" t="str">
        <f t="shared" si="13"/>
        <v/>
      </c>
      <c r="F100" s="88" t="str">
        <f>IF(D100&lt;&gt;"",IF($L$7="YES",IF($A100="N",_xll.BDP($E100,$L$6), "-"),_xll.BDP($E100,"Px " &amp; $L$6)),"")</f>
        <v/>
      </c>
      <c r="G100" s="42" t="str">
        <f>IF(D100&lt;&gt;"",_xll.BDP($E100,$G$20)*1,"")</f>
        <v/>
      </c>
      <c r="H100" s="92" t="str">
        <f>IF(D100&lt;&gt;"",IF($L$7="YES",IF($A100="N",_xll.BDP($E100,"Time"), "-"),_xll.BDP($E100,H$20)),"")</f>
        <v/>
      </c>
      <c r="I100" s="85" t="str">
        <f>_xll.BDP($L100, I$20)</f>
        <v>#N/A Invalid Security</v>
      </c>
      <c r="J100" s="13" t="str">
        <f t="shared" si="14"/>
        <v/>
      </c>
      <c r="K100" s="12" t="str">
        <f t="shared" si="15"/>
        <v/>
      </c>
      <c r="L100" s="17" t="str">
        <f t="shared" si="16"/>
        <v/>
      </c>
      <c r="M100" s="88" t="str">
        <f>IF(D100&lt;&gt;"",IF($L$7="YES",IF($I100="N",_xll.BDP($L100,$L$6), "-"),_xll.BDP($L100,"Px " &amp; $L$6)),"")</f>
        <v/>
      </c>
      <c r="N100" s="20" t="str">
        <f>IF(D100&lt;&gt;"",_xll.BDP($L100,$N$20)*1,"")</f>
        <v/>
      </c>
      <c r="O100" s="92" t="str">
        <f>IF(D100&lt;&gt;"",IF($L$7="YES",IF($I100="N",_xll.BDP($L100,"Time"), "-"),_xll.BDP($L100,O$20)),"")</f>
        <v/>
      </c>
      <c r="P100" s="126" t="e">
        <f t="shared" ca="1" si="17"/>
        <v>#VALUE!</v>
      </c>
      <c r="R100" s="33" t="s">
        <v>72</v>
      </c>
    </row>
    <row r="101" spans="1:18" ht="15" customHeight="1" x14ac:dyDescent="0.25">
      <c r="A101" s="85" t="str">
        <f>_xll.BDP($E101, A$20)</f>
        <v>#N/A Invalid Security</v>
      </c>
      <c r="B101" s="3"/>
      <c r="C101" s="14" t="str">
        <f t="shared" si="12"/>
        <v/>
      </c>
      <c r="D101" s="11" t="str">
        <f>IF(isvalidterm(R101,VLOOKUP($E$6,Data!$B$7:$G$114,5,FALSE),VLOOKUP($E$6,Data!$B$7:$G$114,6,FALSE)),R101,"")</f>
        <v/>
      </c>
      <c r="E101" s="18" t="str">
        <f t="shared" si="13"/>
        <v/>
      </c>
      <c r="F101" s="89" t="str">
        <f>IF(D101&lt;&gt;"",IF($L$7="YES",IF($A101="N",_xll.BDP($E101,$L$6), "-"),_xll.BDP($E101,"Px " &amp; $L$6)),"")</f>
        <v/>
      </c>
      <c r="G101" s="43" t="str">
        <f>IF(D101&lt;&gt;"",_xll.BDP($E101,$G$20)*1,"")</f>
        <v/>
      </c>
      <c r="H101" s="93" t="str">
        <f>IF(D101&lt;&gt;"",IF($L$7="YES",IF($A101="N",_xll.BDP($E101,"Time"), "-"),_xll.BDP($E101,H$20)),"")</f>
        <v/>
      </c>
      <c r="I101" s="85" t="str">
        <f>_xll.BDP($L101, I$20)</f>
        <v>#N/A Invalid Security</v>
      </c>
      <c r="J101" s="14" t="str">
        <f t="shared" si="14"/>
        <v/>
      </c>
      <c r="K101" s="11" t="str">
        <f t="shared" si="15"/>
        <v/>
      </c>
      <c r="L101" s="18" t="str">
        <f t="shared" si="16"/>
        <v/>
      </c>
      <c r="M101" s="89" t="str">
        <f>IF(D101&lt;&gt;"",IF($L$7="YES",IF($I101="N",_xll.BDP($L101,$L$6), "-"),_xll.BDP($L101,"Px " &amp; $L$6)),"")</f>
        <v/>
      </c>
      <c r="N101" s="21" t="str">
        <f>IF(D101&lt;&gt;"",_xll.BDP($L101,$N$20)*1,"")</f>
        <v/>
      </c>
      <c r="O101" s="93" t="str">
        <f>IF(D101&lt;&gt;"",IF($L$7="YES",IF($I101="N",_xll.BDP($L101,"Time"), "-"),_xll.BDP($L101,O$20)),"")</f>
        <v/>
      </c>
      <c r="P101" s="126" t="e">
        <f t="shared" ca="1" si="17"/>
        <v>#VALUE!</v>
      </c>
      <c r="R101" s="32" t="s">
        <v>73</v>
      </c>
    </row>
    <row r="102" spans="1:18" ht="15" customHeight="1" x14ac:dyDescent="0.25">
      <c r="A102" s="85" t="str">
        <f>_xll.BDP($E102, A$20)</f>
        <v>#N/A Invalid Security</v>
      </c>
      <c r="B102" s="3"/>
      <c r="C102" s="13" t="str">
        <f t="shared" si="12"/>
        <v/>
      </c>
      <c r="D102" s="12" t="str">
        <f>IF(isvalidterm(R102,VLOOKUP($E$6,Data!$B$7:$G$114,5,FALSE),VLOOKUP($E$6,Data!$B$7:$G$114,6,FALSE)),R102,"")</f>
        <v/>
      </c>
      <c r="E102" s="17" t="str">
        <f t="shared" si="13"/>
        <v/>
      </c>
      <c r="F102" s="88" t="str">
        <f>IF(D102&lt;&gt;"",IF($L$7="YES",IF($A102="N",_xll.BDP($E102,$L$6), "-"),_xll.BDP($E102,"Px " &amp; $L$6)),"")</f>
        <v/>
      </c>
      <c r="G102" s="42" t="str">
        <f>IF(D102&lt;&gt;"",_xll.BDP($E102,$G$20)*1,"")</f>
        <v/>
      </c>
      <c r="H102" s="92" t="str">
        <f>IF(D102&lt;&gt;"",IF($L$7="YES",IF($A102="N",_xll.BDP($E102,"Time"), "-"),_xll.BDP($E102,H$20)),"")</f>
        <v/>
      </c>
      <c r="I102" s="85" t="str">
        <f>_xll.BDP($L102, I$20)</f>
        <v>#N/A Invalid Security</v>
      </c>
      <c r="J102" s="13" t="str">
        <f t="shared" si="14"/>
        <v/>
      </c>
      <c r="K102" s="12" t="str">
        <f t="shared" si="15"/>
        <v/>
      </c>
      <c r="L102" s="17" t="str">
        <f t="shared" si="16"/>
        <v/>
      </c>
      <c r="M102" s="88" t="str">
        <f>IF(D102&lt;&gt;"",IF($L$7="YES",IF($I102="N",_xll.BDP($L102,$L$6), "-"),_xll.BDP($L102,"Px " &amp; $L$6)),"")</f>
        <v/>
      </c>
      <c r="N102" s="20" t="str">
        <f>IF(D102&lt;&gt;"",_xll.BDP($L102,$N$20)*1,"")</f>
        <v/>
      </c>
      <c r="O102" s="92" t="str">
        <f>IF(D102&lt;&gt;"",IF($L$7="YES",IF($I102="N",_xll.BDP($L102,"Time"), "-"),_xll.BDP($L102,O$20)),"")</f>
        <v/>
      </c>
      <c r="P102" s="126" t="e">
        <f t="shared" ca="1" si="17"/>
        <v>#VALUE!</v>
      </c>
      <c r="R102" s="33" t="s">
        <v>74</v>
      </c>
    </row>
    <row r="103" spans="1:18" ht="15" customHeight="1" x14ac:dyDescent="0.25">
      <c r="A103" s="85" t="str">
        <f>_xll.BDP($E103, A$20)</f>
        <v>#N/A Invalid Security</v>
      </c>
      <c r="B103" s="3"/>
      <c r="C103" s="14" t="str">
        <f t="shared" si="12"/>
        <v/>
      </c>
      <c r="D103" s="11" t="str">
        <f>IF(isvalidterm(R103,VLOOKUP($E$6,Data!$B$7:$G$114,5,FALSE),VLOOKUP($E$6,Data!$B$7:$G$114,6,FALSE)),R103,"")</f>
        <v/>
      </c>
      <c r="E103" s="18" t="str">
        <f t="shared" si="13"/>
        <v/>
      </c>
      <c r="F103" s="89" t="str">
        <f>IF(D103&lt;&gt;"",IF($L$7="YES",IF($A103="N",_xll.BDP($E103,$L$6), "-"),_xll.BDP($E103,"Px " &amp; $L$6)),"")</f>
        <v/>
      </c>
      <c r="G103" s="43" t="str">
        <f>IF(D103&lt;&gt;"",_xll.BDP($E103,$G$20)*1,"")</f>
        <v/>
      </c>
      <c r="H103" s="93" t="str">
        <f>IF(D103&lt;&gt;"",IF($L$7="YES",IF($A103="N",_xll.BDP($E103,"Time"), "-"),_xll.BDP($E103,H$20)),"")</f>
        <v/>
      </c>
      <c r="I103" s="85" t="str">
        <f>_xll.BDP($L103, I$20)</f>
        <v>#N/A Invalid Security</v>
      </c>
      <c r="J103" s="14" t="str">
        <f t="shared" si="14"/>
        <v/>
      </c>
      <c r="K103" s="11" t="str">
        <f t="shared" si="15"/>
        <v/>
      </c>
      <c r="L103" s="18" t="str">
        <f t="shared" si="16"/>
        <v/>
      </c>
      <c r="M103" s="89" t="str">
        <f>IF(D103&lt;&gt;"",IF($L$7="YES",IF($I103="N",_xll.BDP($L103,$L$6), "-"),_xll.BDP($L103,"Px " &amp; $L$6)),"")</f>
        <v/>
      </c>
      <c r="N103" s="21" t="str">
        <f>IF(D103&lt;&gt;"",_xll.BDP($L103,$N$20)*1,"")</f>
        <v/>
      </c>
      <c r="O103" s="93" t="str">
        <f>IF(D103&lt;&gt;"",IF($L$7="YES",IF($I103="N",_xll.BDP($L103,"Time"), "-"),_xll.BDP($L103,O$20)),"")</f>
        <v/>
      </c>
      <c r="P103" s="126" t="e">
        <f t="shared" ca="1" si="17"/>
        <v>#VALUE!</v>
      </c>
      <c r="R103" s="32" t="s">
        <v>75</v>
      </c>
    </row>
    <row r="104" spans="1:18" ht="15" customHeight="1" x14ac:dyDescent="0.25">
      <c r="A104" s="85" t="str">
        <f>_xll.BDP($E104, A$20)</f>
        <v>#N/A Invalid Security</v>
      </c>
      <c r="B104" s="3"/>
      <c r="C104" s="13" t="str">
        <f t="shared" si="12"/>
        <v/>
      </c>
      <c r="D104" s="12" t="str">
        <f>IF(isvalidterm(R104,VLOOKUP($E$6,Data!$B$7:$G$114,5,FALSE),VLOOKUP($E$6,Data!$B$7:$G$114,6,FALSE)),R104,"")</f>
        <v/>
      </c>
      <c r="E104" s="17" t="str">
        <f t="shared" si="13"/>
        <v/>
      </c>
      <c r="F104" s="88" t="str">
        <f>IF(D104&lt;&gt;"",IF($L$7="YES",IF($A104="N",_xll.BDP($E104,$L$6), "-"),_xll.BDP($E104,"Px " &amp; $L$6)),"")</f>
        <v/>
      </c>
      <c r="G104" s="42" t="str">
        <f>IF(D104&lt;&gt;"",_xll.BDP($E104,$G$20)*1,"")</f>
        <v/>
      </c>
      <c r="H104" s="92" t="str">
        <f>IF(D104&lt;&gt;"",IF($L$7="YES",IF($A104="N",_xll.BDP($E104,"Time"), "-"),_xll.BDP($E104,H$20)),"")</f>
        <v/>
      </c>
      <c r="I104" s="85" t="str">
        <f>_xll.BDP($L104, I$20)</f>
        <v>#N/A Invalid Security</v>
      </c>
      <c r="J104" s="13" t="str">
        <f t="shared" si="14"/>
        <v/>
      </c>
      <c r="K104" s="12" t="str">
        <f t="shared" si="15"/>
        <v/>
      </c>
      <c r="L104" s="17" t="str">
        <f t="shared" si="16"/>
        <v/>
      </c>
      <c r="M104" s="88" t="str">
        <f>IF(D104&lt;&gt;"",IF($L$7="YES",IF($I104="N",_xll.BDP($L104,$L$6), "-"),_xll.BDP($L104,"Px " &amp; $L$6)),"")</f>
        <v/>
      </c>
      <c r="N104" s="20" t="str">
        <f>IF(D104&lt;&gt;"",_xll.BDP($L104,$N$20)*1,"")</f>
        <v/>
      </c>
      <c r="O104" s="92" t="str">
        <f>IF(D104&lt;&gt;"",IF($L$7="YES",IF($I104="N",_xll.BDP($L104,"Time"), "-"),_xll.BDP($L104,O$20)),"")</f>
        <v/>
      </c>
      <c r="P104" s="126" t="e">
        <f t="shared" ca="1" si="17"/>
        <v>#VALUE!</v>
      </c>
      <c r="R104" s="33" t="s">
        <v>76</v>
      </c>
    </row>
    <row r="105" spans="1:18" ht="15" customHeight="1" x14ac:dyDescent="0.25">
      <c r="A105" s="85" t="str">
        <f>_xll.BDP($E105, A$20)</f>
        <v>#N/A Invalid Security</v>
      </c>
      <c r="B105" s="3"/>
      <c r="C105" s="14" t="str">
        <f t="shared" si="12"/>
        <v/>
      </c>
      <c r="D105" s="11" t="str">
        <f>IF(isvalidterm(R105,VLOOKUP($E$6,Data!$B$7:$G$114,5,FALSE),VLOOKUP($E$6,Data!$B$7:$G$114,6,FALSE)),R105,"")</f>
        <v/>
      </c>
      <c r="E105" s="18" t="str">
        <f t="shared" si="13"/>
        <v/>
      </c>
      <c r="F105" s="89" t="str">
        <f>IF(D105&lt;&gt;"",IF($L$7="YES",IF($A105="N",_xll.BDP($E105,$L$6), "-"),_xll.BDP($E105,"Px " &amp; $L$6)),"")</f>
        <v/>
      </c>
      <c r="G105" s="43" t="str">
        <f>IF(D105&lt;&gt;"",_xll.BDP($E105,$G$20)*1,"")</f>
        <v/>
      </c>
      <c r="H105" s="93" t="str">
        <f>IF(D105&lt;&gt;"",IF($L$7="YES",IF($A105="N",_xll.BDP($E105,"Time"), "-"),_xll.BDP($E105,H$20)),"")</f>
        <v/>
      </c>
      <c r="I105" s="85" t="str">
        <f>_xll.BDP($L105, I$20)</f>
        <v>#N/A Invalid Security</v>
      </c>
      <c r="J105" s="14" t="str">
        <f t="shared" si="14"/>
        <v/>
      </c>
      <c r="K105" s="11" t="str">
        <f t="shared" si="15"/>
        <v/>
      </c>
      <c r="L105" s="18" t="str">
        <f t="shared" si="16"/>
        <v/>
      </c>
      <c r="M105" s="89" t="str">
        <f>IF(D105&lt;&gt;"",IF($L$7="YES",IF($I105="N",_xll.BDP($L105,$L$6), "-"),_xll.BDP($L105,"Px " &amp; $L$6)),"")</f>
        <v/>
      </c>
      <c r="N105" s="21" t="str">
        <f>IF(D105&lt;&gt;"",_xll.BDP($L105,$N$20)*1,"")</f>
        <v/>
      </c>
      <c r="O105" s="93" t="str">
        <f>IF(D105&lt;&gt;"",IF($L$7="YES",IF($I105="N",_xll.BDP($L105,"Time"), "-"),_xll.BDP($L105,O$20)),"")</f>
        <v/>
      </c>
      <c r="P105" s="126" t="e">
        <f t="shared" ca="1" si="17"/>
        <v>#VALUE!</v>
      </c>
      <c r="R105" s="32" t="s">
        <v>77</v>
      </c>
    </row>
    <row r="106" spans="1:18" ht="15" customHeight="1" x14ac:dyDescent="0.25">
      <c r="A106" s="85" t="str">
        <f>_xll.BDP($E106, A$20)</f>
        <v>#N/A Invalid Security</v>
      </c>
      <c r="B106" s="3"/>
      <c r="C106" s="13" t="str">
        <f t="shared" si="12"/>
        <v/>
      </c>
      <c r="D106" s="12" t="str">
        <f>IF(isvalidterm(R106,VLOOKUP($E$6,Data!$B$7:$G$114,5,FALSE),VLOOKUP($E$6,Data!$B$7:$G$114,6,FALSE)),R106,"")</f>
        <v/>
      </c>
      <c r="E106" s="17" t="str">
        <f t="shared" si="13"/>
        <v/>
      </c>
      <c r="F106" s="88" t="str">
        <f>IF(D106&lt;&gt;"",IF($L$7="YES",IF($A106="N",_xll.BDP($E106,$L$6), "-"),_xll.BDP($E106,"Px " &amp; $L$6)),"")</f>
        <v/>
      </c>
      <c r="G106" s="42" t="str">
        <f>IF(D106&lt;&gt;"",_xll.BDP($E106,$G$20)*1,"")</f>
        <v/>
      </c>
      <c r="H106" s="92" t="str">
        <f>IF(D106&lt;&gt;"",IF($L$7="YES",IF($A106="N",_xll.BDP($E106,"Time"), "-"),_xll.BDP($E106,H$20)),"")</f>
        <v/>
      </c>
      <c r="I106" s="85" t="str">
        <f>_xll.BDP($L106, I$20)</f>
        <v>#N/A Invalid Security</v>
      </c>
      <c r="J106" s="13" t="str">
        <f t="shared" si="14"/>
        <v/>
      </c>
      <c r="K106" s="12" t="str">
        <f t="shared" si="15"/>
        <v/>
      </c>
      <c r="L106" s="17" t="str">
        <f t="shared" si="16"/>
        <v/>
      </c>
      <c r="M106" s="88" t="str">
        <f>IF(D106&lt;&gt;"",IF($L$7="YES",IF($I106="N",_xll.BDP($L106,$L$6), "-"),_xll.BDP($L106,"Px " &amp; $L$6)),"")</f>
        <v/>
      </c>
      <c r="N106" s="20" t="str">
        <f>IF(D106&lt;&gt;"",_xll.BDP($L106,$N$20)*1,"")</f>
        <v/>
      </c>
      <c r="O106" s="92" t="str">
        <f>IF(D106&lt;&gt;"",IF($L$7="YES",IF($I106="N",_xll.BDP($L106,"Time"), "-"),_xll.BDP($L106,O$20)),"")</f>
        <v/>
      </c>
      <c r="P106" s="126" t="e">
        <f t="shared" ca="1" si="17"/>
        <v>#VALUE!</v>
      </c>
      <c r="R106" s="33" t="s">
        <v>35</v>
      </c>
    </row>
    <row r="107" spans="1:18" ht="15" customHeight="1" x14ac:dyDescent="0.25">
      <c r="A107" s="85" t="str">
        <f>_xll.BDP($E107, A$20)</f>
        <v>#N/A Invalid Security</v>
      </c>
      <c r="B107" s="3"/>
      <c r="C107" s="14" t="str">
        <f t="shared" si="12"/>
        <v/>
      </c>
      <c r="D107" s="11" t="str">
        <f>IF(isvalidterm(R107,VLOOKUP($E$6,Data!$B$7:$G$114,5,FALSE),VLOOKUP($E$6,Data!$B$7:$G$114,6,FALSE)),R107,"")</f>
        <v/>
      </c>
      <c r="E107" s="18" t="str">
        <f t="shared" si="13"/>
        <v/>
      </c>
      <c r="F107" s="89" t="str">
        <f>IF(D107&lt;&gt;"",IF($L$7="YES",IF($A107="N",_xll.BDP($E107,$L$6), "-"),_xll.BDP($E107,"Px " &amp; $L$6)),"")</f>
        <v/>
      </c>
      <c r="G107" s="43" t="str">
        <f>IF(D107&lt;&gt;"",_xll.BDP($E107,$G$20)*1,"")</f>
        <v/>
      </c>
      <c r="H107" s="93" t="str">
        <f>IF(D107&lt;&gt;"",IF($L$7="YES",IF($A107="N",_xll.BDP($E107,"Time"), "-"),_xll.BDP($E107,H$20)),"")</f>
        <v/>
      </c>
      <c r="I107" s="85" t="str">
        <f>_xll.BDP($L107, I$20)</f>
        <v>#N/A Invalid Security</v>
      </c>
      <c r="J107" s="14" t="str">
        <f t="shared" si="14"/>
        <v/>
      </c>
      <c r="K107" s="11" t="str">
        <f t="shared" si="15"/>
        <v/>
      </c>
      <c r="L107" s="18" t="str">
        <f t="shared" si="16"/>
        <v/>
      </c>
      <c r="M107" s="89" t="str">
        <f>IF(D107&lt;&gt;"",IF($L$7="YES",IF($I107="N",_xll.BDP($L107,$L$6), "-"),_xll.BDP($L107,"Px " &amp; $L$6)),"")</f>
        <v/>
      </c>
      <c r="N107" s="21" t="str">
        <f>IF(D107&lt;&gt;"",_xll.BDP($L107,$N$20)*1,"")</f>
        <v/>
      </c>
      <c r="O107" s="93" t="str">
        <f>IF(D107&lt;&gt;"",IF($L$7="YES",IF($I107="N",_xll.BDP($L107,"Time"), "-"),_xll.BDP($L107,O$20)),"")</f>
        <v/>
      </c>
      <c r="P107" s="126" t="e">
        <f t="shared" ca="1" si="17"/>
        <v>#VALUE!</v>
      </c>
      <c r="R107" s="32" t="s">
        <v>78</v>
      </c>
    </row>
    <row r="108" spans="1:18" ht="15" customHeight="1" x14ac:dyDescent="0.25">
      <c r="A108" s="85" t="str">
        <f>_xll.BDP($E108, A$20)</f>
        <v>#N/A Invalid Security</v>
      </c>
      <c r="B108" s="3"/>
      <c r="C108" s="13" t="str">
        <f t="shared" si="12"/>
        <v/>
      </c>
      <c r="D108" s="12" t="str">
        <f>IF(isvalidterm(R108,VLOOKUP($E$6,Data!$B$7:$G$114,5,FALSE),VLOOKUP($E$6,Data!$B$7:$G$114,6,FALSE)),R108,"")</f>
        <v/>
      </c>
      <c r="E108" s="17" t="str">
        <f t="shared" si="13"/>
        <v/>
      </c>
      <c r="F108" s="88" t="str">
        <f>IF(D108&lt;&gt;"",IF($L$7="YES",IF($A108="N",_xll.BDP($E108,$L$6), "-"),_xll.BDP($E108,"Px " &amp; $L$6)),"")</f>
        <v/>
      </c>
      <c r="G108" s="42" t="str">
        <f>IF(D108&lt;&gt;"",_xll.BDP($E108,$G$20)*1,"")</f>
        <v/>
      </c>
      <c r="H108" s="92" t="str">
        <f>IF(D108&lt;&gt;"",IF($L$7="YES",IF($A108="N",_xll.BDP($E108,"Time"), "-"),_xll.BDP($E108,H$20)),"")</f>
        <v/>
      </c>
      <c r="I108" s="85" t="str">
        <f>_xll.BDP($L108, I$20)</f>
        <v>#N/A Invalid Security</v>
      </c>
      <c r="J108" s="13" t="str">
        <f t="shared" si="14"/>
        <v/>
      </c>
      <c r="K108" s="12" t="str">
        <f t="shared" si="15"/>
        <v/>
      </c>
      <c r="L108" s="17" t="str">
        <f t="shared" si="16"/>
        <v/>
      </c>
      <c r="M108" s="88" t="str">
        <f>IF(D108&lt;&gt;"",IF($L$7="YES",IF($I108="N",_xll.BDP($L108,$L$6), "-"),_xll.BDP($L108,"Px " &amp; $L$6)),"")</f>
        <v/>
      </c>
      <c r="N108" s="20" t="str">
        <f>IF(D108&lt;&gt;"",_xll.BDP($L108,$N$20)*1,"")</f>
        <v/>
      </c>
      <c r="O108" s="92" t="str">
        <f>IF(D108&lt;&gt;"",IF($L$7="YES",IF($I108="N",_xll.BDP($L108,"Time"), "-"),_xll.BDP($L108,O$20)),"")</f>
        <v/>
      </c>
      <c r="P108" s="126" t="e">
        <f t="shared" ca="1" si="17"/>
        <v>#VALUE!</v>
      </c>
      <c r="R108" s="33" t="s">
        <v>79</v>
      </c>
    </row>
    <row r="109" spans="1:18" ht="15" customHeight="1" x14ac:dyDescent="0.25">
      <c r="A109" s="85" t="str">
        <f>_xll.BDP($E109, A$20)</f>
        <v>#N/A Invalid Security</v>
      </c>
      <c r="B109" s="3"/>
      <c r="C109" s="14" t="str">
        <f t="shared" si="12"/>
        <v/>
      </c>
      <c r="D109" s="11" t="str">
        <f>IF(isvalidterm(R109,VLOOKUP($E$6,Data!$B$7:$G$114,5,FALSE),VLOOKUP($E$6,Data!$B$7:$G$114,6,FALSE)),R109,"")</f>
        <v/>
      </c>
      <c r="E109" s="18" t="str">
        <f t="shared" si="13"/>
        <v/>
      </c>
      <c r="F109" s="89" t="str">
        <f>IF(D109&lt;&gt;"",IF($L$7="YES",IF($A109="N",_xll.BDP($E109,$L$6), "-"),_xll.BDP($E109,"Px " &amp; $L$6)),"")</f>
        <v/>
      </c>
      <c r="G109" s="43" t="str">
        <f>IF(D109&lt;&gt;"",_xll.BDP($E109,$G$20)*1,"")</f>
        <v/>
      </c>
      <c r="H109" s="93" t="str">
        <f>IF(D109&lt;&gt;"",IF($L$7="YES",IF($A109="N",_xll.BDP($E109,"Time"), "-"),_xll.BDP($E109,H$20)),"")</f>
        <v/>
      </c>
      <c r="I109" s="85" t="str">
        <f>_xll.BDP($L109, I$20)</f>
        <v>#N/A Invalid Security</v>
      </c>
      <c r="J109" s="14" t="str">
        <f t="shared" si="14"/>
        <v/>
      </c>
      <c r="K109" s="11" t="str">
        <f t="shared" si="15"/>
        <v/>
      </c>
      <c r="L109" s="18" t="str">
        <f t="shared" si="16"/>
        <v/>
      </c>
      <c r="M109" s="89" t="str">
        <f>IF(D109&lt;&gt;"",IF($L$7="YES",IF($I109="N",_xll.BDP($L109,$L$6), "-"),_xll.BDP($L109,"Px " &amp; $L$6)),"")</f>
        <v/>
      </c>
      <c r="N109" s="21" t="str">
        <f>IF(D109&lt;&gt;"",_xll.BDP($L109,$N$20)*1,"")</f>
        <v/>
      </c>
      <c r="O109" s="93" t="str">
        <f>IF(D109&lt;&gt;"",IF($L$7="YES",IF($I109="N",_xll.BDP($L109,"Time"), "-"),_xll.BDP($L109,O$20)),"")</f>
        <v/>
      </c>
      <c r="P109" s="126" t="e">
        <f t="shared" ref="P109:P116" ca="1" si="18">1/(1+F109*(G109-TODAY())/36000)</f>
        <v>#VALUE!</v>
      </c>
      <c r="R109" s="32" t="s">
        <v>80</v>
      </c>
    </row>
    <row r="110" spans="1:18" ht="15" customHeight="1" x14ac:dyDescent="0.25">
      <c r="A110" s="85" t="str">
        <f>_xll.BDP($E110, A$20)</f>
        <v>#N/A Invalid Security</v>
      </c>
      <c r="B110" s="3"/>
      <c r="C110" s="13" t="str">
        <f t="shared" si="12"/>
        <v/>
      </c>
      <c r="D110" s="12" t="str">
        <f>IF(isvalidterm(R110,VLOOKUP($E$6,Data!$B$7:$G$114,5,FALSE),VLOOKUP($E$6,Data!$B$7:$G$114,6,FALSE)),R110,"")</f>
        <v/>
      </c>
      <c r="E110" s="17" t="str">
        <f t="shared" si="13"/>
        <v/>
      </c>
      <c r="F110" s="88" t="str">
        <f>IF(D110&lt;&gt;"",IF($L$7="YES",IF($A110="N",_xll.BDP($E110,$L$6), "-"),_xll.BDP($E110,"Px " &amp; $L$6)),"")</f>
        <v/>
      </c>
      <c r="G110" s="42" t="str">
        <f>IF(D110&lt;&gt;"",_xll.BDP($E110,$G$20)*1,"")</f>
        <v/>
      </c>
      <c r="H110" s="92" t="str">
        <f>IF(D110&lt;&gt;"",IF($L$7="YES",IF($A110="N",_xll.BDP($E110,"Time"), "-"),_xll.BDP($E110,H$20)),"")</f>
        <v/>
      </c>
      <c r="I110" s="85" t="str">
        <f>_xll.BDP($L110, I$20)</f>
        <v>#N/A Invalid Security</v>
      </c>
      <c r="J110" s="13" t="str">
        <f t="shared" si="14"/>
        <v/>
      </c>
      <c r="K110" s="12" t="str">
        <f t="shared" si="15"/>
        <v/>
      </c>
      <c r="L110" s="17" t="str">
        <f t="shared" si="16"/>
        <v/>
      </c>
      <c r="M110" s="88" t="str">
        <f>IF(D110&lt;&gt;"",IF($L$7="YES",IF($I110="N",_xll.BDP($L110,$L$6), "-"),_xll.BDP($L110,"Px " &amp; $L$6)),"")</f>
        <v/>
      </c>
      <c r="N110" s="20" t="str">
        <f>IF(D110&lt;&gt;"",_xll.BDP($L110,$N$20)*1,"")</f>
        <v/>
      </c>
      <c r="O110" s="92" t="str">
        <f>IF(D110&lt;&gt;"",IF($L$7="YES",IF($I110="N",_xll.BDP($L110,"Time"), "-"),_xll.BDP($L110,O$20)),"")</f>
        <v/>
      </c>
      <c r="P110" s="126" t="e">
        <f t="shared" ca="1" si="18"/>
        <v>#VALUE!</v>
      </c>
      <c r="R110" s="33" t="s">
        <v>81</v>
      </c>
    </row>
    <row r="111" spans="1:18" ht="15" customHeight="1" x14ac:dyDescent="0.25">
      <c r="A111" s="85" t="str">
        <f>_xll.BDP($E111, A$20)</f>
        <v>#N/A Invalid Security</v>
      </c>
      <c r="B111" s="3"/>
      <c r="C111" s="14" t="str">
        <f t="shared" si="12"/>
        <v/>
      </c>
      <c r="D111" s="11" t="str">
        <f>IF(isvalidterm(R111,VLOOKUP($E$6,Data!$B$7:$G$114,5,FALSE),VLOOKUP($E$6,Data!$B$7:$G$114,6,FALSE)),R111,"")</f>
        <v/>
      </c>
      <c r="E111" s="18" t="str">
        <f t="shared" si="13"/>
        <v/>
      </c>
      <c r="F111" s="89" t="str">
        <f>IF(D111&lt;&gt;"",IF($L$7="YES",IF($A111="N",_xll.BDP($E111,$L$6), "-"),_xll.BDP($E111,"Px " &amp; $L$6)),"")</f>
        <v/>
      </c>
      <c r="G111" s="43" t="str">
        <f>IF(D111&lt;&gt;"",_xll.BDP($E111,$G$20)*1,"")</f>
        <v/>
      </c>
      <c r="H111" s="93" t="str">
        <f>IF(D111&lt;&gt;"",IF($L$7="YES",IF($A111="N",_xll.BDP($E111,"Time"), "-"),_xll.BDP($E111,H$20)),"")</f>
        <v/>
      </c>
      <c r="I111" s="85" t="str">
        <f>_xll.BDP($L111, I$20)</f>
        <v>#N/A Invalid Security</v>
      </c>
      <c r="J111" s="14" t="str">
        <f t="shared" si="14"/>
        <v/>
      </c>
      <c r="K111" s="11" t="str">
        <f t="shared" si="15"/>
        <v/>
      </c>
      <c r="L111" s="18" t="str">
        <f t="shared" si="16"/>
        <v/>
      </c>
      <c r="M111" s="89" t="str">
        <f>IF(D111&lt;&gt;"",IF($L$7="YES",IF($I111="N",_xll.BDP($L111,$L$6), "-"),_xll.BDP($L111,"Px " &amp; $L$6)),"")</f>
        <v/>
      </c>
      <c r="N111" s="21" t="str">
        <f>IF(D111&lt;&gt;"",_xll.BDP($L111,$N$20)*1,"")</f>
        <v/>
      </c>
      <c r="O111" s="93" t="str">
        <f>IF(D111&lt;&gt;"",IF($L$7="YES",IF($I111="N",_xll.BDP($L111,"Time"), "-"),_xll.BDP($L111,O$20)),"")</f>
        <v/>
      </c>
      <c r="P111" s="126" t="e">
        <f t="shared" ca="1" si="18"/>
        <v>#VALUE!</v>
      </c>
      <c r="R111" s="32" t="s">
        <v>82</v>
      </c>
    </row>
    <row r="112" spans="1:18" ht="15" customHeight="1" x14ac:dyDescent="0.25">
      <c r="A112" s="85" t="str">
        <f>_xll.BDP($E112, A$20)</f>
        <v>#N/A Invalid Security</v>
      </c>
      <c r="B112" s="3"/>
      <c r="C112" s="13" t="str">
        <f t="shared" si="12"/>
        <v/>
      </c>
      <c r="D112" s="12" t="str">
        <f>IF(isvalidterm(R112,VLOOKUP($E$6,Data!$B$7:$G$114,5,FALSE),VLOOKUP($E$6,Data!$B$7:$G$114,6,FALSE)),R112,"")</f>
        <v/>
      </c>
      <c r="E112" s="17" t="str">
        <f t="shared" si="13"/>
        <v/>
      </c>
      <c r="F112" s="88" t="str">
        <f>IF(D112&lt;&gt;"",IF($L$7="YES",IF($A112="N",_xll.BDP($E112,$L$6), "-"),_xll.BDP($E112,"Px " &amp; $L$6)),"")</f>
        <v/>
      </c>
      <c r="G112" s="42" t="str">
        <f>IF(D112&lt;&gt;"",_xll.BDP($E112,$G$20)*1,"")</f>
        <v/>
      </c>
      <c r="H112" s="92" t="str">
        <f>IF(D112&lt;&gt;"",IF($L$7="YES",IF($A112="N",_xll.BDP($E112,"Time"), "-"),_xll.BDP($E112,H$20)),"")</f>
        <v/>
      </c>
      <c r="I112" s="85" t="str">
        <f>_xll.BDP($L112, I$20)</f>
        <v>#N/A Invalid Security</v>
      </c>
      <c r="J112" s="13" t="str">
        <f t="shared" si="14"/>
        <v/>
      </c>
      <c r="K112" s="12" t="str">
        <f t="shared" si="15"/>
        <v/>
      </c>
      <c r="L112" s="17" t="str">
        <f t="shared" si="16"/>
        <v/>
      </c>
      <c r="M112" s="88" t="str">
        <f>IF(D112&lt;&gt;"",IF($L$7="YES",IF($I112="N",_xll.BDP($L112,$L$6), "-"),_xll.BDP($L112,"Px " &amp; $L$6)),"")</f>
        <v/>
      </c>
      <c r="N112" s="20" t="str">
        <f>IF(D112&lt;&gt;"",_xll.BDP($L112,$N$20)*1,"")</f>
        <v/>
      </c>
      <c r="O112" s="92" t="str">
        <f>IF(D112&lt;&gt;"",IF($L$7="YES",IF($I112="N",_xll.BDP($L112,"Time"), "-"),_xll.BDP($L112,O$20)),"")</f>
        <v/>
      </c>
      <c r="P112" s="126" t="e">
        <f t="shared" ca="1" si="18"/>
        <v>#VALUE!</v>
      </c>
      <c r="R112" s="33" t="s">
        <v>83</v>
      </c>
    </row>
    <row r="113" spans="1:18" ht="15" customHeight="1" x14ac:dyDescent="0.25">
      <c r="A113" s="85" t="str">
        <f>_xll.BDP($E113, A$20)</f>
        <v>#N/A Invalid Security</v>
      </c>
      <c r="B113" s="3"/>
      <c r="C113" s="14" t="str">
        <f t="shared" si="12"/>
        <v/>
      </c>
      <c r="D113" s="11" t="str">
        <f>IF(isvalidterm(R113,VLOOKUP($E$6,Data!$B$7:$G$114,5,FALSE),VLOOKUP($E$6,Data!$B$7:$G$114,6,FALSE)),R113,"")</f>
        <v/>
      </c>
      <c r="E113" s="18" t="str">
        <f t="shared" si="13"/>
        <v/>
      </c>
      <c r="F113" s="89" t="str">
        <f>IF(D113&lt;&gt;"",IF($L$7="YES",IF($A113="N",_xll.BDP($E113,$L$6), "-"),_xll.BDP($E113,"Px " &amp; $L$6)),"")</f>
        <v/>
      </c>
      <c r="G113" s="43" t="str">
        <f>IF(D113&lt;&gt;"",_xll.BDP($E113,$G$20)*1,"")</f>
        <v/>
      </c>
      <c r="H113" s="93" t="str">
        <f>IF(D113&lt;&gt;"",IF($L$7="YES",IF($A113="N",_xll.BDP($E113,"Time"), "-"),_xll.BDP($E113,H$20)),"")</f>
        <v/>
      </c>
      <c r="I113" s="85" t="str">
        <f>_xll.BDP($L113, I$20)</f>
        <v>#N/A Invalid Security</v>
      </c>
      <c r="J113" s="14" t="str">
        <f t="shared" si="14"/>
        <v/>
      </c>
      <c r="K113" s="11" t="str">
        <f t="shared" si="15"/>
        <v/>
      </c>
      <c r="L113" s="18" t="str">
        <f t="shared" si="16"/>
        <v/>
      </c>
      <c r="M113" s="89" t="str">
        <f>IF(D113&lt;&gt;"",IF($L$7="YES",IF($I113="N",_xll.BDP($L113,$L$6), "-"),_xll.BDP($L113,"Px " &amp; $L$6)),"")</f>
        <v/>
      </c>
      <c r="N113" s="21" t="str">
        <f>IF(D113&lt;&gt;"",_xll.BDP($L113,$N$20)*1,"")</f>
        <v/>
      </c>
      <c r="O113" s="93" t="str">
        <f>IF(D113&lt;&gt;"",IF($L$7="YES",IF($I113="N",_xll.BDP($L113,"Time"), "-"),_xll.BDP($L113,O$20)),"")</f>
        <v/>
      </c>
      <c r="P113" s="126" t="e">
        <f t="shared" ca="1" si="18"/>
        <v>#VALUE!</v>
      </c>
      <c r="R113" s="32" t="s">
        <v>84</v>
      </c>
    </row>
    <row r="114" spans="1:18" ht="15" customHeight="1" x14ac:dyDescent="0.25">
      <c r="A114" s="85" t="str">
        <f>_xll.BDP($E114, A$20)</f>
        <v>#N/A Invalid Security</v>
      </c>
      <c r="B114" s="3"/>
      <c r="C114" s="13" t="str">
        <f t="shared" si="12"/>
        <v/>
      </c>
      <c r="D114" s="12" t="str">
        <f>IF(isvalidterm(R114,VLOOKUP($E$6,Data!$B$7:$G$114,5,FALSE),VLOOKUP($E$6,Data!$B$7:$G$114,6,FALSE)),R114,"")</f>
        <v/>
      </c>
      <c r="E114" s="17" t="str">
        <f t="shared" si="13"/>
        <v/>
      </c>
      <c r="F114" s="88" t="str">
        <f>IF(D114&lt;&gt;"",IF($L$7="YES",IF($A114="N",_xll.BDP($E114,$L$6), "-"),_xll.BDP($E114,"Px " &amp; $L$6)),"")</f>
        <v/>
      </c>
      <c r="G114" s="42" t="str">
        <f>IF(D114&lt;&gt;"",_xll.BDP($E114,$G$20)*1,"")</f>
        <v/>
      </c>
      <c r="H114" s="92" t="str">
        <f>IF(D114&lt;&gt;"",IF($L$7="YES",IF($A114="N",_xll.BDP($E114,"Time"), "-"),_xll.BDP($E114,H$20)),"")</f>
        <v/>
      </c>
      <c r="I114" s="85" t="str">
        <f>_xll.BDP($L114, I$20)</f>
        <v>#N/A Invalid Security</v>
      </c>
      <c r="J114" s="13" t="str">
        <f t="shared" si="14"/>
        <v/>
      </c>
      <c r="K114" s="12" t="str">
        <f t="shared" si="15"/>
        <v/>
      </c>
      <c r="L114" s="17" t="str">
        <f t="shared" si="16"/>
        <v/>
      </c>
      <c r="M114" s="88" t="str">
        <f>IF(D114&lt;&gt;"",IF($L$7="YES",IF($I114="N",_xll.BDP($L114,$L$6), "-"),_xll.BDP($L114,"Px " &amp; $L$6)),"")</f>
        <v/>
      </c>
      <c r="N114" s="20" t="str">
        <f>IF(D114&lt;&gt;"",_xll.BDP($L114,$N$20)*1,"")</f>
        <v/>
      </c>
      <c r="O114" s="92" t="str">
        <f>IF(D114&lt;&gt;"",IF($L$7="YES",IF($I114="N",_xll.BDP($L114,"Time"), "-"),_xll.BDP($L114,O$20)),"")</f>
        <v/>
      </c>
      <c r="P114" s="126" t="e">
        <f t="shared" ca="1" si="18"/>
        <v>#VALUE!</v>
      </c>
      <c r="R114" s="33" t="s">
        <v>85</v>
      </c>
    </row>
    <row r="115" spans="1:18" ht="15" customHeight="1" x14ac:dyDescent="0.25">
      <c r="A115" s="85" t="str">
        <f>_xll.BDP($E115, A$20)</f>
        <v>#N/A Invalid Security</v>
      </c>
      <c r="B115" s="3"/>
      <c r="C115" s="14" t="str">
        <f t="shared" si="12"/>
        <v/>
      </c>
      <c r="D115" s="11" t="str">
        <f>IF(isvalidterm(R115,VLOOKUP($E$6,Data!$B$7:$G$114,5,FALSE),VLOOKUP($E$6,Data!$B$7:$G$114,6,FALSE)),R115,"")</f>
        <v/>
      </c>
      <c r="E115" s="18" t="str">
        <f t="shared" si="13"/>
        <v/>
      </c>
      <c r="F115" s="89" t="str">
        <f>IF(D115&lt;&gt;"",IF($L$7="YES",IF($A115="N",_xll.BDP($E115,$L$6), "-"),_xll.BDP($E115,"Px " &amp; $L$6)),"")</f>
        <v/>
      </c>
      <c r="G115" s="43" t="str">
        <f>IF(D115&lt;&gt;"",_xll.BDP($E115,$G$20)*1,"")</f>
        <v/>
      </c>
      <c r="H115" s="93" t="str">
        <f>IF(D115&lt;&gt;"",IF($L$7="YES",IF($A115="N",_xll.BDP($E115,"Time"), "-"),_xll.BDP($E115,H$20)),"")</f>
        <v/>
      </c>
      <c r="I115" s="85" t="str">
        <f>_xll.BDP($L115, I$20)</f>
        <v>#N/A Invalid Security</v>
      </c>
      <c r="J115" s="14" t="str">
        <f t="shared" si="14"/>
        <v/>
      </c>
      <c r="K115" s="11" t="str">
        <f t="shared" si="15"/>
        <v/>
      </c>
      <c r="L115" s="18" t="str">
        <f t="shared" si="16"/>
        <v/>
      </c>
      <c r="M115" s="89" t="str">
        <f>IF(D115&lt;&gt;"",IF($L$7="YES",IF($I115="N",_xll.BDP($L115,$L$6), "-"),_xll.BDP($L115,"Px " &amp; $L$6)),"")</f>
        <v/>
      </c>
      <c r="N115" s="21" t="str">
        <f>IF(D115&lt;&gt;"",_xll.BDP($L115,$N$20)*1,"")</f>
        <v/>
      </c>
      <c r="O115" s="93" t="str">
        <f>IF(D115&lt;&gt;"",IF($L$7="YES",IF($I115="N",_xll.BDP($L115,"Time"), "-"),_xll.BDP($L115,O$20)),"")</f>
        <v/>
      </c>
      <c r="P115" s="126" t="e">
        <f t="shared" ca="1" si="18"/>
        <v>#VALUE!</v>
      </c>
      <c r="R115" s="32" t="s">
        <v>86</v>
      </c>
    </row>
    <row r="116" spans="1:18" ht="15" customHeight="1" x14ac:dyDescent="0.25">
      <c r="A116" s="85" t="str">
        <f>_xll.BDP($E116, A$20)</f>
        <v>#N/A Invalid Security</v>
      </c>
      <c r="B116" s="3"/>
      <c r="C116" s="15" t="str">
        <f t="shared" si="12"/>
        <v/>
      </c>
      <c r="D116" s="16" t="str">
        <f>IF(isvalidterm(R116,VLOOKUP($E$6,Data!$B$7:$G$114,5,FALSE),VLOOKUP($E$6,Data!$B$7:$G$114,6,FALSE)),R116,"")</f>
        <v/>
      </c>
      <c r="E116" s="19" t="str">
        <f t="shared" si="13"/>
        <v/>
      </c>
      <c r="F116" s="90" t="str">
        <f>IF(D116&lt;&gt;"",IF($L$7="YES",IF($A116="N",_xll.BDP($E116,$L$6), "-"),_xll.BDP($E116,"Px " &amp; $L$6)),"")</f>
        <v/>
      </c>
      <c r="G116" s="44" t="str">
        <f>IF(D116&lt;&gt;"",_xll.BDP($E116,$G$20)*1,"")</f>
        <v/>
      </c>
      <c r="H116" s="94" t="str">
        <f>IF(D116&lt;&gt;"",IF($L$7="YES",IF($A116="N",_xll.BDP($E116,"Time"), "-"),_xll.BDP($E116,H$20)),"")</f>
        <v/>
      </c>
      <c r="I116" s="85" t="str">
        <f>_xll.BDP($L116, I$20)</f>
        <v>#N/A Invalid Security</v>
      </c>
      <c r="J116" s="15" t="str">
        <f t="shared" si="14"/>
        <v/>
      </c>
      <c r="K116" s="16" t="str">
        <f t="shared" si="15"/>
        <v/>
      </c>
      <c r="L116" s="19" t="str">
        <f t="shared" si="16"/>
        <v/>
      </c>
      <c r="M116" s="90" t="str">
        <f>IF(D116&lt;&gt;"",IF($L$7="YES",IF($I116="N",_xll.BDP($L116,$L$6), "-"),_xll.BDP($L116,"Px " &amp; $L$6)),"")</f>
        <v/>
      </c>
      <c r="N116" s="22" t="str">
        <f>IF(D116&lt;&gt;"",_xll.BDP($L116,$N$20)*1,"")</f>
        <v/>
      </c>
      <c r="O116" s="94" t="str">
        <f>IF(D116&lt;&gt;"",IF($L$7="YES",IF($I116="N",_xll.BDP($L116,"Time"), "-"),_xll.BDP($L116,O$20)),"")</f>
        <v/>
      </c>
      <c r="P116" s="126" t="e">
        <f t="shared" ca="1" si="18"/>
        <v>#VALUE!</v>
      </c>
      <c r="R116" s="34" t="s">
        <v>36</v>
      </c>
    </row>
    <row r="117" spans="1:18" ht="15" customHeight="1" x14ac:dyDescent="0.25">
      <c r="B117" s="2"/>
      <c r="C117" s="2"/>
      <c r="D117" s="2"/>
      <c r="E117" s="2"/>
      <c r="F117" s="2"/>
      <c r="H117" s="2"/>
      <c r="I117" s="2"/>
      <c r="J117" s="2"/>
      <c r="K117" s="2"/>
      <c r="L117" s="2"/>
      <c r="N117" s="2"/>
      <c r="O117" s="2"/>
      <c r="R117" s="3"/>
    </row>
    <row r="118" spans="1:18" ht="15" customHeight="1" x14ac:dyDescent="0.25">
      <c r="B118" s="2"/>
      <c r="C118" s="2"/>
      <c r="D118" s="2"/>
      <c r="E118" s="2"/>
      <c r="F118" s="2"/>
      <c r="H118" s="2"/>
      <c r="I118" s="2"/>
      <c r="J118" s="2"/>
      <c r="K118" s="2"/>
      <c r="L118" s="2"/>
      <c r="N118" s="2"/>
      <c r="O118" s="2"/>
      <c r="R118" s="3"/>
    </row>
    <row r="119" spans="1:18" ht="15" customHeight="1" x14ac:dyDescent="0.25">
      <c r="B119" s="2"/>
      <c r="C119" s="2"/>
      <c r="D119" s="2"/>
      <c r="E119" s="2"/>
      <c r="F119" s="2"/>
      <c r="H119" s="2"/>
      <c r="I119" s="2"/>
      <c r="J119" s="2"/>
      <c r="K119" s="2"/>
      <c r="L119" s="2"/>
      <c r="N119" s="2"/>
      <c r="O119" s="2"/>
      <c r="R119" s="3"/>
    </row>
    <row r="120" spans="1:18" s="2" customFormat="1" ht="15" customHeight="1" x14ac:dyDescent="0.25"/>
    <row r="121" spans="1:18" s="2" customFormat="1" ht="15" customHeight="1" x14ac:dyDescent="0.25"/>
    <row r="122" spans="1:18" s="2" customFormat="1" ht="15" customHeight="1" x14ac:dyDescent="0.25"/>
    <row r="123" spans="1:18" s="2" customFormat="1" ht="15" customHeight="1" x14ac:dyDescent="0.25"/>
    <row r="124" spans="1:18" s="2" customFormat="1" ht="15" customHeight="1" x14ac:dyDescent="0.25"/>
    <row r="125" spans="1:18" s="2" customFormat="1" ht="15" customHeight="1" x14ac:dyDescent="0.25"/>
    <row r="126" spans="1:18" s="2" customFormat="1" ht="15" customHeight="1" x14ac:dyDescent="0.25"/>
    <row r="127" spans="1:18" s="2" customFormat="1" ht="15" customHeight="1" x14ac:dyDescent="0.25"/>
    <row r="128" spans="1:18" s="2" customFormat="1" ht="15" customHeight="1" x14ac:dyDescent="0.25"/>
    <row r="129" spans="7:15" ht="15" customHeight="1" x14ac:dyDescent="0.25">
      <c r="G129" s="1"/>
      <c r="H129" s="2"/>
      <c r="M129" s="1"/>
      <c r="O129" s="2"/>
    </row>
    <row r="130" spans="7:15" ht="15" customHeight="1" x14ac:dyDescent="0.25">
      <c r="G130" s="1"/>
      <c r="H130" s="2"/>
      <c r="M130" s="1"/>
      <c r="O130" s="2"/>
    </row>
    <row r="131" spans="7:15" ht="15" customHeight="1" x14ac:dyDescent="0.25">
      <c r="G131" s="1"/>
      <c r="H131" s="2"/>
      <c r="M131" s="1"/>
      <c r="O131" s="2"/>
    </row>
    <row r="132" spans="7:15" ht="15" customHeight="1" x14ac:dyDescent="0.25">
      <c r="G132" s="1"/>
      <c r="H132" s="2"/>
      <c r="M132" s="1"/>
      <c r="O132" s="2"/>
    </row>
    <row r="133" spans="7:15" ht="15" customHeight="1" x14ac:dyDescent="0.25">
      <c r="G133" s="1"/>
      <c r="H133" s="2"/>
      <c r="M133" s="1"/>
      <c r="O133" s="2"/>
    </row>
    <row r="134" spans="7:15" ht="15" customHeight="1" x14ac:dyDescent="0.25">
      <c r="G134" s="1"/>
      <c r="H134" s="2"/>
      <c r="M134" s="1"/>
      <c r="O134" s="2"/>
    </row>
    <row r="135" spans="7:15" ht="15" customHeight="1" x14ac:dyDescent="0.25">
      <c r="G135" s="1"/>
      <c r="H135" s="2"/>
      <c r="M135" s="1"/>
      <c r="O135" s="2"/>
    </row>
    <row r="136" spans="7:15" ht="15" customHeight="1" x14ac:dyDescent="0.25">
      <c r="G136" s="1"/>
      <c r="H136" s="2"/>
      <c r="M136" s="1"/>
      <c r="O136" s="2"/>
    </row>
    <row r="137" spans="7:15" ht="15" customHeight="1" x14ac:dyDescent="0.25">
      <c r="G137" s="1"/>
      <c r="H137" s="2"/>
      <c r="M137" s="1"/>
      <c r="O137" s="2"/>
    </row>
    <row r="138" spans="7:15" ht="15" customHeight="1" x14ac:dyDescent="0.25">
      <c r="G138" s="1"/>
      <c r="H138" s="2"/>
      <c r="M138" s="1"/>
      <c r="O138" s="2"/>
    </row>
    <row r="139" spans="7:15" ht="15" customHeight="1" x14ac:dyDescent="0.25">
      <c r="G139" s="1"/>
      <c r="H139" s="2"/>
      <c r="M139" s="1"/>
      <c r="O139" s="2"/>
    </row>
    <row r="140" spans="7:15" ht="15" customHeight="1" x14ac:dyDescent="0.25">
      <c r="G140" s="1"/>
      <c r="H140" s="2"/>
      <c r="M140" s="1"/>
      <c r="O140" s="2"/>
    </row>
    <row r="141" spans="7:15" ht="15" customHeight="1" x14ac:dyDescent="0.25">
      <c r="G141" s="1"/>
      <c r="H141" s="2"/>
      <c r="M141" s="1"/>
      <c r="O141" s="2"/>
    </row>
    <row r="142" spans="7:15" ht="15" customHeight="1" x14ac:dyDescent="0.25">
      <c r="G142" s="1"/>
      <c r="H142" s="2"/>
      <c r="M142" s="1"/>
      <c r="O142" s="2"/>
    </row>
    <row r="143" spans="7:15" ht="15" customHeight="1" x14ac:dyDescent="0.25">
      <c r="G143" s="1"/>
      <c r="H143" s="2"/>
      <c r="M143" s="1"/>
      <c r="O143" s="2"/>
    </row>
    <row r="144" spans="7:15" ht="15" customHeight="1" x14ac:dyDescent="0.25">
      <c r="G144" s="1"/>
      <c r="H144" s="2"/>
      <c r="M144" s="1"/>
      <c r="O144" s="2"/>
    </row>
    <row r="145" spans="7:15" ht="15" customHeight="1" x14ac:dyDescent="0.25">
      <c r="G145" s="1"/>
      <c r="H145" s="2"/>
      <c r="M145" s="1"/>
      <c r="O145" s="2"/>
    </row>
    <row r="146" spans="7:15" ht="15" customHeight="1" x14ac:dyDescent="0.25">
      <c r="G146" s="1"/>
      <c r="H146" s="2"/>
      <c r="M146" s="1"/>
      <c r="O146" s="2"/>
    </row>
    <row r="147" spans="7:15" ht="15" customHeight="1" x14ac:dyDescent="0.25">
      <c r="G147" s="1"/>
      <c r="H147" s="2"/>
      <c r="M147" s="1"/>
      <c r="O147" s="2"/>
    </row>
    <row r="148" spans="7:15" ht="15" customHeight="1" x14ac:dyDescent="0.25">
      <c r="G148" s="1"/>
      <c r="H148" s="2"/>
      <c r="M148" s="1"/>
      <c r="O148" s="2"/>
    </row>
    <row r="149" spans="7:15" ht="15" customHeight="1" x14ac:dyDescent="0.25">
      <c r="G149" s="1"/>
      <c r="H149" s="2"/>
      <c r="M149" s="1"/>
      <c r="O149" s="2"/>
    </row>
    <row r="150" spans="7:15" ht="15" customHeight="1" x14ac:dyDescent="0.25">
      <c r="G150" s="1"/>
      <c r="H150" s="2"/>
      <c r="M150" s="1"/>
      <c r="O150" s="2"/>
    </row>
    <row r="151" spans="7:15" ht="15" customHeight="1" x14ac:dyDescent="0.25">
      <c r="G151" s="1"/>
      <c r="H151" s="2"/>
      <c r="M151" s="1"/>
      <c r="O151" s="2"/>
    </row>
    <row r="152" spans="7:15" ht="15" customHeight="1" x14ac:dyDescent="0.25">
      <c r="G152" s="1"/>
      <c r="H152" s="2"/>
      <c r="M152" s="1"/>
      <c r="O152" s="2"/>
    </row>
    <row r="153" spans="7:15" ht="15" customHeight="1" x14ac:dyDescent="0.25">
      <c r="G153" s="1"/>
      <c r="H153" s="2"/>
      <c r="M153" s="1"/>
      <c r="O153" s="2"/>
    </row>
    <row r="154" spans="7:15" ht="15" customHeight="1" x14ac:dyDescent="0.25">
      <c r="G154" s="1"/>
      <c r="H154" s="2"/>
      <c r="M154" s="1"/>
      <c r="O154" s="2"/>
    </row>
    <row r="155" spans="7:15" ht="15" customHeight="1" x14ac:dyDescent="0.25">
      <c r="G155" s="1"/>
      <c r="H155" s="2"/>
      <c r="M155" s="1"/>
      <c r="O155" s="2"/>
    </row>
    <row r="156" spans="7:15" ht="15" customHeight="1" x14ac:dyDescent="0.25">
      <c r="G156" s="1"/>
      <c r="H156" s="2"/>
      <c r="M156" s="1"/>
      <c r="O156" s="2"/>
    </row>
    <row r="157" spans="7:15" ht="15" customHeight="1" x14ac:dyDescent="0.25">
      <c r="G157" s="1"/>
      <c r="H157" s="2"/>
      <c r="M157" s="1"/>
      <c r="O157" s="2"/>
    </row>
    <row r="158" spans="7:15" ht="15" customHeight="1" x14ac:dyDescent="0.25">
      <c r="G158" s="1"/>
      <c r="H158" s="2"/>
      <c r="M158" s="1"/>
      <c r="O158" s="2"/>
    </row>
    <row r="159" spans="7:15" ht="15" customHeight="1" x14ac:dyDescent="0.25">
      <c r="G159" s="1"/>
      <c r="H159" s="2"/>
      <c r="M159" s="1"/>
      <c r="O159" s="2"/>
    </row>
    <row r="160" spans="7:15" ht="15" customHeight="1" x14ac:dyDescent="0.25">
      <c r="G160" s="1"/>
      <c r="H160" s="2"/>
      <c r="M160" s="1"/>
      <c r="O160" s="2"/>
    </row>
    <row r="161" spans="7:15" ht="15" customHeight="1" x14ac:dyDescent="0.25">
      <c r="G161" s="1"/>
      <c r="H161" s="2"/>
      <c r="M161" s="1"/>
      <c r="O161" s="2"/>
    </row>
    <row r="162" spans="7:15" ht="15" customHeight="1" x14ac:dyDescent="0.25">
      <c r="G162" s="1"/>
      <c r="H162" s="2"/>
      <c r="M162" s="1"/>
      <c r="O162" s="2"/>
    </row>
    <row r="163" spans="7:15" ht="15" customHeight="1" x14ac:dyDescent="0.25">
      <c r="G163" s="1"/>
      <c r="H163" s="2"/>
      <c r="M163" s="1"/>
      <c r="O163" s="2"/>
    </row>
    <row r="164" spans="7:15" ht="15" customHeight="1" x14ac:dyDescent="0.25">
      <c r="G164" s="1"/>
      <c r="H164" s="2"/>
      <c r="M164" s="1"/>
      <c r="O164" s="2"/>
    </row>
    <row r="165" spans="7:15" ht="15" customHeight="1" x14ac:dyDescent="0.25">
      <c r="G165" s="1"/>
      <c r="H165" s="2"/>
      <c r="M165" s="1"/>
      <c r="O165" s="2"/>
    </row>
    <row r="166" spans="7:15" ht="15" customHeight="1" x14ac:dyDescent="0.25">
      <c r="G166" s="1"/>
      <c r="H166" s="2"/>
      <c r="M166" s="1"/>
      <c r="O166" s="2"/>
    </row>
    <row r="167" spans="7:15" ht="15" customHeight="1" x14ac:dyDescent="0.25">
      <c r="G167" s="1"/>
      <c r="H167" s="2"/>
      <c r="M167" s="1"/>
      <c r="O167" s="2"/>
    </row>
    <row r="168" spans="7:15" ht="15" customHeight="1" x14ac:dyDescent="0.25">
      <c r="G168" s="1"/>
      <c r="H168" s="2"/>
      <c r="M168" s="1"/>
      <c r="O168" s="2"/>
    </row>
    <row r="169" spans="7:15" ht="15" customHeight="1" x14ac:dyDescent="0.25">
      <c r="G169" s="1"/>
      <c r="H169" s="2"/>
      <c r="M169" s="1"/>
      <c r="O169" s="2"/>
    </row>
    <row r="170" spans="7:15" ht="15" customHeight="1" x14ac:dyDescent="0.25">
      <c r="G170" s="1"/>
      <c r="H170" s="2"/>
      <c r="M170" s="1"/>
      <c r="O170" s="2"/>
    </row>
    <row r="171" spans="7:15" ht="15" customHeight="1" x14ac:dyDescent="0.25">
      <c r="G171" s="1"/>
      <c r="H171" s="2"/>
      <c r="M171" s="1"/>
      <c r="O171" s="2"/>
    </row>
    <row r="172" spans="7:15" ht="15" customHeight="1" x14ac:dyDescent="0.25">
      <c r="G172" s="1"/>
      <c r="H172" s="2"/>
      <c r="M172" s="1"/>
      <c r="O172" s="2"/>
    </row>
    <row r="173" spans="7:15" ht="15" customHeight="1" x14ac:dyDescent="0.25">
      <c r="G173" s="1"/>
      <c r="H173" s="2"/>
      <c r="M173" s="1"/>
      <c r="O173" s="2"/>
    </row>
    <row r="174" spans="7:15" ht="15" customHeight="1" x14ac:dyDescent="0.25">
      <c r="G174" s="1"/>
      <c r="H174" s="2"/>
      <c r="M174" s="1"/>
      <c r="O174" s="2"/>
    </row>
    <row r="175" spans="7:15" ht="15" customHeight="1" x14ac:dyDescent="0.25">
      <c r="I175" s="2"/>
      <c r="M175" s="1"/>
    </row>
    <row r="176" spans="7:15" ht="15" customHeight="1" x14ac:dyDescent="0.25">
      <c r="M176" s="1"/>
      <c r="N176" s="2"/>
    </row>
    <row r="177" spans="13:14" ht="15" customHeight="1" x14ac:dyDescent="0.25">
      <c r="M177" s="1"/>
      <c r="N177" s="2"/>
    </row>
    <row r="178" spans="13:14" ht="15" customHeight="1" x14ac:dyDescent="0.25">
      <c r="M178" s="1"/>
      <c r="N178" s="2"/>
    </row>
    <row r="179" spans="13:14" ht="15" customHeight="1" x14ac:dyDescent="0.25">
      <c r="M179" s="1"/>
      <c r="N179" s="2"/>
    </row>
    <row r="180" spans="13:14" ht="15" customHeight="1" x14ac:dyDescent="0.25">
      <c r="M180" s="1"/>
      <c r="N180" s="2"/>
    </row>
    <row r="181" spans="13:14" ht="15" customHeight="1" x14ac:dyDescent="0.25">
      <c r="M181" s="1"/>
      <c r="N181" s="2"/>
    </row>
    <row r="182" spans="13:14" ht="15" customHeight="1" x14ac:dyDescent="0.25">
      <c r="M182" s="1"/>
      <c r="N182" s="2"/>
    </row>
    <row r="183" spans="13:14" ht="15" customHeight="1" x14ac:dyDescent="0.25">
      <c r="M183" s="1"/>
      <c r="N183" s="2"/>
    </row>
    <row r="184" spans="13:14" ht="15" customHeight="1" x14ac:dyDescent="0.25">
      <c r="M184" s="1"/>
      <c r="N184" s="2"/>
    </row>
    <row r="185" spans="13:14" ht="15" customHeight="1" x14ac:dyDescent="0.25">
      <c r="M185" s="1"/>
      <c r="N185" s="2"/>
    </row>
    <row r="186" spans="13:14" ht="15" customHeight="1" x14ac:dyDescent="0.25">
      <c r="M186" s="1"/>
      <c r="N186" s="2"/>
    </row>
    <row r="187" spans="13:14" ht="15" customHeight="1" x14ac:dyDescent="0.25">
      <c r="M187" s="1"/>
      <c r="N187" s="2"/>
    </row>
    <row r="188" spans="13:14" ht="15" customHeight="1" x14ac:dyDescent="0.25">
      <c r="M188" s="1"/>
      <c r="N188" s="2"/>
    </row>
    <row r="189" spans="13:14" ht="15" customHeight="1" x14ac:dyDescent="0.25">
      <c r="M189" s="1"/>
      <c r="N189" s="2"/>
    </row>
    <row r="190" spans="13:14" ht="15" customHeight="1" x14ac:dyDescent="0.25">
      <c r="M190" s="1"/>
      <c r="N190" s="2"/>
    </row>
    <row r="191" spans="13:14" ht="15" customHeight="1" x14ac:dyDescent="0.25">
      <c r="M191" s="1"/>
      <c r="N191" s="2"/>
    </row>
    <row r="192" spans="13:14" ht="15" customHeight="1" x14ac:dyDescent="0.25">
      <c r="M192" s="1"/>
      <c r="N192" s="2"/>
    </row>
    <row r="193" spans="13:14" ht="15" customHeight="1" x14ac:dyDescent="0.25">
      <c r="M193" s="1"/>
      <c r="N193" s="2"/>
    </row>
    <row r="194" spans="13:14" ht="15" customHeight="1" x14ac:dyDescent="0.25">
      <c r="M194" s="1"/>
      <c r="N194" s="2"/>
    </row>
    <row r="195" spans="13:14" ht="15" customHeight="1" x14ac:dyDescent="0.25">
      <c r="M195" s="1"/>
      <c r="N195" s="2"/>
    </row>
    <row r="196" spans="13:14" ht="15" customHeight="1" x14ac:dyDescent="0.25">
      <c r="M196" s="1"/>
      <c r="N196" s="2"/>
    </row>
    <row r="197" spans="13:14" ht="15" customHeight="1" x14ac:dyDescent="0.25">
      <c r="M197" s="1"/>
      <c r="N197" s="2"/>
    </row>
    <row r="198" spans="13:14" ht="15" customHeight="1" x14ac:dyDescent="0.25">
      <c r="M198" s="1"/>
      <c r="N198" s="2"/>
    </row>
    <row r="199" spans="13:14" ht="15" customHeight="1" x14ac:dyDescent="0.25">
      <c r="M199" s="1"/>
      <c r="N199" s="2"/>
    </row>
    <row r="200" spans="13:14" ht="15" customHeight="1" x14ac:dyDescent="0.25">
      <c r="M200" s="1"/>
      <c r="N200" s="2"/>
    </row>
    <row r="201" spans="13:14" ht="15" customHeight="1" x14ac:dyDescent="0.25">
      <c r="M201" s="1"/>
      <c r="N201" s="2"/>
    </row>
    <row r="202" spans="13:14" ht="15" customHeight="1" x14ac:dyDescent="0.25">
      <c r="M202" s="1"/>
      <c r="N202" s="2"/>
    </row>
    <row r="203" spans="13:14" ht="15" customHeight="1" x14ac:dyDescent="0.25">
      <c r="M203" s="1"/>
      <c r="N203" s="2"/>
    </row>
    <row r="204" spans="13:14" ht="15" customHeight="1" x14ac:dyDescent="0.25">
      <c r="M204" s="1"/>
      <c r="N204" s="2"/>
    </row>
    <row r="205" spans="13:14" ht="15" customHeight="1" x14ac:dyDescent="0.25">
      <c r="M205" s="1"/>
      <c r="N205" s="2"/>
    </row>
    <row r="206" spans="13:14" ht="15" customHeight="1" x14ac:dyDescent="0.25">
      <c r="M206" s="1"/>
      <c r="N206" s="2"/>
    </row>
    <row r="207" spans="13:14" ht="15" customHeight="1" x14ac:dyDescent="0.25">
      <c r="M207" s="1"/>
      <c r="N207" s="2"/>
    </row>
    <row r="208" spans="13:14" ht="15" customHeight="1" x14ac:dyDescent="0.25">
      <c r="M208" s="1"/>
      <c r="N208" s="2"/>
    </row>
    <row r="209" spans="13:14" ht="15" customHeight="1" x14ac:dyDescent="0.25">
      <c r="M209" s="1"/>
      <c r="N209" s="2"/>
    </row>
    <row r="210" spans="13:14" ht="15" customHeight="1" x14ac:dyDescent="0.25">
      <c r="M210" s="1"/>
      <c r="N210" s="2"/>
    </row>
    <row r="211" spans="13:14" ht="15" customHeight="1" x14ac:dyDescent="0.25">
      <c r="M211" s="1"/>
      <c r="N211" s="2"/>
    </row>
    <row r="212" spans="13:14" ht="15" customHeight="1" x14ac:dyDescent="0.25">
      <c r="M212" s="1"/>
      <c r="N212" s="2"/>
    </row>
    <row r="213" spans="13:14" ht="15" customHeight="1" x14ac:dyDescent="0.25">
      <c r="M213" s="1"/>
      <c r="N213" s="2"/>
    </row>
    <row r="214" spans="13:14" ht="15" customHeight="1" x14ac:dyDescent="0.25">
      <c r="M214" s="1"/>
      <c r="N214" s="2"/>
    </row>
    <row r="215" spans="13:14" ht="15" customHeight="1" x14ac:dyDescent="0.25">
      <c r="M215" s="1"/>
      <c r="N215" s="2"/>
    </row>
    <row r="216" spans="13:14" ht="15" customHeight="1" x14ac:dyDescent="0.25">
      <c r="M216" s="1"/>
      <c r="N216" s="2"/>
    </row>
    <row r="217" spans="13:14" ht="15" customHeight="1" x14ac:dyDescent="0.25">
      <c r="M217" s="1"/>
      <c r="N217" s="2"/>
    </row>
    <row r="218" spans="13:14" ht="15" customHeight="1" x14ac:dyDescent="0.25">
      <c r="M218" s="1"/>
      <c r="N218" s="2"/>
    </row>
    <row r="219" spans="13:14" ht="15" customHeight="1" x14ac:dyDescent="0.25">
      <c r="M219" s="1"/>
      <c r="N219" s="2"/>
    </row>
    <row r="220" spans="13:14" ht="15" customHeight="1" x14ac:dyDescent="0.25"/>
    <row r="221" spans="13:14" ht="15" customHeight="1" x14ac:dyDescent="0.25"/>
    <row r="222" spans="13:14" ht="15" customHeight="1" x14ac:dyDescent="0.25"/>
    <row r="223" spans="13:14" ht="15" customHeight="1" x14ac:dyDescent="0.25"/>
    <row r="224" spans="13:1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sheetData>
  <sortState xmlns:xlrd2="http://schemas.microsoft.com/office/spreadsheetml/2017/richdata2" ref="C21:S116">
    <sortCondition ref="G21"/>
  </sortState>
  <mergeCells count="8">
    <mergeCell ref="C19:H19"/>
    <mergeCell ref="J19:O19"/>
    <mergeCell ref="C6:D6"/>
    <mergeCell ref="L13:M13"/>
    <mergeCell ref="C11:O11"/>
    <mergeCell ref="J7:K7"/>
    <mergeCell ref="C7:D7"/>
    <mergeCell ref="J6:K6"/>
  </mergeCells>
  <dataValidations count="2">
    <dataValidation type="list" allowBlank="1" showInputMessage="1" showErrorMessage="1" sqref="L6" xr:uid="{00000000-0002-0000-0000-000000000000}">
      <formula1>"Bid,Ask"</formula1>
    </dataValidation>
    <dataValidation type="list" allowBlank="1" showInputMessage="1" showErrorMessage="1" sqref="L7" xr:uid="{00000000-0002-0000-0000-000001000000}">
      <formula1>"No,Yes"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autoPict="0" r:id="rId5">
            <anchor moveWithCells="1">
              <from>
                <xdr:col>13</xdr:col>
                <xdr:colOff>762000</xdr:colOff>
                <xdr:row>15</xdr:row>
                <xdr:rowOff>95250</xdr:rowOff>
              </from>
              <to>
                <xdr:col>15</xdr:col>
                <xdr:colOff>28575</xdr:colOff>
                <xdr:row>16</xdr:row>
                <xdr:rowOff>180975</xdr:rowOff>
              </to>
            </anchor>
          </controlPr>
        </control>
      </mc:Choice>
      <mc:Fallback>
        <control shapeId="1025" r:id="rId4"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Data!$B$7:$B$114</xm:f>
          </x14:formula1>
          <xm:sqref>E6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G114"/>
  <sheetViews>
    <sheetView showGridLines="0" workbookViewId="0">
      <pane ySplit="6" topLeftCell="A98" activePane="bottomLeft" state="frozen"/>
      <selection pane="bottomLeft" activeCell="B114" sqref="B7:B114"/>
    </sheetView>
  </sheetViews>
  <sheetFormatPr baseColWidth="10" defaultColWidth="9.140625" defaultRowHeight="12.75" x14ac:dyDescent="0.2"/>
  <cols>
    <col min="1" max="1" width="1.7109375" customWidth="1"/>
    <col min="2" max="2" width="16.42578125" bestFit="1" customWidth="1"/>
    <col min="3" max="3" width="8.28515625" bestFit="1" customWidth="1"/>
    <col min="4" max="4" width="16.5703125" bestFit="1" customWidth="1"/>
    <col min="5" max="5" width="10.28515625" bestFit="1" customWidth="1"/>
    <col min="6" max="6" width="10.140625" bestFit="1" customWidth="1"/>
    <col min="7" max="7" width="10" bestFit="1" customWidth="1"/>
  </cols>
  <sheetData>
    <row r="1" spans="2:7" ht="5.0999999999999996" customHeight="1" x14ac:dyDescent="0.2"/>
    <row r="2" spans="2:7" ht="15" customHeight="1" x14ac:dyDescent="0.2"/>
    <row r="3" spans="2:7" ht="15" customHeight="1" x14ac:dyDescent="0.2"/>
    <row r="4" spans="2:7" ht="15" customHeight="1" x14ac:dyDescent="0.2"/>
    <row r="5" spans="2:7" ht="5.0999999999999996" customHeight="1" x14ac:dyDescent="0.2"/>
    <row r="6" spans="2:7" ht="15" x14ac:dyDescent="0.2">
      <c r="B6" s="28" t="s">
        <v>0</v>
      </c>
      <c r="C6" s="27" t="s">
        <v>1</v>
      </c>
      <c r="D6" s="27" t="s">
        <v>54</v>
      </c>
      <c r="E6" s="27" t="s">
        <v>87</v>
      </c>
      <c r="F6" s="27" t="s">
        <v>99</v>
      </c>
      <c r="G6" s="7" t="s">
        <v>53</v>
      </c>
    </row>
    <row r="7" spans="2:7" ht="15" x14ac:dyDescent="0.2">
      <c r="B7" s="14" t="s">
        <v>118</v>
      </c>
      <c r="C7" s="11">
        <v>336</v>
      </c>
      <c r="D7" s="11">
        <v>96</v>
      </c>
      <c r="E7" s="11">
        <v>1</v>
      </c>
      <c r="F7" s="11" t="s">
        <v>4</v>
      </c>
      <c r="G7" s="29" t="s">
        <v>36</v>
      </c>
    </row>
    <row r="8" spans="2:7" ht="15" x14ac:dyDescent="0.2">
      <c r="B8" s="13" t="s">
        <v>119</v>
      </c>
      <c r="C8" s="12">
        <v>334</v>
      </c>
      <c r="D8" s="12">
        <v>96</v>
      </c>
      <c r="E8" s="12">
        <v>1</v>
      </c>
      <c r="F8" s="12" t="s">
        <v>4</v>
      </c>
      <c r="G8" s="30" t="s">
        <v>36</v>
      </c>
    </row>
    <row r="9" spans="2:7" ht="15" x14ac:dyDescent="0.2">
      <c r="B9" s="14" t="s">
        <v>120</v>
      </c>
      <c r="C9" s="11">
        <v>230</v>
      </c>
      <c r="D9" s="11">
        <v>96</v>
      </c>
      <c r="E9" s="11">
        <v>1</v>
      </c>
      <c r="F9" s="11" t="s">
        <v>4</v>
      </c>
      <c r="G9" s="29" t="s">
        <v>36</v>
      </c>
    </row>
    <row r="10" spans="2:7" ht="15" x14ac:dyDescent="0.2">
      <c r="B10" s="13" t="s">
        <v>121</v>
      </c>
      <c r="C10" s="12">
        <v>335</v>
      </c>
      <c r="D10" s="12">
        <v>96</v>
      </c>
      <c r="E10" s="12">
        <v>1</v>
      </c>
      <c r="F10" s="12" t="s">
        <v>4</v>
      </c>
      <c r="G10" s="30" t="s">
        <v>36</v>
      </c>
    </row>
    <row r="11" spans="2:7" ht="15" x14ac:dyDescent="0.2">
      <c r="B11" s="14" t="s">
        <v>122</v>
      </c>
      <c r="C11" s="11">
        <v>216</v>
      </c>
      <c r="D11" s="11">
        <v>44</v>
      </c>
      <c r="E11" s="11">
        <v>1</v>
      </c>
      <c r="F11" s="11" t="s">
        <v>4</v>
      </c>
      <c r="G11" s="29" t="s">
        <v>25</v>
      </c>
    </row>
    <row r="12" spans="2:7" ht="15" x14ac:dyDescent="0.2">
      <c r="B12" s="13" t="s">
        <v>123</v>
      </c>
      <c r="C12" s="12">
        <v>306</v>
      </c>
      <c r="D12" s="12">
        <v>96</v>
      </c>
      <c r="E12" s="12">
        <v>1</v>
      </c>
      <c r="F12" s="12" t="s">
        <v>4</v>
      </c>
      <c r="G12" s="30" t="s">
        <v>36</v>
      </c>
    </row>
    <row r="13" spans="2:7" ht="15" x14ac:dyDescent="0.2">
      <c r="B13" s="14" t="s">
        <v>124</v>
      </c>
      <c r="C13" s="11">
        <v>303</v>
      </c>
      <c r="D13" s="11">
        <v>96</v>
      </c>
      <c r="E13" s="11">
        <v>1</v>
      </c>
      <c r="F13" s="11" t="s">
        <v>4</v>
      </c>
      <c r="G13" s="29" t="s">
        <v>36</v>
      </c>
    </row>
    <row r="14" spans="2:7" ht="15" x14ac:dyDescent="0.2">
      <c r="B14" s="13" t="s">
        <v>125</v>
      </c>
      <c r="C14" s="12">
        <v>302</v>
      </c>
      <c r="D14" s="12">
        <v>96</v>
      </c>
      <c r="E14" s="12">
        <v>1</v>
      </c>
      <c r="F14" s="12" t="s">
        <v>4</v>
      </c>
      <c r="G14" s="30" t="s">
        <v>36</v>
      </c>
    </row>
    <row r="15" spans="2:7" ht="15" x14ac:dyDescent="0.2">
      <c r="B15" s="14" t="s">
        <v>126</v>
      </c>
      <c r="C15" s="11">
        <v>1</v>
      </c>
      <c r="D15" s="11">
        <v>76</v>
      </c>
      <c r="E15" s="11">
        <v>1</v>
      </c>
      <c r="F15" s="11" t="s">
        <v>4</v>
      </c>
      <c r="G15" s="29" t="s">
        <v>34</v>
      </c>
    </row>
    <row r="16" spans="2:7" ht="15" x14ac:dyDescent="0.2">
      <c r="B16" s="13" t="s">
        <v>127</v>
      </c>
      <c r="C16" s="12">
        <v>183</v>
      </c>
      <c r="D16" s="12">
        <v>56</v>
      </c>
      <c r="E16" s="12">
        <v>1</v>
      </c>
      <c r="F16" s="12" t="s">
        <v>4</v>
      </c>
      <c r="G16" s="30" t="s">
        <v>28</v>
      </c>
    </row>
    <row r="17" spans="2:7" ht="15" x14ac:dyDescent="0.2">
      <c r="B17" s="14" t="s">
        <v>128</v>
      </c>
      <c r="C17" s="11">
        <v>316</v>
      </c>
      <c r="D17" s="11">
        <v>96</v>
      </c>
      <c r="E17" s="11">
        <v>1</v>
      </c>
      <c r="F17" s="11" t="s">
        <v>4</v>
      </c>
      <c r="G17" s="29" t="s">
        <v>36</v>
      </c>
    </row>
    <row r="18" spans="2:7" ht="15" x14ac:dyDescent="0.2">
      <c r="B18" s="13" t="s">
        <v>129</v>
      </c>
      <c r="C18" s="12">
        <v>89</v>
      </c>
      <c r="D18" s="12">
        <v>66</v>
      </c>
      <c r="E18" s="12">
        <v>1</v>
      </c>
      <c r="F18" s="12" t="s">
        <v>4</v>
      </c>
      <c r="G18" s="30" t="s">
        <v>32</v>
      </c>
    </row>
    <row r="19" spans="2:7" ht="15" x14ac:dyDescent="0.2">
      <c r="B19" s="14" t="s">
        <v>130</v>
      </c>
      <c r="C19" s="11">
        <v>330</v>
      </c>
      <c r="D19" s="11">
        <v>96</v>
      </c>
      <c r="E19" s="11">
        <v>1</v>
      </c>
      <c r="F19" s="11" t="s">
        <v>4</v>
      </c>
      <c r="G19" s="29" t="s">
        <v>36</v>
      </c>
    </row>
    <row r="20" spans="2:7" ht="15" x14ac:dyDescent="0.2">
      <c r="B20" s="13" t="s">
        <v>131</v>
      </c>
      <c r="C20" s="12">
        <v>4</v>
      </c>
      <c r="D20" s="12">
        <v>76</v>
      </c>
      <c r="E20" s="12">
        <v>1</v>
      </c>
      <c r="F20" s="12" t="s">
        <v>4</v>
      </c>
      <c r="G20" s="30" t="s">
        <v>34</v>
      </c>
    </row>
    <row r="21" spans="2:7" ht="15" x14ac:dyDescent="0.2">
      <c r="B21" s="14" t="s">
        <v>132</v>
      </c>
      <c r="C21" s="11">
        <v>147</v>
      </c>
      <c r="D21" s="11">
        <v>96</v>
      </c>
      <c r="E21" s="11">
        <v>1</v>
      </c>
      <c r="F21" s="11" t="s">
        <v>4</v>
      </c>
      <c r="G21" s="29" t="s">
        <v>36</v>
      </c>
    </row>
    <row r="22" spans="2:7" ht="15" x14ac:dyDescent="0.2">
      <c r="B22" s="13" t="s">
        <v>133</v>
      </c>
      <c r="C22" s="12">
        <v>340</v>
      </c>
      <c r="D22" s="12">
        <v>96</v>
      </c>
      <c r="E22" s="12">
        <v>1</v>
      </c>
      <c r="F22" s="12" t="s">
        <v>4</v>
      </c>
      <c r="G22" s="30" t="s">
        <v>36</v>
      </c>
    </row>
    <row r="23" spans="2:7" ht="15" x14ac:dyDescent="0.2">
      <c r="B23" s="14" t="s">
        <v>134</v>
      </c>
      <c r="C23" s="11">
        <v>254</v>
      </c>
      <c r="D23" s="11">
        <v>96</v>
      </c>
      <c r="E23" s="11">
        <v>1</v>
      </c>
      <c r="F23" s="11" t="s">
        <v>4</v>
      </c>
      <c r="G23" s="29" t="s">
        <v>36</v>
      </c>
    </row>
    <row r="24" spans="2:7" ht="15" x14ac:dyDescent="0.2">
      <c r="B24" s="13" t="s">
        <v>135</v>
      </c>
      <c r="C24" s="12">
        <v>21</v>
      </c>
      <c r="D24" s="12">
        <v>76</v>
      </c>
      <c r="E24" s="12">
        <v>1</v>
      </c>
      <c r="F24" s="12" t="s">
        <v>4</v>
      </c>
      <c r="G24" s="30" t="s">
        <v>34</v>
      </c>
    </row>
    <row r="25" spans="2:7" ht="15" x14ac:dyDescent="0.2">
      <c r="B25" s="14" t="s">
        <v>136</v>
      </c>
      <c r="C25" s="11">
        <v>234</v>
      </c>
      <c r="D25" s="11">
        <v>96</v>
      </c>
      <c r="E25" s="11">
        <v>1</v>
      </c>
      <c r="F25" s="11" t="s">
        <v>4</v>
      </c>
      <c r="G25" s="29" t="s">
        <v>36</v>
      </c>
    </row>
    <row r="26" spans="2:7" ht="15" x14ac:dyDescent="0.2">
      <c r="B26" s="13" t="s">
        <v>137</v>
      </c>
      <c r="C26" s="12">
        <v>193</v>
      </c>
      <c r="D26" s="12">
        <v>58</v>
      </c>
      <c r="E26" s="12">
        <v>1</v>
      </c>
      <c r="F26" s="12" t="s">
        <v>4</v>
      </c>
      <c r="G26" s="30" t="s">
        <v>32</v>
      </c>
    </row>
    <row r="27" spans="2:7" ht="15" x14ac:dyDescent="0.2">
      <c r="B27" s="14" t="s">
        <v>138</v>
      </c>
      <c r="C27" s="11">
        <v>326</v>
      </c>
      <c r="D27" s="11">
        <v>96</v>
      </c>
      <c r="E27" s="11">
        <v>1</v>
      </c>
      <c r="F27" s="11" t="s">
        <v>4</v>
      </c>
      <c r="G27" s="29" t="s">
        <v>36</v>
      </c>
    </row>
    <row r="28" spans="2:7" ht="15" x14ac:dyDescent="0.2">
      <c r="B28" s="13" t="s">
        <v>139</v>
      </c>
      <c r="C28" s="12">
        <v>182</v>
      </c>
      <c r="D28" s="12">
        <v>96</v>
      </c>
      <c r="E28" s="12">
        <v>1</v>
      </c>
      <c r="F28" s="12" t="s">
        <v>4</v>
      </c>
      <c r="G28" s="30" t="s">
        <v>36</v>
      </c>
    </row>
    <row r="29" spans="2:7" ht="15" x14ac:dyDescent="0.2">
      <c r="B29" s="14" t="s">
        <v>140</v>
      </c>
      <c r="C29" s="11">
        <v>60</v>
      </c>
      <c r="D29" s="11">
        <v>96</v>
      </c>
      <c r="E29" s="11">
        <v>1</v>
      </c>
      <c r="F29" s="11" t="s">
        <v>4</v>
      </c>
      <c r="G29" s="29" t="s">
        <v>36</v>
      </c>
    </row>
    <row r="30" spans="2:7" ht="15" x14ac:dyDescent="0.2">
      <c r="B30" s="13" t="s">
        <v>141</v>
      </c>
      <c r="C30" s="12">
        <v>181</v>
      </c>
      <c r="D30" s="12">
        <v>56</v>
      </c>
      <c r="E30" s="12">
        <v>1</v>
      </c>
      <c r="F30" s="12" t="s">
        <v>4</v>
      </c>
      <c r="G30" s="30" t="s">
        <v>28</v>
      </c>
    </row>
    <row r="31" spans="2:7" ht="15" x14ac:dyDescent="0.2">
      <c r="B31" s="14" t="s">
        <v>142</v>
      </c>
      <c r="C31" s="11">
        <v>200</v>
      </c>
      <c r="D31" s="11">
        <v>96</v>
      </c>
      <c r="E31" s="11">
        <v>1</v>
      </c>
      <c r="F31" s="11" t="s">
        <v>4</v>
      </c>
      <c r="G31" s="29" t="s">
        <v>36</v>
      </c>
    </row>
    <row r="32" spans="2:7" ht="15" x14ac:dyDescent="0.2">
      <c r="B32" s="13" t="s">
        <v>143</v>
      </c>
      <c r="C32" s="12">
        <v>328</v>
      </c>
      <c r="D32" s="12">
        <v>96</v>
      </c>
      <c r="E32" s="12">
        <v>1</v>
      </c>
      <c r="F32" s="12" t="s">
        <v>4</v>
      </c>
      <c r="G32" s="30" t="s">
        <v>36</v>
      </c>
    </row>
    <row r="33" spans="2:7" ht="15" x14ac:dyDescent="0.2">
      <c r="B33" s="14" t="s">
        <v>144</v>
      </c>
      <c r="C33" s="11">
        <v>362</v>
      </c>
      <c r="D33" s="11">
        <v>96</v>
      </c>
      <c r="E33" s="11">
        <v>1</v>
      </c>
      <c r="F33" s="11" t="s">
        <v>4</v>
      </c>
      <c r="G33" s="29" t="s">
        <v>36</v>
      </c>
    </row>
    <row r="34" spans="2:7" ht="15" x14ac:dyDescent="0.2">
      <c r="B34" s="13" t="s">
        <v>145</v>
      </c>
      <c r="C34" s="12">
        <v>228</v>
      </c>
      <c r="D34" s="12">
        <v>96</v>
      </c>
      <c r="E34" s="12">
        <v>1</v>
      </c>
      <c r="F34" s="12" t="s">
        <v>4</v>
      </c>
      <c r="G34" s="30" t="s">
        <v>36</v>
      </c>
    </row>
    <row r="35" spans="2:7" ht="15" x14ac:dyDescent="0.2">
      <c r="B35" s="14" t="s">
        <v>146</v>
      </c>
      <c r="C35" s="11">
        <v>191</v>
      </c>
      <c r="D35" s="11">
        <v>55</v>
      </c>
      <c r="E35" s="11">
        <v>6</v>
      </c>
      <c r="F35" s="11" t="s">
        <v>37</v>
      </c>
      <c r="G35" s="29" t="s">
        <v>31</v>
      </c>
    </row>
    <row r="36" spans="2:7" ht="15" x14ac:dyDescent="0.2">
      <c r="B36" s="13" t="s">
        <v>147</v>
      </c>
      <c r="C36" s="12">
        <v>329</v>
      </c>
      <c r="D36" s="12">
        <v>96</v>
      </c>
      <c r="E36" s="12">
        <v>1</v>
      </c>
      <c r="F36" s="12" t="s">
        <v>4</v>
      </c>
      <c r="G36" s="30" t="s">
        <v>36</v>
      </c>
    </row>
    <row r="37" spans="2:7" ht="15" x14ac:dyDescent="0.2">
      <c r="B37" s="14" t="s">
        <v>148</v>
      </c>
      <c r="C37" s="11">
        <v>319</v>
      </c>
      <c r="D37" s="11">
        <v>96</v>
      </c>
      <c r="E37" s="11">
        <v>1</v>
      </c>
      <c r="F37" s="11" t="s">
        <v>4</v>
      </c>
      <c r="G37" s="29" t="s">
        <v>36</v>
      </c>
    </row>
    <row r="38" spans="2:7" ht="15" x14ac:dyDescent="0.2">
      <c r="B38" s="13" t="s">
        <v>149</v>
      </c>
      <c r="C38" s="12">
        <v>320</v>
      </c>
      <c r="D38" s="12">
        <v>96</v>
      </c>
      <c r="E38" s="12">
        <v>1</v>
      </c>
      <c r="F38" s="12" t="s">
        <v>4</v>
      </c>
      <c r="G38" s="30" t="s">
        <v>36</v>
      </c>
    </row>
    <row r="39" spans="2:7" ht="15" x14ac:dyDescent="0.2">
      <c r="B39" s="14" t="s">
        <v>150</v>
      </c>
      <c r="C39" s="11">
        <v>37</v>
      </c>
      <c r="D39" s="11">
        <v>76</v>
      </c>
      <c r="E39" s="11">
        <v>1</v>
      </c>
      <c r="F39" s="11" t="s">
        <v>4</v>
      </c>
      <c r="G39" s="29" t="s">
        <v>34</v>
      </c>
    </row>
    <row r="40" spans="2:7" ht="15" x14ac:dyDescent="0.2">
      <c r="B40" s="13" t="s">
        <v>151</v>
      </c>
      <c r="C40" s="12">
        <v>337</v>
      </c>
      <c r="D40" s="12">
        <v>96</v>
      </c>
      <c r="E40" s="12">
        <v>1</v>
      </c>
      <c r="F40" s="12" t="s">
        <v>4</v>
      </c>
      <c r="G40" s="30" t="s">
        <v>36</v>
      </c>
    </row>
    <row r="41" spans="2:7" ht="15" x14ac:dyDescent="0.2">
      <c r="B41" s="14" t="s">
        <v>152</v>
      </c>
      <c r="C41" s="11">
        <v>338</v>
      </c>
      <c r="D41" s="11">
        <v>96</v>
      </c>
      <c r="E41" s="11">
        <v>1</v>
      </c>
      <c r="F41" s="11" t="s">
        <v>4</v>
      </c>
      <c r="G41" s="29" t="s">
        <v>36</v>
      </c>
    </row>
    <row r="42" spans="2:7" ht="15" x14ac:dyDescent="0.2">
      <c r="B42" s="13" t="s">
        <v>153</v>
      </c>
      <c r="C42" s="12">
        <v>5</v>
      </c>
      <c r="D42" s="12">
        <v>76</v>
      </c>
      <c r="E42" s="12">
        <v>1</v>
      </c>
      <c r="F42" s="12" t="s">
        <v>4</v>
      </c>
      <c r="G42" s="30" t="s">
        <v>34</v>
      </c>
    </row>
    <row r="43" spans="2:7" ht="15" x14ac:dyDescent="0.2">
      <c r="B43" s="14" t="s">
        <v>154</v>
      </c>
      <c r="C43" s="11">
        <v>339</v>
      </c>
      <c r="D43" s="11">
        <v>96</v>
      </c>
      <c r="E43" s="11">
        <v>1</v>
      </c>
      <c r="F43" s="11" t="s">
        <v>4</v>
      </c>
      <c r="G43" s="29" t="s">
        <v>36</v>
      </c>
    </row>
    <row r="44" spans="2:7" ht="15" x14ac:dyDescent="0.2">
      <c r="B44" s="13" t="s">
        <v>155</v>
      </c>
      <c r="C44" s="12">
        <v>186</v>
      </c>
      <c r="D44" s="12">
        <v>96</v>
      </c>
      <c r="E44" s="12">
        <v>1</v>
      </c>
      <c r="F44" s="12" t="s">
        <v>4</v>
      </c>
      <c r="G44" s="30" t="s">
        <v>36</v>
      </c>
    </row>
    <row r="45" spans="2:7" ht="15" x14ac:dyDescent="0.2">
      <c r="B45" s="14" t="s">
        <v>156</v>
      </c>
      <c r="C45" s="11">
        <v>314</v>
      </c>
      <c r="D45" s="11">
        <v>96</v>
      </c>
      <c r="E45" s="11">
        <v>1</v>
      </c>
      <c r="F45" s="11" t="s">
        <v>4</v>
      </c>
      <c r="G45" s="29" t="s">
        <v>36</v>
      </c>
    </row>
    <row r="46" spans="2:7" ht="15" x14ac:dyDescent="0.2">
      <c r="B46" s="13" t="s">
        <v>157</v>
      </c>
      <c r="C46" s="12">
        <v>232</v>
      </c>
      <c r="D46" s="12">
        <v>96</v>
      </c>
      <c r="E46" s="12">
        <v>1</v>
      </c>
      <c r="F46" s="12" t="s">
        <v>4</v>
      </c>
      <c r="G46" s="30" t="s">
        <v>36</v>
      </c>
    </row>
    <row r="47" spans="2:7" ht="15" x14ac:dyDescent="0.2">
      <c r="B47" s="14" t="s">
        <v>158</v>
      </c>
      <c r="C47" s="11">
        <v>201</v>
      </c>
      <c r="D47" s="11">
        <v>96</v>
      </c>
      <c r="E47" s="11">
        <v>1</v>
      </c>
      <c r="F47" s="11" t="s">
        <v>4</v>
      </c>
      <c r="G47" s="29" t="s">
        <v>36</v>
      </c>
    </row>
    <row r="48" spans="2:7" ht="15" x14ac:dyDescent="0.2">
      <c r="B48" s="13" t="s">
        <v>159</v>
      </c>
      <c r="C48" s="12">
        <v>45</v>
      </c>
      <c r="D48" s="12">
        <v>96</v>
      </c>
      <c r="E48" s="12">
        <v>1</v>
      </c>
      <c r="F48" s="12" t="s">
        <v>4</v>
      </c>
      <c r="G48" s="30" t="s">
        <v>36</v>
      </c>
    </row>
    <row r="49" spans="2:7" ht="15" x14ac:dyDescent="0.2">
      <c r="B49" s="14" t="s">
        <v>160</v>
      </c>
      <c r="C49" s="11">
        <v>133</v>
      </c>
      <c r="D49" s="11">
        <v>96</v>
      </c>
      <c r="E49" s="11">
        <v>1</v>
      </c>
      <c r="F49" s="11" t="s">
        <v>4</v>
      </c>
      <c r="G49" s="29" t="s">
        <v>36</v>
      </c>
    </row>
    <row r="50" spans="2:7" ht="15" x14ac:dyDescent="0.2">
      <c r="B50" s="13" t="s">
        <v>161</v>
      </c>
      <c r="C50" s="12">
        <v>315</v>
      </c>
      <c r="D50" s="12">
        <v>96</v>
      </c>
      <c r="E50" s="12">
        <v>1</v>
      </c>
      <c r="F50" s="12" t="s">
        <v>4</v>
      </c>
      <c r="G50" s="30" t="s">
        <v>36</v>
      </c>
    </row>
    <row r="51" spans="2:7" ht="15" x14ac:dyDescent="0.2">
      <c r="B51" s="14" t="s">
        <v>162</v>
      </c>
      <c r="C51" s="11">
        <v>223</v>
      </c>
      <c r="D51" s="11">
        <v>96</v>
      </c>
      <c r="E51" s="11">
        <v>1</v>
      </c>
      <c r="F51" s="11" t="s">
        <v>4</v>
      </c>
      <c r="G51" s="29" t="s">
        <v>36</v>
      </c>
    </row>
    <row r="52" spans="2:7" ht="15" x14ac:dyDescent="0.2">
      <c r="B52" s="13" t="s">
        <v>163</v>
      </c>
      <c r="C52" s="12">
        <v>222</v>
      </c>
      <c r="D52" s="12">
        <v>96</v>
      </c>
      <c r="E52" s="12">
        <v>1</v>
      </c>
      <c r="F52" s="12" t="s">
        <v>4</v>
      </c>
      <c r="G52" s="30" t="s">
        <v>36</v>
      </c>
    </row>
    <row r="53" spans="2:7" ht="15" x14ac:dyDescent="0.2">
      <c r="B53" s="14" t="s">
        <v>164</v>
      </c>
      <c r="C53" s="11">
        <v>22</v>
      </c>
      <c r="D53" s="11">
        <v>96</v>
      </c>
      <c r="E53" s="11">
        <v>1</v>
      </c>
      <c r="F53" s="11" t="s">
        <v>4</v>
      </c>
      <c r="G53" s="29" t="s">
        <v>36</v>
      </c>
    </row>
    <row r="54" spans="2:7" ht="15" x14ac:dyDescent="0.2">
      <c r="B54" s="13" t="s">
        <v>165</v>
      </c>
      <c r="C54" s="12">
        <v>141</v>
      </c>
      <c r="D54" s="12">
        <v>96</v>
      </c>
      <c r="E54" s="12">
        <v>1</v>
      </c>
      <c r="F54" s="12" t="s">
        <v>4</v>
      </c>
      <c r="G54" s="30" t="s">
        <v>36</v>
      </c>
    </row>
    <row r="55" spans="2:7" ht="15" x14ac:dyDescent="0.2">
      <c r="B55" s="14" t="s">
        <v>166</v>
      </c>
      <c r="C55" s="11">
        <v>310</v>
      </c>
      <c r="D55" s="11">
        <v>96</v>
      </c>
      <c r="E55" s="11">
        <v>1</v>
      </c>
      <c r="F55" s="11" t="s">
        <v>4</v>
      </c>
      <c r="G55" s="29" t="s">
        <v>36</v>
      </c>
    </row>
    <row r="56" spans="2:7" ht="15" x14ac:dyDescent="0.2">
      <c r="B56" s="13" t="s">
        <v>167</v>
      </c>
      <c r="C56" s="12">
        <v>10</v>
      </c>
      <c r="D56" s="12">
        <v>61</v>
      </c>
      <c r="E56" s="12">
        <v>1</v>
      </c>
      <c r="F56" s="12" t="s">
        <v>4</v>
      </c>
      <c r="G56" s="30" t="s">
        <v>31</v>
      </c>
    </row>
    <row r="57" spans="2:7" ht="15" x14ac:dyDescent="0.2">
      <c r="B57" s="14" t="s">
        <v>168</v>
      </c>
      <c r="C57" s="11">
        <v>311</v>
      </c>
      <c r="D57" s="11">
        <v>96</v>
      </c>
      <c r="E57" s="11">
        <v>1</v>
      </c>
      <c r="F57" s="11" t="s">
        <v>4</v>
      </c>
      <c r="G57" s="29" t="s">
        <v>36</v>
      </c>
    </row>
    <row r="58" spans="2:7" ht="15" x14ac:dyDescent="0.2">
      <c r="B58" s="13" t="s">
        <v>169</v>
      </c>
      <c r="C58" s="12">
        <v>145</v>
      </c>
      <c r="D58" s="12">
        <v>96</v>
      </c>
      <c r="E58" s="12">
        <v>1</v>
      </c>
      <c r="F58" s="12" t="s">
        <v>4</v>
      </c>
      <c r="G58" s="30" t="s">
        <v>36</v>
      </c>
    </row>
    <row r="59" spans="2:7" ht="15" x14ac:dyDescent="0.2">
      <c r="B59" s="14" t="s">
        <v>170</v>
      </c>
      <c r="C59" s="11">
        <v>324</v>
      </c>
      <c r="D59" s="11">
        <v>96</v>
      </c>
      <c r="E59" s="11">
        <v>1</v>
      </c>
      <c r="F59" s="11" t="s">
        <v>4</v>
      </c>
      <c r="G59" s="29" t="s">
        <v>36</v>
      </c>
    </row>
    <row r="60" spans="2:7" ht="15" x14ac:dyDescent="0.2">
      <c r="B60" s="13" t="s">
        <v>171</v>
      </c>
      <c r="C60" s="12">
        <v>325</v>
      </c>
      <c r="D60" s="12">
        <v>96</v>
      </c>
      <c r="E60" s="12">
        <v>1</v>
      </c>
      <c r="F60" s="12" t="s">
        <v>4</v>
      </c>
      <c r="G60" s="30" t="s">
        <v>36</v>
      </c>
    </row>
    <row r="61" spans="2:7" ht="15" x14ac:dyDescent="0.2">
      <c r="B61" s="14" t="s">
        <v>172</v>
      </c>
      <c r="C61" s="11">
        <v>124</v>
      </c>
      <c r="D61" s="11">
        <v>66</v>
      </c>
      <c r="E61" s="11">
        <v>1</v>
      </c>
      <c r="F61" s="11" t="s">
        <v>4</v>
      </c>
      <c r="G61" s="29" t="s">
        <v>32</v>
      </c>
    </row>
    <row r="62" spans="2:7" ht="15" x14ac:dyDescent="0.2">
      <c r="B62" s="13" t="s">
        <v>173</v>
      </c>
      <c r="C62" s="12">
        <v>229</v>
      </c>
      <c r="D62" s="12">
        <v>96</v>
      </c>
      <c r="E62" s="12">
        <v>1</v>
      </c>
      <c r="F62" s="12" t="s">
        <v>4</v>
      </c>
      <c r="G62" s="30" t="s">
        <v>36</v>
      </c>
    </row>
    <row r="63" spans="2:7" ht="15" x14ac:dyDescent="0.2">
      <c r="B63" s="14" t="s">
        <v>174</v>
      </c>
      <c r="C63" s="11">
        <v>236</v>
      </c>
      <c r="D63" s="11">
        <v>96</v>
      </c>
      <c r="E63" s="11">
        <v>1</v>
      </c>
      <c r="F63" s="11" t="s">
        <v>4</v>
      </c>
      <c r="G63" s="29" t="s">
        <v>36</v>
      </c>
    </row>
    <row r="64" spans="2:7" ht="15" x14ac:dyDescent="0.2">
      <c r="B64" s="13" t="s">
        <v>175</v>
      </c>
      <c r="C64" s="12">
        <v>38</v>
      </c>
      <c r="D64" s="12">
        <v>36</v>
      </c>
      <c r="E64" s="12">
        <v>1</v>
      </c>
      <c r="F64" s="12" t="s">
        <v>4</v>
      </c>
      <c r="G64" s="30" t="s">
        <v>23</v>
      </c>
    </row>
    <row r="65" spans="2:7" ht="15" x14ac:dyDescent="0.2">
      <c r="B65" s="14" t="s">
        <v>176</v>
      </c>
      <c r="C65" s="11">
        <v>162</v>
      </c>
      <c r="D65" s="11">
        <v>62</v>
      </c>
      <c r="E65" s="11">
        <v>5</v>
      </c>
      <c r="F65" s="11" t="s">
        <v>8</v>
      </c>
      <c r="G65" s="29" t="s">
        <v>32</v>
      </c>
    </row>
    <row r="66" spans="2:7" ht="15" x14ac:dyDescent="0.2">
      <c r="B66" s="13" t="s">
        <v>177</v>
      </c>
      <c r="C66" s="12">
        <v>127</v>
      </c>
      <c r="D66" s="12">
        <v>96</v>
      </c>
      <c r="E66" s="12">
        <v>1</v>
      </c>
      <c r="F66" s="12" t="s">
        <v>4</v>
      </c>
      <c r="G66" s="30" t="s">
        <v>36</v>
      </c>
    </row>
    <row r="67" spans="2:7" ht="15" x14ac:dyDescent="0.2">
      <c r="B67" s="14" t="s">
        <v>178</v>
      </c>
      <c r="C67" s="11">
        <v>46</v>
      </c>
      <c r="D67" s="11">
        <v>56</v>
      </c>
      <c r="E67" s="11">
        <v>1</v>
      </c>
      <c r="F67" s="11" t="s">
        <v>4</v>
      </c>
      <c r="G67" s="29" t="s">
        <v>28</v>
      </c>
    </row>
    <row r="68" spans="2:7" ht="15" x14ac:dyDescent="0.2">
      <c r="B68" s="13" t="s">
        <v>179</v>
      </c>
      <c r="C68" s="12">
        <v>188</v>
      </c>
      <c r="D68" s="12">
        <v>44</v>
      </c>
      <c r="E68" s="12">
        <v>1</v>
      </c>
      <c r="F68" s="12" t="s">
        <v>4</v>
      </c>
      <c r="G68" s="30" t="s">
        <v>25</v>
      </c>
    </row>
    <row r="69" spans="2:7" ht="15" x14ac:dyDescent="0.2">
      <c r="B69" s="14" t="s">
        <v>180</v>
      </c>
      <c r="C69" s="11">
        <v>307</v>
      </c>
      <c r="D69" s="11">
        <v>96</v>
      </c>
      <c r="E69" s="11">
        <v>1</v>
      </c>
      <c r="F69" s="11" t="s">
        <v>4</v>
      </c>
      <c r="G69" s="29" t="s">
        <v>36</v>
      </c>
    </row>
    <row r="70" spans="2:7" ht="15" x14ac:dyDescent="0.2">
      <c r="B70" s="13" t="s">
        <v>181</v>
      </c>
      <c r="C70" s="12">
        <v>308</v>
      </c>
      <c r="D70" s="12">
        <v>96</v>
      </c>
      <c r="E70" s="12">
        <v>1</v>
      </c>
      <c r="F70" s="12" t="s">
        <v>4</v>
      </c>
      <c r="G70" s="30" t="s">
        <v>36</v>
      </c>
    </row>
    <row r="71" spans="2:7" ht="15" x14ac:dyDescent="0.2">
      <c r="B71" s="14" t="s">
        <v>182</v>
      </c>
      <c r="C71" s="11">
        <v>13</v>
      </c>
      <c r="D71" s="11">
        <v>84</v>
      </c>
      <c r="E71" s="11">
        <v>3</v>
      </c>
      <c r="F71" s="11" t="s">
        <v>6</v>
      </c>
      <c r="G71" s="29" t="s">
        <v>35</v>
      </c>
    </row>
    <row r="72" spans="2:7" ht="15" x14ac:dyDescent="0.2">
      <c r="B72" s="13" t="s">
        <v>183</v>
      </c>
      <c r="C72" s="12">
        <v>195</v>
      </c>
      <c r="D72" s="12">
        <v>96</v>
      </c>
      <c r="E72" s="12">
        <v>1</v>
      </c>
      <c r="F72" s="12" t="s">
        <v>4</v>
      </c>
      <c r="G72" s="30" t="s">
        <v>36</v>
      </c>
    </row>
    <row r="73" spans="2:7" ht="15" x14ac:dyDescent="0.2">
      <c r="B73" s="14" t="s">
        <v>184</v>
      </c>
      <c r="C73" s="11">
        <v>57</v>
      </c>
      <c r="D73" s="11">
        <v>60</v>
      </c>
      <c r="E73" s="11">
        <v>6</v>
      </c>
      <c r="F73" s="11" t="s">
        <v>37</v>
      </c>
      <c r="G73" s="29" t="s">
        <v>32</v>
      </c>
    </row>
    <row r="74" spans="2:7" ht="15" x14ac:dyDescent="0.2">
      <c r="B74" s="13" t="s">
        <v>185</v>
      </c>
      <c r="C74" s="12">
        <v>255</v>
      </c>
      <c r="D74" s="12">
        <v>54</v>
      </c>
      <c r="E74" s="12">
        <v>3</v>
      </c>
      <c r="F74" s="12" t="s">
        <v>6</v>
      </c>
      <c r="G74" s="30" t="s">
        <v>28</v>
      </c>
    </row>
    <row r="75" spans="2:7" ht="15" x14ac:dyDescent="0.2">
      <c r="B75" s="14" t="s">
        <v>186</v>
      </c>
      <c r="C75" s="11">
        <v>83</v>
      </c>
      <c r="D75" s="11">
        <v>96</v>
      </c>
      <c r="E75" s="11">
        <v>1</v>
      </c>
      <c r="F75" s="11" t="s">
        <v>4</v>
      </c>
      <c r="G75" s="29" t="s">
        <v>36</v>
      </c>
    </row>
    <row r="76" spans="2:7" ht="15" x14ac:dyDescent="0.2">
      <c r="B76" s="13" t="s">
        <v>187</v>
      </c>
      <c r="C76" s="12">
        <v>39</v>
      </c>
      <c r="D76" s="12">
        <v>52</v>
      </c>
      <c r="E76" s="12">
        <v>5</v>
      </c>
      <c r="F76" s="12" t="s">
        <v>8</v>
      </c>
      <c r="G76" s="30" t="s">
        <v>28</v>
      </c>
    </row>
    <row r="77" spans="2:7" ht="15" x14ac:dyDescent="0.2">
      <c r="B77" s="14" t="s">
        <v>188</v>
      </c>
      <c r="C77" s="11">
        <v>267</v>
      </c>
      <c r="D77" s="11">
        <v>96</v>
      </c>
      <c r="E77" s="11">
        <v>1</v>
      </c>
      <c r="F77" s="11" t="s">
        <v>4</v>
      </c>
      <c r="G77" s="29" t="s">
        <v>36</v>
      </c>
    </row>
    <row r="78" spans="2:7" ht="15" x14ac:dyDescent="0.2">
      <c r="B78" s="13" t="s">
        <v>189</v>
      </c>
      <c r="C78" s="12">
        <v>312</v>
      </c>
      <c r="D78" s="12">
        <v>96</v>
      </c>
      <c r="E78" s="12">
        <v>1</v>
      </c>
      <c r="F78" s="12" t="s">
        <v>4</v>
      </c>
      <c r="G78" s="30" t="s">
        <v>36</v>
      </c>
    </row>
    <row r="79" spans="2:7" ht="15" x14ac:dyDescent="0.2">
      <c r="B79" s="14" t="s">
        <v>190</v>
      </c>
      <c r="C79" s="11">
        <v>313</v>
      </c>
      <c r="D79" s="11">
        <v>96</v>
      </c>
      <c r="E79" s="11">
        <v>1</v>
      </c>
      <c r="F79" s="11" t="s">
        <v>4</v>
      </c>
      <c r="G79" s="29" t="s">
        <v>36</v>
      </c>
    </row>
    <row r="80" spans="2:7" ht="15" x14ac:dyDescent="0.2">
      <c r="B80" s="13" t="s">
        <v>191</v>
      </c>
      <c r="C80" s="12">
        <v>16</v>
      </c>
      <c r="D80" s="12">
        <v>76</v>
      </c>
      <c r="E80" s="12">
        <v>1</v>
      </c>
      <c r="F80" s="12" t="s">
        <v>4</v>
      </c>
      <c r="G80" s="30" t="s">
        <v>34</v>
      </c>
    </row>
    <row r="81" spans="2:7" ht="15" x14ac:dyDescent="0.2">
      <c r="B81" s="14" t="s">
        <v>192</v>
      </c>
      <c r="C81" s="11">
        <v>15</v>
      </c>
      <c r="D81" s="11">
        <v>62</v>
      </c>
      <c r="E81" s="11">
        <v>5</v>
      </c>
      <c r="F81" s="11" t="s">
        <v>8</v>
      </c>
      <c r="G81" s="29" t="s">
        <v>32</v>
      </c>
    </row>
    <row r="82" spans="2:7" ht="15" x14ac:dyDescent="0.2">
      <c r="B82" s="13" t="s">
        <v>193</v>
      </c>
      <c r="C82" s="12">
        <v>81</v>
      </c>
      <c r="D82" s="12">
        <v>56</v>
      </c>
      <c r="E82" s="12">
        <v>1</v>
      </c>
      <c r="F82" s="12" t="s">
        <v>4</v>
      </c>
      <c r="G82" s="30" t="s">
        <v>28</v>
      </c>
    </row>
    <row r="83" spans="2:7" ht="15" x14ac:dyDescent="0.2">
      <c r="B83" s="14" t="s">
        <v>194</v>
      </c>
      <c r="C83" s="11">
        <v>160</v>
      </c>
      <c r="D83" s="11">
        <v>54</v>
      </c>
      <c r="E83" s="11">
        <v>3</v>
      </c>
      <c r="F83" s="11" t="s">
        <v>6</v>
      </c>
      <c r="G83" s="29" t="s">
        <v>28</v>
      </c>
    </row>
    <row r="84" spans="2:7" ht="15" x14ac:dyDescent="0.2">
      <c r="B84" s="13" t="s">
        <v>195</v>
      </c>
      <c r="C84" s="12">
        <v>322</v>
      </c>
      <c r="D84" s="12">
        <v>96</v>
      </c>
      <c r="E84" s="12">
        <v>1</v>
      </c>
      <c r="F84" s="12" t="s">
        <v>4</v>
      </c>
      <c r="G84" s="30" t="s">
        <v>36</v>
      </c>
    </row>
    <row r="85" spans="2:7" ht="15" x14ac:dyDescent="0.2">
      <c r="B85" s="14" t="s">
        <v>196</v>
      </c>
      <c r="C85" s="11">
        <v>323</v>
      </c>
      <c r="D85" s="11">
        <v>96</v>
      </c>
      <c r="E85" s="11">
        <v>1</v>
      </c>
      <c r="F85" s="11" t="s">
        <v>4</v>
      </c>
      <c r="G85" s="29" t="s">
        <v>36</v>
      </c>
    </row>
    <row r="86" spans="2:7" ht="15" x14ac:dyDescent="0.2">
      <c r="B86" s="13" t="s">
        <v>197</v>
      </c>
      <c r="C86" s="12">
        <v>48</v>
      </c>
      <c r="D86" s="12">
        <v>66</v>
      </c>
      <c r="E86" s="12">
        <v>1</v>
      </c>
      <c r="F86" s="12" t="s">
        <v>4</v>
      </c>
      <c r="G86" s="30" t="s">
        <v>32</v>
      </c>
    </row>
    <row r="87" spans="2:7" ht="15" x14ac:dyDescent="0.2">
      <c r="B87" s="14" t="s">
        <v>198</v>
      </c>
      <c r="C87" s="11">
        <v>327</v>
      </c>
      <c r="D87" s="11">
        <v>96</v>
      </c>
      <c r="E87" s="11">
        <v>1</v>
      </c>
      <c r="F87" s="11" t="s">
        <v>4</v>
      </c>
      <c r="G87" s="29" t="s">
        <v>36</v>
      </c>
    </row>
    <row r="88" spans="2:7" ht="15" x14ac:dyDescent="0.2">
      <c r="B88" s="13" t="s">
        <v>199</v>
      </c>
      <c r="C88" s="12">
        <v>225</v>
      </c>
      <c r="D88" s="12">
        <v>66</v>
      </c>
      <c r="E88" s="12">
        <v>1</v>
      </c>
      <c r="F88" s="12" t="s">
        <v>4</v>
      </c>
      <c r="G88" s="30" t="s">
        <v>32</v>
      </c>
    </row>
    <row r="89" spans="2:7" ht="15" x14ac:dyDescent="0.2">
      <c r="B89" s="14" t="s">
        <v>200</v>
      </c>
      <c r="C89" s="11">
        <v>179</v>
      </c>
      <c r="D89" s="11">
        <v>54</v>
      </c>
      <c r="E89" s="11">
        <v>3</v>
      </c>
      <c r="F89" s="11" t="s">
        <v>6</v>
      </c>
      <c r="G89" s="29" t="s">
        <v>28</v>
      </c>
    </row>
    <row r="90" spans="2:7" ht="15" x14ac:dyDescent="0.2">
      <c r="B90" s="13" t="s">
        <v>201</v>
      </c>
      <c r="C90" s="12">
        <v>237</v>
      </c>
      <c r="D90" s="12">
        <v>96</v>
      </c>
      <c r="E90" s="12">
        <v>1</v>
      </c>
      <c r="F90" s="12" t="s">
        <v>4</v>
      </c>
      <c r="G90" s="30" t="s">
        <v>36</v>
      </c>
    </row>
    <row r="91" spans="2:7" ht="15" x14ac:dyDescent="0.2">
      <c r="B91" s="14" t="s">
        <v>202</v>
      </c>
      <c r="C91" s="11">
        <v>356</v>
      </c>
      <c r="D91" s="11">
        <v>96</v>
      </c>
      <c r="E91" s="11">
        <v>1</v>
      </c>
      <c r="F91" s="11" t="s">
        <v>4</v>
      </c>
      <c r="G91" s="29" t="s">
        <v>36</v>
      </c>
    </row>
    <row r="92" spans="2:7" ht="15" x14ac:dyDescent="0.2">
      <c r="B92" s="13" t="s">
        <v>203</v>
      </c>
      <c r="C92" s="12">
        <v>333</v>
      </c>
      <c r="D92" s="12">
        <v>96</v>
      </c>
      <c r="E92" s="12">
        <v>1</v>
      </c>
      <c r="F92" s="12" t="s">
        <v>4</v>
      </c>
      <c r="G92" s="30" t="s">
        <v>36</v>
      </c>
    </row>
    <row r="93" spans="2:7" ht="15" x14ac:dyDescent="0.2">
      <c r="B93" s="14" t="s">
        <v>204</v>
      </c>
      <c r="C93" s="11">
        <v>331</v>
      </c>
      <c r="D93" s="11">
        <v>96</v>
      </c>
      <c r="E93" s="11">
        <v>1</v>
      </c>
      <c r="F93" s="11" t="s">
        <v>4</v>
      </c>
      <c r="G93" s="29" t="s">
        <v>36</v>
      </c>
    </row>
    <row r="94" spans="2:7" ht="15" x14ac:dyDescent="0.2">
      <c r="B94" s="13" t="s">
        <v>205</v>
      </c>
      <c r="C94" s="12">
        <v>166</v>
      </c>
      <c r="D94" s="12">
        <v>52</v>
      </c>
      <c r="E94" s="12">
        <v>5</v>
      </c>
      <c r="F94" s="12" t="s">
        <v>8</v>
      </c>
      <c r="G94" s="30" t="s">
        <v>28</v>
      </c>
    </row>
    <row r="95" spans="2:7" ht="15" x14ac:dyDescent="0.2">
      <c r="B95" s="14" t="s">
        <v>206</v>
      </c>
      <c r="C95" s="11">
        <v>332</v>
      </c>
      <c r="D95" s="11">
        <v>96</v>
      </c>
      <c r="E95" s="11">
        <v>1</v>
      </c>
      <c r="F95" s="11" t="s">
        <v>4</v>
      </c>
      <c r="G95" s="29" t="s">
        <v>36</v>
      </c>
    </row>
    <row r="96" spans="2:7" ht="15" x14ac:dyDescent="0.2">
      <c r="B96" s="13" t="s">
        <v>207</v>
      </c>
      <c r="C96" s="12">
        <v>347</v>
      </c>
      <c r="D96" s="12">
        <v>96</v>
      </c>
      <c r="E96" s="12">
        <v>1</v>
      </c>
      <c r="F96" s="12" t="s">
        <v>4</v>
      </c>
      <c r="G96" s="30" t="s">
        <v>36</v>
      </c>
    </row>
    <row r="97" spans="2:7" ht="15" x14ac:dyDescent="0.2">
      <c r="B97" s="14" t="s">
        <v>208</v>
      </c>
      <c r="C97" s="11">
        <v>20</v>
      </c>
      <c r="D97" s="11">
        <v>76</v>
      </c>
      <c r="E97" s="11">
        <v>1</v>
      </c>
      <c r="F97" s="11" t="s">
        <v>4</v>
      </c>
      <c r="G97" s="29" t="s">
        <v>34</v>
      </c>
    </row>
    <row r="98" spans="2:7" ht="15" x14ac:dyDescent="0.2">
      <c r="B98" s="13" t="s">
        <v>209</v>
      </c>
      <c r="C98" s="12">
        <v>348</v>
      </c>
      <c r="D98" s="12">
        <v>96</v>
      </c>
      <c r="E98" s="12">
        <v>1</v>
      </c>
      <c r="F98" s="12" t="s">
        <v>4</v>
      </c>
      <c r="G98" s="30" t="s">
        <v>36</v>
      </c>
    </row>
    <row r="99" spans="2:7" ht="15" x14ac:dyDescent="0.2">
      <c r="B99" s="14" t="s">
        <v>210</v>
      </c>
      <c r="C99" s="11">
        <v>185</v>
      </c>
      <c r="D99" s="11">
        <v>96</v>
      </c>
      <c r="E99" s="11">
        <v>1</v>
      </c>
      <c r="F99" s="11" t="s">
        <v>4</v>
      </c>
      <c r="G99" s="29" t="s">
        <v>36</v>
      </c>
    </row>
    <row r="100" spans="2:7" ht="15" x14ac:dyDescent="0.2">
      <c r="B100" s="13" t="s">
        <v>211</v>
      </c>
      <c r="C100" s="12">
        <v>341</v>
      </c>
      <c r="D100" s="12">
        <v>96</v>
      </c>
      <c r="E100" s="12">
        <v>1</v>
      </c>
      <c r="F100" s="12" t="s">
        <v>4</v>
      </c>
      <c r="G100" s="30" t="s">
        <v>36</v>
      </c>
    </row>
    <row r="101" spans="2:7" ht="15" x14ac:dyDescent="0.2">
      <c r="B101" s="14" t="s">
        <v>212</v>
      </c>
      <c r="C101" s="11">
        <v>342</v>
      </c>
      <c r="D101" s="11">
        <v>96</v>
      </c>
      <c r="E101" s="11">
        <v>1</v>
      </c>
      <c r="F101" s="11" t="s">
        <v>4</v>
      </c>
      <c r="G101" s="29" t="s">
        <v>36</v>
      </c>
    </row>
    <row r="102" spans="2:7" ht="15" x14ac:dyDescent="0.2">
      <c r="B102" s="13" t="s">
        <v>213</v>
      </c>
      <c r="C102" s="12">
        <v>44</v>
      </c>
      <c r="D102" s="12">
        <v>76</v>
      </c>
      <c r="E102" s="12">
        <v>1</v>
      </c>
      <c r="F102" s="12" t="s">
        <v>4</v>
      </c>
      <c r="G102" s="30" t="s">
        <v>34</v>
      </c>
    </row>
    <row r="103" spans="2:7" ht="15" x14ac:dyDescent="0.2">
      <c r="B103" s="14" t="s">
        <v>214</v>
      </c>
      <c r="C103" s="11">
        <v>72</v>
      </c>
      <c r="D103" s="11">
        <v>96</v>
      </c>
      <c r="E103" s="11">
        <v>1</v>
      </c>
      <c r="F103" s="11" t="s">
        <v>4</v>
      </c>
      <c r="G103" s="29" t="s">
        <v>36</v>
      </c>
    </row>
    <row r="104" spans="2:7" ht="15" x14ac:dyDescent="0.2">
      <c r="B104" s="13" t="s">
        <v>215</v>
      </c>
      <c r="C104" s="12">
        <v>172</v>
      </c>
      <c r="D104" s="12">
        <v>64</v>
      </c>
      <c r="E104" s="12">
        <v>3</v>
      </c>
      <c r="F104" s="12" t="s">
        <v>6</v>
      </c>
      <c r="G104" s="30" t="s">
        <v>32</v>
      </c>
    </row>
    <row r="105" spans="2:7" ht="15" x14ac:dyDescent="0.2">
      <c r="B105" s="14" t="s">
        <v>216</v>
      </c>
      <c r="C105" s="11">
        <v>40</v>
      </c>
      <c r="D105" s="11">
        <v>96</v>
      </c>
      <c r="E105" s="11">
        <v>1</v>
      </c>
      <c r="F105" s="11" t="s">
        <v>4</v>
      </c>
      <c r="G105" s="29" t="s">
        <v>36</v>
      </c>
    </row>
    <row r="106" spans="2:7" ht="15" x14ac:dyDescent="0.2">
      <c r="B106" s="13" t="s">
        <v>217</v>
      </c>
      <c r="C106" s="12">
        <v>211</v>
      </c>
      <c r="D106" s="12">
        <v>96</v>
      </c>
      <c r="E106" s="12">
        <v>1</v>
      </c>
      <c r="F106" s="12" t="s">
        <v>4</v>
      </c>
      <c r="G106" s="30" t="s">
        <v>36</v>
      </c>
    </row>
    <row r="107" spans="2:7" ht="15" x14ac:dyDescent="0.2">
      <c r="B107" s="14" t="s">
        <v>218</v>
      </c>
      <c r="C107" s="11">
        <v>164</v>
      </c>
      <c r="D107" s="11">
        <v>66</v>
      </c>
      <c r="E107" s="11">
        <v>1</v>
      </c>
      <c r="F107" s="11" t="s">
        <v>4</v>
      </c>
      <c r="G107" s="29" t="s">
        <v>32</v>
      </c>
    </row>
    <row r="108" spans="2:7" ht="15" x14ac:dyDescent="0.2">
      <c r="B108" s="13" t="s">
        <v>219</v>
      </c>
      <c r="C108" s="12">
        <v>41</v>
      </c>
      <c r="D108" s="12">
        <v>96</v>
      </c>
      <c r="E108" s="12">
        <v>1</v>
      </c>
      <c r="F108" s="12" t="s">
        <v>4</v>
      </c>
      <c r="G108" s="30" t="s">
        <v>36</v>
      </c>
    </row>
    <row r="109" spans="2:7" ht="15" x14ac:dyDescent="0.2">
      <c r="B109" s="14" t="s">
        <v>220</v>
      </c>
      <c r="C109" s="11">
        <v>349</v>
      </c>
      <c r="D109" s="11">
        <v>96</v>
      </c>
      <c r="E109" s="11">
        <v>1</v>
      </c>
      <c r="F109" s="11" t="s">
        <v>4</v>
      </c>
      <c r="G109" s="29" t="s">
        <v>36</v>
      </c>
    </row>
    <row r="110" spans="2:7" ht="15" x14ac:dyDescent="0.2">
      <c r="B110" s="13" t="s">
        <v>221</v>
      </c>
      <c r="C110" s="12">
        <v>23</v>
      </c>
      <c r="D110" s="12">
        <v>96</v>
      </c>
      <c r="E110" s="12">
        <v>1</v>
      </c>
      <c r="F110" s="12" t="s">
        <v>4</v>
      </c>
      <c r="G110" s="30" t="s">
        <v>36</v>
      </c>
    </row>
    <row r="111" spans="2:7" ht="15" x14ac:dyDescent="0.2">
      <c r="B111" s="14" t="s">
        <v>222</v>
      </c>
      <c r="C111" s="11">
        <v>50</v>
      </c>
      <c r="D111" s="11">
        <v>96</v>
      </c>
      <c r="E111" s="11">
        <v>1</v>
      </c>
      <c r="F111" s="11" t="s">
        <v>4</v>
      </c>
      <c r="G111" s="29" t="s">
        <v>36</v>
      </c>
    </row>
    <row r="112" spans="2:7" ht="15" x14ac:dyDescent="0.2">
      <c r="B112" s="13" t="s">
        <v>223</v>
      </c>
      <c r="C112" s="12">
        <v>51</v>
      </c>
      <c r="D112" s="12">
        <v>96</v>
      </c>
      <c r="E112" s="12">
        <v>1</v>
      </c>
      <c r="F112" s="12" t="s">
        <v>4</v>
      </c>
      <c r="G112" s="30" t="s">
        <v>36</v>
      </c>
    </row>
    <row r="113" spans="2:7" ht="15" x14ac:dyDescent="0.2">
      <c r="B113" s="14" t="s">
        <v>224</v>
      </c>
      <c r="C113" s="11">
        <v>42</v>
      </c>
      <c r="D113" s="11">
        <v>96</v>
      </c>
      <c r="E113" s="11">
        <v>1</v>
      </c>
      <c r="F113" s="11" t="s">
        <v>4</v>
      </c>
      <c r="G113" s="29" t="s">
        <v>36</v>
      </c>
    </row>
    <row r="114" spans="2:7" ht="15" x14ac:dyDescent="0.2">
      <c r="B114" s="15" t="s">
        <v>225</v>
      </c>
      <c r="C114" s="16">
        <v>18</v>
      </c>
      <c r="D114" s="16">
        <v>74</v>
      </c>
      <c r="E114" s="16">
        <v>3</v>
      </c>
      <c r="F114" s="16" t="s">
        <v>6</v>
      </c>
      <c r="G114" s="31" t="s">
        <v>34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503"/>
  <sheetViews>
    <sheetView showGridLines="0" showRowColHeaders="0" workbookViewId="0">
      <pane ySplit="13" topLeftCell="A14" activePane="bottomLeft" state="frozen"/>
      <selection pane="bottomLeft" activeCell="C7" sqref="C7"/>
    </sheetView>
  </sheetViews>
  <sheetFormatPr baseColWidth="10" defaultColWidth="9.140625" defaultRowHeight="15" x14ac:dyDescent="0.25"/>
  <cols>
    <col min="1" max="1" width="1.7109375" style="2" customWidth="1"/>
    <col min="2" max="2" width="13.42578125" style="1" bestFit="1" customWidth="1"/>
    <col min="3" max="3" width="11.28515625" style="2" customWidth="1"/>
    <col min="4" max="4" width="14.7109375" style="1" bestFit="1" customWidth="1"/>
    <col min="5" max="13" width="9.140625" style="2" customWidth="1"/>
    <col min="14" max="14" width="9.140625" style="2" hidden="1" customWidth="1"/>
    <col min="15" max="15" width="9.140625" style="2"/>
    <col min="16" max="16384" width="9.140625" style="1"/>
  </cols>
  <sheetData>
    <row r="1" spans="2:14" s="2" customFormat="1" ht="5.0999999999999996" customHeight="1" x14ac:dyDescent="0.25"/>
    <row r="2" spans="2:14" s="2" customFormat="1" ht="15" customHeight="1" x14ac:dyDescent="0.25"/>
    <row r="3" spans="2:14" s="2" customFormat="1" ht="15" customHeight="1" x14ac:dyDescent="0.25"/>
    <row r="4" spans="2:14" s="2" customFormat="1" ht="15" customHeight="1" x14ac:dyDescent="0.25"/>
    <row r="5" spans="2:14" s="2" customFormat="1" ht="5.0999999999999996" customHeight="1" x14ac:dyDescent="0.25"/>
    <row r="6" spans="2:14" s="2" customFormat="1" x14ac:dyDescent="0.25">
      <c r="B6" s="72" t="s">
        <v>97</v>
      </c>
    </row>
    <row r="7" spans="2:14" x14ac:dyDescent="0.25">
      <c r="B7" s="35" t="s">
        <v>227</v>
      </c>
      <c r="C7" s="78">
        <v>42040</v>
      </c>
      <c r="D7" s="80" t="s">
        <v>98</v>
      </c>
    </row>
    <row r="8" spans="2:14" x14ac:dyDescent="0.25">
      <c r="B8" s="36" t="s">
        <v>94</v>
      </c>
      <c r="C8" s="78">
        <v>42401</v>
      </c>
      <c r="D8" s="80" t="s">
        <v>98</v>
      </c>
    </row>
    <row r="9" spans="2:14" x14ac:dyDescent="0.25">
      <c r="B9" s="37" t="s">
        <v>95</v>
      </c>
      <c r="C9" s="79" t="s">
        <v>226</v>
      </c>
      <c r="D9" s="54"/>
    </row>
    <row r="10" spans="2:14" s="2" customFormat="1" ht="3.95" customHeight="1" x14ac:dyDescent="0.25"/>
    <row r="11" spans="2:14" x14ac:dyDescent="0.25">
      <c r="B11" s="111" t="s">
        <v>96</v>
      </c>
      <c r="C11" s="112"/>
      <c r="D11" s="113"/>
    </row>
    <row r="12" spans="2:14" s="2" customFormat="1" ht="5.0999999999999996" customHeight="1" x14ac:dyDescent="0.25">
      <c r="B12" s="52"/>
      <c r="C12" s="52"/>
      <c r="D12" s="51"/>
      <c r="E12" s="51"/>
      <c r="F12" s="51"/>
      <c r="G12" s="52"/>
      <c r="H12" s="52"/>
      <c r="I12" s="52"/>
      <c r="J12" s="52"/>
      <c r="K12" s="52"/>
    </row>
    <row r="13" spans="2:14" x14ac:dyDescent="0.25">
      <c r="B13" s="28" t="s">
        <v>91</v>
      </c>
      <c r="C13" s="27" t="s">
        <v>92</v>
      </c>
      <c r="D13" s="7" t="s">
        <v>93</v>
      </c>
      <c r="E13" s="52"/>
      <c r="F13" s="52"/>
      <c r="G13" s="52"/>
      <c r="H13" s="52"/>
      <c r="I13" s="52"/>
      <c r="J13" s="52"/>
      <c r="M13" s="52"/>
      <c r="N13" s="52"/>
    </row>
    <row r="14" spans="2:14" x14ac:dyDescent="0.25">
      <c r="B14" s="73">
        <f t="shared" ref="B14:B77" si="0">IF(ISNA(N14),"",N14)</f>
        <v>42040</v>
      </c>
      <c r="C14" s="45">
        <f>IF(B14&lt;&gt;"",_xll.BInterpol(maturities,zeros,B14,"linear","skip=true","sort=true","multix=average"),"")</f>
        <v>2.8817499999999998</v>
      </c>
      <c r="D14" s="38">
        <f>IF(B14&lt;&gt;"",_xll.BInterpol(maturities,discounts,B14,"linear","skip=true","sort=true","multix=average"),"")</f>
        <v>0.99975999999999998</v>
      </c>
      <c r="E14" s="52"/>
      <c r="F14" s="52"/>
      <c r="G14" s="52"/>
      <c r="H14" s="52"/>
      <c r="I14" s="52"/>
      <c r="J14" s="52"/>
      <c r="M14" s="52"/>
      <c r="N14" s="69">
        <f t="array" ref="N14:N502">GenerateSchedule(C7,C8,C9)</f>
        <v>42040</v>
      </c>
    </row>
    <row r="15" spans="2:14" x14ac:dyDescent="0.25">
      <c r="B15" s="74">
        <f t="shared" si="0"/>
        <v>42068</v>
      </c>
      <c r="C15" s="46">
        <f>IF(B15&lt;&gt;"",_xll.BInterpol(maturities,zeros,B15,"linear","skip=true","sort=true","multix=average"),"")</f>
        <v>2.8817499999999998</v>
      </c>
      <c r="D15" s="39">
        <f>IF(B15&lt;&gt;"",_xll.BInterpol(maturities,discounts,B15,"linear","skip=true","sort=true","multix=average"),"")</f>
        <v>0.99975999999999998</v>
      </c>
      <c r="E15" s="52"/>
      <c r="F15" s="52"/>
      <c r="G15" s="52"/>
      <c r="H15" s="52"/>
      <c r="I15" s="52"/>
      <c r="J15" s="52"/>
      <c r="M15" s="52"/>
      <c r="N15" s="70">
        <v>42068</v>
      </c>
    </row>
    <row r="16" spans="2:14" x14ac:dyDescent="0.25">
      <c r="B16" s="75">
        <f t="shared" si="0"/>
        <v>42099</v>
      </c>
      <c r="C16" s="45">
        <f>IF(B16&lt;&gt;"",_xll.BInterpol(maturities,zeros,B16,"linear","skip=true","sort=true","multix=average"),"")</f>
        <v>2.8817499999999998</v>
      </c>
      <c r="D16" s="38">
        <f>IF(B16&lt;&gt;"",_xll.BInterpol(maturities,discounts,B16,"linear","skip=true","sort=true","multix=average"),"")</f>
        <v>0.99975999999999998</v>
      </c>
      <c r="E16" s="52"/>
      <c r="F16" s="52"/>
      <c r="G16" s="52"/>
      <c r="H16" s="52"/>
      <c r="I16" s="52"/>
      <c r="J16" s="52"/>
      <c r="M16" s="52"/>
      <c r="N16" s="70">
        <v>42099</v>
      </c>
    </row>
    <row r="17" spans="2:14" x14ac:dyDescent="0.25">
      <c r="B17" s="74">
        <f t="shared" si="0"/>
        <v>42129</v>
      </c>
      <c r="C17" s="46">
        <f>IF(B17&lt;&gt;"",_xll.BInterpol(maturities,zeros,B17,"linear","skip=true","sort=true","multix=average"),"")</f>
        <v>2.8817499999999998</v>
      </c>
      <c r="D17" s="39">
        <f>IF(B17&lt;&gt;"",_xll.BInterpol(maturities,discounts,B17,"linear","skip=true","sort=true","multix=average"),"")</f>
        <v>0.99975999999999998</v>
      </c>
      <c r="E17" s="52"/>
      <c r="F17" s="52"/>
      <c r="G17" s="52"/>
      <c r="H17" s="52"/>
      <c r="I17" s="52"/>
      <c r="J17" s="52"/>
      <c r="M17" s="52"/>
      <c r="N17" s="70">
        <v>42129</v>
      </c>
    </row>
    <row r="18" spans="2:14" x14ac:dyDescent="0.25">
      <c r="B18" s="75">
        <f t="shared" si="0"/>
        <v>42160</v>
      </c>
      <c r="C18" s="45">
        <f>IF(B18&lt;&gt;"",_xll.BInterpol(maturities,zeros,B18,"linear","skip=true","sort=true","multix=average"),"")</f>
        <v>2.8817499999999998</v>
      </c>
      <c r="D18" s="38">
        <f>IF(B18&lt;&gt;"",_xll.BInterpol(maturities,discounts,B18,"linear","skip=true","sort=true","multix=average"),"")</f>
        <v>0.99975999999999998</v>
      </c>
      <c r="E18" s="52"/>
      <c r="F18" s="52"/>
      <c r="G18" s="52"/>
      <c r="N18" s="70">
        <v>42160</v>
      </c>
    </row>
    <row r="19" spans="2:14" x14ac:dyDescent="0.25">
      <c r="B19" s="74">
        <f t="shared" si="0"/>
        <v>42190</v>
      </c>
      <c r="C19" s="46">
        <f>IF(B19&lt;&gt;"",_xll.BInterpol(maturities,zeros,B19,"linear","skip=true","sort=true","multix=average"),"")</f>
        <v>2.8817499999999998</v>
      </c>
      <c r="D19" s="39">
        <f>IF(B19&lt;&gt;"",_xll.BInterpol(maturities,discounts,B19,"linear","skip=true","sort=true","multix=average"),"")</f>
        <v>0.99975999999999998</v>
      </c>
      <c r="E19" s="52"/>
      <c r="F19" s="52"/>
      <c r="G19" s="52"/>
      <c r="N19" s="70">
        <v>42190</v>
      </c>
    </row>
    <row r="20" spans="2:14" x14ac:dyDescent="0.25">
      <c r="B20" s="75">
        <f t="shared" si="0"/>
        <v>42221</v>
      </c>
      <c r="C20" s="45">
        <f>IF(B20&lt;&gt;"",_xll.BInterpol(maturities,zeros,B20,"linear","skip=true","sort=true","multix=average"),"")</f>
        <v>2.8817499999999998</v>
      </c>
      <c r="D20" s="38">
        <f>IF(B20&lt;&gt;"",_xll.BInterpol(maturities,discounts,B20,"linear","skip=true","sort=true","multix=average"),"")</f>
        <v>0.99975999999999998</v>
      </c>
      <c r="E20" s="52"/>
      <c r="F20" s="52"/>
      <c r="G20" s="52"/>
      <c r="N20" s="70">
        <v>42221</v>
      </c>
    </row>
    <row r="21" spans="2:14" x14ac:dyDescent="0.25">
      <c r="B21" s="74">
        <f t="shared" si="0"/>
        <v>42252</v>
      </c>
      <c r="C21" s="46">
        <f>IF(B21&lt;&gt;"",_xll.BInterpol(maturities,zeros,B21,"linear","skip=true","sort=true","multix=average"),"")</f>
        <v>2.8817499999999998</v>
      </c>
      <c r="D21" s="39">
        <f>IF(B21&lt;&gt;"",_xll.BInterpol(maturities,discounts,B21,"linear","skip=true","sort=true","multix=average"),"")</f>
        <v>0.99975999999999998</v>
      </c>
      <c r="E21" s="52"/>
      <c r="F21" s="52"/>
      <c r="G21" s="52"/>
      <c r="N21" s="70">
        <v>42252</v>
      </c>
    </row>
    <row r="22" spans="2:14" x14ac:dyDescent="0.25">
      <c r="B22" s="75">
        <f t="shared" si="0"/>
        <v>42282</v>
      </c>
      <c r="C22" s="45">
        <f>IF(B22&lt;&gt;"",_xll.BInterpol(maturities,zeros,B22,"linear","skip=true","sort=true","multix=average"),"")</f>
        <v>2.8817499999999998</v>
      </c>
      <c r="D22" s="38">
        <f>IF(B22&lt;&gt;"",_xll.BInterpol(maturities,discounts,B22,"linear","skip=true","sort=true","multix=average"),"")</f>
        <v>0.99975999999999998</v>
      </c>
      <c r="E22" s="52"/>
      <c r="F22" s="52"/>
      <c r="G22" s="52"/>
      <c r="N22" s="70">
        <v>42282</v>
      </c>
    </row>
    <row r="23" spans="2:14" x14ac:dyDescent="0.25">
      <c r="B23" s="74">
        <f t="shared" si="0"/>
        <v>42313</v>
      </c>
      <c r="C23" s="46">
        <f>IF(B23&lt;&gt;"",_xll.BInterpol(maturities,zeros,B23,"linear","skip=true","sort=true","multix=average"),"")</f>
        <v>2.8817499999999998</v>
      </c>
      <c r="D23" s="39">
        <f>IF(B23&lt;&gt;"",_xll.BInterpol(maturities,discounts,B23,"linear","skip=true","sort=true","multix=average"),"")</f>
        <v>0.99975999999999998</v>
      </c>
      <c r="N23" s="70">
        <v>42313</v>
      </c>
    </row>
    <row r="24" spans="2:14" x14ac:dyDescent="0.25">
      <c r="B24" s="75">
        <f t="shared" si="0"/>
        <v>42343</v>
      </c>
      <c r="C24" s="45">
        <f>IF(B24&lt;&gt;"",_xll.BInterpol(maturities,zeros,B24,"linear","skip=true","sort=true","multix=average"),"")</f>
        <v>2.8817499999999998</v>
      </c>
      <c r="D24" s="38">
        <f>IF(B24&lt;&gt;"",_xll.BInterpol(maturities,discounts,B24,"linear","skip=true","sort=true","multix=average"),"")</f>
        <v>0.99975999999999998</v>
      </c>
      <c r="N24" s="70">
        <v>42343</v>
      </c>
    </row>
    <row r="25" spans="2:14" x14ac:dyDescent="0.25">
      <c r="B25" s="74">
        <f t="shared" si="0"/>
        <v>42374</v>
      </c>
      <c r="C25" s="46">
        <f>IF(B25&lt;&gt;"",_xll.BInterpol(maturities,zeros,B25,"linear","skip=true","sort=true","multix=average"),"")</f>
        <v>2.8817499999999998</v>
      </c>
      <c r="D25" s="39">
        <f>IF(B25&lt;&gt;"",_xll.BInterpol(maturities,discounts,B25,"linear","skip=true","sort=true","multix=average"),"")</f>
        <v>0.99975999999999998</v>
      </c>
      <c r="N25" s="70">
        <v>42374</v>
      </c>
    </row>
    <row r="26" spans="2:14" x14ac:dyDescent="0.25">
      <c r="B26" s="75">
        <f t="shared" si="0"/>
        <v>42401</v>
      </c>
      <c r="C26" s="45">
        <f>IF(B26&lt;&gt;"",_xll.BInterpol(maturities,zeros,B26,"linear","skip=true","sort=true","multix=average"),"")</f>
        <v>2.8817499999999998</v>
      </c>
      <c r="D26" s="38">
        <f>IF(B26&lt;&gt;"",_xll.BInterpol(maturities,discounts,B26,"linear","skip=true","sort=true","multix=average"),"")</f>
        <v>0.99975999999999998</v>
      </c>
      <c r="N26" s="70">
        <v>42401</v>
      </c>
    </row>
    <row r="27" spans="2:14" x14ac:dyDescent="0.25">
      <c r="B27" s="74" t="str">
        <f t="shared" si="0"/>
        <v/>
      </c>
      <c r="C27" s="46" t="str">
        <f>IF(B27&lt;&gt;"",_xll.BInterpol(maturities,zeros,B27,"linear","skip=true","sort=true","multix=average"),"")</f>
        <v/>
      </c>
      <c r="D27" s="39" t="str">
        <f>IF(B27&lt;&gt;"",_xll.BInterpol(maturities,discounts,B27,"linear","skip=true","sort=true","multix=average"),"")</f>
        <v/>
      </c>
      <c r="N27" s="70" t="e">
        <v>#N/A</v>
      </c>
    </row>
    <row r="28" spans="2:14" x14ac:dyDescent="0.25">
      <c r="B28" s="75" t="str">
        <f t="shared" si="0"/>
        <v/>
      </c>
      <c r="C28" s="45" t="str">
        <f>IF(B28&lt;&gt;"",_xll.BInterpol(maturities,zeros,B28,"linear","skip=true","sort=true","multix=average"),"")</f>
        <v/>
      </c>
      <c r="D28" s="38" t="str">
        <f>IF(B28&lt;&gt;"",_xll.BInterpol(maturities,discounts,B28,"linear","skip=true","sort=true","multix=average"),"")</f>
        <v/>
      </c>
      <c r="N28" s="70" t="e">
        <v>#N/A</v>
      </c>
    </row>
    <row r="29" spans="2:14" x14ac:dyDescent="0.25">
      <c r="B29" s="74" t="str">
        <f t="shared" si="0"/>
        <v/>
      </c>
      <c r="C29" s="46" t="str">
        <f>IF(B29&lt;&gt;"",_xll.BInterpol(maturities,zeros,B29,"linear","skip=true","sort=true","multix=average"),"")</f>
        <v/>
      </c>
      <c r="D29" s="39" t="str">
        <f>IF(B29&lt;&gt;"",_xll.BInterpol(maturities,discounts,B29,"linear","skip=true","sort=true","multix=average"),"")</f>
        <v/>
      </c>
      <c r="N29" s="70" t="e">
        <v>#N/A</v>
      </c>
    </row>
    <row r="30" spans="2:14" x14ac:dyDescent="0.25">
      <c r="B30" s="75" t="str">
        <f t="shared" si="0"/>
        <v/>
      </c>
      <c r="C30" s="45" t="str">
        <f>IF(B30&lt;&gt;"",_xll.BInterpol(maturities,zeros,B30,"linear","skip=true","sort=true","multix=average"),"")</f>
        <v/>
      </c>
      <c r="D30" s="38" t="str">
        <f>IF(B30&lt;&gt;"",_xll.BInterpol(maturities,discounts,B30,"linear","skip=true","sort=true","multix=average"),"")</f>
        <v/>
      </c>
      <c r="N30" s="70" t="e">
        <v>#N/A</v>
      </c>
    </row>
    <row r="31" spans="2:14" x14ac:dyDescent="0.25">
      <c r="B31" s="74" t="str">
        <f t="shared" si="0"/>
        <v/>
      </c>
      <c r="C31" s="46" t="str">
        <f>IF(B31&lt;&gt;"",_xll.BInterpol(maturities,zeros,B31,"linear","skip=true","sort=true","multix=average"),"")</f>
        <v/>
      </c>
      <c r="D31" s="39" t="str">
        <f>IF(B31&lt;&gt;"",_xll.BInterpol(maturities,discounts,B31,"linear","skip=true","sort=true","multix=average"),"")</f>
        <v/>
      </c>
      <c r="N31" s="70" t="e">
        <v>#N/A</v>
      </c>
    </row>
    <row r="32" spans="2:14" x14ac:dyDescent="0.25">
      <c r="B32" s="75" t="str">
        <f t="shared" si="0"/>
        <v/>
      </c>
      <c r="C32" s="45" t="str">
        <f>IF(B32&lt;&gt;"",_xll.BInterpol(maturities,zeros,B32,"linear","skip=true","sort=true","multix=average"),"")</f>
        <v/>
      </c>
      <c r="D32" s="38" t="str">
        <f>IF(B32&lt;&gt;"",_xll.BInterpol(maturities,discounts,B32,"linear","skip=true","sort=true","multix=average"),"")</f>
        <v/>
      </c>
      <c r="N32" s="70" t="e">
        <v>#N/A</v>
      </c>
    </row>
    <row r="33" spans="2:14" x14ac:dyDescent="0.25">
      <c r="B33" s="74" t="str">
        <f t="shared" si="0"/>
        <v/>
      </c>
      <c r="C33" s="46" t="str">
        <f>IF(B33&lt;&gt;"",_xll.BInterpol(maturities,zeros,B33,"linear","skip=true","sort=true","multix=average"),"")</f>
        <v/>
      </c>
      <c r="D33" s="39" t="str">
        <f>IF(B33&lt;&gt;"",_xll.BInterpol(maturities,discounts,B33,"linear","skip=true","sort=true","multix=average"),"")</f>
        <v/>
      </c>
      <c r="N33" s="70" t="e">
        <v>#N/A</v>
      </c>
    </row>
    <row r="34" spans="2:14" x14ac:dyDescent="0.25">
      <c r="B34" s="75" t="str">
        <f t="shared" si="0"/>
        <v/>
      </c>
      <c r="C34" s="45" t="str">
        <f>IF(B34&lt;&gt;"",_xll.BInterpol(maturities,zeros,B34,"linear","skip=true","sort=true","multix=average"),"")</f>
        <v/>
      </c>
      <c r="D34" s="38" t="str">
        <f>IF(B34&lt;&gt;"",_xll.BInterpol(maturities,discounts,B34,"linear","skip=true","sort=true","multix=average"),"")</f>
        <v/>
      </c>
      <c r="N34" s="70" t="e">
        <v>#N/A</v>
      </c>
    </row>
    <row r="35" spans="2:14" x14ac:dyDescent="0.25">
      <c r="B35" s="74" t="str">
        <f t="shared" si="0"/>
        <v/>
      </c>
      <c r="C35" s="46" t="str">
        <f>IF(B35&lt;&gt;"",_xll.BInterpol(maturities,zeros,B35,"linear","skip=true","sort=true","multix=average"),"")</f>
        <v/>
      </c>
      <c r="D35" s="39" t="str">
        <f>IF(B35&lt;&gt;"",_xll.BInterpol(maturities,discounts,B35,"linear","skip=true","sort=true","multix=average"),"")</f>
        <v/>
      </c>
      <c r="N35" s="70" t="e">
        <v>#N/A</v>
      </c>
    </row>
    <row r="36" spans="2:14" x14ac:dyDescent="0.25">
      <c r="B36" s="75" t="str">
        <f t="shared" si="0"/>
        <v/>
      </c>
      <c r="C36" s="45" t="str">
        <f>IF(B36&lt;&gt;"",_xll.BInterpol(maturities,zeros,B36,"linear","skip=true","sort=true","multix=average"),"")</f>
        <v/>
      </c>
      <c r="D36" s="38" t="str">
        <f>IF(B36&lt;&gt;"",_xll.BInterpol(maturities,discounts,B36,"linear","skip=true","sort=true","multix=average"),"")</f>
        <v/>
      </c>
      <c r="N36" s="70" t="e">
        <v>#N/A</v>
      </c>
    </row>
    <row r="37" spans="2:14" x14ac:dyDescent="0.25">
      <c r="B37" s="74" t="str">
        <f t="shared" si="0"/>
        <v/>
      </c>
      <c r="C37" s="46" t="str">
        <f>IF(B37&lt;&gt;"",_xll.BInterpol(maturities,zeros,B37,"linear","skip=true","sort=true","multix=average"),"")</f>
        <v/>
      </c>
      <c r="D37" s="39" t="str">
        <f>IF(B37&lt;&gt;"",_xll.BInterpol(maturities,discounts,B37,"linear","skip=true","sort=true","multix=average"),"")</f>
        <v/>
      </c>
      <c r="N37" s="70" t="e">
        <v>#N/A</v>
      </c>
    </row>
    <row r="38" spans="2:14" x14ac:dyDescent="0.25">
      <c r="B38" s="75" t="str">
        <f t="shared" si="0"/>
        <v/>
      </c>
      <c r="C38" s="45" t="str">
        <f>IF(B38&lt;&gt;"",_xll.BInterpol(maturities,zeros,B38,"linear","skip=true","sort=true","multix=average"),"")</f>
        <v/>
      </c>
      <c r="D38" s="38" t="str">
        <f>IF(B38&lt;&gt;"",_xll.BInterpol(maturities,discounts,B38,"linear","skip=true","sort=true","multix=average"),"")</f>
        <v/>
      </c>
      <c r="N38" s="70" t="e">
        <v>#N/A</v>
      </c>
    </row>
    <row r="39" spans="2:14" x14ac:dyDescent="0.25">
      <c r="B39" s="74" t="str">
        <f t="shared" si="0"/>
        <v/>
      </c>
      <c r="C39" s="46" t="str">
        <f>IF(B39&lt;&gt;"",_xll.BInterpol(maturities,zeros,B39,"linear","skip=true","sort=true","multix=average"),"")</f>
        <v/>
      </c>
      <c r="D39" s="39" t="str">
        <f>IF(B39&lt;&gt;"",_xll.BInterpol(maturities,discounts,B39,"linear","skip=true","sort=true","multix=average"),"")</f>
        <v/>
      </c>
      <c r="N39" s="70" t="e">
        <v>#N/A</v>
      </c>
    </row>
    <row r="40" spans="2:14" x14ac:dyDescent="0.25">
      <c r="B40" s="75" t="str">
        <f t="shared" si="0"/>
        <v/>
      </c>
      <c r="C40" s="45" t="str">
        <f>IF(B40&lt;&gt;"",_xll.BInterpol(maturities,zeros,B40,"linear","skip=true","sort=true","multix=average"),"")</f>
        <v/>
      </c>
      <c r="D40" s="38" t="str">
        <f>IF(B40&lt;&gt;"",_xll.BInterpol(maturities,discounts,B40,"linear","skip=true","sort=true","multix=average"),"")</f>
        <v/>
      </c>
      <c r="N40" s="70" t="e">
        <v>#N/A</v>
      </c>
    </row>
    <row r="41" spans="2:14" x14ac:dyDescent="0.25">
      <c r="B41" s="74" t="str">
        <f t="shared" si="0"/>
        <v/>
      </c>
      <c r="C41" s="46" t="str">
        <f>IF(B41&lt;&gt;"",_xll.BInterpol(maturities,zeros,B41,"linear","skip=true","sort=true","multix=average"),"")</f>
        <v/>
      </c>
      <c r="D41" s="39" t="str">
        <f>IF(B41&lt;&gt;"",_xll.BInterpol(maturities,discounts,B41,"linear","skip=true","sort=true","multix=average"),"")</f>
        <v/>
      </c>
      <c r="N41" s="70" t="e">
        <v>#N/A</v>
      </c>
    </row>
    <row r="42" spans="2:14" x14ac:dyDescent="0.25">
      <c r="B42" s="75" t="str">
        <f t="shared" si="0"/>
        <v/>
      </c>
      <c r="C42" s="45" t="str">
        <f>IF(B42&lt;&gt;"",_xll.BInterpol(maturities,zeros,B42,"linear","skip=true","sort=true","multix=average"),"")</f>
        <v/>
      </c>
      <c r="D42" s="38" t="str">
        <f>IF(B42&lt;&gt;"",_xll.BInterpol(maturities,discounts,B42,"linear","skip=true","sort=true","multix=average"),"")</f>
        <v/>
      </c>
      <c r="N42" s="70" t="e">
        <v>#N/A</v>
      </c>
    </row>
    <row r="43" spans="2:14" x14ac:dyDescent="0.25">
      <c r="B43" s="74" t="str">
        <f t="shared" si="0"/>
        <v/>
      </c>
      <c r="C43" s="46" t="str">
        <f>IF(B43&lt;&gt;"",_xll.BInterpol(maturities,zeros,B43,"linear","skip=true","sort=true","multix=average"),"")</f>
        <v/>
      </c>
      <c r="D43" s="39" t="str">
        <f>IF(B43&lt;&gt;"",_xll.BInterpol(maturities,discounts,B43,"linear","skip=true","sort=true","multix=average"),"")</f>
        <v/>
      </c>
      <c r="N43" s="70" t="e">
        <v>#N/A</v>
      </c>
    </row>
    <row r="44" spans="2:14" x14ac:dyDescent="0.25">
      <c r="B44" s="75" t="str">
        <f t="shared" si="0"/>
        <v/>
      </c>
      <c r="C44" s="45" t="str">
        <f>IF(B44&lt;&gt;"",_xll.BInterpol(maturities,zeros,B44,"linear","skip=true","sort=true","multix=average"),"")</f>
        <v/>
      </c>
      <c r="D44" s="38" t="str">
        <f>IF(B44&lt;&gt;"",_xll.BInterpol(maturities,discounts,B44,"linear","skip=true","sort=true","multix=average"),"")</f>
        <v/>
      </c>
      <c r="N44" s="70" t="e">
        <v>#N/A</v>
      </c>
    </row>
    <row r="45" spans="2:14" x14ac:dyDescent="0.25">
      <c r="B45" s="74" t="str">
        <f t="shared" si="0"/>
        <v/>
      </c>
      <c r="C45" s="46" t="str">
        <f>IF(B45&lt;&gt;"",_xll.BInterpol(maturities,zeros,B45,"linear","skip=true","sort=true","multix=average"),"")</f>
        <v/>
      </c>
      <c r="D45" s="39" t="str">
        <f>IF(B45&lt;&gt;"",_xll.BInterpol(maturities,discounts,B45,"linear","skip=true","sort=true","multix=average"),"")</f>
        <v/>
      </c>
      <c r="N45" s="70" t="e">
        <v>#N/A</v>
      </c>
    </row>
    <row r="46" spans="2:14" x14ac:dyDescent="0.25">
      <c r="B46" s="75" t="str">
        <f t="shared" si="0"/>
        <v/>
      </c>
      <c r="C46" s="45" t="str">
        <f>IF(B46&lt;&gt;"",_xll.BInterpol(maturities,zeros,B46,"linear","skip=true","sort=true","multix=average"),"")</f>
        <v/>
      </c>
      <c r="D46" s="38" t="str">
        <f>IF(B46&lt;&gt;"",_xll.BInterpol(maturities,discounts,B46,"linear","skip=true","sort=true","multix=average"),"")</f>
        <v/>
      </c>
      <c r="N46" s="70" t="e">
        <v>#N/A</v>
      </c>
    </row>
    <row r="47" spans="2:14" x14ac:dyDescent="0.25">
      <c r="B47" s="74" t="str">
        <f t="shared" si="0"/>
        <v/>
      </c>
      <c r="C47" s="46" t="str">
        <f>IF(B47&lt;&gt;"",_xll.BInterpol(maturities,zeros,B47,"linear","skip=true","sort=true","multix=average"),"")</f>
        <v/>
      </c>
      <c r="D47" s="39" t="str">
        <f>IF(B47&lt;&gt;"",_xll.BInterpol(maturities,discounts,B47,"linear","skip=true","sort=true","multix=average"),"")</f>
        <v/>
      </c>
      <c r="N47" s="70" t="e">
        <v>#N/A</v>
      </c>
    </row>
    <row r="48" spans="2:14" x14ac:dyDescent="0.25">
      <c r="B48" s="75" t="str">
        <f t="shared" si="0"/>
        <v/>
      </c>
      <c r="C48" s="45" t="str">
        <f>IF(B48&lt;&gt;"",_xll.BInterpol(maturities,zeros,B48,"linear","skip=true","sort=true","multix=average"),"")</f>
        <v/>
      </c>
      <c r="D48" s="38" t="str">
        <f>IF(B48&lt;&gt;"",_xll.BInterpol(maturities,discounts,B48,"linear","skip=true","sort=true","multix=average"),"")</f>
        <v/>
      </c>
      <c r="N48" s="70" t="e">
        <v>#N/A</v>
      </c>
    </row>
    <row r="49" spans="2:14" x14ac:dyDescent="0.25">
      <c r="B49" s="74" t="str">
        <f t="shared" si="0"/>
        <v/>
      </c>
      <c r="C49" s="46" t="str">
        <f>IF(B49&lt;&gt;"",_xll.BInterpol(maturities,zeros,B49,"linear","skip=true","sort=true","multix=average"),"")</f>
        <v/>
      </c>
      <c r="D49" s="39" t="str">
        <f>IF(B49&lt;&gt;"",_xll.BInterpol(maturities,discounts,B49,"linear","skip=true","sort=true","multix=average"),"")</f>
        <v/>
      </c>
      <c r="N49" s="70" t="e">
        <v>#N/A</v>
      </c>
    </row>
    <row r="50" spans="2:14" x14ac:dyDescent="0.25">
      <c r="B50" s="75" t="str">
        <f t="shared" si="0"/>
        <v/>
      </c>
      <c r="C50" s="45" t="str">
        <f>IF(B50&lt;&gt;"",_xll.BInterpol(maturities,zeros,B50,"linear","skip=true","sort=true","multix=average"),"")</f>
        <v/>
      </c>
      <c r="D50" s="38" t="str">
        <f>IF(B50&lt;&gt;"",_xll.BInterpol(maturities,discounts,B50,"linear","skip=true","sort=true","multix=average"),"")</f>
        <v/>
      </c>
      <c r="N50" s="70" t="e">
        <v>#N/A</v>
      </c>
    </row>
    <row r="51" spans="2:14" x14ac:dyDescent="0.25">
      <c r="B51" s="74" t="str">
        <f t="shared" si="0"/>
        <v/>
      </c>
      <c r="C51" s="46" t="str">
        <f>IF(B51&lt;&gt;"",_xll.BInterpol(maturities,zeros,B51,"linear","skip=true","sort=true","multix=average"),"")</f>
        <v/>
      </c>
      <c r="D51" s="39" t="str">
        <f>IF(B51&lt;&gt;"",_xll.BInterpol(maturities,discounts,B51,"linear","skip=true","sort=true","multix=average"),"")</f>
        <v/>
      </c>
      <c r="N51" s="70" t="e">
        <v>#N/A</v>
      </c>
    </row>
    <row r="52" spans="2:14" x14ac:dyDescent="0.25">
      <c r="B52" s="75" t="str">
        <f t="shared" si="0"/>
        <v/>
      </c>
      <c r="C52" s="45" t="str">
        <f>IF(B52&lt;&gt;"",_xll.BInterpol(maturities,zeros,B52,"linear","skip=true","sort=true","multix=average"),"")</f>
        <v/>
      </c>
      <c r="D52" s="38" t="str">
        <f>IF(B52&lt;&gt;"",_xll.BInterpol(maturities,discounts,B52,"linear","skip=true","sort=true","multix=average"),"")</f>
        <v/>
      </c>
      <c r="N52" s="70" t="e">
        <v>#N/A</v>
      </c>
    </row>
    <row r="53" spans="2:14" x14ac:dyDescent="0.25">
      <c r="B53" s="74" t="str">
        <f t="shared" si="0"/>
        <v/>
      </c>
      <c r="C53" s="46" t="str">
        <f>IF(B53&lt;&gt;"",_xll.BInterpol(maturities,zeros,B53,"linear","skip=true","sort=true","multix=average"),"")</f>
        <v/>
      </c>
      <c r="D53" s="39" t="str">
        <f>IF(B53&lt;&gt;"",_xll.BInterpol(maturities,discounts,B53,"linear","skip=true","sort=true","multix=average"),"")</f>
        <v/>
      </c>
      <c r="N53" s="70" t="e">
        <v>#N/A</v>
      </c>
    </row>
    <row r="54" spans="2:14" x14ac:dyDescent="0.25">
      <c r="B54" s="75" t="str">
        <f t="shared" si="0"/>
        <v/>
      </c>
      <c r="C54" s="45" t="str">
        <f>IF(B54&lt;&gt;"",_xll.BInterpol(maturities,zeros,B54,"linear","skip=true","sort=true","multix=average"),"")</f>
        <v/>
      </c>
      <c r="D54" s="38" t="str">
        <f>IF(B54&lt;&gt;"",_xll.BInterpol(maturities,discounts,B54,"linear","skip=true","sort=true","multix=average"),"")</f>
        <v/>
      </c>
      <c r="N54" s="70" t="e">
        <v>#N/A</v>
      </c>
    </row>
    <row r="55" spans="2:14" x14ac:dyDescent="0.25">
      <c r="B55" s="74" t="str">
        <f t="shared" si="0"/>
        <v/>
      </c>
      <c r="C55" s="46" t="str">
        <f>IF(B55&lt;&gt;"",_xll.BInterpol(maturities,zeros,B55,"linear","skip=true","sort=true","multix=average"),"")</f>
        <v/>
      </c>
      <c r="D55" s="39" t="str">
        <f>IF(B55&lt;&gt;"",_xll.BInterpol(maturities,discounts,B55,"linear","skip=true","sort=true","multix=average"),"")</f>
        <v/>
      </c>
      <c r="N55" s="70" t="e">
        <v>#N/A</v>
      </c>
    </row>
    <row r="56" spans="2:14" x14ac:dyDescent="0.25">
      <c r="B56" s="75" t="str">
        <f t="shared" si="0"/>
        <v/>
      </c>
      <c r="C56" s="45" t="str">
        <f>IF(B56&lt;&gt;"",_xll.BInterpol(maturities,zeros,B56,"linear","skip=true","sort=true","multix=average"),"")</f>
        <v/>
      </c>
      <c r="D56" s="38" t="str">
        <f>IF(B56&lt;&gt;"",_xll.BInterpol(maturities,discounts,B56,"linear","skip=true","sort=true","multix=average"),"")</f>
        <v/>
      </c>
      <c r="N56" s="70" t="e">
        <v>#N/A</v>
      </c>
    </row>
    <row r="57" spans="2:14" x14ac:dyDescent="0.25">
      <c r="B57" s="74" t="str">
        <f t="shared" si="0"/>
        <v/>
      </c>
      <c r="C57" s="46" t="str">
        <f>IF(B57&lt;&gt;"",_xll.BInterpol(maturities,zeros,B57,"linear","skip=true","sort=true","multix=average"),"")</f>
        <v/>
      </c>
      <c r="D57" s="39" t="str">
        <f>IF(B57&lt;&gt;"",_xll.BInterpol(maturities,discounts,B57,"linear","skip=true","sort=true","multix=average"),"")</f>
        <v/>
      </c>
      <c r="N57" s="70" t="e">
        <v>#N/A</v>
      </c>
    </row>
    <row r="58" spans="2:14" x14ac:dyDescent="0.25">
      <c r="B58" s="75" t="str">
        <f t="shared" si="0"/>
        <v/>
      </c>
      <c r="C58" s="45" t="str">
        <f>IF(B58&lt;&gt;"",_xll.BInterpol(maturities,zeros,B58,"linear","skip=true","sort=true","multix=average"),"")</f>
        <v/>
      </c>
      <c r="D58" s="38" t="str">
        <f>IF(B58&lt;&gt;"",_xll.BInterpol(maturities,discounts,B58,"linear","skip=true","sort=true","multix=average"),"")</f>
        <v/>
      </c>
      <c r="N58" s="70" t="e">
        <v>#N/A</v>
      </c>
    </row>
    <row r="59" spans="2:14" x14ac:dyDescent="0.25">
      <c r="B59" s="74" t="str">
        <f t="shared" si="0"/>
        <v/>
      </c>
      <c r="C59" s="46" t="str">
        <f>IF(B59&lt;&gt;"",_xll.BInterpol(maturities,zeros,B59,"linear","skip=true","sort=true","multix=average"),"")</f>
        <v/>
      </c>
      <c r="D59" s="39" t="str">
        <f>IF(B59&lt;&gt;"",_xll.BInterpol(maturities,discounts,B59,"linear","skip=true","sort=true","multix=average"),"")</f>
        <v/>
      </c>
      <c r="N59" s="70" t="e">
        <v>#N/A</v>
      </c>
    </row>
    <row r="60" spans="2:14" x14ac:dyDescent="0.25">
      <c r="B60" s="75" t="str">
        <f t="shared" si="0"/>
        <v/>
      </c>
      <c r="C60" s="45" t="str">
        <f>IF(B60&lt;&gt;"",_xll.BInterpol(maturities,zeros,B60,"linear","skip=true","sort=true","multix=average"),"")</f>
        <v/>
      </c>
      <c r="D60" s="38" t="str">
        <f>IF(B60&lt;&gt;"",_xll.BInterpol(maturities,discounts,B60,"linear","skip=true","sort=true","multix=average"),"")</f>
        <v/>
      </c>
      <c r="N60" s="70" t="e">
        <v>#N/A</v>
      </c>
    </row>
    <row r="61" spans="2:14" x14ac:dyDescent="0.25">
      <c r="B61" s="74" t="str">
        <f t="shared" si="0"/>
        <v/>
      </c>
      <c r="C61" s="46" t="str">
        <f>IF(B61&lt;&gt;"",_xll.BInterpol(maturities,zeros,B61,"linear","skip=true","sort=true","multix=average"),"")</f>
        <v/>
      </c>
      <c r="D61" s="39" t="str">
        <f>IF(B61&lt;&gt;"",_xll.BInterpol(maturities,discounts,B61,"linear","skip=true","sort=true","multix=average"),"")</f>
        <v/>
      </c>
      <c r="N61" s="70" t="e">
        <v>#N/A</v>
      </c>
    </row>
    <row r="62" spans="2:14" x14ac:dyDescent="0.25">
      <c r="B62" s="75" t="str">
        <f t="shared" si="0"/>
        <v/>
      </c>
      <c r="C62" s="45" t="str">
        <f>IF(B62&lt;&gt;"",_xll.BInterpol(maturities,zeros,B62,"linear","skip=true","sort=true","multix=average"),"")</f>
        <v/>
      </c>
      <c r="D62" s="38" t="str">
        <f>IF(B62&lt;&gt;"",_xll.BInterpol(maturities,discounts,B62,"linear","skip=true","sort=true","multix=average"),"")</f>
        <v/>
      </c>
      <c r="N62" s="70" t="e">
        <v>#N/A</v>
      </c>
    </row>
    <row r="63" spans="2:14" x14ac:dyDescent="0.25">
      <c r="B63" s="74" t="str">
        <f t="shared" si="0"/>
        <v/>
      </c>
      <c r="C63" s="46" t="str">
        <f>IF(B63&lt;&gt;"",_xll.BInterpol(maturities,zeros,B63,"linear","skip=true","sort=true","multix=average"),"")</f>
        <v/>
      </c>
      <c r="D63" s="39" t="str">
        <f>IF(B63&lt;&gt;"",_xll.BInterpol(maturities,discounts,B63,"linear","skip=true","sort=true","multix=average"),"")</f>
        <v/>
      </c>
      <c r="N63" s="70" t="e">
        <v>#N/A</v>
      </c>
    </row>
    <row r="64" spans="2:14" x14ac:dyDescent="0.25">
      <c r="B64" s="75" t="str">
        <f t="shared" si="0"/>
        <v/>
      </c>
      <c r="C64" s="45" t="str">
        <f>IF(B64&lt;&gt;"",_xll.BInterpol(maturities,zeros,B64,"linear","skip=true","sort=true","multix=average"),"")</f>
        <v/>
      </c>
      <c r="D64" s="38" t="str">
        <f>IF(B64&lt;&gt;"",_xll.BInterpol(maturities,discounts,B64,"linear","skip=true","sort=true","multix=average"),"")</f>
        <v/>
      </c>
      <c r="N64" s="70" t="e">
        <v>#N/A</v>
      </c>
    </row>
    <row r="65" spans="2:14" x14ac:dyDescent="0.25">
      <c r="B65" s="74" t="str">
        <f t="shared" si="0"/>
        <v/>
      </c>
      <c r="C65" s="46" t="str">
        <f>IF(B65&lt;&gt;"",_xll.BInterpol(maturities,zeros,B65,"linear","skip=true","sort=true","multix=average"),"")</f>
        <v/>
      </c>
      <c r="D65" s="39" t="str">
        <f>IF(B65&lt;&gt;"",_xll.BInterpol(maturities,discounts,B65,"linear","skip=true","sort=true","multix=average"),"")</f>
        <v/>
      </c>
      <c r="N65" s="70" t="e">
        <v>#N/A</v>
      </c>
    </row>
    <row r="66" spans="2:14" x14ac:dyDescent="0.25">
      <c r="B66" s="75" t="str">
        <f t="shared" si="0"/>
        <v/>
      </c>
      <c r="C66" s="45" t="str">
        <f>IF(B66&lt;&gt;"",_xll.BInterpol(maturities,zeros,B66,"linear","skip=true","sort=true","multix=average"),"")</f>
        <v/>
      </c>
      <c r="D66" s="38" t="str">
        <f>IF(B66&lt;&gt;"",_xll.BInterpol(maturities,discounts,B66,"linear","skip=true","sort=true","multix=average"),"")</f>
        <v/>
      </c>
      <c r="N66" s="70" t="e">
        <v>#N/A</v>
      </c>
    </row>
    <row r="67" spans="2:14" x14ac:dyDescent="0.25">
      <c r="B67" s="74" t="str">
        <f t="shared" si="0"/>
        <v/>
      </c>
      <c r="C67" s="46" t="str">
        <f>IF(B67&lt;&gt;"",_xll.BInterpol(maturities,zeros,B67,"linear","skip=true","sort=true","multix=average"),"")</f>
        <v/>
      </c>
      <c r="D67" s="39" t="str">
        <f>IF(B67&lt;&gt;"",_xll.BInterpol(maturities,discounts,B67,"linear","skip=true","sort=true","multix=average"),"")</f>
        <v/>
      </c>
      <c r="N67" s="70" t="e">
        <v>#N/A</v>
      </c>
    </row>
    <row r="68" spans="2:14" x14ac:dyDescent="0.25">
      <c r="B68" s="75" t="str">
        <f t="shared" si="0"/>
        <v/>
      </c>
      <c r="C68" s="45" t="str">
        <f>IF(B68&lt;&gt;"",_xll.BInterpol(maturities,zeros,B68,"linear","skip=true","sort=true","multix=average"),"")</f>
        <v/>
      </c>
      <c r="D68" s="38" t="str">
        <f>IF(B68&lt;&gt;"",_xll.BInterpol(maturities,discounts,B68,"linear","skip=true","sort=true","multix=average"),"")</f>
        <v/>
      </c>
      <c r="N68" s="70" t="e">
        <v>#N/A</v>
      </c>
    </row>
    <row r="69" spans="2:14" x14ac:dyDescent="0.25">
      <c r="B69" s="74" t="str">
        <f t="shared" si="0"/>
        <v/>
      </c>
      <c r="C69" s="46" t="str">
        <f>IF(B69&lt;&gt;"",_xll.BInterpol(maturities,zeros,B69,"linear","skip=true","sort=true","multix=average"),"")</f>
        <v/>
      </c>
      <c r="D69" s="39" t="str">
        <f>IF(B69&lt;&gt;"",_xll.BInterpol(maturities,discounts,B69,"linear","skip=true","sort=true","multix=average"),"")</f>
        <v/>
      </c>
      <c r="N69" s="70" t="e">
        <v>#N/A</v>
      </c>
    </row>
    <row r="70" spans="2:14" x14ac:dyDescent="0.25">
      <c r="B70" s="75" t="str">
        <f t="shared" si="0"/>
        <v/>
      </c>
      <c r="C70" s="45" t="str">
        <f>IF(B70&lt;&gt;"",_xll.BInterpol(maturities,zeros,B70,"linear","skip=true","sort=true","multix=average"),"")</f>
        <v/>
      </c>
      <c r="D70" s="38" t="str">
        <f>IF(B70&lt;&gt;"",_xll.BInterpol(maturities,discounts,B70,"linear","skip=true","sort=true","multix=average"),"")</f>
        <v/>
      </c>
      <c r="N70" s="70" t="e">
        <v>#N/A</v>
      </c>
    </row>
    <row r="71" spans="2:14" x14ac:dyDescent="0.25">
      <c r="B71" s="74" t="str">
        <f t="shared" si="0"/>
        <v/>
      </c>
      <c r="C71" s="46" t="str">
        <f>IF(B71&lt;&gt;"",_xll.BInterpol(maturities,zeros,B71,"linear","skip=true","sort=true","multix=average"),"")</f>
        <v/>
      </c>
      <c r="D71" s="39" t="str">
        <f>IF(B71&lt;&gt;"",_xll.BInterpol(maturities,discounts,B71,"linear","skip=true","sort=true","multix=average"),"")</f>
        <v/>
      </c>
      <c r="N71" s="70" t="e">
        <v>#N/A</v>
      </c>
    </row>
    <row r="72" spans="2:14" x14ac:dyDescent="0.25">
      <c r="B72" s="75" t="str">
        <f t="shared" si="0"/>
        <v/>
      </c>
      <c r="C72" s="45" t="str">
        <f>IF(B72&lt;&gt;"",_xll.BInterpol(maturities,zeros,B72,"linear","skip=true","sort=true","multix=average"),"")</f>
        <v/>
      </c>
      <c r="D72" s="38" t="str">
        <f>IF(B72&lt;&gt;"",_xll.BInterpol(maturities,discounts,B72,"linear","skip=true","sort=true","multix=average"),"")</f>
        <v/>
      </c>
      <c r="N72" s="70" t="e">
        <v>#N/A</v>
      </c>
    </row>
    <row r="73" spans="2:14" x14ac:dyDescent="0.25">
      <c r="B73" s="74" t="str">
        <f t="shared" si="0"/>
        <v/>
      </c>
      <c r="C73" s="46" t="str">
        <f>IF(B73&lt;&gt;"",_xll.BInterpol(maturities,zeros,B73,"linear","skip=true","sort=true","multix=average"),"")</f>
        <v/>
      </c>
      <c r="D73" s="39" t="str">
        <f>IF(B73&lt;&gt;"",_xll.BInterpol(maturities,discounts,B73,"linear","skip=true","sort=true","multix=average"),"")</f>
        <v/>
      </c>
      <c r="N73" s="70" t="e">
        <v>#N/A</v>
      </c>
    </row>
    <row r="74" spans="2:14" x14ac:dyDescent="0.25">
      <c r="B74" s="75" t="str">
        <f t="shared" si="0"/>
        <v/>
      </c>
      <c r="C74" s="45" t="str">
        <f>IF(B74&lt;&gt;"",_xll.BInterpol(maturities,zeros,B74,"linear","skip=true","sort=true","multix=average"),"")</f>
        <v/>
      </c>
      <c r="D74" s="38" t="str">
        <f>IF(B74&lt;&gt;"",_xll.BInterpol(maturities,discounts,B74,"linear","skip=true","sort=true","multix=average"),"")</f>
        <v/>
      </c>
      <c r="N74" s="70" t="e">
        <v>#N/A</v>
      </c>
    </row>
    <row r="75" spans="2:14" x14ac:dyDescent="0.25">
      <c r="B75" s="74" t="str">
        <f t="shared" si="0"/>
        <v/>
      </c>
      <c r="C75" s="46" t="str">
        <f>IF(B75&lt;&gt;"",_xll.BInterpol(maturities,zeros,B75,"linear","skip=true","sort=true","multix=average"),"")</f>
        <v/>
      </c>
      <c r="D75" s="39" t="str">
        <f>IF(B75&lt;&gt;"",_xll.BInterpol(maturities,discounts,B75,"linear","skip=true","sort=true","multix=average"),"")</f>
        <v/>
      </c>
      <c r="N75" s="70" t="e">
        <v>#N/A</v>
      </c>
    </row>
    <row r="76" spans="2:14" x14ac:dyDescent="0.25">
      <c r="B76" s="75" t="str">
        <f t="shared" si="0"/>
        <v/>
      </c>
      <c r="C76" s="45" t="str">
        <f>IF(B76&lt;&gt;"",_xll.BInterpol(maturities,zeros,B76,"linear","skip=true","sort=true","multix=average"),"")</f>
        <v/>
      </c>
      <c r="D76" s="38" t="str">
        <f>IF(B76&lt;&gt;"",_xll.BInterpol(maturities,discounts,B76,"linear","skip=true","sort=true","multix=average"),"")</f>
        <v/>
      </c>
      <c r="N76" s="70" t="e">
        <v>#N/A</v>
      </c>
    </row>
    <row r="77" spans="2:14" x14ac:dyDescent="0.25">
      <c r="B77" s="74" t="str">
        <f t="shared" si="0"/>
        <v/>
      </c>
      <c r="C77" s="46" t="str">
        <f>IF(B77&lt;&gt;"",_xll.BInterpol(maturities,zeros,B77,"linear","skip=true","sort=true","multix=average"),"")</f>
        <v/>
      </c>
      <c r="D77" s="39" t="str">
        <f>IF(B77&lt;&gt;"",_xll.BInterpol(maturities,discounts,B77,"linear","skip=true","sort=true","multix=average"),"")</f>
        <v/>
      </c>
      <c r="N77" s="70" t="e">
        <v>#N/A</v>
      </c>
    </row>
    <row r="78" spans="2:14" x14ac:dyDescent="0.25">
      <c r="B78" s="75" t="str">
        <f t="shared" ref="B78:B141" si="1">IF(ISNA(N78),"",N78)</f>
        <v/>
      </c>
      <c r="C78" s="45" t="str">
        <f>IF(B78&lt;&gt;"",_xll.BInterpol(maturities,zeros,B78,"linear","skip=true","sort=true","multix=average"),"")</f>
        <v/>
      </c>
      <c r="D78" s="38" t="str">
        <f>IF(B78&lt;&gt;"",_xll.BInterpol(maturities,discounts,B78,"linear","skip=true","sort=true","multix=average"),"")</f>
        <v/>
      </c>
      <c r="N78" s="70" t="e">
        <v>#N/A</v>
      </c>
    </row>
    <row r="79" spans="2:14" x14ac:dyDescent="0.25">
      <c r="B79" s="74" t="str">
        <f t="shared" si="1"/>
        <v/>
      </c>
      <c r="C79" s="46" t="str">
        <f>IF(B79&lt;&gt;"",_xll.BInterpol(maturities,zeros,B79,"linear","skip=true","sort=true","multix=average"),"")</f>
        <v/>
      </c>
      <c r="D79" s="39" t="str">
        <f>IF(B79&lt;&gt;"",_xll.BInterpol(maturities,discounts,B79,"linear","skip=true","sort=true","multix=average"),"")</f>
        <v/>
      </c>
      <c r="N79" s="70" t="e">
        <v>#N/A</v>
      </c>
    </row>
    <row r="80" spans="2:14" x14ac:dyDescent="0.25">
      <c r="B80" s="75" t="str">
        <f t="shared" si="1"/>
        <v/>
      </c>
      <c r="C80" s="45" t="str">
        <f>IF(B80&lt;&gt;"",_xll.BInterpol(maturities,zeros,B80,"linear","skip=true","sort=true","multix=average"),"")</f>
        <v/>
      </c>
      <c r="D80" s="38" t="str">
        <f>IF(B80&lt;&gt;"",_xll.BInterpol(maturities,discounts,B80,"linear","skip=true","sort=true","multix=average"),"")</f>
        <v/>
      </c>
      <c r="N80" s="70" t="e">
        <v>#N/A</v>
      </c>
    </row>
    <row r="81" spans="2:14" x14ac:dyDescent="0.25">
      <c r="B81" s="74" t="str">
        <f t="shared" si="1"/>
        <v/>
      </c>
      <c r="C81" s="46" t="str">
        <f>IF(B81&lt;&gt;"",_xll.BInterpol(maturities,zeros,B81,"linear","skip=true","sort=true","multix=average"),"")</f>
        <v/>
      </c>
      <c r="D81" s="39" t="str">
        <f>IF(B81&lt;&gt;"",_xll.BInterpol(maturities,discounts,B81,"linear","skip=true","sort=true","multix=average"),"")</f>
        <v/>
      </c>
      <c r="N81" s="70" t="e">
        <v>#N/A</v>
      </c>
    </row>
    <row r="82" spans="2:14" x14ac:dyDescent="0.25">
      <c r="B82" s="75" t="str">
        <f t="shared" si="1"/>
        <v/>
      </c>
      <c r="C82" s="45" t="str">
        <f>IF(B82&lt;&gt;"",_xll.BInterpol(maturities,zeros,B82,"linear","skip=true","sort=true","multix=average"),"")</f>
        <v/>
      </c>
      <c r="D82" s="38" t="str">
        <f>IF(B82&lt;&gt;"",_xll.BInterpol(maturities,discounts,B82,"linear","skip=true","sort=true","multix=average"),"")</f>
        <v/>
      </c>
      <c r="N82" s="70" t="e">
        <v>#N/A</v>
      </c>
    </row>
    <row r="83" spans="2:14" x14ac:dyDescent="0.25">
      <c r="B83" s="74" t="str">
        <f t="shared" si="1"/>
        <v/>
      </c>
      <c r="C83" s="46" t="str">
        <f>IF(B83&lt;&gt;"",_xll.BInterpol(maturities,zeros,B83,"linear","skip=true","sort=true","multix=average"),"")</f>
        <v/>
      </c>
      <c r="D83" s="39" t="str">
        <f>IF(B83&lt;&gt;"",_xll.BInterpol(maturities,discounts,B83,"linear","skip=true","sort=true","multix=average"),"")</f>
        <v/>
      </c>
      <c r="N83" s="70" t="e">
        <v>#N/A</v>
      </c>
    </row>
    <row r="84" spans="2:14" x14ac:dyDescent="0.25">
      <c r="B84" s="75" t="str">
        <f t="shared" si="1"/>
        <v/>
      </c>
      <c r="C84" s="45" t="str">
        <f>IF(B84&lt;&gt;"",_xll.BInterpol(maturities,zeros,B84,"linear","skip=true","sort=true","multix=average"),"")</f>
        <v/>
      </c>
      <c r="D84" s="38" t="str">
        <f>IF(B84&lt;&gt;"",_xll.BInterpol(maturities,discounts,B84,"linear","skip=true","sort=true","multix=average"),"")</f>
        <v/>
      </c>
      <c r="N84" s="70" t="e">
        <v>#N/A</v>
      </c>
    </row>
    <row r="85" spans="2:14" x14ac:dyDescent="0.25">
      <c r="B85" s="74" t="str">
        <f t="shared" si="1"/>
        <v/>
      </c>
      <c r="C85" s="46" t="str">
        <f>IF(B85&lt;&gt;"",_xll.BInterpol(maturities,zeros,B85,"linear","skip=true","sort=true","multix=average"),"")</f>
        <v/>
      </c>
      <c r="D85" s="39" t="str">
        <f>IF(B85&lt;&gt;"",_xll.BInterpol(maturities,discounts,B85,"linear","skip=true","sort=true","multix=average"),"")</f>
        <v/>
      </c>
      <c r="N85" s="70" t="e">
        <v>#N/A</v>
      </c>
    </row>
    <row r="86" spans="2:14" x14ac:dyDescent="0.25">
      <c r="B86" s="75" t="str">
        <f t="shared" si="1"/>
        <v/>
      </c>
      <c r="C86" s="45" t="str">
        <f>IF(B86&lt;&gt;"",_xll.BInterpol(maturities,zeros,B86,"linear","skip=true","sort=true","multix=average"),"")</f>
        <v/>
      </c>
      <c r="D86" s="38" t="str">
        <f>IF(B86&lt;&gt;"",_xll.BInterpol(maturities,discounts,B86,"linear","skip=true","sort=true","multix=average"),"")</f>
        <v/>
      </c>
      <c r="N86" s="70" t="e">
        <v>#N/A</v>
      </c>
    </row>
    <row r="87" spans="2:14" x14ac:dyDescent="0.25">
      <c r="B87" s="74" t="str">
        <f t="shared" si="1"/>
        <v/>
      </c>
      <c r="C87" s="46" t="str">
        <f>IF(B87&lt;&gt;"",_xll.BInterpol(maturities,zeros,B87,"linear","skip=true","sort=true","multix=average"),"")</f>
        <v/>
      </c>
      <c r="D87" s="39" t="str">
        <f>IF(B87&lt;&gt;"",_xll.BInterpol(maturities,discounts,B87,"linear","skip=true","sort=true","multix=average"),"")</f>
        <v/>
      </c>
      <c r="N87" s="70" t="e">
        <v>#N/A</v>
      </c>
    </row>
    <row r="88" spans="2:14" x14ac:dyDescent="0.25">
      <c r="B88" s="75" t="str">
        <f t="shared" si="1"/>
        <v/>
      </c>
      <c r="C88" s="45" t="str">
        <f>IF(B88&lt;&gt;"",_xll.BInterpol(maturities,zeros,B88,"linear","skip=true","sort=true","multix=average"),"")</f>
        <v/>
      </c>
      <c r="D88" s="38" t="str">
        <f>IF(B88&lt;&gt;"",_xll.BInterpol(maturities,discounts,B88,"linear","skip=true","sort=true","multix=average"),"")</f>
        <v/>
      </c>
      <c r="N88" s="70" t="e">
        <v>#N/A</v>
      </c>
    </row>
    <row r="89" spans="2:14" x14ac:dyDescent="0.25">
      <c r="B89" s="74" t="str">
        <f t="shared" si="1"/>
        <v/>
      </c>
      <c r="C89" s="46" t="str">
        <f>IF(B89&lt;&gt;"",_xll.BInterpol(maturities,zeros,B89,"linear","skip=true","sort=true","multix=average"),"")</f>
        <v/>
      </c>
      <c r="D89" s="39" t="str">
        <f>IF(B89&lt;&gt;"",_xll.BInterpol(maturities,discounts,B89,"linear","skip=true","sort=true","multix=average"),"")</f>
        <v/>
      </c>
      <c r="N89" s="70" t="e">
        <v>#N/A</v>
      </c>
    </row>
    <row r="90" spans="2:14" x14ac:dyDescent="0.25">
      <c r="B90" s="75" t="str">
        <f t="shared" si="1"/>
        <v/>
      </c>
      <c r="C90" s="45" t="str">
        <f>IF(B90&lt;&gt;"",_xll.BInterpol(maturities,zeros,B90,"linear","skip=true","sort=true","multix=average"),"")</f>
        <v/>
      </c>
      <c r="D90" s="38" t="str">
        <f>IF(B90&lt;&gt;"",_xll.BInterpol(maturities,discounts,B90,"linear","skip=true","sort=true","multix=average"),"")</f>
        <v/>
      </c>
      <c r="N90" s="70" t="e">
        <v>#N/A</v>
      </c>
    </row>
    <row r="91" spans="2:14" x14ac:dyDescent="0.25">
      <c r="B91" s="74" t="str">
        <f t="shared" si="1"/>
        <v/>
      </c>
      <c r="C91" s="46" t="str">
        <f>IF(B91&lt;&gt;"",_xll.BInterpol(maturities,zeros,B91,"linear","skip=true","sort=true","multix=average"),"")</f>
        <v/>
      </c>
      <c r="D91" s="39" t="str">
        <f>IF(B91&lt;&gt;"",_xll.BInterpol(maturities,discounts,B91,"linear","skip=true","sort=true","multix=average"),"")</f>
        <v/>
      </c>
      <c r="N91" s="70" t="e">
        <v>#N/A</v>
      </c>
    </row>
    <row r="92" spans="2:14" x14ac:dyDescent="0.25">
      <c r="B92" s="75" t="str">
        <f t="shared" si="1"/>
        <v/>
      </c>
      <c r="C92" s="45" t="str">
        <f>IF(B92&lt;&gt;"",_xll.BInterpol(maturities,zeros,B92,"linear","skip=true","sort=true","multix=average"),"")</f>
        <v/>
      </c>
      <c r="D92" s="38" t="str">
        <f>IF(B92&lt;&gt;"",_xll.BInterpol(maturities,discounts,B92,"linear","skip=true","sort=true","multix=average"),"")</f>
        <v/>
      </c>
      <c r="N92" s="70" t="e">
        <v>#N/A</v>
      </c>
    </row>
    <row r="93" spans="2:14" x14ac:dyDescent="0.25">
      <c r="B93" s="74" t="str">
        <f t="shared" si="1"/>
        <v/>
      </c>
      <c r="C93" s="46" t="str">
        <f>IF(B93&lt;&gt;"",_xll.BInterpol(maturities,zeros,B93,"linear","skip=true","sort=true","multix=average"),"")</f>
        <v/>
      </c>
      <c r="D93" s="39" t="str">
        <f>IF(B93&lt;&gt;"",_xll.BInterpol(maturities,discounts,B93,"linear","skip=true","sort=true","multix=average"),"")</f>
        <v/>
      </c>
      <c r="N93" s="70" t="e">
        <v>#N/A</v>
      </c>
    </row>
    <row r="94" spans="2:14" x14ac:dyDescent="0.25">
      <c r="B94" s="75" t="str">
        <f t="shared" si="1"/>
        <v/>
      </c>
      <c r="C94" s="45" t="str">
        <f>IF(B94&lt;&gt;"",_xll.BInterpol(maturities,zeros,B94,"linear","skip=true","sort=true","multix=average"),"")</f>
        <v/>
      </c>
      <c r="D94" s="38" t="str">
        <f>IF(B94&lt;&gt;"",_xll.BInterpol(maturities,discounts,B94,"linear","skip=true","sort=true","multix=average"),"")</f>
        <v/>
      </c>
      <c r="N94" s="70" t="e">
        <v>#N/A</v>
      </c>
    </row>
    <row r="95" spans="2:14" x14ac:dyDescent="0.25">
      <c r="B95" s="74" t="str">
        <f t="shared" si="1"/>
        <v/>
      </c>
      <c r="C95" s="46" t="str">
        <f>IF(B95&lt;&gt;"",_xll.BInterpol(maturities,zeros,B95,"linear","skip=true","sort=true","multix=average"),"")</f>
        <v/>
      </c>
      <c r="D95" s="39" t="str">
        <f>IF(B95&lt;&gt;"",_xll.BInterpol(maturities,discounts,B95,"linear","skip=true","sort=true","multix=average"),"")</f>
        <v/>
      </c>
      <c r="N95" s="70" t="e">
        <v>#N/A</v>
      </c>
    </row>
    <row r="96" spans="2:14" x14ac:dyDescent="0.25">
      <c r="B96" s="75" t="str">
        <f t="shared" si="1"/>
        <v/>
      </c>
      <c r="C96" s="45" t="str">
        <f>IF(B96&lt;&gt;"",_xll.BInterpol(maturities,zeros,B96,"linear","skip=true","sort=true","multix=average"),"")</f>
        <v/>
      </c>
      <c r="D96" s="38" t="str">
        <f>IF(B96&lt;&gt;"",_xll.BInterpol(maturities,discounts,B96,"linear","skip=true","sort=true","multix=average"),"")</f>
        <v/>
      </c>
      <c r="N96" s="70" t="e">
        <v>#N/A</v>
      </c>
    </row>
    <row r="97" spans="2:14" x14ac:dyDescent="0.25">
      <c r="B97" s="74" t="str">
        <f t="shared" si="1"/>
        <v/>
      </c>
      <c r="C97" s="46" t="str">
        <f>IF(B97&lt;&gt;"",_xll.BInterpol(maturities,zeros,B97,"linear","skip=true","sort=true","multix=average"),"")</f>
        <v/>
      </c>
      <c r="D97" s="39" t="str">
        <f>IF(B97&lt;&gt;"",_xll.BInterpol(maturities,discounts,B97,"linear","skip=true","sort=true","multix=average"),"")</f>
        <v/>
      </c>
      <c r="N97" s="70" t="e">
        <v>#N/A</v>
      </c>
    </row>
    <row r="98" spans="2:14" x14ac:dyDescent="0.25">
      <c r="B98" s="75" t="str">
        <f t="shared" si="1"/>
        <v/>
      </c>
      <c r="C98" s="45" t="str">
        <f>IF(B98&lt;&gt;"",_xll.BInterpol(maturities,zeros,B98,"linear","skip=true","sort=true","multix=average"),"")</f>
        <v/>
      </c>
      <c r="D98" s="38" t="str">
        <f>IF(B98&lt;&gt;"",_xll.BInterpol(maturities,discounts,B98,"linear","skip=true","sort=true","multix=average"),"")</f>
        <v/>
      </c>
      <c r="N98" s="70" t="e">
        <v>#N/A</v>
      </c>
    </row>
    <row r="99" spans="2:14" x14ac:dyDescent="0.25">
      <c r="B99" s="74" t="str">
        <f t="shared" si="1"/>
        <v/>
      </c>
      <c r="C99" s="46" t="str">
        <f>IF(B99&lt;&gt;"",_xll.BInterpol(maturities,zeros,B99,"linear","skip=true","sort=true","multix=average"),"")</f>
        <v/>
      </c>
      <c r="D99" s="39" t="str">
        <f>IF(B99&lt;&gt;"",_xll.BInterpol(maturities,discounts,B99,"linear","skip=true","sort=true","multix=average"),"")</f>
        <v/>
      </c>
      <c r="N99" s="70" t="e">
        <v>#N/A</v>
      </c>
    </row>
    <row r="100" spans="2:14" x14ac:dyDescent="0.25">
      <c r="B100" s="75" t="str">
        <f t="shared" si="1"/>
        <v/>
      </c>
      <c r="C100" s="45" t="str">
        <f>IF(B100&lt;&gt;"",_xll.BInterpol(maturities,zeros,B100,"linear","skip=true","sort=true","multix=average"),"")</f>
        <v/>
      </c>
      <c r="D100" s="38" t="str">
        <f>IF(B100&lt;&gt;"",_xll.BInterpol(maturities,discounts,B100,"linear","skip=true","sort=true","multix=average"),"")</f>
        <v/>
      </c>
      <c r="N100" s="70" t="e">
        <v>#N/A</v>
      </c>
    </row>
    <row r="101" spans="2:14" x14ac:dyDescent="0.25">
      <c r="B101" s="74" t="str">
        <f t="shared" si="1"/>
        <v/>
      </c>
      <c r="C101" s="46" t="str">
        <f>IF(B101&lt;&gt;"",_xll.BInterpol(maturities,zeros,B101,"linear","skip=true","sort=true","multix=average"),"")</f>
        <v/>
      </c>
      <c r="D101" s="39" t="str">
        <f>IF(B101&lt;&gt;"",_xll.BInterpol(maturities,discounts,B101,"linear","skip=true","sort=true","multix=average"),"")</f>
        <v/>
      </c>
      <c r="N101" s="70" t="e">
        <v>#N/A</v>
      </c>
    </row>
    <row r="102" spans="2:14" x14ac:dyDescent="0.25">
      <c r="B102" s="75" t="str">
        <f t="shared" si="1"/>
        <v/>
      </c>
      <c r="C102" s="45" t="str">
        <f>IF(B102&lt;&gt;"",_xll.BInterpol(maturities,zeros,B102,"linear","skip=true","sort=true","multix=average"),"")</f>
        <v/>
      </c>
      <c r="D102" s="38" t="str">
        <f>IF(B102&lt;&gt;"",_xll.BInterpol(maturities,discounts,B102,"linear","skip=true","sort=true","multix=average"),"")</f>
        <v/>
      </c>
      <c r="N102" s="70" t="e">
        <v>#N/A</v>
      </c>
    </row>
    <row r="103" spans="2:14" x14ac:dyDescent="0.25">
      <c r="B103" s="74" t="str">
        <f t="shared" si="1"/>
        <v/>
      </c>
      <c r="C103" s="46" t="str">
        <f>IF(B103&lt;&gt;"",_xll.BInterpol(maturities,zeros,B103,"linear","skip=true","sort=true","multix=average"),"")</f>
        <v/>
      </c>
      <c r="D103" s="39" t="str">
        <f>IF(B103&lt;&gt;"",_xll.BInterpol(maturities,discounts,B103,"linear","skip=true","sort=true","multix=average"),"")</f>
        <v/>
      </c>
      <c r="N103" s="70" t="e">
        <v>#N/A</v>
      </c>
    </row>
    <row r="104" spans="2:14" x14ac:dyDescent="0.25">
      <c r="B104" s="75" t="str">
        <f t="shared" si="1"/>
        <v/>
      </c>
      <c r="C104" s="45" t="str">
        <f>IF(B104&lt;&gt;"",_xll.BInterpol(maturities,zeros,B104,"linear","skip=true","sort=true","multix=average"),"")</f>
        <v/>
      </c>
      <c r="D104" s="38" t="str">
        <f>IF(B104&lt;&gt;"",_xll.BInterpol(maturities,discounts,B104,"linear","skip=true","sort=true","multix=average"),"")</f>
        <v/>
      </c>
      <c r="N104" s="70" t="e">
        <v>#N/A</v>
      </c>
    </row>
    <row r="105" spans="2:14" x14ac:dyDescent="0.25">
      <c r="B105" s="74" t="str">
        <f t="shared" si="1"/>
        <v/>
      </c>
      <c r="C105" s="46" t="str">
        <f>IF(B105&lt;&gt;"",_xll.BInterpol(maturities,zeros,B105,"linear","skip=true","sort=true","multix=average"),"")</f>
        <v/>
      </c>
      <c r="D105" s="39" t="str">
        <f>IF(B105&lt;&gt;"",_xll.BInterpol(maturities,discounts,B105,"linear","skip=true","sort=true","multix=average"),"")</f>
        <v/>
      </c>
      <c r="N105" s="70" t="e">
        <v>#N/A</v>
      </c>
    </row>
    <row r="106" spans="2:14" x14ac:dyDescent="0.25">
      <c r="B106" s="75" t="str">
        <f t="shared" si="1"/>
        <v/>
      </c>
      <c r="C106" s="45" t="str">
        <f>IF(B106&lt;&gt;"",_xll.BInterpol(maturities,zeros,B106,"linear","skip=true","sort=true","multix=average"),"")</f>
        <v/>
      </c>
      <c r="D106" s="38" t="str">
        <f>IF(B106&lt;&gt;"",_xll.BInterpol(maturities,discounts,B106,"linear","skip=true","sort=true","multix=average"),"")</f>
        <v/>
      </c>
      <c r="N106" s="70" t="e">
        <v>#N/A</v>
      </c>
    </row>
    <row r="107" spans="2:14" x14ac:dyDescent="0.25">
      <c r="B107" s="74" t="str">
        <f t="shared" si="1"/>
        <v/>
      </c>
      <c r="C107" s="46" t="str">
        <f>IF(B107&lt;&gt;"",_xll.BInterpol(maturities,zeros,B107,"linear","skip=true","sort=true","multix=average"),"")</f>
        <v/>
      </c>
      <c r="D107" s="39" t="str">
        <f>IF(B107&lt;&gt;"",_xll.BInterpol(maturities,discounts,B107,"linear","skip=true","sort=true","multix=average"),"")</f>
        <v/>
      </c>
      <c r="N107" s="70" t="e">
        <v>#N/A</v>
      </c>
    </row>
    <row r="108" spans="2:14" x14ac:dyDescent="0.25">
      <c r="B108" s="75" t="str">
        <f t="shared" si="1"/>
        <v/>
      </c>
      <c r="C108" s="45" t="str">
        <f>IF(B108&lt;&gt;"",_xll.BInterpol(maturities,zeros,B108,"linear","skip=true","sort=true","multix=average"),"")</f>
        <v/>
      </c>
      <c r="D108" s="38" t="str">
        <f>IF(B108&lt;&gt;"",_xll.BInterpol(maturities,discounts,B108,"linear","skip=true","sort=true","multix=average"),"")</f>
        <v/>
      </c>
      <c r="N108" s="70" t="e">
        <v>#N/A</v>
      </c>
    </row>
    <row r="109" spans="2:14" x14ac:dyDescent="0.25">
      <c r="B109" s="74" t="str">
        <f t="shared" si="1"/>
        <v/>
      </c>
      <c r="C109" s="46" t="str">
        <f>IF(B109&lt;&gt;"",_xll.BInterpol(maturities,zeros,B109,"linear","skip=true","sort=true","multix=average"),"")</f>
        <v/>
      </c>
      <c r="D109" s="39" t="str">
        <f>IF(B109&lt;&gt;"",_xll.BInterpol(maturities,discounts,B109,"linear","skip=true","sort=true","multix=average"),"")</f>
        <v/>
      </c>
      <c r="N109" s="70" t="e">
        <v>#N/A</v>
      </c>
    </row>
    <row r="110" spans="2:14" x14ac:dyDescent="0.25">
      <c r="B110" s="75" t="str">
        <f t="shared" si="1"/>
        <v/>
      </c>
      <c r="C110" s="45" t="str">
        <f>IF(B110&lt;&gt;"",_xll.BInterpol(maturities,zeros,B110,"linear","skip=true","sort=true","multix=average"),"")</f>
        <v/>
      </c>
      <c r="D110" s="38" t="str">
        <f>IF(B110&lt;&gt;"",_xll.BInterpol(maturities,discounts,B110,"linear","skip=true","sort=true","multix=average"),"")</f>
        <v/>
      </c>
      <c r="N110" s="70" t="e">
        <v>#N/A</v>
      </c>
    </row>
    <row r="111" spans="2:14" x14ac:dyDescent="0.25">
      <c r="B111" s="74" t="str">
        <f t="shared" si="1"/>
        <v/>
      </c>
      <c r="C111" s="46" t="str">
        <f>IF(B111&lt;&gt;"",_xll.BInterpol(maturities,zeros,B111,"linear","skip=true","sort=true","multix=average"),"")</f>
        <v/>
      </c>
      <c r="D111" s="39" t="str">
        <f>IF(B111&lt;&gt;"",_xll.BInterpol(maturities,discounts,B111,"linear","skip=true","sort=true","multix=average"),"")</f>
        <v/>
      </c>
      <c r="N111" s="70" t="e">
        <v>#N/A</v>
      </c>
    </row>
    <row r="112" spans="2:14" x14ac:dyDescent="0.25">
      <c r="B112" s="75" t="str">
        <f t="shared" si="1"/>
        <v/>
      </c>
      <c r="C112" s="45" t="str">
        <f>IF(B112&lt;&gt;"",_xll.BInterpol(maturities,zeros,B112,"linear","skip=true","sort=true","multix=average"),"")</f>
        <v/>
      </c>
      <c r="D112" s="38" t="str">
        <f>IF(B112&lt;&gt;"",_xll.BInterpol(maturities,discounts,B112,"linear","skip=true","sort=true","multix=average"),"")</f>
        <v/>
      </c>
      <c r="N112" s="70" t="e">
        <v>#N/A</v>
      </c>
    </row>
    <row r="113" spans="2:14" x14ac:dyDescent="0.25">
      <c r="B113" s="74" t="str">
        <f t="shared" si="1"/>
        <v/>
      </c>
      <c r="C113" s="46" t="str">
        <f>IF(B113&lt;&gt;"",_xll.BInterpol(maturities,zeros,B113,"linear","skip=true","sort=true","multix=average"),"")</f>
        <v/>
      </c>
      <c r="D113" s="39" t="str">
        <f>IF(B113&lt;&gt;"",_xll.BInterpol(maturities,discounts,B113,"linear","skip=true","sort=true","multix=average"),"")</f>
        <v/>
      </c>
      <c r="N113" s="70" t="e">
        <v>#N/A</v>
      </c>
    </row>
    <row r="114" spans="2:14" x14ac:dyDescent="0.25">
      <c r="B114" s="75" t="str">
        <f t="shared" si="1"/>
        <v/>
      </c>
      <c r="C114" s="45" t="str">
        <f>IF(B114&lt;&gt;"",_xll.BInterpol(maturities,zeros,B114,"linear","skip=true","sort=true","multix=average"),"")</f>
        <v/>
      </c>
      <c r="D114" s="38" t="str">
        <f>IF(B114&lt;&gt;"",_xll.BInterpol(maturities,discounts,B114,"linear","skip=true","sort=true","multix=average"),"")</f>
        <v/>
      </c>
      <c r="N114" s="70" t="e">
        <v>#N/A</v>
      </c>
    </row>
    <row r="115" spans="2:14" x14ac:dyDescent="0.25">
      <c r="B115" s="74" t="str">
        <f t="shared" si="1"/>
        <v/>
      </c>
      <c r="C115" s="46" t="str">
        <f>IF(B115&lt;&gt;"",_xll.BInterpol(maturities,zeros,B115,"linear","skip=true","sort=true","multix=average"),"")</f>
        <v/>
      </c>
      <c r="D115" s="39" t="str">
        <f>IF(B115&lt;&gt;"",_xll.BInterpol(maturities,discounts,B115,"linear","skip=true","sort=true","multix=average"),"")</f>
        <v/>
      </c>
      <c r="N115" s="70" t="e">
        <v>#N/A</v>
      </c>
    </row>
    <row r="116" spans="2:14" x14ac:dyDescent="0.25">
      <c r="B116" s="75" t="str">
        <f t="shared" si="1"/>
        <v/>
      </c>
      <c r="C116" s="45" t="str">
        <f>IF(B116&lt;&gt;"",_xll.BInterpol(maturities,zeros,B116,"linear","skip=true","sort=true","multix=average"),"")</f>
        <v/>
      </c>
      <c r="D116" s="38" t="str">
        <f>IF(B116&lt;&gt;"",_xll.BInterpol(maturities,discounts,B116,"linear","skip=true","sort=true","multix=average"),"")</f>
        <v/>
      </c>
      <c r="N116" s="70" t="e">
        <v>#N/A</v>
      </c>
    </row>
    <row r="117" spans="2:14" x14ac:dyDescent="0.25">
      <c r="B117" s="74" t="str">
        <f t="shared" si="1"/>
        <v/>
      </c>
      <c r="C117" s="46" t="str">
        <f>IF(B117&lt;&gt;"",_xll.BInterpol(maturities,zeros,B117,"linear","skip=true","sort=true","multix=average"),"")</f>
        <v/>
      </c>
      <c r="D117" s="39" t="str">
        <f>IF(B117&lt;&gt;"",_xll.BInterpol(maturities,discounts,B117,"linear","skip=true","sort=true","multix=average"),"")</f>
        <v/>
      </c>
      <c r="N117" s="70" t="e">
        <v>#N/A</v>
      </c>
    </row>
    <row r="118" spans="2:14" x14ac:dyDescent="0.25">
      <c r="B118" s="75" t="str">
        <f t="shared" si="1"/>
        <v/>
      </c>
      <c r="C118" s="45" t="str">
        <f>IF(B118&lt;&gt;"",_xll.BInterpol(maturities,zeros,B118,"linear","skip=true","sort=true","multix=average"),"")</f>
        <v/>
      </c>
      <c r="D118" s="38" t="str">
        <f>IF(B118&lt;&gt;"",_xll.BInterpol(maturities,discounts,B118,"linear","skip=true","sort=true","multix=average"),"")</f>
        <v/>
      </c>
      <c r="N118" s="70" t="e">
        <v>#N/A</v>
      </c>
    </row>
    <row r="119" spans="2:14" x14ac:dyDescent="0.25">
      <c r="B119" s="74" t="str">
        <f t="shared" si="1"/>
        <v/>
      </c>
      <c r="C119" s="46" t="str">
        <f>IF(B119&lt;&gt;"",_xll.BInterpol(maturities,zeros,B119,"linear","skip=true","sort=true","multix=average"),"")</f>
        <v/>
      </c>
      <c r="D119" s="39" t="str">
        <f>IF(B119&lt;&gt;"",_xll.BInterpol(maturities,discounts,B119,"linear","skip=true","sort=true","multix=average"),"")</f>
        <v/>
      </c>
      <c r="N119" s="70" t="e">
        <v>#N/A</v>
      </c>
    </row>
    <row r="120" spans="2:14" x14ac:dyDescent="0.25">
      <c r="B120" s="75" t="str">
        <f t="shared" si="1"/>
        <v/>
      </c>
      <c r="C120" s="45" t="str">
        <f>IF(B120&lt;&gt;"",_xll.BInterpol(maturities,zeros,B120,"linear","skip=true","sort=true","multix=average"),"")</f>
        <v/>
      </c>
      <c r="D120" s="38" t="str">
        <f>IF(B120&lt;&gt;"",_xll.BInterpol(maturities,discounts,B120,"linear","skip=true","sort=true","multix=average"),"")</f>
        <v/>
      </c>
      <c r="N120" s="70" t="e">
        <v>#N/A</v>
      </c>
    </row>
    <row r="121" spans="2:14" x14ac:dyDescent="0.25">
      <c r="B121" s="74" t="str">
        <f t="shared" si="1"/>
        <v/>
      </c>
      <c r="C121" s="46" t="str">
        <f>IF(B121&lt;&gt;"",_xll.BInterpol(maturities,zeros,B121,"linear","skip=true","sort=true","multix=average"),"")</f>
        <v/>
      </c>
      <c r="D121" s="39" t="str">
        <f>IF(B121&lt;&gt;"",_xll.BInterpol(maturities,discounts,B121,"linear","skip=true","sort=true","multix=average"),"")</f>
        <v/>
      </c>
      <c r="N121" s="70" t="e">
        <v>#N/A</v>
      </c>
    </row>
    <row r="122" spans="2:14" x14ac:dyDescent="0.25">
      <c r="B122" s="75" t="str">
        <f t="shared" si="1"/>
        <v/>
      </c>
      <c r="C122" s="45" t="str">
        <f>IF(B122&lt;&gt;"",_xll.BInterpol(maturities,zeros,B122,"linear","skip=true","sort=true","multix=average"),"")</f>
        <v/>
      </c>
      <c r="D122" s="38" t="str">
        <f>IF(B122&lt;&gt;"",_xll.BInterpol(maturities,discounts,B122,"linear","skip=true","sort=true","multix=average"),"")</f>
        <v/>
      </c>
      <c r="N122" s="70" t="e">
        <v>#N/A</v>
      </c>
    </row>
    <row r="123" spans="2:14" x14ac:dyDescent="0.25">
      <c r="B123" s="74" t="str">
        <f t="shared" si="1"/>
        <v/>
      </c>
      <c r="C123" s="46" t="str">
        <f>IF(B123&lt;&gt;"",_xll.BInterpol(maturities,zeros,B123,"linear","skip=true","sort=true","multix=average"),"")</f>
        <v/>
      </c>
      <c r="D123" s="39" t="str">
        <f>IF(B123&lt;&gt;"",_xll.BInterpol(maturities,discounts,B123,"linear","skip=true","sort=true","multix=average"),"")</f>
        <v/>
      </c>
      <c r="N123" s="70" t="e">
        <v>#N/A</v>
      </c>
    </row>
    <row r="124" spans="2:14" x14ac:dyDescent="0.25">
      <c r="B124" s="75" t="str">
        <f t="shared" si="1"/>
        <v/>
      </c>
      <c r="C124" s="45" t="str">
        <f>IF(B124&lt;&gt;"",_xll.BInterpol(maturities,zeros,B124,"linear","skip=true","sort=true","multix=average"),"")</f>
        <v/>
      </c>
      <c r="D124" s="38" t="str">
        <f>IF(B124&lt;&gt;"",_xll.BInterpol(maturities,discounts,B124,"linear","skip=true","sort=true","multix=average"),"")</f>
        <v/>
      </c>
      <c r="N124" s="70" t="e">
        <v>#N/A</v>
      </c>
    </row>
    <row r="125" spans="2:14" x14ac:dyDescent="0.25">
      <c r="B125" s="74" t="str">
        <f t="shared" si="1"/>
        <v/>
      </c>
      <c r="C125" s="46" t="str">
        <f>IF(B125&lt;&gt;"",_xll.BInterpol(maturities,zeros,B125,"linear","skip=true","sort=true","multix=average"),"")</f>
        <v/>
      </c>
      <c r="D125" s="39" t="str">
        <f>IF(B125&lt;&gt;"",_xll.BInterpol(maturities,discounts,B125,"linear","skip=true","sort=true","multix=average"),"")</f>
        <v/>
      </c>
      <c r="N125" s="70" t="e">
        <v>#N/A</v>
      </c>
    </row>
    <row r="126" spans="2:14" x14ac:dyDescent="0.25">
      <c r="B126" s="75" t="str">
        <f t="shared" si="1"/>
        <v/>
      </c>
      <c r="C126" s="45" t="str">
        <f>IF(B126&lt;&gt;"",_xll.BInterpol(maturities,zeros,B126,"linear","skip=true","sort=true","multix=average"),"")</f>
        <v/>
      </c>
      <c r="D126" s="38" t="str">
        <f>IF(B126&lt;&gt;"",_xll.BInterpol(maturities,discounts,B126,"linear","skip=true","sort=true","multix=average"),"")</f>
        <v/>
      </c>
      <c r="N126" s="70" t="e">
        <v>#N/A</v>
      </c>
    </row>
    <row r="127" spans="2:14" x14ac:dyDescent="0.25">
      <c r="B127" s="74" t="str">
        <f t="shared" si="1"/>
        <v/>
      </c>
      <c r="C127" s="46" t="str">
        <f>IF(B127&lt;&gt;"",_xll.BInterpol(maturities,zeros,B127,"linear","skip=true","sort=true","multix=average"),"")</f>
        <v/>
      </c>
      <c r="D127" s="39" t="str">
        <f>IF(B127&lt;&gt;"",_xll.BInterpol(maturities,discounts,B127,"linear","skip=true","sort=true","multix=average"),"")</f>
        <v/>
      </c>
      <c r="N127" s="70" t="e">
        <v>#N/A</v>
      </c>
    </row>
    <row r="128" spans="2:14" x14ac:dyDescent="0.25">
      <c r="B128" s="75" t="str">
        <f t="shared" si="1"/>
        <v/>
      </c>
      <c r="C128" s="45" t="str">
        <f>IF(B128&lt;&gt;"",_xll.BInterpol(maturities,zeros,B128,"linear","skip=true","sort=true","multix=average"),"")</f>
        <v/>
      </c>
      <c r="D128" s="38" t="str">
        <f>IF(B128&lt;&gt;"",_xll.BInterpol(maturities,discounts,B128,"linear","skip=true","sort=true","multix=average"),"")</f>
        <v/>
      </c>
      <c r="N128" s="70" t="e">
        <v>#N/A</v>
      </c>
    </row>
    <row r="129" spans="2:14" x14ac:dyDescent="0.25">
      <c r="B129" s="74" t="str">
        <f t="shared" si="1"/>
        <v/>
      </c>
      <c r="C129" s="46" t="str">
        <f>IF(B129&lt;&gt;"",_xll.BInterpol(maturities,zeros,B129,"linear","skip=true","sort=true","multix=average"),"")</f>
        <v/>
      </c>
      <c r="D129" s="39" t="str">
        <f>IF(B129&lt;&gt;"",_xll.BInterpol(maturities,discounts,B129,"linear","skip=true","sort=true","multix=average"),"")</f>
        <v/>
      </c>
      <c r="N129" s="70" t="e">
        <v>#N/A</v>
      </c>
    </row>
    <row r="130" spans="2:14" x14ac:dyDescent="0.25">
      <c r="B130" s="75" t="str">
        <f t="shared" si="1"/>
        <v/>
      </c>
      <c r="C130" s="45" t="str">
        <f>IF(B130&lt;&gt;"",_xll.BInterpol(maturities,zeros,B130,"linear","skip=true","sort=true","multix=average"),"")</f>
        <v/>
      </c>
      <c r="D130" s="38" t="str">
        <f>IF(B130&lt;&gt;"",_xll.BInterpol(maturities,discounts,B130,"linear","skip=true","sort=true","multix=average"),"")</f>
        <v/>
      </c>
      <c r="N130" s="70" t="e">
        <v>#N/A</v>
      </c>
    </row>
    <row r="131" spans="2:14" x14ac:dyDescent="0.25">
      <c r="B131" s="74" t="str">
        <f t="shared" si="1"/>
        <v/>
      </c>
      <c r="C131" s="46" t="str">
        <f>IF(B131&lt;&gt;"",_xll.BInterpol(maturities,zeros,B131,"linear","skip=true","sort=true","multix=average"),"")</f>
        <v/>
      </c>
      <c r="D131" s="39" t="str">
        <f>IF(B131&lt;&gt;"",_xll.BInterpol(maturities,discounts,B131,"linear","skip=true","sort=true","multix=average"),"")</f>
        <v/>
      </c>
      <c r="N131" s="70" t="e">
        <v>#N/A</v>
      </c>
    </row>
    <row r="132" spans="2:14" x14ac:dyDescent="0.25">
      <c r="B132" s="75" t="str">
        <f t="shared" si="1"/>
        <v/>
      </c>
      <c r="C132" s="45" t="str">
        <f>IF(B132&lt;&gt;"",_xll.BInterpol(maturities,zeros,B132,"linear","skip=true","sort=true","multix=average"),"")</f>
        <v/>
      </c>
      <c r="D132" s="38" t="str">
        <f>IF(B132&lt;&gt;"",_xll.BInterpol(maturities,discounts,B132,"linear","skip=true","sort=true","multix=average"),"")</f>
        <v/>
      </c>
      <c r="N132" s="70" t="e">
        <v>#N/A</v>
      </c>
    </row>
    <row r="133" spans="2:14" x14ac:dyDescent="0.25">
      <c r="B133" s="74" t="str">
        <f t="shared" si="1"/>
        <v/>
      </c>
      <c r="C133" s="46" t="str">
        <f>IF(B133&lt;&gt;"",_xll.BInterpol(maturities,zeros,B133,"linear","skip=true","sort=true","multix=average"),"")</f>
        <v/>
      </c>
      <c r="D133" s="39" t="str">
        <f>IF(B133&lt;&gt;"",_xll.BInterpol(maturities,discounts,B133,"linear","skip=true","sort=true","multix=average"),"")</f>
        <v/>
      </c>
      <c r="N133" s="70" t="e">
        <v>#N/A</v>
      </c>
    </row>
    <row r="134" spans="2:14" x14ac:dyDescent="0.25">
      <c r="B134" s="75" t="str">
        <f t="shared" si="1"/>
        <v/>
      </c>
      <c r="C134" s="45" t="str">
        <f>IF(B134&lt;&gt;"",_xll.BInterpol(maturities,zeros,B134,"linear","skip=true","sort=true","multix=average"),"")</f>
        <v/>
      </c>
      <c r="D134" s="38" t="str">
        <f>IF(B134&lt;&gt;"",_xll.BInterpol(maturities,discounts,B134,"linear","skip=true","sort=true","multix=average"),"")</f>
        <v/>
      </c>
      <c r="N134" s="70" t="e">
        <v>#N/A</v>
      </c>
    </row>
    <row r="135" spans="2:14" x14ac:dyDescent="0.25">
      <c r="B135" s="74" t="str">
        <f t="shared" si="1"/>
        <v/>
      </c>
      <c r="C135" s="46" t="str">
        <f>IF(B135&lt;&gt;"",_xll.BInterpol(maturities,zeros,B135,"linear","skip=true","sort=true","multix=average"),"")</f>
        <v/>
      </c>
      <c r="D135" s="39" t="str">
        <f>IF(B135&lt;&gt;"",_xll.BInterpol(maturities,discounts,B135,"linear","skip=true","sort=true","multix=average"),"")</f>
        <v/>
      </c>
      <c r="N135" s="70" t="e">
        <v>#N/A</v>
      </c>
    </row>
    <row r="136" spans="2:14" x14ac:dyDescent="0.25">
      <c r="B136" s="75" t="str">
        <f t="shared" si="1"/>
        <v/>
      </c>
      <c r="C136" s="45" t="str">
        <f>IF(B136&lt;&gt;"",_xll.BInterpol(maturities,zeros,B136,"linear","skip=true","sort=true","multix=average"),"")</f>
        <v/>
      </c>
      <c r="D136" s="38" t="str">
        <f>IF(B136&lt;&gt;"",_xll.BInterpol(maturities,discounts,B136,"linear","skip=true","sort=true","multix=average"),"")</f>
        <v/>
      </c>
      <c r="N136" s="70" t="e">
        <v>#N/A</v>
      </c>
    </row>
    <row r="137" spans="2:14" x14ac:dyDescent="0.25">
      <c r="B137" s="74" t="str">
        <f t="shared" si="1"/>
        <v/>
      </c>
      <c r="C137" s="46" t="str">
        <f>IF(B137&lt;&gt;"",_xll.BInterpol(maturities,zeros,B137,"linear","skip=true","sort=true","multix=average"),"")</f>
        <v/>
      </c>
      <c r="D137" s="39" t="str">
        <f>IF(B137&lt;&gt;"",_xll.BInterpol(maturities,discounts,B137,"linear","skip=true","sort=true","multix=average"),"")</f>
        <v/>
      </c>
      <c r="N137" s="70" t="e">
        <v>#N/A</v>
      </c>
    </row>
    <row r="138" spans="2:14" x14ac:dyDescent="0.25">
      <c r="B138" s="75" t="str">
        <f t="shared" si="1"/>
        <v/>
      </c>
      <c r="C138" s="45" t="str">
        <f>IF(B138&lt;&gt;"",_xll.BInterpol(maturities,zeros,B138,"linear","skip=true","sort=true","multix=average"),"")</f>
        <v/>
      </c>
      <c r="D138" s="38" t="str">
        <f>IF(B138&lt;&gt;"",_xll.BInterpol(maturities,discounts,B138,"linear","skip=true","sort=true","multix=average"),"")</f>
        <v/>
      </c>
      <c r="N138" s="70" t="e">
        <v>#N/A</v>
      </c>
    </row>
    <row r="139" spans="2:14" x14ac:dyDescent="0.25">
      <c r="B139" s="74" t="str">
        <f t="shared" si="1"/>
        <v/>
      </c>
      <c r="C139" s="46" t="str">
        <f>IF(B139&lt;&gt;"",_xll.BInterpol(maturities,zeros,B139,"linear","skip=true","sort=true","multix=average"),"")</f>
        <v/>
      </c>
      <c r="D139" s="39" t="str">
        <f>IF(B139&lt;&gt;"",_xll.BInterpol(maturities,discounts,B139,"linear","skip=true","sort=true","multix=average"),"")</f>
        <v/>
      </c>
      <c r="N139" s="70" t="e">
        <v>#N/A</v>
      </c>
    </row>
    <row r="140" spans="2:14" x14ac:dyDescent="0.25">
      <c r="B140" s="75" t="str">
        <f t="shared" si="1"/>
        <v/>
      </c>
      <c r="C140" s="45" t="str">
        <f>IF(B140&lt;&gt;"",_xll.BInterpol(maturities,zeros,B140,"linear","skip=true","sort=true","multix=average"),"")</f>
        <v/>
      </c>
      <c r="D140" s="38" t="str">
        <f>IF(B140&lt;&gt;"",_xll.BInterpol(maturities,discounts,B140,"linear","skip=true","sort=true","multix=average"),"")</f>
        <v/>
      </c>
      <c r="N140" s="70" t="e">
        <v>#N/A</v>
      </c>
    </row>
    <row r="141" spans="2:14" x14ac:dyDescent="0.25">
      <c r="B141" s="74" t="str">
        <f t="shared" si="1"/>
        <v/>
      </c>
      <c r="C141" s="46" t="str">
        <f>IF(B141&lt;&gt;"",_xll.BInterpol(maturities,zeros,B141,"linear","skip=true","sort=true","multix=average"),"")</f>
        <v/>
      </c>
      <c r="D141" s="39" t="str">
        <f>IF(B141&lt;&gt;"",_xll.BInterpol(maturities,discounts,B141,"linear","skip=true","sort=true","multix=average"),"")</f>
        <v/>
      </c>
      <c r="N141" s="70" t="e">
        <v>#N/A</v>
      </c>
    </row>
    <row r="142" spans="2:14" x14ac:dyDescent="0.25">
      <c r="B142" s="75" t="str">
        <f t="shared" ref="B142:B205" si="2">IF(ISNA(N142),"",N142)</f>
        <v/>
      </c>
      <c r="C142" s="45" t="str">
        <f>IF(B142&lt;&gt;"",_xll.BInterpol(maturities,zeros,B142,"linear","skip=true","sort=true","multix=average"),"")</f>
        <v/>
      </c>
      <c r="D142" s="38" t="str">
        <f>IF(B142&lt;&gt;"",_xll.BInterpol(maturities,discounts,B142,"linear","skip=true","sort=true","multix=average"),"")</f>
        <v/>
      </c>
      <c r="N142" s="70" t="e">
        <v>#N/A</v>
      </c>
    </row>
    <row r="143" spans="2:14" x14ac:dyDescent="0.25">
      <c r="B143" s="74" t="str">
        <f t="shared" si="2"/>
        <v/>
      </c>
      <c r="C143" s="46" t="str">
        <f>IF(B143&lt;&gt;"",_xll.BInterpol(maturities,zeros,B143,"linear","skip=true","sort=true","multix=average"),"")</f>
        <v/>
      </c>
      <c r="D143" s="39" t="str">
        <f>IF(B143&lt;&gt;"",_xll.BInterpol(maturities,discounts,B143,"linear","skip=true","sort=true","multix=average"),"")</f>
        <v/>
      </c>
      <c r="N143" s="70" t="e">
        <v>#N/A</v>
      </c>
    </row>
    <row r="144" spans="2:14" x14ac:dyDescent="0.25">
      <c r="B144" s="75" t="str">
        <f t="shared" si="2"/>
        <v/>
      </c>
      <c r="C144" s="45" t="str">
        <f>IF(B144&lt;&gt;"",_xll.BInterpol(maturities,zeros,B144,"linear","skip=true","sort=true","multix=average"),"")</f>
        <v/>
      </c>
      <c r="D144" s="38" t="str">
        <f>IF(B144&lt;&gt;"",_xll.BInterpol(maturities,discounts,B144,"linear","skip=true","sort=true","multix=average"),"")</f>
        <v/>
      </c>
      <c r="N144" s="70" t="e">
        <v>#N/A</v>
      </c>
    </row>
    <row r="145" spans="2:14" x14ac:dyDescent="0.25">
      <c r="B145" s="74" t="str">
        <f t="shared" si="2"/>
        <v/>
      </c>
      <c r="C145" s="46" t="str">
        <f>IF(B145&lt;&gt;"",_xll.BInterpol(maturities,zeros,B145,"linear","skip=true","sort=true","multix=average"),"")</f>
        <v/>
      </c>
      <c r="D145" s="39" t="str">
        <f>IF(B145&lt;&gt;"",_xll.BInterpol(maturities,discounts,B145,"linear","skip=true","sort=true","multix=average"),"")</f>
        <v/>
      </c>
      <c r="N145" s="70" t="e">
        <v>#N/A</v>
      </c>
    </row>
    <row r="146" spans="2:14" x14ac:dyDescent="0.25">
      <c r="B146" s="75" t="str">
        <f t="shared" si="2"/>
        <v/>
      </c>
      <c r="C146" s="45" t="str">
        <f>IF(B146&lt;&gt;"",_xll.BInterpol(maturities,zeros,B146,"linear","skip=true","sort=true","multix=average"),"")</f>
        <v/>
      </c>
      <c r="D146" s="38" t="str">
        <f>IF(B146&lt;&gt;"",_xll.BInterpol(maturities,discounts,B146,"linear","skip=true","sort=true","multix=average"),"")</f>
        <v/>
      </c>
      <c r="N146" s="70" t="e">
        <v>#N/A</v>
      </c>
    </row>
    <row r="147" spans="2:14" x14ac:dyDescent="0.25">
      <c r="B147" s="74" t="str">
        <f t="shared" si="2"/>
        <v/>
      </c>
      <c r="C147" s="46" t="str">
        <f>IF(B147&lt;&gt;"",_xll.BInterpol(maturities,zeros,B147,"linear","skip=true","sort=true","multix=average"),"")</f>
        <v/>
      </c>
      <c r="D147" s="39" t="str">
        <f>IF(B147&lt;&gt;"",_xll.BInterpol(maturities,discounts,B147,"linear","skip=true","sort=true","multix=average"),"")</f>
        <v/>
      </c>
      <c r="N147" s="70" t="e">
        <v>#N/A</v>
      </c>
    </row>
    <row r="148" spans="2:14" x14ac:dyDescent="0.25">
      <c r="B148" s="75" t="str">
        <f t="shared" si="2"/>
        <v/>
      </c>
      <c r="C148" s="45" t="str">
        <f>IF(B148&lt;&gt;"",_xll.BInterpol(maturities,zeros,B148,"linear","skip=true","sort=true","multix=average"),"")</f>
        <v/>
      </c>
      <c r="D148" s="38" t="str">
        <f>IF(B148&lt;&gt;"",_xll.BInterpol(maturities,discounts,B148,"linear","skip=true","sort=true","multix=average"),"")</f>
        <v/>
      </c>
      <c r="N148" s="70" t="e">
        <v>#N/A</v>
      </c>
    </row>
    <row r="149" spans="2:14" x14ac:dyDescent="0.25">
      <c r="B149" s="74" t="str">
        <f t="shared" si="2"/>
        <v/>
      </c>
      <c r="C149" s="46" t="str">
        <f>IF(B149&lt;&gt;"",_xll.BInterpol(maturities,zeros,B149,"linear","skip=true","sort=true","multix=average"),"")</f>
        <v/>
      </c>
      <c r="D149" s="39" t="str">
        <f>IF(B149&lt;&gt;"",_xll.BInterpol(maturities,discounts,B149,"linear","skip=true","sort=true","multix=average"),"")</f>
        <v/>
      </c>
      <c r="N149" s="70" t="e">
        <v>#N/A</v>
      </c>
    </row>
    <row r="150" spans="2:14" x14ac:dyDescent="0.25">
      <c r="B150" s="75" t="str">
        <f t="shared" si="2"/>
        <v/>
      </c>
      <c r="C150" s="45" t="str">
        <f>IF(B150&lt;&gt;"",_xll.BInterpol(maturities,zeros,B150,"linear","skip=true","sort=true","multix=average"),"")</f>
        <v/>
      </c>
      <c r="D150" s="38" t="str">
        <f>IF(B150&lt;&gt;"",_xll.BInterpol(maturities,discounts,B150,"linear","skip=true","sort=true","multix=average"),"")</f>
        <v/>
      </c>
      <c r="N150" s="70" t="e">
        <v>#N/A</v>
      </c>
    </row>
    <row r="151" spans="2:14" x14ac:dyDescent="0.25">
      <c r="B151" s="74" t="str">
        <f t="shared" si="2"/>
        <v/>
      </c>
      <c r="C151" s="46" t="str">
        <f>IF(B151&lt;&gt;"",_xll.BInterpol(maturities,zeros,B151,"linear","skip=true","sort=true","multix=average"),"")</f>
        <v/>
      </c>
      <c r="D151" s="39" t="str">
        <f>IF(B151&lt;&gt;"",_xll.BInterpol(maturities,discounts,B151,"linear","skip=true","sort=true","multix=average"),"")</f>
        <v/>
      </c>
      <c r="N151" s="70" t="e">
        <v>#N/A</v>
      </c>
    </row>
    <row r="152" spans="2:14" x14ac:dyDescent="0.25">
      <c r="B152" s="75" t="str">
        <f t="shared" si="2"/>
        <v/>
      </c>
      <c r="C152" s="45" t="str">
        <f>IF(B152&lt;&gt;"",_xll.BInterpol(maturities,zeros,B152,"linear","skip=true","sort=true","multix=average"),"")</f>
        <v/>
      </c>
      <c r="D152" s="38" t="str">
        <f>IF(B152&lt;&gt;"",_xll.BInterpol(maturities,discounts,B152,"linear","skip=true","sort=true","multix=average"),"")</f>
        <v/>
      </c>
      <c r="N152" s="70" t="e">
        <v>#N/A</v>
      </c>
    </row>
    <row r="153" spans="2:14" x14ac:dyDescent="0.25">
      <c r="B153" s="74" t="str">
        <f t="shared" si="2"/>
        <v/>
      </c>
      <c r="C153" s="46" t="str">
        <f>IF(B153&lt;&gt;"",_xll.BInterpol(maturities,zeros,B153,"linear","skip=true","sort=true","multix=average"),"")</f>
        <v/>
      </c>
      <c r="D153" s="39" t="str">
        <f>IF(B153&lt;&gt;"",_xll.BInterpol(maturities,discounts,B153,"linear","skip=true","sort=true","multix=average"),"")</f>
        <v/>
      </c>
      <c r="N153" s="70" t="e">
        <v>#N/A</v>
      </c>
    </row>
    <row r="154" spans="2:14" x14ac:dyDescent="0.25">
      <c r="B154" s="75" t="str">
        <f t="shared" si="2"/>
        <v/>
      </c>
      <c r="C154" s="45" t="str">
        <f>IF(B154&lt;&gt;"",_xll.BInterpol(maturities,zeros,B154,"linear","skip=true","sort=true","multix=average"),"")</f>
        <v/>
      </c>
      <c r="D154" s="38" t="str">
        <f>IF(B154&lt;&gt;"",_xll.BInterpol(maturities,discounts,B154,"linear","skip=true","sort=true","multix=average"),"")</f>
        <v/>
      </c>
      <c r="N154" s="70" t="e">
        <v>#N/A</v>
      </c>
    </row>
    <row r="155" spans="2:14" x14ac:dyDescent="0.25">
      <c r="B155" s="74" t="str">
        <f t="shared" si="2"/>
        <v/>
      </c>
      <c r="C155" s="46" t="str">
        <f>IF(B155&lt;&gt;"",_xll.BInterpol(maturities,zeros,B155,"linear","skip=true","sort=true","multix=average"),"")</f>
        <v/>
      </c>
      <c r="D155" s="39" t="str">
        <f>IF(B155&lt;&gt;"",_xll.BInterpol(maturities,discounts,B155,"linear","skip=true","sort=true","multix=average"),"")</f>
        <v/>
      </c>
      <c r="N155" s="70" t="e">
        <v>#N/A</v>
      </c>
    </row>
    <row r="156" spans="2:14" x14ac:dyDescent="0.25">
      <c r="B156" s="75" t="str">
        <f t="shared" si="2"/>
        <v/>
      </c>
      <c r="C156" s="45" t="str">
        <f>IF(B156&lt;&gt;"",_xll.BInterpol(maturities,zeros,B156,"linear","skip=true","sort=true","multix=average"),"")</f>
        <v/>
      </c>
      <c r="D156" s="38" t="str">
        <f>IF(B156&lt;&gt;"",_xll.BInterpol(maturities,discounts,B156,"linear","skip=true","sort=true","multix=average"),"")</f>
        <v/>
      </c>
      <c r="N156" s="70" t="e">
        <v>#N/A</v>
      </c>
    </row>
    <row r="157" spans="2:14" x14ac:dyDescent="0.25">
      <c r="B157" s="74" t="str">
        <f t="shared" si="2"/>
        <v/>
      </c>
      <c r="C157" s="46" t="str">
        <f>IF(B157&lt;&gt;"",_xll.BInterpol(maturities,zeros,B157,"linear","skip=true","sort=true","multix=average"),"")</f>
        <v/>
      </c>
      <c r="D157" s="39" t="str">
        <f>IF(B157&lt;&gt;"",_xll.BInterpol(maturities,discounts,B157,"linear","skip=true","sort=true","multix=average"),"")</f>
        <v/>
      </c>
      <c r="N157" s="70" t="e">
        <v>#N/A</v>
      </c>
    </row>
    <row r="158" spans="2:14" x14ac:dyDescent="0.25">
      <c r="B158" s="75" t="str">
        <f t="shared" si="2"/>
        <v/>
      </c>
      <c r="C158" s="45" t="str">
        <f>IF(B158&lt;&gt;"",_xll.BInterpol(maturities,zeros,B158,"linear","skip=true","sort=true","multix=average"),"")</f>
        <v/>
      </c>
      <c r="D158" s="38" t="str">
        <f>IF(B158&lt;&gt;"",_xll.BInterpol(maturities,discounts,B158,"linear","skip=true","sort=true","multix=average"),"")</f>
        <v/>
      </c>
      <c r="N158" s="70" t="e">
        <v>#N/A</v>
      </c>
    </row>
    <row r="159" spans="2:14" x14ac:dyDescent="0.25">
      <c r="B159" s="74" t="str">
        <f t="shared" si="2"/>
        <v/>
      </c>
      <c r="C159" s="46" t="str">
        <f>IF(B159&lt;&gt;"",_xll.BInterpol(maturities,zeros,B159,"linear","skip=true","sort=true","multix=average"),"")</f>
        <v/>
      </c>
      <c r="D159" s="39" t="str">
        <f>IF(B159&lt;&gt;"",_xll.BInterpol(maturities,discounts,B159,"linear","skip=true","sort=true","multix=average"),"")</f>
        <v/>
      </c>
      <c r="N159" s="70" t="e">
        <v>#N/A</v>
      </c>
    </row>
    <row r="160" spans="2:14" x14ac:dyDescent="0.25">
      <c r="B160" s="75" t="str">
        <f t="shared" si="2"/>
        <v/>
      </c>
      <c r="C160" s="45" t="str">
        <f>IF(B160&lt;&gt;"",_xll.BInterpol(maturities,zeros,B160,"linear","skip=true","sort=true","multix=average"),"")</f>
        <v/>
      </c>
      <c r="D160" s="38" t="str">
        <f>IF(B160&lt;&gt;"",_xll.BInterpol(maturities,discounts,B160,"linear","skip=true","sort=true","multix=average"),"")</f>
        <v/>
      </c>
      <c r="N160" s="70" t="e">
        <v>#N/A</v>
      </c>
    </row>
    <row r="161" spans="2:14" x14ac:dyDescent="0.25">
      <c r="B161" s="74" t="str">
        <f t="shared" si="2"/>
        <v/>
      </c>
      <c r="C161" s="46" t="str">
        <f>IF(B161&lt;&gt;"",_xll.BInterpol(maturities,zeros,B161,"linear","skip=true","sort=true","multix=average"),"")</f>
        <v/>
      </c>
      <c r="D161" s="39" t="str">
        <f>IF(B161&lt;&gt;"",_xll.BInterpol(maturities,discounts,B161,"linear","skip=true","sort=true","multix=average"),"")</f>
        <v/>
      </c>
      <c r="N161" s="70" t="e">
        <v>#N/A</v>
      </c>
    </row>
    <row r="162" spans="2:14" x14ac:dyDescent="0.25">
      <c r="B162" s="75" t="str">
        <f t="shared" si="2"/>
        <v/>
      </c>
      <c r="C162" s="45" t="str">
        <f>IF(B162&lt;&gt;"",_xll.BInterpol(maturities,zeros,B162,"linear","skip=true","sort=true","multix=average"),"")</f>
        <v/>
      </c>
      <c r="D162" s="38" t="str">
        <f>IF(B162&lt;&gt;"",_xll.BInterpol(maturities,discounts,B162,"linear","skip=true","sort=true","multix=average"),"")</f>
        <v/>
      </c>
      <c r="N162" s="70" t="e">
        <v>#N/A</v>
      </c>
    </row>
    <row r="163" spans="2:14" x14ac:dyDescent="0.25">
      <c r="B163" s="74" t="str">
        <f t="shared" si="2"/>
        <v/>
      </c>
      <c r="C163" s="46" t="str">
        <f>IF(B163&lt;&gt;"",_xll.BInterpol(maturities,zeros,B163,"linear","skip=true","sort=true","multix=average"),"")</f>
        <v/>
      </c>
      <c r="D163" s="39" t="str">
        <f>IF(B163&lt;&gt;"",_xll.BInterpol(maturities,discounts,B163,"linear","skip=true","sort=true","multix=average"),"")</f>
        <v/>
      </c>
      <c r="N163" s="70" t="e">
        <v>#N/A</v>
      </c>
    </row>
    <row r="164" spans="2:14" x14ac:dyDescent="0.25">
      <c r="B164" s="75" t="str">
        <f t="shared" si="2"/>
        <v/>
      </c>
      <c r="C164" s="45" t="str">
        <f>IF(B164&lt;&gt;"",_xll.BInterpol(maturities,zeros,B164,"linear","skip=true","sort=true","multix=average"),"")</f>
        <v/>
      </c>
      <c r="D164" s="38" t="str">
        <f>IF(B164&lt;&gt;"",_xll.BInterpol(maturities,discounts,B164,"linear","skip=true","sort=true","multix=average"),"")</f>
        <v/>
      </c>
      <c r="N164" s="70" t="e">
        <v>#N/A</v>
      </c>
    </row>
    <row r="165" spans="2:14" x14ac:dyDescent="0.25">
      <c r="B165" s="74" t="str">
        <f t="shared" si="2"/>
        <v/>
      </c>
      <c r="C165" s="46" t="str">
        <f>IF(B165&lt;&gt;"",_xll.BInterpol(maturities,zeros,B165,"linear","skip=true","sort=true","multix=average"),"")</f>
        <v/>
      </c>
      <c r="D165" s="39" t="str">
        <f>IF(B165&lt;&gt;"",_xll.BInterpol(maturities,discounts,B165,"linear","skip=true","sort=true","multix=average"),"")</f>
        <v/>
      </c>
      <c r="N165" s="70" t="e">
        <v>#N/A</v>
      </c>
    </row>
    <row r="166" spans="2:14" x14ac:dyDescent="0.25">
      <c r="B166" s="75" t="str">
        <f t="shared" si="2"/>
        <v/>
      </c>
      <c r="C166" s="45" t="str">
        <f>IF(B166&lt;&gt;"",_xll.BInterpol(maturities,zeros,B166,"linear","skip=true","sort=true","multix=average"),"")</f>
        <v/>
      </c>
      <c r="D166" s="38" t="str">
        <f>IF(B166&lt;&gt;"",_xll.BInterpol(maturities,discounts,B166,"linear","skip=true","sort=true","multix=average"),"")</f>
        <v/>
      </c>
      <c r="N166" s="70" t="e">
        <v>#N/A</v>
      </c>
    </row>
    <row r="167" spans="2:14" x14ac:dyDescent="0.25">
      <c r="B167" s="74" t="str">
        <f t="shared" si="2"/>
        <v/>
      </c>
      <c r="C167" s="46" t="str">
        <f>IF(B167&lt;&gt;"",_xll.BInterpol(maturities,zeros,B167,"linear","skip=true","sort=true","multix=average"),"")</f>
        <v/>
      </c>
      <c r="D167" s="39" t="str">
        <f>IF(B167&lt;&gt;"",_xll.BInterpol(maturities,discounts,B167,"linear","skip=true","sort=true","multix=average"),"")</f>
        <v/>
      </c>
      <c r="N167" s="70" t="e">
        <v>#N/A</v>
      </c>
    </row>
    <row r="168" spans="2:14" x14ac:dyDescent="0.25">
      <c r="B168" s="75" t="str">
        <f t="shared" si="2"/>
        <v/>
      </c>
      <c r="C168" s="45" t="str">
        <f>IF(B168&lt;&gt;"",_xll.BInterpol(maturities,zeros,B168,"linear","skip=true","sort=true","multix=average"),"")</f>
        <v/>
      </c>
      <c r="D168" s="38" t="str">
        <f>IF(B168&lt;&gt;"",_xll.BInterpol(maturities,discounts,B168,"linear","skip=true","sort=true","multix=average"),"")</f>
        <v/>
      </c>
      <c r="N168" s="70" t="e">
        <v>#N/A</v>
      </c>
    </row>
    <row r="169" spans="2:14" x14ac:dyDescent="0.25">
      <c r="B169" s="74" t="str">
        <f t="shared" si="2"/>
        <v/>
      </c>
      <c r="C169" s="46" t="str">
        <f>IF(B169&lt;&gt;"",_xll.BInterpol(maturities,zeros,B169,"linear","skip=true","sort=true","multix=average"),"")</f>
        <v/>
      </c>
      <c r="D169" s="39" t="str">
        <f>IF(B169&lt;&gt;"",_xll.BInterpol(maturities,discounts,B169,"linear","skip=true","sort=true","multix=average"),"")</f>
        <v/>
      </c>
      <c r="N169" s="70" t="e">
        <v>#N/A</v>
      </c>
    </row>
    <row r="170" spans="2:14" x14ac:dyDescent="0.25">
      <c r="B170" s="75" t="str">
        <f t="shared" si="2"/>
        <v/>
      </c>
      <c r="C170" s="45" t="str">
        <f>IF(B170&lt;&gt;"",_xll.BInterpol(maturities,zeros,B170,"linear","skip=true","sort=true","multix=average"),"")</f>
        <v/>
      </c>
      <c r="D170" s="38" t="str">
        <f>IF(B170&lt;&gt;"",_xll.BInterpol(maturities,discounts,B170,"linear","skip=true","sort=true","multix=average"),"")</f>
        <v/>
      </c>
      <c r="N170" s="70" t="e">
        <v>#N/A</v>
      </c>
    </row>
    <row r="171" spans="2:14" x14ac:dyDescent="0.25">
      <c r="B171" s="74" t="str">
        <f t="shared" si="2"/>
        <v/>
      </c>
      <c r="C171" s="46" t="str">
        <f>IF(B171&lt;&gt;"",_xll.BInterpol(maturities,zeros,B171,"linear","skip=true","sort=true","multix=average"),"")</f>
        <v/>
      </c>
      <c r="D171" s="39" t="str">
        <f>IF(B171&lt;&gt;"",_xll.BInterpol(maturities,discounts,B171,"linear","skip=true","sort=true","multix=average"),"")</f>
        <v/>
      </c>
      <c r="N171" s="70" t="e">
        <v>#N/A</v>
      </c>
    </row>
    <row r="172" spans="2:14" x14ac:dyDescent="0.25">
      <c r="B172" s="75" t="str">
        <f t="shared" si="2"/>
        <v/>
      </c>
      <c r="C172" s="45" t="str">
        <f>IF(B172&lt;&gt;"",_xll.BInterpol(maturities,zeros,B172,"linear","skip=true","sort=true","multix=average"),"")</f>
        <v/>
      </c>
      <c r="D172" s="38" t="str">
        <f>IF(B172&lt;&gt;"",_xll.BInterpol(maturities,discounts,B172,"linear","skip=true","sort=true","multix=average"),"")</f>
        <v/>
      </c>
      <c r="N172" s="70" t="e">
        <v>#N/A</v>
      </c>
    </row>
    <row r="173" spans="2:14" x14ac:dyDescent="0.25">
      <c r="B173" s="74" t="str">
        <f t="shared" si="2"/>
        <v/>
      </c>
      <c r="C173" s="46" t="str">
        <f>IF(B173&lt;&gt;"",_xll.BInterpol(maturities,zeros,B173,"linear","skip=true","sort=true","multix=average"),"")</f>
        <v/>
      </c>
      <c r="D173" s="39" t="str">
        <f>IF(B173&lt;&gt;"",_xll.BInterpol(maturities,discounts,B173,"linear","skip=true","sort=true","multix=average"),"")</f>
        <v/>
      </c>
      <c r="N173" s="70" t="e">
        <v>#N/A</v>
      </c>
    </row>
    <row r="174" spans="2:14" x14ac:dyDescent="0.25">
      <c r="B174" s="75" t="str">
        <f t="shared" si="2"/>
        <v/>
      </c>
      <c r="C174" s="45" t="str">
        <f>IF(B174&lt;&gt;"",_xll.BInterpol(maturities,zeros,B174,"linear","skip=true","sort=true","multix=average"),"")</f>
        <v/>
      </c>
      <c r="D174" s="38" t="str">
        <f>IF(B174&lt;&gt;"",_xll.BInterpol(maturities,discounts,B174,"linear","skip=true","sort=true","multix=average"),"")</f>
        <v/>
      </c>
      <c r="N174" s="70" t="e">
        <v>#N/A</v>
      </c>
    </row>
    <row r="175" spans="2:14" x14ac:dyDescent="0.25">
      <c r="B175" s="74" t="str">
        <f t="shared" si="2"/>
        <v/>
      </c>
      <c r="C175" s="46" t="str">
        <f>IF(B175&lt;&gt;"",_xll.BInterpol(maturities,zeros,B175,"linear","skip=true","sort=true","multix=average"),"")</f>
        <v/>
      </c>
      <c r="D175" s="39" t="str">
        <f>IF(B175&lt;&gt;"",_xll.BInterpol(maturities,discounts,B175,"linear","skip=true","sort=true","multix=average"),"")</f>
        <v/>
      </c>
      <c r="N175" s="70" t="e">
        <v>#N/A</v>
      </c>
    </row>
    <row r="176" spans="2:14" x14ac:dyDescent="0.25">
      <c r="B176" s="75" t="str">
        <f t="shared" si="2"/>
        <v/>
      </c>
      <c r="C176" s="45" t="str">
        <f>IF(B176&lt;&gt;"",_xll.BInterpol(maturities,zeros,B176,"linear","skip=true","sort=true","multix=average"),"")</f>
        <v/>
      </c>
      <c r="D176" s="38" t="str">
        <f>IF(B176&lt;&gt;"",_xll.BInterpol(maturities,discounts,B176,"linear","skip=true","sort=true","multix=average"),"")</f>
        <v/>
      </c>
      <c r="N176" s="70" t="e">
        <v>#N/A</v>
      </c>
    </row>
    <row r="177" spans="2:14" x14ac:dyDescent="0.25">
      <c r="B177" s="74" t="str">
        <f t="shared" si="2"/>
        <v/>
      </c>
      <c r="C177" s="46" t="str">
        <f>IF(B177&lt;&gt;"",_xll.BInterpol(maturities,zeros,B177,"linear","skip=true","sort=true","multix=average"),"")</f>
        <v/>
      </c>
      <c r="D177" s="39" t="str">
        <f>IF(B177&lt;&gt;"",_xll.BInterpol(maturities,discounts,B177,"linear","skip=true","sort=true","multix=average"),"")</f>
        <v/>
      </c>
      <c r="N177" s="70" t="e">
        <v>#N/A</v>
      </c>
    </row>
    <row r="178" spans="2:14" x14ac:dyDescent="0.25">
      <c r="B178" s="75" t="str">
        <f t="shared" si="2"/>
        <v/>
      </c>
      <c r="C178" s="45" t="str">
        <f>IF(B178&lt;&gt;"",_xll.BInterpol(maturities,zeros,B178,"linear","skip=true","sort=true","multix=average"),"")</f>
        <v/>
      </c>
      <c r="D178" s="38" t="str">
        <f>IF(B178&lt;&gt;"",_xll.BInterpol(maturities,discounts,B178,"linear","skip=true","sort=true","multix=average"),"")</f>
        <v/>
      </c>
      <c r="N178" s="70" t="e">
        <v>#N/A</v>
      </c>
    </row>
    <row r="179" spans="2:14" x14ac:dyDescent="0.25">
      <c r="B179" s="74" t="str">
        <f t="shared" si="2"/>
        <v/>
      </c>
      <c r="C179" s="46" t="str">
        <f>IF(B179&lt;&gt;"",_xll.BInterpol(maturities,zeros,B179,"linear","skip=true","sort=true","multix=average"),"")</f>
        <v/>
      </c>
      <c r="D179" s="39" t="str">
        <f>IF(B179&lt;&gt;"",_xll.BInterpol(maturities,discounts,B179,"linear","skip=true","sort=true","multix=average"),"")</f>
        <v/>
      </c>
      <c r="N179" s="70" t="e">
        <v>#N/A</v>
      </c>
    </row>
    <row r="180" spans="2:14" x14ac:dyDescent="0.25">
      <c r="B180" s="75" t="str">
        <f t="shared" si="2"/>
        <v/>
      </c>
      <c r="C180" s="45" t="str">
        <f>IF(B180&lt;&gt;"",_xll.BInterpol(maturities,zeros,B180,"linear","skip=true","sort=true","multix=average"),"")</f>
        <v/>
      </c>
      <c r="D180" s="38" t="str">
        <f>IF(B180&lt;&gt;"",_xll.BInterpol(maturities,discounts,B180,"linear","skip=true","sort=true","multix=average"),"")</f>
        <v/>
      </c>
      <c r="N180" s="70" t="e">
        <v>#N/A</v>
      </c>
    </row>
    <row r="181" spans="2:14" x14ac:dyDescent="0.25">
      <c r="B181" s="74" t="str">
        <f t="shared" si="2"/>
        <v/>
      </c>
      <c r="C181" s="46" t="str">
        <f>IF(B181&lt;&gt;"",_xll.BInterpol(maturities,zeros,B181,"linear","skip=true","sort=true","multix=average"),"")</f>
        <v/>
      </c>
      <c r="D181" s="39" t="str">
        <f>IF(B181&lt;&gt;"",_xll.BInterpol(maturities,discounts,B181,"linear","skip=true","sort=true","multix=average"),"")</f>
        <v/>
      </c>
      <c r="N181" s="70" t="e">
        <v>#N/A</v>
      </c>
    </row>
    <row r="182" spans="2:14" x14ac:dyDescent="0.25">
      <c r="B182" s="75" t="str">
        <f t="shared" si="2"/>
        <v/>
      </c>
      <c r="C182" s="45" t="str">
        <f>IF(B182&lt;&gt;"",_xll.BInterpol(maturities,zeros,B182,"linear","skip=true","sort=true","multix=average"),"")</f>
        <v/>
      </c>
      <c r="D182" s="38" t="str">
        <f>IF(B182&lt;&gt;"",_xll.BInterpol(maturities,discounts,B182,"linear","skip=true","sort=true","multix=average"),"")</f>
        <v/>
      </c>
      <c r="N182" s="70" t="e">
        <v>#N/A</v>
      </c>
    </row>
    <row r="183" spans="2:14" x14ac:dyDescent="0.25">
      <c r="B183" s="74" t="str">
        <f t="shared" si="2"/>
        <v/>
      </c>
      <c r="C183" s="46" t="str">
        <f>IF(B183&lt;&gt;"",_xll.BInterpol(maturities,zeros,B183,"linear","skip=true","sort=true","multix=average"),"")</f>
        <v/>
      </c>
      <c r="D183" s="39" t="str">
        <f>IF(B183&lt;&gt;"",_xll.BInterpol(maturities,discounts,B183,"linear","skip=true","sort=true","multix=average"),"")</f>
        <v/>
      </c>
      <c r="N183" s="70" t="e">
        <v>#N/A</v>
      </c>
    </row>
    <row r="184" spans="2:14" x14ac:dyDescent="0.25">
      <c r="B184" s="75" t="str">
        <f t="shared" si="2"/>
        <v/>
      </c>
      <c r="C184" s="45" t="str">
        <f>IF(B184&lt;&gt;"",_xll.BInterpol(maturities,zeros,B184,"linear","skip=true","sort=true","multix=average"),"")</f>
        <v/>
      </c>
      <c r="D184" s="38" t="str">
        <f>IF(B184&lt;&gt;"",_xll.BInterpol(maturities,discounts,B184,"linear","skip=true","sort=true","multix=average"),"")</f>
        <v/>
      </c>
      <c r="N184" s="70" t="e">
        <v>#N/A</v>
      </c>
    </row>
    <row r="185" spans="2:14" x14ac:dyDescent="0.25">
      <c r="B185" s="74" t="str">
        <f t="shared" si="2"/>
        <v/>
      </c>
      <c r="C185" s="46" t="str">
        <f>IF(B185&lt;&gt;"",_xll.BInterpol(maturities,zeros,B185,"linear","skip=true","sort=true","multix=average"),"")</f>
        <v/>
      </c>
      <c r="D185" s="39" t="str">
        <f>IF(B185&lt;&gt;"",_xll.BInterpol(maturities,discounts,B185,"linear","skip=true","sort=true","multix=average"),"")</f>
        <v/>
      </c>
      <c r="N185" s="70" t="e">
        <v>#N/A</v>
      </c>
    </row>
    <row r="186" spans="2:14" x14ac:dyDescent="0.25">
      <c r="B186" s="75" t="str">
        <f t="shared" si="2"/>
        <v/>
      </c>
      <c r="C186" s="45" t="str">
        <f>IF(B186&lt;&gt;"",_xll.BInterpol(maturities,zeros,B186,"linear","skip=true","sort=true","multix=average"),"")</f>
        <v/>
      </c>
      <c r="D186" s="38" t="str">
        <f>IF(B186&lt;&gt;"",_xll.BInterpol(maturities,discounts,B186,"linear","skip=true","sort=true","multix=average"),"")</f>
        <v/>
      </c>
      <c r="N186" s="70" t="e">
        <v>#N/A</v>
      </c>
    </row>
    <row r="187" spans="2:14" x14ac:dyDescent="0.25">
      <c r="B187" s="74" t="str">
        <f t="shared" si="2"/>
        <v/>
      </c>
      <c r="C187" s="46" t="str">
        <f>IF(B187&lt;&gt;"",_xll.BInterpol(maturities,zeros,B187,"linear","skip=true","sort=true","multix=average"),"")</f>
        <v/>
      </c>
      <c r="D187" s="39" t="str">
        <f>IF(B187&lt;&gt;"",_xll.BInterpol(maturities,discounts,B187,"linear","skip=true","sort=true","multix=average"),"")</f>
        <v/>
      </c>
      <c r="N187" s="70" t="e">
        <v>#N/A</v>
      </c>
    </row>
    <row r="188" spans="2:14" x14ac:dyDescent="0.25">
      <c r="B188" s="75" t="str">
        <f t="shared" si="2"/>
        <v/>
      </c>
      <c r="C188" s="45" t="str">
        <f>IF(B188&lt;&gt;"",_xll.BInterpol(maturities,zeros,B188,"linear","skip=true","sort=true","multix=average"),"")</f>
        <v/>
      </c>
      <c r="D188" s="38" t="str">
        <f>IF(B188&lt;&gt;"",_xll.BInterpol(maturities,discounts,B188,"linear","skip=true","sort=true","multix=average"),"")</f>
        <v/>
      </c>
      <c r="N188" s="70" t="e">
        <v>#N/A</v>
      </c>
    </row>
    <row r="189" spans="2:14" x14ac:dyDescent="0.25">
      <c r="B189" s="74" t="str">
        <f t="shared" si="2"/>
        <v/>
      </c>
      <c r="C189" s="46" t="str">
        <f>IF(B189&lt;&gt;"",_xll.BInterpol(maturities,zeros,B189,"linear","skip=true","sort=true","multix=average"),"")</f>
        <v/>
      </c>
      <c r="D189" s="39" t="str">
        <f>IF(B189&lt;&gt;"",_xll.BInterpol(maturities,discounts,B189,"linear","skip=true","sort=true","multix=average"),"")</f>
        <v/>
      </c>
      <c r="N189" s="70" t="e">
        <v>#N/A</v>
      </c>
    </row>
    <row r="190" spans="2:14" x14ac:dyDescent="0.25">
      <c r="B190" s="75" t="str">
        <f t="shared" si="2"/>
        <v/>
      </c>
      <c r="C190" s="45" t="str">
        <f>IF(B190&lt;&gt;"",_xll.BInterpol(maturities,zeros,B190,"linear","skip=true","sort=true","multix=average"),"")</f>
        <v/>
      </c>
      <c r="D190" s="38" t="str">
        <f>IF(B190&lt;&gt;"",_xll.BInterpol(maturities,discounts,B190,"linear","skip=true","sort=true","multix=average"),"")</f>
        <v/>
      </c>
      <c r="N190" s="70" t="e">
        <v>#N/A</v>
      </c>
    </row>
    <row r="191" spans="2:14" x14ac:dyDescent="0.25">
      <c r="B191" s="74" t="str">
        <f t="shared" si="2"/>
        <v/>
      </c>
      <c r="C191" s="46" t="str">
        <f>IF(B191&lt;&gt;"",_xll.BInterpol(maturities,zeros,B191,"linear","skip=true","sort=true","multix=average"),"")</f>
        <v/>
      </c>
      <c r="D191" s="39" t="str">
        <f>IF(B191&lt;&gt;"",_xll.BInterpol(maturities,discounts,B191,"linear","skip=true","sort=true","multix=average"),"")</f>
        <v/>
      </c>
      <c r="N191" s="70" t="e">
        <v>#N/A</v>
      </c>
    </row>
    <row r="192" spans="2:14" x14ac:dyDescent="0.25">
      <c r="B192" s="75" t="str">
        <f t="shared" si="2"/>
        <v/>
      </c>
      <c r="C192" s="45" t="str">
        <f>IF(B192&lt;&gt;"",_xll.BInterpol(maturities,zeros,B192,"linear","skip=true","sort=true","multix=average"),"")</f>
        <v/>
      </c>
      <c r="D192" s="38" t="str">
        <f>IF(B192&lt;&gt;"",_xll.BInterpol(maturities,discounts,B192,"linear","skip=true","sort=true","multix=average"),"")</f>
        <v/>
      </c>
      <c r="N192" s="70" t="e">
        <v>#N/A</v>
      </c>
    </row>
    <row r="193" spans="2:14" x14ac:dyDescent="0.25">
      <c r="B193" s="74" t="str">
        <f t="shared" si="2"/>
        <v/>
      </c>
      <c r="C193" s="46" t="str">
        <f>IF(B193&lt;&gt;"",_xll.BInterpol(maturities,zeros,B193,"linear","skip=true","sort=true","multix=average"),"")</f>
        <v/>
      </c>
      <c r="D193" s="39" t="str">
        <f>IF(B193&lt;&gt;"",_xll.BInterpol(maturities,discounts,B193,"linear","skip=true","sort=true","multix=average"),"")</f>
        <v/>
      </c>
      <c r="N193" s="70" t="e">
        <v>#N/A</v>
      </c>
    </row>
    <row r="194" spans="2:14" x14ac:dyDescent="0.25">
      <c r="B194" s="75" t="str">
        <f t="shared" si="2"/>
        <v/>
      </c>
      <c r="C194" s="45" t="str">
        <f>IF(B194&lt;&gt;"",_xll.BInterpol(maturities,zeros,B194,"linear","skip=true","sort=true","multix=average"),"")</f>
        <v/>
      </c>
      <c r="D194" s="38" t="str">
        <f>IF(B194&lt;&gt;"",_xll.BInterpol(maturities,discounts,B194,"linear","skip=true","sort=true","multix=average"),"")</f>
        <v/>
      </c>
      <c r="N194" s="70" t="e">
        <v>#N/A</v>
      </c>
    </row>
    <row r="195" spans="2:14" x14ac:dyDescent="0.25">
      <c r="B195" s="74" t="str">
        <f t="shared" si="2"/>
        <v/>
      </c>
      <c r="C195" s="46" t="str">
        <f>IF(B195&lt;&gt;"",_xll.BInterpol(maturities,zeros,B195,"linear","skip=true","sort=true","multix=average"),"")</f>
        <v/>
      </c>
      <c r="D195" s="39" t="str">
        <f>IF(B195&lt;&gt;"",_xll.BInterpol(maturities,discounts,B195,"linear","skip=true","sort=true","multix=average"),"")</f>
        <v/>
      </c>
      <c r="N195" s="70" t="e">
        <v>#N/A</v>
      </c>
    </row>
    <row r="196" spans="2:14" x14ac:dyDescent="0.25">
      <c r="B196" s="75" t="str">
        <f t="shared" si="2"/>
        <v/>
      </c>
      <c r="C196" s="45" t="str">
        <f>IF(B196&lt;&gt;"",_xll.BInterpol(maturities,zeros,B196,"linear","skip=true","sort=true","multix=average"),"")</f>
        <v/>
      </c>
      <c r="D196" s="38" t="str">
        <f>IF(B196&lt;&gt;"",_xll.BInterpol(maturities,discounts,B196,"linear","skip=true","sort=true","multix=average"),"")</f>
        <v/>
      </c>
      <c r="N196" s="70" t="e">
        <v>#N/A</v>
      </c>
    </row>
    <row r="197" spans="2:14" x14ac:dyDescent="0.25">
      <c r="B197" s="74" t="str">
        <f t="shared" si="2"/>
        <v/>
      </c>
      <c r="C197" s="46" t="str">
        <f>IF(B197&lt;&gt;"",_xll.BInterpol(maturities,zeros,B197,"linear","skip=true","sort=true","multix=average"),"")</f>
        <v/>
      </c>
      <c r="D197" s="39" t="str">
        <f>IF(B197&lt;&gt;"",_xll.BInterpol(maturities,discounts,B197,"linear","skip=true","sort=true","multix=average"),"")</f>
        <v/>
      </c>
      <c r="N197" s="70" t="e">
        <v>#N/A</v>
      </c>
    </row>
    <row r="198" spans="2:14" x14ac:dyDescent="0.25">
      <c r="B198" s="75" t="str">
        <f t="shared" si="2"/>
        <v/>
      </c>
      <c r="C198" s="45" t="str">
        <f>IF(B198&lt;&gt;"",_xll.BInterpol(maturities,zeros,B198,"linear","skip=true","sort=true","multix=average"),"")</f>
        <v/>
      </c>
      <c r="D198" s="38" t="str">
        <f>IF(B198&lt;&gt;"",_xll.BInterpol(maturities,discounts,B198,"linear","skip=true","sort=true","multix=average"),"")</f>
        <v/>
      </c>
      <c r="N198" s="70" t="e">
        <v>#N/A</v>
      </c>
    </row>
    <row r="199" spans="2:14" x14ac:dyDescent="0.25">
      <c r="B199" s="74" t="str">
        <f t="shared" si="2"/>
        <v/>
      </c>
      <c r="C199" s="46" t="str">
        <f>IF(B199&lt;&gt;"",_xll.BInterpol(maturities,zeros,B199,"linear","skip=true","sort=true","multix=average"),"")</f>
        <v/>
      </c>
      <c r="D199" s="39" t="str">
        <f>IF(B199&lt;&gt;"",_xll.BInterpol(maturities,discounts,B199,"linear","skip=true","sort=true","multix=average"),"")</f>
        <v/>
      </c>
      <c r="N199" s="70" t="e">
        <v>#N/A</v>
      </c>
    </row>
    <row r="200" spans="2:14" x14ac:dyDescent="0.25">
      <c r="B200" s="75" t="str">
        <f t="shared" si="2"/>
        <v/>
      </c>
      <c r="C200" s="45" t="str">
        <f>IF(B200&lt;&gt;"",_xll.BInterpol(maturities,zeros,B200,"linear","skip=true","sort=true","multix=average"),"")</f>
        <v/>
      </c>
      <c r="D200" s="38" t="str">
        <f>IF(B200&lt;&gt;"",_xll.BInterpol(maturities,discounts,B200,"linear","skip=true","sort=true","multix=average"),"")</f>
        <v/>
      </c>
      <c r="N200" s="70" t="e">
        <v>#N/A</v>
      </c>
    </row>
    <row r="201" spans="2:14" x14ac:dyDescent="0.25">
      <c r="B201" s="74" t="str">
        <f t="shared" si="2"/>
        <v/>
      </c>
      <c r="C201" s="46" t="str">
        <f>IF(B201&lt;&gt;"",_xll.BInterpol(maturities,zeros,B201,"linear","skip=true","sort=true","multix=average"),"")</f>
        <v/>
      </c>
      <c r="D201" s="39" t="str">
        <f>IF(B201&lt;&gt;"",_xll.BInterpol(maturities,discounts,B201,"linear","skip=true","sort=true","multix=average"),"")</f>
        <v/>
      </c>
      <c r="N201" s="70" t="e">
        <v>#N/A</v>
      </c>
    </row>
    <row r="202" spans="2:14" x14ac:dyDescent="0.25">
      <c r="B202" s="75" t="str">
        <f t="shared" si="2"/>
        <v/>
      </c>
      <c r="C202" s="45" t="str">
        <f>IF(B202&lt;&gt;"",_xll.BInterpol(maturities,zeros,B202,"linear","skip=true","sort=true","multix=average"),"")</f>
        <v/>
      </c>
      <c r="D202" s="38" t="str">
        <f>IF(B202&lt;&gt;"",_xll.BInterpol(maturities,discounts,B202,"linear","skip=true","sort=true","multix=average"),"")</f>
        <v/>
      </c>
      <c r="N202" s="70" t="e">
        <v>#N/A</v>
      </c>
    </row>
    <row r="203" spans="2:14" x14ac:dyDescent="0.25">
      <c r="B203" s="74" t="str">
        <f t="shared" si="2"/>
        <v/>
      </c>
      <c r="C203" s="46" t="str">
        <f>IF(B203&lt;&gt;"",_xll.BInterpol(maturities,zeros,B203,"linear","skip=true","sort=true","multix=average"),"")</f>
        <v/>
      </c>
      <c r="D203" s="39" t="str">
        <f>IF(B203&lt;&gt;"",_xll.BInterpol(maturities,discounts,B203,"linear","skip=true","sort=true","multix=average"),"")</f>
        <v/>
      </c>
      <c r="N203" s="70" t="e">
        <v>#N/A</v>
      </c>
    </row>
    <row r="204" spans="2:14" x14ac:dyDescent="0.25">
      <c r="B204" s="75" t="str">
        <f t="shared" si="2"/>
        <v/>
      </c>
      <c r="C204" s="45" t="str">
        <f>IF(B204&lt;&gt;"",_xll.BInterpol(maturities,zeros,B204,"linear","skip=true","sort=true","multix=average"),"")</f>
        <v/>
      </c>
      <c r="D204" s="38" t="str">
        <f>IF(B204&lt;&gt;"",_xll.BInterpol(maturities,discounts,B204,"linear","skip=true","sort=true","multix=average"),"")</f>
        <v/>
      </c>
      <c r="N204" s="70" t="e">
        <v>#N/A</v>
      </c>
    </row>
    <row r="205" spans="2:14" x14ac:dyDescent="0.25">
      <c r="B205" s="74" t="str">
        <f t="shared" si="2"/>
        <v/>
      </c>
      <c r="C205" s="46" t="str">
        <f>IF(B205&lt;&gt;"",_xll.BInterpol(maturities,zeros,B205,"linear","skip=true","sort=true","multix=average"),"")</f>
        <v/>
      </c>
      <c r="D205" s="39" t="str">
        <f>IF(B205&lt;&gt;"",_xll.BInterpol(maturities,discounts,B205,"linear","skip=true","sort=true","multix=average"),"")</f>
        <v/>
      </c>
      <c r="N205" s="70" t="e">
        <v>#N/A</v>
      </c>
    </row>
    <row r="206" spans="2:14" x14ac:dyDescent="0.25">
      <c r="B206" s="75" t="str">
        <f t="shared" ref="B206:B269" si="3">IF(ISNA(N206),"",N206)</f>
        <v/>
      </c>
      <c r="C206" s="45" t="str">
        <f>IF(B206&lt;&gt;"",_xll.BInterpol(maturities,zeros,B206,"linear","skip=true","sort=true","multix=average"),"")</f>
        <v/>
      </c>
      <c r="D206" s="38" t="str">
        <f>IF(B206&lt;&gt;"",_xll.BInterpol(maturities,discounts,B206,"linear","skip=true","sort=true","multix=average"),"")</f>
        <v/>
      </c>
      <c r="N206" s="70" t="e">
        <v>#N/A</v>
      </c>
    </row>
    <row r="207" spans="2:14" x14ac:dyDescent="0.25">
      <c r="B207" s="74" t="str">
        <f t="shared" si="3"/>
        <v/>
      </c>
      <c r="C207" s="46" t="str">
        <f>IF(B207&lt;&gt;"",_xll.BInterpol(maturities,zeros,B207,"linear","skip=true","sort=true","multix=average"),"")</f>
        <v/>
      </c>
      <c r="D207" s="39" t="str">
        <f>IF(B207&lt;&gt;"",_xll.BInterpol(maturities,discounts,B207,"linear","skip=true","sort=true","multix=average"),"")</f>
        <v/>
      </c>
      <c r="N207" s="70" t="e">
        <v>#N/A</v>
      </c>
    </row>
    <row r="208" spans="2:14" x14ac:dyDescent="0.25">
      <c r="B208" s="75" t="str">
        <f t="shared" si="3"/>
        <v/>
      </c>
      <c r="C208" s="45" t="str">
        <f>IF(B208&lt;&gt;"",_xll.BInterpol(maturities,zeros,B208,"linear","skip=true","sort=true","multix=average"),"")</f>
        <v/>
      </c>
      <c r="D208" s="38" t="str">
        <f>IF(B208&lt;&gt;"",_xll.BInterpol(maturities,discounts,B208,"linear","skip=true","sort=true","multix=average"),"")</f>
        <v/>
      </c>
      <c r="N208" s="70" t="e">
        <v>#N/A</v>
      </c>
    </row>
    <row r="209" spans="2:14" x14ac:dyDescent="0.25">
      <c r="B209" s="74" t="str">
        <f t="shared" si="3"/>
        <v/>
      </c>
      <c r="C209" s="46" t="str">
        <f>IF(B209&lt;&gt;"",_xll.BInterpol(maturities,zeros,B209,"linear","skip=true","sort=true","multix=average"),"")</f>
        <v/>
      </c>
      <c r="D209" s="39" t="str">
        <f>IF(B209&lt;&gt;"",_xll.BInterpol(maturities,discounts,B209,"linear","skip=true","sort=true","multix=average"),"")</f>
        <v/>
      </c>
      <c r="N209" s="70" t="e">
        <v>#N/A</v>
      </c>
    </row>
    <row r="210" spans="2:14" x14ac:dyDescent="0.25">
      <c r="B210" s="75" t="str">
        <f t="shared" si="3"/>
        <v/>
      </c>
      <c r="C210" s="45" t="str">
        <f>IF(B210&lt;&gt;"",_xll.BInterpol(maturities,zeros,B210,"linear","skip=true","sort=true","multix=average"),"")</f>
        <v/>
      </c>
      <c r="D210" s="38" t="str">
        <f>IF(B210&lt;&gt;"",_xll.BInterpol(maturities,discounts,B210,"linear","skip=true","sort=true","multix=average"),"")</f>
        <v/>
      </c>
      <c r="N210" s="70" t="e">
        <v>#N/A</v>
      </c>
    </row>
    <row r="211" spans="2:14" x14ac:dyDescent="0.25">
      <c r="B211" s="74" t="str">
        <f t="shared" si="3"/>
        <v/>
      </c>
      <c r="C211" s="46" t="str">
        <f>IF(B211&lt;&gt;"",_xll.BInterpol(maturities,zeros,B211,"linear","skip=true","sort=true","multix=average"),"")</f>
        <v/>
      </c>
      <c r="D211" s="39" t="str">
        <f>IF(B211&lt;&gt;"",_xll.BInterpol(maturities,discounts,B211,"linear","skip=true","sort=true","multix=average"),"")</f>
        <v/>
      </c>
      <c r="N211" s="70" t="e">
        <v>#N/A</v>
      </c>
    </row>
    <row r="212" spans="2:14" x14ac:dyDescent="0.25">
      <c r="B212" s="75" t="str">
        <f t="shared" si="3"/>
        <v/>
      </c>
      <c r="C212" s="45" t="str">
        <f>IF(B212&lt;&gt;"",_xll.BInterpol(maturities,zeros,B212,"linear","skip=true","sort=true","multix=average"),"")</f>
        <v/>
      </c>
      <c r="D212" s="38" t="str">
        <f>IF(B212&lt;&gt;"",_xll.BInterpol(maturities,discounts,B212,"linear","skip=true","sort=true","multix=average"),"")</f>
        <v/>
      </c>
      <c r="N212" s="70" t="e">
        <v>#N/A</v>
      </c>
    </row>
    <row r="213" spans="2:14" x14ac:dyDescent="0.25">
      <c r="B213" s="74" t="str">
        <f t="shared" si="3"/>
        <v/>
      </c>
      <c r="C213" s="46" t="str">
        <f>IF(B213&lt;&gt;"",_xll.BInterpol(maturities,zeros,B213,"linear","skip=true","sort=true","multix=average"),"")</f>
        <v/>
      </c>
      <c r="D213" s="39" t="str">
        <f>IF(B213&lt;&gt;"",_xll.BInterpol(maturities,discounts,B213,"linear","skip=true","sort=true","multix=average"),"")</f>
        <v/>
      </c>
      <c r="N213" s="70" t="e">
        <v>#N/A</v>
      </c>
    </row>
    <row r="214" spans="2:14" x14ac:dyDescent="0.25">
      <c r="B214" s="75" t="str">
        <f t="shared" si="3"/>
        <v/>
      </c>
      <c r="C214" s="45" t="str">
        <f>IF(B214&lt;&gt;"",_xll.BInterpol(maturities,zeros,B214,"linear","skip=true","sort=true","multix=average"),"")</f>
        <v/>
      </c>
      <c r="D214" s="38" t="str">
        <f>IF(B214&lt;&gt;"",_xll.BInterpol(maturities,discounts,B214,"linear","skip=true","sort=true","multix=average"),"")</f>
        <v/>
      </c>
      <c r="N214" s="70" t="e">
        <v>#N/A</v>
      </c>
    </row>
    <row r="215" spans="2:14" x14ac:dyDescent="0.25">
      <c r="B215" s="74" t="str">
        <f t="shared" si="3"/>
        <v/>
      </c>
      <c r="C215" s="46" t="str">
        <f>IF(B215&lt;&gt;"",_xll.BInterpol(maturities,zeros,B215,"linear","skip=true","sort=true","multix=average"),"")</f>
        <v/>
      </c>
      <c r="D215" s="39" t="str">
        <f>IF(B215&lt;&gt;"",_xll.BInterpol(maturities,discounts,B215,"linear","skip=true","sort=true","multix=average"),"")</f>
        <v/>
      </c>
      <c r="N215" s="70" t="e">
        <v>#N/A</v>
      </c>
    </row>
    <row r="216" spans="2:14" x14ac:dyDescent="0.25">
      <c r="B216" s="75" t="str">
        <f t="shared" si="3"/>
        <v/>
      </c>
      <c r="C216" s="45" t="str">
        <f>IF(B216&lt;&gt;"",_xll.BInterpol(maturities,zeros,B216,"linear","skip=true","sort=true","multix=average"),"")</f>
        <v/>
      </c>
      <c r="D216" s="38" t="str">
        <f>IF(B216&lt;&gt;"",_xll.BInterpol(maturities,discounts,B216,"linear","skip=true","sort=true","multix=average"),"")</f>
        <v/>
      </c>
      <c r="N216" s="70" t="e">
        <v>#N/A</v>
      </c>
    </row>
    <row r="217" spans="2:14" x14ac:dyDescent="0.25">
      <c r="B217" s="74" t="str">
        <f t="shared" si="3"/>
        <v/>
      </c>
      <c r="C217" s="46" t="str">
        <f>IF(B217&lt;&gt;"",_xll.BInterpol(maturities,zeros,B217,"linear","skip=true","sort=true","multix=average"),"")</f>
        <v/>
      </c>
      <c r="D217" s="39" t="str">
        <f>IF(B217&lt;&gt;"",_xll.BInterpol(maturities,discounts,B217,"linear","skip=true","sort=true","multix=average"),"")</f>
        <v/>
      </c>
      <c r="N217" s="70" t="e">
        <v>#N/A</v>
      </c>
    </row>
    <row r="218" spans="2:14" x14ac:dyDescent="0.25">
      <c r="B218" s="75" t="str">
        <f t="shared" si="3"/>
        <v/>
      </c>
      <c r="C218" s="45" t="str">
        <f>IF(B218&lt;&gt;"",_xll.BInterpol(maturities,zeros,B218,"linear","skip=true","sort=true","multix=average"),"")</f>
        <v/>
      </c>
      <c r="D218" s="38" t="str">
        <f>IF(B218&lt;&gt;"",_xll.BInterpol(maturities,discounts,B218,"linear","skip=true","sort=true","multix=average"),"")</f>
        <v/>
      </c>
      <c r="N218" s="70" t="e">
        <v>#N/A</v>
      </c>
    </row>
    <row r="219" spans="2:14" x14ac:dyDescent="0.25">
      <c r="B219" s="74" t="str">
        <f t="shared" si="3"/>
        <v/>
      </c>
      <c r="C219" s="46" t="str">
        <f>IF(B219&lt;&gt;"",_xll.BInterpol(maturities,zeros,B219,"linear","skip=true","sort=true","multix=average"),"")</f>
        <v/>
      </c>
      <c r="D219" s="39" t="str">
        <f>IF(B219&lt;&gt;"",_xll.BInterpol(maturities,discounts,B219,"linear","skip=true","sort=true","multix=average"),"")</f>
        <v/>
      </c>
      <c r="N219" s="70" t="e">
        <v>#N/A</v>
      </c>
    </row>
    <row r="220" spans="2:14" x14ac:dyDescent="0.25">
      <c r="B220" s="75" t="str">
        <f t="shared" si="3"/>
        <v/>
      </c>
      <c r="C220" s="45" t="str">
        <f>IF(B220&lt;&gt;"",_xll.BInterpol(maturities,zeros,B220,"linear","skip=true","sort=true","multix=average"),"")</f>
        <v/>
      </c>
      <c r="D220" s="38" t="str">
        <f>IF(B220&lt;&gt;"",_xll.BInterpol(maturities,discounts,B220,"linear","skip=true","sort=true","multix=average"),"")</f>
        <v/>
      </c>
      <c r="N220" s="70" t="e">
        <v>#N/A</v>
      </c>
    </row>
    <row r="221" spans="2:14" x14ac:dyDescent="0.25">
      <c r="B221" s="74" t="str">
        <f t="shared" si="3"/>
        <v/>
      </c>
      <c r="C221" s="46" t="str">
        <f>IF(B221&lt;&gt;"",_xll.BInterpol(maturities,zeros,B221,"linear","skip=true","sort=true","multix=average"),"")</f>
        <v/>
      </c>
      <c r="D221" s="39" t="str">
        <f>IF(B221&lt;&gt;"",_xll.BInterpol(maturities,discounts,B221,"linear","skip=true","sort=true","multix=average"),"")</f>
        <v/>
      </c>
      <c r="N221" s="70" t="e">
        <v>#N/A</v>
      </c>
    </row>
    <row r="222" spans="2:14" x14ac:dyDescent="0.25">
      <c r="B222" s="75" t="str">
        <f t="shared" si="3"/>
        <v/>
      </c>
      <c r="C222" s="45" t="str">
        <f>IF(B222&lt;&gt;"",_xll.BInterpol(maturities,zeros,B222,"linear","skip=true","sort=true","multix=average"),"")</f>
        <v/>
      </c>
      <c r="D222" s="38" t="str">
        <f>IF(B222&lt;&gt;"",_xll.BInterpol(maturities,discounts,B222,"linear","skip=true","sort=true","multix=average"),"")</f>
        <v/>
      </c>
      <c r="N222" s="70" t="e">
        <v>#N/A</v>
      </c>
    </row>
    <row r="223" spans="2:14" x14ac:dyDescent="0.25">
      <c r="B223" s="74" t="str">
        <f t="shared" si="3"/>
        <v/>
      </c>
      <c r="C223" s="46" t="str">
        <f>IF(B223&lt;&gt;"",_xll.BInterpol(maturities,zeros,B223,"linear","skip=true","sort=true","multix=average"),"")</f>
        <v/>
      </c>
      <c r="D223" s="39" t="str">
        <f>IF(B223&lt;&gt;"",_xll.BInterpol(maturities,discounts,B223,"linear","skip=true","sort=true","multix=average"),"")</f>
        <v/>
      </c>
      <c r="N223" s="70" t="e">
        <v>#N/A</v>
      </c>
    </row>
    <row r="224" spans="2:14" x14ac:dyDescent="0.25">
      <c r="B224" s="75" t="str">
        <f t="shared" si="3"/>
        <v/>
      </c>
      <c r="C224" s="45" t="str">
        <f>IF(B224&lt;&gt;"",_xll.BInterpol(maturities,zeros,B224,"linear","skip=true","sort=true","multix=average"),"")</f>
        <v/>
      </c>
      <c r="D224" s="38" t="str">
        <f>IF(B224&lt;&gt;"",_xll.BInterpol(maturities,discounts,B224,"linear","skip=true","sort=true","multix=average"),"")</f>
        <v/>
      </c>
      <c r="N224" s="70" t="e">
        <v>#N/A</v>
      </c>
    </row>
    <row r="225" spans="2:14" x14ac:dyDescent="0.25">
      <c r="B225" s="74" t="str">
        <f t="shared" si="3"/>
        <v/>
      </c>
      <c r="C225" s="46" t="str">
        <f>IF(B225&lt;&gt;"",_xll.BInterpol(maturities,zeros,B225,"linear","skip=true","sort=true","multix=average"),"")</f>
        <v/>
      </c>
      <c r="D225" s="39" t="str">
        <f>IF(B225&lt;&gt;"",_xll.BInterpol(maturities,discounts,B225,"linear","skip=true","sort=true","multix=average"),"")</f>
        <v/>
      </c>
      <c r="N225" s="70" t="e">
        <v>#N/A</v>
      </c>
    </row>
    <row r="226" spans="2:14" x14ac:dyDescent="0.25">
      <c r="B226" s="75" t="str">
        <f t="shared" si="3"/>
        <v/>
      </c>
      <c r="C226" s="45" t="str">
        <f>IF(B226&lt;&gt;"",_xll.BInterpol(maturities,zeros,B226,"linear","skip=true","sort=true","multix=average"),"")</f>
        <v/>
      </c>
      <c r="D226" s="38" t="str">
        <f>IF(B226&lt;&gt;"",_xll.BInterpol(maturities,discounts,B226,"linear","skip=true","sort=true","multix=average"),"")</f>
        <v/>
      </c>
      <c r="N226" s="70" t="e">
        <v>#N/A</v>
      </c>
    </row>
    <row r="227" spans="2:14" x14ac:dyDescent="0.25">
      <c r="B227" s="74" t="str">
        <f t="shared" si="3"/>
        <v/>
      </c>
      <c r="C227" s="46" t="str">
        <f>IF(B227&lt;&gt;"",_xll.BInterpol(maturities,zeros,B227,"linear","skip=true","sort=true","multix=average"),"")</f>
        <v/>
      </c>
      <c r="D227" s="39" t="str">
        <f>IF(B227&lt;&gt;"",_xll.BInterpol(maturities,discounts,B227,"linear","skip=true","sort=true","multix=average"),"")</f>
        <v/>
      </c>
      <c r="N227" s="70" t="e">
        <v>#N/A</v>
      </c>
    </row>
    <row r="228" spans="2:14" x14ac:dyDescent="0.25">
      <c r="B228" s="75" t="str">
        <f t="shared" si="3"/>
        <v/>
      </c>
      <c r="C228" s="45" t="str">
        <f>IF(B228&lt;&gt;"",_xll.BInterpol(maturities,zeros,B228,"linear","skip=true","sort=true","multix=average"),"")</f>
        <v/>
      </c>
      <c r="D228" s="38" t="str">
        <f>IF(B228&lt;&gt;"",_xll.BInterpol(maturities,discounts,B228,"linear","skip=true","sort=true","multix=average"),"")</f>
        <v/>
      </c>
      <c r="N228" s="70" t="e">
        <v>#N/A</v>
      </c>
    </row>
    <row r="229" spans="2:14" x14ac:dyDescent="0.25">
      <c r="B229" s="74" t="str">
        <f t="shared" si="3"/>
        <v/>
      </c>
      <c r="C229" s="46" t="str">
        <f>IF(B229&lt;&gt;"",_xll.BInterpol(maturities,zeros,B229,"linear","skip=true","sort=true","multix=average"),"")</f>
        <v/>
      </c>
      <c r="D229" s="39" t="str">
        <f>IF(B229&lt;&gt;"",_xll.BInterpol(maturities,discounts,B229,"linear","skip=true","sort=true","multix=average"),"")</f>
        <v/>
      </c>
      <c r="N229" s="70" t="e">
        <v>#N/A</v>
      </c>
    </row>
    <row r="230" spans="2:14" x14ac:dyDescent="0.25">
      <c r="B230" s="75" t="str">
        <f t="shared" si="3"/>
        <v/>
      </c>
      <c r="C230" s="45" t="str">
        <f>IF(B230&lt;&gt;"",_xll.BInterpol(maturities,zeros,B230,"linear","skip=true","sort=true","multix=average"),"")</f>
        <v/>
      </c>
      <c r="D230" s="38" t="str">
        <f>IF(B230&lt;&gt;"",_xll.BInterpol(maturities,discounts,B230,"linear","skip=true","sort=true","multix=average"),"")</f>
        <v/>
      </c>
      <c r="N230" s="70" t="e">
        <v>#N/A</v>
      </c>
    </row>
    <row r="231" spans="2:14" x14ac:dyDescent="0.25">
      <c r="B231" s="74" t="str">
        <f t="shared" si="3"/>
        <v/>
      </c>
      <c r="C231" s="46" t="str">
        <f>IF(B231&lt;&gt;"",_xll.BInterpol(maturities,zeros,B231,"linear","skip=true","sort=true","multix=average"),"")</f>
        <v/>
      </c>
      <c r="D231" s="39" t="str">
        <f>IF(B231&lt;&gt;"",_xll.BInterpol(maturities,discounts,B231,"linear","skip=true","sort=true","multix=average"),"")</f>
        <v/>
      </c>
      <c r="N231" s="70" t="e">
        <v>#N/A</v>
      </c>
    </row>
    <row r="232" spans="2:14" x14ac:dyDescent="0.25">
      <c r="B232" s="75" t="str">
        <f t="shared" si="3"/>
        <v/>
      </c>
      <c r="C232" s="45" t="str">
        <f>IF(B232&lt;&gt;"",_xll.BInterpol(maturities,zeros,B232,"linear","skip=true","sort=true","multix=average"),"")</f>
        <v/>
      </c>
      <c r="D232" s="38" t="str">
        <f>IF(B232&lt;&gt;"",_xll.BInterpol(maturities,discounts,B232,"linear","skip=true","sort=true","multix=average"),"")</f>
        <v/>
      </c>
      <c r="N232" s="70" t="e">
        <v>#N/A</v>
      </c>
    </row>
    <row r="233" spans="2:14" x14ac:dyDescent="0.25">
      <c r="B233" s="74" t="str">
        <f t="shared" si="3"/>
        <v/>
      </c>
      <c r="C233" s="46" t="str">
        <f>IF(B233&lt;&gt;"",_xll.BInterpol(maturities,zeros,B233,"linear","skip=true","sort=true","multix=average"),"")</f>
        <v/>
      </c>
      <c r="D233" s="39" t="str">
        <f>IF(B233&lt;&gt;"",_xll.BInterpol(maturities,discounts,B233,"linear","skip=true","sort=true","multix=average"),"")</f>
        <v/>
      </c>
      <c r="N233" s="70" t="e">
        <v>#N/A</v>
      </c>
    </row>
    <row r="234" spans="2:14" x14ac:dyDescent="0.25">
      <c r="B234" s="75" t="str">
        <f t="shared" si="3"/>
        <v/>
      </c>
      <c r="C234" s="45" t="str">
        <f>IF(B234&lt;&gt;"",_xll.BInterpol(maturities,zeros,B234,"linear","skip=true","sort=true","multix=average"),"")</f>
        <v/>
      </c>
      <c r="D234" s="38" t="str">
        <f>IF(B234&lt;&gt;"",_xll.BInterpol(maturities,discounts,B234,"linear","skip=true","sort=true","multix=average"),"")</f>
        <v/>
      </c>
      <c r="N234" s="70" t="e">
        <v>#N/A</v>
      </c>
    </row>
    <row r="235" spans="2:14" x14ac:dyDescent="0.25">
      <c r="B235" s="74" t="str">
        <f t="shared" si="3"/>
        <v/>
      </c>
      <c r="C235" s="46" t="str">
        <f>IF(B235&lt;&gt;"",_xll.BInterpol(maturities,zeros,B235,"linear","skip=true","sort=true","multix=average"),"")</f>
        <v/>
      </c>
      <c r="D235" s="39" t="str">
        <f>IF(B235&lt;&gt;"",_xll.BInterpol(maturities,discounts,B235,"linear","skip=true","sort=true","multix=average"),"")</f>
        <v/>
      </c>
      <c r="N235" s="70" t="e">
        <v>#N/A</v>
      </c>
    </row>
    <row r="236" spans="2:14" x14ac:dyDescent="0.25">
      <c r="B236" s="75" t="str">
        <f t="shared" si="3"/>
        <v/>
      </c>
      <c r="C236" s="45" t="str">
        <f>IF(B236&lt;&gt;"",_xll.BInterpol(maturities,zeros,B236,"linear","skip=true","sort=true","multix=average"),"")</f>
        <v/>
      </c>
      <c r="D236" s="38" t="str">
        <f>IF(B236&lt;&gt;"",_xll.BInterpol(maturities,discounts,B236,"linear","skip=true","sort=true","multix=average"),"")</f>
        <v/>
      </c>
      <c r="N236" s="70" t="e">
        <v>#N/A</v>
      </c>
    </row>
    <row r="237" spans="2:14" x14ac:dyDescent="0.25">
      <c r="B237" s="74" t="str">
        <f t="shared" si="3"/>
        <v/>
      </c>
      <c r="C237" s="46" t="str">
        <f>IF(B237&lt;&gt;"",_xll.BInterpol(maturities,zeros,B237,"linear","skip=true","sort=true","multix=average"),"")</f>
        <v/>
      </c>
      <c r="D237" s="39" t="str">
        <f>IF(B237&lt;&gt;"",_xll.BInterpol(maturities,discounts,B237,"linear","skip=true","sort=true","multix=average"),"")</f>
        <v/>
      </c>
      <c r="N237" s="70" t="e">
        <v>#N/A</v>
      </c>
    </row>
    <row r="238" spans="2:14" x14ac:dyDescent="0.25">
      <c r="B238" s="75" t="str">
        <f t="shared" si="3"/>
        <v/>
      </c>
      <c r="C238" s="45" t="str">
        <f>IF(B238&lt;&gt;"",_xll.BInterpol(maturities,zeros,B238,"linear","skip=true","sort=true","multix=average"),"")</f>
        <v/>
      </c>
      <c r="D238" s="38" t="str">
        <f>IF(B238&lt;&gt;"",_xll.BInterpol(maturities,discounts,B238,"linear","skip=true","sort=true","multix=average"),"")</f>
        <v/>
      </c>
      <c r="N238" s="70" t="e">
        <v>#N/A</v>
      </c>
    </row>
    <row r="239" spans="2:14" x14ac:dyDescent="0.25">
      <c r="B239" s="74" t="str">
        <f t="shared" si="3"/>
        <v/>
      </c>
      <c r="C239" s="46" t="str">
        <f>IF(B239&lt;&gt;"",_xll.BInterpol(maturities,zeros,B239,"linear","skip=true","sort=true","multix=average"),"")</f>
        <v/>
      </c>
      <c r="D239" s="39" t="str">
        <f>IF(B239&lt;&gt;"",_xll.BInterpol(maturities,discounts,B239,"linear","skip=true","sort=true","multix=average"),"")</f>
        <v/>
      </c>
      <c r="N239" s="70" t="e">
        <v>#N/A</v>
      </c>
    </row>
    <row r="240" spans="2:14" x14ac:dyDescent="0.25">
      <c r="B240" s="75" t="str">
        <f t="shared" si="3"/>
        <v/>
      </c>
      <c r="C240" s="45" t="str">
        <f>IF(B240&lt;&gt;"",_xll.BInterpol(maturities,zeros,B240,"linear","skip=true","sort=true","multix=average"),"")</f>
        <v/>
      </c>
      <c r="D240" s="38" t="str">
        <f>IF(B240&lt;&gt;"",_xll.BInterpol(maturities,discounts,B240,"linear","skip=true","sort=true","multix=average"),"")</f>
        <v/>
      </c>
      <c r="N240" s="70" t="e">
        <v>#N/A</v>
      </c>
    </row>
    <row r="241" spans="2:14" x14ac:dyDescent="0.25">
      <c r="B241" s="74" t="str">
        <f t="shared" si="3"/>
        <v/>
      </c>
      <c r="C241" s="46" t="str">
        <f>IF(B241&lt;&gt;"",_xll.BInterpol(maturities,zeros,B241,"linear","skip=true","sort=true","multix=average"),"")</f>
        <v/>
      </c>
      <c r="D241" s="39" t="str">
        <f>IF(B241&lt;&gt;"",_xll.BInterpol(maturities,discounts,B241,"linear","skip=true","sort=true","multix=average"),"")</f>
        <v/>
      </c>
      <c r="N241" s="70" t="e">
        <v>#N/A</v>
      </c>
    </row>
    <row r="242" spans="2:14" x14ac:dyDescent="0.25">
      <c r="B242" s="75" t="str">
        <f t="shared" si="3"/>
        <v/>
      </c>
      <c r="C242" s="45" t="str">
        <f>IF(B242&lt;&gt;"",_xll.BInterpol(maturities,zeros,B242,"linear","skip=true","sort=true","multix=average"),"")</f>
        <v/>
      </c>
      <c r="D242" s="38" t="str">
        <f>IF(B242&lt;&gt;"",_xll.BInterpol(maturities,discounts,B242,"linear","skip=true","sort=true","multix=average"),"")</f>
        <v/>
      </c>
      <c r="N242" s="70" t="e">
        <v>#N/A</v>
      </c>
    </row>
    <row r="243" spans="2:14" x14ac:dyDescent="0.25">
      <c r="B243" s="74" t="str">
        <f t="shared" si="3"/>
        <v/>
      </c>
      <c r="C243" s="46" t="str">
        <f>IF(B243&lt;&gt;"",_xll.BInterpol(maturities,zeros,B243,"linear","skip=true","sort=true","multix=average"),"")</f>
        <v/>
      </c>
      <c r="D243" s="39" t="str">
        <f>IF(B243&lt;&gt;"",_xll.BInterpol(maturities,discounts,B243,"linear","skip=true","sort=true","multix=average"),"")</f>
        <v/>
      </c>
      <c r="N243" s="70" t="e">
        <v>#N/A</v>
      </c>
    </row>
    <row r="244" spans="2:14" x14ac:dyDescent="0.25">
      <c r="B244" s="75" t="str">
        <f t="shared" si="3"/>
        <v/>
      </c>
      <c r="C244" s="45" t="str">
        <f>IF(B244&lt;&gt;"",_xll.BInterpol(maturities,zeros,B244,"linear","skip=true","sort=true","multix=average"),"")</f>
        <v/>
      </c>
      <c r="D244" s="38" t="str">
        <f>IF(B244&lt;&gt;"",_xll.BInterpol(maturities,discounts,B244,"linear","skip=true","sort=true","multix=average"),"")</f>
        <v/>
      </c>
      <c r="N244" s="70" t="e">
        <v>#N/A</v>
      </c>
    </row>
    <row r="245" spans="2:14" x14ac:dyDescent="0.25">
      <c r="B245" s="74" t="str">
        <f t="shared" si="3"/>
        <v/>
      </c>
      <c r="C245" s="46" t="str">
        <f>IF(B245&lt;&gt;"",_xll.BInterpol(maturities,zeros,B245,"linear","skip=true","sort=true","multix=average"),"")</f>
        <v/>
      </c>
      <c r="D245" s="39" t="str">
        <f>IF(B245&lt;&gt;"",_xll.BInterpol(maturities,discounts,B245,"linear","skip=true","sort=true","multix=average"),"")</f>
        <v/>
      </c>
      <c r="N245" s="70" t="e">
        <v>#N/A</v>
      </c>
    </row>
    <row r="246" spans="2:14" x14ac:dyDescent="0.25">
      <c r="B246" s="75" t="str">
        <f t="shared" si="3"/>
        <v/>
      </c>
      <c r="C246" s="45" t="str">
        <f>IF(B246&lt;&gt;"",_xll.BInterpol(maturities,zeros,B246,"linear","skip=true","sort=true","multix=average"),"")</f>
        <v/>
      </c>
      <c r="D246" s="38" t="str">
        <f>IF(B246&lt;&gt;"",_xll.BInterpol(maturities,discounts,B246,"linear","skip=true","sort=true","multix=average"),"")</f>
        <v/>
      </c>
      <c r="N246" s="70" t="e">
        <v>#N/A</v>
      </c>
    </row>
    <row r="247" spans="2:14" x14ac:dyDescent="0.25">
      <c r="B247" s="74" t="str">
        <f t="shared" si="3"/>
        <v/>
      </c>
      <c r="C247" s="46" t="str">
        <f>IF(B247&lt;&gt;"",_xll.BInterpol(maturities,zeros,B247,"linear","skip=true","sort=true","multix=average"),"")</f>
        <v/>
      </c>
      <c r="D247" s="39" t="str">
        <f>IF(B247&lt;&gt;"",_xll.BInterpol(maturities,discounts,B247,"linear","skip=true","sort=true","multix=average"),"")</f>
        <v/>
      </c>
      <c r="N247" s="70" t="e">
        <v>#N/A</v>
      </c>
    </row>
    <row r="248" spans="2:14" x14ac:dyDescent="0.25">
      <c r="B248" s="75" t="str">
        <f t="shared" si="3"/>
        <v/>
      </c>
      <c r="C248" s="45" t="str">
        <f>IF(B248&lt;&gt;"",_xll.BInterpol(maturities,zeros,B248,"linear","skip=true","sort=true","multix=average"),"")</f>
        <v/>
      </c>
      <c r="D248" s="38" t="str">
        <f>IF(B248&lt;&gt;"",_xll.BInterpol(maturities,discounts,B248,"linear","skip=true","sort=true","multix=average"),"")</f>
        <v/>
      </c>
      <c r="N248" s="70" t="e">
        <v>#N/A</v>
      </c>
    </row>
    <row r="249" spans="2:14" x14ac:dyDescent="0.25">
      <c r="B249" s="74" t="str">
        <f t="shared" si="3"/>
        <v/>
      </c>
      <c r="C249" s="46" t="str">
        <f>IF(B249&lt;&gt;"",_xll.BInterpol(maturities,zeros,B249,"linear","skip=true","sort=true","multix=average"),"")</f>
        <v/>
      </c>
      <c r="D249" s="39" t="str">
        <f>IF(B249&lt;&gt;"",_xll.BInterpol(maturities,discounts,B249,"linear","skip=true","sort=true","multix=average"),"")</f>
        <v/>
      </c>
      <c r="N249" s="70" t="e">
        <v>#N/A</v>
      </c>
    </row>
    <row r="250" spans="2:14" x14ac:dyDescent="0.25">
      <c r="B250" s="75" t="str">
        <f t="shared" si="3"/>
        <v/>
      </c>
      <c r="C250" s="45" t="str">
        <f>IF(B250&lt;&gt;"",_xll.BInterpol(maturities,zeros,B250,"linear","skip=true","sort=true","multix=average"),"")</f>
        <v/>
      </c>
      <c r="D250" s="38" t="str">
        <f>IF(B250&lt;&gt;"",_xll.BInterpol(maturities,discounts,B250,"linear","skip=true","sort=true","multix=average"),"")</f>
        <v/>
      </c>
      <c r="N250" s="70" t="e">
        <v>#N/A</v>
      </c>
    </row>
    <row r="251" spans="2:14" x14ac:dyDescent="0.25">
      <c r="B251" s="74" t="str">
        <f t="shared" si="3"/>
        <v/>
      </c>
      <c r="C251" s="46" t="str">
        <f>IF(B251&lt;&gt;"",_xll.BInterpol(maturities,zeros,B251,"linear","skip=true","sort=true","multix=average"),"")</f>
        <v/>
      </c>
      <c r="D251" s="39" t="str">
        <f>IF(B251&lt;&gt;"",_xll.BInterpol(maturities,discounts,B251,"linear","skip=true","sort=true","multix=average"),"")</f>
        <v/>
      </c>
      <c r="N251" s="70" t="e">
        <v>#N/A</v>
      </c>
    </row>
    <row r="252" spans="2:14" x14ac:dyDescent="0.25">
      <c r="B252" s="75" t="str">
        <f t="shared" si="3"/>
        <v/>
      </c>
      <c r="C252" s="45" t="str">
        <f>IF(B252&lt;&gt;"",_xll.BInterpol(maturities,zeros,B252,"linear","skip=true","sort=true","multix=average"),"")</f>
        <v/>
      </c>
      <c r="D252" s="38" t="str">
        <f>IF(B252&lt;&gt;"",_xll.BInterpol(maturities,discounts,B252,"linear","skip=true","sort=true","multix=average"),"")</f>
        <v/>
      </c>
      <c r="N252" s="70" t="e">
        <v>#N/A</v>
      </c>
    </row>
    <row r="253" spans="2:14" x14ac:dyDescent="0.25">
      <c r="B253" s="74" t="str">
        <f t="shared" si="3"/>
        <v/>
      </c>
      <c r="C253" s="46" t="str">
        <f>IF(B253&lt;&gt;"",_xll.BInterpol(maturities,zeros,B253,"linear","skip=true","sort=true","multix=average"),"")</f>
        <v/>
      </c>
      <c r="D253" s="39" t="str">
        <f>IF(B253&lt;&gt;"",_xll.BInterpol(maturities,discounts,B253,"linear","skip=true","sort=true","multix=average"),"")</f>
        <v/>
      </c>
      <c r="N253" s="70" t="e">
        <v>#N/A</v>
      </c>
    </row>
    <row r="254" spans="2:14" x14ac:dyDescent="0.25">
      <c r="B254" s="75" t="str">
        <f t="shared" si="3"/>
        <v/>
      </c>
      <c r="C254" s="45" t="str">
        <f>IF(B254&lt;&gt;"",_xll.BInterpol(maturities,zeros,B254,"linear","skip=true","sort=true","multix=average"),"")</f>
        <v/>
      </c>
      <c r="D254" s="38" t="str">
        <f>IF(B254&lt;&gt;"",_xll.BInterpol(maturities,discounts,B254,"linear","skip=true","sort=true","multix=average"),"")</f>
        <v/>
      </c>
      <c r="N254" s="70" t="e">
        <v>#N/A</v>
      </c>
    </row>
    <row r="255" spans="2:14" x14ac:dyDescent="0.25">
      <c r="B255" s="74" t="str">
        <f t="shared" si="3"/>
        <v/>
      </c>
      <c r="C255" s="46" t="str">
        <f>IF(B255&lt;&gt;"",_xll.BInterpol(maturities,zeros,B255,"linear","skip=true","sort=true","multix=average"),"")</f>
        <v/>
      </c>
      <c r="D255" s="39" t="str">
        <f>IF(B255&lt;&gt;"",_xll.BInterpol(maturities,discounts,B255,"linear","skip=true","sort=true","multix=average"),"")</f>
        <v/>
      </c>
      <c r="N255" s="70" t="e">
        <v>#N/A</v>
      </c>
    </row>
    <row r="256" spans="2:14" x14ac:dyDescent="0.25">
      <c r="B256" s="75" t="str">
        <f t="shared" si="3"/>
        <v/>
      </c>
      <c r="C256" s="45" t="str">
        <f>IF(B256&lt;&gt;"",_xll.BInterpol(maturities,zeros,B256,"linear","skip=true","sort=true","multix=average"),"")</f>
        <v/>
      </c>
      <c r="D256" s="38" t="str">
        <f>IF(B256&lt;&gt;"",_xll.BInterpol(maturities,discounts,B256,"linear","skip=true","sort=true","multix=average"),"")</f>
        <v/>
      </c>
      <c r="N256" s="70" t="e">
        <v>#N/A</v>
      </c>
    </row>
    <row r="257" spans="2:14" x14ac:dyDescent="0.25">
      <c r="B257" s="74" t="str">
        <f t="shared" si="3"/>
        <v/>
      </c>
      <c r="C257" s="46" t="str">
        <f>IF(B257&lt;&gt;"",_xll.BInterpol(maturities,zeros,B257,"linear","skip=true","sort=true","multix=average"),"")</f>
        <v/>
      </c>
      <c r="D257" s="39" t="str">
        <f>IF(B257&lt;&gt;"",_xll.BInterpol(maturities,discounts,B257,"linear","skip=true","sort=true","multix=average"),"")</f>
        <v/>
      </c>
      <c r="N257" s="70" t="e">
        <v>#N/A</v>
      </c>
    </row>
    <row r="258" spans="2:14" x14ac:dyDescent="0.25">
      <c r="B258" s="75" t="str">
        <f t="shared" si="3"/>
        <v/>
      </c>
      <c r="C258" s="45" t="str">
        <f>IF(B258&lt;&gt;"",_xll.BInterpol(maturities,zeros,B258,"linear","skip=true","sort=true","multix=average"),"")</f>
        <v/>
      </c>
      <c r="D258" s="38" t="str">
        <f>IF(B258&lt;&gt;"",_xll.BInterpol(maturities,discounts,B258,"linear","skip=true","sort=true","multix=average"),"")</f>
        <v/>
      </c>
      <c r="N258" s="70" t="e">
        <v>#N/A</v>
      </c>
    </row>
    <row r="259" spans="2:14" x14ac:dyDescent="0.25">
      <c r="B259" s="74" t="str">
        <f t="shared" si="3"/>
        <v/>
      </c>
      <c r="C259" s="46" t="str">
        <f>IF(B259&lt;&gt;"",_xll.BInterpol(maturities,zeros,B259,"linear","skip=true","sort=true","multix=average"),"")</f>
        <v/>
      </c>
      <c r="D259" s="39" t="str">
        <f>IF(B259&lt;&gt;"",_xll.BInterpol(maturities,discounts,B259,"linear","skip=true","sort=true","multix=average"),"")</f>
        <v/>
      </c>
      <c r="N259" s="70" t="e">
        <v>#N/A</v>
      </c>
    </row>
    <row r="260" spans="2:14" x14ac:dyDescent="0.25">
      <c r="B260" s="75" t="str">
        <f t="shared" si="3"/>
        <v/>
      </c>
      <c r="C260" s="45" t="str">
        <f>IF(B260&lt;&gt;"",_xll.BInterpol(maturities,zeros,B260,"linear","skip=true","sort=true","multix=average"),"")</f>
        <v/>
      </c>
      <c r="D260" s="38" t="str">
        <f>IF(B260&lt;&gt;"",_xll.BInterpol(maturities,discounts,B260,"linear","skip=true","sort=true","multix=average"),"")</f>
        <v/>
      </c>
      <c r="N260" s="70" t="e">
        <v>#N/A</v>
      </c>
    </row>
    <row r="261" spans="2:14" x14ac:dyDescent="0.25">
      <c r="B261" s="74" t="str">
        <f t="shared" si="3"/>
        <v/>
      </c>
      <c r="C261" s="46" t="str">
        <f>IF(B261&lt;&gt;"",_xll.BInterpol(maturities,zeros,B261,"linear","skip=true","sort=true","multix=average"),"")</f>
        <v/>
      </c>
      <c r="D261" s="39" t="str">
        <f>IF(B261&lt;&gt;"",_xll.BInterpol(maturities,discounts,B261,"linear","skip=true","sort=true","multix=average"),"")</f>
        <v/>
      </c>
      <c r="N261" s="70" t="e">
        <v>#N/A</v>
      </c>
    </row>
    <row r="262" spans="2:14" x14ac:dyDescent="0.25">
      <c r="B262" s="75" t="str">
        <f t="shared" si="3"/>
        <v/>
      </c>
      <c r="C262" s="45" t="str">
        <f>IF(B262&lt;&gt;"",_xll.BInterpol(maturities,zeros,B262,"linear","skip=true","sort=true","multix=average"),"")</f>
        <v/>
      </c>
      <c r="D262" s="38" t="str">
        <f>IF(B262&lt;&gt;"",_xll.BInterpol(maturities,discounts,B262,"linear","skip=true","sort=true","multix=average"),"")</f>
        <v/>
      </c>
      <c r="N262" s="70" t="e">
        <v>#N/A</v>
      </c>
    </row>
    <row r="263" spans="2:14" x14ac:dyDescent="0.25">
      <c r="B263" s="74" t="str">
        <f t="shared" si="3"/>
        <v/>
      </c>
      <c r="C263" s="46" t="str">
        <f>IF(B263&lt;&gt;"",_xll.BInterpol(maturities,zeros,B263,"linear","skip=true","sort=true","multix=average"),"")</f>
        <v/>
      </c>
      <c r="D263" s="39" t="str">
        <f>IF(B263&lt;&gt;"",_xll.BInterpol(maturities,discounts,B263,"linear","skip=true","sort=true","multix=average"),"")</f>
        <v/>
      </c>
      <c r="N263" s="70" t="e">
        <v>#N/A</v>
      </c>
    </row>
    <row r="264" spans="2:14" x14ac:dyDescent="0.25">
      <c r="B264" s="75" t="str">
        <f t="shared" si="3"/>
        <v/>
      </c>
      <c r="C264" s="45" t="str">
        <f>IF(B264&lt;&gt;"",_xll.BInterpol(maturities,zeros,B264,"linear","skip=true","sort=true","multix=average"),"")</f>
        <v/>
      </c>
      <c r="D264" s="38" t="str">
        <f>IF(B264&lt;&gt;"",_xll.BInterpol(maturities,discounts,B264,"linear","skip=true","sort=true","multix=average"),"")</f>
        <v/>
      </c>
      <c r="N264" s="70" t="e">
        <v>#N/A</v>
      </c>
    </row>
    <row r="265" spans="2:14" x14ac:dyDescent="0.25">
      <c r="B265" s="74" t="str">
        <f t="shared" si="3"/>
        <v/>
      </c>
      <c r="C265" s="46" t="str">
        <f>IF(B265&lt;&gt;"",_xll.BInterpol(maturities,zeros,B265,"linear","skip=true","sort=true","multix=average"),"")</f>
        <v/>
      </c>
      <c r="D265" s="39" t="str">
        <f>IF(B265&lt;&gt;"",_xll.BInterpol(maturities,discounts,B265,"linear","skip=true","sort=true","multix=average"),"")</f>
        <v/>
      </c>
      <c r="N265" s="70" t="e">
        <v>#N/A</v>
      </c>
    </row>
    <row r="266" spans="2:14" x14ac:dyDescent="0.25">
      <c r="B266" s="75" t="str">
        <f t="shared" si="3"/>
        <v/>
      </c>
      <c r="C266" s="45" t="str">
        <f>IF(B266&lt;&gt;"",_xll.BInterpol(maturities,zeros,B266,"linear","skip=true","sort=true","multix=average"),"")</f>
        <v/>
      </c>
      <c r="D266" s="38" t="str">
        <f>IF(B266&lt;&gt;"",_xll.BInterpol(maturities,discounts,B266,"linear","skip=true","sort=true","multix=average"),"")</f>
        <v/>
      </c>
      <c r="N266" s="70" t="e">
        <v>#N/A</v>
      </c>
    </row>
    <row r="267" spans="2:14" x14ac:dyDescent="0.25">
      <c r="B267" s="74" t="str">
        <f t="shared" si="3"/>
        <v/>
      </c>
      <c r="C267" s="46" t="str">
        <f>IF(B267&lt;&gt;"",_xll.BInterpol(maturities,zeros,B267,"linear","skip=true","sort=true","multix=average"),"")</f>
        <v/>
      </c>
      <c r="D267" s="39" t="str">
        <f>IF(B267&lt;&gt;"",_xll.BInterpol(maturities,discounts,B267,"linear","skip=true","sort=true","multix=average"),"")</f>
        <v/>
      </c>
      <c r="N267" s="70" t="e">
        <v>#N/A</v>
      </c>
    </row>
    <row r="268" spans="2:14" x14ac:dyDescent="0.25">
      <c r="B268" s="75" t="str">
        <f t="shared" si="3"/>
        <v/>
      </c>
      <c r="C268" s="45" t="str">
        <f>IF(B268&lt;&gt;"",_xll.BInterpol(maturities,zeros,B268,"linear","skip=true","sort=true","multix=average"),"")</f>
        <v/>
      </c>
      <c r="D268" s="38" t="str">
        <f>IF(B268&lt;&gt;"",_xll.BInterpol(maturities,discounts,B268,"linear","skip=true","sort=true","multix=average"),"")</f>
        <v/>
      </c>
      <c r="N268" s="70" t="e">
        <v>#N/A</v>
      </c>
    </row>
    <row r="269" spans="2:14" x14ac:dyDescent="0.25">
      <c r="B269" s="74" t="str">
        <f t="shared" si="3"/>
        <v/>
      </c>
      <c r="C269" s="46" t="str">
        <f>IF(B269&lt;&gt;"",_xll.BInterpol(maturities,zeros,B269,"linear","skip=true","sort=true","multix=average"),"")</f>
        <v/>
      </c>
      <c r="D269" s="39" t="str">
        <f>IF(B269&lt;&gt;"",_xll.BInterpol(maturities,discounts,B269,"linear","skip=true","sort=true","multix=average"),"")</f>
        <v/>
      </c>
      <c r="N269" s="70" t="e">
        <v>#N/A</v>
      </c>
    </row>
    <row r="270" spans="2:14" x14ac:dyDescent="0.25">
      <c r="B270" s="75" t="str">
        <f t="shared" ref="B270:B333" si="4">IF(ISNA(N270),"",N270)</f>
        <v/>
      </c>
      <c r="C270" s="45" t="str">
        <f>IF(B270&lt;&gt;"",_xll.BInterpol(maturities,zeros,B270,"linear","skip=true","sort=true","multix=average"),"")</f>
        <v/>
      </c>
      <c r="D270" s="38" t="str">
        <f>IF(B270&lt;&gt;"",_xll.BInterpol(maturities,discounts,B270,"linear","skip=true","sort=true","multix=average"),"")</f>
        <v/>
      </c>
      <c r="N270" s="70" t="e">
        <v>#N/A</v>
      </c>
    </row>
    <row r="271" spans="2:14" x14ac:dyDescent="0.25">
      <c r="B271" s="74" t="str">
        <f t="shared" si="4"/>
        <v/>
      </c>
      <c r="C271" s="46" t="str">
        <f>IF(B271&lt;&gt;"",_xll.BInterpol(maturities,zeros,B271,"linear","skip=true","sort=true","multix=average"),"")</f>
        <v/>
      </c>
      <c r="D271" s="39" t="str">
        <f>IF(B271&lt;&gt;"",_xll.BInterpol(maturities,discounts,B271,"linear","skip=true","sort=true","multix=average"),"")</f>
        <v/>
      </c>
      <c r="N271" s="70" t="e">
        <v>#N/A</v>
      </c>
    </row>
    <row r="272" spans="2:14" x14ac:dyDescent="0.25">
      <c r="B272" s="75" t="str">
        <f t="shared" si="4"/>
        <v/>
      </c>
      <c r="C272" s="45" t="str">
        <f>IF(B272&lt;&gt;"",_xll.BInterpol(maturities,zeros,B272,"linear","skip=true","sort=true","multix=average"),"")</f>
        <v/>
      </c>
      <c r="D272" s="38" t="str">
        <f>IF(B272&lt;&gt;"",_xll.BInterpol(maturities,discounts,B272,"linear","skip=true","sort=true","multix=average"),"")</f>
        <v/>
      </c>
      <c r="N272" s="70" t="e">
        <v>#N/A</v>
      </c>
    </row>
    <row r="273" spans="2:14" x14ac:dyDescent="0.25">
      <c r="B273" s="74" t="str">
        <f t="shared" si="4"/>
        <v/>
      </c>
      <c r="C273" s="46" t="str">
        <f>IF(B273&lt;&gt;"",_xll.BInterpol(maturities,zeros,B273,"linear","skip=true","sort=true","multix=average"),"")</f>
        <v/>
      </c>
      <c r="D273" s="39" t="str">
        <f>IF(B273&lt;&gt;"",_xll.BInterpol(maturities,discounts,B273,"linear","skip=true","sort=true","multix=average"),"")</f>
        <v/>
      </c>
      <c r="N273" s="70" t="e">
        <v>#N/A</v>
      </c>
    </row>
    <row r="274" spans="2:14" x14ac:dyDescent="0.25">
      <c r="B274" s="75" t="str">
        <f t="shared" si="4"/>
        <v/>
      </c>
      <c r="C274" s="45" t="str">
        <f>IF(B274&lt;&gt;"",_xll.BInterpol(maturities,zeros,B274,"linear","skip=true","sort=true","multix=average"),"")</f>
        <v/>
      </c>
      <c r="D274" s="38" t="str">
        <f>IF(B274&lt;&gt;"",_xll.BInterpol(maturities,discounts,B274,"linear","skip=true","sort=true","multix=average"),"")</f>
        <v/>
      </c>
      <c r="N274" s="70" t="e">
        <v>#N/A</v>
      </c>
    </row>
    <row r="275" spans="2:14" x14ac:dyDescent="0.25">
      <c r="B275" s="74" t="str">
        <f t="shared" si="4"/>
        <v/>
      </c>
      <c r="C275" s="46" t="str">
        <f>IF(B275&lt;&gt;"",_xll.BInterpol(maturities,zeros,B275,"linear","skip=true","sort=true","multix=average"),"")</f>
        <v/>
      </c>
      <c r="D275" s="39" t="str">
        <f>IF(B275&lt;&gt;"",_xll.BInterpol(maturities,discounts,B275,"linear","skip=true","sort=true","multix=average"),"")</f>
        <v/>
      </c>
      <c r="N275" s="70" t="e">
        <v>#N/A</v>
      </c>
    </row>
    <row r="276" spans="2:14" x14ac:dyDescent="0.25">
      <c r="B276" s="75" t="str">
        <f t="shared" si="4"/>
        <v/>
      </c>
      <c r="C276" s="45" t="str">
        <f>IF(B276&lt;&gt;"",_xll.BInterpol(maturities,zeros,B276,"linear","skip=true","sort=true","multix=average"),"")</f>
        <v/>
      </c>
      <c r="D276" s="38" t="str">
        <f>IF(B276&lt;&gt;"",_xll.BInterpol(maturities,discounts,B276,"linear","skip=true","sort=true","multix=average"),"")</f>
        <v/>
      </c>
      <c r="N276" s="70" t="e">
        <v>#N/A</v>
      </c>
    </row>
    <row r="277" spans="2:14" x14ac:dyDescent="0.25">
      <c r="B277" s="74" t="str">
        <f t="shared" si="4"/>
        <v/>
      </c>
      <c r="C277" s="46" t="str">
        <f>IF(B277&lt;&gt;"",_xll.BInterpol(maturities,zeros,B277,"linear","skip=true","sort=true","multix=average"),"")</f>
        <v/>
      </c>
      <c r="D277" s="39" t="str">
        <f>IF(B277&lt;&gt;"",_xll.BInterpol(maturities,discounts,B277,"linear","skip=true","sort=true","multix=average"),"")</f>
        <v/>
      </c>
      <c r="N277" s="70" t="e">
        <v>#N/A</v>
      </c>
    </row>
    <row r="278" spans="2:14" x14ac:dyDescent="0.25">
      <c r="B278" s="75" t="str">
        <f t="shared" si="4"/>
        <v/>
      </c>
      <c r="C278" s="45" t="str">
        <f>IF(B278&lt;&gt;"",_xll.BInterpol(maturities,zeros,B278,"linear","skip=true","sort=true","multix=average"),"")</f>
        <v/>
      </c>
      <c r="D278" s="38" t="str">
        <f>IF(B278&lt;&gt;"",_xll.BInterpol(maturities,discounts,B278,"linear","skip=true","sort=true","multix=average"),"")</f>
        <v/>
      </c>
      <c r="N278" s="70" t="e">
        <v>#N/A</v>
      </c>
    </row>
    <row r="279" spans="2:14" x14ac:dyDescent="0.25">
      <c r="B279" s="74" t="str">
        <f t="shared" si="4"/>
        <v/>
      </c>
      <c r="C279" s="46" t="str">
        <f>IF(B279&lt;&gt;"",_xll.BInterpol(maturities,zeros,B279,"linear","skip=true","sort=true","multix=average"),"")</f>
        <v/>
      </c>
      <c r="D279" s="39" t="str">
        <f>IF(B279&lt;&gt;"",_xll.BInterpol(maturities,discounts,B279,"linear","skip=true","sort=true","multix=average"),"")</f>
        <v/>
      </c>
      <c r="N279" s="70" t="e">
        <v>#N/A</v>
      </c>
    </row>
    <row r="280" spans="2:14" x14ac:dyDescent="0.25">
      <c r="B280" s="75" t="str">
        <f t="shared" si="4"/>
        <v/>
      </c>
      <c r="C280" s="45" t="str">
        <f>IF(B280&lt;&gt;"",_xll.BInterpol(maturities,zeros,B280,"linear","skip=true","sort=true","multix=average"),"")</f>
        <v/>
      </c>
      <c r="D280" s="38" t="str">
        <f>IF(B280&lt;&gt;"",_xll.BInterpol(maturities,discounts,B280,"linear","skip=true","sort=true","multix=average"),"")</f>
        <v/>
      </c>
      <c r="N280" s="70" t="e">
        <v>#N/A</v>
      </c>
    </row>
    <row r="281" spans="2:14" x14ac:dyDescent="0.25">
      <c r="B281" s="74" t="str">
        <f t="shared" si="4"/>
        <v/>
      </c>
      <c r="C281" s="46" t="str">
        <f>IF(B281&lt;&gt;"",_xll.BInterpol(maturities,zeros,B281,"linear","skip=true","sort=true","multix=average"),"")</f>
        <v/>
      </c>
      <c r="D281" s="39" t="str">
        <f>IF(B281&lt;&gt;"",_xll.BInterpol(maturities,discounts,B281,"linear","skip=true","sort=true","multix=average"),"")</f>
        <v/>
      </c>
      <c r="N281" s="70" t="e">
        <v>#N/A</v>
      </c>
    </row>
    <row r="282" spans="2:14" x14ac:dyDescent="0.25">
      <c r="B282" s="75" t="str">
        <f t="shared" si="4"/>
        <v/>
      </c>
      <c r="C282" s="45" t="str">
        <f>IF(B282&lt;&gt;"",_xll.BInterpol(maturities,zeros,B282,"linear","skip=true","sort=true","multix=average"),"")</f>
        <v/>
      </c>
      <c r="D282" s="38" t="str">
        <f>IF(B282&lt;&gt;"",_xll.BInterpol(maturities,discounts,B282,"linear","skip=true","sort=true","multix=average"),"")</f>
        <v/>
      </c>
      <c r="N282" s="70" t="e">
        <v>#N/A</v>
      </c>
    </row>
    <row r="283" spans="2:14" x14ac:dyDescent="0.25">
      <c r="B283" s="74" t="str">
        <f t="shared" si="4"/>
        <v/>
      </c>
      <c r="C283" s="46" t="str">
        <f>IF(B283&lt;&gt;"",_xll.BInterpol(maturities,zeros,B283,"linear","skip=true","sort=true","multix=average"),"")</f>
        <v/>
      </c>
      <c r="D283" s="39" t="str">
        <f>IF(B283&lt;&gt;"",_xll.BInterpol(maturities,discounts,B283,"linear","skip=true","sort=true","multix=average"),"")</f>
        <v/>
      </c>
      <c r="N283" s="70" t="e">
        <v>#N/A</v>
      </c>
    </row>
    <row r="284" spans="2:14" x14ac:dyDescent="0.25">
      <c r="B284" s="75" t="str">
        <f t="shared" si="4"/>
        <v/>
      </c>
      <c r="C284" s="45" t="str">
        <f>IF(B284&lt;&gt;"",_xll.BInterpol(maturities,zeros,B284,"linear","skip=true","sort=true","multix=average"),"")</f>
        <v/>
      </c>
      <c r="D284" s="38" t="str">
        <f>IF(B284&lt;&gt;"",_xll.BInterpol(maturities,discounts,B284,"linear","skip=true","sort=true","multix=average"),"")</f>
        <v/>
      </c>
      <c r="N284" s="70" t="e">
        <v>#N/A</v>
      </c>
    </row>
    <row r="285" spans="2:14" x14ac:dyDescent="0.25">
      <c r="B285" s="74" t="str">
        <f t="shared" si="4"/>
        <v/>
      </c>
      <c r="C285" s="46" t="str">
        <f>IF(B285&lt;&gt;"",_xll.BInterpol(maturities,zeros,B285,"linear","skip=true","sort=true","multix=average"),"")</f>
        <v/>
      </c>
      <c r="D285" s="39" t="str">
        <f>IF(B285&lt;&gt;"",_xll.BInterpol(maturities,discounts,B285,"linear","skip=true","sort=true","multix=average"),"")</f>
        <v/>
      </c>
      <c r="N285" s="70" t="e">
        <v>#N/A</v>
      </c>
    </row>
    <row r="286" spans="2:14" x14ac:dyDescent="0.25">
      <c r="B286" s="75" t="str">
        <f t="shared" si="4"/>
        <v/>
      </c>
      <c r="C286" s="45" t="str">
        <f>IF(B286&lt;&gt;"",_xll.BInterpol(maturities,zeros,B286,"linear","skip=true","sort=true","multix=average"),"")</f>
        <v/>
      </c>
      <c r="D286" s="38" t="str">
        <f>IF(B286&lt;&gt;"",_xll.BInterpol(maturities,discounts,B286,"linear","skip=true","sort=true","multix=average"),"")</f>
        <v/>
      </c>
      <c r="N286" s="70" t="e">
        <v>#N/A</v>
      </c>
    </row>
    <row r="287" spans="2:14" x14ac:dyDescent="0.25">
      <c r="B287" s="74" t="str">
        <f t="shared" si="4"/>
        <v/>
      </c>
      <c r="C287" s="46" t="str">
        <f>IF(B287&lt;&gt;"",_xll.BInterpol(maturities,zeros,B287,"linear","skip=true","sort=true","multix=average"),"")</f>
        <v/>
      </c>
      <c r="D287" s="39" t="str">
        <f>IF(B287&lt;&gt;"",_xll.BInterpol(maturities,discounts,B287,"linear","skip=true","sort=true","multix=average"),"")</f>
        <v/>
      </c>
      <c r="N287" s="70" t="e">
        <v>#N/A</v>
      </c>
    </row>
    <row r="288" spans="2:14" x14ac:dyDescent="0.25">
      <c r="B288" s="75" t="str">
        <f t="shared" si="4"/>
        <v/>
      </c>
      <c r="C288" s="45" t="str">
        <f>IF(B288&lt;&gt;"",_xll.BInterpol(maturities,zeros,B288,"linear","skip=true","sort=true","multix=average"),"")</f>
        <v/>
      </c>
      <c r="D288" s="38" t="str">
        <f>IF(B288&lt;&gt;"",_xll.BInterpol(maturities,discounts,B288,"linear","skip=true","sort=true","multix=average"),"")</f>
        <v/>
      </c>
      <c r="N288" s="70" t="e">
        <v>#N/A</v>
      </c>
    </row>
    <row r="289" spans="2:14" x14ac:dyDescent="0.25">
      <c r="B289" s="74" t="str">
        <f t="shared" si="4"/>
        <v/>
      </c>
      <c r="C289" s="46" t="str">
        <f>IF(B289&lt;&gt;"",_xll.BInterpol(maturities,zeros,B289,"linear","skip=true","sort=true","multix=average"),"")</f>
        <v/>
      </c>
      <c r="D289" s="39" t="str">
        <f>IF(B289&lt;&gt;"",_xll.BInterpol(maturities,discounts,B289,"linear","skip=true","sort=true","multix=average"),"")</f>
        <v/>
      </c>
      <c r="N289" s="70" t="e">
        <v>#N/A</v>
      </c>
    </row>
    <row r="290" spans="2:14" x14ac:dyDescent="0.25">
      <c r="B290" s="75" t="str">
        <f t="shared" si="4"/>
        <v/>
      </c>
      <c r="C290" s="45" t="str">
        <f>IF(B290&lt;&gt;"",_xll.BInterpol(maturities,zeros,B290,"linear","skip=true","sort=true","multix=average"),"")</f>
        <v/>
      </c>
      <c r="D290" s="38" t="str">
        <f>IF(B290&lt;&gt;"",_xll.BInterpol(maturities,discounts,B290,"linear","skip=true","sort=true","multix=average"),"")</f>
        <v/>
      </c>
      <c r="N290" s="70" t="e">
        <v>#N/A</v>
      </c>
    </row>
    <row r="291" spans="2:14" x14ac:dyDescent="0.25">
      <c r="B291" s="74" t="str">
        <f t="shared" si="4"/>
        <v/>
      </c>
      <c r="C291" s="46" t="str">
        <f>IF(B291&lt;&gt;"",_xll.BInterpol(maturities,zeros,B291,"linear","skip=true","sort=true","multix=average"),"")</f>
        <v/>
      </c>
      <c r="D291" s="39" t="str">
        <f>IF(B291&lt;&gt;"",_xll.BInterpol(maturities,discounts,B291,"linear","skip=true","sort=true","multix=average"),"")</f>
        <v/>
      </c>
      <c r="N291" s="70" t="e">
        <v>#N/A</v>
      </c>
    </row>
    <row r="292" spans="2:14" x14ac:dyDescent="0.25">
      <c r="B292" s="75" t="str">
        <f t="shared" si="4"/>
        <v/>
      </c>
      <c r="C292" s="45" t="str">
        <f>IF(B292&lt;&gt;"",_xll.BInterpol(maturities,zeros,B292,"linear","skip=true","sort=true","multix=average"),"")</f>
        <v/>
      </c>
      <c r="D292" s="38" t="str">
        <f>IF(B292&lt;&gt;"",_xll.BInterpol(maturities,discounts,B292,"linear","skip=true","sort=true","multix=average"),"")</f>
        <v/>
      </c>
      <c r="N292" s="70" t="e">
        <v>#N/A</v>
      </c>
    </row>
    <row r="293" spans="2:14" x14ac:dyDescent="0.25">
      <c r="B293" s="74" t="str">
        <f t="shared" si="4"/>
        <v/>
      </c>
      <c r="C293" s="46" t="str">
        <f>IF(B293&lt;&gt;"",_xll.BInterpol(maturities,zeros,B293,"linear","skip=true","sort=true","multix=average"),"")</f>
        <v/>
      </c>
      <c r="D293" s="39" t="str">
        <f>IF(B293&lt;&gt;"",_xll.BInterpol(maturities,discounts,B293,"linear","skip=true","sort=true","multix=average"),"")</f>
        <v/>
      </c>
      <c r="N293" s="70" t="e">
        <v>#N/A</v>
      </c>
    </row>
    <row r="294" spans="2:14" x14ac:dyDescent="0.25">
      <c r="B294" s="75" t="str">
        <f t="shared" si="4"/>
        <v/>
      </c>
      <c r="C294" s="45" t="str">
        <f>IF(B294&lt;&gt;"",_xll.BInterpol(maturities,zeros,B294,"linear","skip=true","sort=true","multix=average"),"")</f>
        <v/>
      </c>
      <c r="D294" s="38" t="str">
        <f>IF(B294&lt;&gt;"",_xll.BInterpol(maturities,discounts,B294,"linear","skip=true","sort=true","multix=average"),"")</f>
        <v/>
      </c>
      <c r="N294" s="70" t="e">
        <v>#N/A</v>
      </c>
    </row>
    <row r="295" spans="2:14" x14ac:dyDescent="0.25">
      <c r="B295" s="74" t="str">
        <f t="shared" si="4"/>
        <v/>
      </c>
      <c r="C295" s="46" t="str">
        <f>IF(B295&lt;&gt;"",_xll.BInterpol(maturities,zeros,B295,"linear","skip=true","sort=true","multix=average"),"")</f>
        <v/>
      </c>
      <c r="D295" s="39" t="str">
        <f>IF(B295&lt;&gt;"",_xll.BInterpol(maturities,discounts,B295,"linear","skip=true","sort=true","multix=average"),"")</f>
        <v/>
      </c>
      <c r="N295" s="70" t="e">
        <v>#N/A</v>
      </c>
    </row>
    <row r="296" spans="2:14" x14ac:dyDescent="0.25">
      <c r="B296" s="75" t="str">
        <f t="shared" si="4"/>
        <v/>
      </c>
      <c r="C296" s="45" t="str">
        <f>IF(B296&lt;&gt;"",_xll.BInterpol(maturities,zeros,B296,"linear","skip=true","sort=true","multix=average"),"")</f>
        <v/>
      </c>
      <c r="D296" s="38" t="str">
        <f>IF(B296&lt;&gt;"",_xll.BInterpol(maturities,discounts,B296,"linear","skip=true","sort=true","multix=average"),"")</f>
        <v/>
      </c>
      <c r="N296" s="70" t="e">
        <v>#N/A</v>
      </c>
    </row>
    <row r="297" spans="2:14" x14ac:dyDescent="0.25">
      <c r="B297" s="74" t="str">
        <f t="shared" si="4"/>
        <v/>
      </c>
      <c r="C297" s="46" t="str">
        <f>IF(B297&lt;&gt;"",_xll.BInterpol(maturities,zeros,B297,"linear","skip=true","sort=true","multix=average"),"")</f>
        <v/>
      </c>
      <c r="D297" s="39" t="str">
        <f>IF(B297&lt;&gt;"",_xll.BInterpol(maturities,discounts,B297,"linear","skip=true","sort=true","multix=average"),"")</f>
        <v/>
      </c>
      <c r="N297" s="70" t="e">
        <v>#N/A</v>
      </c>
    </row>
    <row r="298" spans="2:14" x14ac:dyDescent="0.25">
      <c r="B298" s="75" t="str">
        <f t="shared" si="4"/>
        <v/>
      </c>
      <c r="C298" s="45" t="str">
        <f>IF(B298&lt;&gt;"",_xll.BInterpol(maturities,zeros,B298,"linear","skip=true","sort=true","multix=average"),"")</f>
        <v/>
      </c>
      <c r="D298" s="38" t="str">
        <f>IF(B298&lt;&gt;"",_xll.BInterpol(maturities,discounts,B298,"linear","skip=true","sort=true","multix=average"),"")</f>
        <v/>
      </c>
      <c r="N298" s="70" t="e">
        <v>#N/A</v>
      </c>
    </row>
    <row r="299" spans="2:14" x14ac:dyDescent="0.25">
      <c r="B299" s="74" t="str">
        <f t="shared" si="4"/>
        <v/>
      </c>
      <c r="C299" s="46" t="str">
        <f>IF(B299&lt;&gt;"",_xll.BInterpol(maturities,zeros,B299,"linear","skip=true","sort=true","multix=average"),"")</f>
        <v/>
      </c>
      <c r="D299" s="39" t="str">
        <f>IF(B299&lt;&gt;"",_xll.BInterpol(maturities,discounts,B299,"linear","skip=true","sort=true","multix=average"),"")</f>
        <v/>
      </c>
      <c r="N299" s="70" t="e">
        <v>#N/A</v>
      </c>
    </row>
    <row r="300" spans="2:14" x14ac:dyDescent="0.25">
      <c r="B300" s="75" t="str">
        <f t="shared" si="4"/>
        <v/>
      </c>
      <c r="C300" s="45" t="str">
        <f>IF(B300&lt;&gt;"",_xll.BInterpol(maturities,zeros,B300,"linear","skip=true","sort=true","multix=average"),"")</f>
        <v/>
      </c>
      <c r="D300" s="38" t="str">
        <f>IF(B300&lt;&gt;"",_xll.BInterpol(maturities,discounts,B300,"linear","skip=true","sort=true","multix=average"),"")</f>
        <v/>
      </c>
      <c r="N300" s="70" t="e">
        <v>#N/A</v>
      </c>
    </row>
    <row r="301" spans="2:14" x14ac:dyDescent="0.25">
      <c r="B301" s="74" t="str">
        <f t="shared" si="4"/>
        <v/>
      </c>
      <c r="C301" s="46" t="str">
        <f>IF(B301&lt;&gt;"",_xll.BInterpol(maturities,zeros,B301,"linear","skip=true","sort=true","multix=average"),"")</f>
        <v/>
      </c>
      <c r="D301" s="39" t="str">
        <f>IF(B301&lt;&gt;"",_xll.BInterpol(maturities,discounts,B301,"linear","skip=true","sort=true","multix=average"),"")</f>
        <v/>
      </c>
      <c r="N301" s="70" t="e">
        <v>#N/A</v>
      </c>
    </row>
    <row r="302" spans="2:14" x14ac:dyDescent="0.25">
      <c r="B302" s="75" t="str">
        <f t="shared" si="4"/>
        <v/>
      </c>
      <c r="C302" s="45" t="str">
        <f>IF(B302&lt;&gt;"",_xll.BInterpol(maturities,zeros,B302,"linear","skip=true","sort=true","multix=average"),"")</f>
        <v/>
      </c>
      <c r="D302" s="38" t="str">
        <f>IF(B302&lt;&gt;"",_xll.BInterpol(maturities,discounts,B302,"linear","skip=true","sort=true","multix=average"),"")</f>
        <v/>
      </c>
      <c r="N302" s="70" t="e">
        <v>#N/A</v>
      </c>
    </row>
    <row r="303" spans="2:14" x14ac:dyDescent="0.25">
      <c r="B303" s="74" t="str">
        <f t="shared" si="4"/>
        <v/>
      </c>
      <c r="C303" s="46" t="str">
        <f>IF(B303&lt;&gt;"",_xll.BInterpol(maturities,zeros,B303,"linear","skip=true","sort=true","multix=average"),"")</f>
        <v/>
      </c>
      <c r="D303" s="39" t="str">
        <f>IF(B303&lt;&gt;"",_xll.BInterpol(maturities,discounts,B303,"linear","skip=true","sort=true","multix=average"),"")</f>
        <v/>
      </c>
      <c r="N303" s="70" t="e">
        <v>#N/A</v>
      </c>
    </row>
    <row r="304" spans="2:14" x14ac:dyDescent="0.25">
      <c r="B304" s="75" t="str">
        <f t="shared" si="4"/>
        <v/>
      </c>
      <c r="C304" s="45" t="str">
        <f>IF(B304&lt;&gt;"",_xll.BInterpol(maturities,zeros,B304,"linear","skip=true","sort=true","multix=average"),"")</f>
        <v/>
      </c>
      <c r="D304" s="38" t="str">
        <f>IF(B304&lt;&gt;"",_xll.BInterpol(maturities,discounts,B304,"linear","skip=true","sort=true","multix=average"),"")</f>
        <v/>
      </c>
      <c r="N304" s="70" t="e">
        <v>#N/A</v>
      </c>
    </row>
    <row r="305" spans="2:14" x14ac:dyDescent="0.25">
      <c r="B305" s="74" t="str">
        <f t="shared" si="4"/>
        <v/>
      </c>
      <c r="C305" s="46" t="str">
        <f>IF(B305&lt;&gt;"",_xll.BInterpol(maturities,zeros,B305,"linear","skip=true","sort=true","multix=average"),"")</f>
        <v/>
      </c>
      <c r="D305" s="39" t="str">
        <f>IF(B305&lt;&gt;"",_xll.BInterpol(maturities,discounts,B305,"linear","skip=true","sort=true","multix=average"),"")</f>
        <v/>
      </c>
      <c r="N305" s="70" t="e">
        <v>#N/A</v>
      </c>
    </row>
    <row r="306" spans="2:14" x14ac:dyDescent="0.25">
      <c r="B306" s="75" t="str">
        <f t="shared" si="4"/>
        <v/>
      </c>
      <c r="C306" s="45" t="str">
        <f>IF(B306&lt;&gt;"",_xll.BInterpol(maturities,zeros,B306,"linear","skip=true","sort=true","multix=average"),"")</f>
        <v/>
      </c>
      <c r="D306" s="38" t="str">
        <f>IF(B306&lt;&gt;"",_xll.BInterpol(maturities,discounts,B306,"linear","skip=true","sort=true","multix=average"),"")</f>
        <v/>
      </c>
      <c r="N306" s="70" t="e">
        <v>#N/A</v>
      </c>
    </row>
    <row r="307" spans="2:14" x14ac:dyDescent="0.25">
      <c r="B307" s="74" t="str">
        <f t="shared" si="4"/>
        <v/>
      </c>
      <c r="C307" s="46" t="str">
        <f>IF(B307&lt;&gt;"",_xll.BInterpol(maturities,zeros,B307,"linear","skip=true","sort=true","multix=average"),"")</f>
        <v/>
      </c>
      <c r="D307" s="39" t="str">
        <f>IF(B307&lt;&gt;"",_xll.BInterpol(maturities,discounts,B307,"linear","skip=true","sort=true","multix=average"),"")</f>
        <v/>
      </c>
      <c r="N307" s="70" t="e">
        <v>#N/A</v>
      </c>
    </row>
    <row r="308" spans="2:14" x14ac:dyDescent="0.25">
      <c r="B308" s="75" t="str">
        <f t="shared" si="4"/>
        <v/>
      </c>
      <c r="C308" s="45" t="str">
        <f>IF(B308&lt;&gt;"",_xll.BInterpol(maturities,zeros,B308,"linear","skip=true","sort=true","multix=average"),"")</f>
        <v/>
      </c>
      <c r="D308" s="38" t="str">
        <f>IF(B308&lt;&gt;"",_xll.BInterpol(maturities,discounts,B308,"linear","skip=true","sort=true","multix=average"),"")</f>
        <v/>
      </c>
      <c r="N308" s="70" t="e">
        <v>#N/A</v>
      </c>
    </row>
    <row r="309" spans="2:14" x14ac:dyDescent="0.25">
      <c r="B309" s="74" t="str">
        <f t="shared" si="4"/>
        <v/>
      </c>
      <c r="C309" s="46" t="str">
        <f>IF(B309&lt;&gt;"",_xll.BInterpol(maturities,zeros,B309,"linear","skip=true","sort=true","multix=average"),"")</f>
        <v/>
      </c>
      <c r="D309" s="39" t="str">
        <f>IF(B309&lt;&gt;"",_xll.BInterpol(maturities,discounts,B309,"linear","skip=true","sort=true","multix=average"),"")</f>
        <v/>
      </c>
      <c r="N309" s="70" t="e">
        <v>#N/A</v>
      </c>
    </row>
    <row r="310" spans="2:14" x14ac:dyDescent="0.25">
      <c r="B310" s="75" t="str">
        <f t="shared" si="4"/>
        <v/>
      </c>
      <c r="C310" s="45" t="str">
        <f>IF(B310&lt;&gt;"",_xll.BInterpol(maturities,zeros,B310,"linear","skip=true","sort=true","multix=average"),"")</f>
        <v/>
      </c>
      <c r="D310" s="38" t="str">
        <f>IF(B310&lt;&gt;"",_xll.BInterpol(maturities,discounts,B310,"linear","skip=true","sort=true","multix=average"),"")</f>
        <v/>
      </c>
      <c r="N310" s="70" t="e">
        <v>#N/A</v>
      </c>
    </row>
    <row r="311" spans="2:14" x14ac:dyDescent="0.25">
      <c r="B311" s="74" t="str">
        <f t="shared" si="4"/>
        <v/>
      </c>
      <c r="C311" s="46" t="str">
        <f>IF(B311&lt;&gt;"",_xll.BInterpol(maturities,zeros,B311,"linear","skip=true","sort=true","multix=average"),"")</f>
        <v/>
      </c>
      <c r="D311" s="39" t="str">
        <f>IF(B311&lt;&gt;"",_xll.BInterpol(maturities,discounts,B311,"linear","skip=true","sort=true","multix=average"),"")</f>
        <v/>
      </c>
      <c r="N311" s="70" t="e">
        <v>#N/A</v>
      </c>
    </row>
    <row r="312" spans="2:14" x14ac:dyDescent="0.25">
      <c r="B312" s="75" t="str">
        <f t="shared" si="4"/>
        <v/>
      </c>
      <c r="C312" s="45" t="str">
        <f>IF(B312&lt;&gt;"",_xll.BInterpol(maturities,zeros,B312,"linear","skip=true","sort=true","multix=average"),"")</f>
        <v/>
      </c>
      <c r="D312" s="38" t="str">
        <f>IF(B312&lt;&gt;"",_xll.BInterpol(maturities,discounts,B312,"linear","skip=true","sort=true","multix=average"),"")</f>
        <v/>
      </c>
      <c r="N312" s="70" t="e">
        <v>#N/A</v>
      </c>
    </row>
    <row r="313" spans="2:14" x14ac:dyDescent="0.25">
      <c r="B313" s="74" t="str">
        <f t="shared" si="4"/>
        <v/>
      </c>
      <c r="C313" s="46" t="str">
        <f>IF(B313&lt;&gt;"",_xll.BInterpol(maturities,zeros,B313,"linear","skip=true","sort=true","multix=average"),"")</f>
        <v/>
      </c>
      <c r="D313" s="39" t="str">
        <f>IF(B313&lt;&gt;"",_xll.BInterpol(maturities,discounts,B313,"linear","skip=true","sort=true","multix=average"),"")</f>
        <v/>
      </c>
      <c r="N313" s="70" t="e">
        <v>#N/A</v>
      </c>
    </row>
    <row r="314" spans="2:14" x14ac:dyDescent="0.25">
      <c r="B314" s="75" t="str">
        <f t="shared" si="4"/>
        <v/>
      </c>
      <c r="C314" s="45" t="str">
        <f>IF(B314&lt;&gt;"",_xll.BInterpol(maturities,zeros,B314,"linear","skip=true","sort=true","multix=average"),"")</f>
        <v/>
      </c>
      <c r="D314" s="38" t="str">
        <f>IF(B314&lt;&gt;"",_xll.BInterpol(maturities,discounts,B314,"linear","skip=true","sort=true","multix=average"),"")</f>
        <v/>
      </c>
      <c r="N314" s="70" t="e">
        <v>#N/A</v>
      </c>
    </row>
    <row r="315" spans="2:14" x14ac:dyDescent="0.25">
      <c r="B315" s="74" t="str">
        <f t="shared" si="4"/>
        <v/>
      </c>
      <c r="C315" s="46" t="str">
        <f>IF(B315&lt;&gt;"",_xll.BInterpol(maturities,zeros,B315,"linear","skip=true","sort=true","multix=average"),"")</f>
        <v/>
      </c>
      <c r="D315" s="39" t="str">
        <f>IF(B315&lt;&gt;"",_xll.BInterpol(maturities,discounts,B315,"linear","skip=true","sort=true","multix=average"),"")</f>
        <v/>
      </c>
      <c r="N315" s="70" t="e">
        <v>#N/A</v>
      </c>
    </row>
    <row r="316" spans="2:14" x14ac:dyDescent="0.25">
      <c r="B316" s="75" t="str">
        <f t="shared" si="4"/>
        <v/>
      </c>
      <c r="C316" s="45" t="str">
        <f>IF(B316&lt;&gt;"",_xll.BInterpol(maturities,zeros,B316,"linear","skip=true","sort=true","multix=average"),"")</f>
        <v/>
      </c>
      <c r="D316" s="38" t="str">
        <f>IF(B316&lt;&gt;"",_xll.BInterpol(maturities,discounts,B316,"linear","skip=true","sort=true","multix=average"),"")</f>
        <v/>
      </c>
      <c r="N316" s="70" t="e">
        <v>#N/A</v>
      </c>
    </row>
    <row r="317" spans="2:14" x14ac:dyDescent="0.25">
      <c r="B317" s="74" t="str">
        <f t="shared" si="4"/>
        <v/>
      </c>
      <c r="C317" s="46" t="str">
        <f>IF(B317&lt;&gt;"",_xll.BInterpol(maturities,zeros,B317,"linear","skip=true","sort=true","multix=average"),"")</f>
        <v/>
      </c>
      <c r="D317" s="39" t="str">
        <f>IF(B317&lt;&gt;"",_xll.BInterpol(maturities,discounts,B317,"linear","skip=true","sort=true","multix=average"),"")</f>
        <v/>
      </c>
      <c r="N317" s="70" t="e">
        <v>#N/A</v>
      </c>
    </row>
    <row r="318" spans="2:14" x14ac:dyDescent="0.25">
      <c r="B318" s="75" t="str">
        <f t="shared" si="4"/>
        <v/>
      </c>
      <c r="C318" s="45" t="str">
        <f>IF(B318&lt;&gt;"",_xll.BInterpol(maturities,zeros,B318,"linear","skip=true","sort=true","multix=average"),"")</f>
        <v/>
      </c>
      <c r="D318" s="38" t="str">
        <f>IF(B318&lt;&gt;"",_xll.BInterpol(maturities,discounts,B318,"linear","skip=true","sort=true","multix=average"),"")</f>
        <v/>
      </c>
      <c r="N318" s="70" t="e">
        <v>#N/A</v>
      </c>
    </row>
    <row r="319" spans="2:14" x14ac:dyDescent="0.25">
      <c r="B319" s="74" t="str">
        <f t="shared" si="4"/>
        <v/>
      </c>
      <c r="C319" s="46" t="str">
        <f>IF(B319&lt;&gt;"",_xll.BInterpol(maturities,zeros,B319,"linear","skip=true","sort=true","multix=average"),"")</f>
        <v/>
      </c>
      <c r="D319" s="39" t="str">
        <f>IF(B319&lt;&gt;"",_xll.BInterpol(maturities,discounts,B319,"linear","skip=true","sort=true","multix=average"),"")</f>
        <v/>
      </c>
      <c r="N319" s="70" t="e">
        <v>#N/A</v>
      </c>
    </row>
    <row r="320" spans="2:14" x14ac:dyDescent="0.25">
      <c r="B320" s="75" t="str">
        <f t="shared" si="4"/>
        <v/>
      </c>
      <c r="C320" s="45" t="str">
        <f>IF(B320&lt;&gt;"",_xll.BInterpol(maturities,zeros,B320,"linear","skip=true","sort=true","multix=average"),"")</f>
        <v/>
      </c>
      <c r="D320" s="38" t="str">
        <f>IF(B320&lt;&gt;"",_xll.BInterpol(maturities,discounts,B320,"linear","skip=true","sort=true","multix=average"),"")</f>
        <v/>
      </c>
      <c r="N320" s="70" t="e">
        <v>#N/A</v>
      </c>
    </row>
    <row r="321" spans="2:14" x14ac:dyDescent="0.25">
      <c r="B321" s="74" t="str">
        <f t="shared" si="4"/>
        <v/>
      </c>
      <c r="C321" s="46" t="str">
        <f>IF(B321&lt;&gt;"",_xll.BInterpol(maturities,zeros,B321,"linear","skip=true","sort=true","multix=average"),"")</f>
        <v/>
      </c>
      <c r="D321" s="39" t="str">
        <f>IF(B321&lt;&gt;"",_xll.BInterpol(maturities,discounts,B321,"linear","skip=true","sort=true","multix=average"),"")</f>
        <v/>
      </c>
      <c r="N321" s="70" t="e">
        <v>#N/A</v>
      </c>
    </row>
    <row r="322" spans="2:14" x14ac:dyDescent="0.25">
      <c r="B322" s="75" t="str">
        <f t="shared" si="4"/>
        <v/>
      </c>
      <c r="C322" s="45" t="str">
        <f>IF(B322&lt;&gt;"",_xll.BInterpol(maturities,zeros,B322,"linear","skip=true","sort=true","multix=average"),"")</f>
        <v/>
      </c>
      <c r="D322" s="38" t="str">
        <f>IF(B322&lt;&gt;"",_xll.BInterpol(maturities,discounts,B322,"linear","skip=true","sort=true","multix=average"),"")</f>
        <v/>
      </c>
      <c r="N322" s="70" t="e">
        <v>#N/A</v>
      </c>
    </row>
    <row r="323" spans="2:14" x14ac:dyDescent="0.25">
      <c r="B323" s="74" t="str">
        <f t="shared" si="4"/>
        <v/>
      </c>
      <c r="C323" s="46" t="str">
        <f>IF(B323&lt;&gt;"",_xll.BInterpol(maturities,zeros,B323,"linear","skip=true","sort=true","multix=average"),"")</f>
        <v/>
      </c>
      <c r="D323" s="39" t="str">
        <f>IF(B323&lt;&gt;"",_xll.BInterpol(maturities,discounts,B323,"linear","skip=true","sort=true","multix=average"),"")</f>
        <v/>
      </c>
      <c r="N323" s="70" t="e">
        <v>#N/A</v>
      </c>
    </row>
    <row r="324" spans="2:14" x14ac:dyDescent="0.25">
      <c r="B324" s="75" t="str">
        <f t="shared" si="4"/>
        <v/>
      </c>
      <c r="C324" s="45" t="str">
        <f>IF(B324&lt;&gt;"",_xll.BInterpol(maturities,zeros,B324,"linear","skip=true","sort=true","multix=average"),"")</f>
        <v/>
      </c>
      <c r="D324" s="38" t="str">
        <f>IF(B324&lt;&gt;"",_xll.BInterpol(maturities,discounts,B324,"linear","skip=true","sort=true","multix=average"),"")</f>
        <v/>
      </c>
      <c r="N324" s="70" t="e">
        <v>#N/A</v>
      </c>
    </row>
    <row r="325" spans="2:14" x14ac:dyDescent="0.25">
      <c r="B325" s="74" t="str">
        <f t="shared" si="4"/>
        <v/>
      </c>
      <c r="C325" s="46" t="str">
        <f>IF(B325&lt;&gt;"",_xll.BInterpol(maturities,zeros,B325,"linear","skip=true","sort=true","multix=average"),"")</f>
        <v/>
      </c>
      <c r="D325" s="39" t="str">
        <f>IF(B325&lt;&gt;"",_xll.BInterpol(maturities,discounts,B325,"linear","skip=true","sort=true","multix=average"),"")</f>
        <v/>
      </c>
      <c r="N325" s="70" t="e">
        <v>#N/A</v>
      </c>
    </row>
    <row r="326" spans="2:14" x14ac:dyDescent="0.25">
      <c r="B326" s="75" t="str">
        <f t="shared" si="4"/>
        <v/>
      </c>
      <c r="C326" s="45" t="str">
        <f>IF(B326&lt;&gt;"",_xll.BInterpol(maturities,zeros,B326,"linear","skip=true","sort=true","multix=average"),"")</f>
        <v/>
      </c>
      <c r="D326" s="38" t="str">
        <f>IF(B326&lt;&gt;"",_xll.BInterpol(maturities,discounts,B326,"linear","skip=true","sort=true","multix=average"),"")</f>
        <v/>
      </c>
      <c r="N326" s="70" t="e">
        <v>#N/A</v>
      </c>
    </row>
    <row r="327" spans="2:14" x14ac:dyDescent="0.25">
      <c r="B327" s="74" t="str">
        <f t="shared" si="4"/>
        <v/>
      </c>
      <c r="C327" s="46" t="str">
        <f>IF(B327&lt;&gt;"",_xll.BInterpol(maturities,zeros,B327,"linear","skip=true","sort=true","multix=average"),"")</f>
        <v/>
      </c>
      <c r="D327" s="39" t="str">
        <f>IF(B327&lt;&gt;"",_xll.BInterpol(maturities,discounts,B327,"linear","skip=true","sort=true","multix=average"),"")</f>
        <v/>
      </c>
      <c r="N327" s="70" t="e">
        <v>#N/A</v>
      </c>
    </row>
    <row r="328" spans="2:14" x14ac:dyDescent="0.25">
      <c r="B328" s="75" t="str">
        <f t="shared" si="4"/>
        <v/>
      </c>
      <c r="C328" s="45" t="str">
        <f>IF(B328&lt;&gt;"",_xll.BInterpol(maturities,zeros,B328,"linear","skip=true","sort=true","multix=average"),"")</f>
        <v/>
      </c>
      <c r="D328" s="38" t="str">
        <f>IF(B328&lt;&gt;"",_xll.BInterpol(maturities,discounts,B328,"linear","skip=true","sort=true","multix=average"),"")</f>
        <v/>
      </c>
      <c r="N328" s="70" t="e">
        <v>#N/A</v>
      </c>
    </row>
    <row r="329" spans="2:14" x14ac:dyDescent="0.25">
      <c r="B329" s="74" t="str">
        <f t="shared" si="4"/>
        <v/>
      </c>
      <c r="C329" s="46" t="str">
        <f>IF(B329&lt;&gt;"",_xll.BInterpol(maturities,zeros,B329,"linear","skip=true","sort=true","multix=average"),"")</f>
        <v/>
      </c>
      <c r="D329" s="39" t="str">
        <f>IF(B329&lt;&gt;"",_xll.BInterpol(maturities,discounts,B329,"linear","skip=true","sort=true","multix=average"),"")</f>
        <v/>
      </c>
      <c r="N329" s="70" t="e">
        <v>#N/A</v>
      </c>
    </row>
    <row r="330" spans="2:14" x14ac:dyDescent="0.25">
      <c r="B330" s="75" t="str">
        <f t="shared" si="4"/>
        <v/>
      </c>
      <c r="C330" s="45" t="str">
        <f>IF(B330&lt;&gt;"",_xll.BInterpol(maturities,zeros,B330,"linear","skip=true","sort=true","multix=average"),"")</f>
        <v/>
      </c>
      <c r="D330" s="38" t="str">
        <f>IF(B330&lt;&gt;"",_xll.BInterpol(maturities,discounts,B330,"linear","skip=true","sort=true","multix=average"),"")</f>
        <v/>
      </c>
      <c r="N330" s="70" t="e">
        <v>#N/A</v>
      </c>
    </row>
    <row r="331" spans="2:14" x14ac:dyDescent="0.25">
      <c r="B331" s="74" t="str">
        <f t="shared" si="4"/>
        <v/>
      </c>
      <c r="C331" s="46" t="str">
        <f>IF(B331&lt;&gt;"",_xll.BInterpol(maturities,zeros,B331,"linear","skip=true","sort=true","multix=average"),"")</f>
        <v/>
      </c>
      <c r="D331" s="39" t="str">
        <f>IF(B331&lt;&gt;"",_xll.BInterpol(maturities,discounts,B331,"linear","skip=true","sort=true","multix=average"),"")</f>
        <v/>
      </c>
      <c r="N331" s="70" t="e">
        <v>#N/A</v>
      </c>
    </row>
    <row r="332" spans="2:14" x14ac:dyDescent="0.25">
      <c r="B332" s="75" t="str">
        <f t="shared" si="4"/>
        <v/>
      </c>
      <c r="C332" s="45" t="str">
        <f>IF(B332&lt;&gt;"",_xll.BInterpol(maturities,zeros,B332,"linear","skip=true","sort=true","multix=average"),"")</f>
        <v/>
      </c>
      <c r="D332" s="38" t="str">
        <f>IF(B332&lt;&gt;"",_xll.BInterpol(maturities,discounts,B332,"linear","skip=true","sort=true","multix=average"),"")</f>
        <v/>
      </c>
      <c r="N332" s="70" t="e">
        <v>#N/A</v>
      </c>
    </row>
    <row r="333" spans="2:14" x14ac:dyDescent="0.25">
      <c r="B333" s="74" t="str">
        <f t="shared" si="4"/>
        <v/>
      </c>
      <c r="C333" s="46" t="str">
        <f>IF(B333&lt;&gt;"",_xll.BInterpol(maturities,zeros,B333,"linear","skip=true","sort=true","multix=average"),"")</f>
        <v/>
      </c>
      <c r="D333" s="39" t="str">
        <f>IF(B333&lt;&gt;"",_xll.BInterpol(maturities,discounts,B333,"linear","skip=true","sort=true","multix=average"),"")</f>
        <v/>
      </c>
      <c r="N333" s="70" t="e">
        <v>#N/A</v>
      </c>
    </row>
    <row r="334" spans="2:14" x14ac:dyDescent="0.25">
      <c r="B334" s="75" t="str">
        <f t="shared" ref="B334:B397" si="5">IF(ISNA(N334),"",N334)</f>
        <v/>
      </c>
      <c r="C334" s="45" t="str">
        <f>IF(B334&lt;&gt;"",_xll.BInterpol(maturities,zeros,B334,"linear","skip=true","sort=true","multix=average"),"")</f>
        <v/>
      </c>
      <c r="D334" s="38" t="str">
        <f>IF(B334&lt;&gt;"",_xll.BInterpol(maturities,discounts,B334,"linear","skip=true","sort=true","multix=average"),"")</f>
        <v/>
      </c>
      <c r="N334" s="70" t="e">
        <v>#N/A</v>
      </c>
    </row>
    <row r="335" spans="2:14" x14ac:dyDescent="0.25">
      <c r="B335" s="74" t="str">
        <f t="shared" si="5"/>
        <v/>
      </c>
      <c r="C335" s="46" t="str">
        <f>IF(B335&lt;&gt;"",_xll.BInterpol(maturities,zeros,B335,"linear","skip=true","sort=true","multix=average"),"")</f>
        <v/>
      </c>
      <c r="D335" s="39" t="str">
        <f>IF(B335&lt;&gt;"",_xll.BInterpol(maturities,discounts,B335,"linear","skip=true","sort=true","multix=average"),"")</f>
        <v/>
      </c>
      <c r="N335" s="70" t="e">
        <v>#N/A</v>
      </c>
    </row>
    <row r="336" spans="2:14" x14ac:dyDescent="0.25">
      <c r="B336" s="75" t="str">
        <f t="shared" si="5"/>
        <v/>
      </c>
      <c r="C336" s="45" t="str">
        <f>IF(B336&lt;&gt;"",_xll.BInterpol(maturities,zeros,B336,"linear","skip=true","sort=true","multix=average"),"")</f>
        <v/>
      </c>
      <c r="D336" s="38" t="str">
        <f>IF(B336&lt;&gt;"",_xll.BInterpol(maturities,discounts,B336,"linear","skip=true","sort=true","multix=average"),"")</f>
        <v/>
      </c>
      <c r="N336" s="70" t="e">
        <v>#N/A</v>
      </c>
    </row>
    <row r="337" spans="2:14" x14ac:dyDescent="0.25">
      <c r="B337" s="74" t="str">
        <f t="shared" si="5"/>
        <v/>
      </c>
      <c r="C337" s="46" t="str">
        <f>IF(B337&lt;&gt;"",_xll.BInterpol(maturities,zeros,B337,"linear","skip=true","sort=true","multix=average"),"")</f>
        <v/>
      </c>
      <c r="D337" s="39" t="str">
        <f>IF(B337&lt;&gt;"",_xll.BInterpol(maturities,discounts,B337,"linear","skip=true","sort=true","multix=average"),"")</f>
        <v/>
      </c>
      <c r="N337" s="70" t="e">
        <v>#N/A</v>
      </c>
    </row>
    <row r="338" spans="2:14" x14ac:dyDescent="0.25">
      <c r="B338" s="75" t="str">
        <f t="shared" si="5"/>
        <v/>
      </c>
      <c r="C338" s="45" t="str">
        <f>IF(B338&lt;&gt;"",_xll.BInterpol(maturities,zeros,B338,"linear","skip=true","sort=true","multix=average"),"")</f>
        <v/>
      </c>
      <c r="D338" s="38" t="str">
        <f>IF(B338&lt;&gt;"",_xll.BInterpol(maturities,discounts,B338,"linear","skip=true","sort=true","multix=average"),"")</f>
        <v/>
      </c>
      <c r="N338" s="70" t="e">
        <v>#N/A</v>
      </c>
    </row>
    <row r="339" spans="2:14" x14ac:dyDescent="0.25">
      <c r="B339" s="74" t="str">
        <f t="shared" si="5"/>
        <v/>
      </c>
      <c r="C339" s="46" t="str">
        <f>IF(B339&lt;&gt;"",_xll.BInterpol(maturities,zeros,B339,"linear","skip=true","sort=true","multix=average"),"")</f>
        <v/>
      </c>
      <c r="D339" s="39" t="str">
        <f>IF(B339&lt;&gt;"",_xll.BInterpol(maturities,discounts,B339,"linear","skip=true","sort=true","multix=average"),"")</f>
        <v/>
      </c>
      <c r="N339" s="70" t="e">
        <v>#N/A</v>
      </c>
    </row>
    <row r="340" spans="2:14" x14ac:dyDescent="0.25">
      <c r="B340" s="75" t="str">
        <f t="shared" si="5"/>
        <v/>
      </c>
      <c r="C340" s="45" t="str">
        <f>IF(B340&lt;&gt;"",_xll.BInterpol(maturities,zeros,B340,"linear","skip=true","sort=true","multix=average"),"")</f>
        <v/>
      </c>
      <c r="D340" s="38" t="str">
        <f>IF(B340&lt;&gt;"",_xll.BInterpol(maturities,discounts,B340,"linear","skip=true","sort=true","multix=average"),"")</f>
        <v/>
      </c>
      <c r="N340" s="70" t="e">
        <v>#N/A</v>
      </c>
    </row>
    <row r="341" spans="2:14" x14ac:dyDescent="0.25">
      <c r="B341" s="74" t="str">
        <f t="shared" si="5"/>
        <v/>
      </c>
      <c r="C341" s="46" t="str">
        <f>IF(B341&lt;&gt;"",_xll.BInterpol(maturities,zeros,B341,"linear","skip=true","sort=true","multix=average"),"")</f>
        <v/>
      </c>
      <c r="D341" s="39" t="str">
        <f>IF(B341&lt;&gt;"",_xll.BInterpol(maturities,discounts,B341,"linear","skip=true","sort=true","multix=average"),"")</f>
        <v/>
      </c>
      <c r="N341" s="70" t="e">
        <v>#N/A</v>
      </c>
    </row>
    <row r="342" spans="2:14" x14ac:dyDescent="0.25">
      <c r="B342" s="75" t="str">
        <f t="shared" si="5"/>
        <v/>
      </c>
      <c r="C342" s="45" t="str">
        <f>IF(B342&lt;&gt;"",_xll.BInterpol(maturities,zeros,B342,"linear","skip=true","sort=true","multix=average"),"")</f>
        <v/>
      </c>
      <c r="D342" s="38" t="str">
        <f>IF(B342&lt;&gt;"",_xll.BInterpol(maturities,discounts,B342,"linear","skip=true","sort=true","multix=average"),"")</f>
        <v/>
      </c>
      <c r="N342" s="70" t="e">
        <v>#N/A</v>
      </c>
    </row>
    <row r="343" spans="2:14" x14ac:dyDescent="0.25">
      <c r="B343" s="74" t="str">
        <f t="shared" si="5"/>
        <v/>
      </c>
      <c r="C343" s="46" t="str">
        <f>IF(B343&lt;&gt;"",_xll.BInterpol(maturities,zeros,B343,"linear","skip=true","sort=true","multix=average"),"")</f>
        <v/>
      </c>
      <c r="D343" s="39" t="str">
        <f>IF(B343&lt;&gt;"",_xll.BInterpol(maturities,discounts,B343,"linear","skip=true","sort=true","multix=average"),"")</f>
        <v/>
      </c>
      <c r="N343" s="70" t="e">
        <v>#N/A</v>
      </c>
    </row>
    <row r="344" spans="2:14" x14ac:dyDescent="0.25">
      <c r="B344" s="75" t="str">
        <f t="shared" si="5"/>
        <v/>
      </c>
      <c r="C344" s="45" t="str">
        <f>IF(B344&lt;&gt;"",_xll.BInterpol(maturities,zeros,B344,"linear","skip=true","sort=true","multix=average"),"")</f>
        <v/>
      </c>
      <c r="D344" s="38" t="str">
        <f>IF(B344&lt;&gt;"",_xll.BInterpol(maturities,discounts,B344,"linear","skip=true","sort=true","multix=average"),"")</f>
        <v/>
      </c>
      <c r="N344" s="70" t="e">
        <v>#N/A</v>
      </c>
    </row>
    <row r="345" spans="2:14" x14ac:dyDescent="0.25">
      <c r="B345" s="74" t="str">
        <f t="shared" si="5"/>
        <v/>
      </c>
      <c r="C345" s="46" t="str">
        <f>IF(B345&lt;&gt;"",_xll.BInterpol(maturities,zeros,B345,"linear","skip=true","sort=true","multix=average"),"")</f>
        <v/>
      </c>
      <c r="D345" s="39" t="str">
        <f>IF(B345&lt;&gt;"",_xll.BInterpol(maturities,discounts,B345,"linear","skip=true","sort=true","multix=average"),"")</f>
        <v/>
      </c>
      <c r="N345" s="70" t="e">
        <v>#N/A</v>
      </c>
    </row>
    <row r="346" spans="2:14" x14ac:dyDescent="0.25">
      <c r="B346" s="75" t="str">
        <f t="shared" si="5"/>
        <v/>
      </c>
      <c r="C346" s="45" t="str">
        <f>IF(B346&lt;&gt;"",_xll.BInterpol(maturities,zeros,B346,"linear","skip=true","sort=true","multix=average"),"")</f>
        <v/>
      </c>
      <c r="D346" s="38" t="str">
        <f>IF(B346&lt;&gt;"",_xll.BInterpol(maturities,discounts,B346,"linear","skip=true","sort=true","multix=average"),"")</f>
        <v/>
      </c>
      <c r="N346" s="70" t="e">
        <v>#N/A</v>
      </c>
    </row>
    <row r="347" spans="2:14" x14ac:dyDescent="0.25">
      <c r="B347" s="74" t="str">
        <f t="shared" si="5"/>
        <v/>
      </c>
      <c r="C347" s="46" t="str">
        <f>IF(B347&lt;&gt;"",_xll.BInterpol(maturities,zeros,B347,"linear","skip=true","sort=true","multix=average"),"")</f>
        <v/>
      </c>
      <c r="D347" s="39" t="str">
        <f>IF(B347&lt;&gt;"",_xll.BInterpol(maturities,discounts,B347,"linear","skip=true","sort=true","multix=average"),"")</f>
        <v/>
      </c>
      <c r="N347" s="70" t="e">
        <v>#N/A</v>
      </c>
    </row>
    <row r="348" spans="2:14" x14ac:dyDescent="0.25">
      <c r="B348" s="75" t="str">
        <f t="shared" si="5"/>
        <v/>
      </c>
      <c r="C348" s="45" t="str">
        <f>IF(B348&lt;&gt;"",_xll.BInterpol(maturities,zeros,B348,"linear","skip=true","sort=true","multix=average"),"")</f>
        <v/>
      </c>
      <c r="D348" s="38" t="str">
        <f>IF(B348&lt;&gt;"",_xll.BInterpol(maturities,discounts,B348,"linear","skip=true","sort=true","multix=average"),"")</f>
        <v/>
      </c>
      <c r="N348" s="70" t="e">
        <v>#N/A</v>
      </c>
    </row>
    <row r="349" spans="2:14" x14ac:dyDescent="0.25">
      <c r="B349" s="74" t="str">
        <f t="shared" si="5"/>
        <v/>
      </c>
      <c r="C349" s="46" t="str">
        <f>IF(B349&lt;&gt;"",_xll.BInterpol(maturities,zeros,B349,"linear","skip=true","sort=true","multix=average"),"")</f>
        <v/>
      </c>
      <c r="D349" s="39" t="str">
        <f>IF(B349&lt;&gt;"",_xll.BInterpol(maturities,discounts,B349,"linear","skip=true","sort=true","multix=average"),"")</f>
        <v/>
      </c>
      <c r="N349" s="70" t="e">
        <v>#N/A</v>
      </c>
    </row>
    <row r="350" spans="2:14" x14ac:dyDescent="0.25">
      <c r="B350" s="75" t="str">
        <f t="shared" si="5"/>
        <v/>
      </c>
      <c r="C350" s="45" t="str">
        <f>IF(B350&lt;&gt;"",_xll.BInterpol(maturities,zeros,B350,"linear","skip=true","sort=true","multix=average"),"")</f>
        <v/>
      </c>
      <c r="D350" s="38" t="str">
        <f>IF(B350&lt;&gt;"",_xll.BInterpol(maturities,discounts,B350,"linear","skip=true","sort=true","multix=average"),"")</f>
        <v/>
      </c>
      <c r="N350" s="70" t="e">
        <v>#N/A</v>
      </c>
    </row>
    <row r="351" spans="2:14" x14ac:dyDescent="0.25">
      <c r="B351" s="74" t="str">
        <f t="shared" si="5"/>
        <v/>
      </c>
      <c r="C351" s="46" t="str">
        <f>IF(B351&lt;&gt;"",_xll.BInterpol(maturities,zeros,B351,"linear","skip=true","sort=true","multix=average"),"")</f>
        <v/>
      </c>
      <c r="D351" s="39" t="str">
        <f>IF(B351&lt;&gt;"",_xll.BInterpol(maturities,discounts,B351,"linear","skip=true","sort=true","multix=average"),"")</f>
        <v/>
      </c>
      <c r="N351" s="70" t="e">
        <v>#N/A</v>
      </c>
    </row>
    <row r="352" spans="2:14" x14ac:dyDescent="0.25">
      <c r="B352" s="75" t="str">
        <f t="shared" si="5"/>
        <v/>
      </c>
      <c r="C352" s="45" t="str">
        <f>IF(B352&lt;&gt;"",_xll.BInterpol(maturities,zeros,B352,"linear","skip=true","sort=true","multix=average"),"")</f>
        <v/>
      </c>
      <c r="D352" s="38" t="str">
        <f>IF(B352&lt;&gt;"",_xll.BInterpol(maturities,discounts,B352,"linear","skip=true","sort=true","multix=average"),"")</f>
        <v/>
      </c>
      <c r="N352" s="70" t="e">
        <v>#N/A</v>
      </c>
    </row>
    <row r="353" spans="2:14" x14ac:dyDescent="0.25">
      <c r="B353" s="74" t="str">
        <f t="shared" si="5"/>
        <v/>
      </c>
      <c r="C353" s="46" t="str">
        <f>IF(B353&lt;&gt;"",_xll.BInterpol(maturities,zeros,B353,"linear","skip=true","sort=true","multix=average"),"")</f>
        <v/>
      </c>
      <c r="D353" s="39" t="str">
        <f>IF(B353&lt;&gt;"",_xll.BInterpol(maturities,discounts,B353,"linear","skip=true","sort=true","multix=average"),"")</f>
        <v/>
      </c>
      <c r="N353" s="70" t="e">
        <v>#N/A</v>
      </c>
    </row>
    <row r="354" spans="2:14" x14ac:dyDescent="0.25">
      <c r="B354" s="75" t="str">
        <f t="shared" si="5"/>
        <v/>
      </c>
      <c r="C354" s="45" t="str">
        <f>IF(B354&lt;&gt;"",_xll.BInterpol(maturities,zeros,B354,"linear","skip=true","sort=true","multix=average"),"")</f>
        <v/>
      </c>
      <c r="D354" s="38" t="str">
        <f>IF(B354&lt;&gt;"",_xll.BInterpol(maturities,discounts,B354,"linear","skip=true","sort=true","multix=average"),"")</f>
        <v/>
      </c>
      <c r="N354" s="70" t="e">
        <v>#N/A</v>
      </c>
    </row>
    <row r="355" spans="2:14" x14ac:dyDescent="0.25">
      <c r="B355" s="74" t="str">
        <f t="shared" si="5"/>
        <v/>
      </c>
      <c r="C355" s="46" t="str">
        <f>IF(B355&lt;&gt;"",_xll.BInterpol(maturities,zeros,B355,"linear","skip=true","sort=true","multix=average"),"")</f>
        <v/>
      </c>
      <c r="D355" s="39" t="str">
        <f>IF(B355&lt;&gt;"",_xll.BInterpol(maturities,discounts,B355,"linear","skip=true","sort=true","multix=average"),"")</f>
        <v/>
      </c>
      <c r="N355" s="70" t="e">
        <v>#N/A</v>
      </c>
    </row>
    <row r="356" spans="2:14" x14ac:dyDescent="0.25">
      <c r="B356" s="75" t="str">
        <f t="shared" si="5"/>
        <v/>
      </c>
      <c r="C356" s="45" t="str">
        <f>IF(B356&lt;&gt;"",_xll.BInterpol(maturities,zeros,B356,"linear","skip=true","sort=true","multix=average"),"")</f>
        <v/>
      </c>
      <c r="D356" s="38" t="str">
        <f>IF(B356&lt;&gt;"",_xll.BInterpol(maturities,discounts,B356,"linear","skip=true","sort=true","multix=average"),"")</f>
        <v/>
      </c>
      <c r="N356" s="70" t="e">
        <v>#N/A</v>
      </c>
    </row>
    <row r="357" spans="2:14" x14ac:dyDescent="0.25">
      <c r="B357" s="74" t="str">
        <f t="shared" si="5"/>
        <v/>
      </c>
      <c r="C357" s="46" t="str">
        <f>IF(B357&lt;&gt;"",_xll.BInterpol(maturities,zeros,B357,"linear","skip=true","sort=true","multix=average"),"")</f>
        <v/>
      </c>
      <c r="D357" s="39" t="str">
        <f>IF(B357&lt;&gt;"",_xll.BInterpol(maturities,discounts,B357,"linear","skip=true","sort=true","multix=average"),"")</f>
        <v/>
      </c>
      <c r="N357" s="70" t="e">
        <v>#N/A</v>
      </c>
    </row>
    <row r="358" spans="2:14" x14ac:dyDescent="0.25">
      <c r="B358" s="75" t="str">
        <f t="shared" si="5"/>
        <v/>
      </c>
      <c r="C358" s="45" t="str">
        <f>IF(B358&lt;&gt;"",_xll.BInterpol(maturities,zeros,B358,"linear","skip=true","sort=true","multix=average"),"")</f>
        <v/>
      </c>
      <c r="D358" s="38" t="str">
        <f>IF(B358&lt;&gt;"",_xll.BInterpol(maturities,discounts,B358,"linear","skip=true","sort=true","multix=average"),"")</f>
        <v/>
      </c>
      <c r="N358" s="70" t="e">
        <v>#N/A</v>
      </c>
    </row>
    <row r="359" spans="2:14" x14ac:dyDescent="0.25">
      <c r="B359" s="74" t="str">
        <f t="shared" si="5"/>
        <v/>
      </c>
      <c r="C359" s="46" t="str">
        <f>IF(B359&lt;&gt;"",_xll.BInterpol(maturities,zeros,B359,"linear","skip=true","sort=true","multix=average"),"")</f>
        <v/>
      </c>
      <c r="D359" s="39" t="str">
        <f>IF(B359&lt;&gt;"",_xll.BInterpol(maturities,discounts,B359,"linear","skip=true","sort=true","multix=average"),"")</f>
        <v/>
      </c>
      <c r="N359" s="70" t="e">
        <v>#N/A</v>
      </c>
    </row>
    <row r="360" spans="2:14" x14ac:dyDescent="0.25">
      <c r="B360" s="75" t="str">
        <f t="shared" si="5"/>
        <v/>
      </c>
      <c r="C360" s="45" t="str">
        <f>IF(B360&lt;&gt;"",_xll.BInterpol(maturities,zeros,B360,"linear","skip=true","sort=true","multix=average"),"")</f>
        <v/>
      </c>
      <c r="D360" s="38" t="str">
        <f>IF(B360&lt;&gt;"",_xll.BInterpol(maturities,discounts,B360,"linear","skip=true","sort=true","multix=average"),"")</f>
        <v/>
      </c>
      <c r="N360" s="70" t="e">
        <v>#N/A</v>
      </c>
    </row>
    <row r="361" spans="2:14" x14ac:dyDescent="0.25">
      <c r="B361" s="74" t="str">
        <f t="shared" si="5"/>
        <v/>
      </c>
      <c r="C361" s="46" t="str">
        <f>IF(B361&lt;&gt;"",_xll.BInterpol(maturities,zeros,B361,"linear","skip=true","sort=true","multix=average"),"")</f>
        <v/>
      </c>
      <c r="D361" s="39" t="str">
        <f>IF(B361&lt;&gt;"",_xll.BInterpol(maturities,discounts,B361,"linear","skip=true","sort=true","multix=average"),"")</f>
        <v/>
      </c>
      <c r="N361" s="70" t="e">
        <v>#N/A</v>
      </c>
    </row>
    <row r="362" spans="2:14" x14ac:dyDescent="0.25">
      <c r="B362" s="75" t="str">
        <f t="shared" si="5"/>
        <v/>
      </c>
      <c r="C362" s="45" t="str">
        <f>IF(B362&lt;&gt;"",_xll.BInterpol(maturities,zeros,B362,"linear","skip=true","sort=true","multix=average"),"")</f>
        <v/>
      </c>
      <c r="D362" s="38" t="str">
        <f>IF(B362&lt;&gt;"",_xll.BInterpol(maturities,discounts,B362,"linear","skip=true","sort=true","multix=average"),"")</f>
        <v/>
      </c>
      <c r="N362" s="70" t="e">
        <v>#N/A</v>
      </c>
    </row>
    <row r="363" spans="2:14" x14ac:dyDescent="0.25">
      <c r="B363" s="74" t="str">
        <f t="shared" si="5"/>
        <v/>
      </c>
      <c r="C363" s="46" t="str">
        <f>IF(B363&lt;&gt;"",_xll.BInterpol(maturities,zeros,B363,"linear","skip=true","sort=true","multix=average"),"")</f>
        <v/>
      </c>
      <c r="D363" s="39" t="str">
        <f>IF(B363&lt;&gt;"",_xll.BInterpol(maturities,discounts,B363,"linear","skip=true","sort=true","multix=average"),"")</f>
        <v/>
      </c>
      <c r="N363" s="70" t="e">
        <v>#N/A</v>
      </c>
    </row>
    <row r="364" spans="2:14" x14ac:dyDescent="0.25">
      <c r="B364" s="75" t="str">
        <f t="shared" si="5"/>
        <v/>
      </c>
      <c r="C364" s="45" t="str">
        <f>IF(B364&lt;&gt;"",_xll.BInterpol(maturities,zeros,B364,"linear","skip=true","sort=true","multix=average"),"")</f>
        <v/>
      </c>
      <c r="D364" s="38" t="str">
        <f>IF(B364&lt;&gt;"",_xll.BInterpol(maturities,discounts,B364,"linear","skip=true","sort=true","multix=average"),"")</f>
        <v/>
      </c>
      <c r="N364" s="70" t="e">
        <v>#N/A</v>
      </c>
    </row>
    <row r="365" spans="2:14" x14ac:dyDescent="0.25">
      <c r="B365" s="74" t="str">
        <f t="shared" si="5"/>
        <v/>
      </c>
      <c r="C365" s="46" t="str">
        <f>IF(B365&lt;&gt;"",_xll.BInterpol(maturities,zeros,B365,"linear","skip=true","sort=true","multix=average"),"")</f>
        <v/>
      </c>
      <c r="D365" s="39" t="str">
        <f>IF(B365&lt;&gt;"",_xll.BInterpol(maturities,discounts,B365,"linear","skip=true","sort=true","multix=average"),"")</f>
        <v/>
      </c>
      <c r="N365" s="70" t="e">
        <v>#N/A</v>
      </c>
    </row>
    <row r="366" spans="2:14" x14ac:dyDescent="0.25">
      <c r="B366" s="75" t="str">
        <f t="shared" si="5"/>
        <v/>
      </c>
      <c r="C366" s="45" t="str">
        <f>IF(B366&lt;&gt;"",_xll.BInterpol(maturities,zeros,B366,"linear","skip=true","sort=true","multix=average"),"")</f>
        <v/>
      </c>
      <c r="D366" s="38" t="str">
        <f>IF(B366&lt;&gt;"",_xll.BInterpol(maturities,discounts,B366,"linear","skip=true","sort=true","multix=average"),"")</f>
        <v/>
      </c>
      <c r="N366" s="70" t="e">
        <v>#N/A</v>
      </c>
    </row>
    <row r="367" spans="2:14" x14ac:dyDescent="0.25">
      <c r="B367" s="74" t="str">
        <f t="shared" si="5"/>
        <v/>
      </c>
      <c r="C367" s="46" t="str">
        <f>IF(B367&lt;&gt;"",_xll.BInterpol(maturities,zeros,B367,"linear","skip=true","sort=true","multix=average"),"")</f>
        <v/>
      </c>
      <c r="D367" s="39" t="str">
        <f>IF(B367&lt;&gt;"",_xll.BInterpol(maturities,discounts,B367,"linear","skip=true","sort=true","multix=average"),"")</f>
        <v/>
      </c>
      <c r="N367" s="70" t="e">
        <v>#N/A</v>
      </c>
    </row>
    <row r="368" spans="2:14" x14ac:dyDescent="0.25">
      <c r="B368" s="75" t="str">
        <f t="shared" si="5"/>
        <v/>
      </c>
      <c r="C368" s="45" t="str">
        <f>IF(B368&lt;&gt;"",_xll.BInterpol(maturities,zeros,B368,"linear","skip=true","sort=true","multix=average"),"")</f>
        <v/>
      </c>
      <c r="D368" s="38" t="str">
        <f>IF(B368&lt;&gt;"",_xll.BInterpol(maturities,discounts,B368,"linear","skip=true","sort=true","multix=average"),"")</f>
        <v/>
      </c>
      <c r="N368" s="70" t="e">
        <v>#N/A</v>
      </c>
    </row>
    <row r="369" spans="2:14" x14ac:dyDescent="0.25">
      <c r="B369" s="74" t="str">
        <f t="shared" si="5"/>
        <v/>
      </c>
      <c r="C369" s="46" t="str">
        <f>IF(B369&lt;&gt;"",_xll.BInterpol(maturities,zeros,B369,"linear","skip=true","sort=true","multix=average"),"")</f>
        <v/>
      </c>
      <c r="D369" s="39" t="str">
        <f>IF(B369&lt;&gt;"",_xll.BInterpol(maturities,discounts,B369,"linear","skip=true","sort=true","multix=average"),"")</f>
        <v/>
      </c>
      <c r="N369" s="70" t="e">
        <v>#N/A</v>
      </c>
    </row>
    <row r="370" spans="2:14" x14ac:dyDescent="0.25">
      <c r="B370" s="75" t="str">
        <f t="shared" si="5"/>
        <v/>
      </c>
      <c r="C370" s="45" t="str">
        <f>IF(B370&lt;&gt;"",_xll.BInterpol(maturities,zeros,B370,"linear","skip=true","sort=true","multix=average"),"")</f>
        <v/>
      </c>
      <c r="D370" s="38" t="str">
        <f>IF(B370&lt;&gt;"",_xll.BInterpol(maturities,discounts,B370,"linear","skip=true","sort=true","multix=average"),"")</f>
        <v/>
      </c>
      <c r="N370" s="70" t="e">
        <v>#N/A</v>
      </c>
    </row>
    <row r="371" spans="2:14" x14ac:dyDescent="0.25">
      <c r="B371" s="74" t="str">
        <f t="shared" si="5"/>
        <v/>
      </c>
      <c r="C371" s="46" t="str">
        <f>IF(B371&lt;&gt;"",_xll.BInterpol(maturities,zeros,B371,"linear","skip=true","sort=true","multix=average"),"")</f>
        <v/>
      </c>
      <c r="D371" s="39" t="str">
        <f>IF(B371&lt;&gt;"",_xll.BInterpol(maturities,discounts,B371,"linear","skip=true","sort=true","multix=average"),"")</f>
        <v/>
      </c>
      <c r="N371" s="70" t="e">
        <v>#N/A</v>
      </c>
    </row>
    <row r="372" spans="2:14" x14ac:dyDescent="0.25">
      <c r="B372" s="75" t="str">
        <f t="shared" si="5"/>
        <v/>
      </c>
      <c r="C372" s="45" t="str">
        <f>IF(B372&lt;&gt;"",_xll.BInterpol(maturities,zeros,B372,"linear","skip=true","sort=true","multix=average"),"")</f>
        <v/>
      </c>
      <c r="D372" s="38" t="str">
        <f>IF(B372&lt;&gt;"",_xll.BInterpol(maturities,discounts,B372,"linear","skip=true","sort=true","multix=average"),"")</f>
        <v/>
      </c>
      <c r="N372" s="70" t="e">
        <v>#N/A</v>
      </c>
    </row>
    <row r="373" spans="2:14" x14ac:dyDescent="0.25">
      <c r="B373" s="74" t="str">
        <f t="shared" si="5"/>
        <v/>
      </c>
      <c r="C373" s="46" t="str">
        <f>IF(B373&lt;&gt;"",_xll.BInterpol(maturities,zeros,B373,"linear","skip=true","sort=true","multix=average"),"")</f>
        <v/>
      </c>
      <c r="D373" s="39" t="str">
        <f>IF(B373&lt;&gt;"",_xll.BInterpol(maturities,discounts,B373,"linear","skip=true","sort=true","multix=average"),"")</f>
        <v/>
      </c>
      <c r="N373" s="70" t="e">
        <v>#N/A</v>
      </c>
    </row>
    <row r="374" spans="2:14" x14ac:dyDescent="0.25">
      <c r="B374" s="75" t="str">
        <f t="shared" si="5"/>
        <v/>
      </c>
      <c r="C374" s="45" t="str">
        <f>IF(B374&lt;&gt;"",_xll.BInterpol(maturities,zeros,B374,"linear","skip=true","sort=true","multix=average"),"")</f>
        <v/>
      </c>
      <c r="D374" s="38" t="str">
        <f>IF(B374&lt;&gt;"",_xll.BInterpol(maturities,discounts,B374,"linear","skip=true","sort=true","multix=average"),"")</f>
        <v/>
      </c>
      <c r="N374" s="70" t="e">
        <v>#N/A</v>
      </c>
    </row>
    <row r="375" spans="2:14" x14ac:dyDescent="0.25">
      <c r="B375" s="74" t="str">
        <f t="shared" si="5"/>
        <v/>
      </c>
      <c r="C375" s="46" t="str">
        <f>IF(B375&lt;&gt;"",_xll.BInterpol(maturities,zeros,B375,"linear","skip=true","sort=true","multix=average"),"")</f>
        <v/>
      </c>
      <c r="D375" s="39" t="str">
        <f>IF(B375&lt;&gt;"",_xll.BInterpol(maturities,discounts,B375,"linear","skip=true","sort=true","multix=average"),"")</f>
        <v/>
      </c>
      <c r="N375" s="70" t="e">
        <v>#N/A</v>
      </c>
    </row>
    <row r="376" spans="2:14" x14ac:dyDescent="0.25">
      <c r="B376" s="75" t="str">
        <f t="shared" si="5"/>
        <v/>
      </c>
      <c r="C376" s="45" t="str">
        <f>IF(B376&lt;&gt;"",_xll.BInterpol(maturities,zeros,B376,"linear","skip=true","sort=true","multix=average"),"")</f>
        <v/>
      </c>
      <c r="D376" s="38" t="str">
        <f>IF(B376&lt;&gt;"",_xll.BInterpol(maturities,discounts,B376,"linear","skip=true","sort=true","multix=average"),"")</f>
        <v/>
      </c>
      <c r="N376" s="70" t="e">
        <v>#N/A</v>
      </c>
    </row>
    <row r="377" spans="2:14" x14ac:dyDescent="0.25">
      <c r="B377" s="74" t="str">
        <f t="shared" si="5"/>
        <v/>
      </c>
      <c r="C377" s="46" t="str">
        <f>IF(B377&lt;&gt;"",_xll.BInterpol(maturities,zeros,B377,"linear","skip=true","sort=true","multix=average"),"")</f>
        <v/>
      </c>
      <c r="D377" s="39" t="str">
        <f>IF(B377&lt;&gt;"",_xll.BInterpol(maturities,discounts,B377,"linear","skip=true","sort=true","multix=average"),"")</f>
        <v/>
      </c>
      <c r="N377" s="70" t="e">
        <v>#N/A</v>
      </c>
    </row>
    <row r="378" spans="2:14" x14ac:dyDescent="0.25">
      <c r="B378" s="75" t="str">
        <f t="shared" si="5"/>
        <v/>
      </c>
      <c r="C378" s="45" t="str">
        <f>IF(B378&lt;&gt;"",_xll.BInterpol(maturities,zeros,B378,"linear","skip=true","sort=true","multix=average"),"")</f>
        <v/>
      </c>
      <c r="D378" s="38" t="str">
        <f>IF(B378&lt;&gt;"",_xll.BInterpol(maturities,discounts,B378,"linear","skip=true","sort=true","multix=average"),"")</f>
        <v/>
      </c>
      <c r="N378" s="70" t="e">
        <v>#N/A</v>
      </c>
    </row>
    <row r="379" spans="2:14" x14ac:dyDescent="0.25">
      <c r="B379" s="74" t="str">
        <f t="shared" si="5"/>
        <v/>
      </c>
      <c r="C379" s="46" t="str">
        <f>IF(B379&lt;&gt;"",_xll.BInterpol(maturities,zeros,B379,"linear","skip=true","sort=true","multix=average"),"")</f>
        <v/>
      </c>
      <c r="D379" s="39" t="str">
        <f>IF(B379&lt;&gt;"",_xll.BInterpol(maturities,discounts,B379,"linear","skip=true","sort=true","multix=average"),"")</f>
        <v/>
      </c>
      <c r="N379" s="70" t="e">
        <v>#N/A</v>
      </c>
    </row>
    <row r="380" spans="2:14" x14ac:dyDescent="0.25">
      <c r="B380" s="75" t="str">
        <f t="shared" si="5"/>
        <v/>
      </c>
      <c r="C380" s="45" t="str">
        <f>IF(B380&lt;&gt;"",_xll.BInterpol(maturities,zeros,B380,"linear","skip=true","sort=true","multix=average"),"")</f>
        <v/>
      </c>
      <c r="D380" s="38" t="str">
        <f>IF(B380&lt;&gt;"",_xll.BInterpol(maturities,discounts,B380,"linear","skip=true","sort=true","multix=average"),"")</f>
        <v/>
      </c>
      <c r="N380" s="70" t="e">
        <v>#N/A</v>
      </c>
    </row>
    <row r="381" spans="2:14" x14ac:dyDescent="0.25">
      <c r="B381" s="74" t="str">
        <f t="shared" si="5"/>
        <v/>
      </c>
      <c r="C381" s="46" t="str">
        <f>IF(B381&lt;&gt;"",_xll.BInterpol(maturities,zeros,B381,"linear","skip=true","sort=true","multix=average"),"")</f>
        <v/>
      </c>
      <c r="D381" s="39" t="str">
        <f>IF(B381&lt;&gt;"",_xll.BInterpol(maturities,discounts,B381,"linear","skip=true","sort=true","multix=average"),"")</f>
        <v/>
      </c>
      <c r="N381" s="70" t="e">
        <v>#N/A</v>
      </c>
    </row>
    <row r="382" spans="2:14" x14ac:dyDescent="0.25">
      <c r="B382" s="75" t="str">
        <f t="shared" si="5"/>
        <v/>
      </c>
      <c r="C382" s="45" t="str">
        <f>IF(B382&lt;&gt;"",_xll.BInterpol(maturities,zeros,B382,"linear","skip=true","sort=true","multix=average"),"")</f>
        <v/>
      </c>
      <c r="D382" s="38" t="str">
        <f>IF(B382&lt;&gt;"",_xll.BInterpol(maturities,discounts,B382,"linear","skip=true","sort=true","multix=average"),"")</f>
        <v/>
      </c>
      <c r="N382" s="70" t="e">
        <v>#N/A</v>
      </c>
    </row>
    <row r="383" spans="2:14" x14ac:dyDescent="0.25">
      <c r="B383" s="74" t="str">
        <f t="shared" si="5"/>
        <v/>
      </c>
      <c r="C383" s="46" t="str">
        <f>IF(B383&lt;&gt;"",_xll.BInterpol(maturities,zeros,B383,"linear","skip=true","sort=true","multix=average"),"")</f>
        <v/>
      </c>
      <c r="D383" s="39" t="str">
        <f>IF(B383&lt;&gt;"",_xll.BInterpol(maturities,discounts,B383,"linear","skip=true","sort=true","multix=average"),"")</f>
        <v/>
      </c>
      <c r="N383" s="70" t="e">
        <v>#N/A</v>
      </c>
    </row>
    <row r="384" spans="2:14" x14ac:dyDescent="0.25">
      <c r="B384" s="75" t="str">
        <f t="shared" si="5"/>
        <v/>
      </c>
      <c r="C384" s="45" t="str">
        <f>IF(B384&lt;&gt;"",_xll.BInterpol(maturities,zeros,B384,"linear","skip=true","sort=true","multix=average"),"")</f>
        <v/>
      </c>
      <c r="D384" s="38" t="str">
        <f>IF(B384&lt;&gt;"",_xll.BInterpol(maturities,discounts,B384,"linear","skip=true","sort=true","multix=average"),"")</f>
        <v/>
      </c>
      <c r="N384" s="70" t="e">
        <v>#N/A</v>
      </c>
    </row>
    <row r="385" spans="2:14" x14ac:dyDescent="0.25">
      <c r="B385" s="74" t="str">
        <f t="shared" si="5"/>
        <v/>
      </c>
      <c r="C385" s="46" t="str">
        <f>IF(B385&lt;&gt;"",_xll.BInterpol(maturities,zeros,B385,"linear","skip=true","sort=true","multix=average"),"")</f>
        <v/>
      </c>
      <c r="D385" s="39" t="str">
        <f>IF(B385&lt;&gt;"",_xll.BInterpol(maturities,discounts,B385,"linear","skip=true","sort=true","multix=average"),"")</f>
        <v/>
      </c>
      <c r="N385" s="70" t="e">
        <v>#N/A</v>
      </c>
    </row>
    <row r="386" spans="2:14" x14ac:dyDescent="0.25">
      <c r="B386" s="75" t="str">
        <f t="shared" si="5"/>
        <v/>
      </c>
      <c r="C386" s="45" t="str">
        <f>IF(B386&lt;&gt;"",_xll.BInterpol(maturities,zeros,B386,"linear","skip=true","sort=true","multix=average"),"")</f>
        <v/>
      </c>
      <c r="D386" s="38" t="str">
        <f>IF(B386&lt;&gt;"",_xll.BInterpol(maturities,discounts,B386,"linear","skip=true","sort=true","multix=average"),"")</f>
        <v/>
      </c>
      <c r="N386" s="70" t="e">
        <v>#N/A</v>
      </c>
    </row>
    <row r="387" spans="2:14" x14ac:dyDescent="0.25">
      <c r="B387" s="74" t="str">
        <f t="shared" si="5"/>
        <v/>
      </c>
      <c r="C387" s="46" t="str">
        <f>IF(B387&lt;&gt;"",_xll.BInterpol(maturities,zeros,B387,"linear","skip=true","sort=true","multix=average"),"")</f>
        <v/>
      </c>
      <c r="D387" s="39" t="str">
        <f>IF(B387&lt;&gt;"",_xll.BInterpol(maturities,discounts,B387,"linear","skip=true","sort=true","multix=average"),"")</f>
        <v/>
      </c>
      <c r="N387" s="70" t="e">
        <v>#N/A</v>
      </c>
    </row>
    <row r="388" spans="2:14" x14ac:dyDescent="0.25">
      <c r="B388" s="75" t="str">
        <f t="shared" si="5"/>
        <v/>
      </c>
      <c r="C388" s="45" t="str">
        <f>IF(B388&lt;&gt;"",_xll.BInterpol(maturities,zeros,B388,"linear","skip=true","sort=true","multix=average"),"")</f>
        <v/>
      </c>
      <c r="D388" s="38" t="str">
        <f>IF(B388&lt;&gt;"",_xll.BInterpol(maturities,discounts,B388,"linear","skip=true","sort=true","multix=average"),"")</f>
        <v/>
      </c>
      <c r="N388" s="70" t="e">
        <v>#N/A</v>
      </c>
    </row>
    <row r="389" spans="2:14" x14ac:dyDescent="0.25">
      <c r="B389" s="74" t="str">
        <f t="shared" si="5"/>
        <v/>
      </c>
      <c r="C389" s="46" t="str">
        <f>IF(B389&lt;&gt;"",_xll.BInterpol(maturities,zeros,B389,"linear","skip=true","sort=true","multix=average"),"")</f>
        <v/>
      </c>
      <c r="D389" s="39" t="str">
        <f>IF(B389&lt;&gt;"",_xll.BInterpol(maturities,discounts,B389,"linear","skip=true","sort=true","multix=average"),"")</f>
        <v/>
      </c>
      <c r="N389" s="70" t="e">
        <v>#N/A</v>
      </c>
    </row>
    <row r="390" spans="2:14" x14ac:dyDescent="0.25">
      <c r="B390" s="75" t="str">
        <f t="shared" si="5"/>
        <v/>
      </c>
      <c r="C390" s="45" t="str">
        <f>IF(B390&lt;&gt;"",_xll.BInterpol(maturities,zeros,B390,"linear","skip=true","sort=true","multix=average"),"")</f>
        <v/>
      </c>
      <c r="D390" s="38" t="str">
        <f>IF(B390&lt;&gt;"",_xll.BInterpol(maturities,discounts,B390,"linear","skip=true","sort=true","multix=average"),"")</f>
        <v/>
      </c>
      <c r="N390" s="70" t="e">
        <v>#N/A</v>
      </c>
    </row>
    <row r="391" spans="2:14" x14ac:dyDescent="0.25">
      <c r="B391" s="74" t="str">
        <f t="shared" si="5"/>
        <v/>
      </c>
      <c r="C391" s="46" t="str">
        <f>IF(B391&lt;&gt;"",_xll.BInterpol(maturities,zeros,B391,"linear","skip=true","sort=true","multix=average"),"")</f>
        <v/>
      </c>
      <c r="D391" s="39" t="str">
        <f>IF(B391&lt;&gt;"",_xll.BInterpol(maturities,discounts,B391,"linear","skip=true","sort=true","multix=average"),"")</f>
        <v/>
      </c>
      <c r="N391" s="70" t="e">
        <v>#N/A</v>
      </c>
    </row>
    <row r="392" spans="2:14" x14ac:dyDescent="0.25">
      <c r="B392" s="75" t="str">
        <f t="shared" si="5"/>
        <v/>
      </c>
      <c r="C392" s="45" t="str">
        <f>IF(B392&lt;&gt;"",_xll.BInterpol(maturities,zeros,B392,"linear","skip=true","sort=true","multix=average"),"")</f>
        <v/>
      </c>
      <c r="D392" s="38" t="str">
        <f>IF(B392&lt;&gt;"",_xll.BInterpol(maturities,discounts,B392,"linear","skip=true","sort=true","multix=average"),"")</f>
        <v/>
      </c>
      <c r="N392" s="70" t="e">
        <v>#N/A</v>
      </c>
    </row>
    <row r="393" spans="2:14" x14ac:dyDescent="0.25">
      <c r="B393" s="74" t="str">
        <f t="shared" si="5"/>
        <v/>
      </c>
      <c r="C393" s="46" t="str">
        <f>IF(B393&lt;&gt;"",_xll.BInterpol(maturities,zeros,B393,"linear","skip=true","sort=true","multix=average"),"")</f>
        <v/>
      </c>
      <c r="D393" s="39" t="str">
        <f>IF(B393&lt;&gt;"",_xll.BInterpol(maturities,discounts,B393,"linear","skip=true","sort=true","multix=average"),"")</f>
        <v/>
      </c>
      <c r="N393" s="70" t="e">
        <v>#N/A</v>
      </c>
    </row>
    <row r="394" spans="2:14" x14ac:dyDescent="0.25">
      <c r="B394" s="75" t="str">
        <f t="shared" si="5"/>
        <v/>
      </c>
      <c r="C394" s="45" t="str">
        <f>IF(B394&lt;&gt;"",_xll.BInterpol(maturities,zeros,B394,"linear","skip=true","sort=true","multix=average"),"")</f>
        <v/>
      </c>
      <c r="D394" s="38" t="str">
        <f>IF(B394&lt;&gt;"",_xll.BInterpol(maturities,discounts,B394,"linear","skip=true","sort=true","multix=average"),"")</f>
        <v/>
      </c>
      <c r="N394" s="70" t="e">
        <v>#N/A</v>
      </c>
    </row>
    <row r="395" spans="2:14" x14ac:dyDescent="0.25">
      <c r="B395" s="74" t="str">
        <f t="shared" si="5"/>
        <v/>
      </c>
      <c r="C395" s="46" t="str">
        <f>IF(B395&lt;&gt;"",_xll.BInterpol(maturities,zeros,B395,"linear","skip=true","sort=true","multix=average"),"")</f>
        <v/>
      </c>
      <c r="D395" s="39" t="str">
        <f>IF(B395&lt;&gt;"",_xll.BInterpol(maturities,discounts,B395,"linear","skip=true","sort=true","multix=average"),"")</f>
        <v/>
      </c>
      <c r="N395" s="70" t="e">
        <v>#N/A</v>
      </c>
    </row>
    <row r="396" spans="2:14" x14ac:dyDescent="0.25">
      <c r="B396" s="75" t="str">
        <f t="shared" si="5"/>
        <v/>
      </c>
      <c r="C396" s="45" t="str">
        <f>IF(B396&lt;&gt;"",_xll.BInterpol(maturities,zeros,B396,"linear","skip=true","sort=true","multix=average"),"")</f>
        <v/>
      </c>
      <c r="D396" s="38" t="str">
        <f>IF(B396&lt;&gt;"",_xll.BInterpol(maturities,discounts,B396,"linear","skip=true","sort=true","multix=average"),"")</f>
        <v/>
      </c>
      <c r="N396" s="70" t="e">
        <v>#N/A</v>
      </c>
    </row>
    <row r="397" spans="2:14" x14ac:dyDescent="0.25">
      <c r="B397" s="74" t="str">
        <f t="shared" si="5"/>
        <v/>
      </c>
      <c r="C397" s="46" t="str">
        <f>IF(B397&lt;&gt;"",_xll.BInterpol(maturities,zeros,B397,"linear","skip=true","sort=true","multix=average"),"")</f>
        <v/>
      </c>
      <c r="D397" s="39" t="str">
        <f>IF(B397&lt;&gt;"",_xll.BInterpol(maturities,discounts,B397,"linear","skip=true","sort=true","multix=average"),"")</f>
        <v/>
      </c>
      <c r="N397" s="70" t="e">
        <v>#N/A</v>
      </c>
    </row>
    <row r="398" spans="2:14" x14ac:dyDescent="0.25">
      <c r="B398" s="75" t="str">
        <f t="shared" ref="B398:B461" si="6">IF(ISNA(N398),"",N398)</f>
        <v/>
      </c>
      <c r="C398" s="45" t="str">
        <f>IF(B398&lt;&gt;"",_xll.BInterpol(maturities,zeros,B398,"linear","skip=true","sort=true","multix=average"),"")</f>
        <v/>
      </c>
      <c r="D398" s="38" t="str">
        <f>IF(B398&lt;&gt;"",_xll.BInterpol(maturities,discounts,B398,"linear","skip=true","sort=true","multix=average"),"")</f>
        <v/>
      </c>
      <c r="N398" s="70" t="e">
        <v>#N/A</v>
      </c>
    </row>
    <row r="399" spans="2:14" x14ac:dyDescent="0.25">
      <c r="B399" s="74" t="str">
        <f t="shared" si="6"/>
        <v/>
      </c>
      <c r="C399" s="46" t="str">
        <f>IF(B399&lt;&gt;"",_xll.BInterpol(maturities,zeros,B399,"linear","skip=true","sort=true","multix=average"),"")</f>
        <v/>
      </c>
      <c r="D399" s="39" t="str">
        <f>IF(B399&lt;&gt;"",_xll.BInterpol(maturities,discounts,B399,"linear","skip=true","sort=true","multix=average"),"")</f>
        <v/>
      </c>
      <c r="N399" s="70" t="e">
        <v>#N/A</v>
      </c>
    </row>
    <row r="400" spans="2:14" x14ac:dyDescent="0.25">
      <c r="B400" s="75" t="str">
        <f t="shared" si="6"/>
        <v/>
      </c>
      <c r="C400" s="45" t="str">
        <f>IF(B400&lt;&gt;"",_xll.BInterpol(maturities,zeros,B400,"linear","skip=true","sort=true","multix=average"),"")</f>
        <v/>
      </c>
      <c r="D400" s="38" t="str">
        <f>IF(B400&lt;&gt;"",_xll.BInterpol(maturities,discounts,B400,"linear","skip=true","sort=true","multix=average"),"")</f>
        <v/>
      </c>
      <c r="N400" s="70" t="e">
        <v>#N/A</v>
      </c>
    </row>
    <row r="401" spans="2:14" x14ac:dyDescent="0.25">
      <c r="B401" s="74" t="str">
        <f t="shared" si="6"/>
        <v/>
      </c>
      <c r="C401" s="46" t="str">
        <f>IF(B401&lt;&gt;"",_xll.BInterpol(maturities,zeros,B401,"linear","skip=true","sort=true","multix=average"),"")</f>
        <v/>
      </c>
      <c r="D401" s="39" t="str">
        <f>IF(B401&lt;&gt;"",_xll.BInterpol(maturities,discounts,B401,"linear","skip=true","sort=true","multix=average"),"")</f>
        <v/>
      </c>
      <c r="N401" s="70" t="e">
        <v>#N/A</v>
      </c>
    </row>
    <row r="402" spans="2:14" x14ac:dyDescent="0.25">
      <c r="B402" s="75" t="str">
        <f t="shared" si="6"/>
        <v/>
      </c>
      <c r="C402" s="45" t="str">
        <f>IF(B402&lt;&gt;"",_xll.BInterpol(maturities,zeros,B402,"linear","skip=true","sort=true","multix=average"),"")</f>
        <v/>
      </c>
      <c r="D402" s="38" t="str">
        <f>IF(B402&lt;&gt;"",_xll.BInterpol(maturities,discounts,B402,"linear","skip=true","sort=true","multix=average"),"")</f>
        <v/>
      </c>
      <c r="N402" s="70" t="e">
        <v>#N/A</v>
      </c>
    </row>
    <row r="403" spans="2:14" x14ac:dyDescent="0.25">
      <c r="B403" s="74" t="str">
        <f t="shared" si="6"/>
        <v/>
      </c>
      <c r="C403" s="46" t="str">
        <f>IF(B403&lt;&gt;"",_xll.BInterpol(maturities,zeros,B403,"linear","skip=true","sort=true","multix=average"),"")</f>
        <v/>
      </c>
      <c r="D403" s="39" t="str">
        <f>IF(B403&lt;&gt;"",_xll.BInterpol(maturities,discounts,B403,"linear","skip=true","sort=true","multix=average"),"")</f>
        <v/>
      </c>
      <c r="N403" s="70" t="e">
        <v>#N/A</v>
      </c>
    </row>
    <row r="404" spans="2:14" x14ac:dyDescent="0.25">
      <c r="B404" s="75" t="str">
        <f t="shared" si="6"/>
        <v/>
      </c>
      <c r="C404" s="45" t="str">
        <f>IF(B404&lt;&gt;"",_xll.BInterpol(maturities,zeros,B404,"linear","skip=true","sort=true","multix=average"),"")</f>
        <v/>
      </c>
      <c r="D404" s="38" t="str">
        <f>IF(B404&lt;&gt;"",_xll.BInterpol(maturities,discounts,B404,"linear","skip=true","sort=true","multix=average"),"")</f>
        <v/>
      </c>
      <c r="N404" s="70" t="e">
        <v>#N/A</v>
      </c>
    </row>
    <row r="405" spans="2:14" x14ac:dyDescent="0.25">
      <c r="B405" s="74" t="str">
        <f t="shared" si="6"/>
        <v/>
      </c>
      <c r="C405" s="46" t="str">
        <f>IF(B405&lt;&gt;"",_xll.BInterpol(maturities,zeros,B405,"linear","skip=true","sort=true","multix=average"),"")</f>
        <v/>
      </c>
      <c r="D405" s="39" t="str">
        <f>IF(B405&lt;&gt;"",_xll.BInterpol(maturities,discounts,B405,"linear","skip=true","sort=true","multix=average"),"")</f>
        <v/>
      </c>
      <c r="N405" s="70" t="e">
        <v>#N/A</v>
      </c>
    </row>
    <row r="406" spans="2:14" x14ac:dyDescent="0.25">
      <c r="B406" s="75" t="str">
        <f t="shared" si="6"/>
        <v/>
      </c>
      <c r="C406" s="45" t="str">
        <f>IF(B406&lt;&gt;"",_xll.BInterpol(maturities,zeros,B406,"linear","skip=true","sort=true","multix=average"),"")</f>
        <v/>
      </c>
      <c r="D406" s="38" t="str">
        <f>IF(B406&lt;&gt;"",_xll.BInterpol(maturities,discounts,B406,"linear","skip=true","sort=true","multix=average"),"")</f>
        <v/>
      </c>
      <c r="N406" s="70" t="e">
        <v>#N/A</v>
      </c>
    </row>
    <row r="407" spans="2:14" x14ac:dyDescent="0.25">
      <c r="B407" s="74" t="str">
        <f t="shared" si="6"/>
        <v/>
      </c>
      <c r="C407" s="46" t="str">
        <f>IF(B407&lt;&gt;"",_xll.BInterpol(maturities,zeros,B407,"linear","skip=true","sort=true","multix=average"),"")</f>
        <v/>
      </c>
      <c r="D407" s="39" t="str">
        <f>IF(B407&lt;&gt;"",_xll.BInterpol(maturities,discounts,B407,"linear","skip=true","sort=true","multix=average"),"")</f>
        <v/>
      </c>
      <c r="N407" s="70" t="e">
        <v>#N/A</v>
      </c>
    </row>
    <row r="408" spans="2:14" x14ac:dyDescent="0.25">
      <c r="B408" s="75" t="str">
        <f t="shared" si="6"/>
        <v/>
      </c>
      <c r="C408" s="45" t="str">
        <f>IF(B408&lt;&gt;"",_xll.BInterpol(maturities,zeros,B408,"linear","skip=true","sort=true","multix=average"),"")</f>
        <v/>
      </c>
      <c r="D408" s="38" t="str">
        <f>IF(B408&lt;&gt;"",_xll.BInterpol(maturities,discounts,B408,"linear","skip=true","sort=true","multix=average"),"")</f>
        <v/>
      </c>
      <c r="N408" s="70" t="e">
        <v>#N/A</v>
      </c>
    </row>
    <row r="409" spans="2:14" x14ac:dyDescent="0.25">
      <c r="B409" s="74" t="str">
        <f t="shared" si="6"/>
        <v/>
      </c>
      <c r="C409" s="46" t="str">
        <f>IF(B409&lt;&gt;"",_xll.BInterpol(maturities,zeros,B409,"linear","skip=true","sort=true","multix=average"),"")</f>
        <v/>
      </c>
      <c r="D409" s="39" t="str">
        <f>IF(B409&lt;&gt;"",_xll.BInterpol(maturities,discounts,B409,"linear","skip=true","sort=true","multix=average"),"")</f>
        <v/>
      </c>
      <c r="N409" s="70" t="e">
        <v>#N/A</v>
      </c>
    </row>
    <row r="410" spans="2:14" x14ac:dyDescent="0.25">
      <c r="B410" s="75" t="str">
        <f t="shared" si="6"/>
        <v/>
      </c>
      <c r="C410" s="45" t="str">
        <f>IF(B410&lt;&gt;"",_xll.BInterpol(maturities,zeros,B410,"linear","skip=true","sort=true","multix=average"),"")</f>
        <v/>
      </c>
      <c r="D410" s="38" t="str">
        <f>IF(B410&lt;&gt;"",_xll.BInterpol(maturities,discounts,B410,"linear","skip=true","sort=true","multix=average"),"")</f>
        <v/>
      </c>
      <c r="N410" s="70" t="e">
        <v>#N/A</v>
      </c>
    </row>
    <row r="411" spans="2:14" x14ac:dyDescent="0.25">
      <c r="B411" s="74" t="str">
        <f t="shared" si="6"/>
        <v/>
      </c>
      <c r="C411" s="46" t="str">
        <f>IF(B411&lt;&gt;"",_xll.BInterpol(maturities,zeros,B411,"linear","skip=true","sort=true","multix=average"),"")</f>
        <v/>
      </c>
      <c r="D411" s="39" t="str">
        <f>IF(B411&lt;&gt;"",_xll.BInterpol(maturities,discounts,B411,"linear","skip=true","sort=true","multix=average"),"")</f>
        <v/>
      </c>
      <c r="N411" s="70" t="e">
        <v>#N/A</v>
      </c>
    </row>
    <row r="412" spans="2:14" x14ac:dyDescent="0.25">
      <c r="B412" s="75" t="str">
        <f t="shared" si="6"/>
        <v/>
      </c>
      <c r="C412" s="45" t="str">
        <f>IF(B412&lt;&gt;"",_xll.BInterpol(maturities,zeros,B412,"linear","skip=true","sort=true","multix=average"),"")</f>
        <v/>
      </c>
      <c r="D412" s="38" t="str">
        <f>IF(B412&lt;&gt;"",_xll.BInterpol(maturities,discounts,B412,"linear","skip=true","sort=true","multix=average"),"")</f>
        <v/>
      </c>
      <c r="N412" s="70" t="e">
        <v>#N/A</v>
      </c>
    </row>
    <row r="413" spans="2:14" x14ac:dyDescent="0.25">
      <c r="B413" s="74" t="str">
        <f t="shared" si="6"/>
        <v/>
      </c>
      <c r="C413" s="46" t="str">
        <f>IF(B413&lt;&gt;"",_xll.BInterpol(maturities,zeros,B413,"linear","skip=true","sort=true","multix=average"),"")</f>
        <v/>
      </c>
      <c r="D413" s="39" t="str">
        <f>IF(B413&lt;&gt;"",_xll.BInterpol(maturities,discounts,B413,"linear","skip=true","sort=true","multix=average"),"")</f>
        <v/>
      </c>
      <c r="N413" s="70" t="e">
        <v>#N/A</v>
      </c>
    </row>
    <row r="414" spans="2:14" x14ac:dyDescent="0.25">
      <c r="B414" s="75" t="str">
        <f t="shared" si="6"/>
        <v/>
      </c>
      <c r="C414" s="45" t="str">
        <f>IF(B414&lt;&gt;"",_xll.BInterpol(maturities,zeros,B414,"linear","skip=true","sort=true","multix=average"),"")</f>
        <v/>
      </c>
      <c r="D414" s="38" t="str">
        <f>IF(B414&lt;&gt;"",_xll.BInterpol(maturities,discounts,B414,"linear","skip=true","sort=true","multix=average"),"")</f>
        <v/>
      </c>
      <c r="N414" s="70" t="e">
        <v>#N/A</v>
      </c>
    </row>
    <row r="415" spans="2:14" x14ac:dyDescent="0.25">
      <c r="B415" s="74" t="str">
        <f t="shared" si="6"/>
        <v/>
      </c>
      <c r="C415" s="46" t="str">
        <f>IF(B415&lt;&gt;"",_xll.BInterpol(maturities,zeros,B415,"linear","skip=true","sort=true","multix=average"),"")</f>
        <v/>
      </c>
      <c r="D415" s="39" t="str">
        <f>IF(B415&lt;&gt;"",_xll.BInterpol(maturities,discounts,B415,"linear","skip=true","sort=true","multix=average"),"")</f>
        <v/>
      </c>
      <c r="N415" s="70" t="e">
        <v>#N/A</v>
      </c>
    </row>
    <row r="416" spans="2:14" x14ac:dyDescent="0.25">
      <c r="B416" s="75" t="str">
        <f t="shared" si="6"/>
        <v/>
      </c>
      <c r="C416" s="45" t="str">
        <f>IF(B416&lt;&gt;"",_xll.BInterpol(maturities,zeros,B416,"linear","skip=true","sort=true","multix=average"),"")</f>
        <v/>
      </c>
      <c r="D416" s="38" t="str">
        <f>IF(B416&lt;&gt;"",_xll.BInterpol(maturities,discounts,B416,"linear","skip=true","sort=true","multix=average"),"")</f>
        <v/>
      </c>
      <c r="N416" s="70" t="e">
        <v>#N/A</v>
      </c>
    </row>
    <row r="417" spans="2:14" x14ac:dyDescent="0.25">
      <c r="B417" s="74" t="str">
        <f t="shared" si="6"/>
        <v/>
      </c>
      <c r="C417" s="46" t="str">
        <f>IF(B417&lt;&gt;"",_xll.BInterpol(maturities,zeros,B417,"linear","skip=true","sort=true","multix=average"),"")</f>
        <v/>
      </c>
      <c r="D417" s="39" t="str">
        <f>IF(B417&lt;&gt;"",_xll.BInterpol(maturities,discounts,B417,"linear","skip=true","sort=true","multix=average"),"")</f>
        <v/>
      </c>
      <c r="N417" s="70" t="e">
        <v>#N/A</v>
      </c>
    </row>
    <row r="418" spans="2:14" x14ac:dyDescent="0.25">
      <c r="B418" s="75" t="str">
        <f t="shared" si="6"/>
        <v/>
      </c>
      <c r="C418" s="45" t="str">
        <f>IF(B418&lt;&gt;"",_xll.BInterpol(maturities,zeros,B418,"linear","skip=true","sort=true","multix=average"),"")</f>
        <v/>
      </c>
      <c r="D418" s="38" t="str">
        <f>IF(B418&lt;&gt;"",_xll.BInterpol(maturities,discounts,B418,"linear","skip=true","sort=true","multix=average"),"")</f>
        <v/>
      </c>
      <c r="N418" s="70" t="e">
        <v>#N/A</v>
      </c>
    </row>
    <row r="419" spans="2:14" x14ac:dyDescent="0.25">
      <c r="B419" s="74" t="str">
        <f t="shared" si="6"/>
        <v/>
      </c>
      <c r="C419" s="46" t="str">
        <f>IF(B419&lt;&gt;"",_xll.BInterpol(maturities,zeros,B419,"linear","skip=true","sort=true","multix=average"),"")</f>
        <v/>
      </c>
      <c r="D419" s="39" t="str">
        <f>IF(B419&lt;&gt;"",_xll.BInterpol(maturities,discounts,B419,"linear","skip=true","sort=true","multix=average"),"")</f>
        <v/>
      </c>
      <c r="N419" s="70" t="e">
        <v>#N/A</v>
      </c>
    </row>
    <row r="420" spans="2:14" x14ac:dyDescent="0.25">
      <c r="B420" s="75" t="str">
        <f t="shared" si="6"/>
        <v/>
      </c>
      <c r="C420" s="45" t="str">
        <f>IF(B420&lt;&gt;"",_xll.BInterpol(maturities,zeros,B420,"linear","skip=true","sort=true","multix=average"),"")</f>
        <v/>
      </c>
      <c r="D420" s="38" t="str">
        <f>IF(B420&lt;&gt;"",_xll.BInterpol(maturities,discounts,B420,"linear","skip=true","sort=true","multix=average"),"")</f>
        <v/>
      </c>
      <c r="N420" s="70" t="e">
        <v>#N/A</v>
      </c>
    </row>
    <row r="421" spans="2:14" x14ac:dyDescent="0.25">
      <c r="B421" s="74" t="str">
        <f t="shared" si="6"/>
        <v/>
      </c>
      <c r="C421" s="46" t="str">
        <f>IF(B421&lt;&gt;"",_xll.BInterpol(maturities,zeros,B421,"linear","skip=true","sort=true","multix=average"),"")</f>
        <v/>
      </c>
      <c r="D421" s="39" t="str">
        <f>IF(B421&lt;&gt;"",_xll.BInterpol(maturities,discounts,B421,"linear","skip=true","sort=true","multix=average"),"")</f>
        <v/>
      </c>
      <c r="N421" s="70" t="e">
        <v>#N/A</v>
      </c>
    </row>
    <row r="422" spans="2:14" x14ac:dyDescent="0.25">
      <c r="B422" s="75" t="str">
        <f t="shared" si="6"/>
        <v/>
      </c>
      <c r="C422" s="45" t="str">
        <f>IF(B422&lt;&gt;"",_xll.BInterpol(maturities,zeros,B422,"linear","skip=true","sort=true","multix=average"),"")</f>
        <v/>
      </c>
      <c r="D422" s="38" t="str">
        <f>IF(B422&lt;&gt;"",_xll.BInterpol(maturities,discounts,B422,"linear","skip=true","sort=true","multix=average"),"")</f>
        <v/>
      </c>
      <c r="N422" s="70" t="e">
        <v>#N/A</v>
      </c>
    </row>
    <row r="423" spans="2:14" x14ac:dyDescent="0.25">
      <c r="B423" s="74" t="str">
        <f t="shared" si="6"/>
        <v/>
      </c>
      <c r="C423" s="46" t="str">
        <f>IF(B423&lt;&gt;"",_xll.BInterpol(maturities,zeros,B423,"linear","skip=true","sort=true","multix=average"),"")</f>
        <v/>
      </c>
      <c r="D423" s="39" t="str">
        <f>IF(B423&lt;&gt;"",_xll.BInterpol(maturities,discounts,B423,"linear","skip=true","sort=true","multix=average"),"")</f>
        <v/>
      </c>
      <c r="N423" s="70" t="e">
        <v>#N/A</v>
      </c>
    </row>
    <row r="424" spans="2:14" x14ac:dyDescent="0.25">
      <c r="B424" s="75" t="str">
        <f t="shared" si="6"/>
        <v/>
      </c>
      <c r="C424" s="45" t="str">
        <f>IF(B424&lt;&gt;"",_xll.BInterpol(maturities,zeros,B424,"linear","skip=true","sort=true","multix=average"),"")</f>
        <v/>
      </c>
      <c r="D424" s="38" t="str">
        <f>IF(B424&lt;&gt;"",_xll.BInterpol(maturities,discounts,B424,"linear","skip=true","sort=true","multix=average"),"")</f>
        <v/>
      </c>
      <c r="N424" s="70" t="e">
        <v>#N/A</v>
      </c>
    </row>
    <row r="425" spans="2:14" x14ac:dyDescent="0.25">
      <c r="B425" s="74" t="str">
        <f t="shared" si="6"/>
        <v/>
      </c>
      <c r="C425" s="46" t="str">
        <f>IF(B425&lt;&gt;"",_xll.BInterpol(maturities,zeros,B425,"linear","skip=true","sort=true","multix=average"),"")</f>
        <v/>
      </c>
      <c r="D425" s="39" t="str">
        <f>IF(B425&lt;&gt;"",_xll.BInterpol(maturities,discounts,B425,"linear","skip=true","sort=true","multix=average"),"")</f>
        <v/>
      </c>
      <c r="N425" s="70" t="e">
        <v>#N/A</v>
      </c>
    </row>
    <row r="426" spans="2:14" x14ac:dyDescent="0.25">
      <c r="B426" s="75" t="str">
        <f t="shared" si="6"/>
        <v/>
      </c>
      <c r="C426" s="45" t="str">
        <f>IF(B426&lt;&gt;"",_xll.BInterpol(maturities,zeros,B426,"linear","skip=true","sort=true","multix=average"),"")</f>
        <v/>
      </c>
      <c r="D426" s="38" t="str">
        <f>IF(B426&lt;&gt;"",_xll.BInterpol(maturities,discounts,B426,"linear","skip=true","sort=true","multix=average"),"")</f>
        <v/>
      </c>
      <c r="N426" s="70" t="e">
        <v>#N/A</v>
      </c>
    </row>
    <row r="427" spans="2:14" x14ac:dyDescent="0.25">
      <c r="B427" s="74" t="str">
        <f t="shared" si="6"/>
        <v/>
      </c>
      <c r="C427" s="46" t="str">
        <f>IF(B427&lt;&gt;"",_xll.BInterpol(maturities,zeros,B427,"linear","skip=true","sort=true","multix=average"),"")</f>
        <v/>
      </c>
      <c r="D427" s="39" t="str">
        <f>IF(B427&lt;&gt;"",_xll.BInterpol(maturities,discounts,B427,"linear","skip=true","sort=true","multix=average"),"")</f>
        <v/>
      </c>
      <c r="N427" s="70" t="e">
        <v>#N/A</v>
      </c>
    </row>
    <row r="428" spans="2:14" x14ac:dyDescent="0.25">
      <c r="B428" s="75" t="str">
        <f t="shared" si="6"/>
        <v/>
      </c>
      <c r="C428" s="45" t="str">
        <f>IF(B428&lt;&gt;"",_xll.BInterpol(maturities,zeros,B428,"linear","skip=true","sort=true","multix=average"),"")</f>
        <v/>
      </c>
      <c r="D428" s="38" t="str">
        <f>IF(B428&lt;&gt;"",_xll.BInterpol(maturities,discounts,B428,"linear","skip=true","sort=true","multix=average"),"")</f>
        <v/>
      </c>
      <c r="N428" s="70" t="e">
        <v>#N/A</v>
      </c>
    </row>
    <row r="429" spans="2:14" x14ac:dyDescent="0.25">
      <c r="B429" s="74" t="str">
        <f t="shared" si="6"/>
        <v/>
      </c>
      <c r="C429" s="46" t="str">
        <f>IF(B429&lt;&gt;"",_xll.BInterpol(maturities,zeros,B429,"linear","skip=true","sort=true","multix=average"),"")</f>
        <v/>
      </c>
      <c r="D429" s="39" t="str">
        <f>IF(B429&lt;&gt;"",_xll.BInterpol(maturities,discounts,B429,"linear","skip=true","sort=true","multix=average"),"")</f>
        <v/>
      </c>
      <c r="N429" s="70" t="e">
        <v>#N/A</v>
      </c>
    </row>
    <row r="430" spans="2:14" x14ac:dyDescent="0.25">
      <c r="B430" s="75" t="str">
        <f t="shared" si="6"/>
        <v/>
      </c>
      <c r="C430" s="45" t="str">
        <f>IF(B430&lt;&gt;"",_xll.BInterpol(maturities,zeros,B430,"linear","skip=true","sort=true","multix=average"),"")</f>
        <v/>
      </c>
      <c r="D430" s="38" t="str">
        <f>IF(B430&lt;&gt;"",_xll.BInterpol(maturities,discounts,B430,"linear","skip=true","sort=true","multix=average"),"")</f>
        <v/>
      </c>
      <c r="N430" s="70" t="e">
        <v>#N/A</v>
      </c>
    </row>
    <row r="431" spans="2:14" x14ac:dyDescent="0.25">
      <c r="B431" s="74" t="str">
        <f t="shared" si="6"/>
        <v/>
      </c>
      <c r="C431" s="46" t="str">
        <f>IF(B431&lt;&gt;"",_xll.BInterpol(maturities,zeros,B431,"linear","skip=true","sort=true","multix=average"),"")</f>
        <v/>
      </c>
      <c r="D431" s="39" t="str">
        <f>IF(B431&lt;&gt;"",_xll.BInterpol(maturities,discounts,B431,"linear","skip=true","sort=true","multix=average"),"")</f>
        <v/>
      </c>
      <c r="N431" s="70" t="e">
        <v>#N/A</v>
      </c>
    </row>
    <row r="432" spans="2:14" x14ac:dyDescent="0.25">
      <c r="B432" s="75" t="str">
        <f t="shared" si="6"/>
        <v/>
      </c>
      <c r="C432" s="45" t="str">
        <f>IF(B432&lt;&gt;"",_xll.BInterpol(maturities,zeros,B432,"linear","skip=true","sort=true","multix=average"),"")</f>
        <v/>
      </c>
      <c r="D432" s="38" t="str">
        <f>IF(B432&lt;&gt;"",_xll.BInterpol(maturities,discounts,B432,"linear","skip=true","sort=true","multix=average"),"")</f>
        <v/>
      </c>
      <c r="N432" s="70" t="e">
        <v>#N/A</v>
      </c>
    </row>
    <row r="433" spans="2:14" x14ac:dyDescent="0.25">
      <c r="B433" s="74" t="str">
        <f t="shared" si="6"/>
        <v/>
      </c>
      <c r="C433" s="46" t="str">
        <f>IF(B433&lt;&gt;"",_xll.BInterpol(maturities,zeros,B433,"linear","skip=true","sort=true","multix=average"),"")</f>
        <v/>
      </c>
      <c r="D433" s="39" t="str">
        <f>IF(B433&lt;&gt;"",_xll.BInterpol(maturities,discounts,B433,"linear","skip=true","sort=true","multix=average"),"")</f>
        <v/>
      </c>
      <c r="N433" s="70" t="e">
        <v>#N/A</v>
      </c>
    </row>
    <row r="434" spans="2:14" x14ac:dyDescent="0.25">
      <c r="B434" s="75" t="str">
        <f t="shared" si="6"/>
        <v/>
      </c>
      <c r="C434" s="45" t="str">
        <f>IF(B434&lt;&gt;"",_xll.BInterpol(maturities,zeros,B434,"linear","skip=true","sort=true","multix=average"),"")</f>
        <v/>
      </c>
      <c r="D434" s="38" t="str">
        <f>IF(B434&lt;&gt;"",_xll.BInterpol(maturities,discounts,B434,"linear","skip=true","sort=true","multix=average"),"")</f>
        <v/>
      </c>
      <c r="N434" s="70" t="e">
        <v>#N/A</v>
      </c>
    </row>
    <row r="435" spans="2:14" x14ac:dyDescent="0.25">
      <c r="B435" s="74" t="str">
        <f t="shared" si="6"/>
        <v/>
      </c>
      <c r="C435" s="46" t="str">
        <f>IF(B435&lt;&gt;"",_xll.BInterpol(maturities,zeros,B435,"linear","skip=true","sort=true","multix=average"),"")</f>
        <v/>
      </c>
      <c r="D435" s="39" t="str">
        <f>IF(B435&lt;&gt;"",_xll.BInterpol(maturities,discounts,B435,"linear","skip=true","sort=true","multix=average"),"")</f>
        <v/>
      </c>
      <c r="N435" s="70" t="e">
        <v>#N/A</v>
      </c>
    </row>
    <row r="436" spans="2:14" x14ac:dyDescent="0.25">
      <c r="B436" s="75" t="str">
        <f t="shared" si="6"/>
        <v/>
      </c>
      <c r="C436" s="45" t="str">
        <f>IF(B436&lt;&gt;"",_xll.BInterpol(maturities,zeros,B436,"linear","skip=true","sort=true","multix=average"),"")</f>
        <v/>
      </c>
      <c r="D436" s="38" t="str">
        <f>IF(B436&lt;&gt;"",_xll.BInterpol(maturities,discounts,B436,"linear","skip=true","sort=true","multix=average"),"")</f>
        <v/>
      </c>
      <c r="N436" s="70" t="e">
        <v>#N/A</v>
      </c>
    </row>
    <row r="437" spans="2:14" x14ac:dyDescent="0.25">
      <c r="B437" s="74" t="str">
        <f t="shared" si="6"/>
        <v/>
      </c>
      <c r="C437" s="46" t="str">
        <f>IF(B437&lt;&gt;"",_xll.BInterpol(maturities,zeros,B437,"linear","skip=true","sort=true","multix=average"),"")</f>
        <v/>
      </c>
      <c r="D437" s="39" t="str">
        <f>IF(B437&lt;&gt;"",_xll.BInterpol(maturities,discounts,B437,"linear","skip=true","sort=true","multix=average"),"")</f>
        <v/>
      </c>
      <c r="N437" s="70" t="e">
        <v>#N/A</v>
      </c>
    </row>
    <row r="438" spans="2:14" x14ac:dyDescent="0.25">
      <c r="B438" s="75" t="str">
        <f t="shared" si="6"/>
        <v/>
      </c>
      <c r="C438" s="45" t="str">
        <f>IF(B438&lt;&gt;"",_xll.BInterpol(maturities,zeros,B438,"linear","skip=true","sort=true","multix=average"),"")</f>
        <v/>
      </c>
      <c r="D438" s="38" t="str">
        <f>IF(B438&lt;&gt;"",_xll.BInterpol(maturities,discounts,B438,"linear","skip=true","sort=true","multix=average"),"")</f>
        <v/>
      </c>
      <c r="N438" s="70" t="e">
        <v>#N/A</v>
      </c>
    </row>
    <row r="439" spans="2:14" x14ac:dyDescent="0.25">
      <c r="B439" s="74" t="str">
        <f t="shared" si="6"/>
        <v/>
      </c>
      <c r="C439" s="46" t="str">
        <f>IF(B439&lt;&gt;"",_xll.BInterpol(maturities,zeros,B439,"linear","skip=true","sort=true","multix=average"),"")</f>
        <v/>
      </c>
      <c r="D439" s="39" t="str">
        <f>IF(B439&lt;&gt;"",_xll.BInterpol(maturities,discounts,B439,"linear","skip=true","sort=true","multix=average"),"")</f>
        <v/>
      </c>
      <c r="N439" s="70" t="e">
        <v>#N/A</v>
      </c>
    </row>
    <row r="440" spans="2:14" x14ac:dyDescent="0.25">
      <c r="B440" s="75" t="str">
        <f t="shared" si="6"/>
        <v/>
      </c>
      <c r="C440" s="45" t="str">
        <f>IF(B440&lt;&gt;"",_xll.BInterpol(maturities,zeros,B440,"linear","skip=true","sort=true","multix=average"),"")</f>
        <v/>
      </c>
      <c r="D440" s="38" t="str">
        <f>IF(B440&lt;&gt;"",_xll.BInterpol(maturities,discounts,B440,"linear","skip=true","sort=true","multix=average"),"")</f>
        <v/>
      </c>
      <c r="N440" s="70" t="e">
        <v>#N/A</v>
      </c>
    </row>
    <row r="441" spans="2:14" x14ac:dyDescent="0.25">
      <c r="B441" s="74" t="str">
        <f t="shared" si="6"/>
        <v/>
      </c>
      <c r="C441" s="46" t="str">
        <f>IF(B441&lt;&gt;"",_xll.BInterpol(maturities,zeros,B441,"linear","skip=true","sort=true","multix=average"),"")</f>
        <v/>
      </c>
      <c r="D441" s="39" t="str">
        <f>IF(B441&lt;&gt;"",_xll.BInterpol(maturities,discounts,B441,"linear","skip=true","sort=true","multix=average"),"")</f>
        <v/>
      </c>
      <c r="N441" s="70" t="e">
        <v>#N/A</v>
      </c>
    </row>
    <row r="442" spans="2:14" x14ac:dyDescent="0.25">
      <c r="B442" s="75" t="str">
        <f t="shared" si="6"/>
        <v/>
      </c>
      <c r="C442" s="45" t="str">
        <f>IF(B442&lt;&gt;"",_xll.BInterpol(maturities,zeros,B442,"linear","skip=true","sort=true","multix=average"),"")</f>
        <v/>
      </c>
      <c r="D442" s="38" t="str">
        <f>IF(B442&lt;&gt;"",_xll.BInterpol(maturities,discounts,B442,"linear","skip=true","sort=true","multix=average"),"")</f>
        <v/>
      </c>
      <c r="N442" s="70" t="e">
        <v>#N/A</v>
      </c>
    </row>
    <row r="443" spans="2:14" x14ac:dyDescent="0.25">
      <c r="B443" s="74" t="str">
        <f t="shared" si="6"/>
        <v/>
      </c>
      <c r="C443" s="46" t="str">
        <f>IF(B443&lt;&gt;"",_xll.BInterpol(maturities,zeros,B443,"linear","skip=true","sort=true","multix=average"),"")</f>
        <v/>
      </c>
      <c r="D443" s="39" t="str">
        <f>IF(B443&lt;&gt;"",_xll.BInterpol(maturities,discounts,B443,"linear","skip=true","sort=true","multix=average"),"")</f>
        <v/>
      </c>
      <c r="N443" s="70" t="e">
        <v>#N/A</v>
      </c>
    </row>
    <row r="444" spans="2:14" x14ac:dyDescent="0.25">
      <c r="B444" s="75" t="str">
        <f t="shared" si="6"/>
        <v/>
      </c>
      <c r="C444" s="45" t="str">
        <f>IF(B444&lt;&gt;"",_xll.BInterpol(maturities,zeros,B444,"linear","skip=true","sort=true","multix=average"),"")</f>
        <v/>
      </c>
      <c r="D444" s="38" t="str">
        <f>IF(B444&lt;&gt;"",_xll.BInterpol(maturities,discounts,B444,"linear","skip=true","sort=true","multix=average"),"")</f>
        <v/>
      </c>
      <c r="N444" s="70" t="e">
        <v>#N/A</v>
      </c>
    </row>
    <row r="445" spans="2:14" x14ac:dyDescent="0.25">
      <c r="B445" s="74" t="str">
        <f t="shared" si="6"/>
        <v/>
      </c>
      <c r="C445" s="46" t="str">
        <f>IF(B445&lt;&gt;"",_xll.BInterpol(maturities,zeros,B445,"linear","skip=true","sort=true","multix=average"),"")</f>
        <v/>
      </c>
      <c r="D445" s="39" t="str">
        <f>IF(B445&lt;&gt;"",_xll.BInterpol(maturities,discounts,B445,"linear","skip=true","sort=true","multix=average"),"")</f>
        <v/>
      </c>
      <c r="N445" s="70" t="e">
        <v>#N/A</v>
      </c>
    </row>
    <row r="446" spans="2:14" x14ac:dyDescent="0.25">
      <c r="B446" s="75" t="str">
        <f t="shared" si="6"/>
        <v/>
      </c>
      <c r="C446" s="45" t="str">
        <f>IF(B446&lt;&gt;"",_xll.BInterpol(maturities,zeros,B446,"linear","skip=true","sort=true","multix=average"),"")</f>
        <v/>
      </c>
      <c r="D446" s="38" t="str">
        <f>IF(B446&lt;&gt;"",_xll.BInterpol(maturities,discounts,B446,"linear","skip=true","sort=true","multix=average"),"")</f>
        <v/>
      </c>
      <c r="N446" s="70" t="e">
        <v>#N/A</v>
      </c>
    </row>
    <row r="447" spans="2:14" x14ac:dyDescent="0.25">
      <c r="B447" s="74" t="str">
        <f t="shared" si="6"/>
        <v/>
      </c>
      <c r="C447" s="46" t="str">
        <f>IF(B447&lt;&gt;"",_xll.BInterpol(maturities,zeros,B447,"linear","skip=true","sort=true","multix=average"),"")</f>
        <v/>
      </c>
      <c r="D447" s="39" t="str">
        <f>IF(B447&lt;&gt;"",_xll.BInterpol(maturities,discounts,B447,"linear","skip=true","sort=true","multix=average"),"")</f>
        <v/>
      </c>
      <c r="N447" s="70" t="e">
        <v>#N/A</v>
      </c>
    </row>
    <row r="448" spans="2:14" x14ac:dyDescent="0.25">
      <c r="B448" s="75" t="str">
        <f t="shared" si="6"/>
        <v/>
      </c>
      <c r="C448" s="45" t="str">
        <f>IF(B448&lt;&gt;"",_xll.BInterpol(maturities,zeros,B448,"linear","skip=true","sort=true","multix=average"),"")</f>
        <v/>
      </c>
      <c r="D448" s="38" t="str">
        <f>IF(B448&lt;&gt;"",_xll.BInterpol(maturities,discounts,B448,"linear","skip=true","sort=true","multix=average"),"")</f>
        <v/>
      </c>
      <c r="N448" s="70" t="e">
        <v>#N/A</v>
      </c>
    </row>
    <row r="449" spans="2:14" x14ac:dyDescent="0.25">
      <c r="B449" s="74" t="str">
        <f t="shared" si="6"/>
        <v/>
      </c>
      <c r="C449" s="46" t="str">
        <f>IF(B449&lt;&gt;"",_xll.BInterpol(maturities,zeros,B449,"linear","skip=true","sort=true","multix=average"),"")</f>
        <v/>
      </c>
      <c r="D449" s="39" t="str">
        <f>IF(B449&lt;&gt;"",_xll.BInterpol(maturities,discounts,B449,"linear","skip=true","sort=true","multix=average"),"")</f>
        <v/>
      </c>
      <c r="N449" s="70" t="e">
        <v>#N/A</v>
      </c>
    </row>
    <row r="450" spans="2:14" x14ac:dyDescent="0.25">
      <c r="B450" s="75" t="str">
        <f t="shared" si="6"/>
        <v/>
      </c>
      <c r="C450" s="45" t="str">
        <f>IF(B450&lt;&gt;"",_xll.BInterpol(maturities,zeros,B450,"linear","skip=true","sort=true","multix=average"),"")</f>
        <v/>
      </c>
      <c r="D450" s="38" t="str">
        <f>IF(B450&lt;&gt;"",_xll.BInterpol(maturities,discounts,B450,"linear","skip=true","sort=true","multix=average"),"")</f>
        <v/>
      </c>
      <c r="N450" s="70" t="e">
        <v>#N/A</v>
      </c>
    </row>
    <row r="451" spans="2:14" x14ac:dyDescent="0.25">
      <c r="B451" s="74" t="str">
        <f t="shared" si="6"/>
        <v/>
      </c>
      <c r="C451" s="46" t="str">
        <f>IF(B451&lt;&gt;"",_xll.BInterpol(maturities,zeros,B451,"linear","skip=true","sort=true","multix=average"),"")</f>
        <v/>
      </c>
      <c r="D451" s="39" t="str">
        <f>IF(B451&lt;&gt;"",_xll.BInterpol(maturities,discounts,B451,"linear","skip=true","sort=true","multix=average"),"")</f>
        <v/>
      </c>
      <c r="N451" s="70" t="e">
        <v>#N/A</v>
      </c>
    </row>
    <row r="452" spans="2:14" x14ac:dyDescent="0.25">
      <c r="B452" s="75" t="str">
        <f t="shared" si="6"/>
        <v/>
      </c>
      <c r="C452" s="45" t="str">
        <f>IF(B452&lt;&gt;"",_xll.BInterpol(maturities,zeros,B452,"linear","skip=true","sort=true","multix=average"),"")</f>
        <v/>
      </c>
      <c r="D452" s="38" t="str">
        <f>IF(B452&lt;&gt;"",_xll.BInterpol(maturities,discounts,B452,"linear","skip=true","sort=true","multix=average"),"")</f>
        <v/>
      </c>
      <c r="N452" s="70" t="e">
        <v>#N/A</v>
      </c>
    </row>
    <row r="453" spans="2:14" x14ac:dyDescent="0.25">
      <c r="B453" s="74" t="str">
        <f t="shared" si="6"/>
        <v/>
      </c>
      <c r="C453" s="46" t="str">
        <f>IF(B453&lt;&gt;"",_xll.BInterpol(maturities,zeros,B453,"linear","skip=true","sort=true","multix=average"),"")</f>
        <v/>
      </c>
      <c r="D453" s="39" t="str">
        <f>IF(B453&lt;&gt;"",_xll.BInterpol(maturities,discounts,B453,"linear","skip=true","sort=true","multix=average"),"")</f>
        <v/>
      </c>
      <c r="N453" s="70" t="e">
        <v>#N/A</v>
      </c>
    </row>
    <row r="454" spans="2:14" x14ac:dyDescent="0.25">
      <c r="B454" s="75" t="str">
        <f t="shared" si="6"/>
        <v/>
      </c>
      <c r="C454" s="45" t="str">
        <f>IF(B454&lt;&gt;"",_xll.BInterpol(maturities,zeros,B454,"linear","skip=true","sort=true","multix=average"),"")</f>
        <v/>
      </c>
      <c r="D454" s="38" t="str">
        <f>IF(B454&lt;&gt;"",_xll.BInterpol(maturities,discounts,B454,"linear","skip=true","sort=true","multix=average"),"")</f>
        <v/>
      </c>
      <c r="N454" s="70" t="e">
        <v>#N/A</v>
      </c>
    </row>
    <row r="455" spans="2:14" x14ac:dyDescent="0.25">
      <c r="B455" s="74" t="str">
        <f t="shared" si="6"/>
        <v/>
      </c>
      <c r="C455" s="46" t="str">
        <f>IF(B455&lt;&gt;"",_xll.BInterpol(maturities,zeros,B455,"linear","skip=true","sort=true","multix=average"),"")</f>
        <v/>
      </c>
      <c r="D455" s="39" t="str">
        <f>IF(B455&lt;&gt;"",_xll.BInterpol(maturities,discounts,B455,"linear","skip=true","sort=true","multix=average"),"")</f>
        <v/>
      </c>
      <c r="N455" s="70" t="e">
        <v>#N/A</v>
      </c>
    </row>
    <row r="456" spans="2:14" x14ac:dyDescent="0.25">
      <c r="B456" s="75" t="str">
        <f t="shared" si="6"/>
        <v/>
      </c>
      <c r="C456" s="45" t="str">
        <f>IF(B456&lt;&gt;"",_xll.BInterpol(maturities,zeros,B456,"linear","skip=true","sort=true","multix=average"),"")</f>
        <v/>
      </c>
      <c r="D456" s="38" t="str">
        <f>IF(B456&lt;&gt;"",_xll.BInterpol(maturities,discounts,B456,"linear","skip=true","sort=true","multix=average"),"")</f>
        <v/>
      </c>
      <c r="N456" s="70" t="e">
        <v>#N/A</v>
      </c>
    </row>
    <row r="457" spans="2:14" x14ac:dyDescent="0.25">
      <c r="B457" s="74" t="str">
        <f t="shared" si="6"/>
        <v/>
      </c>
      <c r="C457" s="46" t="str">
        <f>IF(B457&lt;&gt;"",_xll.BInterpol(maturities,zeros,B457,"linear","skip=true","sort=true","multix=average"),"")</f>
        <v/>
      </c>
      <c r="D457" s="39" t="str">
        <f>IF(B457&lt;&gt;"",_xll.BInterpol(maturities,discounts,B457,"linear","skip=true","sort=true","multix=average"),"")</f>
        <v/>
      </c>
      <c r="N457" s="70" t="e">
        <v>#N/A</v>
      </c>
    </row>
    <row r="458" spans="2:14" x14ac:dyDescent="0.25">
      <c r="B458" s="75" t="str">
        <f t="shared" si="6"/>
        <v/>
      </c>
      <c r="C458" s="45" t="str">
        <f>IF(B458&lt;&gt;"",_xll.BInterpol(maturities,zeros,B458,"linear","skip=true","sort=true","multix=average"),"")</f>
        <v/>
      </c>
      <c r="D458" s="38" t="str">
        <f>IF(B458&lt;&gt;"",_xll.BInterpol(maturities,discounts,B458,"linear","skip=true","sort=true","multix=average"),"")</f>
        <v/>
      </c>
      <c r="N458" s="70" t="e">
        <v>#N/A</v>
      </c>
    </row>
    <row r="459" spans="2:14" x14ac:dyDescent="0.25">
      <c r="B459" s="74" t="str">
        <f t="shared" si="6"/>
        <v/>
      </c>
      <c r="C459" s="46" t="str">
        <f>IF(B459&lt;&gt;"",_xll.BInterpol(maturities,zeros,B459,"linear","skip=true","sort=true","multix=average"),"")</f>
        <v/>
      </c>
      <c r="D459" s="39" t="str">
        <f>IF(B459&lt;&gt;"",_xll.BInterpol(maturities,discounts,B459,"linear","skip=true","sort=true","multix=average"),"")</f>
        <v/>
      </c>
      <c r="N459" s="70" t="e">
        <v>#N/A</v>
      </c>
    </row>
    <row r="460" spans="2:14" x14ac:dyDescent="0.25">
      <c r="B460" s="75" t="str">
        <f t="shared" si="6"/>
        <v/>
      </c>
      <c r="C460" s="45" t="str">
        <f>IF(B460&lt;&gt;"",_xll.BInterpol(maturities,zeros,B460,"linear","skip=true","sort=true","multix=average"),"")</f>
        <v/>
      </c>
      <c r="D460" s="38" t="str">
        <f>IF(B460&lt;&gt;"",_xll.BInterpol(maturities,discounts,B460,"linear","skip=true","sort=true","multix=average"),"")</f>
        <v/>
      </c>
      <c r="N460" s="70" t="e">
        <v>#N/A</v>
      </c>
    </row>
    <row r="461" spans="2:14" x14ac:dyDescent="0.25">
      <c r="B461" s="74" t="str">
        <f t="shared" si="6"/>
        <v/>
      </c>
      <c r="C461" s="46" t="str">
        <f>IF(B461&lt;&gt;"",_xll.BInterpol(maturities,zeros,B461,"linear","skip=true","sort=true","multix=average"),"")</f>
        <v/>
      </c>
      <c r="D461" s="39" t="str">
        <f>IF(B461&lt;&gt;"",_xll.BInterpol(maturities,discounts,B461,"linear","skip=true","sort=true","multix=average"),"")</f>
        <v/>
      </c>
      <c r="N461" s="70" t="e">
        <v>#N/A</v>
      </c>
    </row>
    <row r="462" spans="2:14" x14ac:dyDescent="0.25">
      <c r="B462" s="75" t="str">
        <f t="shared" ref="B462:B502" si="7">IF(ISNA(N462),"",N462)</f>
        <v/>
      </c>
      <c r="C462" s="45" t="str">
        <f>IF(B462&lt;&gt;"",_xll.BInterpol(maturities,zeros,B462,"linear","skip=true","sort=true","multix=average"),"")</f>
        <v/>
      </c>
      <c r="D462" s="38" t="str">
        <f>IF(B462&lt;&gt;"",_xll.BInterpol(maturities,discounts,B462,"linear","skip=true","sort=true","multix=average"),"")</f>
        <v/>
      </c>
      <c r="N462" s="70" t="e">
        <v>#N/A</v>
      </c>
    </row>
    <row r="463" spans="2:14" x14ac:dyDescent="0.25">
      <c r="B463" s="74" t="str">
        <f t="shared" si="7"/>
        <v/>
      </c>
      <c r="C463" s="46" t="str">
        <f>IF(B463&lt;&gt;"",_xll.BInterpol(maturities,zeros,B463,"linear","skip=true","sort=true","multix=average"),"")</f>
        <v/>
      </c>
      <c r="D463" s="39" t="str">
        <f>IF(B463&lt;&gt;"",_xll.BInterpol(maturities,discounts,B463,"linear","skip=true","sort=true","multix=average"),"")</f>
        <v/>
      </c>
      <c r="N463" s="70" t="e">
        <v>#N/A</v>
      </c>
    </row>
    <row r="464" spans="2:14" x14ac:dyDescent="0.25">
      <c r="B464" s="75" t="str">
        <f t="shared" si="7"/>
        <v/>
      </c>
      <c r="C464" s="45" t="str">
        <f>IF(B464&lt;&gt;"",_xll.BInterpol(maturities,zeros,B464,"linear","skip=true","sort=true","multix=average"),"")</f>
        <v/>
      </c>
      <c r="D464" s="38" t="str">
        <f>IF(B464&lt;&gt;"",_xll.BInterpol(maturities,discounts,B464,"linear","skip=true","sort=true","multix=average"),"")</f>
        <v/>
      </c>
      <c r="N464" s="70" t="e">
        <v>#N/A</v>
      </c>
    </row>
    <row r="465" spans="2:14" x14ac:dyDescent="0.25">
      <c r="B465" s="74" t="str">
        <f t="shared" si="7"/>
        <v/>
      </c>
      <c r="C465" s="46" t="str">
        <f>IF(B465&lt;&gt;"",_xll.BInterpol(maturities,zeros,B465,"linear","skip=true","sort=true","multix=average"),"")</f>
        <v/>
      </c>
      <c r="D465" s="39" t="str">
        <f>IF(B465&lt;&gt;"",_xll.BInterpol(maturities,discounts,B465,"linear","skip=true","sort=true","multix=average"),"")</f>
        <v/>
      </c>
      <c r="N465" s="70" t="e">
        <v>#N/A</v>
      </c>
    </row>
    <row r="466" spans="2:14" x14ac:dyDescent="0.25">
      <c r="B466" s="75" t="str">
        <f t="shared" si="7"/>
        <v/>
      </c>
      <c r="C466" s="45" t="str">
        <f>IF(B466&lt;&gt;"",_xll.BInterpol(maturities,zeros,B466,"linear","skip=true","sort=true","multix=average"),"")</f>
        <v/>
      </c>
      <c r="D466" s="38" t="str">
        <f>IF(B466&lt;&gt;"",_xll.BInterpol(maturities,discounts,B466,"linear","skip=true","sort=true","multix=average"),"")</f>
        <v/>
      </c>
      <c r="N466" s="70" t="e">
        <v>#N/A</v>
      </c>
    </row>
    <row r="467" spans="2:14" x14ac:dyDescent="0.25">
      <c r="B467" s="74" t="str">
        <f t="shared" si="7"/>
        <v/>
      </c>
      <c r="C467" s="46" t="str">
        <f>IF(B467&lt;&gt;"",_xll.BInterpol(maturities,zeros,B467,"linear","skip=true","sort=true","multix=average"),"")</f>
        <v/>
      </c>
      <c r="D467" s="39" t="str">
        <f>IF(B467&lt;&gt;"",_xll.BInterpol(maturities,discounts,B467,"linear","skip=true","sort=true","multix=average"),"")</f>
        <v/>
      </c>
      <c r="N467" s="70" t="e">
        <v>#N/A</v>
      </c>
    </row>
    <row r="468" spans="2:14" x14ac:dyDescent="0.25">
      <c r="B468" s="75" t="str">
        <f t="shared" si="7"/>
        <v/>
      </c>
      <c r="C468" s="45" t="str">
        <f>IF(B468&lt;&gt;"",_xll.BInterpol(maturities,zeros,B468,"linear","skip=true","sort=true","multix=average"),"")</f>
        <v/>
      </c>
      <c r="D468" s="38" t="str">
        <f>IF(B468&lt;&gt;"",_xll.BInterpol(maturities,discounts,B468,"linear","skip=true","sort=true","multix=average"),"")</f>
        <v/>
      </c>
      <c r="N468" s="70" t="e">
        <v>#N/A</v>
      </c>
    </row>
    <row r="469" spans="2:14" x14ac:dyDescent="0.25">
      <c r="B469" s="74" t="str">
        <f t="shared" si="7"/>
        <v/>
      </c>
      <c r="C469" s="46" t="str">
        <f>IF(B469&lt;&gt;"",_xll.BInterpol(maturities,zeros,B469,"linear","skip=true","sort=true","multix=average"),"")</f>
        <v/>
      </c>
      <c r="D469" s="39" t="str">
        <f>IF(B469&lt;&gt;"",_xll.BInterpol(maturities,discounts,B469,"linear","skip=true","sort=true","multix=average"),"")</f>
        <v/>
      </c>
      <c r="N469" s="70" t="e">
        <v>#N/A</v>
      </c>
    </row>
    <row r="470" spans="2:14" x14ac:dyDescent="0.25">
      <c r="B470" s="75" t="str">
        <f t="shared" si="7"/>
        <v/>
      </c>
      <c r="C470" s="45" t="str">
        <f>IF(B470&lt;&gt;"",_xll.BInterpol(maturities,zeros,B470,"linear","skip=true","sort=true","multix=average"),"")</f>
        <v/>
      </c>
      <c r="D470" s="38" t="str">
        <f>IF(B470&lt;&gt;"",_xll.BInterpol(maturities,discounts,B470,"linear","skip=true","sort=true","multix=average"),"")</f>
        <v/>
      </c>
      <c r="N470" s="70" t="e">
        <v>#N/A</v>
      </c>
    </row>
    <row r="471" spans="2:14" x14ac:dyDescent="0.25">
      <c r="B471" s="74" t="str">
        <f t="shared" si="7"/>
        <v/>
      </c>
      <c r="C471" s="46" t="str">
        <f>IF(B471&lt;&gt;"",_xll.BInterpol(maturities,zeros,B471,"linear","skip=true","sort=true","multix=average"),"")</f>
        <v/>
      </c>
      <c r="D471" s="39" t="str">
        <f>IF(B471&lt;&gt;"",_xll.BInterpol(maturities,discounts,B471,"linear","skip=true","sort=true","multix=average"),"")</f>
        <v/>
      </c>
      <c r="N471" s="70" t="e">
        <v>#N/A</v>
      </c>
    </row>
    <row r="472" spans="2:14" x14ac:dyDescent="0.25">
      <c r="B472" s="75" t="str">
        <f t="shared" si="7"/>
        <v/>
      </c>
      <c r="C472" s="45" t="str">
        <f>IF(B472&lt;&gt;"",_xll.BInterpol(maturities,zeros,B472,"linear","skip=true","sort=true","multix=average"),"")</f>
        <v/>
      </c>
      <c r="D472" s="38" t="str">
        <f>IF(B472&lt;&gt;"",_xll.BInterpol(maturities,discounts,B472,"linear","skip=true","sort=true","multix=average"),"")</f>
        <v/>
      </c>
      <c r="N472" s="70" t="e">
        <v>#N/A</v>
      </c>
    </row>
    <row r="473" spans="2:14" x14ac:dyDescent="0.25">
      <c r="B473" s="74" t="str">
        <f t="shared" si="7"/>
        <v/>
      </c>
      <c r="C473" s="46" t="str">
        <f>IF(B473&lt;&gt;"",_xll.BInterpol(maturities,zeros,B473,"linear","skip=true","sort=true","multix=average"),"")</f>
        <v/>
      </c>
      <c r="D473" s="39" t="str">
        <f>IF(B473&lt;&gt;"",_xll.BInterpol(maturities,discounts,B473,"linear","skip=true","sort=true","multix=average"),"")</f>
        <v/>
      </c>
      <c r="N473" s="70" t="e">
        <v>#N/A</v>
      </c>
    </row>
    <row r="474" spans="2:14" x14ac:dyDescent="0.25">
      <c r="B474" s="75" t="str">
        <f t="shared" si="7"/>
        <v/>
      </c>
      <c r="C474" s="45" t="str">
        <f>IF(B474&lt;&gt;"",_xll.BInterpol(maturities,zeros,B474,"linear","skip=true","sort=true","multix=average"),"")</f>
        <v/>
      </c>
      <c r="D474" s="38" t="str">
        <f>IF(B474&lt;&gt;"",_xll.BInterpol(maturities,discounts,B474,"linear","skip=true","sort=true","multix=average"),"")</f>
        <v/>
      </c>
      <c r="N474" s="70" t="e">
        <v>#N/A</v>
      </c>
    </row>
    <row r="475" spans="2:14" x14ac:dyDescent="0.25">
      <c r="B475" s="74" t="str">
        <f t="shared" si="7"/>
        <v/>
      </c>
      <c r="C475" s="46" t="str">
        <f>IF(B475&lt;&gt;"",_xll.BInterpol(maturities,zeros,B475,"linear","skip=true","sort=true","multix=average"),"")</f>
        <v/>
      </c>
      <c r="D475" s="39" t="str">
        <f>IF(B475&lt;&gt;"",_xll.BInterpol(maturities,discounts,B475,"linear","skip=true","sort=true","multix=average"),"")</f>
        <v/>
      </c>
      <c r="N475" s="70" t="e">
        <v>#N/A</v>
      </c>
    </row>
    <row r="476" spans="2:14" x14ac:dyDescent="0.25">
      <c r="B476" s="75" t="str">
        <f t="shared" si="7"/>
        <v/>
      </c>
      <c r="C476" s="45" t="str">
        <f>IF(B476&lt;&gt;"",_xll.BInterpol(maturities,zeros,B476,"linear","skip=true","sort=true","multix=average"),"")</f>
        <v/>
      </c>
      <c r="D476" s="38" t="str">
        <f>IF(B476&lt;&gt;"",_xll.BInterpol(maturities,discounts,B476,"linear","skip=true","sort=true","multix=average"),"")</f>
        <v/>
      </c>
      <c r="N476" s="70" t="e">
        <v>#N/A</v>
      </c>
    </row>
    <row r="477" spans="2:14" x14ac:dyDescent="0.25">
      <c r="B477" s="74" t="str">
        <f t="shared" si="7"/>
        <v/>
      </c>
      <c r="C477" s="46" t="str">
        <f>IF(B477&lt;&gt;"",_xll.BInterpol(maturities,zeros,B477,"linear","skip=true","sort=true","multix=average"),"")</f>
        <v/>
      </c>
      <c r="D477" s="39" t="str">
        <f>IF(B477&lt;&gt;"",_xll.BInterpol(maturities,discounts,B477,"linear","skip=true","sort=true","multix=average"),"")</f>
        <v/>
      </c>
      <c r="N477" s="70" t="e">
        <v>#N/A</v>
      </c>
    </row>
    <row r="478" spans="2:14" x14ac:dyDescent="0.25">
      <c r="B478" s="75" t="str">
        <f t="shared" si="7"/>
        <v/>
      </c>
      <c r="C478" s="45" t="str">
        <f>IF(B478&lt;&gt;"",_xll.BInterpol(maturities,zeros,B478,"linear","skip=true","sort=true","multix=average"),"")</f>
        <v/>
      </c>
      <c r="D478" s="38" t="str">
        <f>IF(B478&lt;&gt;"",_xll.BInterpol(maturities,discounts,B478,"linear","skip=true","sort=true","multix=average"),"")</f>
        <v/>
      </c>
      <c r="N478" s="70" t="e">
        <v>#N/A</v>
      </c>
    </row>
    <row r="479" spans="2:14" x14ac:dyDescent="0.25">
      <c r="B479" s="74" t="str">
        <f t="shared" si="7"/>
        <v/>
      </c>
      <c r="C479" s="46" t="str">
        <f>IF(B479&lt;&gt;"",_xll.BInterpol(maturities,zeros,B479,"linear","skip=true","sort=true","multix=average"),"")</f>
        <v/>
      </c>
      <c r="D479" s="39" t="str">
        <f>IF(B479&lt;&gt;"",_xll.BInterpol(maturities,discounts,B479,"linear","skip=true","sort=true","multix=average"),"")</f>
        <v/>
      </c>
      <c r="N479" s="70" t="e">
        <v>#N/A</v>
      </c>
    </row>
    <row r="480" spans="2:14" x14ac:dyDescent="0.25">
      <c r="B480" s="75" t="str">
        <f t="shared" si="7"/>
        <v/>
      </c>
      <c r="C480" s="45" t="str">
        <f>IF(B480&lt;&gt;"",_xll.BInterpol(maturities,zeros,B480,"linear","skip=true","sort=true","multix=average"),"")</f>
        <v/>
      </c>
      <c r="D480" s="38" t="str">
        <f>IF(B480&lt;&gt;"",_xll.BInterpol(maturities,discounts,B480,"linear","skip=true","sort=true","multix=average"),"")</f>
        <v/>
      </c>
      <c r="N480" s="70" t="e">
        <v>#N/A</v>
      </c>
    </row>
    <row r="481" spans="2:14" x14ac:dyDescent="0.25">
      <c r="B481" s="74" t="str">
        <f t="shared" si="7"/>
        <v/>
      </c>
      <c r="C481" s="46" t="str">
        <f>IF(B481&lt;&gt;"",_xll.BInterpol(maturities,zeros,B481,"linear","skip=true","sort=true","multix=average"),"")</f>
        <v/>
      </c>
      <c r="D481" s="39" t="str">
        <f>IF(B481&lt;&gt;"",_xll.BInterpol(maturities,discounts,B481,"linear","skip=true","sort=true","multix=average"),"")</f>
        <v/>
      </c>
      <c r="N481" s="70" t="e">
        <v>#N/A</v>
      </c>
    </row>
    <row r="482" spans="2:14" x14ac:dyDescent="0.25">
      <c r="B482" s="75" t="str">
        <f t="shared" si="7"/>
        <v/>
      </c>
      <c r="C482" s="45" t="str">
        <f>IF(B482&lt;&gt;"",_xll.BInterpol(maturities,zeros,B482,"linear","skip=true","sort=true","multix=average"),"")</f>
        <v/>
      </c>
      <c r="D482" s="38" t="str">
        <f>IF(B482&lt;&gt;"",_xll.BInterpol(maturities,discounts,B482,"linear","skip=true","sort=true","multix=average"),"")</f>
        <v/>
      </c>
      <c r="N482" s="70" t="e">
        <v>#N/A</v>
      </c>
    </row>
    <row r="483" spans="2:14" x14ac:dyDescent="0.25">
      <c r="B483" s="74" t="str">
        <f t="shared" si="7"/>
        <v/>
      </c>
      <c r="C483" s="46" t="str">
        <f>IF(B483&lt;&gt;"",_xll.BInterpol(maturities,zeros,B483,"linear","skip=true","sort=true","multix=average"),"")</f>
        <v/>
      </c>
      <c r="D483" s="39" t="str">
        <f>IF(B483&lt;&gt;"",_xll.BInterpol(maturities,discounts,B483,"linear","skip=true","sort=true","multix=average"),"")</f>
        <v/>
      </c>
      <c r="N483" s="70" t="e">
        <v>#N/A</v>
      </c>
    </row>
    <row r="484" spans="2:14" x14ac:dyDescent="0.25">
      <c r="B484" s="75" t="str">
        <f t="shared" si="7"/>
        <v/>
      </c>
      <c r="C484" s="45" t="str">
        <f>IF(B484&lt;&gt;"",_xll.BInterpol(maturities,zeros,B484,"linear","skip=true","sort=true","multix=average"),"")</f>
        <v/>
      </c>
      <c r="D484" s="38" t="str">
        <f>IF(B484&lt;&gt;"",_xll.BInterpol(maturities,discounts,B484,"linear","skip=true","sort=true","multix=average"),"")</f>
        <v/>
      </c>
      <c r="N484" s="70" t="e">
        <v>#N/A</v>
      </c>
    </row>
    <row r="485" spans="2:14" x14ac:dyDescent="0.25">
      <c r="B485" s="74" t="str">
        <f t="shared" si="7"/>
        <v/>
      </c>
      <c r="C485" s="46" t="str">
        <f>IF(B485&lt;&gt;"",_xll.BInterpol(maturities,zeros,B485,"linear","skip=true","sort=true","multix=average"),"")</f>
        <v/>
      </c>
      <c r="D485" s="39" t="str">
        <f>IF(B485&lt;&gt;"",_xll.BInterpol(maturities,discounts,B485,"linear","skip=true","sort=true","multix=average"),"")</f>
        <v/>
      </c>
      <c r="N485" s="70" t="e">
        <v>#N/A</v>
      </c>
    </row>
    <row r="486" spans="2:14" x14ac:dyDescent="0.25">
      <c r="B486" s="75" t="str">
        <f t="shared" si="7"/>
        <v/>
      </c>
      <c r="C486" s="45" t="str">
        <f>IF(B486&lt;&gt;"",_xll.BInterpol(maturities,zeros,B486,"linear","skip=true","sort=true","multix=average"),"")</f>
        <v/>
      </c>
      <c r="D486" s="38" t="str">
        <f>IF(B486&lt;&gt;"",_xll.BInterpol(maturities,discounts,B486,"linear","skip=true","sort=true","multix=average"),"")</f>
        <v/>
      </c>
      <c r="N486" s="70" t="e">
        <v>#N/A</v>
      </c>
    </row>
    <row r="487" spans="2:14" x14ac:dyDescent="0.25">
      <c r="B487" s="74" t="str">
        <f t="shared" si="7"/>
        <v/>
      </c>
      <c r="C487" s="46" t="str">
        <f>IF(B487&lt;&gt;"",_xll.BInterpol(maturities,zeros,B487,"linear","skip=true","sort=true","multix=average"),"")</f>
        <v/>
      </c>
      <c r="D487" s="39" t="str">
        <f>IF(B487&lt;&gt;"",_xll.BInterpol(maturities,discounts,B487,"linear","skip=true","sort=true","multix=average"),"")</f>
        <v/>
      </c>
      <c r="N487" s="70" t="e">
        <v>#N/A</v>
      </c>
    </row>
    <row r="488" spans="2:14" x14ac:dyDescent="0.25">
      <c r="B488" s="75" t="str">
        <f t="shared" si="7"/>
        <v/>
      </c>
      <c r="C488" s="45" t="str">
        <f>IF(B488&lt;&gt;"",_xll.BInterpol(maturities,zeros,B488,"linear","skip=true","sort=true","multix=average"),"")</f>
        <v/>
      </c>
      <c r="D488" s="38" t="str">
        <f>IF(B488&lt;&gt;"",_xll.BInterpol(maturities,discounts,B488,"linear","skip=true","sort=true","multix=average"),"")</f>
        <v/>
      </c>
      <c r="N488" s="70" t="e">
        <v>#N/A</v>
      </c>
    </row>
    <row r="489" spans="2:14" x14ac:dyDescent="0.25">
      <c r="B489" s="74" t="str">
        <f t="shared" si="7"/>
        <v/>
      </c>
      <c r="C489" s="46" t="str">
        <f>IF(B489&lt;&gt;"",_xll.BInterpol(maturities,zeros,B489,"linear","skip=true","sort=true","multix=average"),"")</f>
        <v/>
      </c>
      <c r="D489" s="39" t="str">
        <f>IF(B489&lt;&gt;"",_xll.BInterpol(maturities,discounts,B489,"linear","skip=true","sort=true","multix=average"),"")</f>
        <v/>
      </c>
      <c r="N489" s="70" t="e">
        <v>#N/A</v>
      </c>
    </row>
    <row r="490" spans="2:14" x14ac:dyDescent="0.25">
      <c r="B490" s="75" t="str">
        <f t="shared" si="7"/>
        <v/>
      </c>
      <c r="C490" s="45" t="str">
        <f>IF(B490&lt;&gt;"",_xll.BInterpol(maturities,zeros,B490,"linear","skip=true","sort=true","multix=average"),"")</f>
        <v/>
      </c>
      <c r="D490" s="38" t="str">
        <f>IF(B490&lt;&gt;"",_xll.BInterpol(maturities,discounts,B490,"linear","skip=true","sort=true","multix=average"),"")</f>
        <v/>
      </c>
      <c r="N490" s="70" t="e">
        <v>#N/A</v>
      </c>
    </row>
    <row r="491" spans="2:14" x14ac:dyDescent="0.25">
      <c r="B491" s="74" t="str">
        <f t="shared" si="7"/>
        <v/>
      </c>
      <c r="C491" s="46" t="str">
        <f>IF(B491&lt;&gt;"",_xll.BInterpol(maturities,zeros,B491,"linear","skip=true","sort=true","multix=average"),"")</f>
        <v/>
      </c>
      <c r="D491" s="39" t="str">
        <f>IF(B491&lt;&gt;"",_xll.BInterpol(maturities,discounts,B491,"linear","skip=true","sort=true","multix=average"),"")</f>
        <v/>
      </c>
      <c r="N491" s="70" t="e">
        <v>#N/A</v>
      </c>
    </row>
    <row r="492" spans="2:14" x14ac:dyDescent="0.25">
      <c r="B492" s="75" t="str">
        <f t="shared" si="7"/>
        <v/>
      </c>
      <c r="C492" s="45" t="str">
        <f>IF(B492&lt;&gt;"",_xll.BInterpol(maturities,zeros,B492,"linear","skip=true","sort=true","multix=average"),"")</f>
        <v/>
      </c>
      <c r="D492" s="38" t="str">
        <f>IF(B492&lt;&gt;"",_xll.BInterpol(maturities,discounts,B492,"linear","skip=true","sort=true","multix=average"),"")</f>
        <v/>
      </c>
      <c r="N492" s="70" t="e">
        <v>#N/A</v>
      </c>
    </row>
    <row r="493" spans="2:14" x14ac:dyDescent="0.25">
      <c r="B493" s="74" t="str">
        <f t="shared" si="7"/>
        <v/>
      </c>
      <c r="C493" s="46" t="str">
        <f>IF(B493&lt;&gt;"",_xll.BInterpol(maturities,zeros,B493,"linear","skip=true","sort=true","multix=average"),"")</f>
        <v/>
      </c>
      <c r="D493" s="39" t="str">
        <f>IF(B493&lt;&gt;"",_xll.BInterpol(maturities,discounts,B493,"linear","skip=true","sort=true","multix=average"),"")</f>
        <v/>
      </c>
      <c r="N493" s="70" t="e">
        <v>#N/A</v>
      </c>
    </row>
    <row r="494" spans="2:14" x14ac:dyDescent="0.25">
      <c r="B494" s="75" t="str">
        <f t="shared" si="7"/>
        <v/>
      </c>
      <c r="C494" s="45" t="str">
        <f>IF(B494&lt;&gt;"",_xll.BInterpol(maturities,zeros,B494,"linear","skip=true","sort=true","multix=average"),"")</f>
        <v/>
      </c>
      <c r="D494" s="38" t="str">
        <f>IF(B494&lt;&gt;"",_xll.BInterpol(maturities,discounts,B494,"linear","skip=true","sort=true","multix=average"),"")</f>
        <v/>
      </c>
      <c r="N494" s="70" t="e">
        <v>#N/A</v>
      </c>
    </row>
    <row r="495" spans="2:14" x14ac:dyDescent="0.25">
      <c r="B495" s="74" t="str">
        <f t="shared" si="7"/>
        <v/>
      </c>
      <c r="C495" s="46" t="str">
        <f>IF(B495&lt;&gt;"",_xll.BInterpol(maturities,zeros,B495,"linear","skip=true","sort=true","multix=average"),"")</f>
        <v/>
      </c>
      <c r="D495" s="39" t="str">
        <f>IF(B495&lt;&gt;"",_xll.BInterpol(maturities,discounts,B495,"linear","skip=true","sort=true","multix=average"),"")</f>
        <v/>
      </c>
      <c r="N495" s="70" t="e">
        <v>#N/A</v>
      </c>
    </row>
    <row r="496" spans="2:14" x14ac:dyDescent="0.25">
      <c r="B496" s="75" t="str">
        <f t="shared" si="7"/>
        <v/>
      </c>
      <c r="C496" s="45" t="str">
        <f>IF(B496&lt;&gt;"",_xll.BInterpol(maturities,zeros,B496,"linear","skip=true","sort=true","multix=average"),"")</f>
        <v/>
      </c>
      <c r="D496" s="38" t="str">
        <f>IF(B496&lt;&gt;"",_xll.BInterpol(maturities,discounts,B496,"linear","skip=true","sort=true","multix=average"),"")</f>
        <v/>
      </c>
      <c r="N496" s="70" t="e">
        <v>#N/A</v>
      </c>
    </row>
    <row r="497" spans="2:14" x14ac:dyDescent="0.25">
      <c r="B497" s="74" t="str">
        <f t="shared" si="7"/>
        <v/>
      </c>
      <c r="C497" s="46" t="str">
        <f>IF(B497&lt;&gt;"",_xll.BInterpol(maturities,zeros,B497,"linear","skip=true","sort=true","multix=average"),"")</f>
        <v/>
      </c>
      <c r="D497" s="39" t="str">
        <f>IF(B497&lt;&gt;"",_xll.BInterpol(maturities,discounts,B497,"linear","skip=true","sort=true","multix=average"),"")</f>
        <v/>
      </c>
      <c r="N497" s="70" t="e">
        <v>#N/A</v>
      </c>
    </row>
    <row r="498" spans="2:14" x14ac:dyDescent="0.25">
      <c r="B498" s="75" t="str">
        <f t="shared" si="7"/>
        <v/>
      </c>
      <c r="C498" s="45" t="str">
        <f>IF(B498&lt;&gt;"",_xll.BInterpol(maturities,zeros,B498,"linear","skip=true","sort=true","multix=average"),"")</f>
        <v/>
      </c>
      <c r="D498" s="38" t="str">
        <f>IF(B498&lt;&gt;"",_xll.BInterpol(maturities,discounts,B498,"linear","skip=true","sort=true","multix=average"),"")</f>
        <v/>
      </c>
      <c r="N498" s="70" t="e">
        <v>#N/A</v>
      </c>
    </row>
    <row r="499" spans="2:14" x14ac:dyDescent="0.25">
      <c r="B499" s="74" t="str">
        <f t="shared" si="7"/>
        <v/>
      </c>
      <c r="C499" s="46" t="str">
        <f>IF(B499&lt;&gt;"",_xll.BInterpol(maturities,zeros,B499,"linear","skip=true","sort=true","multix=average"),"")</f>
        <v/>
      </c>
      <c r="D499" s="39" t="str">
        <f>IF(B499&lt;&gt;"",_xll.BInterpol(maturities,discounts,B499,"linear","skip=true","sort=true","multix=average"),"")</f>
        <v/>
      </c>
      <c r="N499" s="70" t="e">
        <v>#N/A</v>
      </c>
    </row>
    <row r="500" spans="2:14" x14ac:dyDescent="0.25">
      <c r="B500" s="75" t="str">
        <f t="shared" si="7"/>
        <v/>
      </c>
      <c r="C500" s="45" t="str">
        <f>IF(B500&lt;&gt;"",_xll.BInterpol(maturities,zeros,B500,"linear","skip=true","sort=true","multix=average"),"")</f>
        <v/>
      </c>
      <c r="D500" s="38" t="str">
        <f>IF(B500&lt;&gt;"",_xll.BInterpol(maturities,discounts,B500,"linear","skip=true","sort=true","multix=average"),"")</f>
        <v/>
      </c>
      <c r="N500" s="70" t="e">
        <v>#N/A</v>
      </c>
    </row>
    <row r="501" spans="2:14" x14ac:dyDescent="0.25">
      <c r="B501" s="74" t="str">
        <f t="shared" si="7"/>
        <v/>
      </c>
      <c r="C501" s="46" t="str">
        <f>IF(B501&lt;&gt;"",_xll.BInterpol(maturities,zeros,B501,"linear","skip=true","sort=true","multix=average"),"")</f>
        <v/>
      </c>
      <c r="D501" s="39" t="str">
        <f>IF(B501&lt;&gt;"",_xll.BInterpol(maturities,discounts,B501,"linear","skip=true","sort=true","multix=average"),"")</f>
        <v/>
      </c>
      <c r="N501" s="70" t="e">
        <v>#N/A</v>
      </c>
    </row>
    <row r="502" spans="2:14" x14ac:dyDescent="0.25">
      <c r="B502" s="75" t="str">
        <f t="shared" si="7"/>
        <v/>
      </c>
      <c r="C502" s="47" t="str">
        <f>IF(B502&lt;&gt;"",_xll.BInterpol(maturities,zeros,B502,"linear","skip=true","sort=true","multix=average"),"")</f>
        <v/>
      </c>
      <c r="D502" s="40" t="str">
        <f>IF(B502&lt;&gt;"",_xll.BInterpol(maturities,discounts,B502,"linear","skip=true","sort=true","multix=average"),"")</f>
        <v/>
      </c>
      <c r="N502" s="71" t="e">
        <v>#N/A</v>
      </c>
    </row>
    <row r="503" spans="2:14" x14ac:dyDescent="0.25">
      <c r="B503" s="2"/>
      <c r="D503" s="2"/>
    </row>
  </sheetData>
  <protectedRanges>
    <protectedRange sqref="C7:C9" name="auto_update"/>
  </protectedRanges>
  <mergeCells count="1">
    <mergeCell ref="B11:D11"/>
  </mergeCells>
  <phoneticPr fontId="1" type="noConversion"/>
  <dataValidations count="3">
    <dataValidation type="list" allowBlank="1" showInputMessage="1" showErrorMessage="1" sqref="C9" xr:uid="{00000000-0002-0000-0200-000000000000}">
      <formula1>"Annually,Semi Annually,Quarterly,Monthly,Weekly,Daily"</formula1>
    </dataValidation>
    <dataValidation type="date" operator="greaterThanOrEqual" allowBlank="1" showInputMessage="1" showErrorMessage="1" sqref="C7:C8" xr:uid="{00000000-0002-0000-0200-000001000000}">
      <formula1>NOW()</formula1>
    </dataValidation>
    <dataValidation type="list" allowBlank="1" showInputMessage="1" showErrorMessage="1" sqref="E6 N6 C6 I6 G6" xr:uid="{00000000-0002-0000-0200-000002000000}">
      <formula1>#REF!</formula1>
    </dataValidation>
  </dataValidations>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B1:X94"/>
  <sheetViews>
    <sheetView showGridLines="0" showRowColHeaders="0" workbookViewId="0">
      <pane ySplit="5" topLeftCell="A6" activePane="bottomLeft" state="frozenSplit"/>
      <selection pane="bottomLeft" activeCell="D10" sqref="D10:R14"/>
    </sheetView>
  </sheetViews>
  <sheetFormatPr baseColWidth="10" defaultColWidth="9.140625" defaultRowHeight="15" x14ac:dyDescent="0.25"/>
  <cols>
    <col min="1" max="1" width="1.7109375" style="1" customWidth="1"/>
    <col min="2" max="16384" width="9.140625" style="1"/>
  </cols>
  <sheetData>
    <row r="1" spans="2:24" ht="5.0999999999999996" customHeight="1" x14ac:dyDescent="0.25"/>
    <row r="2" spans="2:24" ht="15" customHeight="1" x14ac:dyDescent="0.25"/>
    <row r="3" spans="2:24" ht="15" customHeight="1" x14ac:dyDescent="0.25"/>
    <row r="4" spans="2:24" ht="15" customHeight="1" x14ac:dyDescent="0.25"/>
    <row r="5" spans="2:24" ht="5.0999999999999996" customHeight="1" x14ac:dyDescent="0.25"/>
    <row r="6" spans="2:24" x14ac:dyDescent="0.25">
      <c r="B6" s="120"/>
      <c r="C6" s="115"/>
      <c r="D6" s="117"/>
      <c r="E6" s="115"/>
      <c r="F6" s="115"/>
      <c r="G6" s="115"/>
      <c r="H6" s="115"/>
      <c r="I6" s="115"/>
      <c r="J6" s="115"/>
      <c r="K6" s="115"/>
      <c r="L6" s="115"/>
      <c r="M6" s="115"/>
      <c r="N6" s="115"/>
      <c r="O6" s="115"/>
      <c r="P6" s="115"/>
      <c r="Q6" s="115"/>
      <c r="R6" s="115"/>
      <c r="S6" s="121"/>
      <c r="T6" s="115"/>
      <c r="U6" s="116"/>
      <c r="V6" s="115"/>
      <c r="W6" s="115"/>
      <c r="X6" s="115"/>
    </row>
    <row r="7" spans="2:24" x14ac:dyDescent="0.25">
      <c r="B7" s="115"/>
      <c r="C7" s="115"/>
      <c r="D7" s="115"/>
      <c r="E7" s="115"/>
      <c r="F7" s="115"/>
      <c r="G7" s="115"/>
      <c r="H7" s="115"/>
      <c r="I7" s="115"/>
      <c r="J7" s="115"/>
      <c r="K7" s="115"/>
      <c r="L7" s="115"/>
      <c r="M7" s="115"/>
      <c r="N7" s="115"/>
      <c r="O7" s="115"/>
      <c r="P7" s="115"/>
      <c r="Q7" s="115"/>
      <c r="R7" s="115"/>
      <c r="S7" s="115"/>
      <c r="T7" s="115"/>
      <c r="U7" s="115"/>
      <c r="V7" s="115"/>
      <c r="W7" s="115"/>
      <c r="X7" s="115"/>
    </row>
    <row r="8" spans="2:24" x14ac:dyDescent="0.25">
      <c r="B8" s="115"/>
      <c r="C8" s="115"/>
      <c r="D8" s="115"/>
      <c r="E8" s="115"/>
      <c r="F8" s="115"/>
      <c r="G8" s="115"/>
      <c r="H8" s="115"/>
      <c r="I8" s="115"/>
      <c r="J8" s="115"/>
      <c r="K8" s="115"/>
      <c r="L8" s="115"/>
      <c r="M8" s="115"/>
      <c r="N8" s="115"/>
      <c r="O8" s="115"/>
      <c r="P8" s="115"/>
      <c r="Q8" s="115"/>
      <c r="R8" s="115"/>
      <c r="S8" s="115"/>
      <c r="T8" s="115"/>
      <c r="U8" s="115"/>
      <c r="V8" s="115"/>
      <c r="W8" s="115"/>
      <c r="X8" s="115"/>
    </row>
    <row r="9" spans="2:24" x14ac:dyDescent="0.25">
      <c r="B9" s="115"/>
      <c r="C9" s="115"/>
      <c r="D9" s="115"/>
      <c r="E9" s="115"/>
      <c r="F9" s="115"/>
      <c r="G9" s="115"/>
      <c r="H9" s="115"/>
      <c r="I9" s="115"/>
      <c r="J9" s="115"/>
      <c r="K9" s="115"/>
      <c r="L9" s="115"/>
      <c r="M9" s="115"/>
      <c r="N9" s="115"/>
      <c r="O9" s="115"/>
      <c r="P9" s="115"/>
      <c r="Q9" s="115"/>
      <c r="R9" s="115"/>
      <c r="S9" s="115"/>
      <c r="T9" s="115"/>
      <c r="U9" s="115"/>
      <c r="V9" s="115"/>
      <c r="W9" s="115"/>
      <c r="X9" s="115"/>
    </row>
    <row r="10" spans="2:24" x14ac:dyDescent="0.25">
      <c r="B10" s="116"/>
      <c r="C10" s="115"/>
      <c r="D10" s="119" t="s">
        <v>231</v>
      </c>
      <c r="E10" s="119"/>
      <c r="F10" s="119"/>
      <c r="G10" s="119"/>
      <c r="H10" s="119"/>
      <c r="I10" s="119"/>
      <c r="J10" s="119"/>
      <c r="K10" s="119"/>
      <c r="L10" s="119"/>
      <c r="M10" s="119"/>
      <c r="N10" s="119"/>
      <c r="O10" s="119"/>
      <c r="P10" s="119"/>
      <c r="Q10" s="119"/>
      <c r="R10" s="119"/>
      <c r="S10" s="118"/>
      <c r="T10" s="115"/>
      <c r="U10" s="115"/>
      <c r="V10" s="115"/>
      <c r="W10" s="115"/>
      <c r="X10" s="115"/>
    </row>
    <row r="11" spans="2:24" x14ac:dyDescent="0.25">
      <c r="B11" s="116"/>
      <c r="C11" s="115"/>
      <c r="D11" s="119"/>
      <c r="E11" s="119"/>
      <c r="F11" s="119"/>
      <c r="G11" s="119"/>
      <c r="H11" s="119"/>
      <c r="I11" s="119"/>
      <c r="J11" s="119"/>
      <c r="K11" s="119"/>
      <c r="L11" s="119"/>
      <c r="M11" s="119"/>
      <c r="N11" s="119"/>
      <c r="O11" s="119"/>
      <c r="P11" s="119"/>
      <c r="Q11" s="119"/>
      <c r="R11" s="119"/>
      <c r="S11" s="118"/>
      <c r="T11" s="115"/>
      <c r="U11" s="115"/>
      <c r="V11" s="115"/>
      <c r="W11" s="115"/>
      <c r="X11" s="115"/>
    </row>
    <row r="12" spans="2:24" x14ac:dyDescent="0.25">
      <c r="B12" s="116"/>
      <c r="C12" s="115"/>
      <c r="D12" s="119"/>
      <c r="E12" s="119"/>
      <c r="F12" s="119"/>
      <c r="G12" s="119"/>
      <c r="H12" s="119"/>
      <c r="I12" s="119"/>
      <c r="J12" s="119"/>
      <c r="K12" s="119"/>
      <c r="L12" s="119"/>
      <c r="M12" s="119"/>
      <c r="N12" s="119"/>
      <c r="O12" s="119"/>
      <c r="P12" s="119"/>
      <c r="Q12" s="119"/>
      <c r="R12" s="119"/>
      <c r="S12" s="118"/>
      <c r="T12" s="115"/>
      <c r="U12" s="115"/>
      <c r="V12" s="115"/>
      <c r="W12" s="115"/>
      <c r="X12" s="115"/>
    </row>
    <row r="13" spans="2:24" x14ac:dyDescent="0.25">
      <c r="B13" s="116"/>
      <c r="C13" s="115"/>
      <c r="D13" s="119"/>
      <c r="E13" s="119"/>
      <c r="F13" s="119"/>
      <c r="G13" s="119"/>
      <c r="H13" s="119"/>
      <c r="I13" s="119"/>
      <c r="J13" s="119"/>
      <c r="K13" s="119"/>
      <c r="L13" s="119"/>
      <c r="M13" s="119"/>
      <c r="N13" s="119"/>
      <c r="O13" s="119"/>
      <c r="P13" s="119"/>
      <c r="Q13" s="119"/>
      <c r="R13" s="119"/>
      <c r="S13" s="118"/>
      <c r="T13" s="115"/>
      <c r="U13" s="115"/>
      <c r="V13" s="115"/>
      <c r="W13" s="115"/>
      <c r="X13" s="115"/>
    </row>
    <row r="14" spans="2:24" x14ac:dyDescent="0.25">
      <c r="B14" s="116"/>
      <c r="C14" s="115"/>
      <c r="D14" s="119"/>
      <c r="E14" s="119"/>
      <c r="F14" s="119"/>
      <c r="G14" s="119"/>
      <c r="H14" s="119"/>
      <c r="I14" s="119"/>
      <c r="J14" s="119"/>
      <c r="K14" s="119"/>
      <c r="L14" s="119"/>
      <c r="M14" s="119"/>
      <c r="N14" s="119"/>
      <c r="O14" s="119"/>
      <c r="P14" s="119"/>
      <c r="Q14" s="119"/>
      <c r="R14" s="119"/>
      <c r="S14" s="118"/>
      <c r="T14" s="115"/>
      <c r="U14" s="115"/>
      <c r="V14" s="115"/>
      <c r="W14" s="115"/>
      <c r="X14" s="115"/>
    </row>
    <row r="15" spans="2:24" x14ac:dyDescent="0.25">
      <c r="B15" s="115"/>
      <c r="C15" s="115"/>
      <c r="S15" s="115"/>
      <c r="T15" s="115"/>
      <c r="U15" s="115"/>
      <c r="V15" s="115"/>
      <c r="W15" s="115"/>
      <c r="X15" s="115"/>
    </row>
    <row r="16" spans="2:24" x14ac:dyDescent="0.25">
      <c r="B16" s="115"/>
      <c r="C16" s="115"/>
      <c r="S16" s="115"/>
      <c r="T16" s="115"/>
      <c r="U16" s="115"/>
      <c r="V16" s="115"/>
      <c r="W16" s="115"/>
      <c r="X16" s="115"/>
    </row>
    <row r="17" spans="2:24" x14ac:dyDescent="0.25">
      <c r="B17" s="115"/>
      <c r="C17" s="115"/>
      <c r="S17" s="115"/>
      <c r="T17" s="115"/>
      <c r="U17" s="115"/>
      <c r="V17" s="115"/>
      <c r="W17" s="115"/>
      <c r="X17" s="115"/>
    </row>
    <row r="18" spans="2:24" x14ac:dyDescent="0.25">
      <c r="B18" s="115"/>
      <c r="C18" s="115"/>
      <c r="S18" s="115"/>
      <c r="T18" s="115"/>
      <c r="U18" s="115"/>
      <c r="V18" s="115"/>
      <c r="W18" s="115"/>
      <c r="X18" s="115"/>
    </row>
    <row r="19" spans="2:24" x14ac:dyDescent="0.25">
      <c r="B19" s="115"/>
      <c r="C19" s="115"/>
      <c r="S19" s="115"/>
      <c r="T19" s="115"/>
      <c r="U19" s="115"/>
      <c r="V19" s="115"/>
      <c r="W19" s="115"/>
      <c r="X19" s="115"/>
    </row>
    <row r="20" spans="2:24" x14ac:dyDescent="0.25">
      <c r="B20" s="115"/>
      <c r="C20" s="115"/>
      <c r="S20" s="115"/>
      <c r="T20" s="115"/>
      <c r="U20" s="115"/>
      <c r="V20" s="115"/>
      <c r="W20" s="115"/>
      <c r="X20" s="115"/>
    </row>
    <row r="21" spans="2:24" x14ac:dyDescent="0.25">
      <c r="B21" s="115"/>
      <c r="C21" s="115"/>
      <c r="S21" s="115"/>
      <c r="T21" s="115"/>
      <c r="U21" s="115"/>
      <c r="V21" s="115"/>
      <c r="W21" s="115"/>
      <c r="X21" s="115"/>
    </row>
    <row r="22" spans="2:24" x14ac:dyDescent="0.25">
      <c r="B22" s="115"/>
      <c r="C22" s="115"/>
      <c r="S22" s="115"/>
      <c r="T22" s="115"/>
      <c r="U22" s="115"/>
      <c r="V22" s="115"/>
      <c r="W22" s="115"/>
      <c r="X22" s="115"/>
    </row>
    <row r="23" spans="2:24" x14ac:dyDescent="0.25">
      <c r="B23" s="115"/>
      <c r="C23" s="115"/>
      <c r="S23" s="115"/>
      <c r="T23" s="115"/>
      <c r="U23" s="115"/>
      <c r="V23" s="115"/>
      <c r="W23" s="115"/>
      <c r="X23" s="115"/>
    </row>
    <row r="24" spans="2:24" x14ac:dyDescent="0.25">
      <c r="B24" s="115"/>
      <c r="C24" s="115"/>
      <c r="S24" s="115"/>
      <c r="T24" s="115"/>
      <c r="U24" s="115"/>
      <c r="V24" s="115"/>
      <c r="W24" s="115"/>
      <c r="X24" s="115"/>
    </row>
    <row r="25" spans="2:24" x14ac:dyDescent="0.25">
      <c r="B25" s="115"/>
      <c r="C25" s="115"/>
      <c r="S25" s="115"/>
      <c r="T25" s="115"/>
      <c r="U25" s="115"/>
      <c r="V25" s="115"/>
      <c r="W25" s="115"/>
      <c r="X25" s="115"/>
    </row>
    <row r="26" spans="2:24" x14ac:dyDescent="0.25">
      <c r="B26" s="115"/>
      <c r="C26" s="115"/>
      <c r="S26" s="115"/>
      <c r="T26" s="115"/>
      <c r="U26" s="115"/>
      <c r="V26" s="115"/>
      <c r="W26" s="115"/>
      <c r="X26" s="115"/>
    </row>
    <row r="27" spans="2:24" x14ac:dyDescent="0.25">
      <c r="B27" s="115"/>
      <c r="C27" s="115"/>
      <c r="S27" s="115"/>
      <c r="T27" s="115"/>
      <c r="U27" s="115"/>
      <c r="V27" s="115"/>
      <c r="W27" s="115"/>
      <c r="X27" s="115"/>
    </row>
    <row r="28" spans="2:24" x14ac:dyDescent="0.25">
      <c r="B28" s="115"/>
      <c r="C28" s="115"/>
      <c r="S28" s="115"/>
      <c r="T28" s="115"/>
      <c r="U28" s="115"/>
      <c r="V28" s="115"/>
      <c r="W28" s="115"/>
      <c r="X28" s="115"/>
    </row>
    <row r="29" spans="2:24" x14ac:dyDescent="0.25">
      <c r="B29" s="115"/>
      <c r="C29" s="115"/>
      <c r="S29" s="115"/>
      <c r="T29" s="115"/>
      <c r="U29" s="115"/>
      <c r="V29" s="115"/>
      <c r="W29" s="115"/>
      <c r="X29" s="115"/>
    </row>
    <row r="30" spans="2:24" x14ac:dyDescent="0.25">
      <c r="B30" s="115"/>
      <c r="C30" s="115"/>
      <c r="S30" s="115"/>
      <c r="T30" s="115"/>
      <c r="U30" s="115"/>
      <c r="V30" s="115"/>
      <c r="W30" s="115"/>
      <c r="X30" s="115"/>
    </row>
    <row r="31" spans="2:24" x14ac:dyDescent="0.25">
      <c r="B31" s="115"/>
      <c r="C31" s="115"/>
      <c r="S31" s="115"/>
      <c r="T31" s="115"/>
      <c r="U31" s="115"/>
      <c r="V31" s="115"/>
      <c r="W31" s="115"/>
      <c r="X31" s="115"/>
    </row>
    <row r="32" spans="2:24" x14ac:dyDescent="0.25">
      <c r="B32" s="115"/>
      <c r="C32" s="115"/>
      <c r="S32" s="115"/>
      <c r="T32" s="115"/>
      <c r="U32" s="115"/>
      <c r="V32" s="115"/>
      <c r="W32" s="115"/>
      <c r="X32" s="115"/>
    </row>
    <row r="33" spans="2:24" x14ac:dyDescent="0.25">
      <c r="B33" s="115"/>
      <c r="C33" s="115"/>
      <c r="S33" s="115"/>
      <c r="T33" s="115"/>
      <c r="U33" s="115"/>
      <c r="V33" s="115"/>
      <c r="W33" s="115"/>
      <c r="X33" s="115"/>
    </row>
    <row r="34" spans="2:24" x14ac:dyDescent="0.25">
      <c r="B34" s="115"/>
      <c r="C34" s="115"/>
      <c r="S34" s="115"/>
      <c r="T34" s="115"/>
      <c r="U34" s="115"/>
      <c r="V34" s="115"/>
      <c r="W34" s="115"/>
      <c r="X34" s="115"/>
    </row>
    <row r="35" spans="2:24" x14ac:dyDescent="0.25">
      <c r="B35" s="115"/>
      <c r="C35" s="115"/>
      <c r="S35" s="115"/>
      <c r="T35" s="115"/>
      <c r="U35" s="115"/>
      <c r="V35" s="115"/>
      <c r="W35" s="115"/>
      <c r="X35" s="115"/>
    </row>
    <row r="36" spans="2:24" x14ac:dyDescent="0.25">
      <c r="B36" s="115"/>
      <c r="C36" s="115"/>
      <c r="S36" s="115"/>
      <c r="T36" s="115"/>
      <c r="U36" s="115"/>
      <c r="V36" s="115"/>
      <c r="W36" s="115"/>
      <c r="X36" s="115"/>
    </row>
    <row r="37" spans="2:24" x14ac:dyDescent="0.25">
      <c r="B37" s="115"/>
      <c r="C37" s="115"/>
      <c r="S37" s="115"/>
      <c r="T37" s="115"/>
      <c r="U37" s="115"/>
      <c r="V37" s="115"/>
      <c r="W37" s="115"/>
      <c r="X37" s="115"/>
    </row>
    <row r="38" spans="2:24" x14ac:dyDescent="0.25">
      <c r="B38" s="115"/>
      <c r="C38" s="115"/>
      <c r="S38" s="115"/>
      <c r="T38" s="115"/>
      <c r="U38" s="115"/>
      <c r="V38" s="115"/>
      <c r="W38" s="115"/>
      <c r="X38" s="115"/>
    </row>
    <row r="39" spans="2:24" x14ac:dyDescent="0.25">
      <c r="B39" s="115"/>
      <c r="C39" s="115"/>
      <c r="S39" s="115"/>
      <c r="T39" s="115"/>
      <c r="U39" s="115"/>
      <c r="V39" s="115"/>
      <c r="W39" s="115"/>
      <c r="X39" s="115"/>
    </row>
    <row r="40" spans="2:24" x14ac:dyDescent="0.25">
      <c r="B40" s="115"/>
      <c r="C40" s="115"/>
      <c r="S40" s="115"/>
      <c r="T40" s="115"/>
      <c r="U40" s="115"/>
      <c r="V40" s="115"/>
      <c r="W40" s="115"/>
      <c r="X40" s="115"/>
    </row>
    <row r="41" spans="2:24" x14ac:dyDescent="0.25">
      <c r="B41" s="115"/>
      <c r="C41" s="115"/>
      <c r="S41" s="115"/>
      <c r="T41" s="115"/>
      <c r="U41" s="115"/>
      <c r="V41" s="115"/>
      <c r="W41" s="115"/>
      <c r="X41" s="115"/>
    </row>
    <row r="42" spans="2:24" x14ac:dyDescent="0.25">
      <c r="B42" s="115"/>
      <c r="C42" s="115"/>
      <c r="S42" s="115"/>
      <c r="T42" s="115"/>
      <c r="U42" s="115"/>
      <c r="V42" s="115"/>
      <c r="W42" s="115"/>
      <c r="X42" s="115"/>
    </row>
    <row r="43" spans="2:24" x14ac:dyDescent="0.25">
      <c r="B43" s="115"/>
      <c r="C43" s="115"/>
      <c r="S43" s="115"/>
      <c r="T43" s="115"/>
      <c r="U43" s="115"/>
      <c r="V43" s="115"/>
      <c r="W43" s="115"/>
      <c r="X43" s="115"/>
    </row>
    <row r="44" spans="2:24" x14ac:dyDescent="0.25">
      <c r="B44" s="115"/>
      <c r="C44" s="115"/>
      <c r="S44" s="115"/>
      <c r="T44" s="115"/>
      <c r="U44" s="115"/>
      <c r="V44" s="115"/>
      <c r="W44" s="115"/>
      <c r="X44" s="115"/>
    </row>
    <row r="45" spans="2:24" x14ac:dyDescent="0.25">
      <c r="B45" s="115"/>
      <c r="C45" s="115"/>
      <c r="S45" s="115"/>
      <c r="T45" s="115"/>
      <c r="U45" s="115"/>
      <c r="V45" s="115"/>
      <c r="W45" s="115"/>
      <c r="X45" s="115"/>
    </row>
    <row r="46" spans="2:24" x14ac:dyDescent="0.25">
      <c r="B46" s="115"/>
      <c r="C46" s="115"/>
      <c r="S46" s="115"/>
      <c r="T46" s="115"/>
      <c r="U46" s="115"/>
      <c r="V46" s="115"/>
      <c r="W46" s="115"/>
      <c r="X46" s="115"/>
    </row>
    <row r="47" spans="2:24" x14ac:dyDescent="0.25">
      <c r="B47" s="115"/>
      <c r="C47" s="115"/>
      <c r="S47" s="115"/>
      <c r="T47" s="115"/>
      <c r="U47" s="115"/>
      <c r="V47" s="115"/>
      <c r="W47" s="115"/>
      <c r="X47" s="115"/>
    </row>
    <row r="48" spans="2:24" x14ac:dyDescent="0.25">
      <c r="B48" s="115"/>
      <c r="C48" s="115"/>
      <c r="S48" s="115"/>
      <c r="T48" s="115"/>
      <c r="U48" s="115"/>
      <c r="V48" s="115"/>
      <c r="W48" s="115"/>
      <c r="X48" s="115"/>
    </row>
    <row r="49" spans="2:24" x14ac:dyDescent="0.25">
      <c r="B49" s="115"/>
      <c r="C49" s="115"/>
      <c r="S49" s="115"/>
      <c r="T49" s="115"/>
      <c r="U49" s="115"/>
      <c r="V49" s="115"/>
      <c r="W49" s="115"/>
      <c r="X49" s="115"/>
    </row>
    <row r="50" spans="2:24" x14ac:dyDescent="0.25">
      <c r="B50" s="115"/>
      <c r="C50" s="115"/>
      <c r="S50" s="115"/>
      <c r="T50" s="115"/>
      <c r="U50" s="115"/>
      <c r="V50" s="115"/>
      <c r="W50" s="115"/>
      <c r="X50" s="115"/>
    </row>
    <row r="51" spans="2:24" x14ac:dyDescent="0.25">
      <c r="B51" s="115"/>
      <c r="C51" s="115"/>
      <c r="S51" s="115"/>
      <c r="T51" s="115"/>
      <c r="U51" s="115"/>
      <c r="V51" s="115"/>
      <c r="W51" s="115"/>
      <c r="X51" s="115"/>
    </row>
    <row r="52" spans="2:24" x14ac:dyDescent="0.25">
      <c r="B52" s="115"/>
      <c r="C52" s="115"/>
      <c r="S52" s="115"/>
      <c r="T52" s="115"/>
      <c r="U52" s="115"/>
      <c r="V52" s="115"/>
      <c r="W52" s="115"/>
      <c r="X52" s="115"/>
    </row>
    <row r="53" spans="2:24" x14ac:dyDescent="0.25">
      <c r="B53" s="115"/>
      <c r="C53" s="115"/>
      <c r="S53" s="115"/>
      <c r="T53" s="115"/>
      <c r="U53" s="115"/>
      <c r="V53" s="115"/>
      <c r="W53" s="115"/>
      <c r="X53" s="115"/>
    </row>
    <row r="54" spans="2:24" x14ac:dyDescent="0.25">
      <c r="B54" s="115"/>
      <c r="C54" s="115"/>
      <c r="S54" s="115"/>
      <c r="T54" s="115"/>
      <c r="U54" s="115"/>
      <c r="V54" s="115"/>
      <c r="W54" s="115"/>
      <c r="X54" s="115"/>
    </row>
    <row r="55" spans="2:24" x14ac:dyDescent="0.25">
      <c r="B55" s="115"/>
      <c r="C55" s="115"/>
      <c r="S55" s="115"/>
      <c r="T55" s="115"/>
      <c r="U55" s="115"/>
      <c r="V55" s="115"/>
      <c r="W55" s="115"/>
      <c r="X55" s="115"/>
    </row>
    <row r="56" spans="2:24" x14ac:dyDescent="0.25">
      <c r="B56" s="115"/>
      <c r="C56" s="115"/>
      <c r="S56" s="115"/>
      <c r="T56" s="115"/>
      <c r="U56" s="115"/>
      <c r="V56" s="115"/>
      <c r="W56" s="115"/>
      <c r="X56" s="115"/>
    </row>
    <row r="57" spans="2:24" x14ac:dyDescent="0.25">
      <c r="B57" s="115"/>
      <c r="C57" s="115"/>
      <c r="S57" s="115"/>
      <c r="T57" s="115"/>
      <c r="U57" s="115"/>
      <c r="V57" s="115"/>
      <c r="W57" s="115"/>
      <c r="X57" s="115"/>
    </row>
    <row r="58" spans="2:24" x14ac:dyDescent="0.25">
      <c r="B58" s="115"/>
      <c r="C58" s="115"/>
      <c r="S58" s="115"/>
      <c r="T58" s="115"/>
      <c r="U58" s="115"/>
      <c r="V58" s="115"/>
      <c r="W58" s="115"/>
      <c r="X58" s="115"/>
    </row>
    <row r="59" spans="2:24" x14ac:dyDescent="0.25">
      <c r="B59" s="115"/>
      <c r="C59" s="115"/>
      <c r="S59" s="115"/>
      <c r="T59" s="115"/>
      <c r="U59" s="115"/>
      <c r="V59" s="115"/>
      <c r="W59" s="115"/>
      <c r="X59" s="115"/>
    </row>
    <row r="60" spans="2:24" x14ac:dyDescent="0.25">
      <c r="B60" s="115"/>
      <c r="C60" s="115"/>
      <c r="S60" s="115"/>
      <c r="T60" s="115"/>
      <c r="U60" s="115"/>
      <c r="V60" s="115"/>
      <c r="W60" s="115"/>
      <c r="X60" s="115"/>
    </row>
    <row r="61" spans="2:24" x14ac:dyDescent="0.25">
      <c r="B61" s="115"/>
      <c r="C61" s="115"/>
      <c r="S61" s="115"/>
      <c r="T61" s="115"/>
      <c r="U61" s="115"/>
      <c r="V61" s="115"/>
      <c r="W61" s="115"/>
      <c r="X61" s="115"/>
    </row>
    <row r="62" spans="2:24" x14ac:dyDescent="0.25">
      <c r="B62" s="115"/>
      <c r="C62" s="115"/>
      <c r="S62" s="115"/>
      <c r="T62" s="115"/>
      <c r="U62" s="115"/>
      <c r="V62" s="115"/>
      <c r="W62" s="115"/>
      <c r="X62" s="115"/>
    </row>
    <row r="63" spans="2:24" x14ac:dyDescent="0.25">
      <c r="B63" s="115"/>
      <c r="C63" s="115"/>
      <c r="S63" s="115"/>
      <c r="T63" s="115"/>
      <c r="U63" s="115"/>
      <c r="V63" s="115"/>
      <c r="W63" s="115"/>
      <c r="X63" s="115"/>
    </row>
    <row r="64" spans="2:24" x14ac:dyDescent="0.25">
      <c r="B64" s="115"/>
      <c r="C64" s="115"/>
      <c r="S64" s="115"/>
      <c r="T64" s="115"/>
      <c r="U64" s="115"/>
      <c r="V64" s="115"/>
      <c r="W64" s="115"/>
      <c r="X64" s="115"/>
    </row>
    <row r="65" spans="2:24" x14ac:dyDescent="0.25">
      <c r="B65" s="115"/>
      <c r="C65" s="115"/>
      <c r="S65" s="115"/>
      <c r="T65" s="115"/>
      <c r="U65" s="115"/>
      <c r="V65" s="115"/>
      <c r="W65" s="115"/>
      <c r="X65" s="115"/>
    </row>
    <row r="66" spans="2:24" ht="15" customHeight="1" thickBot="1" x14ac:dyDescent="0.3">
      <c r="B66" s="115"/>
      <c r="C66" s="115"/>
      <c r="D66" s="82" t="s">
        <v>233</v>
      </c>
      <c r="E66" s="83"/>
      <c r="F66" s="83"/>
      <c r="G66" s="83"/>
      <c r="H66" s="83"/>
      <c r="I66" s="83"/>
      <c r="J66" s="83"/>
      <c r="K66" s="83"/>
      <c r="L66" s="83"/>
      <c r="M66" s="83"/>
      <c r="N66" s="83"/>
      <c r="O66" s="83"/>
      <c r="P66" s="83"/>
      <c r="Q66" s="83"/>
      <c r="R66" s="84"/>
      <c r="S66" s="115"/>
      <c r="T66" s="115"/>
      <c r="U66" s="115"/>
      <c r="V66" s="115"/>
      <c r="W66" s="115"/>
      <c r="X66" s="115"/>
    </row>
    <row r="67" spans="2:24" ht="5.0999999999999996" customHeight="1" x14ac:dyDescent="0.25">
      <c r="B67" s="115"/>
      <c r="C67" s="115"/>
      <c r="D67" s="81"/>
      <c r="E67" s="81"/>
      <c r="F67" s="81"/>
      <c r="G67" s="81"/>
      <c r="H67" s="81"/>
      <c r="I67" s="81"/>
      <c r="J67" s="81"/>
      <c r="K67" s="81"/>
      <c r="L67" s="81"/>
      <c r="M67" s="81"/>
      <c r="N67" s="81"/>
      <c r="O67" s="81"/>
      <c r="P67" s="81"/>
      <c r="Q67" s="81"/>
      <c r="R67" s="81"/>
      <c r="S67" s="115"/>
      <c r="T67" s="115"/>
      <c r="U67" s="115"/>
      <c r="V67" s="115"/>
      <c r="W67" s="115"/>
      <c r="X67" s="115"/>
    </row>
    <row r="68" spans="2:24" ht="15" customHeight="1" x14ac:dyDescent="0.25">
      <c r="B68" s="115"/>
      <c r="C68" s="115"/>
      <c r="D68" s="125" t="s">
        <v>232</v>
      </c>
      <c r="E68" s="125"/>
      <c r="F68" s="125"/>
      <c r="G68" s="125"/>
      <c r="H68" s="125"/>
      <c r="I68" s="125"/>
      <c r="J68" s="125"/>
      <c r="K68" s="125"/>
      <c r="L68" s="125"/>
      <c r="M68" s="125"/>
      <c r="N68" s="125"/>
      <c r="O68" s="125"/>
      <c r="P68" s="125"/>
      <c r="Q68" s="125"/>
      <c r="R68" s="125"/>
      <c r="S68" s="115"/>
      <c r="T68" s="115"/>
      <c r="U68" s="115"/>
      <c r="V68" s="115"/>
      <c r="W68" s="115"/>
      <c r="X68" s="115"/>
    </row>
    <row r="69" spans="2:24" x14ac:dyDescent="0.25">
      <c r="B69" s="115"/>
      <c r="C69" s="115"/>
      <c r="D69" s="125"/>
      <c r="E69" s="125"/>
      <c r="F69" s="125"/>
      <c r="G69" s="125"/>
      <c r="H69" s="125"/>
      <c r="I69" s="125"/>
      <c r="J69" s="125"/>
      <c r="K69" s="125"/>
      <c r="L69" s="125"/>
      <c r="M69" s="125"/>
      <c r="N69" s="125"/>
      <c r="O69" s="125"/>
      <c r="P69" s="125"/>
      <c r="Q69" s="125"/>
      <c r="R69" s="125"/>
      <c r="S69" s="115"/>
      <c r="T69" s="115"/>
      <c r="U69" s="115"/>
      <c r="V69" s="115"/>
      <c r="W69" s="115"/>
      <c r="X69" s="115"/>
    </row>
    <row r="70" spans="2:24" x14ac:dyDescent="0.25">
      <c r="B70" s="115"/>
      <c r="C70" s="115"/>
      <c r="D70" s="125"/>
      <c r="E70" s="125"/>
      <c r="F70" s="125"/>
      <c r="G70" s="125"/>
      <c r="H70" s="125"/>
      <c r="I70" s="125"/>
      <c r="J70" s="125"/>
      <c r="K70" s="125"/>
      <c r="L70" s="125"/>
      <c r="M70" s="125"/>
      <c r="N70" s="125"/>
      <c r="O70" s="125"/>
      <c r="P70" s="125"/>
      <c r="Q70" s="125"/>
      <c r="R70" s="125"/>
      <c r="S70" s="115"/>
      <c r="T70" s="115"/>
      <c r="U70" s="115"/>
      <c r="V70" s="115"/>
      <c r="W70" s="115"/>
      <c r="X70" s="115"/>
    </row>
    <row r="71" spans="2:24" x14ac:dyDescent="0.25">
      <c r="B71" s="115"/>
      <c r="C71" s="115"/>
      <c r="D71" s="125"/>
      <c r="E71" s="125"/>
      <c r="F71" s="125"/>
      <c r="G71" s="125"/>
      <c r="H71" s="125"/>
      <c r="I71" s="125"/>
      <c r="J71" s="125"/>
      <c r="K71" s="125"/>
      <c r="L71" s="125"/>
      <c r="M71" s="125"/>
      <c r="N71" s="125"/>
      <c r="O71" s="125"/>
      <c r="P71" s="125"/>
      <c r="Q71" s="125"/>
      <c r="R71" s="125"/>
      <c r="S71" s="115"/>
      <c r="T71" s="115"/>
      <c r="U71" s="115"/>
      <c r="V71" s="115"/>
      <c r="W71" s="115"/>
      <c r="X71" s="115"/>
    </row>
    <row r="72" spans="2:24" x14ac:dyDescent="0.25">
      <c r="B72" s="115"/>
      <c r="C72" s="115"/>
      <c r="D72" s="125"/>
      <c r="E72" s="125"/>
      <c r="F72" s="125"/>
      <c r="G72" s="125"/>
      <c r="H72" s="125"/>
      <c r="I72" s="125"/>
      <c r="J72" s="125"/>
      <c r="K72" s="125"/>
      <c r="L72" s="125"/>
      <c r="M72" s="125"/>
      <c r="N72" s="125"/>
      <c r="O72" s="125"/>
      <c r="P72" s="125"/>
      <c r="Q72" s="125"/>
      <c r="R72" s="125"/>
      <c r="S72" s="115"/>
      <c r="T72" s="115"/>
      <c r="U72" s="115"/>
      <c r="V72" s="115"/>
      <c r="W72" s="115"/>
      <c r="X72" s="115"/>
    </row>
    <row r="73" spans="2:24" x14ac:dyDescent="0.25">
      <c r="B73" s="115"/>
      <c r="C73" s="115"/>
      <c r="D73" s="125"/>
      <c r="E73" s="125"/>
      <c r="F73" s="125"/>
      <c r="G73" s="125"/>
      <c r="H73" s="125"/>
      <c r="I73" s="125"/>
      <c r="J73" s="125"/>
      <c r="K73" s="125"/>
      <c r="L73" s="125"/>
      <c r="M73" s="125"/>
      <c r="N73" s="125"/>
      <c r="O73" s="125"/>
      <c r="P73" s="125"/>
      <c r="Q73" s="125"/>
      <c r="R73" s="125"/>
      <c r="S73" s="115"/>
      <c r="T73" s="115"/>
      <c r="U73" s="115"/>
      <c r="V73" s="115"/>
      <c r="W73" s="115"/>
      <c r="X73" s="115"/>
    </row>
    <row r="74" spans="2:24" x14ac:dyDescent="0.25">
      <c r="B74" s="115"/>
      <c r="C74" s="115"/>
      <c r="D74" s="125"/>
      <c r="E74" s="125"/>
      <c r="F74" s="125"/>
      <c r="G74" s="125"/>
      <c r="H74" s="125"/>
      <c r="I74" s="125"/>
      <c r="J74" s="125"/>
      <c r="K74" s="125"/>
      <c r="L74" s="125"/>
      <c r="M74" s="125"/>
      <c r="N74" s="125"/>
      <c r="O74" s="125"/>
      <c r="P74" s="125"/>
      <c r="Q74" s="125"/>
      <c r="R74" s="125"/>
      <c r="S74" s="115"/>
      <c r="T74" s="115"/>
      <c r="U74" s="115"/>
      <c r="V74" s="115"/>
      <c r="W74" s="115"/>
      <c r="X74" s="115"/>
    </row>
    <row r="75" spans="2:24" x14ac:dyDescent="0.25">
      <c r="B75" s="115"/>
      <c r="C75" s="115"/>
      <c r="D75" s="125"/>
      <c r="E75" s="125"/>
      <c r="F75" s="125"/>
      <c r="G75" s="125"/>
      <c r="H75" s="125"/>
      <c r="I75" s="125"/>
      <c r="J75" s="125"/>
      <c r="K75" s="125"/>
      <c r="L75" s="125"/>
      <c r="M75" s="125"/>
      <c r="N75" s="125"/>
      <c r="O75" s="125"/>
      <c r="P75" s="125"/>
      <c r="Q75" s="125"/>
      <c r="R75" s="125"/>
      <c r="S75" s="115"/>
      <c r="T75" s="115"/>
      <c r="U75" s="115"/>
      <c r="V75" s="115"/>
      <c r="W75" s="115"/>
      <c r="X75" s="115"/>
    </row>
    <row r="76" spans="2:24" x14ac:dyDescent="0.25">
      <c r="B76" s="115"/>
      <c r="C76" s="115"/>
      <c r="D76" s="125"/>
      <c r="E76" s="125"/>
      <c r="F76" s="125"/>
      <c r="G76" s="125"/>
      <c r="H76" s="125"/>
      <c r="I76" s="125"/>
      <c r="J76" s="125"/>
      <c r="K76" s="125"/>
      <c r="L76" s="125"/>
      <c r="M76" s="125"/>
      <c r="N76" s="125"/>
      <c r="O76" s="125"/>
      <c r="P76" s="125"/>
      <c r="Q76" s="125"/>
      <c r="R76" s="125"/>
      <c r="S76" s="115"/>
      <c r="T76" s="115"/>
      <c r="U76" s="115"/>
      <c r="V76" s="115"/>
      <c r="W76" s="115"/>
      <c r="X76" s="115"/>
    </row>
    <row r="77" spans="2:24" x14ac:dyDescent="0.25">
      <c r="B77" s="115"/>
      <c r="C77" s="115"/>
      <c r="D77" s="125"/>
      <c r="E77" s="125"/>
      <c r="F77" s="125"/>
      <c r="G77" s="125"/>
      <c r="H77" s="125"/>
      <c r="I77" s="125"/>
      <c r="J77" s="125"/>
      <c r="K77" s="125"/>
      <c r="L77" s="125"/>
      <c r="M77" s="125"/>
      <c r="N77" s="125"/>
      <c r="O77" s="125"/>
      <c r="P77" s="125"/>
      <c r="Q77" s="125"/>
      <c r="R77" s="125"/>
      <c r="S77" s="115"/>
      <c r="T77" s="115"/>
      <c r="U77" s="115"/>
      <c r="V77" s="115"/>
      <c r="W77" s="115"/>
      <c r="X77" s="115"/>
    </row>
    <row r="78" spans="2:24" x14ac:dyDescent="0.25">
      <c r="B78" s="115"/>
      <c r="C78" s="115"/>
      <c r="D78" s="125"/>
      <c r="E78" s="125"/>
      <c r="F78" s="125"/>
      <c r="G78" s="125"/>
      <c r="H78" s="125"/>
      <c r="I78" s="125"/>
      <c r="J78" s="125"/>
      <c r="K78" s="125"/>
      <c r="L78" s="125"/>
      <c r="M78" s="125"/>
      <c r="N78" s="125"/>
      <c r="O78" s="125"/>
      <c r="P78" s="125"/>
      <c r="Q78" s="125"/>
      <c r="R78" s="125"/>
      <c r="S78" s="115"/>
      <c r="T78" s="115"/>
      <c r="U78" s="115"/>
      <c r="V78" s="115"/>
      <c r="W78" s="115"/>
      <c r="X78" s="115"/>
    </row>
    <row r="79" spans="2:24" x14ac:dyDescent="0.25">
      <c r="B79" s="115"/>
      <c r="C79" s="115"/>
      <c r="D79" s="125"/>
      <c r="E79" s="125"/>
      <c r="F79" s="125"/>
      <c r="G79" s="125"/>
      <c r="H79" s="125"/>
      <c r="I79" s="125"/>
      <c r="J79" s="125"/>
      <c r="K79" s="125"/>
      <c r="L79" s="125"/>
      <c r="M79" s="125"/>
      <c r="N79" s="125"/>
      <c r="O79" s="125"/>
      <c r="P79" s="125"/>
      <c r="Q79" s="125"/>
      <c r="R79" s="125"/>
      <c r="S79" s="115"/>
      <c r="T79" s="115"/>
      <c r="U79" s="115"/>
      <c r="V79" s="115"/>
      <c r="W79" s="115"/>
      <c r="X79" s="115"/>
    </row>
    <row r="80" spans="2:24" x14ac:dyDescent="0.25">
      <c r="B80" s="115"/>
      <c r="C80" s="115"/>
      <c r="D80" s="125"/>
      <c r="E80" s="125"/>
      <c r="F80" s="125"/>
      <c r="G80" s="125"/>
      <c r="H80" s="125"/>
      <c r="I80" s="125"/>
      <c r="J80" s="125"/>
      <c r="K80" s="125"/>
      <c r="L80" s="125"/>
      <c r="M80" s="125"/>
      <c r="N80" s="125"/>
      <c r="O80" s="125"/>
      <c r="P80" s="125"/>
      <c r="Q80" s="125"/>
      <c r="R80" s="125"/>
      <c r="S80" s="115"/>
      <c r="T80" s="115"/>
      <c r="U80" s="115"/>
      <c r="V80" s="115"/>
      <c r="W80" s="115"/>
      <c r="X80" s="115"/>
    </row>
    <row r="81" spans="2:24" x14ac:dyDescent="0.25">
      <c r="B81" s="115"/>
      <c r="C81" s="115"/>
      <c r="D81" s="125"/>
      <c r="E81" s="125"/>
      <c r="F81" s="125"/>
      <c r="G81" s="125"/>
      <c r="H81" s="125"/>
      <c r="I81" s="125"/>
      <c r="J81" s="125"/>
      <c r="K81" s="125"/>
      <c r="L81" s="125"/>
      <c r="M81" s="125"/>
      <c r="N81" s="125"/>
      <c r="O81" s="125"/>
      <c r="P81" s="125"/>
      <c r="Q81" s="125"/>
      <c r="R81" s="125"/>
      <c r="S81" s="115"/>
      <c r="T81" s="115"/>
      <c r="U81" s="115"/>
      <c r="V81" s="115"/>
      <c r="W81" s="115"/>
      <c r="X81" s="115"/>
    </row>
    <row r="82" spans="2:24" x14ac:dyDescent="0.25">
      <c r="B82" s="123"/>
      <c r="C82" s="115"/>
      <c r="D82" s="122"/>
      <c r="E82" s="115"/>
      <c r="F82" s="115"/>
      <c r="G82" s="115"/>
      <c r="H82" s="115"/>
      <c r="I82" s="115"/>
      <c r="J82" s="115"/>
      <c r="K82" s="115"/>
      <c r="L82" s="115"/>
      <c r="M82" s="115"/>
      <c r="N82" s="115"/>
      <c r="O82" s="115"/>
      <c r="P82" s="115"/>
      <c r="Q82" s="115"/>
      <c r="R82" s="115"/>
      <c r="S82" s="124"/>
      <c r="T82" s="115"/>
      <c r="U82" s="115"/>
      <c r="V82" s="115"/>
      <c r="W82" s="115"/>
      <c r="X82" s="115"/>
    </row>
    <row r="83" spans="2:24" x14ac:dyDescent="0.25">
      <c r="B83" s="115"/>
      <c r="C83" s="115"/>
      <c r="D83" s="115"/>
      <c r="E83" s="115"/>
      <c r="F83" s="115"/>
      <c r="G83" s="115"/>
      <c r="H83" s="115"/>
      <c r="I83" s="115"/>
      <c r="J83" s="115"/>
      <c r="K83" s="115"/>
      <c r="L83" s="115"/>
      <c r="M83" s="115"/>
      <c r="N83" s="115"/>
      <c r="O83" s="115"/>
      <c r="P83" s="115"/>
      <c r="Q83" s="115"/>
      <c r="R83" s="115"/>
      <c r="S83" s="115"/>
      <c r="T83" s="115"/>
      <c r="U83" s="115"/>
      <c r="V83" s="115"/>
      <c r="W83" s="115"/>
      <c r="X83" s="115"/>
    </row>
    <row r="84" spans="2:24" x14ac:dyDescent="0.25">
      <c r="B84" s="115"/>
      <c r="C84" s="115"/>
      <c r="D84" s="115"/>
      <c r="E84" s="115"/>
      <c r="F84" s="115"/>
      <c r="G84" s="115"/>
      <c r="H84" s="115"/>
      <c r="I84" s="115"/>
      <c r="J84" s="115"/>
      <c r="K84" s="115"/>
      <c r="L84" s="115"/>
      <c r="M84" s="115"/>
      <c r="N84" s="115"/>
      <c r="O84" s="115"/>
      <c r="P84" s="115"/>
      <c r="Q84" s="115"/>
      <c r="R84" s="115"/>
      <c r="S84" s="115"/>
      <c r="T84" s="115"/>
      <c r="U84" s="115"/>
      <c r="V84" s="115"/>
      <c r="W84" s="115"/>
      <c r="X84" s="115"/>
    </row>
    <row r="85" spans="2:24" x14ac:dyDescent="0.25">
      <c r="B85" s="115"/>
      <c r="C85" s="115"/>
      <c r="D85" s="115"/>
      <c r="E85" s="115"/>
      <c r="F85" s="115"/>
      <c r="G85" s="115"/>
      <c r="H85" s="115"/>
      <c r="I85" s="115"/>
      <c r="J85" s="115"/>
      <c r="K85" s="115"/>
      <c r="L85" s="115"/>
      <c r="M85" s="115"/>
      <c r="N85" s="115"/>
      <c r="O85" s="115"/>
      <c r="P85" s="115"/>
      <c r="Q85" s="115"/>
      <c r="R85" s="115"/>
      <c r="S85" s="115"/>
      <c r="T85" s="115"/>
      <c r="U85" s="115"/>
      <c r="V85" s="115"/>
      <c r="W85" s="115"/>
      <c r="X85" s="115"/>
    </row>
    <row r="86" spans="2:24" x14ac:dyDescent="0.25">
      <c r="B86" s="117"/>
      <c r="C86" s="115"/>
      <c r="D86" s="115"/>
      <c r="E86" s="115"/>
      <c r="F86" s="115"/>
      <c r="G86" s="115"/>
      <c r="H86" s="115"/>
      <c r="I86" s="115"/>
      <c r="J86" s="115"/>
      <c r="K86" s="115"/>
      <c r="L86" s="115"/>
      <c r="M86" s="115"/>
      <c r="N86" s="115"/>
      <c r="O86" s="115"/>
      <c r="P86" s="115"/>
      <c r="Q86" s="115"/>
      <c r="R86" s="115"/>
      <c r="S86" s="115"/>
      <c r="T86" s="115"/>
      <c r="U86" s="114"/>
      <c r="V86" s="115"/>
      <c r="W86" s="115"/>
      <c r="X86" s="115"/>
    </row>
    <row r="87" spans="2:24" x14ac:dyDescent="0.25">
      <c r="B87" s="115"/>
      <c r="C87" s="115"/>
      <c r="D87" s="115"/>
      <c r="E87" s="115"/>
      <c r="F87" s="115"/>
      <c r="G87" s="115"/>
      <c r="H87" s="115"/>
      <c r="I87" s="115"/>
      <c r="J87" s="115"/>
      <c r="K87" s="115"/>
      <c r="L87" s="115"/>
      <c r="M87" s="115"/>
      <c r="N87" s="115"/>
      <c r="O87" s="115"/>
      <c r="P87" s="115"/>
      <c r="Q87" s="115"/>
      <c r="R87" s="115"/>
      <c r="S87" s="115"/>
      <c r="T87" s="115"/>
      <c r="U87" s="115"/>
      <c r="V87" s="115"/>
      <c r="W87" s="115"/>
      <c r="X87" s="115"/>
    </row>
    <row r="88" spans="2:24" x14ac:dyDescent="0.25">
      <c r="B88" s="115"/>
      <c r="C88" s="115"/>
      <c r="D88" s="115"/>
      <c r="E88" s="115"/>
      <c r="F88" s="115"/>
      <c r="G88" s="115"/>
      <c r="H88" s="115"/>
      <c r="I88" s="115"/>
      <c r="J88" s="115"/>
      <c r="K88" s="115"/>
      <c r="L88" s="115"/>
      <c r="M88" s="115"/>
      <c r="N88" s="115"/>
      <c r="O88" s="115"/>
      <c r="P88" s="115"/>
      <c r="Q88" s="115"/>
      <c r="R88" s="115"/>
      <c r="S88" s="115"/>
      <c r="T88" s="115"/>
      <c r="U88" s="115"/>
      <c r="V88" s="115"/>
      <c r="W88" s="115"/>
      <c r="X88" s="115"/>
    </row>
    <row r="89" spans="2:24" x14ac:dyDescent="0.25">
      <c r="B89" s="115"/>
      <c r="C89" s="115"/>
      <c r="D89" s="115"/>
      <c r="E89" s="115"/>
      <c r="F89" s="115"/>
      <c r="G89" s="115"/>
      <c r="H89" s="115"/>
      <c r="I89" s="115"/>
      <c r="J89" s="115"/>
      <c r="K89" s="115"/>
      <c r="L89" s="115"/>
      <c r="M89" s="115"/>
      <c r="N89" s="115"/>
      <c r="O89" s="115"/>
      <c r="P89" s="115"/>
      <c r="Q89" s="115"/>
      <c r="R89" s="115"/>
      <c r="S89" s="115"/>
      <c r="T89" s="115"/>
      <c r="U89" s="115"/>
      <c r="V89" s="115"/>
      <c r="W89" s="115"/>
      <c r="X89" s="115"/>
    </row>
    <row r="90" spans="2:24" x14ac:dyDescent="0.25">
      <c r="B90" s="115"/>
      <c r="C90" s="115"/>
      <c r="D90" s="115"/>
      <c r="E90" s="115"/>
      <c r="F90" s="115"/>
      <c r="G90" s="115"/>
      <c r="H90" s="115"/>
      <c r="I90" s="115"/>
      <c r="J90" s="115"/>
      <c r="K90" s="115"/>
      <c r="L90" s="115"/>
      <c r="M90" s="115"/>
      <c r="N90" s="115"/>
      <c r="O90" s="115"/>
      <c r="P90" s="115"/>
      <c r="Q90" s="115"/>
      <c r="R90" s="115"/>
      <c r="S90" s="115"/>
      <c r="T90" s="115"/>
      <c r="U90" s="115"/>
      <c r="V90" s="115"/>
      <c r="W90" s="115"/>
      <c r="X90" s="115"/>
    </row>
    <row r="91" spans="2:24" x14ac:dyDescent="0.25">
      <c r="B91" s="115"/>
      <c r="C91" s="115"/>
      <c r="D91" s="115"/>
      <c r="E91" s="115"/>
      <c r="F91" s="115"/>
      <c r="G91" s="115"/>
      <c r="H91" s="115"/>
      <c r="I91" s="115"/>
      <c r="J91" s="115"/>
      <c r="K91" s="115"/>
      <c r="L91" s="115"/>
      <c r="M91" s="115"/>
      <c r="N91" s="115"/>
      <c r="O91" s="115"/>
      <c r="P91" s="115"/>
      <c r="Q91" s="115"/>
      <c r="R91" s="115"/>
      <c r="S91" s="115"/>
      <c r="T91" s="115"/>
      <c r="U91" s="115"/>
      <c r="V91" s="115"/>
      <c r="W91" s="115"/>
      <c r="X91" s="115"/>
    </row>
    <row r="92" spans="2:24" x14ac:dyDescent="0.25">
      <c r="B92" s="115"/>
      <c r="C92" s="115"/>
      <c r="D92" s="115"/>
      <c r="E92" s="115"/>
      <c r="F92" s="115"/>
      <c r="G92" s="115"/>
      <c r="H92" s="115"/>
      <c r="I92" s="115"/>
      <c r="J92" s="115"/>
      <c r="K92" s="115"/>
      <c r="L92" s="115"/>
      <c r="M92" s="115"/>
      <c r="N92" s="115"/>
      <c r="O92" s="115"/>
      <c r="P92" s="115"/>
      <c r="Q92" s="115"/>
      <c r="R92" s="115"/>
      <c r="S92" s="115"/>
      <c r="T92" s="115"/>
      <c r="U92" s="115"/>
      <c r="V92" s="115"/>
      <c r="W92" s="115"/>
      <c r="X92" s="115"/>
    </row>
    <row r="93" spans="2:24" x14ac:dyDescent="0.25">
      <c r="B93" s="115"/>
      <c r="C93" s="115"/>
      <c r="D93" s="115"/>
      <c r="E93" s="115"/>
      <c r="F93" s="115"/>
      <c r="G93" s="115"/>
      <c r="H93" s="115"/>
      <c r="I93" s="115"/>
      <c r="J93" s="115"/>
      <c r="K93" s="115"/>
      <c r="L93" s="115"/>
      <c r="M93" s="115"/>
      <c r="N93" s="115"/>
      <c r="O93" s="115"/>
      <c r="P93" s="115"/>
      <c r="Q93" s="115"/>
      <c r="R93" s="115"/>
      <c r="S93" s="115"/>
      <c r="T93" s="115"/>
      <c r="U93" s="115"/>
      <c r="V93" s="115"/>
      <c r="W93" s="115"/>
      <c r="X93" s="115"/>
    </row>
    <row r="94" spans="2:24" x14ac:dyDescent="0.25">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sheetData>
  <mergeCells count="13">
    <mergeCell ref="U86:X94"/>
    <mergeCell ref="U6:X85"/>
    <mergeCell ref="B86:T94"/>
    <mergeCell ref="B10:C81"/>
    <mergeCell ref="S10:T81"/>
    <mergeCell ref="D10:R14"/>
    <mergeCell ref="D6:R9"/>
    <mergeCell ref="B6:C9"/>
    <mergeCell ref="S6:T9"/>
    <mergeCell ref="D82:R85"/>
    <mergeCell ref="B82:C85"/>
    <mergeCell ref="S82:T85"/>
    <mergeCell ref="D68:R8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8</vt:i4>
      </vt:variant>
    </vt:vector>
  </HeadingPairs>
  <TitlesOfParts>
    <vt:vector size="12" baseType="lpstr">
      <vt:lpstr>Zeros and Discounts</vt:lpstr>
      <vt:lpstr>Data</vt:lpstr>
      <vt:lpstr>Generate Schedule</vt:lpstr>
      <vt:lpstr>Help</vt:lpstr>
      <vt:lpstr>discounts</vt:lpstr>
      <vt:lpstr>HLPBRD_IB</vt:lpstr>
      <vt:lpstr>HLPBRD_IR</vt:lpstr>
      <vt:lpstr>HLPBRD_OBR</vt:lpstr>
      <vt:lpstr>maturities</vt:lpstr>
      <vt:lpstr>SortMaturity</vt:lpstr>
      <vt:lpstr>SortRange</vt:lpstr>
      <vt:lpstr>zeros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 Jorge</dc:creator>
  <cp:lastModifiedBy>Fernando Suarez B.</cp:lastModifiedBy>
  <cp:lastPrinted>2009-05-28T17:08:17Z</cp:lastPrinted>
  <dcterms:created xsi:type="dcterms:W3CDTF">2009-05-22T15:40:59Z</dcterms:created>
  <dcterms:modified xsi:type="dcterms:W3CDTF">2018-12-19T16:42:02Z</dcterms:modified>
</cp:coreProperties>
</file>
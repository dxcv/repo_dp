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029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L:\Rates &amp; FX\DPP\master\"/>
    </mc:Choice>
  </mc:AlternateContent>
  <xr:revisionPtr revIDLastSave="0" documentId="13_ncr:1_{2B3F1A32-A8DF-4080-A49B-D9C576ABF128}" xr6:coauthVersionLast="40" xr6:coauthVersionMax="40" xr10:uidLastSave="{00000000-0000-0000-0000-000000000000}"/>
  <bookViews>
    <workbookView xWindow="0" yWindow="0" windowWidth="28800" windowHeight="12750" activeTab="5" xr2:uid="{00000000-000D-0000-FFFF-FFFF00000000}"/>
  </bookViews>
  <sheets>
    <sheet name="interpola" sheetId="1" r:id="rId1"/>
    <sheet name="Duracion" sheetId="2" r:id="rId2"/>
    <sheet name="BCU" sheetId="3" r:id="rId3"/>
    <sheet name="TIR" sheetId="4" r:id="rId4"/>
    <sheet name="Datos" sheetId="5" r:id="rId5"/>
    <sheet name="Hoja2" sheetId="7" r:id="rId6"/>
    <sheet name="Holidays" sheetId="8" r:id="rId7"/>
  </sheets>
  <functionGroups builtInGroupCount="19"/>
  <externalReferences>
    <externalReference r:id="rId8"/>
    <externalReference r:id="rId9"/>
  </externalReferences>
  <definedNames>
    <definedName name="AccessDatabase" hidden="1">"D:\Edson\VaR\VaR_UBB\VaR_UBB_UAM\Carrega_Carteiras_2.mdb"</definedName>
    <definedName name="BRL_PNL">[1]PNL_Trades!$J$119</definedName>
    <definedName name="CAMARA_PNL">[1]PNL_Trades!$J$123</definedName>
    <definedName name="CDI_PNL">[1]PNL_Trades!$J$127</definedName>
    <definedName name="CLP_PNL">[1]PNL_Trades!$J$120</definedName>
    <definedName name="CPI_PNL">[1]PNL_Trades!$J$125</definedName>
    <definedName name="FER">#REF!</definedName>
    <definedName name="Feriado_BZ">[1]Aux!$L$2:$L$937</definedName>
    <definedName name="Feriado_CL">[1]Aux!$J$2:$J$227</definedName>
    <definedName name="Feriado_CL_US">[1]Aux!$I$2:$J$227</definedName>
    <definedName name="Feriado_MX">[1]Aux!$K$2:$K$137</definedName>
    <definedName name="Feriado_MX_US">[1]Aux!$K$2:$K$137,[1]Aux!$I$2:$I$227</definedName>
    <definedName name="Fwd">[2]Option!$B$6</definedName>
    <definedName name="IDI_PNL">[1]PNL_Trades!$J$126</definedName>
    <definedName name="MULT_RATIO">[1]PNL_Trades!$L$137</definedName>
    <definedName name="MXN_PNL">[1]PNL_Trades!$J$121</definedName>
    <definedName name="PL_MULT">[1]PNL_Trades!$J$137</definedName>
    <definedName name="PL_REF_MACRO">[1]PNL_Trades!$J$147</definedName>
    <definedName name="plmult">[2]Option!$O$3</definedName>
    <definedName name="PosicionDatos">Datos!$I$19</definedName>
    <definedName name="propmoff">[2]Option!$O$1</definedName>
    <definedName name="ptax">[2]Option!$O$2</definedName>
    <definedName name="spot">[2]Option!$B$5</definedName>
    <definedName name="TIEE_PNL">[1]PNL_Trades!$J$122</definedName>
    <definedName name="UF_PNL">[1]PNL_Trades!$J$124</definedName>
    <definedName name="x">[2]Option!$O$4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N27" i="7" l="1"/>
  <c r="AN26" i="7"/>
  <c r="AN25" i="7"/>
  <c r="AN24" i="7"/>
  <c r="AN23" i="7"/>
  <c r="AN22" i="7"/>
  <c r="AN21" i="7"/>
  <c r="AN20" i="7"/>
  <c r="AN15" i="7"/>
  <c r="AN16" i="7"/>
  <c r="AN17" i="7"/>
  <c r="AN18" i="7"/>
  <c r="AN19" i="7"/>
  <c r="AN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14" i="7"/>
  <c r="H2" i="7"/>
  <c r="I2" i="7" s="1"/>
  <c r="A2" i="8"/>
  <c r="A1" i="8"/>
  <c r="A17" i="7"/>
  <c r="A26" i="7"/>
  <c r="A19" i="7"/>
  <c r="A27" i="7"/>
  <c r="A35" i="7"/>
  <c r="A20" i="7"/>
  <c r="A28" i="7"/>
  <c r="A21" i="7"/>
  <c r="A29" i="7"/>
  <c r="A30" i="7"/>
  <c r="A18" i="7"/>
  <c r="A22" i="7"/>
  <c r="A23" i="7"/>
  <c r="A31" i="7"/>
  <c r="A24" i="7"/>
  <c r="A32" i="7"/>
  <c r="A25" i="7"/>
  <c r="A33" i="7"/>
  <c r="A34" i="7"/>
  <c r="A15" i="7"/>
  <c r="A14" i="7"/>
  <c r="A16" i="7"/>
  <c r="C6" i="8"/>
  <c r="H3" i="7" l="1"/>
  <c r="G69" i="7"/>
  <c r="F69" i="7"/>
  <c r="C69" i="7"/>
  <c r="B69" i="7"/>
  <c r="AQ56" i="7"/>
  <c r="H4" i="7" l="1"/>
  <c r="I3" i="7"/>
  <c r="E64" i="7"/>
  <c r="AQ55" i="7"/>
  <c r="H5" i="7" l="1"/>
  <c r="I4" i="7"/>
  <c r="E62" i="7"/>
  <c r="E63" i="7"/>
  <c r="AQ54" i="7"/>
  <c r="H6" i="7" l="1"/>
  <c r="I5" i="7"/>
  <c r="E60" i="7"/>
  <c r="E61" i="7"/>
  <c r="AQ53" i="7"/>
  <c r="H7" i="7" l="1"/>
  <c r="I6" i="7"/>
  <c r="E58" i="7"/>
  <c r="E59" i="7"/>
  <c r="AQ52" i="7"/>
  <c r="H8" i="7" l="1"/>
  <c r="I7" i="7"/>
  <c r="E56" i="7"/>
  <c r="E57" i="7"/>
  <c r="AQ51" i="7"/>
  <c r="H9" i="7" l="1"/>
  <c r="I9" i="7" s="1"/>
  <c r="I8" i="7"/>
  <c r="E54" i="7"/>
  <c r="E55" i="7"/>
  <c r="AQ50" i="7"/>
  <c r="E52" i="7" l="1"/>
  <c r="E53" i="7"/>
  <c r="AQ49" i="7"/>
  <c r="E50" i="7" l="1"/>
  <c r="E51" i="7"/>
  <c r="AQ48" i="7"/>
  <c r="E48" i="7"/>
  <c r="E49" i="7"/>
  <c r="AQ47" i="7"/>
  <c r="AP47" i="7"/>
  <c r="E47" i="7"/>
  <c r="D47" i="7" s="1"/>
  <c r="AQ46" i="7"/>
  <c r="AP46" i="7" l="1"/>
  <c r="E46" i="7"/>
  <c r="D46" i="7" s="1"/>
  <c r="AQ45" i="7"/>
  <c r="AP45" i="7" l="1"/>
  <c r="E45" i="7"/>
  <c r="D45" i="7" s="1"/>
  <c r="AQ44" i="7"/>
  <c r="AP44" i="7" l="1"/>
  <c r="E44" i="7"/>
  <c r="D44" i="7" s="1"/>
  <c r="AQ43" i="7"/>
  <c r="AP43" i="7" l="1"/>
  <c r="AP48" i="7"/>
  <c r="AP49" i="7"/>
  <c r="AP50" i="7"/>
  <c r="AP51" i="7"/>
  <c r="AP52" i="7"/>
  <c r="AP53" i="7"/>
  <c r="AP54" i="7"/>
  <c r="AP55" i="7"/>
  <c r="AP56" i="7"/>
  <c r="D64" i="7" l="1"/>
  <c r="D62" i="7"/>
  <c r="D60" i="7"/>
  <c r="D58" i="7"/>
  <c r="D56" i="7"/>
  <c r="D54" i="7"/>
  <c r="D52" i="7"/>
  <c r="D50" i="7"/>
  <c r="D48" i="7"/>
  <c r="AG43" i="7"/>
  <c r="E43" i="7"/>
  <c r="D43" i="7" s="1"/>
  <c r="AH41" i="7" l="1"/>
  <c r="AH43" i="7" s="1"/>
  <c r="AR27" i="7"/>
  <c r="AQ27" i="7"/>
  <c r="E35" i="7" l="1"/>
  <c r="AR26" i="7"/>
  <c r="AQ26" i="7"/>
  <c r="E82" i="7" l="1"/>
  <c r="E33" i="7"/>
  <c r="E34" i="7"/>
  <c r="AR25" i="7"/>
  <c r="AQ25" i="7"/>
  <c r="E81" i="7" l="1"/>
  <c r="E31" i="7"/>
  <c r="E32" i="7"/>
  <c r="AR24" i="7" l="1"/>
  <c r="AQ24" i="7"/>
  <c r="E80" i="7" l="1"/>
  <c r="E29" i="7"/>
  <c r="E30" i="7"/>
  <c r="AR23" i="7"/>
  <c r="AQ23" i="7"/>
  <c r="E79" i="7" l="1"/>
  <c r="E27" i="7"/>
  <c r="E28" i="7"/>
  <c r="AR22" i="7" l="1"/>
  <c r="AQ22" i="7"/>
  <c r="E78" i="7" l="1"/>
  <c r="E25" i="7"/>
  <c r="E26" i="7"/>
  <c r="AR21" i="7"/>
  <c r="AQ21" i="7"/>
  <c r="E77" i="7" l="1"/>
  <c r="E23" i="7"/>
  <c r="E24" i="7"/>
  <c r="AR20" i="7" l="1"/>
  <c r="AQ20" i="7"/>
  <c r="E76" i="7" l="1"/>
  <c r="E21" i="7"/>
  <c r="E22" i="7"/>
  <c r="AR19" i="7"/>
  <c r="AQ19" i="7"/>
  <c r="E75" i="7" l="1"/>
  <c r="E19" i="7"/>
  <c r="AR18" i="7"/>
  <c r="E20" i="7"/>
  <c r="AQ18" i="7"/>
  <c r="AP18" i="7" l="1"/>
  <c r="E18" i="7"/>
  <c r="E74" i="7" s="1"/>
  <c r="AR17" i="7"/>
  <c r="AQ17" i="7"/>
  <c r="D18" i="7" l="1"/>
  <c r="AP17" i="7"/>
  <c r="E17" i="7"/>
  <c r="E73" i="7" s="1"/>
  <c r="AR16" i="7"/>
  <c r="AQ16" i="7"/>
  <c r="D17" i="7" l="1"/>
  <c r="AP16" i="7"/>
  <c r="E16" i="7"/>
  <c r="E72" i="7" s="1"/>
  <c r="AQ15" i="7"/>
  <c r="D16" i="7" l="1"/>
  <c r="AP15" i="7"/>
  <c r="E15" i="7"/>
  <c r="E71" i="7" s="1"/>
  <c r="AQ14" i="7"/>
  <c r="D15" i="7" l="1"/>
  <c r="AP14" i="7"/>
  <c r="AP19" i="7"/>
  <c r="AP20" i="7"/>
  <c r="AP21" i="7"/>
  <c r="AP22" i="7"/>
  <c r="AP23" i="7"/>
  <c r="AP24" i="7"/>
  <c r="AP25" i="7"/>
  <c r="AP26" i="7"/>
  <c r="AP27" i="7"/>
  <c r="D35" i="7" l="1"/>
  <c r="D33" i="7"/>
  <c r="D31" i="7"/>
  <c r="D29" i="7"/>
  <c r="D27" i="7"/>
  <c r="D25" i="7"/>
  <c r="D23" i="7"/>
  <c r="D21" i="7"/>
  <c r="D19" i="7"/>
  <c r="E14" i="7" l="1"/>
  <c r="E70" i="7" s="1"/>
  <c r="AQ13" i="7"/>
  <c r="D14" i="7" l="1"/>
  <c r="AP13" i="7"/>
  <c r="AG13" i="7"/>
  <c r="E13" i="7"/>
  <c r="E69" i="7" s="1"/>
  <c r="D13" i="7" l="1"/>
  <c r="F13" i="7" s="1"/>
  <c r="H69" i="7"/>
  <c r="I69" i="7"/>
  <c r="AH11" i="7"/>
  <c r="C4" i="7"/>
  <c r="A13" i="7" l="1"/>
  <c r="B57" i="7"/>
  <c r="AH57" i="7" s="1"/>
  <c r="J69" i="7"/>
  <c r="AH13" i="7"/>
  <c r="G18" i="2"/>
  <c r="G19" i="2"/>
  <c r="G20" i="2"/>
  <c r="G21" i="2"/>
  <c r="G22" i="2"/>
  <c r="G23" i="2"/>
  <c r="G24" i="2"/>
  <c r="G25" i="2"/>
  <c r="G26" i="2"/>
  <c r="G27" i="2"/>
  <c r="P15" i="2"/>
  <c r="P16" i="2"/>
  <c r="P17" i="2"/>
  <c r="L12" i="3"/>
  <c r="L13" i="3"/>
  <c r="C31" i="2"/>
  <c r="B5" i="4"/>
  <c r="D3" i="3"/>
  <c r="L21" i="2"/>
  <c r="C7" i="1"/>
  <c r="B28" i="5" a="1"/>
  <c r="AH14" i="7" l="1"/>
  <c r="AH15" i="7"/>
  <c r="AH17" i="7"/>
  <c r="AH18" i="7"/>
  <c r="B44" i="7"/>
  <c r="F44" i="7" s="1"/>
  <c r="AH19" i="7"/>
  <c r="F27" i="7"/>
  <c r="B46" i="7"/>
  <c r="B47" i="7"/>
  <c r="F29" i="7"/>
  <c r="B51" i="7"/>
  <c r="AH51" i="7" s="1"/>
  <c r="B52" i="7"/>
  <c r="AH52" i="7" s="1"/>
  <c r="B59" i="7"/>
  <c r="AH59" i="7" s="1"/>
  <c r="B58" i="7"/>
  <c r="AH58" i="7" s="1"/>
  <c r="B43" i="7"/>
  <c r="F43" i="7" s="1"/>
  <c r="G44" i="7" s="1"/>
  <c r="B45" i="7"/>
  <c r="F45" i="7" s="1"/>
  <c r="B56" i="7"/>
  <c r="F56" i="7" s="1"/>
  <c r="B48" i="7"/>
  <c r="F48" i="7" s="1"/>
  <c r="B60" i="7"/>
  <c r="F60" i="7" s="1"/>
  <c r="B49" i="7"/>
  <c r="AH49" i="7" s="1"/>
  <c r="B61" i="7"/>
  <c r="AH61" i="7" s="1"/>
  <c r="B50" i="7"/>
  <c r="F50" i="7" s="1"/>
  <c r="B53" i="7"/>
  <c r="B62" i="7"/>
  <c r="F62" i="7" s="1"/>
  <c r="B54" i="7"/>
  <c r="F54" i="7" s="1"/>
  <c r="B63" i="7"/>
  <c r="AH63" i="7" s="1"/>
  <c r="B55" i="7"/>
  <c r="AH55" i="7" s="1"/>
  <c r="B64" i="7"/>
  <c r="F64" i="7" s="1"/>
  <c r="D28" i="5"/>
  <c r="B29" i="5"/>
  <c r="F29" i="5"/>
  <c r="D30" i="5"/>
  <c r="B31" i="5"/>
  <c r="F31" i="5"/>
  <c r="D32" i="5"/>
  <c r="B33" i="5"/>
  <c r="F33" i="5"/>
  <c r="D34" i="5"/>
  <c r="B35" i="5"/>
  <c r="F35" i="5"/>
  <c r="D36" i="5"/>
  <c r="B37" i="5"/>
  <c r="F37" i="5"/>
  <c r="D38" i="5"/>
  <c r="B39" i="5"/>
  <c r="F39" i="5"/>
  <c r="D40" i="5"/>
  <c r="B41" i="5"/>
  <c r="F41" i="5"/>
  <c r="D42" i="5"/>
  <c r="B43" i="5"/>
  <c r="F43" i="5"/>
  <c r="D44" i="5"/>
  <c r="B45" i="5"/>
  <c r="F45" i="5"/>
  <c r="D46" i="5"/>
  <c r="B47" i="5"/>
  <c r="F47" i="5"/>
  <c r="D48" i="5"/>
  <c r="B49" i="5"/>
  <c r="F49" i="5"/>
  <c r="D50" i="5"/>
  <c r="B51" i="5"/>
  <c r="F51" i="5"/>
  <c r="D52" i="5"/>
  <c r="B53" i="5"/>
  <c r="F53" i="5"/>
  <c r="D54" i="5"/>
  <c r="B55" i="5"/>
  <c r="F55" i="5"/>
  <c r="D56" i="5"/>
  <c r="B57" i="5"/>
  <c r="F57" i="5"/>
  <c r="C28" i="5"/>
  <c r="G28" i="5"/>
  <c r="E29" i="5"/>
  <c r="C30" i="5"/>
  <c r="G30" i="5"/>
  <c r="E31" i="5"/>
  <c r="C32" i="5"/>
  <c r="G32" i="5"/>
  <c r="E33" i="5"/>
  <c r="C34" i="5"/>
  <c r="G34" i="5"/>
  <c r="E35" i="5"/>
  <c r="C36" i="5"/>
  <c r="G36" i="5"/>
  <c r="E37" i="5"/>
  <c r="C38" i="5"/>
  <c r="G38" i="5"/>
  <c r="E39" i="5"/>
  <c r="C40" i="5"/>
  <c r="G40" i="5"/>
  <c r="E41" i="5"/>
  <c r="C42" i="5"/>
  <c r="G42" i="5"/>
  <c r="E43" i="5"/>
  <c r="C44" i="5"/>
  <c r="G44" i="5"/>
  <c r="E45" i="5"/>
  <c r="C46" i="5"/>
  <c r="G46" i="5"/>
  <c r="E47" i="5"/>
  <c r="C48" i="5"/>
  <c r="G48" i="5"/>
  <c r="E49" i="5"/>
  <c r="C50" i="5"/>
  <c r="G50" i="5"/>
  <c r="E51" i="5"/>
  <c r="C52" i="5"/>
  <c r="G52" i="5"/>
  <c r="E53" i="5"/>
  <c r="C54" i="5"/>
  <c r="G54" i="5"/>
  <c r="E55" i="5"/>
  <c r="C56" i="5"/>
  <c r="G56" i="5"/>
  <c r="E57" i="5"/>
  <c r="B28" i="5"/>
  <c r="F28" i="5"/>
  <c r="D29" i="5"/>
  <c r="B30" i="5"/>
  <c r="F30" i="5"/>
  <c r="D31" i="5"/>
  <c r="B32" i="5"/>
  <c r="F32" i="5"/>
  <c r="D33" i="5"/>
  <c r="B34" i="5"/>
  <c r="F34" i="5"/>
  <c r="D35" i="5"/>
  <c r="B36" i="5"/>
  <c r="F36" i="5"/>
  <c r="D37" i="5"/>
  <c r="B38" i="5"/>
  <c r="F38" i="5"/>
  <c r="D39" i="5"/>
  <c r="B40" i="5"/>
  <c r="F40" i="5"/>
  <c r="D41" i="5"/>
  <c r="B42" i="5"/>
  <c r="F42" i="5"/>
  <c r="D43" i="5"/>
  <c r="B44" i="5"/>
  <c r="F44" i="5"/>
  <c r="D45" i="5"/>
  <c r="B46" i="5"/>
  <c r="F46" i="5"/>
  <c r="D47" i="5"/>
  <c r="B48" i="5"/>
  <c r="F48" i="5"/>
  <c r="D49" i="5"/>
  <c r="B50" i="5"/>
  <c r="F50" i="5"/>
  <c r="D51" i="5"/>
  <c r="B52" i="5"/>
  <c r="F52" i="5"/>
  <c r="D53" i="5"/>
  <c r="B54" i="5"/>
  <c r="F54" i="5"/>
  <c r="D55" i="5"/>
  <c r="B56" i="5"/>
  <c r="F56" i="5"/>
  <c r="D57" i="5"/>
  <c r="G39" i="5"/>
  <c r="E40" i="5"/>
  <c r="C41" i="5"/>
  <c r="G41" i="5"/>
  <c r="E42" i="5"/>
  <c r="C43" i="5"/>
  <c r="G43" i="5"/>
  <c r="E44" i="5"/>
  <c r="C45" i="5"/>
  <c r="G45" i="5"/>
  <c r="C47" i="5"/>
  <c r="G47" i="5"/>
  <c r="E48" i="5"/>
  <c r="G49" i="5"/>
  <c r="E50" i="5"/>
  <c r="G51" i="5"/>
  <c r="E52" i="5"/>
  <c r="G53" i="5"/>
  <c r="E54" i="5"/>
  <c r="G55" i="5"/>
  <c r="E56" i="5"/>
  <c r="C57" i="5"/>
  <c r="E28" i="5"/>
  <c r="C29" i="5"/>
  <c r="G29" i="5"/>
  <c r="E30" i="5"/>
  <c r="C31" i="5"/>
  <c r="G31" i="5"/>
  <c r="E32" i="5"/>
  <c r="C33" i="5"/>
  <c r="G33" i="5"/>
  <c r="E34" i="5"/>
  <c r="C35" i="5"/>
  <c r="G35" i="5"/>
  <c r="E36" i="5"/>
  <c r="C37" i="5"/>
  <c r="G37" i="5"/>
  <c r="E38" i="5"/>
  <c r="C39" i="5"/>
  <c r="E46" i="5"/>
  <c r="C49" i="5"/>
  <c r="C51" i="5"/>
  <c r="C53" i="5"/>
  <c r="C55" i="5"/>
  <c r="G57" i="5"/>
  <c r="B6" i="4"/>
  <c r="D20" i="7"/>
  <c r="D28" i="7"/>
  <c r="D26" i="7"/>
  <c r="D30" i="7"/>
  <c r="D24" i="7"/>
  <c r="D22" i="7"/>
  <c r="D57" i="7"/>
  <c r="D51" i="7"/>
  <c r="D32" i="7"/>
  <c r="D34" i="7"/>
  <c r="D49" i="7"/>
  <c r="D59" i="7"/>
  <c r="D53" i="7"/>
  <c r="D61" i="7"/>
  <c r="D63" i="7"/>
  <c r="D55" i="7"/>
  <c r="F17" i="7" l="1"/>
  <c r="F18" i="7"/>
  <c r="F14" i="7"/>
  <c r="G29" i="7" s="1"/>
  <c r="H45" i="7"/>
  <c r="F19" i="7"/>
  <c r="K27" i="7" s="1"/>
  <c r="AH20" i="7"/>
  <c r="AH21" i="7" s="1"/>
  <c r="AH22" i="7" s="1"/>
  <c r="AH23" i="7" s="1"/>
  <c r="AH24" i="7" s="1"/>
  <c r="AH25" i="7" s="1"/>
  <c r="AH26" i="7" s="1"/>
  <c r="AH27" i="7" s="1"/>
  <c r="AH28" i="7" s="1"/>
  <c r="AH29" i="7" s="1"/>
  <c r="AH30" i="7" s="1"/>
  <c r="AH31" i="7" s="1"/>
  <c r="AH32" i="7" s="1"/>
  <c r="AH33" i="7" s="1"/>
  <c r="F21" i="7"/>
  <c r="B71" i="7"/>
  <c r="F15" i="7"/>
  <c r="F52" i="7"/>
  <c r="L52" i="7" s="1"/>
  <c r="AH16" i="7"/>
  <c r="F33" i="7"/>
  <c r="F16" i="7"/>
  <c r="F31" i="7"/>
  <c r="G45" i="7"/>
  <c r="AH45" i="7"/>
  <c r="F58" i="7"/>
  <c r="N58" i="7" s="1"/>
  <c r="AH44" i="7"/>
  <c r="F25" i="7"/>
  <c r="N29" i="7" s="1"/>
  <c r="F23" i="7"/>
  <c r="F20" i="7"/>
  <c r="F22" i="7"/>
  <c r="F24" i="7"/>
  <c r="F30" i="7"/>
  <c r="F26" i="7"/>
  <c r="F28" i="7"/>
  <c r="F47" i="7"/>
  <c r="AH47" i="7"/>
  <c r="F46" i="7"/>
  <c r="J64" i="7" s="1"/>
  <c r="AH46" i="7"/>
  <c r="F59" i="7"/>
  <c r="H59" i="7" s="1"/>
  <c r="F49" i="7"/>
  <c r="K49" i="7" s="1"/>
  <c r="F34" i="7"/>
  <c r="F32" i="7"/>
  <c r="F51" i="7"/>
  <c r="L51" i="7" s="1"/>
  <c r="F57" i="7"/>
  <c r="L57" i="7" s="1"/>
  <c r="AH60" i="7"/>
  <c r="F35" i="7"/>
  <c r="AH48" i="7"/>
  <c r="N64" i="7"/>
  <c r="AH50" i="7"/>
  <c r="AH56" i="7"/>
  <c r="F55" i="7"/>
  <c r="H55" i="7" s="1"/>
  <c r="F63" i="7"/>
  <c r="L63" i="7" s="1"/>
  <c r="F61" i="7"/>
  <c r="I61" i="7" s="1"/>
  <c r="F53" i="7"/>
  <c r="H53" i="7" s="1"/>
  <c r="G64" i="7"/>
  <c r="I64" i="7"/>
  <c r="H64" i="7"/>
  <c r="K64" i="7"/>
  <c r="AH54" i="7"/>
  <c r="L64" i="7"/>
  <c r="AH62" i="7"/>
  <c r="AH53" i="7"/>
  <c r="G60" i="7"/>
  <c r="N60" i="7"/>
  <c r="L60" i="7"/>
  <c r="I60" i="7"/>
  <c r="H60" i="7"/>
  <c r="K60" i="7"/>
  <c r="B78" i="7"/>
  <c r="AS22" i="7"/>
  <c r="AT22" i="7"/>
  <c r="B79" i="7"/>
  <c r="AS23" i="7"/>
  <c r="AT23" i="7"/>
  <c r="K50" i="7"/>
  <c r="I50" i="7"/>
  <c r="H50" i="7"/>
  <c r="G50" i="7"/>
  <c r="G56" i="7"/>
  <c r="I56" i="7"/>
  <c r="N56" i="7"/>
  <c r="L56" i="7"/>
  <c r="H56" i="7"/>
  <c r="K56" i="7"/>
  <c r="B81" i="7"/>
  <c r="AS25" i="7"/>
  <c r="AT25" i="7"/>
  <c r="B75" i="7"/>
  <c r="AS19" i="7"/>
  <c r="AT19" i="7"/>
  <c r="B70" i="7"/>
  <c r="H48" i="7"/>
  <c r="G48" i="7"/>
  <c r="I48" i="7"/>
  <c r="B80" i="7"/>
  <c r="AS24" i="7"/>
  <c r="AT24" i="7"/>
  <c r="AS27" i="7"/>
  <c r="AT27" i="7"/>
  <c r="B73" i="7"/>
  <c r="AS17" i="7"/>
  <c r="AT17" i="7"/>
  <c r="N62" i="7"/>
  <c r="K62" i="7"/>
  <c r="L62" i="7"/>
  <c r="H62" i="7"/>
  <c r="G62" i="7"/>
  <c r="I62" i="7"/>
  <c r="B82" i="7"/>
  <c r="AS26" i="7"/>
  <c r="AT26" i="7"/>
  <c r="L54" i="7"/>
  <c r="K54" i="7"/>
  <c r="I54" i="7"/>
  <c r="H54" i="7"/>
  <c r="G54" i="7"/>
  <c r="B77" i="7"/>
  <c r="AS21" i="7"/>
  <c r="AT21" i="7"/>
  <c r="N27" i="7"/>
  <c r="B74" i="7"/>
  <c r="AS18" i="7"/>
  <c r="AT18" i="7"/>
  <c r="AI32" i="7"/>
  <c r="AI31" i="7"/>
  <c r="AI28" i="7"/>
  <c r="AI26" i="7"/>
  <c r="AI25" i="7"/>
  <c r="AI23" i="7"/>
  <c r="AI22" i="7"/>
  <c r="AI21" i="7"/>
  <c r="AI20" i="7"/>
  <c r="AI18" i="7"/>
  <c r="AI17" i="7"/>
  <c r="AI15" i="7"/>
  <c r="AI14" i="7"/>
  <c r="AI41" i="7"/>
  <c r="AI43" i="7"/>
  <c r="AI49" i="7"/>
  <c r="AI51" i="7"/>
  <c r="AI52" i="7"/>
  <c r="AI55" i="7"/>
  <c r="AI57" i="7"/>
  <c r="AI58" i="7"/>
  <c r="AI59" i="7"/>
  <c r="AI61" i="7"/>
  <c r="AI63" i="7"/>
  <c r="AI13" i="7"/>
  <c r="AI11" i="7"/>
  <c r="AI45" i="7"/>
  <c r="AI44" i="7"/>
  <c r="AI19" i="7"/>
  <c r="AI24" i="7"/>
  <c r="AI29" i="7"/>
  <c r="AI47" i="7"/>
  <c r="AI46" i="7"/>
  <c r="AI30" i="7"/>
  <c r="AI27" i="7"/>
  <c r="AI48" i="7"/>
  <c r="AI33" i="7"/>
  <c r="AI50" i="7"/>
  <c r="AI56" i="7"/>
  <c r="AI60" i="7"/>
  <c r="AI54" i="7"/>
  <c r="AI62" i="7"/>
  <c r="AI53" i="7"/>
  <c r="G71" i="7"/>
  <c r="G35" i="7" l="1"/>
  <c r="G26" i="7"/>
  <c r="G18" i="7"/>
  <c r="G34" i="7"/>
  <c r="G27" i="7"/>
  <c r="G25" i="7"/>
  <c r="G33" i="7"/>
  <c r="N28" i="7"/>
  <c r="N30" i="7"/>
  <c r="J25" i="7"/>
  <c r="J29" i="7"/>
  <c r="G17" i="7"/>
  <c r="J27" i="7"/>
  <c r="J18" i="7"/>
  <c r="J32" i="7"/>
  <c r="J20" i="7"/>
  <c r="J23" i="7"/>
  <c r="G15" i="7"/>
  <c r="K24" i="7"/>
  <c r="M54" i="7"/>
  <c r="J19" i="7"/>
  <c r="G19" i="7"/>
  <c r="K35" i="7"/>
  <c r="I58" i="7"/>
  <c r="N59" i="7"/>
  <c r="L58" i="7"/>
  <c r="G52" i="7"/>
  <c r="M60" i="7"/>
  <c r="G28" i="7"/>
  <c r="J26" i="7"/>
  <c r="B72" i="7"/>
  <c r="J35" i="7"/>
  <c r="N26" i="7"/>
  <c r="L59" i="7"/>
  <c r="N35" i="7"/>
  <c r="N33" i="7"/>
  <c r="G59" i="7"/>
  <c r="AT20" i="7"/>
  <c r="AS20" i="7"/>
  <c r="H58" i="7"/>
  <c r="G53" i="7"/>
  <c r="J28" i="7"/>
  <c r="K33" i="7"/>
  <c r="I59" i="7"/>
  <c r="K29" i="7"/>
  <c r="B76" i="7"/>
  <c r="M58" i="7"/>
  <c r="H52" i="7"/>
  <c r="K53" i="7"/>
  <c r="M64" i="7"/>
  <c r="K31" i="7"/>
  <c r="G61" i="7"/>
  <c r="J33" i="7"/>
  <c r="K63" i="7"/>
  <c r="K52" i="7"/>
  <c r="K28" i="7"/>
  <c r="M62" i="7"/>
  <c r="AT16" i="7"/>
  <c r="K59" i="7"/>
  <c r="M56" i="7"/>
  <c r="K26" i="7"/>
  <c r="K58" i="7"/>
  <c r="I52" i="7"/>
  <c r="L53" i="7"/>
  <c r="L26" i="7"/>
  <c r="M59" i="7"/>
  <c r="G58" i="7"/>
  <c r="K22" i="7"/>
  <c r="AS16" i="7"/>
  <c r="K25" i="7"/>
  <c r="L29" i="7"/>
  <c r="L25" i="7"/>
  <c r="K23" i="7"/>
  <c r="H49" i="7"/>
  <c r="G49" i="7"/>
  <c r="I49" i="7"/>
  <c r="I53" i="7"/>
  <c r="M53" i="7"/>
  <c r="N32" i="7"/>
  <c r="I33" i="7"/>
  <c r="L35" i="7"/>
  <c r="H28" i="7"/>
  <c r="G21" i="7"/>
  <c r="I17" i="7"/>
  <c r="K21" i="7"/>
  <c r="L33" i="7"/>
  <c r="M29" i="7"/>
  <c r="I19" i="7"/>
  <c r="J21" i="7"/>
  <c r="H33" i="7"/>
  <c r="L28" i="7"/>
  <c r="M33" i="7"/>
  <c r="L27" i="7"/>
  <c r="H31" i="7"/>
  <c r="H32" i="7"/>
  <c r="H17" i="7"/>
  <c r="J31" i="7"/>
  <c r="H21" i="7"/>
  <c r="L32" i="7"/>
  <c r="H26" i="7"/>
  <c r="L31" i="7"/>
  <c r="H19" i="7"/>
  <c r="H20" i="7"/>
  <c r="G32" i="7"/>
  <c r="N31" i="7"/>
  <c r="K20" i="7"/>
  <c r="H35" i="7"/>
  <c r="M31" i="7"/>
  <c r="G20" i="7"/>
  <c r="H27" i="7"/>
  <c r="G31" i="7"/>
  <c r="K32" i="7"/>
  <c r="H29" i="7"/>
  <c r="H18" i="7"/>
  <c r="G51" i="7"/>
  <c r="H51" i="7"/>
  <c r="L22" i="7"/>
  <c r="I30" i="7"/>
  <c r="I34" i="7"/>
  <c r="H25" i="7"/>
  <c r="J59" i="7"/>
  <c r="M63" i="7"/>
  <c r="J56" i="7"/>
  <c r="L30" i="7"/>
  <c r="N63" i="7"/>
  <c r="J50" i="7"/>
  <c r="H30" i="7"/>
  <c r="J58" i="7"/>
  <c r="H63" i="7"/>
  <c r="J30" i="7"/>
  <c r="J52" i="7"/>
  <c r="J60" i="7"/>
  <c r="J62" i="7"/>
  <c r="J63" i="7"/>
  <c r="G30" i="7"/>
  <c r="J49" i="7"/>
  <c r="J48" i="7"/>
  <c r="G63" i="7"/>
  <c r="J53" i="7"/>
  <c r="I63" i="7"/>
  <c r="K30" i="7"/>
  <c r="J54" i="7"/>
  <c r="I28" i="7"/>
  <c r="L23" i="7"/>
  <c r="I18" i="7"/>
  <c r="H34" i="7"/>
  <c r="M32" i="7"/>
  <c r="I35" i="7"/>
  <c r="M26" i="7"/>
  <c r="H16" i="7"/>
  <c r="J34" i="7"/>
  <c r="G16" i="7"/>
  <c r="M34" i="7"/>
  <c r="I20" i="7"/>
  <c r="M27" i="7"/>
  <c r="I32" i="7"/>
  <c r="G23" i="7"/>
  <c r="I29" i="7"/>
  <c r="I31" i="7"/>
  <c r="K34" i="7"/>
  <c r="I25" i="7"/>
  <c r="I21" i="7"/>
  <c r="M28" i="7"/>
  <c r="I23" i="7"/>
  <c r="M35" i="7"/>
  <c r="I26" i="7"/>
  <c r="M30" i="7"/>
  <c r="L34" i="7"/>
  <c r="J57" i="7"/>
  <c r="M24" i="7"/>
  <c r="H23" i="7"/>
  <c r="N34" i="7"/>
  <c r="M25" i="7"/>
  <c r="I27" i="7"/>
  <c r="I51" i="7"/>
  <c r="N57" i="7"/>
  <c r="G24" i="7"/>
  <c r="H24" i="7"/>
  <c r="J51" i="7"/>
  <c r="G22" i="7"/>
  <c r="G57" i="7"/>
  <c r="J24" i="7"/>
  <c r="K51" i="7"/>
  <c r="H22" i="7"/>
  <c r="I57" i="7"/>
  <c r="L24" i="7"/>
  <c r="I22" i="7"/>
  <c r="K57" i="7"/>
  <c r="M57" i="7"/>
  <c r="I24" i="7"/>
  <c r="J22" i="7"/>
  <c r="H57" i="7"/>
  <c r="AJ13" i="7"/>
  <c r="D69" i="7" s="1"/>
  <c r="AJ63" i="7"/>
  <c r="AJ61" i="7"/>
  <c r="AJ59" i="7"/>
  <c r="AJ58" i="7"/>
  <c r="AJ57" i="7"/>
  <c r="AJ55" i="7"/>
  <c r="AJ52" i="7"/>
  <c r="AJ51" i="7"/>
  <c r="AJ49" i="7"/>
  <c r="AJ43" i="7"/>
  <c r="AJ14" i="7"/>
  <c r="D70" i="7" s="1"/>
  <c r="AJ15" i="7"/>
  <c r="D71" i="7" s="1"/>
  <c r="AJ17" i="7"/>
  <c r="D73" i="7" s="1"/>
  <c r="AJ18" i="7"/>
  <c r="D74" i="7" s="1"/>
  <c r="AJ20" i="7"/>
  <c r="AJ21" i="7"/>
  <c r="AJ22" i="7"/>
  <c r="AJ23" i="7"/>
  <c r="AJ25" i="7"/>
  <c r="AJ26" i="7"/>
  <c r="AJ28" i="7"/>
  <c r="AJ31" i="7"/>
  <c r="AJ32" i="7"/>
  <c r="J61" i="7"/>
  <c r="K61" i="7"/>
  <c r="L61" i="7"/>
  <c r="H61" i="7"/>
  <c r="M61" i="7"/>
  <c r="N61" i="7"/>
  <c r="AJ44" i="7"/>
  <c r="AJ45" i="7"/>
  <c r="AJ19" i="7"/>
  <c r="AJ27" i="7"/>
  <c r="AJ30" i="7"/>
  <c r="AJ46" i="7"/>
  <c r="AJ47" i="7"/>
  <c r="AJ29" i="7"/>
  <c r="AJ24" i="7"/>
  <c r="G46" i="7"/>
  <c r="H46" i="7"/>
  <c r="I46" i="7"/>
  <c r="J47" i="7"/>
  <c r="G47" i="7"/>
  <c r="I47" i="7"/>
  <c r="H47" i="7"/>
  <c r="I55" i="7"/>
  <c r="AJ60" i="7"/>
  <c r="AJ56" i="7"/>
  <c r="AJ50" i="7"/>
  <c r="AJ33" i="7"/>
  <c r="AJ48" i="7"/>
  <c r="G55" i="7"/>
  <c r="M55" i="7"/>
  <c r="J55" i="7"/>
  <c r="K55" i="7"/>
  <c r="L55" i="7"/>
  <c r="N55" i="7"/>
  <c r="AJ53" i="7"/>
  <c r="AJ62" i="7"/>
  <c r="AJ54" i="7"/>
  <c r="I71" i="7"/>
  <c r="G70" i="7"/>
  <c r="G73" i="7"/>
  <c r="G72" i="7"/>
  <c r="G75" i="7"/>
  <c r="G74" i="7"/>
  <c r="G82" i="7"/>
  <c r="G80" i="7"/>
  <c r="G78" i="7"/>
  <c r="G76" i="7"/>
  <c r="G79" i="7"/>
  <c r="G77" i="7"/>
  <c r="G81" i="7"/>
  <c r="AI16" i="7"/>
  <c r="I70" i="7" l="1"/>
  <c r="I74" i="7"/>
  <c r="I75" i="7"/>
  <c r="I72" i="7"/>
  <c r="I73" i="7"/>
  <c r="I81" i="7"/>
  <c r="I77" i="7"/>
  <c r="I79" i="7"/>
  <c r="I76" i="7"/>
  <c r="I78" i="7"/>
  <c r="I80" i="7"/>
  <c r="I82" i="7"/>
  <c r="AJ16" i="7"/>
  <c r="D80" i="7"/>
  <c r="D79" i="7"/>
  <c r="D75" i="7"/>
  <c r="L76" i="7" s="1"/>
  <c r="D72" i="7" l="1"/>
  <c r="D78" i="7"/>
  <c r="D77" i="7"/>
  <c r="D82" i="7"/>
  <c r="D81" i="7"/>
  <c r="D76" i="7"/>
  <c r="AE79" i="7"/>
  <c r="AE78" i="7"/>
  <c r="AE77" i="7"/>
  <c r="AE76" i="7"/>
  <c r="F81" i="7"/>
  <c r="F77" i="7"/>
  <c r="F74" i="7"/>
  <c r="F71" i="7"/>
  <c r="F79" i="7"/>
  <c r="F76" i="7"/>
  <c r="F75" i="7"/>
  <c r="F72" i="7"/>
  <c r="F78" i="7"/>
  <c r="F73" i="7"/>
  <c r="F80" i="7"/>
  <c r="F82" i="7"/>
  <c r="H82" i="7" l="1"/>
  <c r="J82" i="7" s="1"/>
  <c r="H80" i="7"/>
  <c r="J80" i="7" s="1"/>
  <c r="H73" i="7"/>
  <c r="J73" i="7" s="1"/>
  <c r="H78" i="7"/>
  <c r="J78" i="7" s="1"/>
  <c r="H72" i="7"/>
  <c r="J72" i="7" s="1"/>
  <c r="H75" i="7"/>
  <c r="J75" i="7" s="1"/>
  <c r="H76" i="7"/>
  <c r="J76" i="7" s="1"/>
  <c r="H79" i="7"/>
  <c r="J79" i="7" s="1"/>
  <c r="H71" i="7"/>
  <c r="J71" i="7" s="1"/>
  <c r="H74" i="7"/>
  <c r="J74" i="7" s="1"/>
  <c r="H77" i="7"/>
  <c r="J77" i="7" s="1"/>
  <c r="H81" i="7"/>
  <c r="J81" i="7" s="1"/>
  <c r="F70" i="7"/>
  <c r="H70" i="7" l="1"/>
  <c r="J70" i="7" s="1"/>
</calcChain>
</file>

<file path=xl/sharedStrings.xml><?xml version="1.0" encoding="utf-8"?>
<sst xmlns="http://schemas.openxmlformats.org/spreadsheetml/2006/main" count="156" uniqueCount="97">
  <si>
    <t>x</t>
  </si>
  <si>
    <t>x1</t>
  </si>
  <si>
    <t>x2</t>
  </si>
  <si>
    <t>y1</t>
  </si>
  <si>
    <t>y2</t>
  </si>
  <si>
    <t>y</t>
  </si>
  <si>
    <t>TIR</t>
  </si>
  <si>
    <t>N°</t>
  </si>
  <si>
    <t>Fecha</t>
  </si>
  <si>
    <t>Interés</t>
  </si>
  <si>
    <t>Amort</t>
  </si>
  <si>
    <t>Saldo</t>
  </si>
  <si>
    <t>Flujo</t>
  </si>
  <si>
    <t>Tabla de Desarrollo</t>
  </si>
  <si>
    <t>Plazo</t>
  </si>
  <si>
    <t>num_cup</t>
  </si>
  <si>
    <t>Fecha Actual</t>
  </si>
  <si>
    <t>Tir</t>
  </si>
  <si>
    <t xml:space="preserve">Tasa Emisión </t>
  </si>
  <si>
    <t>VP (t=0)</t>
  </si>
  <si>
    <t>TIR_teo</t>
  </si>
  <si>
    <t>BSTDF60909</t>
  </si>
  <si>
    <t>DurMod</t>
  </si>
  <si>
    <t>BCU0300414</t>
  </si>
  <si>
    <t>BCENC-E</t>
  </si>
  <si>
    <t>Today</t>
  </si>
  <si>
    <t>Settle</t>
  </si>
  <si>
    <t>Basis</t>
  </si>
  <si>
    <t>PX_LAST</t>
  </si>
  <si>
    <t>Days</t>
  </si>
  <si>
    <t>Tennor</t>
  </si>
  <si>
    <t>ON</t>
  </si>
  <si>
    <t>CHSWPC Curncy</t>
  </si>
  <si>
    <t>CHSWPF Curncy</t>
  </si>
  <si>
    <t>CHSWPI Curncy</t>
  </si>
  <si>
    <t>CHSWP1 Curncy</t>
  </si>
  <si>
    <t>CHSWP1F Curncy</t>
  </si>
  <si>
    <t>CHSWP2  Curncy</t>
  </si>
  <si>
    <t>CHSWP3 Curncy</t>
  </si>
  <si>
    <t>CHSWP4 Curncy</t>
  </si>
  <si>
    <t>CHSWP5  Curncy</t>
  </si>
  <si>
    <t>CHSWP6  Curncy</t>
  </si>
  <si>
    <t>CHSWP7  Curncy</t>
  </si>
  <si>
    <t>CHSWP8  Curncy</t>
  </si>
  <si>
    <t>CHSWP9  Curncy</t>
  </si>
  <si>
    <t>CHSWP10  Curncy</t>
  </si>
  <si>
    <t>CHOVCHOV Index</t>
  </si>
  <si>
    <t>zero_yld</t>
  </si>
  <si>
    <t>Tenor</t>
  </si>
  <si>
    <t>Z Rate Lineal</t>
  </si>
  <si>
    <t>Swap Rate</t>
  </si>
  <si>
    <t>D Spot</t>
  </si>
  <si>
    <t>3mDt</t>
  </si>
  <si>
    <t>6mDt</t>
  </si>
  <si>
    <t>9mDT</t>
  </si>
  <si>
    <t>1yDT</t>
  </si>
  <si>
    <t>2yDT</t>
  </si>
  <si>
    <t>3yDT</t>
  </si>
  <si>
    <t>4yDT</t>
  </si>
  <si>
    <t>5yDT</t>
  </si>
  <si>
    <t>FRAS</t>
  </si>
  <si>
    <t>Raw Data Nominal</t>
  </si>
  <si>
    <t>Raw Data Real</t>
  </si>
  <si>
    <t>CHSWCC CMPN Curncy</t>
  </si>
  <si>
    <t>CHSWCF Curncy</t>
  </si>
  <si>
    <t>CHSWCI Curncy</t>
  </si>
  <si>
    <t>CHSWC1 Curncy</t>
  </si>
  <si>
    <t>CHSWC1F Curncy</t>
  </si>
  <si>
    <t>CHSWC2 Curncy</t>
  </si>
  <si>
    <t>CHSWC3  Curncy</t>
  </si>
  <si>
    <t>CHSWC4  Curncy</t>
  </si>
  <si>
    <t>CHSWC5  Curncy</t>
  </si>
  <si>
    <t>CHSWC6  Curncy</t>
  </si>
  <si>
    <t>CHSWC7  Curncy</t>
  </si>
  <si>
    <t>CHSWC8  Curncy</t>
  </si>
  <si>
    <t>CHSWC9  Curncy</t>
  </si>
  <si>
    <t>CHSWC10  Curncy</t>
  </si>
  <si>
    <t>FWD_tenor</t>
  </si>
  <si>
    <t>DF</t>
  </si>
  <si>
    <t>Holding_P</t>
  </si>
  <si>
    <t>fwd_coupon_DF</t>
  </si>
  <si>
    <t>Carry + Roll</t>
  </si>
  <si>
    <t>Fwd</t>
  </si>
  <si>
    <t>HP</t>
  </si>
  <si>
    <t>Spot</t>
  </si>
  <si>
    <t>Spot - HP</t>
  </si>
  <si>
    <t>Fwd -HP</t>
  </si>
  <si>
    <t>falta definir tasa overnight real y parte corta</t>
  </si>
  <si>
    <t>Tenor [Days]</t>
  </si>
  <si>
    <t>Tenor[years]</t>
  </si>
  <si>
    <t>Carry + Roll CLP/CAM</t>
  </si>
  <si>
    <t>Carry</t>
  </si>
  <si>
    <t>Roll</t>
  </si>
  <si>
    <t>Tenor + HP</t>
  </si>
  <si>
    <t>swap FRA</t>
  </si>
  <si>
    <t>zero_FRA</t>
  </si>
  <si>
    <t>Exact_Days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</si>
</sst>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2">
    <numFmt numFmtId="43" formatCode="_-* #,##0.00_-;\-* #,##0.00_-;_-* &quot;-&quot;??_-;_-@_-"/>
    <numFmt numFmtId="164" formatCode="dd\-mm\-yyyy;@"/>
    <numFmt numFmtId="165" formatCode="#,##0.000"/>
    <numFmt numFmtId="166" formatCode="0.0000"/>
    <numFmt numFmtId="167" formatCode="_(* #,##0.00_);_(* \(#,##0.00\);_(* &quot;-&quot;??_);_(@_)"/>
    <numFmt numFmtId="168" formatCode="_(* #,##0_);_(* \(#,##0\);_(* &quot;-&quot;??_);_(@_)"/>
    <numFmt numFmtId="169" formatCode="0.00&quot;Y&quot;"/>
    <numFmt numFmtId="170" formatCode="_ * #,##0_ ;_ * \-#,##0_ ;_ * &quot;-&quot;_ ;_ @_ "/>
    <numFmt numFmtId="171" formatCode="0.000%"/>
    <numFmt numFmtId="172" formatCode="0.000"/>
    <numFmt numFmtId="173" formatCode="_-* #,##0.000_-;\-* #,##0.000_-;_-* &quot;-&quot;??_-;_-@_-"/>
    <numFmt numFmtId="174" formatCode="_-* #,##0.0000_-;\-* #,##0.0000_-;_-* &quot;-&quot;??_-;_-@_-"/>
    <numFmt numFmtId="175" formatCode="_-* #,##0.000000_-;\-* #,##0.000000_-;_-* &quot;-&quot;??_-;_-@_-"/>
    <numFmt numFmtId="176" formatCode="0.0&quot;Y&quot;"/>
    <numFmt numFmtId="177" formatCode="0&quot;Y&quot;"/>
    <numFmt numFmtId="178" formatCode="0.000000"/>
    <numFmt numFmtId="179" formatCode="_-* #,##0.0_-;\-* #,##0.0_-;_-* &quot;-&quot;??_-;_-@_-"/>
    <numFmt numFmtId="180" formatCode="_-* #,##0.00000_-;\-* #,##0.00000_-;_-* &quot;-&quot;??_-;_-@_-"/>
    <numFmt numFmtId="181" formatCode="_-* #,##0.0_-;\-* #,##0.0_-;_-* &quot;-&quot;?_-;_-@_-"/>
    <numFmt numFmtId="182" formatCode="0.0000%"/>
    <numFmt numFmtId="183" formatCode="_-* #,##0.000000_-;\-* #,##0.000000_-;_-* &quot;-&quot;???_-;_-@_-"/>
    <numFmt numFmtId="184" formatCode="_-* #,##0.000000000_-;\-* #,##0.000000000_-;_-* &quot;-&quot;??_-;_-@_-"/>
  </numFmts>
  <fonts count="13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8"/>
      <color indexed="63"/>
      <name val="Arial"/>
      <family val="2"/>
    </font>
    <font>
      <b/>
      <sz val="8"/>
      <color indexed="63"/>
      <name val="Arial"/>
      <family val="2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F2F2F2"/>
      </patternFill>
    </fill>
    <fill>
      <patternFill patternType="solid">
        <fgColor theme="5" tint="0.39997558519241921"/>
        <bgColor indexed="65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9">
    <xf numFmtId="0" fontId="0" fillId="0" borderId="0"/>
    <xf numFmtId="9" fontId="1" fillId="0" borderId="0" applyFont="0" applyFill="0" applyBorder="0" applyAlignment="0" applyProtection="0"/>
    <xf numFmtId="167" fontId="4" fillId="0" borderId="0" applyFont="0" applyFill="0" applyBorder="0" applyAlignment="0" applyProtection="0"/>
    <xf numFmtId="0" fontId="5" fillId="4" borderId="9" applyNumberFormat="0" applyAlignment="0" applyProtection="0"/>
    <xf numFmtId="0" fontId="7" fillId="0" borderId="0"/>
    <xf numFmtId="0" fontId="6" fillId="5" borderId="0" applyNumberFormat="0" applyBorder="0" applyAlignment="0" applyProtection="0"/>
    <xf numFmtId="9" fontId="4" fillId="0" borderId="0" applyFont="0" applyFill="0" applyBorder="0" applyAlignment="0" applyProtection="0"/>
    <xf numFmtId="170" fontId="4" fillId="0" borderId="0" applyFont="0" applyFill="0" applyBorder="0" applyAlignment="0" applyProtection="0"/>
    <xf numFmtId="43" fontId="4" fillId="0" borderId="0" applyFont="0" applyFill="0" applyBorder="0" applyAlignment="0" applyProtection="0"/>
  </cellStyleXfs>
  <cellXfs count="100">
    <xf numFmtId="0" fontId="0" fillId="0" borderId="0" xfId="0"/>
    <xf numFmtId="164" fontId="0" fillId="0" borderId="0" xfId="0" applyNumberFormat="1"/>
    <xf numFmtId="0" fontId="2" fillId="2" borderId="1" xfId="0" applyFont="1" applyFill="1" applyBorder="1" applyAlignment="1">
      <alignment horizontal="center" wrapText="1"/>
    </xf>
    <xf numFmtId="0" fontId="2" fillId="2" borderId="2" xfId="0" applyFont="1" applyFill="1" applyBorder="1" applyAlignment="1">
      <alignment horizontal="center" wrapText="1"/>
    </xf>
    <xf numFmtId="0" fontId="2" fillId="2" borderId="3" xfId="0" applyFont="1" applyFill="1" applyBorder="1" applyAlignment="1">
      <alignment horizontal="center" wrapText="1"/>
    </xf>
    <xf numFmtId="0" fontId="2" fillId="2" borderId="4" xfId="0" applyFont="1" applyFill="1" applyBorder="1" applyAlignment="1">
      <alignment horizontal="center" wrapText="1"/>
    </xf>
    <xf numFmtId="0" fontId="2" fillId="2" borderId="0" xfId="0" applyFont="1" applyFill="1" applyBorder="1" applyAlignment="1">
      <alignment horizontal="center" wrapText="1"/>
    </xf>
    <xf numFmtId="165" fontId="2" fillId="2" borderId="5" xfId="0" applyNumberFormat="1" applyFont="1" applyFill="1" applyBorder="1" applyAlignment="1">
      <alignment horizontal="center" wrapText="1"/>
    </xf>
    <xf numFmtId="0" fontId="2" fillId="2" borderId="6" xfId="0" applyFont="1" applyFill="1" applyBorder="1" applyAlignment="1">
      <alignment horizontal="center" wrapText="1"/>
    </xf>
    <xf numFmtId="0" fontId="2" fillId="2" borderId="7" xfId="0" applyFont="1" applyFill="1" applyBorder="1" applyAlignment="1">
      <alignment horizontal="center" wrapText="1"/>
    </xf>
    <xf numFmtId="165" fontId="2" fillId="2" borderId="8" xfId="0" applyNumberFormat="1" applyFont="1" applyFill="1" applyBorder="1" applyAlignment="1">
      <alignment horizontal="center" wrapText="1"/>
    </xf>
    <xf numFmtId="0" fontId="2" fillId="2" borderId="5" xfId="0" applyFont="1" applyFill="1" applyBorder="1" applyAlignment="1">
      <alignment horizontal="center" wrapText="1"/>
    </xf>
    <xf numFmtId="2" fontId="0" fillId="0" borderId="0" xfId="0" applyNumberFormat="1"/>
    <xf numFmtId="0" fontId="0" fillId="2" borderId="3" xfId="0" applyFill="1" applyBorder="1"/>
    <xf numFmtId="0" fontId="0" fillId="2" borderId="8" xfId="0" applyFill="1" applyBorder="1"/>
    <xf numFmtId="9" fontId="4" fillId="0" borderId="0" xfId="1" applyFont="1"/>
    <xf numFmtId="14" fontId="2" fillId="2" borderId="0" xfId="0" applyNumberFormat="1" applyFont="1" applyFill="1" applyBorder="1" applyAlignment="1">
      <alignment horizontal="center" wrapText="1"/>
    </xf>
    <xf numFmtId="0" fontId="0" fillId="2" borderId="5" xfId="0" applyFill="1" applyBorder="1"/>
    <xf numFmtId="14" fontId="2" fillId="2" borderId="7" xfId="0" applyNumberFormat="1" applyFont="1" applyFill="1" applyBorder="1" applyAlignment="1">
      <alignment horizontal="center" wrapText="1"/>
    </xf>
    <xf numFmtId="10" fontId="4" fillId="0" borderId="0" xfId="1" applyNumberFormat="1" applyFont="1"/>
    <xf numFmtId="0" fontId="0" fillId="0" borderId="0" xfId="0" applyAlignment="1">
      <alignment horizontal="right" wrapText="1"/>
    </xf>
    <xf numFmtId="0" fontId="0" fillId="0" borderId="0" xfId="0" applyBorder="1" applyAlignment="1">
      <alignment horizontal="right" wrapText="1"/>
    </xf>
    <xf numFmtId="14" fontId="0" fillId="0" borderId="0" xfId="0" applyNumberFormat="1" applyBorder="1" applyAlignment="1">
      <alignment wrapText="1"/>
    </xf>
    <xf numFmtId="0" fontId="0" fillId="0" borderId="4" xfId="0" applyBorder="1" applyAlignment="1">
      <alignment horizontal="right" wrapText="1"/>
    </xf>
    <xf numFmtId="0" fontId="0" fillId="0" borderId="6" xfId="0" applyBorder="1" applyAlignment="1">
      <alignment horizontal="right" wrapText="1"/>
    </xf>
    <xf numFmtId="14" fontId="0" fillId="0" borderId="7" xfId="0" applyNumberFormat="1" applyBorder="1" applyAlignment="1">
      <alignment wrapText="1"/>
    </xf>
    <xf numFmtId="0" fontId="0" fillId="0" borderId="7" xfId="0" applyBorder="1" applyAlignment="1">
      <alignment horizontal="right" wrapText="1"/>
    </xf>
    <xf numFmtId="0" fontId="3" fillId="2" borderId="1" xfId="0" applyFont="1" applyFill="1" applyBorder="1" applyAlignment="1">
      <alignment horizontal="center" wrapText="1"/>
    </xf>
    <xf numFmtId="0" fontId="3" fillId="2" borderId="2" xfId="0" applyFont="1" applyFill="1" applyBorder="1" applyAlignment="1">
      <alignment horizontal="center" wrapText="1"/>
    </xf>
    <xf numFmtId="0" fontId="3" fillId="2" borderId="3" xfId="0" applyFont="1" applyFill="1" applyBorder="1" applyAlignment="1">
      <alignment horizontal="center" wrapText="1"/>
    </xf>
    <xf numFmtId="10" fontId="0" fillId="0" borderId="0" xfId="1" applyNumberFormat="1" applyFont="1"/>
    <xf numFmtId="0" fontId="0" fillId="0" borderId="5" xfId="0" applyBorder="1" applyAlignment="1">
      <alignment horizontal="right" wrapText="1"/>
    </xf>
    <xf numFmtId="0" fontId="0" fillId="0" borderId="8" xfId="0" applyBorder="1" applyAlignment="1">
      <alignment horizontal="right" wrapText="1"/>
    </xf>
    <xf numFmtId="10" fontId="0" fillId="0" borderId="0" xfId="0" applyNumberFormat="1"/>
    <xf numFmtId="0" fontId="0" fillId="0" borderId="0" xfId="0" quotePrefix="1"/>
    <xf numFmtId="14" fontId="0" fillId="0" borderId="0" xfId="0" quotePrefix="1" applyNumberFormat="1"/>
    <xf numFmtId="2" fontId="0" fillId="0" borderId="0" xfId="0" quotePrefix="1" applyNumberFormat="1"/>
    <xf numFmtId="166" fontId="0" fillId="0" borderId="0" xfId="0" quotePrefix="1" applyNumberFormat="1"/>
    <xf numFmtId="14" fontId="0" fillId="0" borderId="0" xfId="0" applyNumberFormat="1"/>
    <xf numFmtId="0" fontId="0" fillId="0" borderId="0" xfId="0" applyFill="1" applyBorder="1" applyAlignment="1">
      <alignment horizontal="center"/>
    </xf>
    <xf numFmtId="169" fontId="0" fillId="0" borderId="0" xfId="0" applyNumberFormat="1" applyFill="1" applyBorder="1" applyAlignment="1">
      <alignment horizontal="center"/>
    </xf>
    <xf numFmtId="171" fontId="0" fillId="0" borderId="0" xfId="1" applyNumberFormat="1" applyFont="1"/>
    <xf numFmtId="43" fontId="0" fillId="0" borderId="0" xfId="8" applyFont="1"/>
    <xf numFmtId="173" fontId="0" fillId="0" borderId="0" xfId="8" applyNumberFormat="1" applyFont="1"/>
    <xf numFmtId="174" fontId="0" fillId="0" borderId="0" xfId="8" applyNumberFormat="1" applyFont="1"/>
    <xf numFmtId="0" fontId="0" fillId="0" borderId="0" xfId="0" applyBorder="1"/>
    <xf numFmtId="43" fontId="0" fillId="0" borderId="0" xfId="0" applyNumberFormat="1"/>
    <xf numFmtId="175" fontId="0" fillId="0" borderId="0" xfId="0" applyNumberFormat="1"/>
    <xf numFmtId="0" fontId="10" fillId="0" borderId="0" xfId="0" applyFont="1"/>
    <xf numFmtId="1" fontId="0" fillId="0" borderId="0" xfId="0" applyNumberFormat="1"/>
    <xf numFmtId="0" fontId="0" fillId="0" borderId="0" xfId="0" applyAlignment="1">
      <alignment horizontal="center"/>
    </xf>
    <xf numFmtId="173" fontId="0" fillId="0" borderId="0" xfId="8" applyNumberFormat="1" applyFont="1" applyAlignment="1">
      <alignment horizontal="center"/>
    </xf>
    <xf numFmtId="14" fontId="0" fillId="0" borderId="0" xfId="0" applyNumberFormat="1" applyFill="1"/>
    <xf numFmtId="0" fontId="0" fillId="0" borderId="0" xfId="0" applyFill="1"/>
    <xf numFmtId="14" fontId="0" fillId="0" borderId="11" xfId="0" applyNumberFormat="1" applyFill="1" applyBorder="1"/>
    <xf numFmtId="14" fontId="0" fillId="0" borderId="12" xfId="0" applyNumberFormat="1" applyFill="1" applyBorder="1" applyAlignment="1">
      <alignment horizontal="center"/>
    </xf>
    <xf numFmtId="168" fontId="0" fillId="0" borderId="13" xfId="2" applyNumberFormat="1" applyFont="1" applyFill="1" applyBorder="1" applyAlignment="1">
      <alignment horizontal="center"/>
    </xf>
    <xf numFmtId="0" fontId="0" fillId="0" borderId="13" xfId="0" applyFill="1" applyBorder="1"/>
    <xf numFmtId="0" fontId="10" fillId="0" borderId="0" xfId="0" applyFont="1" applyFill="1"/>
    <xf numFmtId="0" fontId="0" fillId="0" borderId="0" xfId="0" applyFill="1" applyBorder="1"/>
    <xf numFmtId="0" fontId="8" fillId="0" borderId="14" xfId="0" applyFont="1" applyFill="1" applyBorder="1" applyAlignment="1">
      <alignment horizontal="center"/>
    </xf>
    <xf numFmtId="0" fontId="9" fillId="0" borderId="10" xfId="5" applyFont="1" applyFill="1" applyBorder="1" applyAlignment="1">
      <alignment horizontal="center"/>
    </xf>
    <xf numFmtId="0" fontId="9" fillId="0" borderId="14" xfId="5" applyFont="1" applyFill="1" applyBorder="1" applyAlignment="1">
      <alignment horizontal="center"/>
    </xf>
    <xf numFmtId="177" fontId="8" fillId="0" borderId="0" xfId="0" applyNumberFormat="1" applyFont="1" applyFill="1" applyBorder="1" applyAlignment="1">
      <alignment horizontal="center"/>
    </xf>
    <xf numFmtId="0" fontId="0" fillId="0" borderId="15" xfId="0" applyBorder="1" applyAlignment="1">
      <alignment horizontal="center"/>
    </xf>
    <xf numFmtId="1" fontId="0" fillId="0" borderId="0" xfId="0" applyNumberFormat="1" applyAlignment="1">
      <alignment horizontal="center"/>
    </xf>
    <xf numFmtId="172" fontId="0" fillId="0" borderId="0" xfId="0" applyNumberFormat="1" applyAlignment="1">
      <alignment horizontal="center"/>
    </xf>
    <xf numFmtId="178" fontId="0" fillId="0" borderId="0" xfId="0" applyNumberFormat="1" applyAlignment="1">
      <alignment horizontal="center"/>
    </xf>
    <xf numFmtId="43" fontId="0" fillId="0" borderId="0" xfId="8" applyNumberFormat="1" applyFont="1" applyAlignment="1">
      <alignment horizontal="center"/>
    </xf>
    <xf numFmtId="179" fontId="0" fillId="0" borderId="0" xfId="8" applyNumberFormat="1" applyFont="1"/>
    <xf numFmtId="43" fontId="0" fillId="0" borderId="0" xfId="8" applyNumberFormat="1" applyFont="1"/>
    <xf numFmtId="43" fontId="0" fillId="0" borderId="0" xfId="8" applyFont="1" applyAlignment="1"/>
    <xf numFmtId="181" fontId="0" fillId="0" borderId="0" xfId="0" applyNumberFormat="1"/>
    <xf numFmtId="171" fontId="0" fillId="0" borderId="0" xfId="1" applyNumberFormat="1" applyFont="1" applyAlignment="1">
      <alignment horizontal="center"/>
    </xf>
    <xf numFmtId="182" fontId="0" fillId="0" borderId="0" xfId="1" applyNumberFormat="1" applyFont="1" applyAlignment="1">
      <alignment horizontal="center"/>
    </xf>
    <xf numFmtId="43" fontId="0" fillId="0" borderId="0" xfId="0" applyNumberFormat="1" applyAlignment="1">
      <alignment horizontal="center"/>
    </xf>
    <xf numFmtId="173" fontId="0" fillId="0" borderId="0" xfId="0" applyNumberFormat="1" applyAlignment="1">
      <alignment horizontal="center"/>
    </xf>
    <xf numFmtId="183" fontId="0" fillId="0" borderId="0" xfId="0" applyNumberFormat="1" applyAlignment="1">
      <alignment horizontal="center"/>
    </xf>
    <xf numFmtId="169" fontId="0" fillId="0" borderId="15" xfId="0" applyNumberFormat="1" applyFill="1" applyBorder="1" applyAlignment="1">
      <alignment horizontal="center"/>
    </xf>
    <xf numFmtId="173" fontId="0" fillId="0" borderId="15" xfId="8" applyNumberFormat="1" applyFont="1" applyBorder="1" applyAlignment="1">
      <alignment horizontal="center"/>
    </xf>
    <xf numFmtId="180" fontId="0" fillId="0" borderId="0" xfId="0" applyNumberFormat="1"/>
    <xf numFmtId="184" fontId="0" fillId="0" borderId="0" xfId="0" applyNumberFormat="1"/>
    <xf numFmtId="0" fontId="2" fillId="3" borderId="4" xfId="0" applyFont="1" applyFill="1" applyBorder="1" applyAlignment="1">
      <alignment horizontal="center" vertical="center" wrapText="1"/>
    </xf>
    <xf numFmtId="0" fontId="2" fillId="3" borderId="0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3" fillId="3" borderId="0" xfId="0" applyFont="1" applyFill="1" applyBorder="1" applyAlignment="1">
      <alignment horizontal="center" vertical="center" wrapText="1"/>
    </xf>
    <xf numFmtId="0" fontId="3" fillId="3" borderId="5" xfId="0" applyFont="1" applyFill="1" applyBorder="1" applyAlignment="1">
      <alignment horizontal="center" vertical="center" wrapText="1"/>
    </xf>
    <xf numFmtId="177" fontId="8" fillId="0" borderId="10" xfId="0" applyNumberFormat="1" applyFont="1" applyFill="1" applyBorder="1" applyAlignment="1">
      <alignment horizontal="center"/>
    </xf>
    <xf numFmtId="177" fontId="8" fillId="0" borderId="11" xfId="0" applyNumberFormat="1" applyFont="1" applyFill="1" applyBorder="1" applyAlignment="1">
      <alignment horizontal="center"/>
    </xf>
    <xf numFmtId="169" fontId="8" fillId="0" borderId="10" xfId="0" applyNumberFormat="1" applyFont="1" applyFill="1" applyBorder="1" applyAlignment="1">
      <alignment horizontal="center"/>
    </xf>
    <xf numFmtId="169" fontId="8" fillId="0" borderId="11" xfId="0" applyNumberFormat="1" applyFont="1" applyFill="1" applyBorder="1" applyAlignment="1">
      <alignment horizontal="center"/>
    </xf>
    <xf numFmtId="176" fontId="8" fillId="0" borderId="10" xfId="0" applyNumberFormat="1" applyFont="1" applyFill="1" applyBorder="1" applyAlignment="1">
      <alignment horizontal="center"/>
    </xf>
    <xf numFmtId="176" fontId="8" fillId="0" borderId="11" xfId="0" applyNumberFormat="1" applyFont="1" applyFill="1" applyBorder="1" applyAlignment="1">
      <alignment horizontal="center"/>
    </xf>
    <xf numFmtId="169" fontId="0" fillId="0" borderId="0" xfId="0" applyNumberFormat="1"/>
    <xf numFmtId="174" fontId="0" fillId="0" borderId="15" xfId="8" applyNumberFormat="1" applyFont="1" applyBorder="1" applyAlignment="1">
      <alignment horizontal="center"/>
    </xf>
    <xf numFmtId="0" fontId="11" fillId="0" borderId="10" xfId="0" applyFont="1" applyFill="1" applyBorder="1" applyAlignment="1">
      <alignment horizontal="center"/>
    </xf>
    <xf numFmtId="0" fontId="12" fillId="0" borderId="0" xfId="0" applyFont="1" applyFill="1"/>
    <xf numFmtId="0" fontId="11" fillId="0" borderId="13" xfId="0" applyFont="1" applyFill="1" applyBorder="1"/>
    <xf numFmtId="0" fontId="0" fillId="0" borderId="0" xfId="0" applyNumberFormat="1"/>
  </cellXfs>
  <cellStyles count="9">
    <cellStyle name="60% - Accent2" xfId="5" xr:uid="{BFEE4520-0AFD-466F-911A-A33A8949EB76}"/>
    <cellStyle name="Calculation" xfId="3" xr:uid="{94E262FB-9838-4F8B-9A80-73DD5B019A20}"/>
    <cellStyle name="Millares" xfId="8" builtinId="3"/>
    <cellStyle name="Millares [0] 2" xfId="7" xr:uid="{DF8171DE-BFDF-49F4-A9F2-E5FEE4F4E99E}"/>
    <cellStyle name="Millares 2" xfId="2" xr:uid="{CAD44EB7-6AA6-4E6E-A19D-36767B91C72D}"/>
    <cellStyle name="Normal" xfId="0" builtinId="0"/>
    <cellStyle name="Normal 10" xfId="4" xr:uid="{F5F2EF63-CFDB-412C-B1B5-AE09F6CD23CF}"/>
    <cellStyle name="Porcentaje" xfId="1" builtinId="5"/>
    <cellStyle name="Porcentaje 2" xfId="6" xr:uid="{79506224-4C06-46C8-8DBE-FC5B1D8A1E5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>
        <v>3.984</v>
        <stp/>
        <stp>##V3_BDPV12</stp>
        <stp>CHSWP9  Curncy</stp>
        <stp>PX_LAST</stp>
        <stp>[Taller VBA.xlsm]Hoja2!R26C43</stp>
        <tr r="AQ26" s="7"/>
      </tp>
      <tp>
        <v>1.2130000000000001</v>
        <stp/>
        <stp>##V3_BDPV12</stp>
        <stp>CHSWC9  Curncy</stp>
        <stp>PX_LAST</stp>
        <stp>[Taller VBA.xlsm]Hoja2!R55C43</stp>
        <tr r="AQ55" s="7"/>
      </tp>
      <tp>
        <v>3.91</v>
        <stp/>
        <stp>##V3_BDPV12</stp>
        <stp>CHSWP8  Curncy</stp>
        <stp>PX_LAST</stp>
        <stp>[Taller VBA.xlsm]Hoja2!R25C43</stp>
        <tr r="AQ25" s="7"/>
      </tp>
      <tp>
        <v>1.1499999999999999</v>
        <stp/>
        <stp>##V3_BDPV12</stp>
        <stp>CHSWC8  Curncy</stp>
        <stp>PX_LAST</stp>
        <stp>[Taller VBA.xlsm]Hoja2!R54C43</stp>
        <tr r="AQ54" s="7"/>
      </tp>
      <tp>
        <v>3.8450000000000002</v>
        <stp/>
        <stp>##V3_BDPV12</stp>
        <stp>CHSWP7  Curncy</stp>
        <stp>PX_LAST</stp>
        <stp>[Taller VBA.xlsm]Hoja2!R24C43</stp>
        <tr r="AQ24" s="7"/>
      </tp>
      <tp>
        <v>1.08</v>
        <stp/>
        <stp>##V3_BDPV12</stp>
        <stp>CHSWC7  Curncy</stp>
        <stp>PX_LAST</stp>
        <stp>[Taller VBA.xlsm]Hoja2!R53C43</stp>
        <tr r="AQ53" s="7"/>
      </tp>
      <tp>
        <v>3.76</v>
        <stp/>
        <stp>##V3_BDPV12</stp>
        <stp>CHSWP6  Curncy</stp>
        <stp>PX_LAST</stp>
        <stp>[Taller VBA.xlsm]Hoja2!R23C43</stp>
        <tr r="AQ23" s="7"/>
      </tp>
      <tp>
        <v>1.02</v>
        <stp/>
        <stp>##V3_BDPV12</stp>
        <stp>CHSWC6  Curncy</stp>
        <stp>PX_LAST</stp>
        <stp>[Taller VBA.xlsm]Hoja2!R52C43</stp>
        <tr r="AQ52" s="7"/>
      </tp>
      <tp>
        <v>3.6930000000000001</v>
        <stp/>
        <stp>##V3_BDPV12</stp>
        <stp>CHSWP5  Curncy</stp>
        <stp>PX_LAST</stp>
        <stp>[Taller VBA.xlsm]Hoja2!R22C43</stp>
        <tr r="AQ22" s="7"/>
      </tp>
      <tp>
        <v>0.94</v>
        <stp/>
        <stp>##V3_BDPV12</stp>
        <stp>CHSWC5  Curncy</stp>
        <stp>PX_LAST</stp>
        <stp>[Taller VBA.xlsm]Hoja2!R51C43</stp>
        <tr r="AQ51" s="7"/>
      </tp>
      <tp>
        <v>0.89500000000000002</v>
        <stp/>
        <stp>##V3_BDPV12</stp>
        <stp>CHSWC4  Curncy</stp>
        <stp>PX_LAST</stp>
        <stp>[Taller VBA.xlsm]Hoja2!R50C43</stp>
        <tr r="AQ50" s="7"/>
      </tp>
      <tp>
        <v>0.83799999999999997</v>
        <stp/>
        <stp>##V3_BDPV12</stp>
        <stp>CHSWC3  Curncy</stp>
        <stp>PX_LAST</stp>
        <stp>[Taller VBA.xlsm]Hoja2!R49C43</stp>
        <tr r="AQ49" s="7"/>
      </tp>
      <tp>
        <v>3.2749999999999999</v>
        <stp/>
        <stp>##V3_BDPV12</stp>
        <stp>CHSWP2  Curncy</stp>
        <stp>PX_LAST</stp>
        <stp>[Taller VBA.xlsm]Hoja2!R19C43</stp>
        <tr r="AQ19" s="7"/>
      </tp>
      <tp>
        <v>3.2250000000000001</v>
        <stp/>
        <stp>##V3_BDPV12</stp>
        <stp>CHSWP1F Curncy</stp>
        <stp>PX_LAST</stp>
        <stp>[Taller VBA.xlsm]Hoja2!R18C43</stp>
        <tr r="AQ18" s="7"/>
      </tp>
      <tp>
        <v>0.83</v>
        <stp/>
        <stp>##V3_BDPV12</stp>
        <stp>CHSWC1F Curncy</stp>
        <stp>PX_LAST</stp>
        <stp>[Taller VBA.xlsm]Hoja2!R47C43</stp>
        <tr r="AQ47" s="7"/>
      </tp>
    </main>
    <main first="bloomberg.rtd">
      <tp>
        <v>3.03</v>
        <stp/>
        <stp>##V3_BDPV12</stp>
        <stp>CHSWCC CMPN Curncy</stp>
        <stp>PX_LAST</stp>
        <stp>[Taller VBA.xlsm]Hoja2!R43C43</stp>
        <tr r="AQ43" s="7"/>
      </tp>
    </main>
    <main first="bloomberg.rtd">
      <tp>
        <v>4.05</v>
        <stp/>
        <stp>##V3_BDPV12</stp>
        <stp>CHSWP10  Curncy</stp>
        <stp>PX_LAST</stp>
        <stp>[Taller VBA.xlsm]Hoja2!R27C43</stp>
        <tr r="AQ27" s="7"/>
      </tp>
      <tp>
        <v>1.2649999999999999</v>
        <stp/>
        <stp>##V3_BDPV12</stp>
        <stp>CHSWC10  Curncy</stp>
        <stp>PX_LAST</stp>
        <stp>[Taller VBA.xlsm]Hoja2!R56C43</stp>
        <tr r="AQ56" s="7"/>
      </tp>
      <tp>
        <v>2.75</v>
        <stp/>
        <stp>##V3_BDPV12</stp>
        <stp>CHOVCHOV Index</stp>
        <stp>PX_LAST</stp>
        <stp>[Taller VBA.xlsm]Hoja2!R13C43</stp>
        <tr r="AQ13" s="7"/>
      </tp>
      <tp>
        <v>0.73</v>
        <stp/>
        <stp>##V3_BDPV12</stp>
        <stp>CHSWC2 Curncy</stp>
        <stp>PX_LAST</stp>
        <stp>[Taller VBA.xlsm]Hoja2!R48C43</stp>
        <tr r="AQ48" s="7"/>
      </tp>
      <tp>
        <v>0.77</v>
        <stp/>
        <stp>##V3_BDPV12</stp>
        <stp>CHSWC1 Curncy</stp>
        <stp>PX_LAST</stp>
        <stp>[Taller VBA.xlsm]Hoja2!R46C43</stp>
        <tr r="AQ46" s="7"/>
      </tp>
      <tp>
        <v>1.75</v>
        <stp/>
        <stp>##V3_BDPV12</stp>
        <stp>CHSWCF Curncy</stp>
        <stp>PX_LAST</stp>
        <stp>[Taller VBA.xlsm]Hoja2!R44C43</stp>
        <tr r="AQ44" s="7"/>
      </tp>
      <tp>
        <v>1.165</v>
        <stp/>
        <stp>##V3_BDPV12</stp>
        <stp>CHSWCI Curncy</stp>
        <stp>PX_LAST</stp>
        <stp>[Taller VBA.xlsm]Hoja2!R45C43</stp>
        <tr r="AQ45" s="7"/>
      </tp>
      <tp>
        <v>3.45</v>
        <stp/>
        <stp>##V3_BDPV12</stp>
        <stp>CHSWP3 Curncy</stp>
        <stp>PX_LAST</stp>
        <stp>[Taller VBA.xlsm]Hoja2!R20C43</stp>
        <tr r="AQ20" s="7"/>
      </tp>
      <tp>
        <v>3.1160000000000001</v>
        <stp/>
        <stp>##V3_BDPV12</stp>
        <stp>CHSWP1 Curncy</stp>
        <stp>PX_LAST</stp>
        <stp>[Taller VBA.xlsm]Hoja2!R17C43</stp>
        <tr r="AQ17" s="7"/>
      </tp>
      <tp>
        <v>3.5840000000000001</v>
        <stp/>
        <stp>##V3_BDPV12</stp>
        <stp>CHSWP4 Curncy</stp>
        <stp>PX_LAST</stp>
        <stp>[Taller VBA.xlsm]Hoja2!R21C43</stp>
        <tr r="AQ21" s="7"/>
      </tp>
      <tp>
        <v>2.83</v>
        <stp/>
        <stp>##V3_BDPV12</stp>
        <stp>CHSWPC Curncy</stp>
        <stp>PX_LAST</stp>
        <stp>[Taller VBA.xlsm]Hoja2!R14C43</stp>
        <tr r="AQ14" s="7"/>
      </tp>
      <tp>
        <v>2.915</v>
        <stp/>
        <stp>##V3_BDPV12</stp>
        <stp>CHSWPF Curncy</stp>
        <stp>PX_LAST</stp>
        <stp>[Taller VBA.xlsm]Hoja2!R15C43</stp>
        <tr r="AQ15" s="7"/>
      </tp>
      <tp>
        <v>3</v>
        <stp/>
        <stp>##V3_BDPV12</stp>
        <stp>CHSWPI Curncy</stp>
        <stp>PX_LAST</stp>
        <stp>[Taller VBA.xlsm]Hoja2!R16C43</stp>
        <tr r="AQ16" s="7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volatileDependencies" Target="volatileDependenci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Hoja2!$D$68</c:f>
              <c:strCache>
                <c:ptCount val="1"/>
                <c:pt idx="0">
                  <c:v>Fwd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Hoja2!$C$69:$C$89</c:f>
              <c:numCache>
                <c:formatCode>0.00"Y"</c:formatCode>
                <c:ptCount val="21"/>
                <c:pt idx="0">
                  <c:v>2.7777777777777779E-3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1.5</c:v>
                </c:pt>
                <c:pt idx="6">
                  <c:v>2</c:v>
                </c:pt>
                <c:pt idx="7">
                  <c:v>3</c:v>
                </c:pt>
                <c:pt idx="8">
                  <c:v>4</c:v>
                </c:pt>
                <c:pt idx="9">
                  <c:v>5</c:v>
                </c:pt>
                <c:pt idx="10">
                  <c:v>6</c:v>
                </c:pt>
                <c:pt idx="11">
                  <c:v>7</c:v>
                </c:pt>
                <c:pt idx="12">
                  <c:v>8</c:v>
                </c:pt>
                <c:pt idx="13">
                  <c:v>9</c:v>
                </c:pt>
              </c:numCache>
            </c:numRef>
          </c:xVal>
          <c:yVal>
            <c:numRef>
              <c:f>Hoja2!$D$69:$D$89</c:f>
              <c:numCache>
                <c:formatCode>_-* #,##0.000_-;\-* #,##0.000_-;_-* "-"??_-;_-@_-</c:formatCode>
                <c:ptCount val="21"/>
                <c:pt idx="0">
                  <c:v>3.0361565051535422</c:v>
                </c:pt>
                <c:pt idx="1">
                  <c:v>2.9532874687768995</c:v>
                </c:pt>
                <c:pt idx="2">
                  <c:v>3.0370671539139416</c:v>
                </c:pt>
                <c:pt idx="3">
                  <c:v>3.1174319062394762</c:v>
                </c:pt>
                <c:pt idx="4">
                  <c:v>3.2637160839306514</c:v>
                </c:pt>
                <c:pt idx="5">
                  <c:v>3.3286367636530931</c:v>
                </c:pt>
                <c:pt idx="6">
                  <c:v>2.5769007115793392</c:v>
                </c:pt>
                <c:pt idx="7">
                  <c:v>3.6318677773511077</c:v>
                </c:pt>
                <c:pt idx="8">
                  <c:v>3.7410796339105792</c:v>
                </c:pt>
                <c:pt idx="9">
                  <c:v>3.8183266769019597</c:v>
                </c:pt>
                <c:pt idx="10">
                  <c:v>3.8845427175243961</c:v>
                </c:pt>
                <c:pt idx="11">
                  <c:v>3.9545227897633537</c:v>
                </c:pt>
                <c:pt idx="12">
                  <c:v>4.0184419155659175</c:v>
                </c:pt>
                <c:pt idx="13">
                  <c:v>4.0847411285951036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0EB-4A76-A32E-AFCA6854F1E0}"/>
            </c:ext>
          </c:extLst>
        </c:ser>
        <c:ser>
          <c:idx val="1"/>
          <c:order val="1"/>
          <c:tx>
            <c:strRef>
              <c:f>Hoja2!$E$68</c:f>
              <c:strCache>
                <c:ptCount val="1"/>
                <c:pt idx="0">
                  <c:v>Spot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Hoja2!$C$69:$C$89</c:f>
              <c:numCache>
                <c:formatCode>0.00"Y"</c:formatCode>
                <c:ptCount val="21"/>
                <c:pt idx="0">
                  <c:v>2.7777777777777779E-3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1.5</c:v>
                </c:pt>
                <c:pt idx="6">
                  <c:v>2</c:v>
                </c:pt>
                <c:pt idx="7">
                  <c:v>3</c:v>
                </c:pt>
                <c:pt idx="8">
                  <c:v>4</c:v>
                </c:pt>
                <c:pt idx="9">
                  <c:v>5</c:v>
                </c:pt>
                <c:pt idx="10">
                  <c:v>6</c:v>
                </c:pt>
                <c:pt idx="11">
                  <c:v>7</c:v>
                </c:pt>
                <c:pt idx="12">
                  <c:v>8</c:v>
                </c:pt>
                <c:pt idx="13">
                  <c:v>9</c:v>
                </c:pt>
              </c:numCache>
            </c:numRef>
          </c:xVal>
          <c:yVal>
            <c:numRef>
              <c:f>Hoja2!$E$69:$E$89</c:f>
              <c:numCache>
                <c:formatCode>_(* #,##0.00_);_(* \(#,##0.00\);_(* "-"??_);_(@_)</c:formatCode>
                <c:ptCount val="21"/>
                <c:pt idx="0">
                  <c:v>2.75</c:v>
                </c:pt>
                <c:pt idx="1">
                  <c:v>2.83</c:v>
                </c:pt>
                <c:pt idx="2">
                  <c:v>2.915</c:v>
                </c:pt>
                <c:pt idx="3">
                  <c:v>3</c:v>
                </c:pt>
                <c:pt idx="4">
                  <c:v>3.1160000000000001</c:v>
                </c:pt>
                <c:pt idx="5">
                  <c:v>3.2250000000000001</c:v>
                </c:pt>
                <c:pt idx="6">
                  <c:v>3.2749999999999999</c:v>
                </c:pt>
                <c:pt idx="7">
                  <c:v>3.45</c:v>
                </c:pt>
                <c:pt idx="8">
                  <c:v>3.5840000000000001</c:v>
                </c:pt>
                <c:pt idx="9">
                  <c:v>3.6930000000000001</c:v>
                </c:pt>
                <c:pt idx="10">
                  <c:v>3.76</c:v>
                </c:pt>
                <c:pt idx="11">
                  <c:v>3.8450000000000002</c:v>
                </c:pt>
                <c:pt idx="12">
                  <c:v>3.91</c:v>
                </c:pt>
                <c:pt idx="13">
                  <c:v>3.984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0EB-4A76-A32E-AFCA6854F1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6191248"/>
        <c:axId val="899736240"/>
      </c:scatterChart>
      <c:valAx>
        <c:axId val="1336191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&quot;Y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99736240"/>
        <c:crosses val="autoZero"/>
        <c:crossBetween val="midCat"/>
      </c:valAx>
      <c:valAx>
        <c:axId val="899736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0_-;\-* #,##0.000_-;_-* &quot;-&quot;??_-;_-@_-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361912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600075</xdr:colOff>
      <xdr:row>70</xdr:row>
      <xdr:rowOff>57149</xdr:rowOff>
    </xdr:from>
    <xdr:to>
      <xdr:col>45</xdr:col>
      <xdr:colOff>485775</xdr:colOff>
      <xdr:row>88</xdr:row>
      <xdr:rowOff>47624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C691884-B8B7-4C86-81F3-9764B86023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GEST_HIGH_ALPHA\Bruno%20Andrade\Curvas\Local_Analytics_Packag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Users\bfanght\Desktop\OptionOffshore%20CO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ux"/>
      <sheetName val="Curncy"/>
      <sheetName val="X."/>
      <sheetName val="CHILE BONDS"/>
      <sheetName val="CHILE CAMARA"/>
      <sheetName val="CHILE SIMUL"/>
      <sheetName val="Report_CL"/>
      <sheetName val="MEXICO BONDS"/>
      <sheetName val="MEXICO TIIE"/>
      <sheetName val="MEXICO SIMUL"/>
      <sheetName val="Report_MX"/>
      <sheetName val="COLOMBIA BONDS"/>
      <sheetName val="COLOMBIA IBR"/>
      <sheetName val="COLOMBIA SIMUL"/>
      <sheetName val="Report_CO"/>
      <sheetName val=".X"/>
      <sheetName val="USD_REF"/>
      <sheetName val="PL_XZ"/>
      <sheetName val="POS_XZ_MH"/>
      <sheetName val="PNL_Trades"/>
      <sheetName val="Hist_PNL"/>
      <sheetName val="Hist_Pnl_G"/>
      <sheetName val="PNL_SAC"/>
      <sheetName val="SwapForm"/>
      <sheetName val="Dur"/>
      <sheetName val="X.."/>
      <sheetName val="UF CURVA"/>
      <sheetName val="CPI"/>
      <sheetName val="Report_CPI"/>
      <sheetName val="SIMUL_CPI_CL"/>
      <sheetName val="Eviews"/>
      <sheetName val="Tgt_Time"/>
      <sheetName val="..X"/>
      <sheetName val="POS_XZ_FUT"/>
      <sheetName val="POS_XZ_RF"/>
      <sheetName val="POS_MULT"/>
      <sheetName val="Base_Return"/>
      <sheetName val="Report_Risk"/>
      <sheetName val="Var_Risk"/>
      <sheetName val="X..."/>
      <sheetName val="Opc_P"/>
      <sheetName val="Vol"/>
      <sheetName val="...X"/>
      <sheetName val="CC_OL"/>
    </sheetNames>
    <sheetDataSet>
      <sheetData sheetId="0">
        <row r="2">
          <cell r="I2">
            <v>39516</v>
          </cell>
          <cell r="J2">
            <v>39448</v>
          </cell>
          <cell r="K2">
            <v>41640</v>
          </cell>
          <cell r="L2">
            <v>36892</v>
          </cell>
        </row>
        <row r="3">
          <cell r="I3">
            <v>39528</v>
          </cell>
          <cell r="J3">
            <v>39528</v>
          </cell>
          <cell r="K3">
            <v>41673</v>
          </cell>
          <cell r="L3">
            <v>36948</v>
          </cell>
        </row>
        <row r="4">
          <cell r="I4">
            <v>39594</v>
          </cell>
          <cell r="J4">
            <v>39569</v>
          </cell>
          <cell r="K4">
            <v>41715</v>
          </cell>
          <cell r="L4">
            <v>36949</v>
          </cell>
        </row>
        <row r="5">
          <cell r="I5">
            <v>39633</v>
          </cell>
          <cell r="J5">
            <v>39589</v>
          </cell>
          <cell r="K5">
            <v>41746</v>
          </cell>
          <cell r="L5">
            <v>36994</v>
          </cell>
        </row>
        <row r="6">
          <cell r="I6">
            <v>39630</v>
          </cell>
          <cell r="J6">
            <v>39645</v>
          </cell>
          <cell r="K6">
            <v>41747</v>
          </cell>
          <cell r="L6">
            <v>37002</v>
          </cell>
        </row>
        <row r="7">
          <cell r="I7">
            <v>39734</v>
          </cell>
          <cell r="J7">
            <v>39675</v>
          </cell>
          <cell r="K7">
            <v>41760</v>
          </cell>
          <cell r="L7">
            <v>37012</v>
          </cell>
        </row>
        <row r="8">
          <cell r="I8">
            <v>39754</v>
          </cell>
          <cell r="J8">
            <v>39680</v>
          </cell>
          <cell r="K8">
            <v>41898</v>
          </cell>
          <cell r="L8">
            <v>37056</v>
          </cell>
        </row>
        <row r="9">
          <cell r="I9">
            <v>39763</v>
          </cell>
          <cell r="J9">
            <v>39709</v>
          </cell>
          <cell r="K9">
            <v>41945</v>
          </cell>
          <cell r="L9">
            <v>37141</v>
          </cell>
        </row>
        <row r="10">
          <cell r="I10">
            <v>39779</v>
          </cell>
          <cell r="J10">
            <v>39710</v>
          </cell>
          <cell r="K10">
            <v>41960</v>
          </cell>
          <cell r="L10">
            <v>37176</v>
          </cell>
        </row>
        <row r="11">
          <cell r="I11">
            <v>39807</v>
          </cell>
          <cell r="J11">
            <v>39752</v>
          </cell>
          <cell r="K11">
            <v>41985</v>
          </cell>
          <cell r="L11">
            <v>37197</v>
          </cell>
        </row>
        <row r="12">
          <cell r="I12">
            <v>39814</v>
          </cell>
          <cell r="J12">
            <v>39790</v>
          </cell>
          <cell r="K12">
            <v>41998</v>
          </cell>
          <cell r="L12">
            <v>37210</v>
          </cell>
        </row>
        <row r="13">
          <cell r="I13">
            <v>39832</v>
          </cell>
          <cell r="J13">
            <v>39807</v>
          </cell>
          <cell r="K13">
            <v>42005</v>
          </cell>
          <cell r="L13">
            <v>37250</v>
          </cell>
        </row>
        <row r="14">
          <cell r="I14">
            <v>39860</v>
          </cell>
          <cell r="J14">
            <v>39813</v>
          </cell>
          <cell r="K14">
            <v>42037</v>
          </cell>
          <cell r="L14">
            <v>37257</v>
          </cell>
        </row>
        <row r="15">
          <cell r="I15">
            <v>39880</v>
          </cell>
          <cell r="J15">
            <v>39814</v>
          </cell>
          <cell r="K15">
            <v>42079</v>
          </cell>
          <cell r="L15">
            <v>37298</v>
          </cell>
        </row>
        <row r="16">
          <cell r="I16">
            <v>39913</v>
          </cell>
          <cell r="J16">
            <v>39913</v>
          </cell>
          <cell r="K16">
            <v>42096</v>
          </cell>
          <cell r="L16">
            <v>37299</v>
          </cell>
        </row>
        <row r="17">
          <cell r="I17">
            <v>39958</v>
          </cell>
          <cell r="J17">
            <v>39934</v>
          </cell>
          <cell r="K17">
            <v>42097</v>
          </cell>
          <cell r="L17">
            <v>37344</v>
          </cell>
        </row>
        <row r="18">
          <cell r="I18">
            <v>39997</v>
          </cell>
          <cell r="J18">
            <v>39954</v>
          </cell>
          <cell r="K18">
            <v>42125</v>
          </cell>
          <cell r="L18">
            <v>37367</v>
          </cell>
        </row>
        <row r="19">
          <cell r="I19">
            <v>40063</v>
          </cell>
          <cell r="J19">
            <v>39993</v>
          </cell>
          <cell r="K19">
            <v>42263</v>
          </cell>
          <cell r="L19">
            <v>37377</v>
          </cell>
        </row>
        <row r="20">
          <cell r="I20">
            <v>40098</v>
          </cell>
          <cell r="J20">
            <v>40010</v>
          </cell>
          <cell r="K20">
            <v>42310</v>
          </cell>
          <cell r="L20">
            <v>37406</v>
          </cell>
        </row>
        <row r="21">
          <cell r="I21">
            <v>40118</v>
          </cell>
          <cell r="J21">
            <v>40045</v>
          </cell>
          <cell r="K21">
            <v>42324</v>
          </cell>
          <cell r="L21">
            <v>37506</v>
          </cell>
        </row>
        <row r="22">
          <cell r="I22">
            <v>40128</v>
          </cell>
          <cell r="J22">
            <v>40074</v>
          </cell>
          <cell r="K22">
            <v>42350</v>
          </cell>
          <cell r="L22">
            <v>37541</v>
          </cell>
        </row>
        <row r="23">
          <cell r="I23">
            <v>40143</v>
          </cell>
          <cell r="J23">
            <v>40098</v>
          </cell>
          <cell r="K23">
            <v>42363</v>
          </cell>
          <cell r="L23">
            <v>37562</v>
          </cell>
        </row>
        <row r="24">
          <cell r="I24">
            <v>40172</v>
          </cell>
          <cell r="J24">
            <v>40155</v>
          </cell>
          <cell r="K24">
            <v>42370</v>
          </cell>
          <cell r="L24">
            <v>37575</v>
          </cell>
        </row>
        <row r="25">
          <cell r="I25">
            <v>40179</v>
          </cell>
          <cell r="J25">
            <v>40172</v>
          </cell>
          <cell r="K25">
            <v>42401</v>
          </cell>
          <cell r="L25">
            <v>37615</v>
          </cell>
        </row>
        <row r="26">
          <cell r="I26">
            <v>40196</v>
          </cell>
          <cell r="J26">
            <v>40178</v>
          </cell>
          <cell r="K26">
            <v>42450</v>
          </cell>
          <cell r="L26">
            <v>37622</v>
          </cell>
        </row>
        <row r="27">
          <cell r="I27">
            <v>40224</v>
          </cell>
          <cell r="J27">
            <v>40179</v>
          </cell>
          <cell r="K27">
            <v>42453</v>
          </cell>
          <cell r="L27">
            <v>37683</v>
          </cell>
        </row>
        <row r="28">
          <cell r="I28">
            <v>40251</v>
          </cell>
          <cell r="J28">
            <v>40270</v>
          </cell>
          <cell r="K28">
            <v>42454</v>
          </cell>
          <cell r="L28">
            <v>37684</v>
          </cell>
        </row>
        <row r="29">
          <cell r="I29">
            <v>40270</v>
          </cell>
          <cell r="J29">
            <v>40319</v>
          </cell>
          <cell r="K29">
            <v>42491</v>
          </cell>
          <cell r="L29">
            <v>37729</v>
          </cell>
        </row>
        <row r="30">
          <cell r="I30">
            <v>40329</v>
          </cell>
          <cell r="J30">
            <v>40357</v>
          </cell>
          <cell r="K30">
            <v>42629</v>
          </cell>
          <cell r="L30">
            <v>37732</v>
          </cell>
        </row>
        <row r="31">
          <cell r="I31">
            <v>40363</v>
          </cell>
          <cell r="J31">
            <v>40375</v>
          </cell>
          <cell r="K31">
            <v>42676</v>
          </cell>
          <cell r="L31">
            <v>37742</v>
          </cell>
        </row>
        <row r="32">
          <cell r="I32">
            <v>40364</v>
          </cell>
          <cell r="J32">
            <v>40410</v>
          </cell>
          <cell r="K32">
            <v>42695</v>
          </cell>
          <cell r="L32">
            <v>37791</v>
          </cell>
        </row>
        <row r="33">
          <cell r="I33">
            <v>40427</v>
          </cell>
          <cell r="J33">
            <v>40438</v>
          </cell>
          <cell r="K33">
            <v>42716</v>
          </cell>
          <cell r="L33">
            <v>37871</v>
          </cell>
        </row>
        <row r="34">
          <cell r="I34">
            <v>40462</v>
          </cell>
          <cell r="J34">
            <v>40441</v>
          </cell>
          <cell r="K34">
            <v>42729</v>
          </cell>
          <cell r="L34">
            <v>37906</v>
          </cell>
        </row>
        <row r="35">
          <cell r="I35">
            <v>40489</v>
          </cell>
          <cell r="J35">
            <v>40462</v>
          </cell>
          <cell r="K35">
            <v>42736</v>
          </cell>
          <cell r="L35">
            <v>37927</v>
          </cell>
        </row>
        <row r="36">
          <cell r="I36">
            <v>40493</v>
          </cell>
          <cell r="J36">
            <v>40483</v>
          </cell>
          <cell r="K36">
            <v>42772</v>
          </cell>
          <cell r="L36">
            <v>37940</v>
          </cell>
        </row>
        <row r="37">
          <cell r="I37">
            <v>40507</v>
          </cell>
          <cell r="J37">
            <v>40520</v>
          </cell>
          <cell r="K37">
            <v>42814</v>
          </cell>
          <cell r="L37">
            <v>37980</v>
          </cell>
        </row>
        <row r="38">
          <cell r="I38">
            <v>40536</v>
          </cell>
          <cell r="J38">
            <v>40543</v>
          </cell>
          <cell r="K38">
            <v>42838</v>
          </cell>
          <cell r="L38">
            <v>37987</v>
          </cell>
        </row>
        <row r="39">
          <cell r="I39">
            <v>40537</v>
          </cell>
          <cell r="J39">
            <v>40655</v>
          </cell>
          <cell r="K39">
            <v>42839</v>
          </cell>
          <cell r="L39">
            <v>38040</v>
          </cell>
        </row>
        <row r="40">
          <cell r="I40">
            <v>40544</v>
          </cell>
          <cell r="J40">
            <v>40721</v>
          </cell>
          <cell r="K40">
            <v>42856</v>
          </cell>
          <cell r="L40">
            <v>38041</v>
          </cell>
        </row>
        <row r="41">
          <cell r="I41">
            <v>40560</v>
          </cell>
          <cell r="J41">
            <v>40770</v>
          </cell>
          <cell r="K41">
            <v>42994</v>
          </cell>
          <cell r="L41">
            <v>38086</v>
          </cell>
        </row>
        <row r="42">
          <cell r="I42">
            <v>40595</v>
          </cell>
          <cell r="J42">
            <v>40805</v>
          </cell>
          <cell r="K42">
            <v>43041</v>
          </cell>
          <cell r="L42">
            <v>38098</v>
          </cell>
        </row>
        <row r="43">
          <cell r="I43">
            <v>40615</v>
          </cell>
          <cell r="J43">
            <v>40826</v>
          </cell>
          <cell r="K43">
            <v>43059</v>
          </cell>
          <cell r="L43">
            <v>38108</v>
          </cell>
        </row>
        <row r="44">
          <cell r="I44">
            <v>40655</v>
          </cell>
          <cell r="J44">
            <v>40847</v>
          </cell>
          <cell r="K44">
            <v>43081</v>
          </cell>
          <cell r="L44">
            <v>38148</v>
          </cell>
        </row>
        <row r="45">
          <cell r="I45">
            <v>40693</v>
          </cell>
          <cell r="J45">
            <v>40848</v>
          </cell>
          <cell r="K45">
            <v>43094</v>
          </cell>
          <cell r="L45">
            <v>38237</v>
          </cell>
        </row>
        <row r="46">
          <cell r="I46">
            <v>40728</v>
          </cell>
          <cell r="J46">
            <v>40885</v>
          </cell>
          <cell r="K46">
            <v>43101</v>
          </cell>
          <cell r="L46">
            <v>38272</v>
          </cell>
        </row>
        <row r="47">
          <cell r="I47">
            <v>40791</v>
          </cell>
          <cell r="J47">
            <v>40902</v>
          </cell>
          <cell r="K47">
            <v>43136</v>
          </cell>
          <cell r="L47">
            <v>38293</v>
          </cell>
        </row>
        <row r="48">
          <cell r="I48">
            <v>40826</v>
          </cell>
          <cell r="J48">
            <v>40908</v>
          </cell>
          <cell r="K48">
            <v>43178</v>
          </cell>
          <cell r="L48">
            <v>38306</v>
          </cell>
        </row>
        <row r="49">
          <cell r="I49">
            <v>40853</v>
          </cell>
          <cell r="J49">
            <v>41005</v>
          </cell>
          <cell r="K49">
            <v>43188</v>
          </cell>
          <cell r="L49">
            <v>38346</v>
          </cell>
        </row>
        <row r="50">
          <cell r="I50">
            <v>40858</v>
          </cell>
          <cell r="J50">
            <v>41030</v>
          </cell>
          <cell r="K50">
            <v>43189</v>
          </cell>
          <cell r="L50">
            <v>38353</v>
          </cell>
        </row>
        <row r="51">
          <cell r="I51">
            <v>40871</v>
          </cell>
          <cell r="J51">
            <v>41050</v>
          </cell>
          <cell r="K51">
            <v>43221</v>
          </cell>
          <cell r="L51">
            <v>38390</v>
          </cell>
        </row>
        <row r="52">
          <cell r="I52">
            <v>40902</v>
          </cell>
          <cell r="J52">
            <v>41092</v>
          </cell>
          <cell r="K52">
            <v>43225</v>
          </cell>
          <cell r="L52">
            <v>38391</v>
          </cell>
        </row>
        <row r="53">
          <cell r="I53">
            <v>40903</v>
          </cell>
          <cell r="J53">
            <v>41106</v>
          </cell>
          <cell r="K53">
            <v>43359</v>
          </cell>
          <cell r="L53">
            <v>38436</v>
          </cell>
        </row>
        <row r="54">
          <cell r="I54">
            <v>40909</v>
          </cell>
          <cell r="J54">
            <v>41136</v>
          </cell>
          <cell r="K54">
            <v>43406</v>
          </cell>
          <cell r="L54">
            <v>38463</v>
          </cell>
        </row>
        <row r="55">
          <cell r="I55">
            <v>40910</v>
          </cell>
          <cell r="J55">
            <v>41169</v>
          </cell>
          <cell r="K55">
            <v>43423</v>
          </cell>
          <cell r="L55">
            <v>38473</v>
          </cell>
        </row>
        <row r="56">
          <cell r="I56">
            <v>40924</v>
          </cell>
          <cell r="J56">
            <v>41170</v>
          </cell>
          <cell r="K56">
            <v>43435</v>
          </cell>
          <cell r="L56">
            <v>38498</v>
          </cell>
        </row>
        <row r="57">
          <cell r="I57">
            <v>40959</v>
          </cell>
          <cell r="J57">
            <v>41171</v>
          </cell>
          <cell r="K57">
            <v>43446</v>
          </cell>
          <cell r="L57">
            <v>38602</v>
          </cell>
        </row>
        <row r="58">
          <cell r="I58">
            <v>40979</v>
          </cell>
          <cell r="J58">
            <v>41197</v>
          </cell>
          <cell r="K58">
            <v>43459</v>
          </cell>
          <cell r="L58">
            <v>38637</v>
          </cell>
        </row>
        <row r="59">
          <cell r="I59">
            <v>41005</v>
          </cell>
          <cell r="J59">
            <v>41214</v>
          </cell>
          <cell r="K59">
            <v>43466</v>
          </cell>
          <cell r="L59">
            <v>38658</v>
          </cell>
        </row>
        <row r="60">
          <cell r="I60">
            <v>41057</v>
          </cell>
          <cell r="J60">
            <v>41215</v>
          </cell>
          <cell r="K60">
            <v>43500</v>
          </cell>
          <cell r="L60">
            <v>38671</v>
          </cell>
        </row>
        <row r="61">
          <cell r="I61">
            <v>41094</v>
          </cell>
          <cell r="J61">
            <v>41268</v>
          </cell>
          <cell r="K61">
            <v>43542</v>
          </cell>
          <cell r="L61">
            <v>38711</v>
          </cell>
        </row>
        <row r="62">
          <cell r="I62">
            <v>41155</v>
          </cell>
          <cell r="J62">
            <v>41274</v>
          </cell>
          <cell r="K62">
            <v>43573</v>
          </cell>
          <cell r="L62">
            <v>38718</v>
          </cell>
        </row>
        <row r="63">
          <cell r="I63">
            <v>41190</v>
          </cell>
          <cell r="J63">
            <v>41275</v>
          </cell>
          <cell r="K63">
            <v>43574</v>
          </cell>
          <cell r="L63">
            <v>38775</v>
          </cell>
        </row>
        <row r="64">
          <cell r="I64">
            <v>41217</v>
          </cell>
          <cell r="J64">
            <v>41362</v>
          </cell>
          <cell r="K64">
            <v>43586</v>
          </cell>
          <cell r="L64">
            <v>38776</v>
          </cell>
        </row>
        <row r="65">
          <cell r="I65">
            <v>41225</v>
          </cell>
          <cell r="J65">
            <v>41363</v>
          </cell>
          <cell r="K65">
            <v>43590</v>
          </cell>
          <cell r="L65">
            <v>38821</v>
          </cell>
        </row>
        <row r="66">
          <cell r="I66">
            <v>41235</v>
          </cell>
          <cell r="J66">
            <v>41364</v>
          </cell>
          <cell r="K66">
            <v>43724</v>
          </cell>
          <cell r="L66">
            <v>38828</v>
          </cell>
        </row>
        <row r="67">
          <cell r="I67">
            <v>41268</v>
          </cell>
          <cell r="J67">
            <v>41395</v>
          </cell>
          <cell r="K67">
            <v>43771</v>
          </cell>
          <cell r="L67">
            <v>38838</v>
          </cell>
        </row>
        <row r="68">
          <cell r="I68">
            <v>41275</v>
          </cell>
          <cell r="J68">
            <v>41415</v>
          </cell>
          <cell r="K68">
            <v>43787</v>
          </cell>
          <cell r="L68">
            <v>38883</v>
          </cell>
        </row>
        <row r="69">
          <cell r="I69">
            <v>41295</v>
          </cell>
          <cell r="J69">
            <v>41454</v>
          </cell>
          <cell r="K69">
            <v>43811</v>
          </cell>
          <cell r="L69">
            <v>38967</v>
          </cell>
        </row>
        <row r="70">
          <cell r="I70">
            <v>41323</v>
          </cell>
          <cell r="J70">
            <v>41471</v>
          </cell>
          <cell r="K70">
            <v>43824</v>
          </cell>
          <cell r="L70">
            <v>39002</v>
          </cell>
        </row>
        <row r="71">
          <cell r="I71">
            <v>41343</v>
          </cell>
          <cell r="J71">
            <v>41501</v>
          </cell>
          <cell r="K71">
            <v>43831</v>
          </cell>
          <cell r="L71">
            <v>39023</v>
          </cell>
        </row>
        <row r="72">
          <cell r="I72">
            <v>41362</v>
          </cell>
          <cell r="J72">
            <v>41535</v>
          </cell>
          <cell r="K72">
            <v>43864</v>
          </cell>
          <cell r="L72">
            <v>39036</v>
          </cell>
        </row>
        <row r="73">
          <cell r="I73">
            <v>41421</v>
          </cell>
          <cell r="J73">
            <v>41536</v>
          </cell>
          <cell r="K73">
            <v>43906</v>
          </cell>
          <cell r="L73">
            <v>39076</v>
          </cell>
        </row>
        <row r="74">
          <cell r="I74">
            <v>41459</v>
          </cell>
          <cell r="J74">
            <v>41537</v>
          </cell>
          <cell r="K74">
            <v>43930</v>
          </cell>
          <cell r="L74">
            <v>39083</v>
          </cell>
        </row>
        <row r="75">
          <cell r="I75">
            <v>41519</v>
          </cell>
          <cell r="J75">
            <v>41559</v>
          </cell>
          <cell r="K75">
            <v>43931</v>
          </cell>
          <cell r="L75">
            <v>39132</v>
          </cell>
        </row>
        <row r="76">
          <cell r="I76">
            <v>41561</v>
          </cell>
          <cell r="J76">
            <v>41578</v>
          </cell>
          <cell r="K76">
            <v>43952</v>
          </cell>
          <cell r="L76">
            <v>39133</v>
          </cell>
        </row>
        <row r="77">
          <cell r="I77">
            <v>41581</v>
          </cell>
          <cell r="J77">
            <v>41579</v>
          </cell>
          <cell r="K77">
            <v>44090</v>
          </cell>
          <cell r="L77">
            <v>39178</v>
          </cell>
        </row>
        <row r="78">
          <cell r="I78">
            <v>41589</v>
          </cell>
          <cell r="J78">
            <v>41616</v>
          </cell>
          <cell r="K78">
            <v>44137</v>
          </cell>
          <cell r="L78">
            <v>39193</v>
          </cell>
        </row>
        <row r="79">
          <cell r="I79">
            <v>41606</v>
          </cell>
          <cell r="J79">
            <v>41633</v>
          </cell>
          <cell r="K79">
            <v>44151</v>
          </cell>
          <cell r="L79">
            <v>39203</v>
          </cell>
        </row>
        <row r="80">
          <cell r="I80">
            <v>41633</v>
          </cell>
          <cell r="J80">
            <v>41639</v>
          </cell>
          <cell r="K80">
            <v>44177</v>
          </cell>
          <cell r="L80">
            <v>39240</v>
          </cell>
        </row>
        <row r="81">
          <cell r="I81">
            <v>41640</v>
          </cell>
          <cell r="J81">
            <v>41640</v>
          </cell>
          <cell r="K81">
            <v>44190</v>
          </cell>
          <cell r="L81">
            <v>39332</v>
          </cell>
        </row>
        <row r="82">
          <cell r="I82">
            <v>41659</v>
          </cell>
          <cell r="J82">
            <v>41747</v>
          </cell>
          <cell r="K82">
            <v>44197</v>
          </cell>
          <cell r="L82">
            <v>39367</v>
          </cell>
        </row>
        <row r="83">
          <cell r="I83">
            <v>41687</v>
          </cell>
          <cell r="J83">
            <v>41748</v>
          </cell>
          <cell r="K83">
            <v>44228</v>
          </cell>
          <cell r="L83">
            <v>39388</v>
          </cell>
        </row>
        <row r="84">
          <cell r="I84">
            <v>41707</v>
          </cell>
          <cell r="J84">
            <v>41749</v>
          </cell>
          <cell r="K84">
            <v>44270</v>
          </cell>
          <cell r="L84">
            <v>39401</v>
          </cell>
        </row>
        <row r="85">
          <cell r="I85">
            <v>41747</v>
          </cell>
          <cell r="J85">
            <v>41760</v>
          </cell>
          <cell r="K85">
            <v>44287</v>
          </cell>
          <cell r="L85">
            <v>39441</v>
          </cell>
        </row>
        <row r="86">
          <cell r="I86">
            <v>41785</v>
          </cell>
          <cell r="J86">
            <v>41780</v>
          </cell>
          <cell r="K86">
            <v>44288</v>
          </cell>
          <cell r="L86">
            <v>39448</v>
          </cell>
        </row>
        <row r="87">
          <cell r="I87">
            <v>41824</v>
          </cell>
          <cell r="J87">
            <v>41819</v>
          </cell>
          <cell r="K87">
            <v>44317</v>
          </cell>
          <cell r="L87">
            <v>39482</v>
          </cell>
        </row>
        <row r="88">
          <cell r="I88">
            <v>41883</v>
          </cell>
          <cell r="J88">
            <v>41836</v>
          </cell>
          <cell r="K88">
            <v>44455</v>
          </cell>
          <cell r="L88">
            <v>39483</v>
          </cell>
        </row>
        <row r="89">
          <cell r="I89">
            <v>41925</v>
          </cell>
          <cell r="J89">
            <v>41866</v>
          </cell>
          <cell r="K89">
            <v>44502</v>
          </cell>
          <cell r="L89">
            <v>39528</v>
          </cell>
        </row>
        <row r="90">
          <cell r="I90">
            <v>41945</v>
          </cell>
          <cell r="J90">
            <v>41900</v>
          </cell>
          <cell r="K90">
            <v>44515</v>
          </cell>
          <cell r="L90">
            <v>39559</v>
          </cell>
        </row>
        <row r="91">
          <cell r="I91">
            <v>41954</v>
          </cell>
          <cell r="J91">
            <v>41901</v>
          </cell>
          <cell r="K91">
            <v>44542</v>
          </cell>
          <cell r="L91">
            <v>39569</v>
          </cell>
        </row>
        <row r="92">
          <cell r="I92">
            <v>41970</v>
          </cell>
          <cell r="J92">
            <v>41924</v>
          </cell>
          <cell r="K92">
            <v>44555</v>
          </cell>
          <cell r="L92">
            <v>39590</v>
          </cell>
        </row>
        <row r="93">
          <cell r="I93">
            <v>41998</v>
          </cell>
          <cell r="J93">
            <v>41943</v>
          </cell>
          <cell r="K93">
            <v>44562</v>
          </cell>
          <cell r="L93">
            <v>39698</v>
          </cell>
        </row>
        <row r="94">
          <cell r="I94">
            <v>42005</v>
          </cell>
          <cell r="J94">
            <v>41944</v>
          </cell>
          <cell r="K94">
            <v>44599</v>
          </cell>
          <cell r="L94">
            <v>39733</v>
          </cell>
        </row>
        <row r="95">
          <cell r="I95">
            <v>42023</v>
          </cell>
          <cell r="J95">
            <v>41981</v>
          </cell>
          <cell r="K95">
            <v>44641</v>
          </cell>
          <cell r="L95">
            <v>39754</v>
          </cell>
        </row>
        <row r="96">
          <cell r="I96">
            <v>42051</v>
          </cell>
          <cell r="J96">
            <v>41998</v>
          </cell>
          <cell r="K96">
            <v>44665</v>
          </cell>
          <cell r="L96">
            <v>39767</v>
          </cell>
        </row>
        <row r="97">
          <cell r="I97">
            <v>42071</v>
          </cell>
          <cell r="J97">
            <v>42004</v>
          </cell>
          <cell r="K97">
            <v>44666</v>
          </cell>
          <cell r="L97">
            <v>39807</v>
          </cell>
        </row>
        <row r="98">
          <cell r="I98">
            <v>42097</v>
          </cell>
          <cell r="J98">
            <v>42005</v>
          </cell>
          <cell r="K98">
            <v>44682</v>
          </cell>
          <cell r="L98">
            <v>39814</v>
          </cell>
        </row>
        <row r="99">
          <cell r="I99">
            <v>42149</v>
          </cell>
          <cell r="J99">
            <v>42097</v>
          </cell>
          <cell r="K99">
            <v>44820</v>
          </cell>
          <cell r="L99">
            <v>39867</v>
          </cell>
        </row>
        <row r="100">
          <cell r="I100">
            <v>42188</v>
          </cell>
          <cell r="J100">
            <v>42098</v>
          </cell>
          <cell r="K100">
            <v>44867</v>
          </cell>
          <cell r="L100">
            <v>39868</v>
          </cell>
        </row>
        <row r="101">
          <cell r="I101">
            <v>42189</v>
          </cell>
          <cell r="J101">
            <v>42099</v>
          </cell>
          <cell r="K101">
            <v>44886</v>
          </cell>
          <cell r="L101">
            <v>39913</v>
          </cell>
        </row>
        <row r="102">
          <cell r="I102">
            <v>42254</v>
          </cell>
          <cell r="J102">
            <v>42125</v>
          </cell>
          <cell r="K102">
            <v>44907</v>
          </cell>
          <cell r="L102">
            <v>39924</v>
          </cell>
        </row>
        <row r="103">
          <cell r="I103">
            <v>42289</v>
          </cell>
          <cell r="J103">
            <v>42145</v>
          </cell>
          <cell r="K103">
            <v>44920</v>
          </cell>
          <cell r="L103">
            <v>39934</v>
          </cell>
        </row>
        <row r="104">
          <cell r="I104">
            <v>42309</v>
          </cell>
          <cell r="J104">
            <v>42184</v>
          </cell>
          <cell r="K104">
            <v>44927</v>
          </cell>
          <cell r="L104">
            <v>39975</v>
          </cell>
        </row>
        <row r="105">
          <cell r="I105">
            <v>42319</v>
          </cell>
          <cell r="J105">
            <v>42201</v>
          </cell>
          <cell r="K105">
            <v>44963</v>
          </cell>
          <cell r="L105">
            <v>40063</v>
          </cell>
        </row>
        <row r="106">
          <cell r="I106">
            <v>42334</v>
          </cell>
          <cell r="J106">
            <v>42231</v>
          </cell>
          <cell r="K106">
            <v>45005</v>
          </cell>
          <cell r="L106">
            <v>40098</v>
          </cell>
        </row>
        <row r="107">
          <cell r="I107">
            <v>42363</v>
          </cell>
          <cell r="J107">
            <v>42265</v>
          </cell>
          <cell r="K107">
            <v>45022</v>
          </cell>
          <cell r="L107">
            <v>40119</v>
          </cell>
        </row>
        <row r="108">
          <cell r="I108">
            <v>42370</v>
          </cell>
          <cell r="J108">
            <v>42266</v>
          </cell>
          <cell r="K108">
            <v>45023</v>
          </cell>
          <cell r="L108">
            <v>40132</v>
          </cell>
        </row>
        <row r="109">
          <cell r="I109">
            <v>42387</v>
          </cell>
          <cell r="J109">
            <v>42289</v>
          </cell>
          <cell r="K109">
            <v>45047</v>
          </cell>
          <cell r="L109">
            <v>40172</v>
          </cell>
        </row>
        <row r="110">
          <cell r="I110">
            <v>42415</v>
          </cell>
          <cell r="J110">
            <v>42308</v>
          </cell>
          <cell r="K110">
            <v>45185</v>
          </cell>
          <cell r="L110">
            <v>40179</v>
          </cell>
        </row>
        <row r="111">
          <cell r="I111">
            <v>42442</v>
          </cell>
          <cell r="J111">
            <v>42309</v>
          </cell>
          <cell r="K111">
            <v>45232</v>
          </cell>
          <cell r="L111">
            <v>40224</v>
          </cell>
        </row>
        <row r="112">
          <cell r="I112">
            <v>42454</v>
          </cell>
          <cell r="J112">
            <v>42346</v>
          </cell>
          <cell r="K112">
            <v>45250</v>
          </cell>
          <cell r="L112">
            <v>40225</v>
          </cell>
        </row>
        <row r="113">
          <cell r="I113">
            <v>42520</v>
          </cell>
          <cell r="J113">
            <v>42363</v>
          </cell>
          <cell r="K113">
            <v>45272</v>
          </cell>
          <cell r="L113">
            <v>40270</v>
          </cell>
        </row>
        <row r="114">
          <cell r="I114">
            <v>42555</v>
          </cell>
          <cell r="J114">
            <v>42370</v>
          </cell>
          <cell r="K114">
            <v>45285</v>
          </cell>
          <cell r="L114">
            <v>40289</v>
          </cell>
        </row>
        <row r="115">
          <cell r="I115">
            <v>42618</v>
          </cell>
          <cell r="J115">
            <v>42454</v>
          </cell>
          <cell r="K115">
            <v>45292</v>
          </cell>
          <cell r="L115">
            <v>40299</v>
          </cell>
        </row>
        <row r="116">
          <cell r="I116">
            <v>42653</v>
          </cell>
          <cell r="J116">
            <v>42455</v>
          </cell>
          <cell r="K116">
            <v>45327</v>
          </cell>
          <cell r="L116">
            <v>40332</v>
          </cell>
        </row>
        <row r="117">
          <cell r="I117">
            <v>42680</v>
          </cell>
          <cell r="J117">
            <v>42456</v>
          </cell>
          <cell r="K117">
            <v>45369</v>
          </cell>
          <cell r="L117">
            <v>40428</v>
          </cell>
        </row>
        <row r="118">
          <cell r="I118">
            <v>42685</v>
          </cell>
          <cell r="J118">
            <v>42491</v>
          </cell>
          <cell r="K118">
            <v>45379</v>
          </cell>
          <cell r="L118">
            <v>40463</v>
          </cell>
        </row>
        <row r="119">
          <cell r="I119">
            <v>42698</v>
          </cell>
          <cell r="J119">
            <v>42511</v>
          </cell>
          <cell r="K119">
            <v>45380</v>
          </cell>
          <cell r="L119">
            <v>40484</v>
          </cell>
        </row>
        <row r="120">
          <cell r="I120">
            <v>42729</v>
          </cell>
          <cell r="J120">
            <v>42548</v>
          </cell>
          <cell r="K120">
            <v>45413</v>
          </cell>
          <cell r="L120">
            <v>40497</v>
          </cell>
        </row>
        <row r="121">
          <cell r="I121">
            <v>42730</v>
          </cell>
          <cell r="J121">
            <v>42567</v>
          </cell>
          <cell r="K121">
            <v>45551</v>
          </cell>
          <cell r="L121">
            <v>40537</v>
          </cell>
        </row>
        <row r="122">
          <cell r="I122">
            <v>42736</v>
          </cell>
          <cell r="J122">
            <v>42597</v>
          </cell>
          <cell r="K122">
            <v>45598</v>
          </cell>
          <cell r="L122">
            <v>40544</v>
          </cell>
        </row>
        <row r="123">
          <cell r="I123">
            <v>42737</v>
          </cell>
          <cell r="J123">
            <v>42631</v>
          </cell>
          <cell r="K123">
            <v>45614</v>
          </cell>
          <cell r="L123">
            <v>40609</v>
          </cell>
        </row>
        <row r="124">
          <cell r="I124">
            <v>42751</v>
          </cell>
          <cell r="J124">
            <v>42632</v>
          </cell>
          <cell r="K124">
            <v>45627</v>
          </cell>
          <cell r="L124">
            <v>40610</v>
          </cell>
        </row>
        <row r="125">
          <cell r="I125">
            <v>42786</v>
          </cell>
          <cell r="J125">
            <v>42653</v>
          </cell>
          <cell r="K125">
            <v>45638</v>
          </cell>
          <cell r="L125">
            <v>40654</v>
          </cell>
        </row>
        <row r="126">
          <cell r="I126">
            <v>42806</v>
          </cell>
          <cell r="J126">
            <v>42674</v>
          </cell>
          <cell r="K126">
            <v>45651</v>
          </cell>
          <cell r="L126">
            <v>40655</v>
          </cell>
        </row>
        <row r="127">
          <cell r="I127">
            <v>42839</v>
          </cell>
          <cell r="J127">
            <v>42675</v>
          </cell>
          <cell r="K127">
            <v>45658</v>
          </cell>
          <cell r="L127">
            <v>40664</v>
          </cell>
        </row>
        <row r="128">
          <cell r="I128">
            <v>42884</v>
          </cell>
          <cell r="J128">
            <v>42712</v>
          </cell>
          <cell r="K128">
            <v>45691</v>
          </cell>
          <cell r="L128">
            <v>40717</v>
          </cell>
        </row>
        <row r="129">
          <cell r="I129">
            <v>42920</v>
          </cell>
          <cell r="J129">
            <v>42729</v>
          </cell>
          <cell r="K129">
            <v>45733</v>
          </cell>
          <cell r="L129">
            <v>40793</v>
          </cell>
        </row>
        <row r="130">
          <cell r="I130">
            <v>42982</v>
          </cell>
          <cell r="J130">
            <v>42736</v>
          </cell>
          <cell r="K130">
            <v>45764</v>
          </cell>
          <cell r="L130">
            <v>40828</v>
          </cell>
        </row>
        <row r="131">
          <cell r="I131">
            <v>43017</v>
          </cell>
          <cell r="J131">
            <v>42839</v>
          </cell>
          <cell r="K131">
            <v>45795</v>
          </cell>
          <cell r="L131">
            <v>40849</v>
          </cell>
        </row>
        <row r="132">
          <cell r="I132">
            <v>43044</v>
          </cell>
          <cell r="J132">
            <v>42840</v>
          </cell>
          <cell r="K132">
            <v>45778</v>
          </cell>
          <cell r="L132">
            <v>40862</v>
          </cell>
        </row>
        <row r="133">
          <cell r="I133">
            <v>43049</v>
          </cell>
          <cell r="J133">
            <v>42841</v>
          </cell>
          <cell r="K133">
            <v>45916</v>
          </cell>
          <cell r="L133">
            <v>40902</v>
          </cell>
        </row>
        <row r="134">
          <cell r="I134">
            <v>43062</v>
          </cell>
          <cell r="J134">
            <v>42856</v>
          </cell>
          <cell r="K134">
            <v>45963</v>
          </cell>
          <cell r="L134">
            <v>40909</v>
          </cell>
        </row>
        <row r="135">
          <cell r="I135">
            <v>43094</v>
          </cell>
          <cell r="J135">
            <v>42876</v>
          </cell>
          <cell r="K135">
            <v>45978</v>
          </cell>
          <cell r="L135">
            <v>40959</v>
          </cell>
        </row>
        <row r="136">
          <cell r="I136">
            <v>43101</v>
          </cell>
          <cell r="J136">
            <v>42912</v>
          </cell>
          <cell r="K136">
            <v>46003</v>
          </cell>
          <cell r="L136">
            <v>40960</v>
          </cell>
        </row>
        <row r="137">
          <cell r="I137">
            <v>43115</v>
          </cell>
          <cell r="J137">
            <v>42932</v>
          </cell>
          <cell r="K137">
            <v>46016</v>
          </cell>
          <cell r="L137">
            <v>41005</v>
          </cell>
        </row>
        <row r="138">
          <cell r="I138">
            <v>43150</v>
          </cell>
          <cell r="J138">
            <v>42962</v>
          </cell>
          <cell r="L138">
            <v>41020</v>
          </cell>
        </row>
        <row r="139">
          <cell r="I139">
            <v>43189</v>
          </cell>
          <cell r="J139">
            <v>42996</v>
          </cell>
          <cell r="L139">
            <v>41030</v>
          </cell>
        </row>
        <row r="140">
          <cell r="I140">
            <v>43248</v>
          </cell>
          <cell r="J140">
            <v>42997</v>
          </cell>
          <cell r="L140">
            <v>41067</v>
          </cell>
        </row>
        <row r="141">
          <cell r="I141">
            <v>43285</v>
          </cell>
          <cell r="J141">
            <v>43017</v>
          </cell>
          <cell r="L141">
            <v>41159</v>
          </cell>
        </row>
        <row r="142">
          <cell r="I142">
            <v>43346</v>
          </cell>
          <cell r="J142">
            <v>43035</v>
          </cell>
          <cell r="L142">
            <v>41194</v>
          </cell>
        </row>
        <row r="143">
          <cell r="I143">
            <v>43381</v>
          </cell>
          <cell r="J143">
            <v>43040</v>
          </cell>
          <cell r="L143">
            <v>41215</v>
          </cell>
        </row>
        <row r="144">
          <cell r="I144">
            <v>43416</v>
          </cell>
          <cell r="J144">
            <v>43077</v>
          </cell>
          <cell r="L144">
            <v>41228</v>
          </cell>
        </row>
        <row r="145">
          <cell r="I145">
            <v>43426</v>
          </cell>
          <cell r="J145">
            <v>43094</v>
          </cell>
          <cell r="L145">
            <v>41268</v>
          </cell>
        </row>
        <row r="146">
          <cell r="I146">
            <v>43459</v>
          </cell>
          <cell r="J146">
            <v>43101</v>
          </cell>
          <cell r="L146">
            <v>41275</v>
          </cell>
        </row>
        <row r="147">
          <cell r="I147">
            <v>43466</v>
          </cell>
          <cell r="J147">
            <v>43189</v>
          </cell>
          <cell r="L147">
            <v>41316</v>
          </cell>
        </row>
        <row r="148">
          <cell r="I148">
            <v>43486</v>
          </cell>
          <cell r="J148">
            <v>43190</v>
          </cell>
          <cell r="L148">
            <v>41317</v>
          </cell>
        </row>
        <row r="149">
          <cell r="I149">
            <v>43514</v>
          </cell>
          <cell r="J149">
            <v>43191</v>
          </cell>
          <cell r="L149">
            <v>41362</v>
          </cell>
        </row>
        <row r="150">
          <cell r="I150">
            <v>43574</v>
          </cell>
          <cell r="J150">
            <v>43221</v>
          </cell>
          <cell r="L150">
            <v>41385</v>
          </cell>
        </row>
        <row r="151">
          <cell r="I151">
            <v>43612</v>
          </cell>
          <cell r="J151">
            <v>43241</v>
          </cell>
          <cell r="L151">
            <v>41395</v>
          </cell>
        </row>
        <row r="152">
          <cell r="I152">
            <v>43650</v>
          </cell>
          <cell r="J152">
            <v>43283</v>
          </cell>
          <cell r="L152">
            <v>41424</v>
          </cell>
        </row>
        <row r="153">
          <cell r="I153">
            <v>43710</v>
          </cell>
          <cell r="J153">
            <v>43297</v>
          </cell>
          <cell r="L153">
            <v>41524</v>
          </cell>
        </row>
        <row r="154">
          <cell r="I154">
            <v>43752</v>
          </cell>
          <cell r="J154">
            <v>43327</v>
          </cell>
          <cell r="L154">
            <v>41559</v>
          </cell>
        </row>
        <row r="155">
          <cell r="I155">
            <v>43780</v>
          </cell>
          <cell r="J155">
            <v>43361</v>
          </cell>
          <cell r="L155">
            <v>41580</v>
          </cell>
        </row>
        <row r="156">
          <cell r="I156">
            <v>43797</v>
          </cell>
          <cell r="J156">
            <v>43362</v>
          </cell>
          <cell r="L156">
            <v>41593</v>
          </cell>
        </row>
        <row r="157">
          <cell r="I157">
            <v>43824</v>
          </cell>
          <cell r="J157">
            <v>43388</v>
          </cell>
          <cell r="L157">
            <v>41633</v>
          </cell>
        </row>
        <row r="158">
          <cell r="I158">
            <v>43831</v>
          </cell>
          <cell r="J158">
            <v>43405</v>
          </cell>
          <cell r="L158">
            <v>41640</v>
          </cell>
        </row>
        <row r="159">
          <cell r="I159">
            <v>43850</v>
          </cell>
          <cell r="J159">
            <v>43406</v>
          </cell>
          <cell r="L159">
            <v>41701</v>
          </cell>
        </row>
        <row r="160">
          <cell r="I160">
            <v>43878</v>
          </cell>
          <cell r="J160">
            <v>43442</v>
          </cell>
          <cell r="L160">
            <v>41702</v>
          </cell>
        </row>
        <row r="161">
          <cell r="I161">
            <v>43931</v>
          </cell>
          <cell r="J161">
            <v>43459</v>
          </cell>
          <cell r="L161">
            <v>41747</v>
          </cell>
        </row>
        <row r="162">
          <cell r="I162">
            <v>43976</v>
          </cell>
          <cell r="J162">
            <v>43466</v>
          </cell>
          <cell r="L162">
            <v>41750</v>
          </cell>
        </row>
        <row r="163">
          <cell r="I163">
            <v>44015</v>
          </cell>
          <cell r="J163">
            <v>43574</v>
          </cell>
          <cell r="L163">
            <v>41760</v>
          </cell>
        </row>
        <row r="164">
          <cell r="I164">
            <v>44016</v>
          </cell>
          <cell r="J164">
            <v>43575</v>
          </cell>
          <cell r="L164">
            <v>41809</v>
          </cell>
        </row>
        <row r="165">
          <cell r="I165">
            <v>44081</v>
          </cell>
          <cell r="J165">
            <v>43576</v>
          </cell>
          <cell r="L165">
            <v>41889</v>
          </cell>
        </row>
        <row r="166">
          <cell r="I166">
            <v>44116</v>
          </cell>
          <cell r="J166">
            <v>43586</v>
          </cell>
          <cell r="L166">
            <v>41924</v>
          </cell>
        </row>
        <row r="167">
          <cell r="I167">
            <v>44146</v>
          </cell>
          <cell r="J167">
            <v>43606</v>
          </cell>
          <cell r="L167">
            <v>41945</v>
          </cell>
        </row>
        <row r="168">
          <cell r="I168">
            <v>44161</v>
          </cell>
          <cell r="J168">
            <v>43645</v>
          </cell>
          <cell r="L168">
            <v>41958</v>
          </cell>
        </row>
        <row r="169">
          <cell r="I169">
            <v>44190</v>
          </cell>
          <cell r="J169">
            <v>43662</v>
          </cell>
          <cell r="L169">
            <v>41998</v>
          </cell>
        </row>
        <row r="170">
          <cell r="I170">
            <v>44197</v>
          </cell>
          <cell r="J170">
            <v>43692</v>
          </cell>
          <cell r="L170">
            <v>42005</v>
          </cell>
        </row>
        <row r="171">
          <cell r="I171">
            <v>44214</v>
          </cell>
          <cell r="J171">
            <v>43726</v>
          </cell>
          <cell r="L171">
            <v>42051</v>
          </cell>
        </row>
        <row r="172">
          <cell r="I172">
            <v>44242</v>
          </cell>
          <cell r="J172">
            <v>43727</v>
          </cell>
          <cell r="L172">
            <v>42052</v>
          </cell>
        </row>
        <row r="173">
          <cell r="I173">
            <v>44288</v>
          </cell>
          <cell r="J173">
            <v>43750</v>
          </cell>
          <cell r="L173">
            <v>42097</v>
          </cell>
        </row>
        <row r="174">
          <cell r="I174">
            <v>44347</v>
          </cell>
          <cell r="J174">
            <v>43769</v>
          </cell>
          <cell r="L174">
            <v>42115</v>
          </cell>
        </row>
        <row r="175">
          <cell r="I175">
            <v>44381</v>
          </cell>
          <cell r="J175">
            <v>43770</v>
          </cell>
          <cell r="L175">
            <v>42125</v>
          </cell>
        </row>
        <row r="176">
          <cell r="I176">
            <v>44382</v>
          </cell>
          <cell r="J176">
            <v>43807</v>
          </cell>
          <cell r="L176">
            <v>42159</v>
          </cell>
        </row>
        <row r="177">
          <cell r="I177">
            <v>44445</v>
          </cell>
          <cell r="J177">
            <v>43824</v>
          </cell>
          <cell r="L177">
            <v>42254</v>
          </cell>
        </row>
        <row r="178">
          <cell r="I178">
            <v>44480</v>
          </cell>
          <cell r="J178">
            <v>43831</v>
          </cell>
          <cell r="L178">
            <v>42289</v>
          </cell>
        </row>
        <row r="179">
          <cell r="I179">
            <v>44511</v>
          </cell>
          <cell r="J179">
            <v>43931</v>
          </cell>
          <cell r="L179">
            <v>42310</v>
          </cell>
        </row>
        <row r="180">
          <cell r="I180">
            <v>44525</v>
          </cell>
          <cell r="J180">
            <v>43932</v>
          </cell>
          <cell r="L180">
            <v>42323</v>
          </cell>
        </row>
        <row r="181">
          <cell r="I181">
            <v>44554</v>
          </cell>
          <cell r="J181">
            <v>43933</v>
          </cell>
          <cell r="L181">
            <v>42363</v>
          </cell>
        </row>
        <row r="182">
          <cell r="I182">
            <v>44555</v>
          </cell>
          <cell r="J182">
            <v>43952</v>
          </cell>
          <cell r="L182">
            <v>42370</v>
          </cell>
        </row>
        <row r="183">
          <cell r="I183">
            <v>44562</v>
          </cell>
          <cell r="J183">
            <v>43972</v>
          </cell>
          <cell r="L183">
            <v>42408</v>
          </cell>
        </row>
        <row r="184">
          <cell r="I184">
            <v>44578</v>
          </cell>
          <cell r="J184">
            <v>44011</v>
          </cell>
          <cell r="L184">
            <v>42409</v>
          </cell>
        </row>
        <row r="185">
          <cell r="I185">
            <v>44613</v>
          </cell>
          <cell r="J185">
            <v>44028</v>
          </cell>
          <cell r="L185">
            <v>42454</v>
          </cell>
        </row>
        <row r="186">
          <cell r="I186">
            <v>44666</v>
          </cell>
          <cell r="J186">
            <v>44058</v>
          </cell>
          <cell r="L186">
            <v>42481</v>
          </cell>
        </row>
        <row r="187">
          <cell r="I187">
            <v>44711</v>
          </cell>
          <cell r="J187">
            <v>44092</v>
          </cell>
          <cell r="L187">
            <v>42491</v>
          </cell>
        </row>
        <row r="188">
          <cell r="I188">
            <v>44746</v>
          </cell>
          <cell r="J188">
            <v>44093</v>
          </cell>
          <cell r="L188">
            <v>42516</v>
          </cell>
        </row>
        <row r="189">
          <cell r="I189">
            <v>44809</v>
          </cell>
          <cell r="J189">
            <v>44116</v>
          </cell>
          <cell r="L189">
            <v>42620</v>
          </cell>
        </row>
        <row r="190">
          <cell r="I190">
            <v>44844</v>
          </cell>
          <cell r="J190">
            <v>44135</v>
          </cell>
          <cell r="L190">
            <v>42655</v>
          </cell>
        </row>
        <row r="191">
          <cell r="I191">
            <v>44876</v>
          </cell>
          <cell r="J191">
            <v>44136</v>
          </cell>
          <cell r="L191">
            <v>42676</v>
          </cell>
        </row>
        <row r="192">
          <cell r="I192">
            <v>44889</v>
          </cell>
          <cell r="J192">
            <v>44173</v>
          </cell>
          <cell r="L192">
            <v>42689</v>
          </cell>
        </row>
        <row r="193">
          <cell r="I193">
            <v>44920</v>
          </cell>
          <cell r="J193">
            <v>44190</v>
          </cell>
          <cell r="L193">
            <v>42729</v>
          </cell>
        </row>
        <row r="194">
          <cell r="I194">
            <v>44921</v>
          </cell>
          <cell r="J194">
            <v>44197</v>
          </cell>
          <cell r="L194">
            <v>42736</v>
          </cell>
        </row>
        <row r="195">
          <cell r="I195">
            <v>44928</v>
          </cell>
          <cell r="J195">
            <v>44296</v>
          </cell>
          <cell r="L195">
            <v>42793</v>
          </cell>
        </row>
        <row r="196">
          <cell r="I196">
            <v>44942</v>
          </cell>
          <cell r="J196">
            <v>44297</v>
          </cell>
          <cell r="L196">
            <v>42794</v>
          </cell>
        </row>
        <row r="197">
          <cell r="I197">
            <v>44977</v>
          </cell>
          <cell r="J197">
            <v>44298</v>
          </cell>
          <cell r="L197">
            <v>42839</v>
          </cell>
        </row>
        <row r="198">
          <cell r="I198">
            <v>45023</v>
          </cell>
          <cell r="J198">
            <v>44317</v>
          </cell>
          <cell r="L198">
            <v>42846</v>
          </cell>
        </row>
        <row r="199">
          <cell r="I199">
            <v>45075</v>
          </cell>
          <cell r="J199">
            <v>44337</v>
          </cell>
          <cell r="L199">
            <v>42856</v>
          </cell>
        </row>
        <row r="200">
          <cell r="I200">
            <v>45111</v>
          </cell>
          <cell r="J200">
            <v>44376</v>
          </cell>
          <cell r="L200">
            <v>42901</v>
          </cell>
        </row>
        <row r="201">
          <cell r="I201">
            <v>45173</v>
          </cell>
          <cell r="J201">
            <v>44393</v>
          </cell>
          <cell r="L201">
            <v>42985</v>
          </cell>
        </row>
        <row r="202">
          <cell r="I202">
            <v>45208</v>
          </cell>
          <cell r="J202">
            <v>44423</v>
          </cell>
          <cell r="L202">
            <v>43020</v>
          </cell>
        </row>
        <row r="203">
          <cell r="I203">
            <v>45240</v>
          </cell>
          <cell r="J203">
            <v>44457</v>
          </cell>
          <cell r="L203">
            <v>43041</v>
          </cell>
        </row>
        <row r="204">
          <cell r="I204">
            <v>45253</v>
          </cell>
          <cell r="J204">
            <v>44458</v>
          </cell>
          <cell r="L204">
            <v>43054</v>
          </cell>
        </row>
        <row r="205">
          <cell r="I205">
            <v>45285</v>
          </cell>
          <cell r="J205">
            <v>44481</v>
          </cell>
          <cell r="L205">
            <v>43094</v>
          </cell>
        </row>
        <row r="206">
          <cell r="I206">
            <v>45292</v>
          </cell>
          <cell r="J206">
            <v>44500</v>
          </cell>
          <cell r="L206">
            <v>43101</v>
          </cell>
        </row>
        <row r="207">
          <cell r="I207">
            <v>45306</v>
          </cell>
          <cell r="J207">
            <v>44501</v>
          </cell>
          <cell r="L207">
            <v>43143</v>
          </cell>
        </row>
        <row r="208">
          <cell r="I208">
            <v>45341</v>
          </cell>
          <cell r="J208">
            <v>44538</v>
          </cell>
          <cell r="L208">
            <v>43144</v>
          </cell>
        </row>
        <row r="209">
          <cell r="I209">
            <v>45380</v>
          </cell>
          <cell r="J209">
            <v>44555</v>
          </cell>
          <cell r="L209">
            <v>43189</v>
          </cell>
        </row>
        <row r="210">
          <cell r="I210">
            <v>45439</v>
          </cell>
          <cell r="J210">
            <v>44562</v>
          </cell>
          <cell r="L210">
            <v>43211</v>
          </cell>
        </row>
        <row r="211">
          <cell r="I211">
            <v>45477</v>
          </cell>
          <cell r="J211">
            <v>44661</v>
          </cell>
          <cell r="L211">
            <v>43221</v>
          </cell>
        </row>
        <row r="212">
          <cell r="I212">
            <v>45537</v>
          </cell>
          <cell r="J212">
            <v>44662</v>
          </cell>
          <cell r="L212">
            <v>43251</v>
          </cell>
        </row>
        <row r="213">
          <cell r="I213">
            <v>45579</v>
          </cell>
          <cell r="J213">
            <v>44663</v>
          </cell>
          <cell r="L213">
            <v>43350</v>
          </cell>
        </row>
        <row r="214">
          <cell r="I214">
            <v>45607</v>
          </cell>
          <cell r="J214">
            <v>44682</v>
          </cell>
          <cell r="L214">
            <v>43385</v>
          </cell>
        </row>
        <row r="215">
          <cell r="I215">
            <v>45624</v>
          </cell>
          <cell r="J215">
            <v>44702</v>
          </cell>
          <cell r="L215">
            <v>43406</v>
          </cell>
        </row>
        <row r="216">
          <cell r="I216">
            <v>45651</v>
          </cell>
          <cell r="J216">
            <v>44741</v>
          </cell>
          <cell r="L216">
            <v>43419</v>
          </cell>
        </row>
        <row r="217">
          <cell r="I217">
            <v>45658</v>
          </cell>
          <cell r="J217">
            <v>44758</v>
          </cell>
          <cell r="L217">
            <v>43459</v>
          </cell>
        </row>
        <row r="218">
          <cell r="I218">
            <v>45677</v>
          </cell>
          <cell r="J218">
            <v>44788</v>
          </cell>
          <cell r="L218">
            <v>43466</v>
          </cell>
        </row>
        <row r="219">
          <cell r="I219">
            <v>45705</v>
          </cell>
          <cell r="J219">
            <v>44822</v>
          </cell>
          <cell r="L219">
            <v>43528</v>
          </cell>
        </row>
        <row r="220">
          <cell r="I220">
            <v>45765</v>
          </cell>
          <cell r="J220">
            <v>44823</v>
          </cell>
          <cell r="L220">
            <v>43529</v>
          </cell>
        </row>
        <row r="221">
          <cell r="I221">
            <v>45803</v>
          </cell>
          <cell r="J221">
            <v>44846</v>
          </cell>
          <cell r="L221">
            <v>43574</v>
          </cell>
        </row>
        <row r="222">
          <cell r="I222">
            <v>45842</v>
          </cell>
          <cell r="J222">
            <v>44865</v>
          </cell>
          <cell r="L222">
            <v>43576</v>
          </cell>
        </row>
        <row r="223">
          <cell r="I223">
            <v>45901</v>
          </cell>
          <cell r="J223">
            <v>44866</v>
          </cell>
          <cell r="L223">
            <v>43586</v>
          </cell>
        </row>
        <row r="224">
          <cell r="I224">
            <v>45943</v>
          </cell>
          <cell r="J224">
            <v>44903</v>
          </cell>
          <cell r="L224">
            <v>43636</v>
          </cell>
        </row>
        <row r="225">
          <cell r="I225">
            <v>45972</v>
          </cell>
          <cell r="J225">
            <v>44920</v>
          </cell>
          <cell r="L225">
            <v>43715</v>
          </cell>
        </row>
        <row r="226">
          <cell r="I226">
            <v>45988</v>
          </cell>
          <cell r="J226">
            <v>44927</v>
          </cell>
          <cell r="L226">
            <v>43750</v>
          </cell>
        </row>
        <row r="227">
          <cell r="I227">
            <v>46016</v>
          </cell>
          <cell r="J227">
            <v>45026</v>
          </cell>
          <cell r="L227">
            <v>43771</v>
          </cell>
        </row>
        <row r="228">
          <cell r="L228">
            <v>43784</v>
          </cell>
        </row>
        <row r="229">
          <cell r="L229">
            <v>43824</v>
          </cell>
        </row>
        <row r="230">
          <cell r="L230">
            <v>43831</v>
          </cell>
        </row>
        <row r="231">
          <cell r="L231">
            <v>43885</v>
          </cell>
        </row>
        <row r="232">
          <cell r="L232">
            <v>43886</v>
          </cell>
        </row>
        <row r="233">
          <cell r="L233">
            <v>43931</v>
          </cell>
        </row>
        <row r="234">
          <cell r="L234">
            <v>43942</v>
          </cell>
        </row>
        <row r="235">
          <cell r="L235">
            <v>43952</v>
          </cell>
        </row>
        <row r="236">
          <cell r="L236">
            <v>43993</v>
          </cell>
        </row>
        <row r="237">
          <cell r="L237">
            <v>44081</v>
          </cell>
        </row>
        <row r="238">
          <cell r="L238">
            <v>44116</v>
          </cell>
        </row>
        <row r="239">
          <cell r="L239">
            <v>44137</v>
          </cell>
        </row>
        <row r="240">
          <cell r="L240">
            <v>44150</v>
          </cell>
        </row>
        <row r="241">
          <cell r="L241">
            <v>44190</v>
          </cell>
        </row>
        <row r="242">
          <cell r="L242">
            <v>44197</v>
          </cell>
        </row>
        <row r="243">
          <cell r="L243">
            <v>44242</v>
          </cell>
        </row>
        <row r="244">
          <cell r="L244">
            <v>44243</v>
          </cell>
        </row>
        <row r="245">
          <cell r="L245">
            <v>44288</v>
          </cell>
        </row>
        <row r="246">
          <cell r="L246">
            <v>44307</v>
          </cell>
        </row>
        <row r="247">
          <cell r="L247">
            <v>44317</v>
          </cell>
        </row>
        <row r="248">
          <cell r="L248">
            <v>44350</v>
          </cell>
        </row>
        <row r="249">
          <cell r="L249">
            <v>44446</v>
          </cell>
        </row>
        <row r="250">
          <cell r="L250">
            <v>44481</v>
          </cell>
        </row>
        <row r="251">
          <cell r="L251">
            <v>44502</v>
          </cell>
        </row>
        <row r="252">
          <cell r="L252">
            <v>44515</v>
          </cell>
        </row>
        <row r="253">
          <cell r="L253">
            <v>44555</v>
          </cell>
        </row>
        <row r="254">
          <cell r="L254">
            <v>44562</v>
          </cell>
        </row>
        <row r="255">
          <cell r="L255">
            <v>44620</v>
          </cell>
        </row>
        <row r="256">
          <cell r="L256">
            <v>44621</v>
          </cell>
        </row>
        <row r="257">
          <cell r="L257">
            <v>44666</v>
          </cell>
        </row>
        <row r="258">
          <cell r="L258">
            <v>44672</v>
          </cell>
        </row>
        <row r="259">
          <cell r="L259">
            <v>44682</v>
          </cell>
        </row>
        <row r="260">
          <cell r="L260">
            <v>44728</v>
          </cell>
        </row>
        <row r="261">
          <cell r="L261">
            <v>44811</v>
          </cell>
        </row>
        <row r="262">
          <cell r="L262">
            <v>44846</v>
          </cell>
        </row>
        <row r="263">
          <cell r="L263">
            <v>44867</v>
          </cell>
        </row>
        <row r="264">
          <cell r="L264">
            <v>44880</v>
          </cell>
        </row>
        <row r="265">
          <cell r="L265">
            <v>44920</v>
          </cell>
        </row>
        <row r="266">
          <cell r="L266">
            <v>44927</v>
          </cell>
        </row>
        <row r="267">
          <cell r="L267">
            <v>44977</v>
          </cell>
        </row>
        <row r="268">
          <cell r="L268">
            <v>44978</v>
          </cell>
        </row>
        <row r="269">
          <cell r="L269">
            <v>45023</v>
          </cell>
        </row>
        <row r="270">
          <cell r="L270">
            <v>45037</v>
          </cell>
        </row>
        <row r="271">
          <cell r="L271">
            <v>45047</v>
          </cell>
        </row>
        <row r="272">
          <cell r="L272">
            <v>45085</v>
          </cell>
        </row>
        <row r="273">
          <cell r="L273">
            <v>45176</v>
          </cell>
        </row>
        <row r="274">
          <cell r="L274">
            <v>45211</v>
          </cell>
        </row>
        <row r="275">
          <cell r="L275">
            <v>45232</v>
          </cell>
        </row>
        <row r="276">
          <cell r="L276">
            <v>45245</v>
          </cell>
        </row>
        <row r="277">
          <cell r="L277">
            <v>45285</v>
          </cell>
        </row>
        <row r="278">
          <cell r="L278">
            <v>45292</v>
          </cell>
        </row>
        <row r="279">
          <cell r="L279">
            <v>45334</v>
          </cell>
        </row>
        <row r="280">
          <cell r="L280">
            <v>45335</v>
          </cell>
        </row>
        <row r="281">
          <cell r="L281">
            <v>45380</v>
          </cell>
        </row>
        <row r="282">
          <cell r="L282">
            <v>45403</v>
          </cell>
        </row>
        <row r="283">
          <cell r="L283">
            <v>45413</v>
          </cell>
        </row>
        <row r="284">
          <cell r="L284">
            <v>45442</v>
          </cell>
        </row>
        <row r="285">
          <cell r="L285">
            <v>45542</v>
          </cell>
        </row>
        <row r="286">
          <cell r="L286">
            <v>45577</v>
          </cell>
        </row>
        <row r="287">
          <cell r="L287">
            <v>45598</v>
          </cell>
        </row>
        <row r="288">
          <cell r="L288">
            <v>45611</v>
          </cell>
        </row>
        <row r="289">
          <cell r="L289">
            <v>45651</v>
          </cell>
        </row>
        <row r="290">
          <cell r="L290">
            <v>45658</v>
          </cell>
        </row>
        <row r="291">
          <cell r="L291">
            <v>45719</v>
          </cell>
        </row>
        <row r="292">
          <cell r="L292">
            <v>45720</v>
          </cell>
        </row>
        <row r="293">
          <cell r="L293">
            <v>45765</v>
          </cell>
        </row>
        <row r="294">
          <cell r="L294">
            <v>45768</v>
          </cell>
        </row>
        <row r="295">
          <cell r="L295">
            <v>45778</v>
          </cell>
        </row>
        <row r="296">
          <cell r="L296">
            <v>45827</v>
          </cell>
        </row>
        <row r="297">
          <cell r="L297">
            <v>45907</v>
          </cell>
        </row>
        <row r="298">
          <cell r="L298">
            <v>45942</v>
          </cell>
        </row>
        <row r="299">
          <cell r="L299">
            <v>45963</v>
          </cell>
        </row>
        <row r="300">
          <cell r="L300">
            <v>45976</v>
          </cell>
        </row>
        <row r="301">
          <cell r="L301">
            <v>46016</v>
          </cell>
        </row>
        <row r="302">
          <cell r="L302">
            <v>46023</v>
          </cell>
        </row>
        <row r="303">
          <cell r="L303">
            <v>46069</v>
          </cell>
        </row>
        <row r="304">
          <cell r="L304">
            <v>46070</v>
          </cell>
        </row>
        <row r="305">
          <cell r="L305">
            <v>46115</v>
          </cell>
        </row>
        <row r="306">
          <cell r="L306">
            <v>46133</v>
          </cell>
        </row>
        <row r="307">
          <cell r="L307">
            <v>46143</v>
          </cell>
        </row>
        <row r="308">
          <cell r="L308">
            <v>46177</v>
          </cell>
        </row>
        <row r="309">
          <cell r="L309">
            <v>46272</v>
          </cell>
        </row>
        <row r="310">
          <cell r="L310">
            <v>46307</v>
          </cell>
        </row>
        <row r="311">
          <cell r="L311">
            <v>46328</v>
          </cell>
        </row>
        <row r="312">
          <cell r="L312">
            <v>46341</v>
          </cell>
        </row>
        <row r="313">
          <cell r="L313">
            <v>46381</v>
          </cell>
        </row>
        <row r="314">
          <cell r="L314">
            <v>46388</v>
          </cell>
        </row>
        <row r="315">
          <cell r="L315">
            <v>46426</v>
          </cell>
        </row>
        <row r="316">
          <cell r="L316">
            <v>46427</v>
          </cell>
        </row>
        <row r="317">
          <cell r="L317">
            <v>46472</v>
          </cell>
        </row>
        <row r="318">
          <cell r="L318">
            <v>46498</v>
          </cell>
        </row>
        <row r="319">
          <cell r="L319">
            <v>46508</v>
          </cell>
        </row>
        <row r="320">
          <cell r="L320">
            <v>46534</v>
          </cell>
        </row>
        <row r="321">
          <cell r="L321">
            <v>46637</v>
          </cell>
        </row>
        <row r="322">
          <cell r="L322">
            <v>46672</v>
          </cell>
        </row>
        <row r="323">
          <cell r="L323">
            <v>46693</v>
          </cell>
        </row>
        <row r="324">
          <cell r="L324">
            <v>46706</v>
          </cell>
        </row>
        <row r="325">
          <cell r="L325">
            <v>46746</v>
          </cell>
        </row>
        <row r="326">
          <cell r="L326">
            <v>46753</v>
          </cell>
        </row>
        <row r="327">
          <cell r="L327">
            <v>46811</v>
          </cell>
        </row>
        <row r="328">
          <cell r="L328">
            <v>46812</v>
          </cell>
        </row>
        <row r="329">
          <cell r="L329">
            <v>46857</v>
          </cell>
        </row>
        <row r="330">
          <cell r="L330">
            <v>46864</v>
          </cell>
        </row>
        <row r="331">
          <cell r="L331">
            <v>46874</v>
          </cell>
        </row>
        <row r="332">
          <cell r="L332">
            <v>46919</v>
          </cell>
        </row>
        <row r="333">
          <cell r="L333">
            <v>47003</v>
          </cell>
        </row>
        <row r="334">
          <cell r="L334">
            <v>47038</v>
          </cell>
        </row>
        <row r="335">
          <cell r="L335">
            <v>47059</v>
          </cell>
        </row>
        <row r="336">
          <cell r="L336">
            <v>47072</v>
          </cell>
        </row>
        <row r="337">
          <cell r="L337">
            <v>47112</v>
          </cell>
        </row>
        <row r="338">
          <cell r="L338">
            <v>47119</v>
          </cell>
        </row>
        <row r="339">
          <cell r="L339">
            <v>47161</v>
          </cell>
        </row>
        <row r="340">
          <cell r="L340">
            <v>47162</v>
          </cell>
        </row>
        <row r="341">
          <cell r="L341">
            <v>47207</v>
          </cell>
        </row>
        <row r="342">
          <cell r="L342">
            <v>47229</v>
          </cell>
        </row>
        <row r="343">
          <cell r="L343">
            <v>47239</v>
          </cell>
        </row>
        <row r="344">
          <cell r="L344">
            <v>47269</v>
          </cell>
        </row>
        <row r="345">
          <cell r="L345">
            <v>47368</v>
          </cell>
        </row>
        <row r="346">
          <cell r="L346">
            <v>47403</v>
          </cell>
        </row>
        <row r="347">
          <cell r="L347">
            <v>47424</v>
          </cell>
        </row>
        <row r="348">
          <cell r="L348">
            <v>47437</v>
          </cell>
        </row>
        <row r="349">
          <cell r="L349">
            <v>47477</v>
          </cell>
        </row>
        <row r="350">
          <cell r="L350">
            <v>47484</v>
          </cell>
        </row>
        <row r="351">
          <cell r="L351">
            <v>47546</v>
          </cell>
        </row>
        <row r="352">
          <cell r="L352">
            <v>47547</v>
          </cell>
        </row>
        <row r="353">
          <cell r="L353">
            <v>47592</v>
          </cell>
        </row>
        <row r="354">
          <cell r="L354">
            <v>47594</v>
          </cell>
        </row>
        <row r="355">
          <cell r="L355">
            <v>47604</v>
          </cell>
        </row>
        <row r="356">
          <cell r="L356">
            <v>47654</v>
          </cell>
        </row>
        <row r="357">
          <cell r="L357">
            <v>47733</v>
          </cell>
        </row>
        <row r="358">
          <cell r="L358">
            <v>47768</v>
          </cell>
        </row>
        <row r="359">
          <cell r="L359">
            <v>47789</v>
          </cell>
        </row>
        <row r="360">
          <cell r="L360">
            <v>47802</v>
          </cell>
        </row>
        <row r="361">
          <cell r="L361">
            <v>47842</v>
          </cell>
        </row>
        <row r="362">
          <cell r="L362">
            <v>47849</v>
          </cell>
        </row>
        <row r="363">
          <cell r="L363">
            <v>47903</v>
          </cell>
        </row>
        <row r="364">
          <cell r="L364">
            <v>47904</v>
          </cell>
        </row>
        <row r="365">
          <cell r="L365">
            <v>47949</v>
          </cell>
        </row>
        <row r="366">
          <cell r="L366">
            <v>47959</v>
          </cell>
        </row>
        <row r="367">
          <cell r="L367">
            <v>47969</v>
          </cell>
        </row>
        <row r="368">
          <cell r="L368">
            <v>48011</v>
          </cell>
        </row>
        <row r="369">
          <cell r="L369">
            <v>48098</v>
          </cell>
        </row>
        <row r="370">
          <cell r="L370">
            <v>48133</v>
          </cell>
        </row>
        <row r="371">
          <cell r="L371">
            <v>48154</v>
          </cell>
        </row>
        <row r="372">
          <cell r="L372">
            <v>48167</v>
          </cell>
        </row>
        <row r="373">
          <cell r="L373">
            <v>48207</v>
          </cell>
        </row>
        <row r="374">
          <cell r="L374">
            <v>48214</v>
          </cell>
        </row>
        <row r="375">
          <cell r="L375">
            <v>48253</v>
          </cell>
        </row>
        <row r="376">
          <cell r="L376">
            <v>48254</v>
          </cell>
        </row>
        <row r="377">
          <cell r="L377">
            <v>48299</v>
          </cell>
        </row>
        <row r="378">
          <cell r="L378">
            <v>48325</v>
          </cell>
        </row>
        <row r="379">
          <cell r="L379">
            <v>48335</v>
          </cell>
        </row>
        <row r="380">
          <cell r="L380">
            <v>48361</v>
          </cell>
        </row>
        <row r="381">
          <cell r="L381">
            <v>48464</v>
          </cell>
        </row>
        <row r="382">
          <cell r="L382">
            <v>48499</v>
          </cell>
        </row>
        <row r="383">
          <cell r="L383">
            <v>48520</v>
          </cell>
        </row>
        <row r="384">
          <cell r="L384">
            <v>48533</v>
          </cell>
        </row>
        <row r="385">
          <cell r="L385">
            <v>48573</v>
          </cell>
        </row>
        <row r="386">
          <cell r="L386">
            <v>48580</v>
          </cell>
        </row>
        <row r="387">
          <cell r="L387">
            <v>48638</v>
          </cell>
        </row>
        <row r="388">
          <cell r="L388">
            <v>48639</v>
          </cell>
        </row>
        <row r="389">
          <cell r="L389">
            <v>48684</v>
          </cell>
        </row>
        <row r="390">
          <cell r="L390">
            <v>48690</v>
          </cell>
        </row>
        <row r="391">
          <cell r="L391">
            <v>48700</v>
          </cell>
        </row>
        <row r="392">
          <cell r="L392">
            <v>48746</v>
          </cell>
        </row>
        <row r="393">
          <cell r="L393">
            <v>48829</v>
          </cell>
        </row>
        <row r="394">
          <cell r="L394">
            <v>48864</v>
          </cell>
        </row>
        <row r="395">
          <cell r="L395">
            <v>48885</v>
          </cell>
        </row>
        <row r="396">
          <cell r="L396">
            <v>48898</v>
          </cell>
        </row>
        <row r="397">
          <cell r="L397">
            <v>48938</v>
          </cell>
        </row>
        <row r="398">
          <cell r="L398">
            <v>48945</v>
          </cell>
        </row>
        <row r="399">
          <cell r="L399">
            <v>48995</v>
          </cell>
        </row>
        <row r="400">
          <cell r="L400">
            <v>48996</v>
          </cell>
        </row>
        <row r="401">
          <cell r="L401">
            <v>49041</v>
          </cell>
        </row>
        <row r="402">
          <cell r="L402">
            <v>49055</v>
          </cell>
        </row>
        <row r="403">
          <cell r="L403">
            <v>49065</v>
          </cell>
        </row>
        <row r="404">
          <cell r="L404">
            <v>49103</v>
          </cell>
        </row>
        <row r="405">
          <cell r="L405">
            <v>49194</v>
          </cell>
        </row>
        <row r="406">
          <cell r="L406">
            <v>49229</v>
          </cell>
        </row>
        <row r="407">
          <cell r="L407">
            <v>49250</v>
          </cell>
        </row>
        <row r="408">
          <cell r="L408">
            <v>49263</v>
          </cell>
        </row>
        <row r="409">
          <cell r="L409">
            <v>49303</v>
          </cell>
        </row>
        <row r="410">
          <cell r="L410">
            <v>49310</v>
          </cell>
        </row>
        <row r="411">
          <cell r="L411">
            <v>49345</v>
          </cell>
        </row>
        <row r="412">
          <cell r="L412">
            <v>49346</v>
          </cell>
        </row>
        <row r="413">
          <cell r="L413">
            <v>49391</v>
          </cell>
        </row>
        <row r="414">
          <cell r="L414">
            <v>49420</v>
          </cell>
        </row>
        <row r="415">
          <cell r="L415">
            <v>49430</v>
          </cell>
        </row>
        <row r="416">
          <cell r="L416">
            <v>49453</v>
          </cell>
        </row>
        <row r="417">
          <cell r="L417">
            <v>49559</v>
          </cell>
        </row>
        <row r="418">
          <cell r="L418">
            <v>49594</v>
          </cell>
        </row>
        <row r="419">
          <cell r="L419">
            <v>49615</v>
          </cell>
        </row>
        <row r="420">
          <cell r="L420">
            <v>49628</v>
          </cell>
        </row>
        <row r="421">
          <cell r="L421">
            <v>49668</v>
          </cell>
        </row>
        <row r="422">
          <cell r="L422">
            <v>49675</v>
          </cell>
        </row>
        <row r="423">
          <cell r="L423">
            <v>49730</v>
          </cell>
        </row>
        <row r="424">
          <cell r="L424">
            <v>49731</v>
          </cell>
        </row>
        <row r="425">
          <cell r="L425">
            <v>49776</v>
          </cell>
        </row>
        <row r="426">
          <cell r="L426">
            <v>49786</v>
          </cell>
        </row>
        <row r="427">
          <cell r="L427">
            <v>49796</v>
          </cell>
        </row>
        <row r="428">
          <cell r="L428">
            <v>49838</v>
          </cell>
        </row>
        <row r="429">
          <cell r="L429">
            <v>49925</v>
          </cell>
        </row>
        <row r="430">
          <cell r="L430">
            <v>49960</v>
          </cell>
        </row>
        <row r="431">
          <cell r="L431">
            <v>49981</v>
          </cell>
        </row>
        <row r="432">
          <cell r="L432">
            <v>49994</v>
          </cell>
        </row>
        <row r="433">
          <cell r="L433">
            <v>50034</v>
          </cell>
        </row>
        <row r="434">
          <cell r="L434">
            <v>50041</v>
          </cell>
        </row>
        <row r="435">
          <cell r="L435">
            <v>50087</v>
          </cell>
        </row>
        <row r="436">
          <cell r="L436">
            <v>50088</v>
          </cell>
        </row>
        <row r="437">
          <cell r="L437">
            <v>50133</v>
          </cell>
        </row>
        <row r="438">
          <cell r="L438">
            <v>50151</v>
          </cell>
        </row>
        <row r="439">
          <cell r="L439">
            <v>50161</v>
          </cell>
        </row>
        <row r="440">
          <cell r="L440">
            <v>50195</v>
          </cell>
        </row>
        <row r="441">
          <cell r="L441">
            <v>50290</v>
          </cell>
        </row>
        <row r="442">
          <cell r="L442">
            <v>50325</v>
          </cell>
        </row>
        <row r="443">
          <cell r="L443">
            <v>50346</v>
          </cell>
        </row>
        <row r="444">
          <cell r="L444">
            <v>50359</v>
          </cell>
        </row>
        <row r="445">
          <cell r="L445">
            <v>50399</v>
          </cell>
        </row>
        <row r="446">
          <cell r="L446">
            <v>50406</v>
          </cell>
        </row>
        <row r="447">
          <cell r="L447">
            <v>50472</v>
          </cell>
        </row>
        <row r="448">
          <cell r="L448">
            <v>50473</v>
          </cell>
        </row>
        <row r="449">
          <cell r="L449">
            <v>50516</v>
          </cell>
        </row>
        <row r="450">
          <cell r="L450">
            <v>50518</v>
          </cell>
        </row>
        <row r="451">
          <cell r="L451">
            <v>50526</v>
          </cell>
        </row>
        <row r="452">
          <cell r="L452">
            <v>50580</v>
          </cell>
        </row>
        <row r="453">
          <cell r="L453">
            <v>50655</v>
          </cell>
        </row>
        <row r="454">
          <cell r="L454">
            <v>50690</v>
          </cell>
        </row>
        <row r="455">
          <cell r="L455">
            <v>50711</v>
          </cell>
        </row>
        <row r="456">
          <cell r="L456">
            <v>50724</v>
          </cell>
        </row>
        <row r="457">
          <cell r="L457">
            <v>50764</v>
          </cell>
        </row>
        <row r="458">
          <cell r="L458">
            <v>50771</v>
          </cell>
        </row>
        <row r="459">
          <cell r="L459">
            <v>50822</v>
          </cell>
        </row>
        <row r="460">
          <cell r="L460">
            <v>50823</v>
          </cell>
        </row>
        <row r="461">
          <cell r="L461">
            <v>50868</v>
          </cell>
        </row>
        <row r="462">
          <cell r="L462">
            <v>50881</v>
          </cell>
        </row>
        <row r="463">
          <cell r="L463">
            <v>50891</v>
          </cell>
        </row>
        <row r="464">
          <cell r="L464">
            <v>50930</v>
          </cell>
        </row>
        <row r="465">
          <cell r="L465">
            <v>51020</v>
          </cell>
        </row>
        <row r="466">
          <cell r="L466">
            <v>51055</v>
          </cell>
        </row>
        <row r="467">
          <cell r="L467">
            <v>51076</v>
          </cell>
        </row>
        <row r="468">
          <cell r="L468">
            <v>51089</v>
          </cell>
        </row>
        <row r="469">
          <cell r="L469">
            <v>51129</v>
          </cell>
        </row>
        <row r="470">
          <cell r="L470">
            <v>51136</v>
          </cell>
        </row>
        <row r="471">
          <cell r="L471">
            <v>51179</v>
          </cell>
        </row>
        <row r="472">
          <cell r="L472">
            <v>51180</v>
          </cell>
        </row>
        <row r="473">
          <cell r="L473">
            <v>51225</v>
          </cell>
        </row>
        <row r="474">
          <cell r="L474">
            <v>51247</v>
          </cell>
        </row>
        <row r="475">
          <cell r="L475">
            <v>51257</v>
          </cell>
        </row>
        <row r="476">
          <cell r="L476">
            <v>51287</v>
          </cell>
        </row>
        <row r="477">
          <cell r="L477">
            <v>51386</v>
          </cell>
        </row>
        <row r="478">
          <cell r="L478">
            <v>51421</v>
          </cell>
        </row>
        <row r="479">
          <cell r="L479">
            <v>51442</v>
          </cell>
        </row>
        <row r="480">
          <cell r="L480">
            <v>51455</v>
          </cell>
        </row>
        <row r="481">
          <cell r="L481">
            <v>51495</v>
          </cell>
        </row>
        <row r="482">
          <cell r="L482">
            <v>51502</v>
          </cell>
        </row>
        <row r="483">
          <cell r="L483">
            <v>51564</v>
          </cell>
        </row>
        <row r="484">
          <cell r="L484">
            <v>51565</v>
          </cell>
        </row>
        <row r="485">
          <cell r="L485">
            <v>51610</v>
          </cell>
        </row>
        <row r="486">
          <cell r="L486">
            <v>51612</v>
          </cell>
        </row>
        <row r="487">
          <cell r="L487">
            <v>51622</v>
          </cell>
        </row>
        <row r="488">
          <cell r="L488">
            <v>51672</v>
          </cell>
        </row>
        <row r="489">
          <cell r="L489">
            <v>51751</v>
          </cell>
        </row>
        <row r="490">
          <cell r="L490">
            <v>51786</v>
          </cell>
        </row>
        <row r="491">
          <cell r="L491">
            <v>51807</v>
          </cell>
        </row>
        <row r="492">
          <cell r="L492">
            <v>51820</v>
          </cell>
        </row>
        <row r="493">
          <cell r="L493">
            <v>51860</v>
          </cell>
        </row>
        <row r="494">
          <cell r="L494">
            <v>51867</v>
          </cell>
        </row>
        <row r="495">
          <cell r="L495">
            <v>51914</v>
          </cell>
        </row>
        <row r="496">
          <cell r="L496">
            <v>51915</v>
          </cell>
        </row>
        <row r="497">
          <cell r="L497">
            <v>51960</v>
          </cell>
        </row>
        <row r="498">
          <cell r="L498">
            <v>51977</v>
          </cell>
        </row>
        <row r="499">
          <cell r="L499">
            <v>51987</v>
          </cell>
        </row>
        <row r="500">
          <cell r="L500">
            <v>52022</v>
          </cell>
        </row>
        <row r="501">
          <cell r="L501">
            <v>52116</v>
          </cell>
        </row>
        <row r="502">
          <cell r="L502">
            <v>52151</v>
          </cell>
        </row>
        <row r="503">
          <cell r="L503">
            <v>52172</v>
          </cell>
        </row>
        <row r="504">
          <cell r="L504">
            <v>52185</v>
          </cell>
        </row>
        <row r="505">
          <cell r="L505">
            <v>52225</v>
          </cell>
        </row>
        <row r="506">
          <cell r="L506">
            <v>52232</v>
          </cell>
        </row>
        <row r="507">
          <cell r="L507">
            <v>52271</v>
          </cell>
        </row>
        <row r="508">
          <cell r="L508">
            <v>52272</v>
          </cell>
        </row>
        <row r="509">
          <cell r="L509">
            <v>52317</v>
          </cell>
        </row>
        <row r="510">
          <cell r="L510">
            <v>52342</v>
          </cell>
        </row>
        <row r="511">
          <cell r="L511">
            <v>52352</v>
          </cell>
        </row>
        <row r="512">
          <cell r="L512">
            <v>52379</v>
          </cell>
        </row>
        <row r="513">
          <cell r="L513">
            <v>52481</v>
          </cell>
        </row>
        <row r="514">
          <cell r="L514">
            <v>52516</v>
          </cell>
        </row>
        <row r="515">
          <cell r="L515">
            <v>52537</v>
          </cell>
        </row>
        <row r="516">
          <cell r="L516">
            <v>52550</v>
          </cell>
        </row>
        <row r="517">
          <cell r="L517">
            <v>52590</v>
          </cell>
        </row>
        <row r="518">
          <cell r="L518">
            <v>52597</v>
          </cell>
        </row>
        <row r="519">
          <cell r="L519">
            <v>52656</v>
          </cell>
        </row>
        <row r="520">
          <cell r="L520">
            <v>52657</v>
          </cell>
        </row>
        <row r="521">
          <cell r="L521">
            <v>52702</v>
          </cell>
        </row>
        <row r="522">
          <cell r="L522">
            <v>52708</v>
          </cell>
        </row>
        <row r="523">
          <cell r="L523">
            <v>52718</v>
          </cell>
        </row>
        <row r="524">
          <cell r="L524">
            <v>52764</v>
          </cell>
        </row>
        <row r="525">
          <cell r="L525">
            <v>52847</v>
          </cell>
        </row>
        <row r="526">
          <cell r="L526">
            <v>52882</v>
          </cell>
        </row>
        <row r="527">
          <cell r="L527">
            <v>52903</v>
          </cell>
        </row>
        <row r="528">
          <cell r="L528">
            <v>52916</v>
          </cell>
        </row>
        <row r="529">
          <cell r="L529">
            <v>52956</v>
          </cell>
        </row>
        <row r="530">
          <cell r="L530">
            <v>52963</v>
          </cell>
        </row>
        <row r="531">
          <cell r="L531">
            <v>53013</v>
          </cell>
        </row>
        <row r="532">
          <cell r="L532">
            <v>53014</v>
          </cell>
        </row>
        <row r="533">
          <cell r="L533">
            <v>53059</v>
          </cell>
        </row>
        <row r="534">
          <cell r="L534">
            <v>53073</v>
          </cell>
        </row>
        <row r="535">
          <cell r="L535">
            <v>53083</v>
          </cell>
        </row>
        <row r="536">
          <cell r="L536">
            <v>53121</v>
          </cell>
        </row>
        <row r="537">
          <cell r="L537">
            <v>53212</v>
          </cell>
        </row>
        <row r="538">
          <cell r="L538">
            <v>53247</v>
          </cell>
        </row>
        <row r="539">
          <cell r="L539">
            <v>53268</v>
          </cell>
        </row>
        <row r="540">
          <cell r="L540">
            <v>53281</v>
          </cell>
        </row>
        <row r="541">
          <cell r="L541">
            <v>53321</v>
          </cell>
        </row>
        <row r="542">
          <cell r="L542">
            <v>53328</v>
          </cell>
        </row>
        <row r="543">
          <cell r="L543">
            <v>53363</v>
          </cell>
        </row>
        <row r="544">
          <cell r="L544">
            <v>53364</v>
          </cell>
        </row>
        <row r="545">
          <cell r="L545">
            <v>53409</v>
          </cell>
        </row>
        <row r="546">
          <cell r="L546">
            <v>53438</v>
          </cell>
        </row>
        <row r="547">
          <cell r="L547">
            <v>53448</v>
          </cell>
        </row>
        <row r="548">
          <cell r="L548">
            <v>53471</v>
          </cell>
        </row>
        <row r="549">
          <cell r="L549">
            <v>53577</v>
          </cell>
        </row>
        <row r="550">
          <cell r="L550">
            <v>53612</v>
          </cell>
        </row>
        <row r="551">
          <cell r="L551">
            <v>53633</v>
          </cell>
        </row>
        <row r="552">
          <cell r="L552">
            <v>53646</v>
          </cell>
        </row>
        <row r="553">
          <cell r="L553">
            <v>53686</v>
          </cell>
        </row>
        <row r="554">
          <cell r="L554">
            <v>53693</v>
          </cell>
        </row>
        <row r="555">
          <cell r="L555">
            <v>53748</v>
          </cell>
        </row>
        <row r="556">
          <cell r="L556">
            <v>53749</v>
          </cell>
        </row>
        <row r="557">
          <cell r="L557">
            <v>53794</v>
          </cell>
        </row>
        <row r="558">
          <cell r="L558">
            <v>53803</v>
          </cell>
        </row>
        <row r="559">
          <cell r="L559">
            <v>53813</v>
          </cell>
        </row>
        <row r="560">
          <cell r="L560">
            <v>53856</v>
          </cell>
        </row>
        <row r="561">
          <cell r="L561">
            <v>53942</v>
          </cell>
        </row>
        <row r="562">
          <cell r="L562">
            <v>53977</v>
          </cell>
        </row>
        <row r="563">
          <cell r="L563">
            <v>53998</v>
          </cell>
        </row>
        <row r="564">
          <cell r="L564">
            <v>54011</v>
          </cell>
        </row>
        <row r="565">
          <cell r="L565">
            <v>54051</v>
          </cell>
        </row>
        <row r="566">
          <cell r="L566">
            <v>54058</v>
          </cell>
        </row>
        <row r="567">
          <cell r="L567">
            <v>54105</v>
          </cell>
        </row>
        <row r="568">
          <cell r="L568">
            <v>54106</v>
          </cell>
        </row>
        <row r="569">
          <cell r="L569">
            <v>54151</v>
          </cell>
        </row>
        <row r="570">
          <cell r="L570">
            <v>54169</v>
          </cell>
        </row>
        <row r="571">
          <cell r="L571">
            <v>54179</v>
          </cell>
        </row>
        <row r="572">
          <cell r="L572">
            <v>54213</v>
          </cell>
        </row>
        <row r="573">
          <cell r="L573">
            <v>54308</v>
          </cell>
        </row>
        <row r="574">
          <cell r="L574">
            <v>54343</v>
          </cell>
        </row>
        <row r="575">
          <cell r="L575">
            <v>54364</v>
          </cell>
        </row>
        <row r="576">
          <cell r="L576">
            <v>54377</v>
          </cell>
        </row>
        <row r="577">
          <cell r="L577">
            <v>54417</v>
          </cell>
        </row>
        <row r="578">
          <cell r="L578">
            <v>54424</v>
          </cell>
        </row>
        <row r="579">
          <cell r="L579">
            <v>54483</v>
          </cell>
        </row>
        <row r="580">
          <cell r="L580">
            <v>54484</v>
          </cell>
        </row>
        <row r="581">
          <cell r="L581">
            <v>54529</v>
          </cell>
        </row>
        <row r="582">
          <cell r="L582">
            <v>54534</v>
          </cell>
        </row>
        <row r="583">
          <cell r="L583">
            <v>54544</v>
          </cell>
        </row>
        <row r="584">
          <cell r="L584">
            <v>54591</v>
          </cell>
        </row>
        <row r="585">
          <cell r="L585">
            <v>54673</v>
          </cell>
        </row>
        <row r="586">
          <cell r="L586">
            <v>54708</v>
          </cell>
        </row>
        <row r="587">
          <cell r="L587">
            <v>54729</v>
          </cell>
        </row>
        <row r="588">
          <cell r="L588">
            <v>54742</v>
          </cell>
        </row>
        <row r="589">
          <cell r="L589">
            <v>54782</v>
          </cell>
        </row>
        <row r="590">
          <cell r="L590">
            <v>54789</v>
          </cell>
        </row>
        <row r="591">
          <cell r="L591">
            <v>54840</v>
          </cell>
        </row>
        <row r="592">
          <cell r="L592">
            <v>54841</v>
          </cell>
        </row>
        <row r="593">
          <cell r="L593">
            <v>54886</v>
          </cell>
        </row>
        <row r="594">
          <cell r="L594">
            <v>54899</v>
          </cell>
        </row>
        <row r="595">
          <cell r="L595">
            <v>54909</v>
          </cell>
        </row>
        <row r="596">
          <cell r="L596">
            <v>54948</v>
          </cell>
        </row>
        <row r="597">
          <cell r="L597">
            <v>55038</v>
          </cell>
        </row>
        <row r="598">
          <cell r="L598">
            <v>55073</v>
          </cell>
        </row>
        <row r="599">
          <cell r="L599">
            <v>55094</v>
          </cell>
        </row>
        <row r="600">
          <cell r="L600">
            <v>55107</v>
          </cell>
        </row>
        <row r="601">
          <cell r="L601">
            <v>55147</v>
          </cell>
        </row>
        <row r="602">
          <cell r="L602">
            <v>55154</v>
          </cell>
        </row>
        <row r="603">
          <cell r="L603">
            <v>55197</v>
          </cell>
        </row>
        <row r="604">
          <cell r="L604">
            <v>55198</v>
          </cell>
        </row>
        <row r="605">
          <cell r="L605">
            <v>55243</v>
          </cell>
        </row>
        <row r="606">
          <cell r="L606">
            <v>55264</v>
          </cell>
        </row>
        <row r="607">
          <cell r="L607">
            <v>55274</v>
          </cell>
        </row>
        <row r="608">
          <cell r="L608">
            <v>55305</v>
          </cell>
        </row>
        <row r="609">
          <cell r="L609">
            <v>55403</v>
          </cell>
        </row>
        <row r="610">
          <cell r="L610">
            <v>55438</v>
          </cell>
        </row>
        <row r="611">
          <cell r="L611">
            <v>55459</v>
          </cell>
        </row>
        <row r="612">
          <cell r="L612">
            <v>55472</v>
          </cell>
        </row>
        <row r="613">
          <cell r="L613">
            <v>55512</v>
          </cell>
        </row>
        <row r="614">
          <cell r="L614">
            <v>55519</v>
          </cell>
        </row>
        <row r="615">
          <cell r="L615">
            <v>55582</v>
          </cell>
        </row>
        <row r="616">
          <cell r="L616">
            <v>55583</v>
          </cell>
        </row>
        <row r="617">
          <cell r="L617">
            <v>55628</v>
          </cell>
        </row>
        <row r="618">
          <cell r="L618">
            <v>55630</v>
          </cell>
        </row>
        <row r="619">
          <cell r="L619">
            <v>55640</v>
          </cell>
        </row>
        <row r="620">
          <cell r="L620">
            <v>55690</v>
          </cell>
        </row>
        <row r="621">
          <cell r="L621">
            <v>55769</v>
          </cell>
        </row>
        <row r="622">
          <cell r="L622">
            <v>55804</v>
          </cell>
        </row>
        <row r="623">
          <cell r="L623">
            <v>55825</v>
          </cell>
        </row>
        <row r="624">
          <cell r="L624">
            <v>55838</v>
          </cell>
        </row>
        <row r="625">
          <cell r="L625">
            <v>55878</v>
          </cell>
        </row>
        <row r="626">
          <cell r="L626">
            <v>55885</v>
          </cell>
        </row>
        <row r="627">
          <cell r="L627">
            <v>55932</v>
          </cell>
        </row>
        <row r="628">
          <cell r="L628">
            <v>55933</v>
          </cell>
        </row>
        <row r="629">
          <cell r="L629">
            <v>55978</v>
          </cell>
        </row>
        <row r="630">
          <cell r="L630">
            <v>55995</v>
          </cell>
        </row>
        <row r="631">
          <cell r="L631">
            <v>56005</v>
          </cell>
        </row>
        <row r="632">
          <cell r="L632">
            <v>56040</v>
          </cell>
        </row>
        <row r="633">
          <cell r="L633">
            <v>56134</v>
          </cell>
        </row>
        <row r="634">
          <cell r="L634">
            <v>56169</v>
          </cell>
        </row>
        <row r="635">
          <cell r="L635">
            <v>56190</v>
          </cell>
        </row>
        <row r="636">
          <cell r="L636">
            <v>56203</v>
          </cell>
        </row>
        <row r="637">
          <cell r="L637">
            <v>56243</v>
          </cell>
        </row>
        <row r="638">
          <cell r="L638">
            <v>56250</v>
          </cell>
        </row>
        <row r="639">
          <cell r="L639">
            <v>56289</v>
          </cell>
        </row>
        <row r="640">
          <cell r="L640">
            <v>56290</v>
          </cell>
        </row>
        <row r="641">
          <cell r="L641">
            <v>56335</v>
          </cell>
        </row>
        <row r="642">
          <cell r="L642">
            <v>56360</v>
          </cell>
        </row>
        <row r="643">
          <cell r="L643">
            <v>56370</v>
          </cell>
        </row>
        <row r="644">
          <cell r="L644">
            <v>56397</v>
          </cell>
        </row>
        <row r="645">
          <cell r="L645">
            <v>56499</v>
          </cell>
        </row>
        <row r="646">
          <cell r="L646">
            <v>56534</v>
          </cell>
        </row>
        <row r="647">
          <cell r="L647">
            <v>56555</v>
          </cell>
        </row>
        <row r="648">
          <cell r="L648">
            <v>56568</v>
          </cell>
        </row>
        <row r="649">
          <cell r="L649">
            <v>56608</v>
          </cell>
        </row>
        <row r="650">
          <cell r="L650">
            <v>56615</v>
          </cell>
        </row>
        <row r="651">
          <cell r="L651">
            <v>56674</v>
          </cell>
        </row>
        <row r="652">
          <cell r="L652">
            <v>56675</v>
          </cell>
        </row>
        <row r="653">
          <cell r="L653">
            <v>56720</v>
          </cell>
        </row>
        <row r="654">
          <cell r="L654">
            <v>56725</v>
          </cell>
        </row>
        <row r="655">
          <cell r="L655">
            <v>56735</v>
          </cell>
        </row>
        <row r="656">
          <cell r="L656">
            <v>56782</v>
          </cell>
        </row>
        <row r="657">
          <cell r="L657">
            <v>56864</v>
          </cell>
        </row>
        <row r="658">
          <cell r="L658">
            <v>56899</v>
          </cell>
        </row>
        <row r="659">
          <cell r="L659">
            <v>56920</v>
          </cell>
        </row>
        <row r="660">
          <cell r="L660">
            <v>56933</v>
          </cell>
        </row>
        <row r="661">
          <cell r="L661">
            <v>56973</v>
          </cell>
        </row>
        <row r="662">
          <cell r="L662">
            <v>56980</v>
          </cell>
        </row>
        <row r="663">
          <cell r="L663">
            <v>57024</v>
          </cell>
        </row>
        <row r="664">
          <cell r="L664">
            <v>57025</v>
          </cell>
        </row>
        <row r="665">
          <cell r="L665">
            <v>57070</v>
          </cell>
        </row>
        <row r="666">
          <cell r="L666">
            <v>57091</v>
          </cell>
        </row>
        <row r="667">
          <cell r="L667">
            <v>57101</v>
          </cell>
        </row>
        <row r="668">
          <cell r="L668">
            <v>57132</v>
          </cell>
        </row>
        <row r="669">
          <cell r="L669">
            <v>57230</v>
          </cell>
        </row>
        <row r="670">
          <cell r="L670">
            <v>57265</v>
          </cell>
        </row>
        <row r="671">
          <cell r="L671">
            <v>57286</v>
          </cell>
        </row>
        <row r="672">
          <cell r="L672">
            <v>57299</v>
          </cell>
        </row>
        <row r="673">
          <cell r="L673">
            <v>57339</v>
          </cell>
        </row>
        <row r="674">
          <cell r="L674">
            <v>57346</v>
          </cell>
        </row>
        <row r="675">
          <cell r="L675">
            <v>57409</v>
          </cell>
        </row>
        <row r="676">
          <cell r="L676">
            <v>57410</v>
          </cell>
        </row>
        <row r="677">
          <cell r="L677">
            <v>57455</v>
          </cell>
        </row>
        <row r="678">
          <cell r="L678">
            <v>57456</v>
          </cell>
        </row>
        <row r="679">
          <cell r="L679">
            <v>57466</v>
          </cell>
        </row>
        <row r="680">
          <cell r="L680">
            <v>57517</v>
          </cell>
        </row>
        <row r="681">
          <cell r="L681">
            <v>57595</v>
          </cell>
        </row>
        <row r="682">
          <cell r="L682">
            <v>57630</v>
          </cell>
        </row>
        <row r="683">
          <cell r="L683">
            <v>57651</v>
          </cell>
        </row>
        <row r="684">
          <cell r="L684">
            <v>57664</v>
          </cell>
        </row>
        <row r="685">
          <cell r="L685">
            <v>57704</v>
          </cell>
        </row>
        <row r="686">
          <cell r="L686">
            <v>57711</v>
          </cell>
        </row>
        <row r="687">
          <cell r="L687">
            <v>57766</v>
          </cell>
        </row>
        <row r="688">
          <cell r="L688">
            <v>57767</v>
          </cell>
        </row>
        <row r="689">
          <cell r="L689">
            <v>57812</v>
          </cell>
        </row>
        <row r="690">
          <cell r="L690">
            <v>57821</v>
          </cell>
        </row>
        <row r="691">
          <cell r="L691">
            <v>57831</v>
          </cell>
        </row>
        <row r="692">
          <cell r="L692">
            <v>57874</v>
          </cell>
        </row>
        <row r="693">
          <cell r="L693">
            <v>57960</v>
          </cell>
        </row>
        <row r="694">
          <cell r="L694">
            <v>57995</v>
          </cell>
        </row>
        <row r="695">
          <cell r="L695">
            <v>58016</v>
          </cell>
        </row>
        <row r="696">
          <cell r="L696">
            <v>58029</v>
          </cell>
        </row>
        <row r="697">
          <cell r="L697">
            <v>58069</v>
          </cell>
        </row>
        <row r="698">
          <cell r="L698">
            <v>58076</v>
          </cell>
        </row>
        <row r="699">
          <cell r="L699">
            <v>58116</v>
          </cell>
        </row>
        <row r="700">
          <cell r="L700">
            <v>58117</v>
          </cell>
        </row>
        <row r="701">
          <cell r="L701">
            <v>58162</v>
          </cell>
        </row>
        <row r="702">
          <cell r="L702">
            <v>58186</v>
          </cell>
        </row>
        <row r="703">
          <cell r="L703">
            <v>58196</v>
          </cell>
        </row>
        <row r="704">
          <cell r="L704">
            <v>58224</v>
          </cell>
        </row>
        <row r="705">
          <cell r="L705">
            <v>58325</v>
          </cell>
        </row>
        <row r="706">
          <cell r="L706">
            <v>58360</v>
          </cell>
        </row>
        <row r="707">
          <cell r="L707">
            <v>58381</v>
          </cell>
        </row>
        <row r="708">
          <cell r="L708">
            <v>58394</v>
          </cell>
        </row>
        <row r="709">
          <cell r="L709">
            <v>58434</v>
          </cell>
        </row>
        <row r="710">
          <cell r="L710">
            <v>58441</v>
          </cell>
        </row>
        <row r="711">
          <cell r="L711">
            <v>58501</v>
          </cell>
        </row>
        <row r="712">
          <cell r="L712">
            <v>58502</v>
          </cell>
        </row>
        <row r="713">
          <cell r="L713">
            <v>58547</v>
          </cell>
        </row>
        <row r="714">
          <cell r="L714">
            <v>58552</v>
          </cell>
        </row>
        <row r="715">
          <cell r="L715">
            <v>58562</v>
          </cell>
        </row>
        <row r="716">
          <cell r="L716">
            <v>58609</v>
          </cell>
        </row>
        <row r="717">
          <cell r="L717">
            <v>58691</v>
          </cell>
        </row>
        <row r="718">
          <cell r="L718">
            <v>58726</v>
          </cell>
        </row>
        <row r="719">
          <cell r="L719">
            <v>58747</v>
          </cell>
        </row>
        <row r="720">
          <cell r="L720">
            <v>58760</v>
          </cell>
        </row>
        <row r="721">
          <cell r="L721">
            <v>58800</v>
          </cell>
        </row>
        <row r="722">
          <cell r="L722">
            <v>58807</v>
          </cell>
        </row>
        <row r="723">
          <cell r="L723">
            <v>58858</v>
          </cell>
        </row>
        <row r="724">
          <cell r="L724">
            <v>58859</v>
          </cell>
        </row>
        <row r="725">
          <cell r="L725">
            <v>58904</v>
          </cell>
        </row>
        <row r="726">
          <cell r="L726">
            <v>58917</v>
          </cell>
        </row>
        <row r="727">
          <cell r="L727">
            <v>58927</v>
          </cell>
        </row>
        <row r="728">
          <cell r="L728">
            <v>58966</v>
          </cell>
        </row>
        <row r="729">
          <cell r="L729">
            <v>59056</v>
          </cell>
        </row>
        <row r="730">
          <cell r="L730">
            <v>59091</v>
          </cell>
        </row>
        <row r="731">
          <cell r="L731">
            <v>59112</v>
          </cell>
        </row>
        <row r="732">
          <cell r="L732">
            <v>59125</v>
          </cell>
        </row>
        <row r="733">
          <cell r="L733">
            <v>59165</v>
          </cell>
        </row>
        <row r="734">
          <cell r="L734">
            <v>59172</v>
          </cell>
        </row>
        <row r="735">
          <cell r="L735">
            <v>59208</v>
          </cell>
        </row>
        <row r="736">
          <cell r="L736">
            <v>59209</v>
          </cell>
        </row>
        <row r="737">
          <cell r="L737">
            <v>59254</v>
          </cell>
        </row>
        <row r="738">
          <cell r="L738">
            <v>59282</v>
          </cell>
        </row>
        <row r="739">
          <cell r="L739">
            <v>59292</v>
          </cell>
        </row>
        <row r="740">
          <cell r="L740">
            <v>59316</v>
          </cell>
        </row>
        <row r="741">
          <cell r="L741">
            <v>59421</v>
          </cell>
        </row>
        <row r="742">
          <cell r="L742">
            <v>59456</v>
          </cell>
        </row>
        <row r="743">
          <cell r="L743">
            <v>59477</v>
          </cell>
        </row>
        <row r="744">
          <cell r="L744">
            <v>59490</v>
          </cell>
        </row>
        <row r="745">
          <cell r="L745">
            <v>59530</v>
          </cell>
        </row>
        <row r="746">
          <cell r="L746">
            <v>59537</v>
          </cell>
        </row>
        <row r="747">
          <cell r="L747">
            <v>59593</v>
          </cell>
        </row>
        <row r="748">
          <cell r="L748">
            <v>59594</v>
          </cell>
        </row>
        <row r="749">
          <cell r="L749">
            <v>59639</v>
          </cell>
        </row>
        <row r="750">
          <cell r="L750">
            <v>59647</v>
          </cell>
        </row>
        <row r="751">
          <cell r="L751">
            <v>59657</v>
          </cell>
        </row>
        <row r="752">
          <cell r="L752">
            <v>59701</v>
          </cell>
        </row>
        <row r="753">
          <cell r="L753">
            <v>59786</v>
          </cell>
        </row>
        <row r="754">
          <cell r="L754">
            <v>59821</v>
          </cell>
        </row>
        <row r="755">
          <cell r="L755">
            <v>59842</v>
          </cell>
        </row>
        <row r="756">
          <cell r="L756">
            <v>59855</v>
          </cell>
        </row>
        <row r="757">
          <cell r="L757">
            <v>59895</v>
          </cell>
        </row>
        <row r="758">
          <cell r="L758">
            <v>59902</v>
          </cell>
        </row>
        <row r="759">
          <cell r="L759">
            <v>59950</v>
          </cell>
        </row>
        <row r="760">
          <cell r="L760">
            <v>59951</v>
          </cell>
        </row>
        <row r="761">
          <cell r="L761">
            <v>59996</v>
          </cell>
        </row>
        <row r="762">
          <cell r="L762">
            <v>60013</v>
          </cell>
        </row>
        <row r="763">
          <cell r="L763">
            <v>60023</v>
          </cell>
        </row>
        <row r="764">
          <cell r="L764">
            <v>60058</v>
          </cell>
        </row>
        <row r="765">
          <cell r="L765">
            <v>60152</v>
          </cell>
        </row>
        <row r="766">
          <cell r="L766">
            <v>60187</v>
          </cell>
        </row>
        <row r="767">
          <cell r="L767">
            <v>60208</v>
          </cell>
        </row>
        <row r="768">
          <cell r="L768">
            <v>60221</v>
          </cell>
        </row>
        <row r="769">
          <cell r="L769">
            <v>60261</v>
          </cell>
        </row>
        <row r="770">
          <cell r="L770">
            <v>60268</v>
          </cell>
        </row>
        <row r="771">
          <cell r="L771">
            <v>60307</v>
          </cell>
        </row>
        <row r="772">
          <cell r="L772">
            <v>60308</v>
          </cell>
        </row>
        <row r="773">
          <cell r="L773">
            <v>60353</v>
          </cell>
        </row>
        <row r="774">
          <cell r="L774">
            <v>60378</v>
          </cell>
        </row>
        <row r="775">
          <cell r="L775">
            <v>60388</v>
          </cell>
        </row>
        <row r="776">
          <cell r="L776">
            <v>60415</v>
          </cell>
        </row>
        <row r="777">
          <cell r="L777">
            <v>60517</v>
          </cell>
        </row>
        <row r="778">
          <cell r="L778">
            <v>60552</v>
          </cell>
        </row>
        <row r="779">
          <cell r="L779">
            <v>60573</v>
          </cell>
        </row>
        <row r="780">
          <cell r="L780">
            <v>60586</v>
          </cell>
        </row>
        <row r="781">
          <cell r="L781">
            <v>60626</v>
          </cell>
        </row>
        <row r="782">
          <cell r="L782">
            <v>60633</v>
          </cell>
        </row>
        <row r="783">
          <cell r="L783">
            <v>60685</v>
          </cell>
        </row>
        <row r="784">
          <cell r="L784">
            <v>60686</v>
          </cell>
        </row>
        <row r="785">
          <cell r="L785">
            <v>60731</v>
          </cell>
        </row>
        <row r="786">
          <cell r="L786">
            <v>60743</v>
          </cell>
        </row>
        <row r="787">
          <cell r="L787">
            <v>60753</v>
          </cell>
        </row>
        <row r="788">
          <cell r="L788">
            <v>60793</v>
          </cell>
        </row>
        <row r="789">
          <cell r="L789">
            <v>60882</v>
          </cell>
        </row>
        <row r="790">
          <cell r="L790">
            <v>60917</v>
          </cell>
        </row>
        <row r="791">
          <cell r="L791">
            <v>60938</v>
          </cell>
        </row>
        <row r="792">
          <cell r="L792">
            <v>60951</v>
          </cell>
        </row>
        <row r="793">
          <cell r="L793">
            <v>60991</v>
          </cell>
        </row>
        <row r="794">
          <cell r="L794">
            <v>60998</v>
          </cell>
        </row>
        <row r="795">
          <cell r="L795">
            <v>61042</v>
          </cell>
        </row>
        <row r="796">
          <cell r="L796">
            <v>61043</v>
          </cell>
        </row>
        <row r="797">
          <cell r="L797">
            <v>61088</v>
          </cell>
        </row>
        <row r="798">
          <cell r="L798">
            <v>61108</v>
          </cell>
        </row>
        <row r="799">
          <cell r="L799">
            <v>61118</v>
          </cell>
        </row>
        <row r="800">
          <cell r="L800">
            <v>61150</v>
          </cell>
        </row>
        <row r="801">
          <cell r="L801">
            <v>61247</v>
          </cell>
        </row>
        <row r="802">
          <cell r="L802">
            <v>61282</v>
          </cell>
        </row>
        <row r="803">
          <cell r="L803">
            <v>61303</v>
          </cell>
        </row>
        <row r="804">
          <cell r="L804">
            <v>61316</v>
          </cell>
        </row>
        <row r="805">
          <cell r="L805">
            <v>61356</v>
          </cell>
        </row>
        <row r="806">
          <cell r="L806">
            <v>61363</v>
          </cell>
        </row>
        <row r="807">
          <cell r="L807">
            <v>61427</v>
          </cell>
        </row>
        <row r="808">
          <cell r="L808">
            <v>61428</v>
          </cell>
        </row>
        <row r="809">
          <cell r="L809">
            <v>61473</v>
          </cell>
        </row>
        <row r="810">
          <cell r="L810">
            <v>61474</v>
          </cell>
        </row>
        <row r="811">
          <cell r="L811">
            <v>61484</v>
          </cell>
        </row>
        <row r="812">
          <cell r="L812">
            <v>61535</v>
          </cell>
        </row>
        <row r="813">
          <cell r="L813">
            <v>61613</v>
          </cell>
        </row>
        <row r="814">
          <cell r="L814">
            <v>61648</v>
          </cell>
        </row>
        <row r="815">
          <cell r="L815">
            <v>61669</v>
          </cell>
        </row>
        <row r="816">
          <cell r="L816">
            <v>61682</v>
          </cell>
        </row>
        <row r="817">
          <cell r="L817">
            <v>61722</v>
          </cell>
        </row>
        <row r="818">
          <cell r="L818">
            <v>61729</v>
          </cell>
        </row>
        <row r="819">
          <cell r="L819">
            <v>61784</v>
          </cell>
        </row>
        <row r="820">
          <cell r="L820">
            <v>61785</v>
          </cell>
        </row>
        <row r="821">
          <cell r="L821">
            <v>61830</v>
          </cell>
        </row>
        <row r="822">
          <cell r="L822">
            <v>61839</v>
          </cell>
        </row>
        <row r="823">
          <cell r="L823">
            <v>61849</v>
          </cell>
        </row>
        <row r="824">
          <cell r="L824">
            <v>61892</v>
          </cell>
        </row>
        <row r="825">
          <cell r="L825">
            <v>61978</v>
          </cell>
        </row>
        <row r="826">
          <cell r="L826">
            <v>62013</v>
          </cell>
        </row>
        <row r="827">
          <cell r="L827">
            <v>62034</v>
          </cell>
        </row>
        <row r="828">
          <cell r="L828">
            <v>62047</v>
          </cell>
        </row>
        <row r="829">
          <cell r="L829">
            <v>62087</v>
          </cell>
        </row>
        <row r="830">
          <cell r="L830">
            <v>62094</v>
          </cell>
        </row>
        <row r="831">
          <cell r="L831">
            <v>62134</v>
          </cell>
        </row>
        <row r="832">
          <cell r="L832">
            <v>62135</v>
          </cell>
        </row>
        <row r="833">
          <cell r="L833">
            <v>62180</v>
          </cell>
        </row>
        <row r="834">
          <cell r="L834">
            <v>62204</v>
          </cell>
        </row>
        <row r="835">
          <cell r="L835">
            <v>62214</v>
          </cell>
        </row>
        <row r="836">
          <cell r="L836">
            <v>62242</v>
          </cell>
        </row>
        <row r="837">
          <cell r="L837">
            <v>62343</v>
          </cell>
        </row>
        <row r="838">
          <cell r="L838">
            <v>62378</v>
          </cell>
        </row>
        <row r="839">
          <cell r="L839">
            <v>62399</v>
          </cell>
        </row>
        <row r="840">
          <cell r="L840">
            <v>62412</v>
          </cell>
        </row>
        <row r="841">
          <cell r="L841">
            <v>62452</v>
          </cell>
        </row>
        <row r="842">
          <cell r="L842">
            <v>62459</v>
          </cell>
        </row>
        <row r="843">
          <cell r="L843">
            <v>62519</v>
          </cell>
        </row>
        <row r="844">
          <cell r="L844">
            <v>62520</v>
          </cell>
        </row>
        <row r="845">
          <cell r="L845">
            <v>62565</v>
          </cell>
        </row>
        <row r="846">
          <cell r="L846">
            <v>62569</v>
          </cell>
        </row>
        <row r="847">
          <cell r="L847">
            <v>62579</v>
          </cell>
        </row>
        <row r="848">
          <cell r="L848">
            <v>62627</v>
          </cell>
        </row>
        <row r="849">
          <cell r="L849">
            <v>62708</v>
          </cell>
        </row>
        <row r="850">
          <cell r="L850">
            <v>62743</v>
          </cell>
        </row>
        <row r="851">
          <cell r="L851">
            <v>62764</v>
          </cell>
        </row>
        <row r="852">
          <cell r="L852">
            <v>62777</v>
          </cell>
        </row>
        <row r="853">
          <cell r="L853">
            <v>62817</v>
          </cell>
        </row>
        <row r="854">
          <cell r="L854">
            <v>62824</v>
          </cell>
        </row>
        <row r="855">
          <cell r="L855">
            <v>62876</v>
          </cell>
        </row>
        <row r="856">
          <cell r="L856">
            <v>62877</v>
          </cell>
        </row>
        <row r="857">
          <cell r="L857">
            <v>62922</v>
          </cell>
        </row>
        <row r="858">
          <cell r="L858">
            <v>62935</v>
          </cell>
        </row>
        <row r="859">
          <cell r="L859">
            <v>62945</v>
          </cell>
        </row>
        <row r="860">
          <cell r="L860">
            <v>62984</v>
          </cell>
        </row>
        <row r="861">
          <cell r="L861">
            <v>63074</v>
          </cell>
        </row>
        <row r="862">
          <cell r="L862">
            <v>63109</v>
          </cell>
        </row>
        <row r="863">
          <cell r="L863">
            <v>63130</v>
          </cell>
        </row>
        <row r="864">
          <cell r="L864">
            <v>63143</v>
          </cell>
        </row>
        <row r="865">
          <cell r="L865">
            <v>63183</v>
          </cell>
        </row>
        <row r="866">
          <cell r="L866">
            <v>63190</v>
          </cell>
        </row>
        <row r="867">
          <cell r="L867">
            <v>63226</v>
          </cell>
        </row>
        <row r="868">
          <cell r="L868">
            <v>63227</v>
          </cell>
        </row>
        <row r="869">
          <cell r="L869">
            <v>63272</v>
          </cell>
        </row>
        <row r="870">
          <cell r="L870">
            <v>63300</v>
          </cell>
        </row>
        <row r="871">
          <cell r="L871">
            <v>63310</v>
          </cell>
        </row>
        <row r="872">
          <cell r="L872">
            <v>63334</v>
          </cell>
        </row>
        <row r="873">
          <cell r="L873">
            <v>63439</v>
          </cell>
        </row>
        <row r="874">
          <cell r="L874">
            <v>63474</v>
          </cell>
        </row>
        <row r="875">
          <cell r="L875">
            <v>63495</v>
          </cell>
        </row>
        <row r="876">
          <cell r="L876">
            <v>63508</v>
          </cell>
        </row>
        <row r="877">
          <cell r="L877">
            <v>63548</v>
          </cell>
        </row>
        <row r="878">
          <cell r="L878">
            <v>63555</v>
          </cell>
        </row>
        <row r="879">
          <cell r="L879">
            <v>63611</v>
          </cell>
        </row>
        <row r="880">
          <cell r="L880">
            <v>63612</v>
          </cell>
        </row>
        <row r="881">
          <cell r="L881">
            <v>63657</v>
          </cell>
        </row>
        <row r="882">
          <cell r="L882">
            <v>63665</v>
          </cell>
        </row>
        <row r="883">
          <cell r="L883">
            <v>63675</v>
          </cell>
        </row>
        <row r="884">
          <cell r="L884">
            <v>63719</v>
          </cell>
        </row>
        <row r="885">
          <cell r="L885">
            <v>63804</v>
          </cell>
        </row>
        <row r="886">
          <cell r="L886">
            <v>63839</v>
          </cell>
        </row>
        <row r="887">
          <cell r="L887">
            <v>63860</v>
          </cell>
        </row>
        <row r="888">
          <cell r="L888">
            <v>63873</v>
          </cell>
        </row>
        <row r="889">
          <cell r="L889">
            <v>63913</v>
          </cell>
        </row>
        <row r="890">
          <cell r="L890">
            <v>63920</v>
          </cell>
        </row>
        <row r="891">
          <cell r="L891">
            <v>63968</v>
          </cell>
        </row>
        <row r="892">
          <cell r="L892">
            <v>63969</v>
          </cell>
        </row>
        <row r="893">
          <cell r="L893">
            <v>64014</v>
          </cell>
        </row>
        <row r="894">
          <cell r="L894">
            <v>64030</v>
          </cell>
        </row>
        <row r="895">
          <cell r="L895">
            <v>64040</v>
          </cell>
        </row>
        <row r="896">
          <cell r="L896">
            <v>64076</v>
          </cell>
        </row>
        <row r="897">
          <cell r="L897">
            <v>64169</v>
          </cell>
        </row>
        <row r="898">
          <cell r="L898">
            <v>64204</v>
          </cell>
        </row>
        <row r="899">
          <cell r="L899">
            <v>64225</v>
          </cell>
        </row>
        <row r="900">
          <cell r="L900">
            <v>64238</v>
          </cell>
        </row>
        <row r="901">
          <cell r="L901">
            <v>64278</v>
          </cell>
        </row>
        <row r="902">
          <cell r="L902">
            <v>64285</v>
          </cell>
        </row>
        <row r="903">
          <cell r="L903">
            <v>64346</v>
          </cell>
        </row>
        <row r="904">
          <cell r="L904">
            <v>64347</v>
          </cell>
        </row>
        <row r="905">
          <cell r="L905">
            <v>64392</v>
          </cell>
        </row>
        <row r="906">
          <cell r="L906">
            <v>64396</v>
          </cell>
        </row>
        <row r="907">
          <cell r="L907">
            <v>64406</v>
          </cell>
        </row>
        <row r="908">
          <cell r="L908">
            <v>64454</v>
          </cell>
        </row>
        <row r="909">
          <cell r="L909">
            <v>64535</v>
          </cell>
        </row>
        <row r="910">
          <cell r="L910">
            <v>64570</v>
          </cell>
        </row>
        <row r="911">
          <cell r="L911">
            <v>64591</v>
          </cell>
        </row>
        <row r="912">
          <cell r="L912">
            <v>64604</v>
          </cell>
        </row>
        <row r="913">
          <cell r="L913">
            <v>64644</v>
          </cell>
        </row>
        <row r="914">
          <cell r="L914">
            <v>64651</v>
          </cell>
        </row>
        <row r="915">
          <cell r="L915">
            <v>64703</v>
          </cell>
        </row>
        <row r="916">
          <cell r="L916">
            <v>64704</v>
          </cell>
        </row>
        <row r="917">
          <cell r="L917">
            <v>64749</v>
          </cell>
        </row>
        <row r="918">
          <cell r="L918">
            <v>64761</v>
          </cell>
        </row>
        <row r="919">
          <cell r="L919">
            <v>64771</v>
          </cell>
        </row>
        <row r="920">
          <cell r="L920">
            <v>64811</v>
          </cell>
        </row>
        <row r="921">
          <cell r="L921">
            <v>64900</v>
          </cell>
        </row>
        <row r="922">
          <cell r="L922">
            <v>64935</v>
          </cell>
        </row>
        <row r="923">
          <cell r="L923">
            <v>64956</v>
          </cell>
        </row>
        <row r="924">
          <cell r="L924">
            <v>64969</v>
          </cell>
        </row>
        <row r="925">
          <cell r="L925">
            <v>65009</v>
          </cell>
        </row>
        <row r="926">
          <cell r="L926">
            <v>65016</v>
          </cell>
        </row>
        <row r="927">
          <cell r="L927">
            <v>65060</v>
          </cell>
        </row>
        <row r="928">
          <cell r="L928">
            <v>65061</v>
          </cell>
        </row>
        <row r="929">
          <cell r="L929">
            <v>65106</v>
          </cell>
        </row>
        <row r="930">
          <cell r="L930">
            <v>65126</v>
          </cell>
        </row>
        <row r="931">
          <cell r="L931">
            <v>65136</v>
          </cell>
        </row>
        <row r="932">
          <cell r="L932">
            <v>65168</v>
          </cell>
        </row>
        <row r="933">
          <cell r="L933">
            <v>65265</v>
          </cell>
        </row>
        <row r="934">
          <cell r="L934">
            <v>65300</v>
          </cell>
        </row>
        <row r="935">
          <cell r="L935">
            <v>65321</v>
          </cell>
        </row>
        <row r="936">
          <cell r="L936">
            <v>65334</v>
          </cell>
        </row>
        <row r="937">
          <cell r="L937">
            <v>65374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13">
          <cell r="BE13" t="str">
            <v>O/N</v>
          </cell>
        </row>
      </sheetData>
      <sheetData sheetId="9" refreshError="1"/>
      <sheetData sheetId="10" refreshError="1"/>
      <sheetData sheetId="11" refreshError="1"/>
      <sheetData sheetId="12">
        <row r="12">
          <cell r="BD12" t="str">
            <v>1Mo Ago</v>
          </cell>
        </row>
      </sheetData>
      <sheetData sheetId="13">
        <row r="14">
          <cell r="CA14" t="str">
            <v>Bear</v>
          </cell>
        </row>
      </sheetData>
      <sheetData sheetId="14">
        <row r="5">
          <cell r="D5" t="str">
            <v>Bear</v>
          </cell>
        </row>
      </sheetData>
      <sheetData sheetId="15" refreshError="1"/>
      <sheetData sheetId="16" refreshError="1"/>
      <sheetData sheetId="17" refreshError="1"/>
      <sheetData sheetId="18" refreshError="1"/>
      <sheetData sheetId="19">
        <row r="119">
          <cell r="J119">
            <v>2.7416</v>
          </cell>
        </row>
        <row r="120">
          <cell r="J120">
            <v>624.1</v>
          </cell>
        </row>
        <row r="121">
          <cell r="J121">
            <v>14.749000000000001</v>
          </cell>
        </row>
        <row r="122">
          <cell r="J122">
            <v>3.3</v>
          </cell>
        </row>
        <row r="123">
          <cell r="J123">
            <v>3</v>
          </cell>
        </row>
        <row r="124">
          <cell r="J124">
            <v>24541.279999999999</v>
          </cell>
        </row>
        <row r="125">
          <cell r="J125">
            <v>-1.2915343387209788E-4</v>
          </cell>
        </row>
        <row r="126">
          <cell r="J126">
            <v>176548.84400000001</v>
          </cell>
        </row>
        <row r="127">
          <cell r="J127">
            <v>12.15</v>
          </cell>
        </row>
        <row r="137">
          <cell r="J137">
            <v>303927970.75</v>
          </cell>
          <cell r="L137">
            <v>1.3181171072007669E-2</v>
          </cell>
        </row>
        <row r="147">
          <cell r="J147">
            <v>4591273651.1011457</v>
          </cell>
        </row>
      </sheetData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OL"/>
      <sheetName val="Option"/>
    </sheetNames>
    <sheetDataSet>
      <sheetData sheetId="0" refreshError="1"/>
      <sheetData sheetId="1" refreshError="1">
        <row r="1">
          <cell r="O1">
            <v>1.3256803331378039E-2</v>
          </cell>
        </row>
        <row r="2">
          <cell r="O2">
            <v>2.5754000000000001</v>
          </cell>
        </row>
        <row r="3">
          <cell r="O3">
            <v>306700918.08999997</v>
          </cell>
        </row>
        <row r="4">
          <cell r="O4">
            <v>3.4141571299631003E-2</v>
          </cell>
        </row>
        <row r="5">
          <cell r="B5">
            <v>2350</v>
          </cell>
        </row>
        <row r="6">
          <cell r="B6" t="e">
            <v>#VALUE!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C7"/>
  <sheetViews>
    <sheetView workbookViewId="0">
      <selection activeCell="C7" sqref="C7"/>
    </sheetView>
  </sheetViews>
  <sheetFormatPr baseColWidth="10" defaultColWidth="9.140625" defaultRowHeight="15" x14ac:dyDescent="0.25"/>
  <sheetData>
    <row r="2" spans="2:3" x14ac:dyDescent="0.25">
      <c r="B2" t="s">
        <v>0</v>
      </c>
      <c r="C2">
        <v>2</v>
      </c>
    </row>
    <row r="3" spans="2:3" x14ac:dyDescent="0.25">
      <c r="B3" t="s">
        <v>1</v>
      </c>
      <c r="C3">
        <v>1</v>
      </c>
    </row>
    <row r="4" spans="2:3" x14ac:dyDescent="0.25">
      <c r="B4" t="s">
        <v>2</v>
      </c>
      <c r="C4">
        <v>3</v>
      </c>
    </row>
    <row r="5" spans="2:3" x14ac:dyDescent="0.25">
      <c r="B5" t="s">
        <v>3</v>
      </c>
      <c r="C5">
        <v>1</v>
      </c>
    </row>
    <row r="6" spans="2:3" x14ac:dyDescent="0.25">
      <c r="B6" t="s">
        <v>4</v>
      </c>
      <c r="C6">
        <v>3</v>
      </c>
    </row>
    <row r="7" spans="2:3" x14ac:dyDescent="0.25">
      <c r="B7" t="s">
        <v>5</v>
      </c>
      <c r="C7">
        <f>interpola(C2,C3,C4,C5,C6)</f>
        <v>2</v>
      </c>
    </row>
  </sheetData>
  <phoneticPr fontId="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P31"/>
  <sheetViews>
    <sheetView workbookViewId="0">
      <selection activeCell="C31" sqref="C31"/>
    </sheetView>
  </sheetViews>
  <sheetFormatPr baseColWidth="10" defaultColWidth="9.140625" defaultRowHeight="15" x14ac:dyDescent="0.25"/>
  <cols>
    <col min="1" max="1" width="9.140625" customWidth="1"/>
    <col min="2" max="2" width="10.42578125" bestFit="1" customWidth="1"/>
    <col min="3" max="10" width="9.140625" customWidth="1"/>
    <col min="11" max="11" width="10.42578125" bestFit="1" customWidth="1"/>
  </cols>
  <sheetData>
    <row r="2" spans="1:16" x14ac:dyDescent="0.25">
      <c r="A2" t="s">
        <v>6</v>
      </c>
      <c r="B2" s="30">
        <v>3.49E-2</v>
      </c>
      <c r="J2" t="s">
        <v>6</v>
      </c>
      <c r="K2" s="19">
        <v>3.1800000000000002E-2</v>
      </c>
    </row>
    <row r="3" spans="1:16" x14ac:dyDescent="0.25">
      <c r="A3" t="s">
        <v>8</v>
      </c>
      <c r="B3" s="1">
        <v>41497</v>
      </c>
      <c r="J3" t="s">
        <v>8</v>
      </c>
      <c r="K3" s="1">
        <v>41497</v>
      </c>
    </row>
    <row r="4" spans="1:16" ht="15.75" thickBot="1" x14ac:dyDescent="0.3">
      <c r="A4" t="s">
        <v>13</v>
      </c>
      <c r="D4" t="s">
        <v>24</v>
      </c>
      <c r="J4" t="s">
        <v>13</v>
      </c>
      <c r="M4" t="s">
        <v>21</v>
      </c>
    </row>
    <row r="5" spans="1:16" x14ac:dyDescent="0.25">
      <c r="A5" s="27" t="s">
        <v>7</v>
      </c>
      <c r="B5" s="28" t="s">
        <v>8</v>
      </c>
      <c r="C5" s="28" t="s">
        <v>9</v>
      </c>
      <c r="D5" s="28" t="s">
        <v>10</v>
      </c>
      <c r="E5" s="28" t="s">
        <v>11</v>
      </c>
      <c r="F5" s="28" t="s">
        <v>12</v>
      </c>
      <c r="G5" s="29" t="s">
        <v>14</v>
      </c>
      <c r="J5" s="2" t="s">
        <v>7</v>
      </c>
      <c r="K5" s="3" t="s">
        <v>8</v>
      </c>
      <c r="L5" s="3" t="s">
        <v>9</v>
      </c>
      <c r="M5" s="3" t="s">
        <v>10</v>
      </c>
      <c r="N5" s="3" t="s">
        <v>11</v>
      </c>
      <c r="O5" s="3" t="s">
        <v>12</v>
      </c>
      <c r="P5" s="4" t="s">
        <v>14</v>
      </c>
    </row>
    <row r="6" spans="1:16" x14ac:dyDescent="0.25">
      <c r="A6" s="82"/>
      <c r="B6" s="83"/>
      <c r="C6" s="83"/>
      <c r="D6" s="83"/>
      <c r="E6" s="83"/>
      <c r="F6" s="83"/>
      <c r="G6" s="84"/>
      <c r="J6" s="85"/>
      <c r="K6" s="86"/>
      <c r="L6" s="86"/>
      <c r="M6" s="86"/>
      <c r="N6" s="86"/>
      <c r="O6" s="86"/>
      <c r="P6" s="87"/>
    </row>
    <row r="7" spans="1:16" x14ac:dyDescent="0.25">
      <c r="A7" s="23">
        <v>0</v>
      </c>
      <c r="B7" s="22">
        <v>39575</v>
      </c>
      <c r="C7" s="21">
        <v>0</v>
      </c>
      <c r="D7" s="21">
        <v>0</v>
      </c>
      <c r="E7" s="21">
        <v>100</v>
      </c>
      <c r="F7" s="21">
        <v>0</v>
      </c>
      <c r="G7" s="11"/>
      <c r="H7" s="21"/>
      <c r="J7" s="5">
        <v>0</v>
      </c>
      <c r="K7" s="16">
        <v>40057</v>
      </c>
      <c r="L7" s="6">
        <v>0</v>
      </c>
      <c r="M7" s="6">
        <v>0</v>
      </c>
      <c r="N7" s="6">
        <v>100</v>
      </c>
      <c r="O7" s="6">
        <v>0</v>
      </c>
      <c r="P7" s="17"/>
    </row>
    <row r="8" spans="1:16" x14ac:dyDescent="0.25">
      <c r="A8" s="23">
        <v>1</v>
      </c>
      <c r="B8" s="22">
        <v>39759</v>
      </c>
      <c r="C8" s="21">
        <v>1.7349000000000001</v>
      </c>
      <c r="D8" s="21">
        <v>0</v>
      </c>
      <c r="E8" s="21">
        <v>100</v>
      </c>
      <c r="F8" s="21">
        <v>1.7349000000000001</v>
      </c>
      <c r="G8" s="7"/>
      <c r="H8" s="21"/>
      <c r="J8" s="5">
        <v>1</v>
      </c>
      <c r="K8" s="16">
        <v>40238</v>
      </c>
      <c r="L8" s="6">
        <v>1.75</v>
      </c>
      <c r="M8" s="6">
        <v>0</v>
      </c>
      <c r="N8" s="6">
        <v>100</v>
      </c>
      <c r="O8" s="6">
        <v>1.75</v>
      </c>
      <c r="P8" s="17"/>
    </row>
    <row r="9" spans="1:16" x14ac:dyDescent="0.25">
      <c r="A9" s="23">
        <v>2</v>
      </c>
      <c r="B9" s="22">
        <v>39940</v>
      </c>
      <c r="C9" s="21">
        <v>1.7349000000000001</v>
      </c>
      <c r="D9" s="21">
        <v>0</v>
      </c>
      <c r="E9" s="21">
        <v>100</v>
      </c>
      <c r="F9" s="21">
        <v>1.7349000000000001</v>
      </c>
      <c r="G9" s="7"/>
      <c r="H9" s="21"/>
      <c r="J9" s="5">
        <v>2</v>
      </c>
      <c r="K9" s="16">
        <v>40422</v>
      </c>
      <c r="L9" s="6">
        <v>1.75</v>
      </c>
      <c r="M9" s="6">
        <v>0</v>
      </c>
      <c r="N9" s="6">
        <v>100</v>
      </c>
      <c r="O9" s="6">
        <v>1.75</v>
      </c>
      <c r="P9" s="7"/>
    </row>
    <row r="10" spans="1:16" x14ac:dyDescent="0.25">
      <c r="A10" s="23">
        <v>3</v>
      </c>
      <c r="B10" s="22">
        <v>40124</v>
      </c>
      <c r="C10" s="21">
        <v>1.7349000000000001</v>
      </c>
      <c r="D10" s="21">
        <v>0</v>
      </c>
      <c r="E10" s="21">
        <v>100</v>
      </c>
      <c r="F10" s="21">
        <v>1.7349000000000001</v>
      </c>
      <c r="G10" s="7"/>
      <c r="H10" s="21"/>
      <c r="J10" s="5">
        <v>3</v>
      </c>
      <c r="K10" s="16">
        <v>40603</v>
      </c>
      <c r="L10" s="6">
        <v>1.75</v>
      </c>
      <c r="M10" s="6">
        <v>0</v>
      </c>
      <c r="N10" s="6">
        <v>100</v>
      </c>
      <c r="O10" s="6">
        <v>1.75</v>
      </c>
      <c r="P10" s="7"/>
    </row>
    <row r="11" spans="1:16" x14ac:dyDescent="0.25">
      <c r="A11" s="23">
        <v>4</v>
      </c>
      <c r="B11" s="22">
        <v>40305</v>
      </c>
      <c r="C11" s="21">
        <v>1.7349000000000001</v>
      </c>
      <c r="D11" s="21">
        <v>0</v>
      </c>
      <c r="E11" s="21">
        <v>100</v>
      </c>
      <c r="F11" s="21">
        <v>1.7349000000000001</v>
      </c>
      <c r="G11" s="7"/>
      <c r="H11" s="21"/>
      <c r="J11" s="5">
        <v>4</v>
      </c>
      <c r="K11" s="16">
        <v>40787</v>
      </c>
      <c r="L11" s="6">
        <v>1.75</v>
      </c>
      <c r="M11" s="6">
        <v>0</v>
      </c>
      <c r="N11" s="6">
        <v>100</v>
      </c>
      <c r="O11" s="6">
        <v>1.75</v>
      </c>
      <c r="P11" s="7"/>
    </row>
    <row r="12" spans="1:16" x14ac:dyDescent="0.25">
      <c r="A12" s="23">
        <v>5</v>
      </c>
      <c r="B12" s="22">
        <v>40489</v>
      </c>
      <c r="C12" s="21">
        <v>1.7349000000000001</v>
      </c>
      <c r="D12" s="21">
        <v>0</v>
      </c>
      <c r="E12" s="21">
        <v>100</v>
      </c>
      <c r="F12" s="21">
        <v>1.7349000000000001</v>
      </c>
      <c r="G12" s="7"/>
      <c r="H12" s="21"/>
      <c r="J12" s="5">
        <v>5</v>
      </c>
      <c r="K12" s="16">
        <v>40969</v>
      </c>
      <c r="L12" s="6">
        <v>1.75</v>
      </c>
      <c r="M12" s="6">
        <v>0</v>
      </c>
      <c r="N12" s="6">
        <v>100</v>
      </c>
      <c r="O12" s="6">
        <v>1.75</v>
      </c>
      <c r="P12" s="7"/>
    </row>
    <row r="13" spans="1:16" x14ac:dyDescent="0.25">
      <c r="A13" s="23">
        <v>6</v>
      </c>
      <c r="B13" s="22">
        <v>40670</v>
      </c>
      <c r="C13" s="21">
        <v>1.7349000000000001</v>
      </c>
      <c r="D13" s="21">
        <v>0</v>
      </c>
      <c r="E13" s="21">
        <v>100</v>
      </c>
      <c r="F13" s="21">
        <v>1.7349000000000001</v>
      </c>
      <c r="G13" s="7"/>
      <c r="H13" s="21"/>
      <c r="J13" s="5">
        <v>6</v>
      </c>
      <c r="K13" s="16">
        <v>41153</v>
      </c>
      <c r="L13" s="6">
        <v>1.75</v>
      </c>
      <c r="M13" s="6">
        <v>0</v>
      </c>
      <c r="N13" s="6">
        <v>100</v>
      </c>
      <c r="O13" s="6">
        <v>1.75</v>
      </c>
      <c r="P13" s="7"/>
    </row>
    <row r="14" spans="1:16" x14ac:dyDescent="0.25">
      <c r="A14" s="23">
        <v>7</v>
      </c>
      <c r="B14" s="22">
        <v>40854</v>
      </c>
      <c r="C14" s="21">
        <v>1.7349000000000001</v>
      </c>
      <c r="D14" s="21">
        <v>0</v>
      </c>
      <c r="E14" s="21">
        <v>100</v>
      </c>
      <c r="F14" s="21">
        <v>1.7349000000000001</v>
      </c>
      <c r="G14" s="7"/>
      <c r="H14" s="21"/>
      <c r="J14" s="5">
        <v>7</v>
      </c>
      <c r="K14" s="16">
        <v>41334</v>
      </c>
      <c r="L14" s="6">
        <v>1.75</v>
      </c>
      <c r="M14" s="6">
        <v>0</v>
      </c>
      <c r="N14" s="6">
        <v>100</v>
      </c>
      <c r="O14" s="6">
        <v>1.75</v>
      </c>
      <c r="P14" s="7"/>
    </row>
    <row r="15" spans="1:16" x14ac:dyDescent="0.25">
      <c r="A15" s="23">
        <v>8</v>
      </c>
      <c r="B15" s="22">
        <v>41036</v>
      </c>
      <c r="C15" s="21">
        <v>1.7349000000000001</v>
      </c>
      <c r="D15" s="21">
        <v>0</v>
      </c>
      <c r="E15" s="21">
        <v>100</v>
      </c>
      <c r="F15" s="21">
        <v>1.7349000000000001</v>
      </c>
      <c r="G15" s="7"/>
      <c r="H15" s="21"/>
      <c r="J15" s="5">
        <v>8</v>
      </c>
      <c r="K15" s="16">
        <v>41518</v>
      </c>
      <c r="L15" s="6">
        <v>1.75</v>
      </c>
      <c r="M15" s="6">
        <v>0</v>
      </c>
      <c r="N15" s="6">
        <v>100</v>
      </c>
      <c r="O15" s="6">
        <v>1.75</v>
      </c>
      <c r="P15" s="7">
        <f t="shared" ref="P15:P17" si="0">(K15-$K$3)/365</f>
        <v>5.7534246575342465E-2</v>
      </c>
    </row>
    <row r="16" spans="1:16" x14ac:dyDescent="0.25">
      <c r="A16" s="23">
        <v>9</v>
      </c>
      <c r="B16" s="22">
        <v>41220</v>
      </c>
      <c r="C16" s="21">
        <v>1.7349000000000001</v>
      </c>
      <c r="D16" s="21">
        <v>0</v>
      </c>
      <c r="E16" s="21">
        <v>100</v>
      </c>
      <c r="F16" s="21">
        <v>1.7349000000000001</v>
      </c>
      <c r="G16" s="7"/>
      <c r="H16" s="21"/>
      <c r="J16" s="5">
        <v>9</v>
      </c>
      <c r="K16" s="16">
        <v>41699</v>
      </c>
      <c r="L16" s="6">
        <v>1.75</v>
      </c>
      <c r="M16" s="6">
        <v>0</v>
      </c>
      <c r="N16" s="6">
        <v>100</v>
      </c>
      <c r="O16" s="6">
        <v>1.75</v>
      </c>
      <c r="P16" s="7">
        <f t="shared" si="0"/>
        <v>0.55342465753424652</v>
      </c>
    </row>
    <row r="17" spans="1:16" ht="15.75" thickBot="1" x14ac:dyDescent="0.3">
      <c r="A17" s="23">
        <v>10</v>
      </c>
      <c r="B17" s="22">
        <v>41401</v>
      </c>
      <c r="C17" s="21">
        <v>1.7349000000000001</v>
      </c>
      <c r="D17" s="21">
        <v>0</v>
      </c>
      <c r="E17" s="21">
        <v>100</v>
      </c>
      <c r="F17" s="21">
        <v>1.7349000000000001</v>
      </c>
      <c r="G17" s="7"/>
      <c r="H17" s="21"/>
      <c r="J17" s="8">
        <v>10</v>
      </c>
      <c r="K17" s="18">
        <v>41883</v>
      </c>
      <c r="L17" s="9">
        <v>1.75</v>
      </c>
      <c r="M17" s="9">
        <v>100</v>
      </c>
      <c r="N17" s="9">
        <v>0</v>
      </c>
      <c r="O17" s="9">
        <v>101.75</v>
      </c>
      <c r="P17" s="10">
        <f t="shared" si="0"/>
        <v>1.0575342465753426</v>
      </c>
    </row>
    <row r="18" spans="1:16" x14ac:dyDescent="0.25">
      <c r="A18" s="23">
        <v>11</v>
      </c>
      <c r="B18" s="22">
        <v>41585</v>
      </c>
      <c r="C18" s="21">
        <v>1.7349000000000001</v>
      </c>
      <c r="D18" s="21">
        <v>0</v>
      </c>
      <c r="E18" s="21">
        <v>100</v>
      </c>
      <c r="F18" s="21">
        <v>1.7349000000000001</v>
      </c>
      <c r="G18" s="31">
        <f t="shared" ref="G18:G27" si="1">(B18-$B$3)/365</f>
        <v>0.24109589041095891</v>
      </c>
      <c r="H18" s="21"/>
    </row>
    <row r="19" spans="1:16" x14ac:dyDescent="0.25">
      <c r="A19" s="23">
        <v>12</v>
      </c>
      <c r="B19" s="22">
        <v>41766</v>
      </c>
      <c r="C19" s="21">
        <v>1.7349000000000001</v>
      </c>
      <c r="D19" s="21">
        <v>0</v>
      </c>
      <c r="E19" s="21">
        <v>100</v>
      </c>
      <c r="F19" s="21">
        <v>1.7349000000000001</v>
      </c>
      <c r="G19" s="31">
        <f t="shared" si="1"/>
        <v>0.73698630136986298</v>
      </c>
      <c r="H19" s="21"/>
    </row>
    <row r="20" spans="1:16" x14ac:dyDescent="0.25">
      <c r="A20" s="23">
        <v>13</v>
      </c>
      <c r="B20" s="22">
        <v>41950</v>
      </c>
      <c r="C20" s="21">
        <v>1.7349000000000001</v>
      </c>
      <c r="D20" s="21">
        <v>0</v>
      </c>
      <c r="E20" s="21">
        <v>100</v>
      </c>
      <c r="F20" s="21">
        <v>1.7349000000000001</v>
      </c>
      <c r="G20" s="31">
        <f t="shared" si="1"/>
        <v>1.2410958904109588</v>
      </c>
      <c r="H20" s="21"/>
      <c r="K20" t="s">
        <v>15</v>
      </c>
      <c r="L20">
        <v>3</v>
      </c>
    </row>
    <row r="21" spans="1:16" x14ac:dyDescent="0.25">
      <c r="A21" s="23">
        <v>14</v>
      </c>
      <c r="B21" s="22">
        <v>42131</v>
      </c>
      <c r="C21" s="21">
        <v>1.7349000000000001</v>
      </c>
      <c r="D21" s="21">
        <v>0</v>
      </c>
      <c r="E21" s="21">
        <v>100</v>
      </c>
      <c r="F21" s="21">
        <v>1.7349000000000001</v>
      </c>
      <c r="G21" s="31">
        <f t="shared" si="1"/>
        <v>1.736986301369863</v>
      </c>
      <c r="H21" s="21"/>
      <c r="K21" t="s">
        <v>22</v>
      </c>
      <c r="L21" s="12">
        <f>DurMod(L20,O15:P17,K2)</f>
        <v>1.0000810038866634</v>
      </c>
    </row>
    <row r="22" spans="1:16" x14ac:dyDescent="0.25">
      <c r="A22" s="23">
        <v>15</v>
      </c>
      <c r="B22" s="22">
        <v>42315</v>
      </c>
      <c r="C22" s="21">
        <v>1.7349000000000001</v>
      </c>
      <c r="D22" s="21">
        <v>0</v>
      </c>
      <c r="E22" s="21">
        <v>100</v>
      </c>
      <c r="F22" s="21">
        <v>1.7349000000000001</v>
      </c>
      <c r="G22" s="31">
        <f t="shared" si="1"/>
        <v>2.2410958904109588</v>
      </c>
      <c r="H22" s="21"/>
    </row>
    <row r="23" spans="1:16" x14ac:dyDescent="0.25">
      <c r="A23" s="23">
        <v>16</v>
      </c>
      <c r="B23" s="22">
        <v>42497</v>
      </c>
      <c r="C23" s="21">
        <v>1.7349000000000001</v>
      </c>
      <c r="D23" s="21">
        <v>0</v>
      </c>
      <c r="E23" s="21">
        <v>100</v>
      </c>
      <c r="F23" s="21">
        <v>1.7349000000000001</v>
      </c>
      <c r="G23" s="31">
        <f t="shared" si="1"/>
        <v>2.7397260273972601</v>
      </c>
      <c r="H23" s="21"/>
    </row>
    <row r="24" spans="1:16" x14ac:dyDescent="0.25">
      <c r="A24" s="23">
        <v>17</v>
      </c>
      <c r="B24" s="22">
        <v>42681</v>
      </c>
      <c r="C24" s="21">
        <v>1.7349000000000001</v>
      </c>
      <c r="D24" s="21">
        <v>0</v>
      </c>
      <c r="E24" s="21">
        <v>100</v>
      </c>
      <c r="F24" s="21">
        <v>1.7349000000000001</v>
      </c>
      <c r="G24" s="31">
        <f t="shared" si="1"/>
        <v>3.2438356164383562</v>
      </c>
      <c r="H24" s="21"/>
    </row>
    <row r="25" spans="1:16" x14ac:dyDescent="0.25">
      <c r="A25" s="23">
        <v>18</v>
      </c>
      <c r="B25" s="22">
        <v>42862</v>
      </c>
      <c r="C25" s="21">
        <v>1.7349000000000001</v>
      </c>
      <c r="D25" s="21">
        <v>0</v>
      </c>
      <c r="E25" s="21">
        <v>100</v>
      </c>
      <c r="F25" s="21">
        <v>1.7349000000000001</v>
      </c>
      <c r="G25" s="31">
        <f t="shared" si="1"/>
        <v>3.7397260273972601</v>
      </c>
      <c r="H25" s="21"/>
    </row>
    <row r="26" spans="1:16" x14ac:dyDescent="0.25">
      <c r="A26" s="23">
        <v>19</v>
      </c>
      <c r="B26" s="22">
        <v>43046</v>
      </c>
      <c r="C26" s="21">
        <v>1.7349000000000001</v>
      </c>
      <c r="D26" s="21">
        <v>0</v>
      </c>
      <c r="E26" s="21">
        <v>100</v>
      </c>
      <c r="F26" s="21">
        <v>1.7349000000000001</v>
      </c>
      <c r="G26" s="31">
        <f t="shared" si="1"/>
        <v>4.2438356164383562</v>
      </c>
      <c r="H26" s="21"/>
    </row>
    <row r="27" spans="1:16" ht="15.75" thickBot="1" x14ac:dyDescent="0.3">
      <c r="A27" s="24">
        <v>20</v>
      </c>
      <c r="B27" s="25">
        <v>43227</v>
      </c>
      <c r="C27" s="26">
        <v>1.7349000000000001</v>
      </c>
      <c r="D27" s="26">
        <v>100</v>
      </c>
      <c r="E27" s="26">
        <v>0</v>
      </c>
      <c r="F27" s="26">
        <v>101.7349</v>
      </c>
      <c r="G27" s="32">
        <f t="shared" si="1"/>
        <v>4.7397260273972606</v>
      </c>
      <c r="H27" s="21"/>
    </row>
    <row r="30" spans="1:16" x14ac:dyDescent="0.25">
      <c r="B30" t="s">
        <v>15</v>
      </c>
      <c r="C30">
        <v>10</v>
      </c>
    </row>
    <row r="31" spans="1:16" x14ac:dyDescent="0.25">
      <c r="B31" t="s">
        <v>22</v>
      </c>
      <c r="C31" s="12">
        <f>DurMod(C30,F18:G27,B2)</f>
        <v>4.2256936253370032</v>
      </c>
    </row>
  </sheetData>
  <mergeCells count="2">
    <mergeCell ref="A6:G6"/>
    <mergeCell ref="J6:P6"/>
  </mergeCells>
  <phoneticPr fontId="0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O13"/>
  <sheetViews>
    <sheetView workbookViewId="0">
      <selection activeCell="D3" sqref="D3"/>
    </sheetView>
  </sheetViews>
  <sheetFormatPr baseColWidth="10" defaultColWidth="9.140625" defaultRowHeight="15" x14ac:dyDescent="0.25"/>
  <cols>
    <col min="1" max="1" width="11.5703125" bestFit="1" customWidth="1"/>
    <col min="2" max="2" width="9.140625" customWidth="1"/>
    <col min="3" max="3" width="12.140625" bestFit="1" customWidth="1"/>
    <col min="4" max="4" width="10.42578125" bestFit="1" customWidth="1"/>
    <col min="7" max="7" width="10.7109375" bestFit="1" customWidth="1"/>
  </cols>
  <sheetData>
    <row r="1" spans="1:15" x14ac:dyDescent="0.25">
      <c r="A1" t="s">
        <v>23</v>
      </c>
      <c r="C1" s="1" t="s">
        <v>16</v>
      </c>
      <c r="D1" s="1">
        <v>41497</v>
      </c>
      <c r="F1" s="2" t="s">
        <v>7</v>
      </c>
      <c r="G1" s="3" t="s">
        <v>8</v>
      </c>
      <c r="H1" s="3" t="s">
        <v>9</v>
      </c>
      <c r="I1" s="3" t="s">
        <v>10</v>
      </c>
      <c r="J1" s="3" t="s">
        <v>11</v>
      </c>
      <c r="K1" s="3" t="s">
        <v>12</v>
      </c>
      <c r="L1" s="13"/>
    </row>
    <row r="2" spans="1:15" x14ac:dyDescent="0.25">
      <c r="C2" t="s">
        <v>17</v>
      </c>
      <c r="D2" s="33">
        <v>2.24E-2</v>
      </c>
      <c r="F2" s="85"/>
      <c r="G2" s="86"/>
      <c r="H2" s="86"/>
      <c r="I2" s="86"/>
      <c r="J2" s="86"/>
      <c r="K2" s="86"/>
      <c r="L2" s="87"/>
    </row>
    <row r="3" spans="1:15" x14ac:dyDescent="0.25">
      <c r="C3" t="s">
        <v>22</v>
      </c>
      <c r="D3" s="12">
        <f>DurBCU(A1,D2,D1)</f>
        <v>0.61719003441026532</v>
      </c>
      <c r="F3" s="23">
        <v>0</v>
      </c>
      <c r="G3" s="22">
        <v>39904</v>
      </c>
      <c r="H3" s="21">
        <v>0</v>
      </c>
      <c r="I3" s="21">
        <v>0</v>
      </c>
      <c r="J3" s="21">
        <v>100</v>
      </c>
      <c r="K3" s="21">
        <v>0</v>
      </c>
      <c r="L3" s="17"/>
      <c r="O3" s="20"/>
    </row>
    <row r="4" spans="1:15" x14ac:dyDescent="0.25">
      <c r="F4" s="23">
        <v>1</v>
      </c>
      <c r="G4" s="22">
        <v>40087</v>
      </c>
      <c r="H4" s="21">
        <v>1.5</v>
      </c>
      <c r="I4" s="21">
        <v>0</v>
      </c>
      <c r="J4" s="21">
        <v>100</v>
      </c>
      <c r="K4" s="21">
        <v>1.5</v>
      </c>
      <c r="L4" s="17"/>
      <c r="O4" s="20"/>
    </row>
    <row r="5" spans="1:15" x14ac:dyDescent="0.25">
      <c r="F5" s="23">
        <v>2</v>
      </c>
      <c r="G5" s="22">
        <v>40269</v>
      </c>
      <c r="H5" s="21">
        <v>1.5</v>
      </c>
      <c r="I5" s="21">
        <v>0</v>
      </c>
      <c r="J5" s="21">
        <v>100</v>
      </c>
      <c r="K5" s="21">
        <v>1.5</v>
      </c>
      <c r="L5" s="17"/>
      <c r="O5" s="20"/>
    </row>
    <row r="6" spans="1:15" x14ac:dyDescent="0.25">
      <c r="F6" s="23">
        <v>3</v>
      </c>
      <c r="G6" s="22">
        <v>40452</v>
      </c>
      <c r="H6" s="21">
        <v>1.5</v>
      </c>
      <c r="I6" s="21">
        <v>0</v>
      </c>
      <c r="J6" s="21">
        <v>100</v>
      </c>
      <c r="K6" s="21">
        <v>1.5</v>
      </c>
      <c r="L6" s="17"/>
      <c r="O6" s="20"/>
    </row>
    <row r="7" spans="1:15" x14ac:dyDescent="0.25">
      <c r="F7" s="23">
        <v>4</v>
      </c>
      <c r="G7" s="22">
        <v>40634</v>
      </c>
      <c r="H7" s="21">
        <v>1.5</v>
      </c>
      <c r="I7" s="21">
        <v>0</v>
      </c>
      <c r="J7" s="21">
        <v>100</v>
      </c>
      <c r="K7" s="21">
        <v>1.5</v>
      </c>
      <c r="L7" s="17"/>
      <c r="O7" s="20"/>
    </row>
    <row r="8" spans="1:15" x14ac:dyDescent="0.25">
      <c r="F8" s="23">
        <v>5</v>
      </c>
      <c r="G8" s="22">
        <v>40817</v>
      </c>
      <c r="H8" s="21">
        <v>1.5</v>
      </c>
      <c r="I8" s="21">
        <v>0</v>
      </c>
      <c r="J8" s="21">
        <v>100</v>
      </c>
      <c r="K8" s="21">
        <v>1.5</v>
      </c>
      <c r="L8" s="17"/>
      <c r="O8" s="20"/>
    </row>
    <row r="9" spans="1:15" x14ac:dyDescent="0.25">
      <c r="F9" s="23">
        <v>6</v>
      </c>
      <c r="G9" s="22">
        <v>41000</v>
      </c>
      <c r="H9" s="21">
        <v>1.5</v>
      </c>
      <c r="I9" s="21">
        <v>0</v>
      </c>
      <c r="J9" s="21">
        <v>100</v>
      </c>
      <c r="K9" s="21">
        <v>1.5</v>
      </c>
      <c r="L9" s="17"/>
      <c r="O9" s="20"/>
    </row>
    <row r="10" spans="1:15" x14ac:dyDescent="0.25">
      <c r="F10" s="23">
        <v>7</v>
      </c>
      <c r="G10" s="22">
        <v>41183</v>
      </c>
      <c r="H10" s="21">
        <v>1.5</v>
      </c>
      <c r="I10" s="21">
        <v>0</v>
      </c>
      <c r="J10" s="21">
        <v>100</v>
      </c>
      <c r="K10" s="21">
        <v>1.5</v>
      </c>
      <c r="L10" s="17"/>
      <c r="O10" s="20"/>
    </row>
    <row r="11" spans="1:15" x14ac:dyDescent="0.25">
      <c r="F11" s="23">
        <v>8</v>
      </c>
      <c r="G11" s="22">
        <v>41365</v>
      </c>
      <c r="H11" s="21">
        <v>1.5</v>
      </c>
      <c r="I11" s="21">
        <v>0</v>
      </c>
      <c r="J11" s="21">
        <v>100</v>
      </c>
      <c r="K11" s="21">
        <v>1.5</v>
      </c>
      <c r="L11" s="17"/>
      <c r="O11" s="20"/>
    </row>
    <row r="12" spans="1:15" x14ac:dyDescent="0.25">
      <c r="F12" s="23">
        <v>9</v>
      </c>
      <c r="G12" s="22">
        <v>41548</v>
      </c>
      <c r="H12" s="21">
        <v>1.5</v>
      </c>
      <c r="I12" s="21">
        <v>0</v>
      </c>
      <c r="J12" s="21">
        <v>100</v>
      </c>
      <c r="K12" s="21">
        <v>1.5</v>
      </c>
      <c r="L12" s="17">
        <f>(G12-$D$1)/365</f>
        <v>0.13972602739726028</v>
      </c>
      <c r="O12" s="20"/>
    </row>
    <row r="13" spans="1:15" ht="15.75" thickBot="1" x14ac:dyDescent="0.3">
      <c r="F13" s="24">
        <v>10</v>
      </c>
      <c r="G13" s="25">
        <v>41730</v>
      </c>
      <c r="H13" s="26">
        <v>1.5</v>
      </c>
      <c r="I13" s="26">
        <v>100</v>
      </c>
      <c r="J13" s="26">
        <v>0</v>
      </c>
      <c r="K13" s="26">
        <v>101.5</v>
      </c>
      <c r="L13" s="14">
        <f>(G13-$D$1)/365</f>
        <v>0.63835616438356169</v>
      </c>
      <c r="O13" s="20"/>
    </row>
  </sheetData>
  <mergeCells count="1">
    <mergeCell ref="F2:L2"/>
  </mergeCells>
  <phoneticPr fontId="0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"/>
  <dimension ref="A2:B6"/>
  <sheetViews>
    <sheetView workbookViewId="0">
      <selection activeCell="B5" sqref="B5"/>
    </sheetView>
  </sheetViews>
  <sheetFormatPr baseColWidth="10" defaultColWidth="11.42578125" defaultRowHeight="15" x14ac:dyDescent="0.25"/>
  <cols>
    <col min="1" max="1" width="12.7109375" bestFit="1" customWidth="1"/>
  </cols>
  <sheetData>
    <row r="2" spans="1:2" x14ac:dyDescent="0.25">
      <c r="A2" t="s">
        <v>6</v>
      </c>
      <c r="B2" s="19">
        <v>0.08</v>
      </c>
    </row>
    <row r="3" spans="1:2" x14ac:dyDescent="0.25">
      <c r="A3" t="s">
        <v>18</v>
      </c>
      <c r="B3" s="19">
        <v>0.05</v>
      </c>
    </row>
    <row r="4" spans="1:2" x14ac:dyDescent="0.25">
      <c r="A4" t="s">
        <v>14</v>
      </c>
      <c r="B4">
        <v>10</v>
      </c>
    </row>
    <row r="5" spans="1:2" x14ac:dyDescent="0.25">
      <c r="A5" t="s">
        <v>19</v>
      </c>
      <c r="B5">
        <f>VP_Cupones(B2,B3,B4)</f>
        <v>80.52785516465616</v>
      </c>
    </row>
    <row r="6" spans="1:2" x14ac:dyDescent="0.25">
      <c r="A6" t="s">
        <v>20</v>
      </c>
      <c r="B6" s="15">
        <f>Busca_Tir(B5,B3,B4)</f>
        <v>7.9999985973202389E-2</v>
      </c>
    </row>
  </sheetData>
  <phoneticPr fontId="0" type="noConversion"/>
  <pageMargins left="0.75" right="0.75" top="1" bottom="1" header="0" footer="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2:O58"/>
  <sheetViews>
    <sheetView workbookViewId="0">
      <selection activeCell="I31" sqref="I31"/>
    </sheetView>
  </sheetViews>
  <sheetFormatPr baseColWidth="10" defaultColWidth="9.140625" defaultRowHeight="15" x14ac:dyDescent="0.25"/>
  <cols>
    <col min="2" max="4" width="10.7109375" bestFit="1" customWidth="1"/>
  </cols>
  <sheetData>
    <row r="2" spans="1:15" ht="15.75" thickBot="1" x14ac:dyDescent="0.3">
      <c r="A2" t="s">
        <v>13</v>
      </c>
      <c r="D2" t="s">
        <v>24</v>
      </c>
      <c r="I2" t="s">
        <v>13</v>
      </c>
      <c r="L2" t="s">
        <v>21</v>
      </c>
    </row>
    <row r="3" spans="1:15" x14ac:dyDescent="0.25">
      <c r="A3" s="27" t="s">
        <v>7</v>
      </c>
      <c r="B3" s="28" t="s">
        <v>8</v>
      </c>
      <c r="C3" s="28" t="s">
        <v>9</v>
      </c>
      <c r="D3" s="28" t="s">
        <v>10</v>
      </c>
      <c r="E3" s="28" t="s">
        <v>11</v>
      </c>
      <c r="F3" s="28" t="s">
        <v>12</v>
      </c>
      <c r="G3" s="29" t="s">
        <v>14</v>
      </c>
      <c r="I3" s="2" t="s">
        <v>7</v>
      </c>
      <c r="J3" s="3" t="s">
        <v>8</v>
      </c>
      <c r="K3" s="3" t="s">
        <v>9</v>
      </c>
      <c r="L3" s="3" t="s">
        <v>10</v>
      </c>
      <c r="M3" s="3" t="s">
        <v>11</v>
      </c>
      <c r="N3" s="3" t="s">
        <v>12</v>
      </c>
      <c r="O3" s="4" t="s">
        <v>14</v>
      </c>
    </row>
    <row r="4" spans="1:15" x14ac:dyDescent="0.25">
      <c r="A4" s="82"/>
      <c r="B4" s="83"/>
      <c r="C4" s="83"/>
      <c r="D4" s="83"/>
      <c r="E4" s="83"/>
      <c r="F4" s="83"/>
      <c r="G4" s="84"/>
      <c r="I4" s="85"/>
      <c r="J4" s="86"/>
      <c r="K4" s="86"/>
      <c r="L4" s="86"/>
      <c r="M4" s="86"/>
      <c r="N4" s="86"/>
      <c r="O4" s="87"/>
    </row>
    <row r="5" spans="1:15" x14ac:dyDescent="0.25">
      <c r="A5" s="23">
        <v>0</v>
      </c>
      <c r="B5" s="22">
        <v>39575</v>
      </c>
      <c r="C5" s="21">
        <v>0</v>
      </c>
      <c r="D5" s="21">
        <v>0</v>
      </c>
      <c r="E5" s="21">
        <v>100</v>
      </c>
      <c r="F5" s="21">
        <v>0</v>
      </c>
      <c r="G5" s="11"/>
      <c r="I5" s="5">
        <v>0</v>
      </c>
      <c r="J5" s="16">
        <v>40057</v>
      </c>
      <c r="K5" s="6">
        <v>0</v>
      </c>
      <c r="L5" s="6">
        <v>0</v>
      </c>
      <c r="M5" s="6">
        <v>100</v>
      </c>
      <c r="N5" s="6">
        <v>0</v>
      </c>
      <c r="O5" s="17"/>
    </row>
    <row r="6" spans="1:15" x14ac:dyDescent="0.25">
      <c r="A6" s="23">
        <v>1</v>
      </c>
      <c r="B6" s="22">
        <v>39759</v>
      </c>
      <c r="C6" s="21">
        <v>1.7349000000000001</v>
      </c>
      <c r="D6" s="21">
        <v>0</v>
      </c>
      <c r="E6" s="21">
        <v>100</v>
      </c>
      <c r="F6" s="21">
        <v>1.7349000000000001</v>
      </c>
      <c r="G6" s="7"/>
      <c r="I6" s="5">
        <v>1</v>
      </c>
      <c r="J6" s="16">
        <v>40238</v>
      </c>
      <c r="K6" s="6">
        <v>1.75</v>
      </c>
      <c r="L6" s="6">
        <v>0</v>
      </c>
      <c r="M6" s="6">
        <v>100</v>
      </c>
      <c r="N6" s="6">
        <v>1.75</v>
      </c>
      <c r="O6" s="17"/>
    </row>
    <row r="7" spans="1:15" x14ac:dyDescent="0.25">
      <c r="A7" s="23">
        <v>2</v>
      </c>
      <c r="B7" s="22">
        <v>39940</v>
      </c>
      <c r="C7" s="21">
        <v>1.7349000000000001</v>
      </c>
      <c r="D7" s="21">
        <v>0</v>
      </c>
      <c r="E7" s="21">
        <v>100</v>
      </c>
      <c r="F7" s="21">
        <v>1.7349000000000001</v>
      </c>
      <c r="G7" s="7"/>
      <c r="I7" s="5">
        <v>2</v>
      </c>
      <c r="J7" s="16">
        <v>40422</v>
      </c>
      <c r="K7" s="6">
        <v>1.75</v>
      </c>
      <c r="L7" s="6">
        <v>0</v>
      </c>
      <c r="M7" s="6">
        <v>100</v>
      </c>
      <c r="N7" s="6">
        <v>1.75</v>
      </c>
      <c r="O7" s="7"/>
    </row>
    <row r="8" spans="1:15" x14ac:dyDescent="0.25">
      <c r="A8" s="23">
        <v>3</v>
      </c>
      <c r="B8" s="22">
        <v>40124</v>
      </c>
      <c r="C8" s="21">
        <v>1.7349000000000001</v>
      </c>
      <c r="D8" s="21">
        <v>0</v>
      </c>
      <c r="E8" s="21">
        <v>100</v>
      </c>
      <c r="F8" s="21">
        <v>1.7349000000000001</v>
      </c>
      <c r="G8" s="7"/>
      <c r="I8" s="5">
        <v>3</v>
      </c>
      <c r="J8" s="16">
        <v>40603</v>
      </c>
      <c r="K8" s="6">
        <v>1.75</v>
      </c>
      <c r="L8" s="6">
        <v>0</v>
      </c>
      <c r="M8" s="6">
        <v>100</v>
      </c>
      <c r="N8" s="6">
        <v>1.75</v>
      </c>
      <c r="O8" s="7"/>
    </row>
    <row r="9" spans="1:15" x14ac:dyDescent="0.25">
      <c r="A9" s="23">
        <v>4</v>
      </c>
      <c r="B9" s="22">
        <v>40305</v>
      </c>
      <c r="C9" s="21">
        <v>1.7349000000000001</v>
      </c>
      <c r="D9" s="21">
        <v>0</v>
      </c>
      <c r="E9" s="21">
        <v>100</v>
      </c>
      <c r="F9" s="21">
        <v>1.7349000000000001</v>
      </c>
      <c r="G9" s="7"/>
      <c r="I9" s="5">
        <v>4</v>
      </c>
      <c r="J9" s="16">
        <v>40787</v>
      </c>
      <c r="K9" s="6">
        <v>1.75</v>
      </c>
      <c r="L9" s="6">
        <v>0</v>
      </c>
      <c r="M9" s="6">
        <v>100</v>
      </c>
      <c r="N9" s="6">
        <v>1.75</v>
      </c>
      <c r="O9" s="7"/>
    </row>
    <row r="10" spans="1:15" x14ac:dyDescent="0.25">
      <c r="A10" s="23">
        <v>5</v>
      </c>
      <c r="B10" s="22">
        <v>40489</v>
      </c>
      <c r="C10" s="21">
        <v>1.7349000000000001</v>
      </c>
      <c r="D10" s="21">
        <v>0</v>
      </c>
      <c r="E10" s="21">
        <v>100</v>
      </c>
      <c r="F10" s="21">
        <v>1.7349000000000001</v>
      </c>
      <c r="G10" s="7"/>
      <c r="I10" s="5">
        <v>5</v>
      </c>
      <c r="J10" s="16">
        <v>40969</v>
      </c>
      <c r="K10" s="6">
        <v>1.75</v>
      </c>
      <c r="L10" s="6">
        <v>0</v>
      </c>
      <c r="M10" s="6">
        <v>100</v>
      </c>
      <c r="N10" s="6">
        <v>1.75</v>
      </c>
      <c r="O10" s="7"/>
    </row>
    <row r="11" spans="1:15" x14ac:dyDescent="0.25">
      <c r="A11" s="23">
        <v>6</v>
      </c>
      <c r="B11" s="22">
        <v>40670</v>
      </c>
      <c r="C11" s="21">
        <v>1.7349000000000001</v>
      </c>
      <c r="D11" s="21">
        <v>0</v>
      </c>
      <c r="E11" s="21">
        <v>100</v>
      </c>
      <c r="F11" s="21">
        <v>1.7349000000000001</v>
      </c>
      <c r="G11" s="7"/>
      <c r="I11" s="5">
        <v>6</v>
      </c>
      <c r="J11" s="16">
        <v>41153</v>
      </c>
      <c r="K11" s="6">
        <v>1.75</v>
      </c>
      <c r="L11" s="6">
        <v>0</v>
      </c>
      <c r="M11" s="6">
        <v>100</v>
      </c>
      <c r="N11" s="6">
        <v>1.75</v>
      </c>
      <c r="O11" s="7"/>
    </row>
    <row r="12" spans="1:15" x14ac:dyDescent="0.25">
      <c r="A12" s="23">
        <v>7</v>
      </c>
      <c r="B12" s="22">
        <v>40854</v>
      </c>
      <c r="C12" s="21">
        <v>1.7349000000000001</v>
      </c>
      <c r="D12" s="21">
        <v>0</v>
      </c>
      <c r="E12" s="21">
        <v>100</v>
      </c>
      <c r="F12" s="21">
        <v>1.7349000000000001</v>
      </c>
      <c r="G12" s="7"/>
      <c r="I12" s="5">
        <v>7</v>
      </c>
      <c r="J12" s="16">
        <v>41334</v>
      </c>
      <c r="K12" s="6">
        <v>1.75</v>
      </c>
      <c r="L12" s="6">
        <v>0</v>
      </c>
      <c r="M12" s="6">
        <v>100</v>
      </c>
      <c r="N12" s="6">
        <v>1.75</v>
      </c>
      <c r="O12" s="7"/>
    </row>
    <row r="13" spans="1:15" x14ac:dyDescent="0.25">
      <c r="A13" s="23">
        <v>8</v>
      </c>
      <c r="B13" s="22">
        <v>41036</v>
      </c>
      <c r="C13" s="21">
        <v>1.7349000000000001</v>
      </c>
      <c r="D13" s="21">
        <v>0</v>
      </c>
      <c r="E13" s="21">
        <v>100</v>
      </c>
      <c r="F13" s="21">
        <v>1.7349000000000001</v>
      </c>
      <c r="G13" s="7"/>
      <c r="I13" s="5">
        <v>8</v>
      </c>
      <c r="J13" s="16">
        <v>41518</v>
      </c>
      <c r="K13" s="6">
        <v>1.75</v>
      </c>
      <c r="L13" s="6">
        <v>0</v>
      </c>
      <c r="M13" s="6">
        <v>100</v>
      </c>
      <c r="N13" s="6">
        <v>1.75</v>
      </c>
      <c r="O13" s="7"/>
    </row>
    <row r="14" spans="1:15" x14ac:dyDescent="0.25">
      <c r="A14" s="23">
        <v>9</v>
      </c>
      <c r="B14" s="22">
        <v>41220</v>
      </c>
      <c r="C14" s="21">
        <v>1.7349000000000001</v>
      </c>
      <c r="D14" s="21">
        <v>0</v>
      </c>
      <c r="E14" s="21">
        <v>100</v>
      </c>
      <c r="F14" s="21">
        <v>1.7349000000000001</v>
      </c>
      <c r="G14" s="7"/>
      <c r="I14" s="5">
        <v>9</v>
      </c>
      <c r="J14" s="16">
        <v>41699</v>
      </c>
      <c r="K14" s="6">
        <v>1.75</v>
      </c>
      <c r="L14" s="6">
        <v>0</v>
      </c>
      <c r="M14" s="6">
        <v>100</v>
      </c>
      <c r="N14" s="6">
        <v>1.75</v>
      </c>
      <c r="O14" s="7"/>
    </row>
    <row r="15" spans="1:15" ht="15.75" thickBot="1" x14ac:dyDescent="0.3">
      <c r="A15" s="23">
        <v>10</v>
      </c>
      <c r="B15" s="22">
        <v>41401</v>
      </c>
      <c r="C15" s="21">
        <v>1.7349000000000001</v>
      </c>
      <c r="D15" s="21">
        <v>0</v>
      </c>
      <c r="E15" s="21">
        <v>100</v>
      </c>
      <c r="F15" s="21">
        <v>1.7349000000000001</v>
      </c>
      <c r="G15" s="7"/>
      <c r="I15" s="8">
        <v>10</v>
      </c>
      <c r="J15" s="18">
        <v>41883</v>
      </c>
      <c r="K15" s="9">
        <v>1.75</v>
      </c>
      <c r="L15" s="9">
        <v>100</v>
      </c>
      <c r="M15" s="9">
        <v>0</v>
      </c>
      <c r="N15" s="9">
        <v>101.75</v>
      </c>
      <c r="O15" s="10"/>
    </row>
    <row r="16" spans="1:15" x14ac:dyDescent="0.25">
      <c r="A16" s="23">
        <v>11</v>
      </c>
      <c r="B16" s="22">
        <v>41585</v>
      </c>
      <c r="C16" s="21">
        <v>1.7349000000000001</v>
      </c>
      <c r="D16" s="21">
        <v>0</v>
      </c>
      <c r="E16" s="21">
        <v>100</v>
      </c>
      <c r="F16" s="21">
        <v>1.7349000000000001</v>
      </c>
      <c r="G16" s="31"/>
    </row>
    <row r="17" spans="1:8" x14ac:dyDescent="0.25">
      <c r="A17" s="23">
        <v>12</v>
      </c>
      <c r="B17" s="22">
        <v>41766</v>
      </c>
      <c r="C17" s="21">
        <v>1.7349000000000001</v>
      </c>
      <c r="D17" s="21">
        <v>0</v>
      </c>
      <c r="E17" s="21">
        <v>100</v>
      </c>
      <c r="F17" s="21">
        <v>1.7349000000000001</v>
      </c>
      <c r="G17" s="31"/>
    </row>
    <row r="18" spans="1:8" x14ac:dyDescent="0.25">
      <c r="A18" s="23">
        <v>13</v>
      </c>
      <c r="B18" s="22">
        <v>41950</v>
      </c>
      <c r="C18" s="21">
        <v>1.7349000000000001</v>
      </c>
      <c r="D18" s="21">
        <v>0</v>
      </c>
      <c r="E18" s="21">
        <v>100</v>
      </c>
      <c r="F18" s="21">
        <v>1.7349000000000001</v>
      </c>
      <c r="G18" s="31"/>
    </row>
    <row r="19" spans="1:8" x14ac:dyDescent="0.25">
      <c r="A19" s="23">
        <v>14</v>
      </c>
      <c r="B19" s="22">
        <v>42131</v>
      </c>
      <c r="C19" s="21">
        <v>1.7349000000000001</v>
      </c>
      <c r="D19" s="21">
        <v>0</v>
      </c>
      <c r="E19" s="21">
        <v>100</v>
      </c>
      <c r="F19" s="21">
        <v>1.7349000000000001</v>
      </c>
      <c r="G19" s="31"/>
    </row>
    <row r="20" spans="1:8" x14ac:dyDescent="0.25">
      <c r="A20" s="23">
        <v>15</v>
      </c>
      <c r="B20" s="22">
        <v>42315</v>
      </c>
      <c r="C20" s="21">
        <v>1.7349000000000001</v>
      </c>
      <c r="D20" s="21">
        <v>0</v>
      </c>
      <c r="E20" s="21">
        <v>100</v>
      </c>
      <c r="F20" s="21">
        <v>1.7349000000000001</v>
      </c>
      <c r="G20" s="31"/>
    </row>
    <row r="21" spans="1:8" x14ac:dyDescent="0.25">
      <c r="A21" s="23">
        <v>16</v>
      </c>
      <c r="B21" s="22">
        <v>42497</v>
      </c>
      <c r="C21" s="21">
        <v>1.7349000000000001</v>
      </c>
      <c r="D21" s="21">
        <v>0</v>
      </c>
      <c r="E21" s="21">
        <v>100</v>
      </c>
      <c r="F21" s="21">
        <v>1.7349000000000001</v>
      </c>
      <c r="G21" s="31"/>
    </row>
    <row r="22" spans="1:8" x14ac:dyDescent="0.25">
      <c r="A22" s="23">
        <v>17</v>
      </c>
      <c r="B22" s="22">
        <v>42681</v>
      </c>
      <c r="C22" s="21">
        <v>1.7349000000000001</v>
      </c>
      <c r="D22" s="21">
        <v>0</v>
      </c>
      <c r="E22" s="21">
        <v>100</v>
      </c>
      <c r="F22" s="21">
        <v>1.7349000000000001</v>
      </c>
      <c r="G22" s="31"/>
    </row>
    <row r="23" spans="1:8" x14ac:dyDescent="0.25">
      <c r="A23" s="23">
        <v>18</v>
      </c>
      <c r="B23" s="22">
        <v>42862</v>
      </c>
      <c r="C23" s="21">
        <v>1.7349000000000001</v>
      </c>
      <c r="D23" s="21">
        <v>0</v>
      </c>
      <c r="E23" s="21">
        <v>100</v>
      </c>
      <c r="F23" s="21">
        <v>1.7349000000000001</v>
      </c>
      <c r="G23" s="31"/>
    </row>
    <row r="24" spans="1:8" x14ac:dyDescent="0.25">
      <c r="A24" s="23">
        <v>19</v>
      </c>
      <c r="B24" s="22">
        <v>43046</v>
      </c>
      <c r="C24" s="21">
        <v>1.7349000000000001</v>
      </c>
      <c r="D24" s="21">
        <v>0</v>
      </c>
      <c r="E24" s="21">
        <v>100</v>
      </c>
      <c r="F24" s="21">
        <v>1.7349000000000001</v>
      </c>
      <c r="G24" s="31"/>
    </row>
    <row r="25" spans="1:8" ht="15.75" thickBot="1" x14ac:dyDescent="0.3">
      <c r="A25" s="24">
        <v>20</v>
      </c>
      <c r="B25" s="25">
        <v>43227</v>
      </c>
      <c r="C25" s="26">
        <v>1.7349000000000001</v>
      </c>
      <c r="D25" s="26">
        <v>100</v>
      </c>
      <c r="E25" s="26">
        <v>0</v>
      </c>
      <c r="F25" s="26">
        <v>101.7349</v>
      </c>
      <c r="G25" s="32"/>
    </row>
    <row r="28" spans="1:8" x14ac:dyDescent="0.25">
      <c r="B28" s="34">
        <f t="array" ref="B28:G57">construyeTabla(A6:F25,20,I6:N15,10)</f>
        <v>1</v>
      </c>
      <c r="C28" s="35">
        <v>39759</v>
      </c>
      <c r="D28" s="37">
        <v>1.7349000000000001</v>
      </c>
      <c r="E28" s="36">
        <v>0</v>
      </c>
      <c r="F28" s="36">
        <v>100</v>
      </c>
      <c r="G28" s="36">
        <v>1.7349000000000001</v>
      </c>
      <c r="H28" s="34"/>
    </row>
    <row r="29" spans="1:8" x14ac:dyDescent="0.25">
      <c r="B29" s="34">
        <v>2</v>
      </c>
      <c r="C29" s="35">
        <v>39940</v>
      </c>
      <c r="D29" s="37">
        <v>1.7349000000000001</v>
      </c>
      <c r="E29" s="36">
        <v>0</v>
      </c>
      <c r="F29" s="36">
        <v>100</v>
      </c>
      <c r="G29" s="36">
        <v>1.7349000000000001</v>
      </c>
      <c r="H29" s="34"/>
    </row>
    <row r="30" spans="1:8" x14ac:dyDescent="0.25">
      <c r="B30" s="34">
        <v>3</v>
      </c>
      <c r="C30" s="35">
        <v>40124</v>
      </c>
      <c r="D30" s="37">
        <v>1.7349000000000001</v>
      </c>
      <c r="E30" s="36">
        <v>0</v>
      </c>
      <c r="F30" s="36">
        <v>100</v>
      </c>
      <c r="G30" s="36">
        <v>1.7349000000000001</v>
      </c>
      <c r="H30" s="34"/>
    </row>
    <row r="31" spans="1:8" x14ac:dyDescent="0.25">
      <c r="B31" s="34">
        <v>4</v>
      </c>
      <c r="C31" s="35">
        <v>40238</v>
      </c>
      <c r="D31" s="37">
        <v>1.75</v>
      </c>
      <c r="E31" s="36">
        <v>0</v>
      </c>
      <c r="F31" s="36">
        <v>100</v>
      </c>
      <c r="G31" s="36">
        <v>1.75</v>
      </c>
      <c r="H31" s="34"/>
    </row>
    <row r="32" spans="1:8" x14ac:dyDescent="0.25">
      <c r="B32" s="34">
        <v>5</v>
      </c>
      <c r="C32" s="35">
        <v>40305</v>
      </c>
      <c r="D32" s="37">
        <v>1.7349000000000001</v>
      </c>
      <c r="E32" s="36">
        <v>0</v>
      </c>
      <c r="F32" s="36">
        <v>100</v>
      </c>
      <c r="G32" s="36">
        <v>1.7349000000000001</v>
      </c>
      <c r="H32" s="34"/>
    </row>
    <row r="33" spans="2:8" x14ac:dyDescent="0.25">
      <c r="B33" s="34">
        <v>6</v>
      </c>
      <c r="C33" s="35">
        <v>40422</v>
      </c>
      <c r="D33" s="37">
        <v>1.75</v>
      </c>
      <c r="E33" s="36">
        <v>0</v>
      </c>
      <c r="F33" s="36">
        <v>100</v>
      </c>
      <c r="G33" s="36">
        <v>1.75</v>
      </c>
      <c r="H33" s="34"/>
    </row>
    <row r="34" spans="2:8" x14ac:dyDescent="0.25">
      <c r="B34" s="34">
        <v>7</v>
      </c>
      <c r="C34" s="35">
        <v>40489</v>
      </c>
      <c r="D34" s="37">
        <v>1.7349000000000001</v>
      </c>
      <c r="E34" s="36">
        <v>0</v>
      </c>
      <c r="F34" s="36">
        <v>100</v>
      </c>
      <c r="G34" s="36">
        <v>1.7349000000000001</v>
      </c>
    </row>
    <row r="35" spans="2:8" x14ac:dyDescent="0.25">
      <c r="B35" s="34">
        <v>8</v>
      </c>
      <c r="C35" s="35">
        <v>40603</v>
      </c>
      <c r="D35" s="37">
        <v>1.75</v>
      </c>
      <c r="E35" s="36">
        <v>0</v>
      </c>
      <c r="F35" s="36">
        <v>100</v>
      </c>
      <c r="G35" s="36">
        <v>1.75</v>
      </c>
    </row>
    <row r="36" spans="2:8" x14ac:dyDescent="0.25">
      <c r="B36" s="34">
        <v>9</v>
      </c>
      <c r="C36" s="35">
        <v>40670</v>
      </c>
      <c r="D36" s="37">
        <v>1.7349000000000001</v>
      </c>
      <c r="E36" s="36">
        <v>0</v>
      </c>
      <c r="F36" s="36">
        <v>100</v>
      </c>
      <c r="G36" s="36">
        <v>1.7349000000000001</v>
      </c>
    </row>
    <row r="37" spans="2:8" x14ac:dyDescent="0.25">
      <c r="B37" s="34">
        <v>10</v>
      </c>
      <c r="C37" s="35">
        <v>40787</v>
      </c>
      <c r="D37" s="37">
        <v>1.75</v>
      </c>
      <c r="E37" s="36">
        <v>0</v>
      </c>
      <c r="F37" s="36">
        <v>100</v>
      </c>
      <c r="G37" s="36">
        <v>1.75</v>
      </c>
    </row>
    <row r="38" spans="2:8" x14ac:dyDescent="0.25">
      <c r="B38" s="34">
        <v>11</v>
      </c>
      <c r="C38" s="35">
        <v>40854</v>
      </c>
      <c r="D38" s="37">
        <v>1.7349000000000001</v>
      </c>
      <c r="E38" s="36">
        <v>0</v>
      </c>
      <c r="F38" s="36">
        <v>100</v>
      </c>
      <c r="G38" s="36">
        <v>1.7349000000000001</v>
      </c>
    </row>
    <row r="39" spans="2:8" x14ac:dyDescent="0.25">
      <c r="B39" s="34">
        <v>12</v>
      </c>
      <c r="C39" s="35">
        <v>40969</v>
      </c>
      <c r="D39" s="37">
        <v>1.75</v>
      </c>
      <c r="E39" s="36">
        <v>0</v>
      </c>
      <c r="F39" s="36">
        <v>100</v>
      </c>
      <c r="G39" s="36">
        <v>1.75</v>
      </c>
    </row>
    <row r="40" spans="2:8" x14ac:dyDescent="0.25">
      <c r="B40" s="34">
        <v>13</v>
      </c>
      <c r="C40" s="35">
        <v>41036</v>
      </c>
      <c r="D40" s="37">
        <v>1.7349000000000001</v>
      </c>
      <c r="E40" s="36">
        <v>0</v>
      </c>
      <c r="F40" s="36">
        <v>100</v>
      </c>
      <c r="G40" s="36">
        <v>1.7349000000000001</v>
      </c>
    </row>
    <row r="41" spans="2:8" x14ac:dyDescent="0.25">
      <c r="B41" s="34">
        <v>14</v>
      </c>
      <c r="C41" s="35">
        <v>41153</v>
      </c>
      <c r="D41" s="37">
        <v>1.75</v>
      </c>
      <c r="E41" s="36">
        <v>0</v>
      </c>
      <c r="F41" s="36">
        <v>100</v>
      </c>
      <c r="G41" s="36">
        <v>1.75</v>
      </c>
    </row>
    <row r="42" spans="2:8" x14ac:dyDescent="0.25">
      <c r="B42" s="34">
        <v>15</v>
      </c>
      <c r="C42" s="35">
        <v>41220</v>
      </c>
      <c r="D42" s="37">
        <v>1.7349000000000001</v>
      </c>
      <c r="E42" s="36">
        <v>0</v>
      </c>
      <c r="F42" s="36">
        <v>100</v>
      </c>
      <c r="G42" s="36">
        <v>1.7349000000000001</v>
      </c>
    </row>
    <row r="43" spans="2:8" x14ac:dyDescent="0.25">
      <c r="B43" s="34">
        <v>16</v>
      </c>
      <c r="C43" s="35">
        <v>41334</v>
      </c>
      <c r="D43" s="37">
        <v>1.75</v>
      </c>
      <c r="E43" s="36">
        <v>0</v>
      </c>
      <c r="F43" s="36">
        <v>100</v>
      </c>
      <c r="G43" s="36">
        <v>1.75</v>
      </c>
    </row>
    <row r="44" spans="2:8" x14ac:dyDescent="0.25">
      <c r="B44" s="34">
        <v>17</v>
      </c>
      <c r="C44" s="35">
        <v>41401</v>
      </c>
      <c r="D44" s="37">
        <v>1.7349000000000001</v>
      </c>
      <c r="E44" s="36">
        <v>0</v>
      </c>
      <c r="F44" s="36">
        <v>100</v>
      </c>
      <c r="G44" s="36">
        <v>1.7349000000000001</v>
      </c>
    </row>
    <row r="45" spans="2:8" x14ac:dyDescent="0.25">
      <c r="B45" s="34">
        <v>18</v>
      </c>
      <c r="C45" s="35">
        <v>41518</v>
      </c>
      <c r="D45" s="37">
        <v>1.75</v>
      </c>
      <c r="E45" s="36">
        <v>0</v>
      </c>
      <c r="F45" s="36">
        <v>100</v>
      </c>
      <c r="G45" s="36">
        <v>1.75</v>
      </c>
    </row>
    <row r="46" spans="2:8" x14ac:dyDescent="0.25">
      <c r="B46" s="34">
        <v>19</v>
      </c>
      <c r="C46" s="35">
        <v>41585</v>
      </c>
      <c r="D46" s="37">
        <v>1.7349000000000001</v>
      </c>
      <c r="E46" s="36">
        <v>0</v>
      </c>
      <c r="F46" s="36">
        <v>100</v>
      </c>
      <c r="G46" s="36">
        <v>1.7349000000000001</v>
      </c>
    </row>
    <row r="47" spans="2:8" x14ac:dyDescent="0.25">
      <c r="B47" s="34">
        <v>20</v>
      </c>
      <c r="C47" s="35">
        <v>41699</v>
      </c>
      <c r="D47" s="37">
        <v>1.75</v>
      </c>
      <c r="E47" s="36">
        <v>0</v>
      </c>
      <c r="F47" s="36">
        <v>100</v>
      </c>
      <c r="G47" s="36">
        <v>1.75</v>
      </c>
    </row>
    <row r="48" spans="2:8" x14ac:dyDescent="0.25">
      <c r="B48" s="34">
        <v>21</v>
      </c>
      <c r="C48" s="35">
        <v>41766</v>
      </c>
      <c r="D48" s="37">
        <v>1.7349000000000001</v>
      </c>
      <c r="E48" s="36">
        <v>0</v>
      </c>
      <c r="F48" s="36">
        <v>100</v>
      </c>
      <c r="G48" s="36">
        <v>1.7349000000000001</v>
      </c>
    </row>
    <row r="49" spans="2:7" x14ac:dyDescent="0.25">
      <c r="B49" s="34">
        <v>22</v>
      </c>
      <c r="C49" s="35">
        <v>41883</v>
      </c>
      <c r="D49" s="37">
        <v>1.75</v>
      </c>
      <c r="E49" s="36">
        <v>100</v>
      </c>
      <c r="F49" s="36">
        <v>0</v>
      </c>
      <c r="G49" s="36">
        <v>101.75</v>
      </c>
    </row>
    <row r="50" spans="2:7" x14ac:dyDescent="0.25">
      <c r="B50" s="34">
        <v>23</v>
      </c>
      <c r="C50" s="35">
        <v>41950</v>
      </c>
      <c r="D50" s="37">
        <v>1.7349000000000001</v>
      </c>
      <c r="E50" s="36">
        <v>0</v>
      </c>
      <c r="F50" s="36">
        <v>100</v>
      </c>
      <c r="G50" s="36">
        <v>1.7349000000000001</v>
      </c>
    </row>
    <row r="51" spans="2:7" x14ac:dyDescent="0.25">
      <c r="B51" s="34">
        <v>24</v>
      </c>
      <c r="C51" s="35">
        <v>42131</v>
      </c>
      <c r="D51" s="37">
        <v>1.7349000000000001</v>
      </c>
      <c r="E51" s="36">
        <v>0</v>
      </c>
      <c r="F51" s="36">
        <v>100</v>
      </c>
      <c r="G51" s="36">
        <v>1.7349000000000001</v>
      </c>
    </row>
    <row r="52" spans="2:7" x14ac:dyDescent="0.25">
      <c r="B52" s="34">
        <v>25</v>
      </c>
      <c r="C52" s="35">
        <v>42315</v>
      </c>
      <c r="D52" s="37">
        <v>1.7349000000000001</v>
      </c>
      <c r="E52" s="36">
        <v>0</v>
      </c>
      <c r="F52" s="36">
        <v>100</v>
      </c>
      <c r="G52" s="36">
        <v>1.7349000000000001</v>
      </c>
    </row>
    <row r="53" spans="2:7" x14ac:dyDescent="0.25">
      <c r="B53" s="34">
        <v>26</v>
      </c>
      <c r="C53" s="35">
        <v>42497</v>
      </c>
      <c r="D53" s="37">
        <v>1.7349000000000001</v>
      </c>
      <c r="E53" s="36">
        <v>0</v>
      </c>
      <c r="F53" s="36">
        <v>100</v>
      </c>
      <c r="G53" s="36">
        <v>1.7349000000000001</v>
      </c>
    </row>
    <row r="54" spans="2:7" x14ac:dyDescent="0.25">
      <c r="B54" s="34">
        <v>27</v>
      </c>
      <c r="C54" s="35">
        <v>42681</v>
      </c>
      <c r="D54" s="37">
        <v>1.7349000000000001</v>
      </c>
      <c r="E54" s="36">
        <v>0</v>
      </c>
      <c r="F54" s="36">
        <v>100</v>
      </c>
      <c r="G54" s="36">
        <v>1.7349000000000001</v>
      </c>
    </row>
    <row r="55" spans="2:7" x14ac:dyDescent="0.25">
      <c r="B55" s="34">
        <v>28</v>
      </c>
      <c r="C55" s="35">
        <v>42862</v>
      </c>
      <c r="D55" s="37">
        <v>1.7349000000000001</v>
      </c>
      <c r="E55" s="36">
        <v>0</v>
      </c>
      <c r="F55" s="36">
        <v>100</v>
      </c>
      <c r="G55" s="36">
        <v>1.7349000000000001</v>
      </c>
    </row>
    <row r="56" spans="2:7" x14ac:dyDescent="0.25">
      <c r="B56" s="34">
        <v>29</v>
      </c>
      <c r="C56" s="35">
        <v>43046</v>
      </c>
      <c r="D56" s="37">
        <v>1.7349000000000001</v>
      </c>
      <c r="E56" s="36">
        <v>0</v>
      </c>
      <c r="F56" s="36">
        <v>100</v>
      </c>
      <c r="G56" s="36">
        <v>1.7349000000000001</v>
      </c>
    </row>
    <row r="57" spans="2:7" x14ac:dyDescent="0.25">
      <c r="B57" s="34">
        <v>30</v>
      </c>
      <c r="C57" s="35">
        <v>43227</v>
      </c>
      <c r="D57" s="37">
        <v>1.7349000000000001</v>
      </c>
      <c r="E57" s="34">
        <v>100</v>
      </c>
      <c r="F57" s="34">
        <v>0</v>
      </c>
      <c r="G57" s="34">
        <v>101.7349</v>
      </c>
    </row>
    <row r="58" spans="2:7" x14ac:dyDescent="0.25">
      <c r="B58" s="34"/>
      <c r="C58" s="34"/>
      <c r="D58" s="34"/>
      <c r="E58" s="34"/>
      <c r="F58" s="34"/>
      <c r="G58" s="34"/>
    </row>
  </sheetData>
  <mergeCells count="2">
    <mergeCell ref="A4:G4"/>
    <mergeCell ref="I4:O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BB5814-005C-4ADF-8265-210FE62418BD}">
  <sheetPr codeName="Hoja2"/>
  <dimension ref="A1:AT91"/>
  <sheetViews>
    <sheetView tabSelected="1" topLeftCell="L1" workbookViewId="0">
      <selection activeCell="AN19" sqref="AN19"/>
    </sheetView>
  </sheetViews>
  <sheetFormatPr baseColWidth="10" defaultRowHeight="15" x14ac:dyDescent="0.25"/>
  <cols>
    <col min="1" max="1" width="11.42578125" style="38"/>
    <col min="2" max="2" width="12.140625" customWidth="1"/>
    <col min="3" max="3" width="13.28515625" bestFit="1" customWidth="1"/>
    <col min="4" max="4" width="12.140625" bestFit="1" customWidth="1"/>
    <col min="5" max="5" width="11.85546875" bestFit="1" customWidth="1"/>
    <col min="10" max="10" width="12.140625" bestFit="1" customWidth="1"/>
    <col min="15" max="30" width="0" hidden="1" customWidth="1"/>
    <col min="31" max="31" width="13" bestFit="1" customWidth="1"/>
    <col min="33" max="33" width="14.140625" style="50" bestFit="1" customWidth="1"/>
    <col min="34" max="35" width="11.85546875" style="50" bestFit="1" customWidth="1"/>
    <col min="36" max="36" width="16.7109375" style="50" bestFit="1" customWidth="1"/>
    <col min="39" max="39" width="21" style="50" bestFit="1" customWidth="1"/>
    <col min="40" max="40" width="11.85546875" style="50" bestFit="1" customWidth="1"/>
    <col min="41" max="41" width="12.28515625" style="50" bestFit="1" customWidth="1"/>
    <col min="42" max="42" width="11.85546875" style="50" bestFit="1" customWidth="1"/>
    <col min="43" max="43" width="11.42578125" style="50"/>
  </cols>
  <sheetData>
    <row r="1" spans="1:46" x14ac:dyDescent="0.25">
      <c r="A1" s="52"/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</row>
    <row r="2" spans="1:46" x14ac:dyDescent="0.25">
      <c r="A2" s="52"/>
      <c r="B2" s="53"/>
      <c r="C2" s="53"/>
      <c r="D2" s="53"/>
      <c r="E2" s="53"/>
      <c r="F2" s="53"/>
      <c r="G2" s="53"/>
      <c r="H2" s="52">
        <f ca="1">+TODAY()</f>
        <v>43460</v>
      </c>
      <c r="I2" s="53">
        <f ca="1">+WEEKDAY(H2)</f>
        <v>4</v>
      </c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  <c r="AB2" s="53"/>
      <c r="AC2" s="53"/>
      <c r="AD2" s="53"/>
      <c r="AE2" s="53"/>
      <c r="AF2" s="53"/>
    </row>
    <row r="3" spans="1:46" x14ac:dyDescent="0.25">
      <c r="A3" s="52"/>
      <c r="B3" s="96" t="s">
        <v>25</v>
      </c>
      <c r="C3" s="54">
        <v>43460</v>
      </c>
      <c r="D3" s="53"/>
      <c r="E3" s="53"/>
      <c r="F3" s="53"/>
      <c r="G3" s="53"/>
      <c r="H3" s="52">
        <f ca="1">+H2+1</f>
        <v>43461</v>
      </c>
      <c r="I3" s="53">
        <f t="shared" ref="I3:I9" ca="1" si="0">+WEEKDAY(H3)</f>
        <v>5</v>
      </c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  <c r="AA3" s="53"/>
      <c r="AB3" s="53"/>
      <c r="AC3" s="53"/>
      <c r="AD3" s="53"/>
      <c r="AE3" s="53"/>
      <c r="AF3" s="53"/>
    </row>
    <row r="4" spans="1:46" x14ac:dyDescent="0.25">
      <c r="A4" s="52"/>
      <c r="B4" s="96" t="s">
        <v>26</v>
      </c>
      <c r="C4" s="55">
        <f>+AddWorkingDays(C3,2)</f>
        <v>43462</v>
      </c>
      <c r="D4" s="53"/>
      <c r="E4" s="53"/>
      <c r="F4" s="53"/>
      <c r="G4" s="53"/>
      <c r="H4" s="52">
        <f t="shared" ref="H4:H6" ca="1" si="1">+H3+1</f>
        <v>43462</v>
      </c>
      <c r="I4" s="53">
        <f t="shared" ca="1" si="0"/>
        <v>6</v>
      </c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53"/>
    </row>
    <row r="5" spans="1:46" x14ac:dyDescent="0.25">
      <c r="A5" s="52"/>
      <c r="B5" s="96" t="s">
        <v>96</v>
      </c>
      <c r="C5" s="56" t="b">
        <v>1</v>
      </c>
      <c r="D5" s="53"/>
      <c r="E5" s="53"/>
      <c r="F5" s="53"/>
      <c r="G5" s="53"/>
      <c r="H5" s="52">
        <f t="shared" ca="1" si="1"/>
        <v>43463</v>
      </c>
      <c r="I5" s="53">
        <f t="shared" ca="1" si="0"/>
        <v>7</v>
      </c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</row>
    <row r="6" spans="1:46" x14ac:dyDescent="0.25">
      <c r="A6" s="52"/>
      <c r="B6" s="97"/>
      <c r="C6" s="53"/>
      <c r="D6" s="53"/>
      <c r="E6" s="53"/>
      <c r="F6" s="53"/>
      <c r="G6" s="53"/>
      <c r="H6" s="52">
        <f t="shared" ca="1" si="1"/>
        <v>43464</v>
      </c>
      <c r="I6" s="53">
        <f t="shared" ca="1" si="0"/>
        <v>1</v>
      </c>
      <c r="J6" s="53"/>
      <c r="K6" s="53"/>
      <c r="L6" s="53"/>
      <c r="M6" s="53"/>
      <c r="N6" s="53"/>
      <c r="O6" s="53"/>
      <c r="P6" s="53"/>
      <c r="Q6" s="53"/>
      <c r="R6" s="53"/>
      <c r="S6" s="53"/>
      <c r="T6" s="53"/>
      <c r="U6" s="53"/>
      <c r="V6" s="53"/>
      <c r="W6" s="53"/>
      <c r="X6" s="53"/>
      <c r="Y6" s="53"/>
      <c r="Z6" s="53"/>
      <c r="AA6" s="53"/>
      <c r="AB6" s="53"/>
      <c r="AC6" s="53"/>
      <c r="AD6" s="53"/>
      <c r="AE6" s="53"/>
      <c r="AF6" s="53"/>
    </row>
    <row r="7" spans="1:46" x14ac:dyDescent="0.25">
      <c r="A7" s="52"/>
      <c r="B7" s="98" t="s">
        <v>27</v>
      </c>
      <c r="C7" s="57">
        <v>360</v>
      </c>
      <c r="D7" s="53"/>
      <c r="E7" s="53"/>
      <c r="F7" s="53"/>
      <c r="G7" s="53"/>
      <c r="H7" s="52">
        <f ca="1">+H6+1</f>
        <v>43465</v>
      </c>
      <c r="I7" s="53">
        <f t="shared" ca="1" si="0"/>
        <v>2</v>
      </c>
      <c r="J7" s="53"/>
      <c r="K7" s="53"/>
      <c r="L7" s="53"/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</row>
    <row r="8" spans="1:46" x14ac:dyDescent="0.25">
      <c r="A8" s="52"/>
      <c r="B8" s="98" t="s">
        <v>79</v>
      </c>
      <c r="C8" s="57">
        <v>180</v>
      </c>
      <c r="D8" s="53"/>
      <c r="E8" s="53"/>
      <c r="F8" s="53"/>
      <c r="G8" s="53"/>
      <c r="H8" s="52">
        <f t="shared" ref="H8:H9" ca="1" si="2">+H7+1</f>
        <v>43466</v>
      </c>
      <c r="I8" s="53">
        <f t="shared" ca="1" si="0"/>
        <v>3</v>
      </c>
      <c r="J8" s="53"/>
      <c r="K8" s="53"/>
      <c r="L8" s="53"/>
      <c r="M8" s="53"/>
      <c r="N8" s="53"/>
      <c r="O8" s="53"/>
      <c r="P8" s="53"/>
      <c r="Q8" s="53"/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53"/>
    </row>
    <row r="9" spans="1:46" x14ac:dyDescent="0.25">
      <c r="A9" s="52"/>
      <c r="B9" s="97"/>
      <c r="C9" s="53"/>
      <c r="D9" s="53"/>
      <c r="E9" s="53"/>
      <c r="F9" s="53"/>
      <c r="G9" s="53"/>
      <c r="H9" s="52">
        <f t="shared" ca="1" si="2"/>
        <v>43467</v>
      </c>
      <c r="I9" s="53">
        <f t="shared" ca="1" si="0"/>
        <v>4</v>
      </c>
      <c r="J9" s="53"/>
      <c r="K9" s="53"/>
      <c r="L9" s="53"/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53"/>
    </row>
    <row r="10" spans="1:46" ht="26.25" x14ac:dyDescent="0.4">
      <c r="A10" s="52"/>
      <c r="B10" s="58" t="s">
        <v>61</v>
      </c>
      <c r="C10" s="53"/>
      <c r="D10" s="53"/>
      <c r="E10" s="53"/>
      <c r="F10" s="53"/>
      <c r="G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</row>
    <row r="11" spans="1:46" x14ac:dyDescent="0.25">
      <c r="A11" s="52"/>
      <c r="B11" s="53"/>
      <c r="C11" s="59"/>
      <c r="D11" s="53" t="s">
        <v>60</v>
      </c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78" t="s">
        <v>83</v>
      </c>
      <c r="AH11" s="64">
        <f>+C8</f>
        <v>180</v>
      </c>
      <c r="AI11" s="95">
        <f>1/(1+get_interpolated_rate(AH11,$AN$13:$AN$27,$AP$13:$AP$27,COUNT($AN$13:$AN$27))/100*AH11/360)</f>
        <v>0.98564335459430319</v>
      </c>
      <c r="AJ11" s="64"/>
      <c r="AM11" s="64"/>
      <c r="AN11" s="64"/>
      <c r="AO11" s="64"/>
      <c r="AP11" s="64"/>
      <c r="AQ11" s="64"/>
      <c r="AR11" s="44"/>
      <c r="AS11" s="44"/>
    </row>
    <row r="12" spans="1:46" ht="15.75" x14ac:dyDescent="0.25">
      <c r="A12" s="52"/>
      <c r="B12" s="60" t="s">
        <v>29</v>
      </c>
      <c r="C12" s="60" t="s">
        <v>30</v>
      </c>
      <c r="D12" s="60" t="s">
        <v>49</v>
      </c>
      <c r="E12" s="60" t="s">
        <v>50</v>
      </c>
      <c r="F12" s="61" t="s">
        <v>51</v>
      </c>
      <c r="G12" s="62" t="s">
        <v>52</v>
      </c>
      <c r="H12" s="62" t="s">
        <v>53</v>
      </c>
      <c r="I12" s="62" t="s">
        <v>54</v>
      </c>
      <c r="J12" s="62" t="s">
        <v>55</v>
      </c>
      <c r="K12" s="62" t="s">
        <v>56</v>
      </c>
      <c r="L12" s="62" t="s">
        <v>57</v>
      </c>
      <c r="M12" s="62" t="s">
        <v>58</v>
      </c>
      <c r="N12" s="62" t="s">
        <v>59</v>
      </c>
      <c r="O12" s="90">
        <v>0.25</v>
      </c>
      <c r="P12" s="91"/>
      <c r="Q12" s="92">
        <v>0.5</v>
      </c>
      <c r="R12" s="93"/>
      <c r="S12" s="90">
        <v>0.75</v>
      </c>
      <c r="T12" s="91"/>
      <c r="U12" s="92">
        <v>1</v>
      </c>
      <c r="V12" s="93"/>
      <c r="W12" s="88">
        <v>2</v>
      </c>
      <c r="X12" s="89"/>
      <c r="Y12" s="88">
        <v>3</v>
      </c>
      <c r="Z12" s="89"/>
      <c r="AA12" s="88">
        <v>4</v>
      </c>
      <c r="AB12" s="89"/>
      <c r="AC12" s="88">
        <v>5</v>
      </c>
      <c r="AD12" s="89"/>
      <c r="AE12" s="63"/>
      <c r="AF12" s="63"/>
      <c r="AG12" s="64"/>
      <c r="AH12" s="64" t="s">
        <v>93</v>
      </c>
      <c r="AI12" s="64" t="s">
        <v>78</v>
      </c>
      <c r="AJ12" s="64" t="s">
        <v>80</v>
      </c>
      <c r="AM12" s="64"/>
      <c r="AN12" s="64" t="s">
        <v>88</v>
      </c>
      <c r="AO12" s="64" t="s">
        <v>89</v>
      </c>
      <c r="AP12" s="64" t="s">
        <v>47</v>
      </c>
      <c r="AQ12" s="64" t="s">
        <v>28</v>
      </c>
      <c r="AR12" s="44"/>
      <c r="AS12" t="s">
        <v>94</v>
      </c>
      <c r="AT12" s="39" t="s">
        <v>95</v>
      </c>
    </row>
    <row r="13" spans="1:46" x14ac:dyDescent="0.25">
      <c r="A13" s="38">
        <f>+C3+B13</f>
        <v>43461</v>
      </c>
      <c r="B13">
        <v>1</v>
      </c>
      <c r="C13" s="39" t="s">
        <v>31</v>
      </c>
      <c r="D13" s="42">
        <f>+E13</f>
        <v>2.75</v>
      </c>
      <c r="E13" s="42">
        <f>+AQ13</f>
        <v>2.75</v>
      </c>
      <c r="F13" s="43">
        <f>1/(1+D13*B13/36000)</f>
        <v>0.9999236169459278</v>
      </c>
      <c r="G13" s="43"/>
      <c r="H13" s="43"/>
      <c r="I13" s="43"/>
      <c r="J13" s="43"/>
      <c r="K13" s="43"/>
      <c r="L13" s="43"/>
      <c r="M13" s="43"/>
      <c r="N13" s="43"/>
      <c r="AG13" s="40">
        <f>1/360</f>
        <v>2.7777777777777779E-3</v>
      </c>
      <c r="AH13" s="50">
        <f>+AH11+1</f>
        <v>181</v>
      </c>
      <c r="AI13" s="51">
        <f>1/(1+get_interpolated_rate(AH13,$AN$13:$AN$27,$AP$13:$AP$27,COUNT($AN$13:$AN$27))/100*AH13/360)</f>
        <v>0.98556023472991705</v>
      </c>
      <c r="AJ13" s="51">
        <f t="shared" ref="AJ13:AJ33" si="3">+AI13/$AI$11</f>
        <v>0.99991566943154575</v>
      </c>
      <c r="AK13" s="42"/>
      <c r="AM13" s="50" t="s">
        <v>46</v>
      </c>
      <c r="AN13" s="65">
        <v>1</v>
      </c>
      <c r="AO13" s="40">
        <v>0</v>
      </c>
      <c r="AP13" s="50">
        <f t="shared" ref="AP13:AP18" si="4">+AQ13</f>
        <v>2.75</v>
      </c>
      <c r="AQ13" s="66">
        <f>+_xll.BDP($AM13,AQ$12)</f>
        <v>2.75</v>
      </c>
      <c r="AR13" s="44"/>
    </row>
    <row r="14" spans="1:46" x14ac:dyDescent="0.25">
      <c r="A14" s="38">
        <f>+IF($C$5,get_swap_maturity($C$3,C14),$C$4+360*C14)</f>
        <v>43552</v>
      </c>
      <c r="B14" s="99">
        <f>+A14-$C$4</f>
        <v>90</v>
      </c>
      <c r="C14" s="40">
        <v>0.25</v>
      </c>
      <c r="D14" s="42">
        <f t="shared" ref="D14:D18" si="5">+E14</f>
        <v>2.83</v>
      </c>
      <c r="E14" s="42">
        <f t="shared" ref="E14:E18" si="6">+AQ14</f>
        <v>2.83</v>
      </c>
      <c r="F14" s="43">
        <f>1/(1+D14*A14/36000)</f>
        <v>0.22605658849462387</v>
      </c>
      <c r="G14" s="43"/>
      <c r="H14" s="43"/>
      <c r="I14" s="43"/>
      <c r="J14" s="43"/>
      <c r="K14" s="43"/>
      <c r="L14" s="43"/>
      <c r="M14" s="43"/>
      <c r="N14" s="43"/>
      <c r="AG14" s="40">
        <v>0.25</v>
      </c>
      <c r="AH14" s="50">
        <f>+AN14</f>
        <v>90</v>
      </c>
      <c r="AI14" s="51">
        <f t="shared" ref="AI14:AI33" si="7">1/(1+get_interpolated_rate(AH14,$AN$13:$AN$27,$AP$13:$AP$27,COUNT($AN$13:$AN$27))/100*AH14/360)</f>
        <v>0.99297470396941645</v>
      </c>
      <c r="AJ14" s="51">
        <f t="shared" si="3"/>
        <v>1.0074381360569624</v>
      </c>
      <c r="AK14" s="42"/>
      <c r="AM14" s="50" t="s">
        <v>32</v>
      </c>
      <c r="AN14" s="50">
        <f>+B14</f>
        <v>90</v>
      </c>
      <c r="AO14" s="40">
        <v>0.25</v>
      </c>
      <c r="AP14" s="50">
        <f t="shared" si="4"/>
        <v>2.83</v>
      </c>
      <c r="AQ14" s="66">
        <f>+_xll.BDP($AM14,AQ$12)</f>
        <v>2.83</v>
      </c>
      <c r="AR14" s="44"/>
      <c r="AS14" s="44"/>
    </row>
    <row r="15" spans="1:46" x14ac:dyDescent="0.25">
      <c r="A15" s="38">
        <f>+IF($C$5,get_swap_maturity($C$3,C15),$C$4+360*C15)</f>
        <v>43644</v>
      </c>
      <c r="B15" s="99">
        <f t="shared" ref="B15:B35" si="8">+A15-$C$4</f>
        <v>182</v>
      </c>
      <c r="C15" s="40">
        <v>0.5</v>
      </c>
      <c r="D15" s="42">
        <f t="shared" si="5"/>
        <v>2.915</v>
      </c>
      <c r="E15" s="42">
        <f t="shared" si="6"/>
        <v>2.915</v>
      </c>
      <c r="F15" s="43">
        <f t="shared" ref="F14:F35" si="9">1/(1+D15*B15/36000)</f>
        <v>0.98547707903498794</v>
      </c>
      <c r="G15" s="43">
        <f>+$F15/$F$14</f>
        <v>4.3594264851892373</v>
      </c>
      <c r="H15" s="43"/>
      <c r="I15" s="43"/>
      <c r="J15" s="43"/>
      <c r="K15" s="43"/>
      <c r="L15" s="43"/>
      <c r="M15" s="43"/>
      <c r="N15" s="43"/>
      <c r="AG15" s="40">
        <v>0.5</v>
      </c>
      <c r="AH15" s="50">
        <f t="shared" ref="AH15:AH20" si="10">+AN15</f>
        <v>182</v>
      </c>
      <c r="AI15" s="51">
        <f t="shared" si="7"/>
        <v>0.98547707903498794</v>
      </c>
      <c r="AJ15" s="51">
        <f t="shared" si="3"/>
        <v>0.99983130251064933</v>
      </c>
      <c r="AK15" s="42"/>
      <c r="AM15" s="50" t="s">
        <v>33</v>
      </c>
      <c r="AN15" s="50">
        <f t="shared" ref="AN15:AN19" si="11">+B15</f>
        <v>182</v>
      </c>
      <c r="AO15" s="40">
        <v>0.5</v>
      </c>
      <c r="AP15" s="50">
        <f t="shared" si="4"/>
        <v>2.915</v>
      </c>
      <c r="AQ15" s="66">
        <f>+_xll.BDP($AM15,AQ$12)</f>
        <v>2.915</v>
      </c>
      <c r="AR15" s="44"/>
      <c r="AS15" s="44"/>
    </row>
    <row r="16" spans="1:46" x14ac:dyDescent="0.25">
      <c r="A16" s="38">
        <f>+IF($C$5,get_swap_maturity($C$3,C16),$C$4+360*C16)</f>
        <v>43738</v>
      </c>
      <c r="B16" s="99">
        <f t="shared" si="8"/>
        <v>276</v>
      </c>
      <c r="C16" s="40">
        <v>0.75</v>
      </c>
      <c r="D16" s="42">
        <f t="shared" si="5"/>
        <v>3</v>
      </c>
      <c r="E16" s="42">
        <f t="shared" si="6"/>
        <v>3</v>
      </c>
      <c r="F16" s="43">
        <f t="shared" si="9"/>
        <v>0.97751710654936474</v>
      </c>
      <c r="G16" s="43">
        <f t="shared" ref="G16:G35" si="12">+$F16/$F$14</f>
        <v>4.3242141848593469</v>
      </c>
      <c r="H16" s="43">
        <f>+$F16/$F$15</f>
        <v>0.99192272184207686</v>
      </c>
      <c r="I16" s="43"/>
      <c r="J16" s="43"/>
      <c r="K16" s="43"/>
      <c r="L16" s="43"/>
      <c r="M16" s="43"/>
      <c r="N16" s="43"/>
      <c r="AG16" s="40">
        <v>0.75</v>
      </c>
      <c r="AH16" s="50">
        <f t="shared" si="10"/>
        <v>276</v>
      </c>
      <c r="AI16" s="51">
        <f t="shared" si="7"/>
        <v>0.97751710654936474</v>
      </c>
      <c r="AJ16" s="51">
        <f t="shared" si="3"/>
        <v>0.99175538696927223</v>
      </c>
      <c r="AK16" s="42"/>
      <c r="AM16" s="50" t="s">
        <v>34</v>
      </c>
      <c r="AN16" s="50">
        <f t="shared" si="11"/>
        <v>276</v>
      </c>
      <c r="AO16" s="40">
        <v>0.75</v>
      </c>
      <c r="AP16" s="50">
        <f t="shared" si="4"/>
        <v>3</v>
      </c>
      <c r="AQ16" s="66">
        <f>+_xll.BDP($AM16,AQ$12)</f>
        <v>3</v>
      </c>
      <c r="AR16" s="94">
        <f t="shared" ref="AR16:AR18" si="13">+AO16-0.5</f>
        <v>0.25</v>
      </c>
      <c r="AS16" s="41">
        <f>+((1+$AQ16/100*$AN16/360)/(1+$AQ$15/100*$AN$15/360)-1)*360/($AN16-$AN$15)</f>
        <v>3.1186156031971335E-2</v>
      </c>
      <c r="AT16" s="41">
        <f>+((1+$AP16/100*$AN16/360)/(1+$AP$15/100*$AN$15/360)-1)*360/($AN16-$AN$15)</f>
        <v>3.1186156031971335E-2</v>
      </c>
    </row>
    <row r="17" spans="1:46" x14ac:dyDescent="0.25">
      <c r="A17" s="38">
        <f t="shared" ref="A17:A35" si="14">+IF($C$5,get_swap_maturity($C$3,C17),$C$4+360*C17)</f>
        <v>43829</v>
      </c>
      <c r="B17" s="99">
        <f t="shared" si="8"/>
        <v>367</v>
      </c>
      <c r="C17" s="40">
        <v>1</v>
      </c>
      <c r="D17" s="42">
        <f t="shared" si="5"/>
        <v>3.1160000000000001</v>
      </c>
      <c r="E17" s="42">
        <f t="shared" si="6"/>
        <v>3.1160000000000001</v>
      </c>
      <c r="F17" s="43">
        <f t="shared" si="9"/>
        <v>0.96921211562528231</v>
      </c>
      <c r="G17" s="43">
        <f t="shared" si="12"/>
        <v>4.2874756364304432</v>
      </c>
      <c r="H17" s="43">
        <f t="shared" ref="H17:H35" si="15">+$F17/$F$15</f>
        <v>0.9834953407281346</v>
      </c>
      <c r="I17" s="43">
        <f>+$F17/$F$16</f>
        <v>0.99150399428466363</v>
      </c>
      <c r="J17" s="43"/>
      <c r="K17" s="43"/>
      <c r="L17" s="43"/>
      <c r="M17" s="43"/>
      <c r="N17" s="43"/>
      <c r="AG17" s="40">
        <v>1</v>
      </c>
      <c r="AH17" s="50">
        <f t="shared" si="10"/>
        <v>367</v>
      </c>
      <c r="AI17" s="51">
        <f t="shared" si="7"/>
        <v>0.96921211562528231</v>
      </c>
      <c r="AJ17" s="51">
        <f t="shared" si="3"/>
        <v>0.98332942753336572</v>
      </c>
      <c r="AK17" s="42"/>
      <c r="AM17" s="50" t="s">
        <v>35</v>
      </c>
      <c r="AN17" s="50">
        <f t="shared" si="11"/>
        <v>367</v>
      </c>
      <c r="AO17" s="40">
        <v>1</v>
      </c>
      <c r="AP17" s="50">
        <f t="shared" si="4"/>
        <v>3.1160000000000001</v>
      </c>
      <c r="AQ17" s="66">
        <f>+_xll.BDP($AM17,AQ$12)</f>
        <v>3.1160000000000001</v>
      </c>
      <c r="AR17" s="94">
        <f t="shared" si="13"/>
        <v>0.5</v>
      </c>
      <c r="AS17" s="41">
        <f t="shared" ref="AS17:AT27" si="16">+((1+$AQ17/100*$AN17/360)/(1+$AQ$15/100*$AN$15/360)-1)*360/($AN17-$AN$15)</f>
        <v>3.2656153485716988E-2</v>
      </c>
      <c r="AT17" s="41">
        <f t="shared" ref="AT17:AT27" si="17">+((1+$AP17/100*$AN17/360)/(1+$AP$15/100*$AN$15/360)-1)*360/($AN17-$AN$15)</f>
        <v>3.2656153485716988E-2</v>
      </c>
    </row>
    <row r="18" spans="1:46" x14ac:dyDescent="0.25">
      <c r="A18" s="38">
        <f t="shared" si="14"/>
        <v>44011</v>
      </c>
      <c r="B18" s="99">
        <f t="shared" si="8"/>
        <v>549</v>
      </c>
      <c r="C18" s="40">
        <v>1.5</v>
      </c>
      <c r="D18" s="42">
        <f t="shared" si="5"/>
        <v>3.2250000000000001</v>
      </c>
      <c r="E18" s="42">
        <f t="shared" si="6"/>
        <v>3.2250000000000001</v>
      </c>
      <c r="F18" s="43">
        <f t="shared" si="9"/>
        <v>0.95312416229321673</v>
      </c>
      <c r="G18" s="43">
        <f t="shared" si="12"/>
        <v>4.2163078220384813</v>
      </c>
      <c r="H18" s="43">
        <f t="shared" si="15"/>
        <v>0.96717030012158955</v>
      </c>
      <c r="I18" s="43">
        <f t="shared" ref="I18:I35" si="18">+$F18/$F$16</f>
        <v>0.97504601802596058</v>
      </c>
      <c r="J18" s="43">
        <f>+$F18/$F$17</f>
        <v>0.98340099852993834</v>
      </c>
      <c r="K18" s="43"/>
      <c r="L18" s="43"/>
      <c r="M18" s="43"/>
      <c r="N18" s="43"/>
      <c r="AG18" s="40">
        <v>1.5</v>
      </c>
      <c r="AH18" s="50">
        <f t="shared" si="10"/>
        <v>549</v>
      </c>
      <c r="AI18" s="51">
        <f t="shared" si="7"/>
        <v>0.95312416229321673</v>
      </c>
      <c r="AJ18" s="51">
        <f t="shared" si="3"/>
        <v>0.96700714092018447</v>
      </c>
      <c r="AK18" s="42"/>
      <c r="AM18" s="50" t="s">
        <v>36</v>
      </c>
      <c r="AN18" s="50">
        <f t="shared" si="11"/>
        <v>549</v>
      </c>
      <c r="AO18" s="40">
        <v>1.5</v>
      </c>
      <c r="AP18" s="50">
        <f t="shared" si="4"/>
        <v>3.2250000000000001</v>
      </c>
      <c r="AQ18" s="66">
        <f>+_xll.BDP($AM18,AQ$12)</f>
        <v>3.2250000000000001</v>
      </c>
      <c r="AR18" s="94">
        <f t="shared" si="13"/>
        <v>1</v>
      </c>
      <c r="AS18" s="41">
        <f t="shared" si="16"/>
        <v>3.3296638981416569E-2</v>
      </c>
      <c r="AT18" s="41">
        <f t="shared" si="17"/>
        <v>3.3296638981416569E-2</v>
      </c>
    </row>
    <row r="19" spans="1:46" x14ac:dyDescent="0.25">
      <c r="A19" s="38">
        <f t="shared" si="14"/>
        <v>44193</v>
      </c>
      <c r="B19" s="99">
        <f t="shared" si="8"/>
        <v>731</v>
      </c>
      <c r="C19" s="40">
        <v>2</v>
      </c>
      <c r="D19" s="42">
        <f>+AP19</f>
        <v>3.3608248923671646</v>
      </c>
      <c r="E19" s="42">
        <f>+AQ19</f>
        <v>3.2749999999999999</v>
      </c>
      <c r="F19" s="43">
        <f t="shared" si="9"/>
        <v>0.93611623015292622</v>
      </c>
      <c r="G19" s="43">
        <f t="shared" si="12"/>
        <v>4.14107032396974</v>
      </c>
      <c r="H19" s="43">
        <f t="shared" si="15"/>
        <v>0.94991172303023275</v>
      </c>
      <c r="I19" s="43">
        <f t="shared" si="18"/>
        <v>0.95764690344644343</v>
      </c>
      <c r="J19" s="43">
        <f t="shared" ref="J19:J35" si="19">+$F19/$F$17</f>
        <v>0.96585279430704962</v>
      </c>
      <c r="K19" s="43"/>
      <c r="L19" s="43"/>
      <c r="M19" s="43"/>
      <c r="N19" s="43"/>
      <c r="Q19" s="46"/>
      <c r="AG19" s="40">
        <v>2</v>
      </c>
      <c r="AH19" s="50">
        <f t="shared" si="10"/>
        <v>731</v>
      </c>
      <c r="AI19" s="51">
        <f t="shared" si="7"/>
        <v>0.93611623015292622</v>
      </c>
      <c r="AJ19" s="51">
        <f t="shared" si="3"/>
        <v>0.94975147530745274</v>
      </c>
      <c r="AK19" s="42"/>
      <c r="AL19" s="80"/>
      <c r="AM19" s="50" t="s">
        <v>37</v>
      </c>
      <c r="AN19" s="50">
        <f t="shared" si="11"/>
        <v>731</v>
      </c>
      <c r="AO19" s="40">
        <v>2</v>
      </c>
      <c r="AP19" s="66">
        <f>find_zero_rate($AO$14:AP18,COUNT($AP$14:AP18),AQ19,AO19)</f>
        <v>3.3608248923671646</v>
      </c>
      <c r="AQ19" s="66">
        <f>+_xll.BDP($AM19,AQ$12)</f>
        <v>3.2749999999999999</v>
      </c>
      <c r="AR19" s="94">
        <f>+AO19-0.5</f>
        <v>1.5</v>
      </c>
      <c r="AS19" s="41">
        <f t="shared" si="16"/>
        <v>3.3450484688457204E-2</v>
      </c>
      <c r="AT19" s="41">
        <f t="shared" si="17"/>
        <v>3.4576656953636341E-2</v>
      </c>
    </row>
    <row r="20" spans="1:46" x14ac:dyDescent="0.25">
      <c r="A20" s="38">
        <f t="shared" si="14"/>
        <v>44375</v>
      </c>
      <c r="B20" s="99">
        <f t="shared" si="8"/>
        <v>913</v>
      </c>
      <c r="C20" s="40">
        <v>2.5</v>
      </c>
      <c r="D20" s="42">
        <f>+INTERPOLATE(B20,B19,D19,B21,D21)</f>
        <v>3.486327341210933</v>
      </c>
      <c r="E20" s="42">
        <f>+INTERPOLATE(C20,C19,E19,C21,E21)</f>
        <v>3.3624999999999998</v>
      </c>
      <c r="F20" s="43">
        <f t="shared" si="9"/>
        <v>0.91876539589349993</v>
      </c>
      <c r="G20" s="43">
        <f t="shared" si="12"/>
        <v>4.0643159397026389</v>
      </c>
      <c r="H20" s="43">
        <f t="shared" si="15"/>
        <v>0.9323051904902605</v>
      </c>
      <c r="I20" s="43">
        <f t="shared" si="18"/>
        <v>0.9398969999990503</v>
      </c>
      <c r="J20" s="43">
        <f t="shared" si="19"/>
        <v>0.94795079537440885</v>
      </c>
      <c r="K20" s="43">
        <f>+$F20/$F$19</f>
        <v>0.98146508553046685</v>
      </c>
      <c r="L20" s="43"/>
      <c r="M20" s="43"/>
      <c r="N20" s="43"/>
      <c r="Q20" s="46"/>
      <c r="AG20" s="40">
        <v>2.5</v>
      </c>
      <c r="AH20" s="50">
        <f t="shared" si="10"/>
        <v>1096</v>
      </c>
      <c r="AI20" s="51">
        <f t="shared" si="7"/>
        <v>0.90091620423670493</v>
      </c>
      <c r="AJ20" s="51">
        <f t="shared" si="3"/>
        <v>0.91403873423113324</v>
      </c>
      <c r="AM20" s="50" t="s">
        <v>38</v>
      </c>
      <c r="AN20" s="50">
        <f>+B21</f>
        <v>1096</v>
      </c>
      <c r="AO20" s="40">
        <v>3</v>
      </c>
      <c r="AP20" s="66">
        <f>find_zero_rate($AO$14:AP19,COUNT($AP$14:AP19),AQ20,AO20)</f>
        <v>3.6125193639494477</v>
      </c>
      <c r="AQ20" s="66">
        <f>+_xll.BDP($AM20,AQ$12)</f>
        <v>3.45</v>
      </c>
      <c r="AR20" s="94">
        <f t="shared" ref="AR20:AR33" si="20">+AO20-0.5</f>
        <v>2.5</v>
      </c>
      <c r="AS20" s="41">
        <f t="shared" si="16"/>
        <v>3.5048804994602431E-2</v>
      </c>
      <c r="AT20" s="41">
        <f t="shared" si="17"/>
        <v>3.6969312461193157E-2</v>
      </c>
    </row>
    <row r="21" spans="1:46" x14ac:dyDescent="0.25">
      <c r="A21" s="38">
        <f t="shared" si="14"/>
        <v>44558</v>
      </c>
      <c r="B21" s="99">
        <f t="shared" si="8"/>
        <v>1096</v>
      </c>
      <c r="C21" s="40">
        <v>3</v>
      </c>
      <c r="D21" s="42">
        <f>+AP20</f>
        <v>3.6125193639494477</v>
      </c>
      <c r="E21" s="42">
        <f>+AQ20</f>
        <v>3.45</v>
      </c>
      <c r="F21" s="43">
        <f t="shared" si="9"/>
        <v>0.90091620423670493</v>
      </c>
      <c r="G21" s="43">
        <f t="shared" si="12"/>
        <v>3.9853569862137892</v>
      </c>
      <c r="H21" s="43">
        <f t="shared" si="15"/>
        <v>0.91419295628764108</v>
      </c>
      <c r="I21" s="43">
        <f t="shared" si="18"/>
        <v>0.92163727693414899</v>
      </c>
      <c r="J21" s="43">
        <f t="shared" si="19"/>
        <v>0.92953460827868761</v>
      </c>
      <c r="K21" s="43">
        <f t="shared" ref="K21:K35" si="21">+$F21/$F$19</f>
        <v>0.9623978040520984</v>
      </c>
      <c r="L21" s="43"/>
      <c r="M21" s="43"/>
      <c r="N21" s="43"/>
      <c r="Q21" s="46"/>
      <c r="AG21" s="40">
        <v>3</v>
      </c>
      <c r="AH21" s="50">
        <f t="shared" ref="AH21:AH33" si="22">+AH20+180</f>
        <v>1276</v>
      </c>
      <c r="AI21" s="51">
        <f t="shared" si="7"/>
        <v>0.88343745183085942</v>
      </c>
      <c r="AJ21" s="51">
        <f t="shared" si="3"/>
        <v>0.89630539049744584</v>
      </c>
      <c r="AM21" s="50" t="s">
        <v>39</v>
      </c>
      <c r="AN21" s="50">
        <f>+B23</f>
        <v>1461</v>
      </c>
      <c r="AO21" s="40">
        <v>4</v>
      </c>
      <c r="AP21" s="66">
        <f>find_zero_rate($AO$14:AP20,COUNT($AP$14:AP20),AQ21,AO21)</f>
        <v>3.8355416749280642</v>
      </c>
      <c r="AQ21" s="66">
        <f>+_xll.BDP($AM21,AQ$12)</f>
        <v>3.5840000000000001</v>
      </c>
      <c r="AR21" s="94">
        <f t="shared" si="20"/>
        <v>3.5</v>
      </c>
      <c r="AS21" s="41">
        <f t="shared" si="16"/>
        <v>3.6257651117689312E-2</v>
      </c>
      <c r="AT21" s="41">
        <f t="shared" si="17"/>
        <v>3.9089278787337763E-2</v>
      </c>
    </row>
    <row r="22" spans="1:46" x14ac:dyDescent="0.25">
      <c r="A22" s="38">
        <f t="shared" si="14"/>
        <v>44740</v>
      </c>
      <c r="B22" s="99">
        <f t="shared" si="8"/>
        <v>1278</v>
      </c>
      <c r="C22" s="40">
        <v>3.5</v>
      </c>
      <c r="D22" s="42">
        <f>+INTERPOLATE(B22,B21,D21,B23,D23)</f>
        <v>3.7237250094237169</v>
      </c>
      <c r="E22" s="42">
        <f>+INTERPOLATE(C22,C21,E21,C23,E23)</f>
        <v>3.5170000000000003</v>
      </c>
      <c r="F22" s="43">
        <f t="shared" si="9"/>
        <v>0.88324223270831115</v>
      </c>
      <c r="G22" s="43">
        <f t="shared" si="12"/>
        <v>3.9071731489450334</v>
      </c>
      <c r="H22" s="43">
        <f t="shared" si="15"/>
        <v>0.89625852442272069</v>
      </c>
      <c r="I22" s="43">
        <f t="shared" si="18"/>
        <v>0.90355680406060224</v>
      </c>
      <c r="J22" s="43">
        <f t="shared" si="19"/>
        <v>0.91129920733449754</v>
      </c>
      <c r="K22" s="43">
        <f t="shared" si="21"/>
        <v>0.94351770032234406</v>
      </c>
      <c r="L22" s="43">
        <f>+$F22/$F$21</f>
        <v>0.98038222484479798</v>
      </c>
      <c r="M22" s="43"/>
      <c r="N22" s="43"/>
      <c r="Q22" s="46"/>
      <c r="AG22" s="40">
        <v>3.5</v>
      </c>
      <c r="AH22" s="50">
        <f t="shared" si="22"/>
        <v>1456</v>
      </c>
      <c r="AI22" s="51">
        <f t="shared" si="7"/>
        <v>0.86579877412272366</v>
      </c>
      <c r="AJ22" s="51">
        <f t="shared" si="3"/>
        <v>0.87840979202775804</v>
      </c>
      <c r="AM22" s="50" t="s">
        <v>40</v>
      </c>
      <c r="AN22" s="50">
        <f>+B25</f>
        <v>1826</v>
      </c>
      <c r="AO22" s="40">
        <v>5</v>
      </c>
      <c r="AP22" s="66">
        <f>find_zero_rate($AO$14:AP21,COUNT($AP$14:AP21),AQ22,AO22)</f>
        <v>4.0431096476613986</v>
      </c>
      <c r="AQ22" s="66">
        <f>+_xll.BDP($AM22,AQ$12)</f>
        <v>3.6930000000000001</v>
      </c>
      <c r="AR22" s="94">
        <f t="shared" si="20"/>
        <v>4.5</v>
      </c>
      <c r="AS22" s="41">
        <f t="shared" si="16"/>
        <v>3.7242449626590776E-2</v>
      </c>
      <c r="AT22" s="41">
        <f t="shared" si="17"/>
        <v>4.1074661975195922E-2</v>
      </c>
    </row>
    <row r="23" spans="1:46" x14ac:dyDescent="0.25">
      <c r="A23" s="38">
        <f t="shared" si="14"/>
        <v>44923</v>
      </c>
      <c r="B23" s="99">
        <f t="shared" si="8"/>
        <v>1461</v>
      </c>
      <c r="C23" s="40">
        <v>4</v>
      </c>
      <c r="D23" s="42">
        <f>+AP21</f>
        <v>3.8355416749280642</v>
      </c>
      <c r="E23" s="42">
        <f>+AQ21</f>
        <v>3.5840000000000001</v>
      </c>
      <c r="F23" s="43">
        <f t="shared" si="9"/>
        <v>0.86530710410566747</v>
      </c>
      <c r="G23" s="43">
        <f t="shared" si="12"/>
        <v>3.827834038671456</v>
      </c>
      <c r="H23" s="43">
        <f t="shared" si="15"/>
        <v>0.87805908682625589</v>
      </c>
      <c r="I23" s="43">
        <f t="shared" si="18"/>
        <v>0.8852091675000977</v>
      </c>
      <c r="J23" s="43">
        <f t="shared" si="19"/>
        <v>0.89279435342945435</v>
      </c>
      <c r="K23" s="43">
        <f t="shared" si="21"/>
        <v>0.92435861726733315</v>
      </c>
      <c r="L23" s="43">
        <f t="shared" ref="L23:L35" si="23">+$F23/$F$21</f>
        <v>0.96047457026127414</v>
      </c>
      <c r="M23" s="43"/>
      <c r="N23" s="43"/>
      <c r="Q23" s="46"/>
      <c r="AG23" s="40">
        <v>4</v>
      </c>
      <c r="AH23" s="50">
        <f t="shared" si="22"/>
        <v>1636</v>
      </c>
      <c r="AI23" s="51">
        <f t="shared" si="7"/>
        <v>0.84830115386431204</v>
      </c>
      <c r="AJ23" s="51">
        <f t="shared" si="3"/>
        <v>0.86065730561687592</v>
      </c>
      <c r="AM23" s="50" t="s">
        <v>41</v>
      </c>
      <c r="AN23" s="50">
        <f>+B27</f>
        <v>2194</v>
      </c>
      <c r="AO23" s="40">
        <v>6</v>
      </c>
      <c r="AP23" s="66">
        <f>find_zero_rate($AO$14:AP22,COUNT($AP$14:AP22),AQ23,AO23)</f>
        <v>4.2086247995963149</v>
      </c>
      <c r="AQ23" s="66">
        <f>+_xll.BDP($AM23,AQ$12)</f>
        <v>3.76</v>
      </c>
      <c r="AR23" s="94">
        <f t="shared" si="20"/>
        <v>5.5</v>
      </c>
      <c r="AS23" s="41">
        <f t="shared" si="16"/>
        <v>3.7807201193508735E-2</v>
      </c>
      <c r="AT23" s="41">
        <f t="shared" si="17"/>
        <v>4.2628215849835262E-2</v>
      </c>
    </row>
    <row r="24" spans="1:46" x14ac:dyDescent="0.25">
      <c r="A24" s="38">
        <f t="shared" si="14"/>
        <v>45105</v>
      </c>
      <c r="B24" s="99">
        <f t="shared" si="8"/>
        <v>1643</v>
      </c>
      <c r="C24" s="40">
        <v>4.5</v>
      </c>
      <c r="D24" s="42">
        <f>+INTERPOLATE(B24,B23,D23,B25,D25)</f>
        <v>3.9390413216060556</v>
      </c>
      <c r="E24" s="42">
        <f>+INTERPOLATE(C24,C23,E23,C25,E25)</f>
        <v>3.6385000000000001</v>
      </c>
      <c r="F24" s="43">
        <f t="shared" si="9"/>
        <v>0.84762034924672169</v>
      </c>
      <c r="G24" s="43">
        <f t="shared" si="12"/>
        <v>3.7495936521526332</v>
      </c>
      <c r="H24" s="43">
        <f t="shared" si="15"/>
        <v>0.86011168324355125</v>
      </c>
      <c r="I24" s="43">
        <f t="shared" si="18"/>
        <v>0.86711561727939612</v>
      </c>
      <c r="J24" s="43">
        <f t="shared" si="19"/>
        <v>0.8745457630808543</v>
      </c>
      <c r="K24" s="43">
        <f t="shared" si="21"/>
        <v>0.90546485782887487</v>
      </c>
      <c r="L24" s="43">
        <f t="shared" si="23"/>
        <v>0.94084260585018809</v>
      </c>
      <c r="M24" s="43">
        <f>+$F24/$F$23</f>
        <v>0.97956014139370118</v>
      </c>
      <c r="N24" s="43"/>
      <c r="Q24" s="47"/>
      <c r="AG24" s="40">
        <v>4.5</v>
      </c>
      <c r="AH24" s="50">
        <f t="shared" si="22"/>
        <v>1816</v>
      </c>
      <c r="AI24" s="51">
        <f t="shared" si="7"/>
        <v>0.83079556246404074</v>
      </c>
      <c r="AJ24" s="51">
        <f t="shared" si="3"/>
        <v>0.84289673195838799</v>
      </c>
      <c r="AM24" s="50" t="s">
        <v>42</v>
      </c>
      <c r="AN24" s="50">
        <f>+B29</f>
        <v>2558</v>
      </c>
      <c r="AO24" s="40">
        <v>7</v>
      </c>
      <c r="AP24" s="66">
        <f>find_zero_rate($AO$14:AP23,COUNT($AP$14:AP23),AQ24,AO24)</f>
        <v>4.4111760603486978</v>
      </c>
      <c r="AQ24" s="66">
        <f>+_xll.BDP($AM24,AQ$12)</f>
        <v>3.8450000000000002</v>
      </c>
      <c r="AR24" s="94">
        <f t="shared" si="20"/>
        <v>6.5</v>
      </c>
      <c r="AS24" s="41">
        <f t="shared" si="16"/>
        <v>3.85936216787836E-2</v>
      </c>
      <c r="AT24" s="41">
        <f t="shared" si="17"/>
        <v>4.4600545627352217E-2</v>
      </c>
    </row>
    <row r="25" spans="1:46" x14ac:dyDescent="0.25">
      <c r="A25" s="38">
        <f t="shared" si="14"/>
        <v>45288</v>
      </c>
      <c r="B25" s="99">
        <f t="shared" si="8"/>
        <v>1826</v>
      </c>
      <c r="C25" s="40">
        <v>5</v>
      </c>
      <c r="D25" s="42">
        <f>+AP22</f>
        <v>4.0431096476613986</v>
      </c>
      <c r="E25" s="42">
        <f>+AQ22</f>
        <v>3.6930000000000001</v>
      </c>
      <c r="F25" s="43">
        <f t="shared" si="9"/>
        <v>0.82982352143624494</v>
      </c>
      <c r="G25" s="43">
        <f t="shared" si="12"/>
        <v>3.6708663390980085</v>
      </c>
      <c r="H25" s="43">
        <f t="shared" si="15"/>
        <v>0.84205258457034415</v>
      </c>
      <c r="I25" s="43">
        <f t="shared" si="18"/>
        <v>0.84890946242927845</v>
      </c>
      <c r="J25" s="43">
        <f t="shared" si="19"/>
        <v>0.85618360321557518</v>
      </c>
      <c r="K25" s="43">
        <f t="shared" si="21"/>
        <v>0.8864535136846019</v>
      </c>
      <c r="L25" s="43">
        <f t="shared" si="23"/>
        <v>0.92108846253831922</v>
      </c>
      <c r="M25" s="43">
        <f t="shared" ref="M25:M35" si="24">+$F25/$F$23</f>
        <v>0.95899307598301031</v>
      </c>
      <c r="N25" s="43"/>
      <c r="Q25" s="46"/>
      <c r="AG25" s="40">
        <v>5</v>
      </c>
      <c r="AH25" s="50">
        <f t="shared" si="22"/>
        <v>1996</v>
      </c>
      <c r="AI25" s="51">
        <f t="shared" si="7"/>
        <v>0.81406224469791788</v>
      </c>
      <c r="AJ25" s="51">
        <f t="shared" si="3"/>
        <v>0.82591968068712929</v>
      </c>
      <c r="AM25" s="50" t="s">
        <v>43</v>
      </c>
      <c r="AN25" s="50">
        <f>+B31</f>
        <v>2922</v>
      </c>
      <c r="AO25" s="40">
        <v>8</v>
      </c>
      <c r="AP25" s="66">
        <f>find_zero_rate($AO$14:AP24,COUNT($AP$14:AP24),AQ25,AO25)</f>
        <v>4.5976295509074356</v>
      </c>
      <c r="AQ25" s="66">
        <f>+_xll.BDP($AM25,AQ$12)</f>
        <v>3.91</v>
      </c>
      <c r="AR25" s="94">
        <f t="shared" si="20"/>
        <v>7.5</v>
      </c>
      <c r="AS25" s="41">
        <f t="shared" si="16"/>
        <v>3.9183467820349947E-2</v>
      </c>
      <c r="AT25" s="41">
        <f t="shared" si="17"/>
        <v>4.6410012773922441E-2</v>
      </c>
    </row>
    <row r="26" spans="1:46" x14ac:dyDescent="0.25">
      <c r="A26" s="38">
        <f t="shared" si="14"/>
        <v>45471</v>
      </c>
      <c r="B26" s="99">
        <f t="shared" si="8"/>
        <v>2009</v>
      </c>
      <c r="C26" s="40">
        <v>5.5</v>
      </c>
      <c r="D26" s="42">
        <f>+INTERPOLATE(B26,B25,D25,B27,D27)</f>
        <v>4.1254174541942508</v>
      </c>
      <c r="E26" s="42">
        <f>+INTERPOLATE(C26,C25,E25,C27,E27)</f>
        <v>3.7264999999999997</v>
      </c>
      <c r="F26" s="43">
        <f t="shared" si="9"/>
        <v>0.81286193856013855</v>
      </c>
      <c r="G26" s="43">
        <f t="shared" si="12"/>
        <v>3.5958338749302596</v>
      </c>
      <c r="H26" s="43">
        <f t="shared" si="15"/>
        <v>0.8248410397897028</v>
      </c>
      <c r="I26" s="43">
        <f t="shared" si="18"/>
        <v>0.83155776314702168</v>
      </c>
      <c r="J26" s="43">
        <f t="shared" si="19"/>
        <v>0.83868322058244682</v>
      </c>
      <c r="K26" s="43">
        <f t="shared" si="21"/>
        <v>0.86833441444268888</v>
      </c>
      <c r="L26" s="43">
        <f t="shared" si="23"/>
        <v>0.90226142535512532</v>
      </c>
      <c r="M26" s="43">
        <f t="shared" si="24"/>
        <v>0.93939126895331193</v>
      </c>
      <c r="N26" s="43">
        <f>+$F26/$F$25</f>
        <v>0.97956001193271847</v>
      </c>
      <c r="AG26" s="40">
        <v>5.5</v>
      </c>
      <c r="AH26" s="50">
        <f t="shared" si="22"/>
        <v>2176</v>
      </c>
      <c r="AI26" s="51">
        <f t="shared" si="7"/>
        <v>0.79751262909367449</v>
      </c>
      <c r="AJ26" s="51">
        <f t="shared" si="3"/>
        <v>0.80912900733951132</v>
      </c>
      <c r="AM26" s="50" t="s">
        <v>44</v>
      </c>
      <c r="AN26" s="50">
        <f>+B33</f>
        <v>3287</v>
      </c>
      <c r="AO26" s="40">
        <v>9</v>
      </c>
      <c r="AP26" s="66">
        <f>find_zero_rate($AO$14:AP25,COUNT($AP$14:AP25),AQ26,AO26)</f>
        <v>4.8119855163720482</v>
      </c>
      <c r="AQ26" s="66">
        <f>+_xll.BDP($AM26,AQ$12)</f>
        <v>3.984</v>
      </c>
      <c r="AR26" s="94">
        <f t="shared" si="20"/>
        <v>8.5</v>
      </c>
      <c r="AS26" s="41">
        <f t="shared" si="16"/>
        <v>3.9878902640486241E-2</v>
      </c>
      <c r="AT26" s="41">
        <f t="shared" si="17"/>
        <v>4.851678663144933E-2</v>
      </c>
    </row>
    <row r="27" spans="1:46" x14ac:dyDescent="0.25">
      <c r="A27" s="38">
        <f t="shared" si="14"/>
        <v>45656</v>
      </c>
      <c r="B27" s="99">
        <f t="shared" si="8"/>
        <v>2194</v>
      </c>
      <c r="C27" s="40">
        <v>6</v>
      </c>
      <c r="D27" s="42">
        <f>+AP23</f>
        <v>4.2086247995963149</v>
      </c>
      <c r="E27" s="42">
        <f>+AQ23</f>
        <v>3.76</v>
      </c>
      <c r="F27" s="43">
        <f t="shared" si="9"/>
        <v>0.7958663970897214</v>
      </c>
      <c r="G27" s="43">
        <f t="shared" si="12"/>
        <v>3.5206511891098846</v>
      </c>
      <c r="H27" s="43">
        <f t="shared" si="15"/>
        <v>0.80759503596883286</v>
      </c>
      <c r="I27" s="43">
        <f t="shared" si="18"/>
        <v>0.81417132422278493</v>
      </c>
      <c r="J27" s="43">
        <f t="shared" si="19"/>
        <v>0.82114780063007387</v>
      </c>
      <c r="K27" s="43">
        <f t="shared" si="21"/>
        <v>0.8501790391559676</v>
      </c>
      <c r="L27" s="43">
        <f t="shared" si="23"/>
        <v>0.88339669477253302</v>
      </c>
      <c r="M27" s="43">
        <f t="shared" si="24"/>
        <v>0.91975021736621931</v>
      </c>
      <c r="N27" s="43">
        <f t="shared" ref="N27:N35" si="25">+$F27/$F$25</f>
        <v>0.95907910119521422</v>
      </c>
      <c r="Y27" s="41"/>
      <c r="AG27" s="40">
        <v>6</v>
      </c>
      <c r="AH27" s="50">
        <f t="shared" si="22"/>
        <v>2356</v>
      </c>
      <c r="AI27" s="51">
        <f t="shared" si="7"/>
        <v>0.78043865135403923</v>
      </c>
      <c r="AJ27" s="51">
        <f t="shared" si="3"/>
        <v>0.79180633412302825</v>
      </c>
      <c r="AM27" s="50" t="s">
        <v>45</v>
      </c>
      <c r="AN27" s="50">
        <f>+B35</f>
        <v>3653</v>
      </c>
      <c r="AO27" s="40">
        <v>10</v>
      </c>
      <c r="AP27" s="66">
        <f>find_zero_rate($AO$14:AP26,COUNT($AP$14:AP26),AQ27,AO27)</f>
        <v>5.0280445161588005</v>
      </c>
      <c r="AQ27" s="66">
        <f>+_xll.BDP($AM27,AQ$12)</f>
        <v>4.05</v>
      </c>
      <c r="AR27" s="94">
        <f t="shared" si="20"/>
        <v>9.5</v>
      </c>
      <c r="AS27" s="41">
        <f t="shared" si="16"/>
        <v>4.0498309745331473E-2</v>
      </c>
      <c r="AT27" s="41">
        <f t="shared" si="17"/>
        <v>5.0642098782000093E-2</v>
      </c>
    </row>
    <row r="28" spans="1:46" x14ac:dyDescent="0.25">
      <c r="A28" s="38">
        <f t="shared" si="14"/>
        <v>45838</v>
      </c>
      <c r="B28" s="99">
        <f t="shared" si="8"/>
        <v>2376</v>
      </c>
      <c r="C28" s="40">
        <v>6.5</v>
      </c>
      <c r="D28" s="42">
        <f>+INTERPOLATE(B28,B27,D27,B29,D29)</f>
        <v>4.3099004299725063</v>
      </c>
      <c r="E28" s="42">
        <f>+INTERPOLATE(C28,C27,E27,C29,E29)</f>
        <v>3.8025000000000002</v>
      </c>
      <c r="F28" s="43">
        <f t="shared" si="9"/>
        <v>0.77854126736432128</v>
      </c>
      <c r="G28" s="43">
        <f t="shared" si="12"/>
        <v>3.4440105132473797</v>
      </c>
      <c r="H28" s="43">
        <f t="shared" si="15"/>
        <v>0.79001458676917669</v>
      </c>
      <c r="I28" s="43">
        <f t="shared" si="18"/>
        <v>0.79644771651370061</v>
      </c>
      <c r="J28" s="43">
        <f t="shared" si="19"/>
        <v>0.80327232275883109</v>
      </c>
      <c r="K28" s="43">
        <f t="shared" si="21"/>
        <v>0.8316715833856837</v>
      </c>
      <c r="L28" s="43">
        <f t="shared" si="23"/>
        <v>0.86416612744126964</v>
      </c>
      <c r="M28" s="43">
        <f t="shared" si="24"/>
        <v>0.89972827412410716</v>
      </c>
      <c r="N28" s="43">
        <f t="shared" si="25"/>
        <v>0.93820101172455905</v>
      </c>
      <c r="AG28" s="40">
        <v>6.5</v>
      </c>
      <c r="AH28" s="50">
        <f t="shared" si="22"/>
        <v>2536</v>
      </c>
      <c r="AI28" s="51">
        <f t="shared" si="7"/>
        <v>0.76342844389645503</v>
      </c>
      <c r="AJ28" s="51">
        <f t="shared" si="3"/>
        <v>0.77454836005127514</v>
      </c>
      <c r="AR28" s="94"/>
    </row>
    <row r="29" spans="1:46" x14ac:dyDescent="0.25">
      <c r="A29" s="38">
        <f t="shared" si="14"/>
        <v>46020</v>
      </c>
      <c r="B29" s="99">
        <f t="shared" si="8"/>
        <v>2558</v>
      </c>
      <c r="C29" s="40">
        <v>7</v>
      </c>
      <c r="D29" s="42">
        <f>+AP24</f>
        <v>4.4111760603486978</v>
      </c>
      <c r="E29" s="42">
        <f>+AQ24</f>
        <v>3.8450000000000002</v>
      </c>
      <c r="F29" s="43">
        <f t="shared" si="9"/>
        <v>0.76136031495836087</v>
      </c>
      <c r="G29" s="43">
        <f t="shared" si="12"/>
        <v>3.3680076304277575</v>
      </c>
      <c r="H29" s="43">
        <f t="shared" si="15"/>
        <v>0.77258043962210698</v>
      </c>
      <c r="I29" s="43">
        <f t="shared" si="18"/>
        <v>0.77887160220240303</v>
      </c>
      <c r="J29" s="43">
        <f t="shared" si="19"/>
        <v>0.78554560212773761</v>
      </c>
      <c r="K29" s="43">
        <f t="shared" si="21"/>
        <v>0.8133181440877093</v>
      </c>
      <c r="L29" s="43">
        <f t="shared" si="23"/>
        <v>0.84509559421613267</v>
      </c>
      <c r="M29" s="43">
        <f t="shared" si="24"/>
        <v>0.87987295070836136</v>
      </c>
      <c r="N29" s="43">
        <f t="shared" si="25"/>
        <v>0.91749666681008379</v>
      </c>
      <c r="AG29" s="40">
        <v>7</v>
      </c>
      <c r="AH29" s="50">
        <f t="shared" si="22"/>
        <v>2716</v>
      </c>
      <c r="AI29" s="51">
        <f t="shared" si="7"/>
        <v>0.74687915761789636</v>
      </c>
      <c r="AJ29" s="51">
        <f t="shared" si="3"/>
        <v>0.75775802082622101</v>
      </c>
      <c r="AR29" s="94"/>
    </row>
    <row r="30" spans="1:46" x14ac:dyDescent="0.25">
      <c r="A30" s="38">
        <f t="shared" si="14"/>
        <v>46202</v>
      </c>
      <c r="B30" s="99">
        <f t="shared" si="8"/>
        <v>2740</v>
      </c>
      <c r="C30" s="40">
        <v>7.5</v>
      </c>
      <c r="D30" s="42">
        <f>+INTERPOLATE(B30,B29,D29,B31,D31)</f>
        <v>4.5044028056280663</v>
      </c>
      <c r="E30" s="42">
        <f>+INTERPOLATE(C30,C29,E29,C31,E31)</f>
        <v>3.8775000000000004</v>
      </c>
      <c r="F30" s="43">
        <f t="shared" si="9"/>
        <v>0.74469307377474603</v>
      </c>
      <c r="G30" s="43">
        <f t="shared" si="12"/>
        <v>3.2942772371018796</v>
      </c>
      <c r="H30" s="43">
        <f t="shared" si="15"/>
        <v>0.75566757423112707</v>
      </c>
      <c r="I30" s="43">
        <f t="shared" si="18"/>
        <v>0.76182101447156514</v>
      </c>
      <c r="J30" s="43">
        <f t="shared" si="19"/>
        <v>0.76834891121259974</v>
      </c>
      <c r="K30" s="43">
        <f t="shared" si="21"/>
        <v>0.79551347342102074</v>
      </c>
      <c r="L30" s="43">
        <f t="shared" si="23"/>
        <v>0.82659527076181527</v>
      </c>
      <c r="M30" s="43">
        <f t="shared" si="24"/>
        <v>0.86061130232418315</v>
      </c>
      <c r="N30" s="43">
        <f t="shared" si="25"/>
        <v>0.89741138270682363</v>
      </c>
      <c r="AG30" s="40">
        <v>7.5</v>
      </c>
      <c r="AH30" s="50">
        <f t="shared" si="22"/>
        <v>2896</v>
      </c>
      <c r="AI30" s="51">
        <f t="shared" si="7"/>
        <v>0.73057632043802456</v>
      </c>
      <c r="AJ30" s="51">
        <f t="shared" si="3"/>
        <v>0.74121772041849177</v>
      </c>
      <c r="AR30" s="94"/>
    </row>
    <row r="31" spans="1:46" x14ac:dyDescent="0.25">
      <c r="A31" s="38">
        <f t="shared" si="14"/>
        <v>46384</v>
      </c>
      <c r="B31" s="99">
        <f t="shared" si="8"/>
        <v>2922</v>
      </c>
      <c r="C31" s="40">
        <v>8</v>
      </c>
      <c r="D31" s="42">
        <f>+AP25</f>
        <v>4.5976295509074356</v>
      </c>
      <c r="E31" s="42">
        <f>+AQ25</f>
        <v>3.91</v>
      </c>
      <c r="F31" s="43">
        <f t="shared" si="9"/>
        <v>0.72823968911418191</v>
      </c>
      <c r="G31" s="43">
        <f t="shared" si="12"/>
        <v>3.2214928746989431</v>
      </c>
      <c r="H31" s="43">
        <f t="shared" si="15"/>
        <v>0.73897171695489716</v>
      </c>
      <c r="I31" s="43">
        <f t="shared" si="18"/>
        <v>0.74498920196380802</v>
      </c>
      <c r="J31" s="43">
        <f t="shared" si="19"/>
        <v>0.75137287016306198</v>
      </c>
      <c r="K31" s="43">
        <f t="shared" si="21"/>
        <v>0.77793725357717058</v>
      </c>
      <c r="L31" s="43">
        <f t="shared" si="23"/>
        <v>0.80833232401583677</v>
      </c>
      <c r="M31" s="43">
        <f t="shared" si="24"/>
        <v>0.84159679916975749</v>
      </c>
      <c r="N31" s="43">
        <f t="shared" si="25"/>
        <v>0.87758381186129386</v>
      </c>
      <c r="AG31" s="40">
        <v>8</v>
      </c>
      <c r="AH31" s="50">
        <f t="shared" si="22"/>
        <v>3076</v>
      </c>
      <c r="AI31" s="51">
        <f t="shared" si="7"/>
        <v>0.71399524598172515</v>
      </c>
      <c r="AJ31" s="51">
        <f t="shared" si="3"/>
        <v>0.72439512999670141</v>
      </c>
      <c r="AR31" s="94"/>
    </row>
    <row r="32" spans="1:46" x14ac:dyDescent="0.25">
      <c r="A32" s="38">
        <f t="shared" si="14"/>
        <v>46566</v>
      </c>
      <c r="B32" s="99">
        <f t="shared" si="8"/>
        <v>3104</v>
      </c>
      <c r="C32" s="40">
        <v>8.5</v>
      </c>
      <c r="D32" s="42">
        <f>+INTERPOLATE(B32,B31,D31,B33,D33)</f>
        <v>4.7045138953308863</v>
      </c>
      <c r="E32" s="42">
        <f>+INTERPOLATE(C32,C31,E31,C33,E33)</f>
        <v>3.9470000000000001</v>
      </c>
      <c r="F32" s="43">
        <f t="shared" si="9"/>
        <v>0.71142292681581309</v>
      </c>
      <c r="G32" s="43">
        <f t="shared" si="12"/>
        <v>3.1471010491372264</v>
      </c>
      <c r="H32" s="43">
        <f t="shared" si="15"/>
        <v>0.72190712696480186</v>
      </c>
      <c r="I32" s="43">
        <f t="shared" si="18"/>
        <v>0.72778565413257668</v>
      </c>
      <c r="J32" s="43">
        <f t="shared" si="19"/>
        <v>0.7340219084620524</v>
      </c>
      <c r="K32" s="43">
        <f t="shared" si="21"/>
        <v>0.75997285796400871</v>
      </c>
      <c r="L32" s="43">
        <f t="shared" si="23"/>
        <v>0.78966603494335108</v>
      </c>
      <c r="M32" s="43">
        <f t="shared" si="24"/>
        <v>0.82216235535370952</v>
      </c>
      <c r="N32" s="43">
        <f t="shared" si="25"/>
        <v>0.85731834352501113</v>
      </c>
      <c r="AG32" s="40">
        <v>8.5</v>
      </c>
      <c r="AH32" s="50">
        <f t="shared" si="22"/>
        <v>3256</v>
      </c>
      <c r="AI32" s="51">
        <f t="shared" si="7"/>
        <v>0.69755886867261219</v>
      </c>
      <c r="AJ32" s="51">
        <f t="shared" si="3"/>
        <v>0.70771934434614203</v>
      </c>
      <c r="AN32" s="74"/>
      <c r="AR32" s="94"/>
    </row>
    <row r="33" spans="1:44" x14ac:dyDescent="0.25">
      <c r="A33" s="38">
        <f t="shared" si="14"/>
        <v>46749</v>
      </c>
      <c r="B33" s="99">
        <f t="shared" si="8"/>
        <v>3287</v>
      </c>
      <c r="C33" s="40">
        <v>9</v>
      </c>
      <c r="D33" s="42">
        <f>+AP26</f>
        <v>4.8119855163720482</v>
      </c>
      <c r="E33" s="42">
        <f>+AQ26</f>
        <v>3.984</v>
      </c>
      <c r="F33" s="43">
        <f t="shared" si="9"/>
        <v>0.6947527357131652</v>
      </c>
      <c r="G33" s="43">
        <f t="shared" si="12"/>
        <v>3.0733576063397416</v>
      </c>
      <c r="H33" s="43">
        <f t="shared" si="15"/>
        <v>0.70499126818199598</v>
      </c>
      <c r="I33" s="43">
        <f t="shared" si="18"/>
        <v>0.71073204863456796</v>
      </c>
      <c r="J33" s="43">
        <f t="shared" si="19"/>
        <v>0.71682217392108127</v>
      </c>
      <c r="K33" s="43">
        <f t="shared" si="21"/>
        <v>0.7421650360657337</v>
      </c>
      <c r="L33" s="43">
        <f t="shared" si="23"/>
        <v>0.77116243713452759</v>
      </c>
      <c r="M33" s="43">
        <f t="shared" si="24"/>
        <v>0.80289729786885589</v>
      </c>
      <c r="N33" s="43">
        <f t="shared" si="25"/>
        <v>0.83722950454657941</v>
      </c>
      <c r="AG33" s="40">
        <v>9</v>
      </c>
      <c r="AH33" s="50">
        <f t="shared" si="22"/>
        <v>3436</v>
      </c>
      <c r="AI33" s="51">
        <f t="shared" si="7"/>
        <v>0.68135094731337331</v>
      </c>
      <c r="AJ33" s="51">
        <f t="shared" si="3"/>
        <v>0.69127534228019172</v>
      </c>
      <c r="AM33" s="75"/>
      <c r="AN33" s="74"/>
      <c r="AR33" s="94"/>
    </row>
    <row r="34" spans="1:44" x14ac:dyDescent="0.25">
      <c r="A34" s="38">
        <f t="shared" si="14"/>
        <v>46932</v>
      </c>
      <c r="B34" s="99">
        <f t="shared" si="8"/>
        <v>3470</v>
      </c>
      <c r="C34" s="40">
        <v>9.5</v>
      </c>
      <c r="D34" s="42">
        <f>+INTERPOLATE(B34,B33,D33,B35,D35)</f>
        <v>4.9200150162654239</v>
      </c>
      <c r="E34" s="42">
        <f>+INTERPOLATE(C34,C33,E33,C35,E35)</f>
        <v>4.0169999999999995</v>
      </c>
      <c r="F34" s="43">
        <f t="shared" si="9"/>
        <v>0.67831800814100573</v>
      </c>
      <c r="G34" s="43">
        <f t="shared" si="12"/>
        <v>3.0006557767597983</v>
      </c>
      <c r="H34" s="43">
        <f t="shared" si="15"/>
        <v>0.68831434294264604</v>
      </c>
      <c r="I34" s="43">
        <f t="shared" si="18"/>
        <v>0.69391932232824882</v>
      </c>
      <c r="J34" s="43">
        <f t="shared" si="19"/>
        <v>0.69986538261894538</v>
      </c>
      <c r="K34" s="43">
        <f t="shared" si="21"/>
        <v>0.72460874653374407</v>
      </c>
      <c r="L34" s="43">
        <f t="shared" si="23"/>
        <v>0.75292019940490029</v>
      </c>
      <c r="M34" s="43">
        <f t="shared" si="24"/>
        <v>0.78390435594779606</v>
      </c>
      <c r="N34" s="43">
        <f t="shared" si="25"/>
        <v>0.81742441690129974</v>
      </c>
      <c r="AG34" s="40"/>
      <c r="AI34" s="51"/>
      <c r="AJ34" s="51"/>
      <c r="AM34" s="75"/>
    </row>
    <row r="35" spans="1:44" x14ac:dyDescent="0.25">
      <c r="A35" s="38">
        <f t="shared" si="14"/>
        <v>47115</v>
      </c>
      <c r="B35" s="99">
        <f t="shared" si="8"/>
        <v>3653</v>
      </c>
      <c r="C35" s="40">
        <v>10</v>
      </c>
      <c r="D35" s="42">
        <f>+AP27</f>
        <v>5.0280445161588005</v>
      </c>
      <c r="E35" s="42">
        <f>+AQ27</f>
        <v>4.05</v>
      </c>
      <c r="F35" s="43">
        <f t="shared" si="9"/>
        <v>0.66216094813607773</v>
      </c>
      <c r="G35" s="43">
        <f t="shared" si="12"/>
        <v>2.9291822571755097</v>
      </c>
      <c r="H35" s="43">
        <f t="shared" si="15"/>
        <v>0.67191917724203976</v>
      </c>
      <c r="I35" s="43">
        <f t="shared" si="18"/>
        <v>0.67739064994320741</v>
      </c>
      <c r="J35" s="43">
        <f t="shared" si="19"/>
        <v>0.68319507924112977</v>
      </c>
      <c r="K35" s="43">
        <f t="shared" si="21"/>
        <v>0.70734907355244281</v>
      </c>
      <c r="L35" s="43">
        <f t="shared" si="23"/>
        <v>0.73498616743950018</v>
      </c>
      <c r="M35" s="43">
        <f t="shared" si="24"/>
        <v>0.76523230306822676</v>
      </c>
      <c r="N35" s="43">
        <f t="shared" si="25"/>
        <v>0.79795393964010619</v>
      </c>
      <c r="AM35" s="75"/>
    </row>
    <row r="36" spans="1:44" x14ac:dyDescent="0.25">
      <c r="C36" s="45"/>
      <c r="AO36" s="75"/>
      <c r="AP36" s="76"/>
    </row>
    <row r="37" spans="1:44" x14ac:dyDescent="0.25">
      <c r="C37" s="45"/>
      <c r="AP37" s="77"/>
    </row>
    <row r="39" spans="1:44" ht="26.25" x14ac:dyDescent="0.4">
      <c r="B39" s="48" t="s">
        <v>62</v>
      </c>
      <c r="E39" t="s">
        <v>87</v>
      </c>
      <c r="AH39" s="66"/>
      <c r="AI39" s="67"/>
    </row>
    <row r="41" spans="1:44" x14ac:dyDescent="0.25">
      <c r="AG41" s="78" t="s">
        <v>83</v>
      </c>
      <c r="AH41" s="64">
        <f>+C8</f>
        <v>180</v>
      </c>
      <c r="AI41" s="79" t="e">
        <f>1/(1+get_interpolated_rate(AH41,$AN$43:$AP$56,COUNT($AN$13:$AP$27))/100*AH41/360)</f>
        <v>#VALUE!</v>
      </c>
      <c r="AJ41" s="64"/>
    </row>
    <row r="42" spans="1:44" ht="15.75" x14ac:dyDescent="0.25">
      <c r="B42" s="60" t="s">
        <v>29</v>
      </c>
      <c r="C42" s="60" t="s">
        <v>30</v>
      </c>
      <c r="D42" s="60" t="s">
        <v>49</v>
      </c>
      <c r="E42" s="60" t="s">
        <v>50</v>
      </c>
      <c r="F42" s="61" t="s">
        <v>51</v>
      </c>
      <c r="G42" s="62" t="s">
        <v>52</v>
      </c>
      <c r="H42" s="62" t="s">
        <v>53</v>
      </c>
      <c r="I42" s="62" t="s">
        <v>54</v>
      </c>
      <c r="J42" s="62" t="s">
        <v>55</v>
      </c>
      <c r="K42" s="62" t="s">
        <v>56</v>
      </c>
      <c r="L42" s="62" t="s">
        <v>57</v>
      </c>
      <c r="M42" s="62" t="s">
        <v>58</v>
      </c>
      <c r="N42" s="62" t="s">
        <v>59</v>
      </c>
      <c r="AG42" s="64"/>
      <c r="AH42" s="64" t="s">
        <v>77</v>
      </c>
      <c r="AI42" s="64" t="s">
        <v>78</v>
      </c>
      <c r="AJ42" s="64" t="s">
        <v>80</v>
      </c>
      <c r="AN42" s="50" t="s">
        <v>48</v>
      </c>
      <c r="AP42" s="50" t="s">
        <v>47</v>
      </c>
      <c r="AQ42" s="50" t="s">
        <v>28</v>
      </c>
    </row>
    <row r="43" spans="1:44" x14ac:dyDescent="0.25">
      <c r="B43">
        <f>(IF(OR(WEEKDAY(EDATE($C$4,12*C43),2)=6,WEEKDAY(EDATE($C$4,12*C43),2)=7),IF(WEEKDAY(EDATE($C$4,12*C43),2)=6,EDATE($C$4,12*C43)+2,EDATE($C$4,12*C43)+1),EDATE($C$4,12*C43))-$C$4)+($C$4-$C$3)</f>
        <v>92</v>
      </c>
      <c r="C43" s="40">
        <v>0.25</v>
      </c>
      <c r="D43" s="42">
        <f t="shared" ref="D43:D47" si="26">+E43</f>
        <v>3.03</v>
      </c>
      <c r="E43" s="71">
        <f t="shared" ref="E43:E47" si="27">+AQ43</f>
        <v>3.03</v>
      </c>
      <c r="F43" s="43">
        <f t="shared" ref="F43:F64" si="28">1/(1+D43*B43/36000)</f>
        <v>0.99231616516110244</v>
      </c>
      <c r="G43" s="43"/>
      <c r="H43" s="43"/>
      <c r="I43" s="43"/>
      <c r="J43" s="43"/>
      <c r="K43" s="43"/>
      <c r="L43" s="43"/>
      <c r="M43" s="43"/>
      <c r="N43" s="43"/>
      <c r="AG43" s="40">
        <f>1/360</f>
        <v>2.7777777777777779E-3</v>
      </c>
      <c r="AH43" s="50">
        <f>+AH41+1</f>
        <v>181</v>
      </c>
      <c r="AI43" s="51" t="e">
        <f t="shared" ref="AI43:AI63" si="29">1/(1+get_interpolated_rate(AH43,$AN$43:$AP$56,COUNT($AN$13:$AP$27))/100*AH43/360)</f>
        <v>#VALUE!</v>
      </c>
      <c r="AJ43" s="51" t="e">
        <f>+AI43/$AI$41</f>
        <v>#VALUE!</v>
      </c>
      <c r="AM43" s="50" t="s">
        <v>63</v>
      </c>
      <c r="AN43" s="50">
        <v>0.25</v>
      </c>
      <c r="AP43" s="50">
        <f t="shared" ref="AP43:AP47" si="30">+AQ43</f>
        <v>3.03</v>
      </c>
      <c r="AQ43" s="50">
        <f>+_xll.BDP($AM43,AQ$12)</f>
        <v>3.03</v>
      </c>
    </row>
    <row r="44" spans="1:44" x14ac:dyDescent="0.25">
      <c r="B44">
        <f t="shared" ref="B44:B64" si="31">(IF(OR(WEEKDAY(EDATE($C$4,12*C44),2)=6,WEEKDAY(EDATE($C$4,12*C44),2)=7),IF(WEEKDAY(EDATE($C$4,12*C44),2)=6,EDATE($C$4,12*C44)+2,EDATE($C$4,12*C44)+1),EDATE($C$4,12*C44))-$C$4)+($C$4-$C$3)</f>
        <v>184</v>
      </c>
      <c r="C44" s="40">
        <v>0.5</v>
      </c>
      <c r="D44" s="42">
        <f t="shared" si="26"/>
        <v>1.75</v>
      </c>
      <c r="E44" s="71">
        <f t="shared" si="27"/>
        <v>1.75</v>
      </c>
      <c r="F44" s="43">
        <f t="shared" si="28"/>
        <v>0.99113484940256591</v>
      </c>
      <c r="G44" s="43">
        <f>+$F44/$F$43</f>
        <v>0.99880953691977326</v>
      </c>
      <c r="H44" s="43"/>
      <c r="I44" s="43"/>
      <c r="J44" s="43"/>
      <c r="K44" s="43"/>
      <c r="L44" s="43"/>
      <c r="M44" s="43"/>
      <c r="N44" s="43"/>
      <c r="AG44" s="40">
        <v>0.25</v>
      </c>
      <c r="AH44" s="50">
        <f t="shared" ref="AH44:AH63" si="32">+$AH$11+B44</f>
        <v>364</v>
      </c>
      <c r="AI44" s="51" t="e">
        <f t="shared" si="29"/>
        <v>#VALUE!</v>
      </c>
      <c r="AJ44" s="51" t="e">
        <f t="shared" ref="AJ44:AJ63" si="33">+AI44/$AI$41</f>
        <v>#VALUE!</v>
      </c>
      <c r="AM44" s="50" t="s">
        <v>64</v>
      </c>
      <c r="AN44" s="50">
        <v>0.5</v>
      </c>
      <c r="AP44" s="50">
        <f t="shared" si="30"/>
        <v>1.75</v>
      </c>
      <c r="AQ44" s="50">
        <f>+_xll.BDP($AM44,AQ$12)</f>
        <v>1.75</v>
      </c>
    </row>
    <row r="45" spans="1:44" x14ac:dyDescent="0.25">
      <c r="B45">
        <f t="shared" si="31"/>
        <v>278</v>
      </c>
      <c r="C45" s="40">
        <v>0.75</v>
      </c>
      <c r="D45" s="42">
        <f t="shared" si="26"/>
        <v>1.165</v>
      </c>
      <c r="E45" s="71">
        <f t="shared" si="27"/>
        <v>1.165</v>
      </c>
      <c r="F45" s="43">
        <f t="shared" si="28"/>
        <v>0.9910838244933704</v>
      </c>
      <c r="G45" s="43">
        <f t="shared" ref="G45:G64" si="34">+$F45/$F$43</f>
        <v>0.99875811690769745</v>
      </c>
      <c r="H45" s="43">
        <f t="shared" ref="H45:H64" si="35">+$F45/$F$44</f>
        <v>0.99994851870133894</v>
      </c>
      <c r="I45" s="43"/>
      <c r="J45" s="43"/>
      <c r="K45" s="43"/>
      <c r="L45" s="43"/>
      <c r="M45" s="43"/>
      <c r="N45" s="43"/>
      <c r="AG45" s="40">
        <v>0.5</v>
      </c>
      <c r="AH45" s="50">
        <f t="shared" si="32"/>
        <v>458</v>
      </c>
      <c r="AI45" s="51" t="e">
        <f t="shared" si="29"/>
        <v>#VALUE!</v>
      </c>
      <c r="AJ45" s="51" t="e">
        <f t="shared" si="33"/>
        <v>#VALUE!</v>
      </c>
      <c r="AM45" s="50" t="s">
        <v>65</v>
      </c>
      <c r="AN45" s="50">
        <v>0.75</v>
      </c>
      <c r="AP45" s="50">
        <f t="shared" si="30"/>
        <v>1.165</v>
      </c>
      <c r="AQ45" s="50">
        <f>+_xll.BDP($AM45,AQ$12)</f>
        <v>1.165</v>
      </c>
    </row>
    <row r="46" spans="1:44" x14ac:dyDescent="0.25">
      <c r="B46">
        <f t="shared" si="31"/>
        <v>369</v>
      </c>
      <c r="C46" s="40">
        <v>1</v>
      </c>
      <c r="D46" s="42">
        <f t="shared" si="26"/>
        <v>0.77</v>
      </c>
      <c r="E46" s="71">
        <f t="shared" si="27"/>
        <v>0.77</v>
      </c>
      <c r="F46" s="43">
        <f t="shared" si="28"/>
        <v>0.99216930376999524</v>
      </c>
      <c r="G46" s="43">
        <f t="shared" si="34"/>
        <v>0.99985200141218766</v>
      </c>
      <c r="H46" s="43">
        <f t="shared" si="35"/>
        <v>1.001043706987049</v>
      </c>
      <c r="I46" s="43">
        <f t="shared" ref="I46:I63" si="36">+$F46/$F$45</f>
        <v>1.0010952446703283</v>
      </c>
      <c r="J46" s="43"/>
      <c r="K46" s="43"/>
      <c r="L46" s="43"/>
      <c r="M46" s="43"/>
      <c r="N46" s="43"/>
      <c r="AG46" s="40">
        <v>0.75</v>
      </c>
      <c r="AH46" s="50">
        <f t="shared" si="32"/>
        <v>549</v>
      </c>
      <c r="AI46" s="51" t="e">
        <f t="shared" si="29"/>
        <v>#VALUE!</v>
      </c>
      <c r="AJ46" s="51" t="e">
        <f t="shared" si="33"/>
        <v>#VALUE!</v>
      </c>
      <c r="AM46" s="50" t="s">
        <v>66</v>
      </c>
      <c r="AN46" s="50">
        <v>1</v>
      </c>
      <c r="AP46" s="50">
        <f t="shared" si="30"/>
        <v>0.77</v>
      </c>
      <c r="AQ46" s="50">
        <f>+_xll.BDP($AM46,AQ$12)</f>
        <v>0.77</v>
      </c>
    </row>
    <row r="47" spans="1:44" x14ac:dyDescent="0.25">
      <c r="B47">
        <f t="shared" si="31"/>
        <v>551</v>
      </c>
      <c r="C47" s="40">
        <v>1.5</v>
      </c>
      <c r="D47" s="42">
        <f t="shared" si="26"/>
        <v>0.83</v>
      </c>
      <c r="E47" s="71">
        <f t="shared" si="27"/>
        <v>0.83</v>
      </c>
      <c r="F47" s="43">
        <f t="shared" si="28"/>
        <v>0.98745574621070709</v>
      </c>
      <c r="G47" s="43">
        <f t="shared" si="34"/>
        <v>0.99510194520553208</v>
      </c>
      <c r="H47" s="43">
        <f t="shared" si="35"/>
        <v>0.99628798927403617</v>
      </c>
      <c r="I47" s="43">
        <f t="shared" si="36"/>
        <v>0.99633928211418654</v>
      </c>
      <c r="J47" s="43">
        <f t="shared" ref="J47:J63" si="37">+$F47/$F$46</f>
        <v>0.99524924068767517</v>
      </c>
      <c r="K47" s="43"/>
      <c r="L47" s="43"/>
      <c r="M47" s="43"/>
      <c r="N47" s="43"/>
      <c r="AG47" s="40">
        <v>1</v>
      </c>
      <c r="AH47" s="50">
        <f t="shared" si="32"/>
        <v>731</v>
      </c>
      <c r="AI47" s="51" t="e">
        <f t="shared" si="29"/>
        <v>#VALUE!</v>
      </c>
      <c r="AJ47" s="51" t="e">
        <f t="shared" si="33"/>
        <v>#VALUE!</v>
      </c>
      <c r="AM47" s="50" t="s">
        <v>67</v>
      </c>
      <c r="AN47" s="50">
        <v>1.5</v>
      </c>
      <c r="AP47" s="50">
        <f t="shared" si="30"/>
        <v>0.83</v>
      </c>
      <c r="AQ47" s="50">
        <f>+_xll.BDP($AM47,AQ$12)</f>
        <v>0.83</v>
      </c>
    </row>
    <row r="48" spans="1:44" x14ac:dyDescent="0.25">
      <c r="B48">
        <f t="shared" si="31"/>
        <v>733</v>
      </c>
      <c r="C48" s="40">
        <v>2</v>
      </c>
      <c r="D48" s="42">
        <f>+AP48</f>
        <v>0.73808199787674944</v>
      </c>
      <c r="E48" s="71">
        <f>+AQ48</f>
        <v>0.73</v>
      </c>
      <c r="F48" s="43">
        <f t="shared" si="28"/>
        <v>0.98519433251367083</v>
      </c>
      <c r="G48" s="43">
        <f t="shared" si="34"/>
        <v>0.99282302062843508</v>
      </c>
      <c r="H48" s="43">
        <f t="shared" si="35"/>
        <v>0.99400634848782088</v>
      </c>
      <c r="I48" s="43">
        <f t="shared" si="36"/>
        <v>0.99405752386009305</v>
      </c>
      <c r="J48" s="43">
        <f t="shared" si="37"/>
        <v>0.99296997878303506</v>
      </c>
      <c r="K48" s="43"/>
      <c r="L48" s="43"/>
      <c r="M48" s="43"/>
      <c r="N48" s="43"/>
      <c r="AG48" s="40">
        <v>1.5</v>
      </c>
      <c r="AH48" s="50">
        <f t="shared" si="32"/>
        <v>913</v>
      </c>
      <c r="AI48" s="51" t="e">
        <f t="shared" si="29"/>
        <v>#VALUE!</v>
      </c>
      <c r="AJ48" s="51" t="e">
        <f t="shared" si="33"/>
        <v>#VALUE!</v>
      </c>
      <c r="AL48">
        <v>2</v>
      </c>
      <c r="AM48" s="50" t="s">
        <v>68</v>
      </c>
      <c r="AN48" s="50">
        <v>2</v>
      </c>
      <c r="AP48" s="66">
        <f>find_zero_rate($AN$43:AP47,COUNT($AP$43:AP47),AQ48,AL48)</f>
        <v>0.73808199787674944</v>
      </c>
      <c r="AQ48" s="50">
        <f>+_xll.BDP($AM48,AQ$12)</f>
        <v>0.73</v>
      </c>
    </row>
    <row r="49" spans="2:43" x14ac:dyDescent="0.25">
      <c r="B49">
        <f t="shared" si="31"/>
        <v>915</v>
      </c>
      <c r="C49" s="40">
        <v>2.5</v>
      </c>
      <c r="D49" s="42">
        <f>+INTERPOLATE(B49,B48,D48,B50,D50)</f>
        <v>0.79607452814816193</v>
      </c>
      <c r="E49" s="71">
        <f>+INTERPOLATE(C49,C48,E48,C50,E50)</f>
        <v>0.78400000000000003</v>
      </c>
      <c r="F49" s="43">
        <f t="shared" si="28"/>
        <v>0.98016771678688408</v>
      </c>
      <c r="G49" s="43">
        <f t="shared" si="34"/>
        <v>0.98775748214053727</v>
      </c>
      <c r="H49" s="43">
        <f t="shared" si="35"/>
        <v>0.98893477247592232</v>
      </c>
      <c r="I49" s="43">
        <f t="shared" si="36"/>
        <v>0.98898568674343312</v>
      </c>
      <c r="J49" s="43">
        <f t="shared" si="37"/>
        <v>0.98790369049162463</v>
      </c>
      <c r="K49" s="43">
        <f t="shared" ref="K49:K63" si="38">+$F49/$F$48</f>
        <v>0.99489784343971854</v>
      </c>
      <c r="L49" s="43"/>
      <c r="M49" s="43"/>
      <c r="N49" s="43"/>
      <c r="AG49" s="40">
        <v>2</v>
      </c>
      <c r="AH49" s="50">
        <f t="shared" si="32"/>
        <v>1095</v>
      </c>
      <c r="AI49" s="51" t="e">
        <f t="shared" si="29"/>
        <v>#VALUE!</v>
      </c>
      <c r="AJ49" s="51" t="e">
        <f t="shared" si="33"/>
        <v>#VALUE!</v>
      </c>
      <c r="AL49">
        <v>3</v>
      </c>
      <c r="AM49" s="50" t="s">
        <v>69</v>
      </c>
      <c r="AN49" s="50">
        <v>3</v>
      </c>
      <c r="AP49" s="66">
        <f>find_zero_rate($AN$43:AP48,COUNT($AP$43:AP48),AQ49,AL49)</f>
        <v>0.85438569869579106</v>
      </c>
      <c r="AQ49" s="50">
        <f>+_xll.BDP($AM49,AQ$12)</f>
        <v>0.83799999999999997</v>
      </c>
    </row>
    <row r="50" spans="2:43" x14ac:dyDescent="0.25">
      <c r="B50">
        <f t="shared" si="31"/>
        <v>1098</v>
      </c>
      <c r="C50" s="40">
        <v>3</v>
      </c>
      <c r="D50" s="42">
        <f>+AP49</f>
        <v>0.85438569869579106</v>
      </c>
      <c r="E50" s="71">
        <f>+AQ49</f>
        <v>0.83799999999999997</v>
      </c>
      <c r="F50" s="43">
        <f t="shared" si="28"/>
        <v>0.97460304932881847</v>
      </c>
      <c r="G50" s="43">
        <f t="shared" si="34"/>
        <v>0.98214972560745473</v>
      </c>
      <c r="H50" s="43">
        <f t="shared" si="35"/>
        <v>0.98332033215892622</v>
      </c>
      <c r="I50" s="43">
        <f t="shared" si="36"/>
        <v>0.98337095737287739</v>
      </c>
      <c r="J50" s="43">
        <f t="shared" si="37"/>
        <v>0.98229510389564623</v>
      </c>
      <c r="K50" s="43">
        <f t="shared" si="38"/>
        <v>0.98924954921550423</v>
      </c>
      <c r="L50" s="43"/>
      <c r="M50" s="43"/>
      <c r="N50" s="43"/>
      <c r="AG50" s="40">
        <v>2.5</v>
      </c>
      <c r="AH50" s="50">
        <f t="shared" si="32"/>
        <v>1278</v>
      </c>
      <c r="AI50" s="51" t="e">
        <f t="shared" si="29"/>
        <v>#VALUE!</v>
      </c>
      <c r="AJ50" s="51" t="e">
        <f t="shared" si="33"/>
        <v>#VALUE!</v>
      </c>
      <c r="AL50">
        <v>4</v>
      </c>
      <c r="AM50" s="50" t="s">
        <v>70</v>
      </c>
      <c r="AN50" s="50">
        <v>4</v>
      </c>
      <c r="AP50" s="66">
        <f>find_zero_rate($AN$43:AP49,COUNT($AP$43:AP49),AQ50,AL50)</f>
        <v>0.92204089215217155</v>
      </c>
      <c r="AQ50" s="50">
        <f>+_xll.BDP($AM50,AQ$12)</f>
        <v>0.89500000000000002</v>
      </c>
    </row>
    <row r="51" spans="2:43" x14ac:dyDescent="0.25">
      <c r="B51">
        <f t="shared" si="31"/>
        <v>1280</v>
      </c>
      <c r="C51" s="40">
        <v>3.5</v>
      </c>
      <c r="D51" s="42">
        <f>+INTERPOLATE(B51,B50,D50,B52,D52)</f>
        <v>0.88812061707678081</v>
      </c>
      <c r="E51" s="71">
        <f>+INTERPOLATE(C51,C50,E50,C52,E52)</f>
        <v>0.86650000000000005</v>
      </c>
      <c r="F51" s="43">
        <f t="shared" si="28"/>
        <v>0.96938900062497779</v>
      </c>
      <c r="G51" s="43">
        <f t="shared" si="34"/>
        <v>0.97689530278648395</v>
      </c>
      <c r="H51" s="43">
        <f t="shared" si="35"/>
        <v>0.97805964668612344</v>
      </c>
      <c r="I51" s="43">
        <f t="shared" si="36"/>
        <v>0.97811000105921142</v>
      </c>
      <c r="J51" s="43">
        <f t="shared" si="37"/>
        <v>0.97703990331241053</v>
      </c>
      <c r="K51" s="43">
        <f t="shared" si="38"/>
        <v>0.98395714290360703</v>
      </c>
      <c r="L51" s="43">
        <f t="shared" ref="L51:L63" si="39">+$F51/$F$50</f>
        <v>0.99465007963249097</v>
      </c>
      <c r="M51" s="43"/>
      <c r="N51" s="43"/>
      <c r="AG51" s="40">
        <v>3</v>
      </c>
      <c r="AH51" s="50">
        <f t="shared" si="32"/>
        <v>1460</v>
      </c>
      <c r="AI51" s="51" t="e">
        <f t="shared" si="29"/>
        <v>#VALUE!</v>
      </c>
      <c r="AJ51" s="51" t="e">
        <f t="shared" si="33"/>
        <v>#VALUE!</v>
      </c>
      <c r="AL51">
        <v>5</v>
      </c>
      <c r="AM51" s="50" t="s">
        <v>71</v>
      </c>
      <c r="AN51" s="50">
        <v>5</v>
      </c>
      <c r="AP51" s="66">
        <f>find_zero_rate($AN$43:AP50,COUNT($AP$43:AP50),AQ51,AL51)</f>
        <v>0.9792985346941917</v>
      </c>
      <c r="AQ51" s="50">
        <f>+_xll.BDP($AM51,AQ$12)</f>
        <v>0.94</v>
      </c>
    </row>
    <row r="52" spans="2:43" x14ac:dyDescent="0.25">
      <c r="B52">
        <f t="shared" si="31"/>
        <v>1463</v>
      </c>
      <c r="C52" s="40">
        <v>4</v>
      </c>
      <c r="D52" s="42">
        <f>+AP50</f>
        <v>0.92204089215217155</v>
      </c>
      <c r="E52" s="71">
        <f>+AQ50</f>
        <v>0.89500000000000002</v>
      </c>
      <c r="F52" s="43">
        <f t="shared" si="28"/>
        <v>0.96388262652629431</v>
      </c>
      <c r="G52" s="43">
        <f t="shared" si="34"/>
        <v>0.97134629099769632</v>
      </c>
      <c r="H52" s="43">
        <f t="shared" si="35"/>
        <v>0.97250402113022394</v>
      </c>
      <c r="I52" s="43">
        <f t="shared" si="36"/>
        <v>0.97255408947776845</v>
      </c>
      <c r="J52" s="43">
        <f t="shared" si="37"/>
        <v>0.97149007015615318</v>
      </c>
      <c r="K52" s="43">
        <f t="shared" si="38"/>
        <v>0.97836801808126439</v>
      </c>
      <c r="L52" s="43">
        <f t="shared" si="39"/>
        <v>0.98900021623171919</v>
      </c>
      <c r="M52" s="43"/>
      <c r="N52" s="43"/>
      <c r="AG52" s="40">
        <v>3.5</v>
      </c>
      <c r="AH52" s="50">
        <f t="shared" si="32"/>
        <v>1643</v>
      </c>
      <c r="AI52" s="51" t="e">
        <f t="shared" si="29"/>
        <v>#VALUE!</v>
      </c>
      <c r="AJ52" s="51" t="e">
        <f t="shared" si="33"/>
        <v>#VALUE!</v>
      </c>
      <c r="AL52">
        <v>6</v>
      </c>
      <c r="AM52" s="50" t="s">
        <v>72</v>
      </c>
      <c r="AN52" s="50">
        <v>6</v>
      </c>
      <c r="AP52" s="66">
        <f>find_zero_rate($AN$43:AP51,COUNT($AP$43:AP51),AQ52,AL52)</f>
        <v>1.0778628843649587</v>
      </c>
      <c r="AQ52" s="50">
        <f>+_xll.BDP($AM52,AQ$12)</f>
        <v>1.02</v>
      </c>
    </row>
    <row r="53" spans="2:43" x14ac:dyDescent="0.25">
      <c r="B53">
        <f t="shared" si="31"/>
        <v>1645</v>
      </c>
      <c r="C53" s="40">
        <v>4.5</v>
      </c>
      <c r="D53" s="42">
        <f>+INTERPOLATE(B53,B52,D52,B54,D54)</f>
        <v>0.95059127829641177</v>
      </c>
      <c r="E53" s="71">
        <f>+INTERPOLATE(C53,C52,E52,C54,E54)</f>
        <v>0.91749999999999998</v>
      </c>
      <c r="F53" s="43">
        <f t="shared" si="28"/>
        <v>0.95837146740616952</v>
      </c>
      <c r="G53" s="43">
        <f t="shared" si="34"/>
        <v>0.96579245713545137</v>
      </c>
      <c r="H53" s="43">
        <f t="shared" si="35"/>
        <v>0.96694356775352475</v>
      </c>
      <c r="I53" s="43">
        <f t="shared" si="36"/>
        <v>0.96699334982697049</v>
      </c>
      <c r="J53" s="43">
        <f t="shared" si="37"/>
        <v>0.96593541421267282</v>
      </c>
      <c r="K53" s="43">
        <f t="shared" si="38"/>
        <v>0.97277403632736681</v>
      </c>
      <c r="L53" s="43">
        <f t="shared" si="39"/>
        <v>0.98334544311776251</v>
      </c>
      <c r="M53" s="43">
        <f t="shared" ref="M53:M63" si="40">+$F53/$F$52</f>
        <v>0.99428233379411946</v>
      </c>
      <c r="N53" s="43"/>
      <c r="AG53" s="40">
        <v>4</v>
      </c>
      <c r="AH53" s="50">
        <f t="shared" si="32"/>
        <v>1825</v>
      </c>
      <c r="AI53" s="51" t="e">
        <f t="shared" si="29"/>
        <v>#VALUE!</v>
      </c>
      <c r="AJ53" s="51" t="e">
        <f t="shared" si="33"/>
        <v>#VALUE!</v>
      </c>
      <c r="AL53">
        <v>7</v>
      </c>
      <c r="AM53" s="50" t="s">
        <v>73</v>
      </c>
      <c r="AN53" s="50">
        <v>7</v>
      </c>
      <c r="AP53" s="66">
        <f>find_zero_rate($AN$43:AP52,COUNT($AP$43:AP52),AQ53,AL53)</f>
        <v>1.1582861370648372</v>
      </c>
      <c r="AQ53" s="50">
        <f>+_xll.BDP($AM53,AQ$12)</f>
        <v>1.08</v>
      </c>
    </row>
    <row r="54" spans="2:43" x14ac:dyDescent="0.25">
      <c r="B54">
        <f t="shared" si="31"/>
        <v>1828</v>
      </c>
      <c r="C54" s="40">
        <v>5</v>
      </c>
      <c r="D54" s="42">
        <f>+AP51</f>
        <v>0.9792985346941917</v>
      </c>
      <c r="E54" s="71">
        <f>+AQ51</f>
        <v>0.94</v>
      </c>
      <c r="F54" s="43">
        <f t="shared" si="28"/>
        <v>0.95262899576610538</v>
      </c>
      <c r="G54" s="43">
        <f t="shared" si="34"/>
        <v>0.96000551962332104</v>
      </c>
      <c r="H54" s="43">
        <f t="shared" si="35"/>
        <v>0.96114973289490224</v>
      </c>
      <c r="I54" s="43">
        <f t="shared" si="36"/>
        <v>0.96119921667884889</v>
      </c>
      <c r="J54" s="43">
        <f t="shared" si="37"/>
        <v>0.96014762011518939</v>
      </c>
      <c r="K54" s="43">
        <f t="shared" si="38"/>
        <v>0.96694526584975704</v>
      </c>
      <c r="L54" s="43">
        <f t="shared" si="39"/>
        <v>0.977453329765543</v>
      </c>
      <c r="M54" s="43">
        <f t="shared" si="40"/>
        <v>0.98832468762224135</v>
      </c>
      <c r="N54" s="43"/>
      <c r="AG54" s="40">
        <v>4.5</v>
      </c>
      <c r="AH54" s="50">
        <f t="shared" si="32"/>
        <v>2008</v>
      </c>
      <c r="AI54" s="51" t="e">
        <f t="shared" si="29"/>
        <v>#VALUE!</v>
      </c>
      <c r="AJ54" s="51" t="e">
        <f t="shared" si="33"/>
        <v>#VALUE!</v>
      </c>
      <c r="AL54">
        <v>8</v>
      </c>
      <c r="AM54" s="50" t="s">
        <v>74</v>
      </c>
      <c r="AN54" s="50">
        <v>8</v>
      </c>
      <c r="AP54" s="66">
        <f>find_zero_rate($AN$43:AP53,COUNT($AP$43:AP53),AQ54,AL54)</f>
        <v>1.2546605502491246</v>
      </c>
      <c r="AQ54" s="50">
        <f>+_xll.BDP($AM54,AQ$12)</f>
        <v>1.1499999999999999</v>
      </c>
    </row>
    <row r="55" spans="2:43" x14ac:dyDescent="0.25">
      <c r="B55">
        <f t="shared" si="31"/>
        <v>2011</v>
      </c>
      <c r="C55" s="40">
        <v>5.5</v>
      </c>
      <c r="D55" s="42">
        <f>+INTERPOLATE(B55,B54,D54,B56,D56)</f>
        <v>1.0283128716228611</v>
      </c>
      <c r="E55" s="71">
        <f>+INTERPOLATE(C55,C54,E54,C56,E56)</f>
        <v>0.98</v>
      </c>
      <c r="F55" s="43">
        <f t="shared" si="28"/>
        <v>0.94567771889522179</v>
      </c>
      <c r="G55" s="43">
        <f t="shared" si="34"/>
        <v>0.95300041669853386</v>
      </c>
      <c r="H55" s="43">
        <f t="shared" si="35"/>
        <v>0.95413628071422907</v>
      </c>
      <c r="I55" s="43">
        <f t="shared" si="36"/>
        <v>0.95418540341796043</v>
      </c>
      <c r="J55" s="43">
        <f t="shared" si="37"/>
        <v>0.95314148029160239</v>
      </c>
      <c r="K55" s="43">
        <f t="shared" si="38"/>
        <v>0.95988952401134453</v>
      </c>
      <c r="L55" s="43">
        <f t="shared" si="39"/>
        <v>0.97032091121250164</v>
      </c>
      <c r="M55" s="43">
        <f t="shared" si="40"/>
        <v>0.98111294142038785</v>
      </c>
      <c r="N55" s="43">
        <f t="shared" ref="N55:N63" si="41">+$F55/$F$54</f>
        <v>0.99270305974122341</v>
      </c>
      <c r="AG55" s="40">
        <v>5</v>
      </c>
      <c r="AH55" s="50">
        <f t="shared" si="32"/>
        <v>2191</v>
      </c>
      <c r="AI55" s="51" t="e">
        <f t="shared" si="29"/>
        <v>#VALUE!</v>
      </c>
      <c r="AJ55" s="51" t="e">
        <f t="shared" si="33"/>
        <v>#VALUE!</v>
      </c>
      <c r="AL55">
        <v>9</v>
      </c>
      <c r="AM55" s="50" t="s">
        <v>75</v>
      </c>
      <c r="AN55" s="50">
        <v>9</v>
      </c>
      <c r="AP55" s="66">
        <f>find_zero_rate($AN$43:AP54,COUNT($AP$43:AP54),AQ55,AL55)</f>
        <v>1.3478789286059696</v>
      </c>
      <c r="AQ55" s="50">
        <f>+_xll.BDP($AM55,AQ$12)</f>
        <v>1.2130000000000001</v>
      </c>
    </row>
    <row r="56" spans="2:43" x14ac:dyDescent="0.25">
      <c r="B56">
        <f t="shared" si="31"/>
        <v>2196</v>
      </c>
      <c r="C56" s="40">
        <v>6</v>
      </c>
      <c r="D56" s="42">
        <f>+AP52</f>
        <v>1.0778628843649587</v>
      </c>
      <c r="E56" s="71">
        <f>+AQ52</f>
        <v>1.02</v>
      </c>
      <c r="F56" s="43">
        <f t="shared" si="28"/>
        <v>0.93830667754544028</v>
      </c>
      <c r="G56" s="43">
        <f t="shared" si="34"/>
        <v>0.9455722989185672</v>
      </c>
      <c r="H56" s="43">
        <f t="shared" si="35"/>
        <v>0.9466993094945968</v>
      </c>
      <c r="I56" s="43">
        <f t="shared" si="36"/>
        <v>0.94674804931368028</v>
      </c>
      <c r="J56" s="43">
        <f t="shared" si="37"/>
        <v>0.94571226299796773</v>
      </c>
      <c r="K56" s="43">
        <f t="shared" si="38"/>
        <v>0.95240770940226671</v>
      </c>
      <c r="L56" s="43">
        <f t="shared" si="39"/>
        <v>0.96275778963715075</v>
      </c>
      <c r="M56" s="43">
        <f t="shared" si="40"/>
        <v>0.97346570186348691</v>
      </c>
      <c r="N56" s="43">
        <f t="shared" si="41"/>
        <v>0.98496548154179675</v>
      </c>
      <c r="AG56" s="40">
        <v>5.5</v>
      </c>
      <c r="AH56" s="50">
        <f t="shared" si="32"/>
        <v>2376</v>
      </c>
      <c r="AI56" s="51" t="e">
        <f t="shared" si="29"/>
        <v>#VALUE!</v>
      </c>
      <c r="AJ56" s="51" t="e">
        <f t="shared" si="33"/>
        <v>#VALUE!</v>
      </c>
      <c r="AL56">
        <v>10</v>
      </c>
      <c r="AM56" s="50" t="s">
        <v>76</v>
      </c>
      <c r="AN56" s="50">
        <v>10</v>
      </c>
      <c r="AP56" s="66">
        <f>find_zero_rate($AN$43:AP55,COUNT($AP$43:AP55),AQ56,AL56)</f>
        <v>1.4325496683862582</v>
      </c>
      <c r="AQ56" s="50">
        <f>+_xll.BDP($AM56,AQ$12)</f>
        <v>1.2649999999999999</v>
      </c>
    </row>
    <row r="57" spans="2:43" x14ac:dyDescent="0.25">
      <c r="B57">
        <f t="shared" si="31"/>
        <v>2378</v>
      </c>
      <c r="C57" s="40">
        <v>6.5</v>
      </c>
      <c r="D57" s="42">
        <f>+INTERPOLATE(B57,B56,D56,B58,D58)</f>
        <v>1.1180745107148979</v>
      </c>
      <c r="E57" s="71">
        <f>+INTERPOLATE(C57,C56,E56,C58,E58)</f>
        <v>1.05</v>
      </c>
      <c r="F57" s="43">
        <f t="shared" si="28"/>
        <v>0.93122439184891137</v>
      </c>
      <c r="G57" s="43">
        <f t="shared" si="34"/>
        <v>0.93843517272312815</v>
      </c>
      <c r="H57" s="43">
        <f t="shared" si="35"/>
        <v>0.93955367668711554</v>
      </c>
      <c r="I57" s="43">
        <f t="shared" si="36"/>
        <v>0.93960204862080321</v>
      </c>
      <c r="J57" s="43">
        <f t="shared" si="37"/>
        <v>0.93857408036157897</v>
      </c>
      <c r="K57" s="43">
        <f t="shared" si="38"/>
        <v>0.94521898991536213</v>
      </c>
      <c r="L57" s="43">
        <f t="shared" si="39"/>
        <v>0.95549094833041948</v>
      </c>
      <c r="M57" s="43">
        <f t="shared" si="40"/>
        <v>0.96611803784130967</v>
      </c>
      <c r="N57" s="43">
        <f t="shared" si="41"/>
        <v>0.97753101783346374</v>
      </c>
      <c r="AG57" s="40">
        <v>6</v>
      </c>
      <c r="AH57" s="50">
        <f t="shared" si="32"/>
        <v>2558</v>
      </c>
      <c r="AI57" s="51" t="e">
        <f t="shared" si="29"/>
        <v>#VALUE!</v>
      </c>
      <c r="AJ57" s="51" t="e">
        <f t="shared" si="33"/>
        <v>#VALUE!</v>
      </c>
      <c r="AP57" s="66"/>
    </row>
    <row r="58" spans="2:43" x14ac:dyDescent="0.25">
      <c r="B58">
        <f t="shared" si="31"/>
        <v>2560</v>
      </c>
      <c r="C58" s="40">
        <v>7</v>
      </c>
      <c r="D58" s="42">
        <f>+AP53</f>
        <v>1.1582861370648372</v>
      </c>
      <c r="E58" s="71">
        <f>+AQ53</f>
        <v>1.08</v>
      </c>
      <c r="F58" s="43">
        <f t="shared" si="28"/>
        <v>0.92390103069353025</v>
      </c>
      <c r="G58" s="43">
        <f t="shared" si="34"/>
        <v>0.93105510434120053</v>
      </c>
      <c r="H58" s="43">
        <f t="shared" si="35"/>
        <v>0.93216481213473357</v>
      </c>
      <c r="I58" s="43">
        <f t="shared" si="36"/>
        <v>0.93221280366049442</v>
      </c>
      <c r="J58" s="43">
        <f t="shared" si="37"/>
        <v>0.93119291957827899</v>
      </c>
      <c r="K58" s="43">
        <f t="shared" si="38"/>
        <v>0.93778557204673108</v>
      </c>
      <c r="L58" s="43">
        <f t="shared" si="39"/>
        <v>0.94797674943639332</v>
      </c>
      <c r="M58" s="43">
        <f t="shared" si="40"/>
        <v>0.95852026508989741</v>
      </c>
      <c r="N58" s="43">
        <f t="shared" si="41"/>
        <v>0.96984349080255317</v>
      </c>
      <c r="AG58" s="40">
        <v>6.5</v>
      </c>
      <c r="AH58" s="50">
        <f t="shared" si="32"/>
        <v>2740</v>
      </c>
      <c r="AI58" s="51" t="e">
        <f t="shared" si="29"/>
        <v>#VALUE!</v>
      </c>
      <c r="AJ58" s="51" t="e">
        <f t="shared" si="33"/>
        <v>#VALUE!</v>
      </c>
      <c r="AP58" s="66"/>
    </row>
    <row r="59" spans="2:43" x14ac:dyDescent="0.25">
      <c r="B59">
        <f t="shared" si="31"/>
        <v>2742</v>
      </c>
      <c r="C59" s="40">
        <v>7.5</v>
      </c>
      <c r="D59" s="42">
        <f>+INTERPOLATE(B59,B58,D58,B60,D60)</f>
        <v>1.206473343656981</v>
      </c>
      <c r="E59" s="71">
        <f>+INTERPOLATE(C59,C58,E58,C60,E60)</f>
        <v>1.115</v>
      </c>
      <c r="F59" s="43">
        <f t="shared" si="28"/>
        <v>0.9158406102545088</v>
      </c>
      <c r="G59" s="43">
        <f t="shared" si="34"/>
        <v>0.92293226937991302</v>
      </c>
      <c r="H59" s="43">
        <f t="shared" si="35"/>
        <v>0.92403229571289636</v>
      </c>
      <c r="I59" s="43">
        <f t="shared" si="36"/>
        <v>0.92407986854459567</v>
      </c>
      <c r="J59" s="43">
        <f t="shared" si="37"/>
        <v>0.92306888227094264</v>
      </c>
      <c r="K59" s="43">
        <f t="shared" si="38"/>
        <v>0.92960401824256367</v>
      </c>
      <c r="L59" s="43">
        <f t="shared" si="39"/>
        <v>0.93970628440494031</v>
      </c>
      <c r="M59" s="43">
        <f t="shared" si="40"/>
        <v>0.95015781491474482</v>
      </c>
      <c r="N59" s="43">
        <f t="shared" si="41"/>
        <v>0.96138225303334246</v>
      </c>
      <c r="AG59" s="40">
        <v>7</v>
      </c>
      <c r="AH59" s="50">
        <f t="shared" si="32"/>
        <v>2922</v>
      </c>
      <c r="AI59" s="51" t="e">
        <f t="shared" si="29"/>
        <v>#VALUE!</v>
      </c>
      <c r="AJ59" s="51" t="e">
        <f t="shared" si="33"/>
        <v>#VALUE!</v>
      </c>
    </row>
    <row r="60" spans="2:43" x14ac:dyDescent="0.25">
      <c r="B60">
        <f t="shared" si="31"/>
        <v>2924</v>
      </c>
      <c r="C60" s="40">
        <v>8</v>
      </c>
      <c r="D60" s="42">
        <f>+AP54</f>
        <v>1.2546605502491246</v>
      </c>
      <c r="E60" s="71">
        <f>+AQ54</f>
        <v>1.1499999999999999</v>
      </c>
      <c r="F60" s="43">
        <f t="shared" si="28"/>
        <v>0.90751816523897555</v>
      </c>
      <c r="G60" s="43">
        <f t="shared" si="34"/>
        <v>0.91454538089847615</v>
      </c>
      <c r="H60" s="43">
        <f t="shared" si="35"/>
        <v>0.91563541105027979</v>
      </c>
      <c r="I60" s="43">
        <f t="shared" si="36"/>
        <v>0.91568255157719625</v>
      </c>
      <c r="J60" s="43">
        <f t="shared" si="37"/>
        <v>0.91468075235812418</v>
      </c>
      <c r="K60" s="43">
        <f t="shared" si="38"/>
        <v>0.92115650211211764</v>
      </c>
      <c r="L60" s="43">
        <f t="shared" si="39"/>
        <v>0.93116696676042376</v>
      </c>
      <c r="M60" s="43">
        <f t="shared" si="40"/>
        <v>0.9415235219142305</v>
      </c>
      <c r="N60" s="43">
        <f t="shared" si="41"/>
        <v>0.95264596109542976</v>
      </c>
      <c r="AG60" s="40">
        <v>7.5</v>
      </c>
      <c r="AH60" s="50">
        <f t="shared" si="32"/>
        <v>3104</v>
      </c>
      <c r="AI60" s="51" t="e">
        <f t="shared" si="29"/>
        <v>#VALUE!</v>
      </c>
      <c r="AJ60" s="51" t="e">
        <f t="shared" si="33"/>
        <v>#VALUE!</v>
      </c>
    </row>
    <row r="61" spans="2:43" x14ac:dyDescent="0.25">
      <c r="B61">
        <f t="shared" si="31"/>
        <v>3106</v>
      </c>
      <c r="C61" s="40">
        <v>8.5</v>
      </c>
      <c r="D61" s="42">
        <f>+INTERPOLATE(B61,B60,D60,B62,D62)</f>
        <v>1.3011420430188392</v>
      </c>
      <c r="E61" s="71">
        <f>+INTERPOLATE(C61,C60,E60,C62,E62)</f>
        <v>1.1815</v>
      </c>
      <c r="F61" s="43">
        <f t="shared" si="28"/>
        <v>0.899070648974862</v>
      </c>
      <c r="G61" s="43">
        <f t="shared" si="34"/>
        <v>0.90603245270009081</v>
      </c>
      <c r="H61" s="43">
        <f t="shared" si="35"/>
        <v>0.90711233644624834</v>
      </c>
      <c r="I61" s="43">
        <f t="shared" si="36"/>
        <v>0.90715903817162546</v>
      </c>
      <c r="J61" s="43">
        <f t="shared" si="37"/>
        <v>0.90616656407189622</v>
      </c>
      <c r="K61" s="43">
        <f t="shared" si="38"/>
        <v>0.91258203514115954</v>
      </c>
      <c r="L61" s="43">
        <f t="shared" si="39"/>
        <v>0.92249931866520063</v>
      </c>
      <c r="M61" s="43">
        <f t="shared" si="40"/>
        <v>0.93275947115572966</v>
      </c>
      <c r="N61" s="43">
        <f t="shared" si="41"/>
        <v>0.94377837854056534</v>
      </c>
      <c r="AG61" s="40">
        <v>8</v>
      </c>
      <c r="AH61" s="50">
        <f t="shared" si="32"/>
        <v>3286</v>
      </c>
      <c r="AI61" s="51" t="e">
        <f t="shared" si="29"/>
        <v>#VALUE!</v>
      </c>
      <c r="AJ61" s="51" t="e">
        <f t="shared" si="33"/>
        <v>#VALUE!</v>
      </c>
    </row>
    <row r="62" spans="2:43" x14ac:dyDescent="0.25">
      <c r="B62">
        <f t="shared" si="31"/>
        <v>3289</v>
      </c>
      <c r="C62" s="40">
        <v>9</v>
      </c>
      <c r="D62" s="42">
        <f>+AP55</f>
        <v>1.3478789286059696</v>
      </c>
      <c r="E62" s="71">
        <f>+AQ55</f>
        <v>1.2130000000000001</v>
      </c>
      <c r="F62" s="43">
        <f t="shared" si="28"/>
        <v>0.89035800606374071</v>
      </c>
      <c r="G62" s="43">
        <f t="shared" si="34"/>
        <v>0.89725234489069439</v>
      </c>
      <c r="H62" s="43">
        <f t="shared" si="35"/>
        <v>0.89832176378464423</v>
      </c>
      <c r="I62" s="43">
        <f t="shared" si="36"/>
        <v>0.89836801293662571</v>
      </c>
      <c r="J62" s="43">
        <f t="shared" si="37"/>
        <v>0.8973851566265989</v>
      </c>
      <c r="K62" s="43">
        <f t="shared" si="38"/>
        <v>0.90373845715498557</v>
      </c>
      <c r="L62" s="43">
        <f t="shared" si="39"/>
        <v>0.91355963505029569</v>
      </c>
      <c r="M62" s="43">
        <f t="shared" si="40"/>
        <v>0.92372035926456464</v>
      </c>
      <c r="N62" s="43">
        <f t="shared" si="41"/>
        <v>0.93463248549107381</v>
      </c>
      <c r="AG62" s="40">
        <v>8.5</v>
      </c>
      <c r="AH62" s="50">
        <f t="shared" si="32"/>
        <v>3469</v>
      </c>
      <c r="AI62" s="51" t="e">
        <f t="shared" si="29"/>
        <v>#VALUE!</v>
      </c>
      <c r="AJ62" s="51" t="e">
        <f t="shared" si="33"/>
        <v>#VALUE!</v>
      </c>
    </row>
    <row r="63" spans="2:43" x14ac:dyDescent="0.25">
      <c r="B63">
        <f t="shared" si="31"/>
        <v>3472</v>
      </c>
      <c r="C63" s="40">
        <v>9.5</v>
      </c>
      <c r="D63" s="42">
        <f>+INTERPOLATE(B63,B62,D62,B64,D64)</f>
        <v>1.3902142984961139</v>
      </c>
      <c r="E63" s="71">
        <f>+INTERPOLATE(C63,C62,E62,C64,E64)</f>
        <v>1.2389999999999999</v>
      </c>
      <c r="F63" s="43">
        <f t="shared" si="28"/>
        <v>0.88177321755099602</v>
      </c>
      <c r="G63" s="43">
        <f t="shared" si="34"/>
        <v>0.88860108149889927</v>
      </c>
      <c r="H63" s="43">
        <f t="shared" si="35"/>
        <v>0.88966018910797995</v>
      </c>
      <c r="I63" s="43">
        <f t="shared" si="36"/>
        <v>0.8897059923278916</v>
      </c>
      <c r="J63" s="43">
        <f t="shared" si="37"/>
        <v>0.88873261267051729</v>
      </c>
      <c r="K63" s="43">
        <f t="shared" si="38"/>
        <v>0.89502465498476702</v>
      </c>
      <c r="L63" s="43">
        <f t="shared" si="39"/>
        <v>0.90475113756133663</v>
      </c>
      <c r="M63" s="43">
        <f t="shared" si="40"/>
        <v>0.91481389256780177</v>
      </c>
      <c r="N63" s="43">
        <f t="shared" si="41"/>
        <v>0.92562080460491647</v>
      </c>
      <c r="AG63" s="40">
        <v>9</v>
      </c>
      <c r="AH63" s="50">
        <f t="shared" si="32"/>
        <v>3652</v>
      </c>
      <c r="AI63" s="51" t="e">
        <f t="shared" si="29"/>
        <v>#VALUE!</v>
      </c>
      <c r="AJ63" s="51" t="e">
        <f t="shared" si="33"/>
        <v>#VALUE!</v>
      </c>
    </row>
    <row r="64" spans="2:43" x14ac:dyDescent="0.25">
      <c r="B64">
        <f t="shared" si="31"/>
        <v>3655</v>
      </c>
      <c r="C64" s="40">
        <v>10</v>
      </c>
      <c r="D64" s="42">
        <f>+AP56</f>
        <v>1.4325496683862582</v>
      </c>
      <c r="E64" s="71">
        <f>+AQ56</f>
        <v>1.2649999999999999</v>
      </c>
      <c r="F64" s="43">
        <f t="shared" si="28"/>
        <v>0.87302422714662486</v>
      </c>
      <c r="G64" s="43">
        <f t="shared" si="34"/>
        <v>0.87978434474549694</v>
      </c>
      <c r="H64" s="43">
        <f t="shared" si="35"/>
        <v>0.88083294384499189</v>
      </c>
      <c r="I64" s="43">
        <f>+$F64/$F$45</f>
        <v>0.88087829260345751</v>
      </c>
      <c r="J64" s="43">
        <f>+$F64/$F$46</f>
        <v>0.87991457085937963</v>
      </c>
      <c r="K64" s="43">
        <f>+$F64/$F$48</f>
        <v>0.8861441832690512</v>
      </c>
      <c r="L64" s="43">
        <f>+$F64/$F$50</f>
        <v>0.89577415928244009</v>
      </c>
      <c r="M64" s="43">
        <f>+$F64/$F$52</f>
        <v>0.9057370712167403</v>
      </c>
      <c r="N64" s="43">
        <f>+$F64/$F$54</f>
        <v>0.91643675662479462</v>
      </c>
    </row>
    <row r="65" spans="2:31" x14ac:dyDescent="0.25">
      <c r="D65" s="42"/>
      <c r="F65" s="43"/>
      <c r="G65" s="43"/>
      <c r="H65" s="43"/>
      <c r="I65" s="43"/>
      <c r="J65" s="43"/>
      <c r="K65" s="43"/>
      <c r="L65" s="43"/>
      <c r="M65" s="43"/>
      <c r="N65" s="43"/>
    </row>
    <row r="67" spans="2:31" ht="26.25" x14ac:dyDescent="0.4">
      <c r="B67" s="48" t="s">
        <v>90</v>
      </c>
    </row>
    <row r="68" spans="2:31" ht="15.75" x14ac:dyDescent="0.25">
      <c r="B68" s="60"/>
      <c r="C68" s="60" t="s">
        <v>48</v>
      </c>
      <c r="D68" s="60" t="s">
        <v>82</v>
      </c>
      <c r="E68" s="60" t="s">
        <v>84</v>
      </c>
      <c r="F68" s="61" t="s">
        <v>86</v>
      </c>
      <c r="G68" s="62" t="s">
        <v>85</v>
      </c>
      <c r="H68" s="62" t="s">
        <v>91</v>
      </c>
      <c r="I68" s="62" t="s">
        <v>92</v>
      </c>
      <c r="J68" s="62" t="s">
        <v>81</v>
      </c>
    </row>
    <row r="69" spans="2:31" x14ac:dyDescent="0.25">
      <c r="B69" s="49">
        <f>+AN13</f>
        <v>1</v>
      </c>
      <c r="C69" s="40">
        <f>1/360</f>
        <v>2.7777777777777779E-3</v>
      </c>
      <c r="D69" s="43">
        <f>100*(1/AJ13-1)*(360/(AH13-$C$8))</f>
        <v>3.0361565051535422</v>
      </c>
      <c r="E69" s="46">
        <f>+E13</f>
        <v>2.75</v>
      </c>
      <c r="F69" s="42" t="e">
        <f>+IF($B69-$C$8&gt;0,get_interpolated_rate($B69-$C$8,$B$69:$B$89,D$69:D$89,COUNT(D$69:D$89)),NA())</f>
        <v>#N/A</v>
      </c>
      <c r="G69" s="42" t="e">
        <f>+IF($B69-$C$8&gt;0,get_interpolated_rate($B69-$C$8,$B$69:$B$89,E$69:E$89,COUNT(E$69:E$89)),NA())</f>
        <v>#N/A</v>
      </c>
      <c r="H69" s="69" t="e">
        <f>100*(F69-$E69)</f>
        <v>#N/A</v>
      </c>
      <c r="I69" s="69" t="e">
        <f>100*(G69-$E69)</f>
        <v>#N/A</v>
      </c>
      <c r="J69" s="72" t="e">
        <f>+H69+I69</f>
        <v>#N/A</v>
      </c>
    </row>
    <row r="70" spans="2:31" x14ac:dyDescent="0.25">
      <c r="B70" s="49">
        <f t="shared" ref="B70:B82" si="42">+AN14</f>
        <v>90</v>
      </c>
      <c r="C70" s="40">
        <v>0.25</v>
      </c>
      <c r="D70" s="43">
        <f>100*(1/AJ14-1)*(360/(AH14-$C$8))</f>
        <v>2.9532874687768995</v>
      </c>
      <c r="E70" s="46">
        <f>+E14</f>
        <v>2.83</v>
      </c>
      <c r="F70" s="42" t="e">
        <f t="shared" ref="F70" si="43">+IF($B70-$C$8&gt;0,get_interpolated_rate($B70-$C$8,$B$69:$B$89,D$69:D$89,COUNT(D$69:D$89)),NA())</f>
        <v>#N/A</v>
      </c>
      <c r="G70" s="42" t="e">
        <f t="shared" ref="G70" si="44">+IF($B70-$C$8&gt;0,get_interpolated_rate($B70-$C$8,$B$69:$B$89,E$69:E$89,COUNT(E$69:E$89)),NA())</f>
        <v>#N/A</v>
      </c>
      <c r="H70" s="69" t="e">
        <f t="shared" ref="H70:H82" si="45">100*(F70-E70)</f>
        <v>#N/A</v>
      </c>
      <c r="I70" s="69" t="e">
        <f t="shared" ref="I70" si="46">100*(G70-$E70)</f>
        <v>#N/A</v>
      </c>
      <c r="J70" s="72" t="e">
        <f t="shared" ref="J70:J82" si="47">+H70+I70</f>
        <v>#N/A</v>
      </c>
    </row>
    <row r="71" spans="2:31" x14ac:dyDescent="0.25">
      <c r="B71" s="49">
        <f t="shared" si="42"/>
        <v>182</v>
      </c>
      <c r="C71" s="40">
        <v>0.5</v>
      </c>
      <c r="D71" s="43">
        <f t="shared" ref="D71:D74" si="48">100*(1/AJ15-1)*(360/(AH15-$C$8))</f>
        <v>3.0370671539139416</v>
      </c>
      <c r="E71" s="46">
        <f t="shared" ref="E71:E74" si="49">+E15</f>
        <v>2.915</v>
      </c>
      <c r="F71" s="42">
        <f>+IF($B71-$C$8&gt;0,get_interpolated_rate($B71-$C$8,$B$69:$B$82,D$69:D$82,COUNT(D$69:D$82)),NA())</f>
        <v>3.0352253923852652</v>
      </c>
      <c r="G71" s="42">
        <f>+IF($B71-$C$8&gt;0,get_interpolated_rate($B71-$C$8,$B$69:$B$82,E$69:E$82,COUNT(E$69:E$82)),NA())</f>
        <v>2.7508988764044946</v>
      </c>
      <c r="H71" s="69">
        <f>100*(F71-E71)</f>
        <v>12.02253923852652</v>
      </c>
      <c r="I71" s="69">
        <f>100*($E71-G71)</f>
        <v>16.410112359550546</v>
      </c>
      <c r="J71" s="72">
        <f t="shared" si="47"/>
        <v>28.432651598077065</v>
      </c>
    </row>
    <row r="72" spans="2:31" x14ac:dyDescent="0.25">
      <c r="B72" s="49">
        <f t="shared" si="42"/>
        <v>276</v>
      </c>
      <c r="C72" s="40">
        <v>0.75</v>
      </c>
      <c r="D72" s="43">
        <f t="shared" si="48"/>
        <v>3.1174319062394762</v>
      </c>
      <c r="E72" s="46">
        <f t="shared" si="49"/>
        <v>3</v>
      </c>
      <c r="F72" s="42">
        <f t="shared" ref="F72:F82" si="50">+IF($B72-$C$8&gt;0,get_interpolated_rate($B72-$C$8,$B$69:$B$82,D$69:D$82,COUNT(D$69:D$82)),NA())</f>
        <v>2.9587513612858372</v>
      </c>
      <c r="G72" s="42">
        <f t="shared" ref="G72:G82" si="51">+IF($B72-$C$8&gt;0,get_interpolated_rate($B72-$C$8,$B$69:$B$82,E$69:E$82,COUNT(E$69:E$82)),NA())</f>
        <v>2.8355434782608695</v>
      </c>
      <c r="H72" s="69">
        <f t="shared" si="45"/>
        <v>-4.1248638714162844</v>
      </c>
      <c r="I72" s="69">
        <f t="shared" ref="I72:I82" si="52">100*($E72-G72)</f>
        <v>16.44565217391305</v>
      </c>
      <c r="J72" s="72">
        <f t="shared" si="47"/>
        <v>12.320788302496766</v>
      </c>
    </row>
    <row r="73" spans="2:31" x14ac:dyDescent="0.25">
      <c r="B73" s="49">
        <f t="shared" si="42"/>
        <v>367</v>
      </c>
      <c r="C73" s="40">
        <v>1</v>
      </c>
      <c r="D73" s="43">
        <f t="shared" si="48"/>
        <v>3.2637160839306514</v>
      </c>
      <c r="E73" s="46">
        <f t="shared" si="49"/>
        <v>3.1160000000000001</v>
      </c>
      <c r="F73" s="42">
        <f t="shared" si="50"/>
        <v>3.0413418747823209</v>
      </c>
      <c r="G73" s="42">
        <f t="shared" si="51"/>
        <v>2.9195212765957446</v>
      </c>
      <c r="H73" s="69">
        <f t="shared" si="45"/>
        <v>-7.4658125217679228</v>
      </c>
      <c r="I73" s="69">
        <f t="shared" si="52"/>
        <v>19.647872340425554</v>
      </c>
      <c r="J73" s="72">
        <f t="shared" si="47"/>
        <v>12.182059818657631</v>
      </c>
    </row>
    <row r="74" spans="2:31" x14ac:dyDescent="0.25">
      <c r="B74" s="49">
        <f t="shared" si="42"/>
        <v>549</v>
      </c>
      <c r="C74" s="40">
        <v>1.5</v>
      </c>
      <c r="D74" s="43">
        <f t="shared" si="48"/>
        <v>3.3286367636530931</v>
      </c>
      <c r="E74" s="46">
        <f t="shared" si="49"/>
        <v>3.2250000000000001</v>
      </c>
      <c r="F74" s="42">
        <f t="shared" si="50"/>
        <v>3.2644294979935355</v>
      </c>
      <c r="G74" s="42">
        <f t="shared" si="51"/>
        <v>3.1171978021978024</v>
      </c>
      <c r="H74" s="69">
        <f t="shared" si="45"/>
        <v>3.9429497993535456</v>
      </c>
      <c r="I74" s="69">
        <f t="shared" si="52"/>
        <v>10.780219780219769</v>
      </c>
      <c r="J74" s="72">
        <f t="shared" si="47"/>
        <v>14.723169579573314</v>
      </c>
    </row>
    <row r="75" spans="2:31" x14ac:dyDescent="0.25">
      <c r="B75" s="49">
        <f t="shared" si="42"/>
        <v>731</v>
      </c>
      <c r="C75" s="40">
        <v>2</v>
      </c>
      <c r="D75" s="51">
        <f>200*(1-VLOOKUP(C75,$AG$14:$AJ$35,4,FALSE))/SUMPRODUCT((MOD($AG$14:$AG$35,0.5)=0)*($AG$14:$AG$35&lt;=C75)*($AJ$14:$AJ$35))</f>
        <v>2.5769007115793392</v>
      </c>
      <c r="E75" s="46">
        <f>+AQ19</f>
        <v>3.2749999999999999</v>
      </c>
      <c r="F75" s="70">
        <f t="shared" si="50"/>
        <v>3.320375927916019</v>
      </c>
      <c r="G75" s="42">
        <f t="shared" si="51"/>
        <v>3.2255494505494506</v>
      </c>
      <c r="H75" s="69">
        <f t="shared" si="45"/>
        <v>4.5375927916019076</v>
      </c>
      <c r="I75" s="69">
        <f t="shared" si="52"/>
        <v>4.9450549450549275</v>
      </c>
      <c r="J75" s="72">
        <f t="shared" si="47"/>
        <v>9.4826477366568351</v>
      </c>
    </row>
    <row r="76" spans="2:31" x14ac:dyDescent="0.25">
      <c r="B76" s="49">
        <f t="shared" si="42"/>
        <v>1096</v>
      </c>
      <c r="C76" s="40">
        <v>3</v>
      </c>
      <c r="D76" s="51">
        <f>200*(1-VLOOKUP(C76,$AG$14:$AJ$35,4,FALSE))/SUMPRODUCT((MOD($AG$14:$AG$35,0.5)=0)*($AG$14:$AG$35&lt;=C76)*($AJ$14:$AJ$35))</f>
        <v>3.6318677773511077</v>
      </c>
      <c r="E76" s="46">
        <f t="shared" ref="E76:E82" si="53">+AQ20</f>
        <v>3.45</v>
      </c>
      <c r="F76" s="42">
        <f t="shared" si="50"/>
        <v>3.1116100462855778</v>
      </c>
      <c r="G76" s="42">
        <f t="shared" si="51"/>
        <v>3.3636986301369864</v>
      </c>
      <c r="H76" s="69">
        <f>100*(F76-E76)</f>
        <v>-33.838995371442238</v>
      </c>
      <c r="I76" s="69">
        <f t="shared" si="52"/>
        <v>8.6301369863013733</v>
      </c>
      <c r="J76" s="72">
        <f t="shared" si="47"/>
        <v>-25.208858385140864</v>
      </c>
      <c r="L76">
        <f>+D75/200</f>
        <v>1.2884503557896696E-2</v>
      </c>
      <c r="M76">
        <v>458</v>
      </c>
      <c r="N76" s="51">
        <v>0.98370413587067185</v>
      </c>
      <c r="AE76" s="81">
        <f>+$L$76*N76</f>
        <v>1.2674539438543367E-2</v>
      </c>
    </row>
    <row r="77" spans="2:31" x14ac:dyDescent="0.25">
      <c r="B77" s="49">
        <f t="shared" si="42"/>
        <v>1461</v>
      </c>
      <c r="C77" s="40">
        <v>4</v>
      </c>
      <c r="D77" s="51">
        <f t="shared" ref="D77:D82" si="54">200*(1-VLOOKUP(C77,$AG$14:$AJ$35,4,FALSE))/SUMPRODUCT((MOD($AG$14:$AG$35,0.5)=0)*($AG$14:$AG$35&lt;=C77)*($AJ$14:$AJ$35))</f>
        <v>3.7410796339105792</v>
      </c>
      <c r="E77" s="46">
        <f t="shared" si="53"/>
        <v>3.5840000000000001</v>
      </c>
      <c r="F77" s="42">
        <f t="shared" si="50"/>
        <v>3.6872217320456344</v>
      </c>
      <c r="G77" s="42">
        <f t="shared" si="51"/>
        <v>3.5179178082191784</v>
      </c>
      <c r="H77" s="69">
        <f t="shared" si="45"/>
        <v>10.322173204563434</v>
      </c>
      <c r="I77" s="69">
        <f t="shared" si="52"/>
        <v>6.6082191780821642</v>
      </c>
      <c r="J77" s="72">
        <f t="shared" si="47"/>
        <v>16.9303923826456</v>
      </c>
      <c r="M77">
        <v>731</v>
      </c>
      <c r="N77" s="51">
        <v>0.96669354022588161</v>
      </c>
      <c r="AE77" s="81">
        <f t="shared" ref="AE77:AE78" si="55">+$L$76*N77</f>
        <v>1.2455366358436125E-2</v>
      </c>
    </row>
    <row r="78" spans="2:31" x14ac:dyDescent="0.25">
      <c r="B78" s="49">
        <f t="shared" si="42"/>
        <v>1826</v>
      </c>
      <c r="C78" s="40">
        <v>5</v>
      </c>
      <c r="D78" s="51">
        <f t="shared" si="54"/>
        <v>3.8183266769019597</v>
      </c>
      <c r="E78" s="46">
        <f t="shared" si="53"/>
        <v>3.6930000000000001</v>
      </c>
      <c r="F78" s="42">
        <f>+IF($B78-$C$8&gt;0,get_interpolated_rate($B78-$C$8,$B$69:$B$82,D$69:D$82,COUNT(D$69:D$82)),NA())</f>
        <v>3.7802322447418266</v>
      </c>
      <c r="G78" s="42">
        <f>+IF($B78-$C$8&gt;0,get_interpolated_rate($B78-$C$8,$B$69:$B$82,E$69:E$82,COUNT(E$69:E$82)),NA())</f>
        <v>3.6392465753424657</v>
      </c>
      <c r="H78" s="69">
        <f t="shared" si="45"/>
        <v>8.7232244741826559</v>
      </c>
      <c r="I78" s="69">
        <f t="shared" si="52"/>
        <v>5.375342465753441</v>
      </c>
      <c r="J78" s="72">
        <f t="shared" si="47"/>
        <v>14.098566939936097</v>
      </c>
      <c r="M78">
        <v>913</v>
      </c>
      <c r="N78" s="51">
        <v>0.94981353399810342</v>
      </c>
      <c r="AE78" s="81">
        <f t="shared" si="55"/>
        <v>1.2237875858136998E-2</v>
      </c>
    </row>
    <row r="79" spans="2:31" x14ac:dyDescent="0.25">
      <c r="B79" s="49">
        <f t="shared" si="42"/>
        <v>2194</v>
      </c>
      <c r="C79" s="40">
        <v>6</v>
      </c>
      <c r="D79" s="51">
        <f>200*(1-VLOOKUP(C79,$AG$14:$AJ$35,4,FALSE))/SUMPRODUCT((MOD($AG$14:$AG$35,0.5)=0)*($AG$14:$AG$35&lt;=C79)*($AJ$14:$AJ$35))</f>
        <v>3.8845427175243961</v>
      </c>
      <c r="E79" s="46">
        <f t="shared" si="53"/>
        <v>3.76</v>
      </c>
      <c r="F79" s="42">
        <f t="shared" si="50"/>
        <v>3.852154436785161</v>
      </c>
      <c r="G79" s="42">
        <f t="shared" si="51"/>
        <v>3.7272282608695653</v>
      </c>
      <c r="H79" s="69">
        <f t="shared" si="45"/>
        <v>9.215443678516122</v>
      </c>
      <c r="I79" s="69">
        <f t="shared" si="52"/>
        <v>3.2771739130434518</v>
      </c>
      <c r="J79" s="72">
        <f t="shared" si="47"/>
        <v>12.492617591559574</v>
      </c>
      <c r="M79">
        <v>1095</v>
      </c>
      <c r="N79" s="51">
        <v>0.93208899600532513</v>
      </c>
      <c r="AE79" s="81">
        <f>+(1+$L$76)*N79</f>
        <v>0.944098499990632</v>
      </c>
    </row>
    <row r="80" spans="2:31" x14ac:dyDescent="0.25">
      <c r="B80" s="49">
        <f t="shared" si="42"/>
        <v>2558</v>
      </c>
      <c r="C80" s="40">
        <v>7</v>
      </c>
      <c r="D80" s="51">
        <f t="shared" si="54"/>
        <v>3.9545227897633537</v>
      </c>
      <c r="E80" s="46">
        <f t="shared" si="53"/>
        <v>3.8450000000000002</v>
      </c>
      <c r="F80" s="42">
        <f t="shared" si="50"/>
        <v>3.9199172595352976</v>
      </c>
      <c r="G80" s="42">
        <f t="shared" si="51"/>
        <v>3.8029670329670329</v>
      </c>
      <c r="H80" s="69">
        <f t="shared" si="45"/>
        <v>7.4917259535297376</v>
      </c>
      <c r="I80" s="69">
        <f t="shared" si="52"/>
        <v>4.2032967032967328</v>
      </c>
      <c r="J80" s="72">
        <f t="shared" si="47"/>
        <v>11.69502265682647</v>
      </c>
      <c r="N80" s="51"/>
      <c r="AE80" s="46"/>
    </row>
    <row r="81" spans="2:33" x14ac:dyDescent="0.25">
      <c r="B81" s="49">
        <f t="shared" si="42"/>
        <v>2922</v>
      </c>
      <c r="C81" s="40">
        <v>8</v>
      </c>
      <c r="D81" s="51">
        <f t="shared" si="54"/>
        <v>4.0184419155659175</v>
      </c>
      <c r="E81" s="46">
        <f t="shared" si="53"/>
        <v>3.91</v>
      </c>
      <c r="F81" s="42">
        <f t="shared" si="50"/>
        <v>3.9868335566525617</v>
      </c>
      <c r="G81" s="42">
        <f t="shared" si="51"/>
        <v>3.8778571428571431</v>
      </c>
      <c r="H81" s="69">
        <f t="shared" si="45"/>
        <v>7.683355665256153</v>
      </c>
      <c r="I81" s="69">
        <f t="shared" si="52"/>
        <v>3.2142857142857029</v>
      </c>
      <c r="J81" s="72">
        <f t="shared" si="47"/>
        <v>10.897641379541856</v>
      </c>
      <c r="N81" s="51"/>
      <c r="AE81" s="46"/>
    </row>
    <row r="82" spans="2:33" x14ac:dyDescent="0.25">
      <c r="B82" s="49">
        <f t="shared" si="42"/>
        <v>3287</v>
      </c>
      <c r="C82" s="40">
        <v>9</v>
      </c>
      <c r="D82" s="51">
        <f t="shared" si="54"/>
        <v>4.0847411285951036</v>
      </c>
      <c r="E82" s="46">
        <f t="shared" si="53"/>
        <v>3.984</v>
      </c>
      <c r="F82" s="42">
        <f t="shared" si="50"/>
        <v>4.052045626279341</v>
      </c>
      <c r="G82" s="42">
        <f t="shared" si="51"/>
        <v>3.9475068493150687</v>
      </c>
      <c r="H82" s="69">
        <f t="shared" si="45"/>
        <v>6.8045626279340965</v>
      </c>
      <c r="I82" s="69">
        <f t="shared" si="52"/>
        <v>3.6493150684931308</v>
      </c>
      <c r="J82" s="72">
        <f t="shared" si="47"/>
        <v>10.453877696427227</v>
      </c>
    </row>
    <row r="83" spans="2:33" x14ac:dyDescent="0.25">
      <c r="C83" s="40"/>
      <c r="D83" s="68"/>
      <c r="E83" s="46"/>
      <c r="F83" s="42"/>
      <c r="G83" s="42"/>
      <c r="H83" s="69"/>
      <c r="I83" s="69"/>
      <c r="J83" s="72"/>
    </row>
    <row r="84" spans="2:33" x14ac:dyDescent="0.25">
      <c r="C84" s="40"/>
      <c r="D84" s="68"/>
      <c r="E84" s="46"/>
      <c r="F84" s="42"/>
      <c r="G84" s="42"/>
      <c r="H84" s="69"/>
      <c r="I84" s="69"/>
      <c r="J84" s="72"/>
    </row>
    <row r="85" spans="2:33" x14ac:dyDescent="0.25">
      <c r="C85" s="40"/>
      <c r="D85" s="68"/>
      <c r="E85" s="46"/>
      <c r="F85" s="42"/>
      <c r="G85" s="42"/>
      <c r="H85" s="69"/>
      <c r="I85" s="69"/>
      <c r="J85" s="72"/>
      <c r="AG85" s="73"/>
    </row>
    <row r="86" spans="2:33" x14ac:dyDescent="0.25">
      <c r="C86" s="40"/>
      <c r="D86" s="68"/>
      <c r="E86" s="46"/>
      <c r="F86" s="42"/>
      <c r="G86" s="42"/>
      <c r="H86" s="69"/>
      <c r="I86" s="69"/>
      <c r="J86" s="72"/>
    </row>
    <row r="87" spans="2:33" x14ac:dyDescent="0.25">
      <c r="C87" s="40"/>
      <c r="D87" s="68"/>
      <c r="E87" s="46"/>
      <c r="F87" s="42"/>
      <c r="G87" s="42"/>
      <c r="H87" s="69"/>
      <c r="I87" s="69"/>
      <c r="J87" s="72"/>
    </row>
    <row r="88" spans="2:33" x14ac:dyDescent="0.25">
      <c r="C88" s="40"/>
      <c r="D88" s="68"/>
      <c r="E88" s="46"/>
      <c r="F88" s="42"/>
      <c r="G88" s="42"/>
      <c r="H88" s="69"/>
      <c r="I88" s="69"/>
      <c r="J88" s="72"/>
    </row>
    <row r="89" spans="2:33" x14ac:dyDescent="0.25">
      <c r="C89" s="40"/>
      <c r="D89" s="68"/>
      <c r="E89" s="46"/>
      <c r="F89" s="42"/>
      <c r="G89" s="42"/>
      <c r="H89" s="69"/>
      <c r="I89" s="69"/>
      <c r="J89" s="72"/>
    </row>
    <row r="90" spans="2:33" x14ac:dyDescent="0.25">
      <c r="C90" s="40"/>
      <c r="D90" s="67"/>
    </row>
    <row r="91" spans="2:33" x14ac:dyDescent="0.25">
      <c r="C91" s="40"/>
      <c r="D91" s="67"/>
    </row>
  </sheetData>
  <mergeCells count="8">
    <mergeCell ref="AA12:AB12"/>
    <mergeCell ref="AC12:AD12"/>
    <mergeCell ref="O12:P12"/>
    <mergeCell ref="Q12:R12"/>
    <mergeCell ref="S12:T12"/>
    <mergeCell ref="U12:V12"/>
    <mergeCell ref="W12:X12"/>
    <mergeCell ref="Y12:Z12"/>
  </mergeCells>
  <dataValidations disablePrompts="1" count="1">
    <dataValidation type="list" allowBlank="1" showInputMessage="1" showErrorMessage="1" sqref="C7" xr:uid="{4BDC2C9A-96FE-4AB2-ACF7-7BD0BEAA08F2}">
      <formula1>"360,365"</formula1>
    </dataValidation>
  </dataValidations>
  <pageMargins left="0.7" right="0.7" top="0.75" bottom="0.75" header="0.3" footer="0.3"/>
  <pageSetup orientation="portrait" r:id="rId1"/>
  <ignoredErrors>
    <ignoredError sqref="D33:E33 D31:E31 D29:E29 D27:E27 D25:E25 D23:E23 D21:E21 D62:E62 D60:E60 D58:E58 D56:E56 D54:E54 D52:E52 D50:E50" 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BBAE88DB-FE51-4B83-8713-1BD74B3AA4BA}">
          <x14:formula1>
            <xm:f>Holidays!A1:A2</xm:f>
          </x14:formula1>
          <xm:sqref>C5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BED4E1-86B2-4607-9E16-5C9AF165B372}">
  <sheetPr codeName="Hoja3"/>
  <dimension ref="A1:C6"/>
  <sheetViews>
    <sheetView workbookViewId="0">
      <selection activeCell="A3" sqref="A3"/>
    </sheetView>
  </sheetViews>
  <sheetFormatPr baseColWidth="10" defaultRowHeight="15" x14ac:dyDescent="0.25"/>
  <cols>
    <col min="1" max="1" width="11.85546875" bestFit="1" customWidth="1"/>
    <col min="3" max="3" width="11.85546875" bestFit="1" customWidth="1"/>
  </cols>
  <sheetData>
    <row r="1" spans="1:3" x14ac:dyDescent="0.25">
      <c r="A1" t="b">
        <f>+TRUE()</f>
        <v>1</v>
      </c>
    </row>
    <row r="2" spans="1:3" x14ac:dyDescent="0.25">
      <c r="A2" t="b">
        <f>+FALSE()</f>
        <v>0</v>
      </c>
    </row>
    <row r="5" spans="1:3" x14ac:dyDescent="0.25">
      <c r="C5" s="38">
        <v>43460</v>
      </c>
    </row>
    <row r="6" spans="1:3" x14ac:dyDescent="0.25">
      <c r="C6" s="38">
        <f>+AddWorkingDays(C5,2)</f>
        <v>43462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1</vt:i4>
      </vt:variant>
    </vt:vector>
  </HeadingPairs>
  <TitlesOfParts>
    <vt:vector size="8" baseType="lpstr">
      <vt:lpstr>interpola</vt:lpstr>
      <vt:lpstr>Duracion</vt:lpstr>
      <vt:lpstr>BCU</vt:lpstr>
      <vt:lpstr>TIR</vt:lpstr>
      <vt:lpstr>Datos</vt:lpstr>
      <vt:lpstr>Hoja2</vt:lpstr>
      <vt:lpstr>Holidays</vt:lpstr>
      <vt:lpstr>PosicionDatos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Hector</dc:creator>
  <cp:lastModifiedBy>Fernando Suarez B.</cp:lastModifiedBy>
  <dcterms:created xsi:type="dcterms:W3CDTF">2010-08-16T02:12:42Z</dcterms:created>
  <dcterms:modified xsi:type="dcterms:W3CDTF">2018-12-26T21:20:50Z</dcterms:modified>
</cp:coreProperties>
</file>